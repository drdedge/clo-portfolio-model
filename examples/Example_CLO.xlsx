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3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01c8eb0934e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4759c2a0f1e430d"/>
    <x:sheet xmlns:r="http://schemas.openxmlformats.org/officeDocument/2006/relationships" name="Agency Comparison" sheetId="2" r:id="R4fdafa94b66742c8"/>
    <x:sheet xmlns:r="http://schemas.openxmlformats.org/officeDocument/2006/relationships" name="Outputs" sheetId="3" r:id="R123c1a7fd7c44156"/>
    <x:sheet xmlns:r="http://schemas.openxmlformats.org/officeDocument/2006/relationships" name="Portfolio Inputs" sheetId="4" r:id="Ra1ae1ce8c1ed422c"/>
    <x:sheet xmlns:r="http://schemas.openxmlformats.org/officeDocument/2006/relationships" name="Assumptions" sheetId="5" r:id="Raf1273f6bc6142bc"/>
    <x:sheet xmlns:r="http://schemas.openxmlformats.org/officeDocument/2006/relationships" name="Portfolio Calc" sheetId="6" r:id="Rcd580740e7b04dd3"/>
    <x:sheet xmlns:r="http://schemas.openxmlformats.org/officeDocument/2006/relationships" name="Obligor Calc" sheetId="7" r:id="R8860f04494e24a77"/>
    <x:sheet xmlns:r="http://schemas.openxmlformats.org/officeDocument/2006/relationships" name="Capital Calc" sheetId="8" r:id="R82c8a12c4b6444d5"/>
    <x:sheet xmlns:r="http://schemas.openxmlformats.org/officeDocument/2006/relationships" name="SP Credit Parameters" sheetId="9" r:id="R78e3876085d24f82"/>
    <x:sheet xmlns:r="http://schemas.openxmlformats.org/officeDocument/2006/relationships" name="Concentration Calc" sheetId="10" r:id="Rcaf4cdddfe2c4af9"/>
    <x:sheet xmlns:r="http://schemas.openxmlformats.org/officeDocument/2006/relationships" name="Fitch Inputs" sheetId="11" r:id="R3e72f80787974ac8"/>
    <x:sheet xmlns:r="http://schemas.openxmlformats.org/officeDocument/2006/relationships" name="Fitch Parameters" sheetId="12" r:id="R19d64cfd55844864"/>
    <x:sheet xmlns:r="http://schemas.openxmlformats.org/officeDocument/2006/relationships" name="Fitch Calc" sheetId="13" r:id="R8abb16d1f94143d1"/>
    <x:sheet xmlns:r="http://schemas.openxmlformats.org/officeDocument/2006/relationships" name="Stress Inputs" sheetId="14" r:id="Rf87b111663d24069"/>
    <x:sheet xmlns:r="http://schemas.openxmlformats.org/officeDocument/2006/relationships" name="Cash Flow Calc" sheetId="15" r:id="R01a185238da54c2b"/>
    <x:sheet xmlns:r="http://schemas.openxmlformats.org/officeDocument/2006/relationships" name="Sensitivity" sheetId="16" r:id="Rdcc65fd78c074266"/>
    <x:sheet xmlns:r="http://schemas.openxmlformats.org/officeDocument/2006/relationships" name="Stress Results" sheetId="17" r:id="R43bc9c4c0f7e4607"/>
    <x:sheet xmlns:r="http://schemas.openxmlformats.org/officeDocument/2006/relationships" name="Checks" sheetId="18" r:id="Re25733ea79114e9e"/>
    <x:sheet xmlns:r="http://schemas.openxmlformats.org/officeDocument/2006/relationships" name="Gaps and Sources" sheetId="19" r:id="R97bb34388a404510"/>
    <x:sheet xmlns:r="http://schemas.openxmlformats.org/officeDocument/2006/relationships" name="Methodology" sheetId="20" r:id="Ra14311157b574c69"/>
    <x:sheet xmlns:r="http://schemas.openxmlformats.org/officeDocument/2006/relationships" name="Run Snapshot" sheetId="21" r:id="R0e0b6a386de44252"/>
  </x:sheets>
  <x:definedNames>
    <x:definedName name="Portfolio_Par">'Portfolio Calc'!$D$8</x:definedName>
    <x:definedName name="SPWARF">'Portfolio Calc'!$D$21</x:definedName>
    <x:definedName name="SP_DRD">'Portfolio Calc'!$D$23</x:definedName>
    <x:definedName name="SP_WARF_Factors">'SP Credit Parameters'!$C$8:$D$26</x:definedName>
    <x:definedName name="as_of_date">'Assumptions'!$D$8</x:definedName>
    <x:definedName name="legal_final_date">'Assumptions'!$D$9</x:definedName>
    <x:definedName name="currency">'Assumptions'!$D$10</x:definedName>
    <x:definedName name="benchmark">'Assumptions'!$D$11</x:definedName>
    <x:definedName name="base_senior_pct">'Assumptions'!$D$12</x:definedName>
    <x:definedName name="equity_pct">'Assumptions'!$D$13</x:definedName>
    <x:definedName name="senior_coupon_bps">'Assumptions'!$D$14</x:definedName>
    <x:definedName name="junior_coupon_bps">'Assumptions'!$D$15</x:definedName>
    <x:definedName name="senior_floor_pct">'Assumptions'!$D$16</x:definedName>
    <x:definedName name="junior_floor_pct">'Assumptions'!$D$17</x:definedName>
    <x:definedName name="senior_fee_bps">'Assumptions'!$D$18</x:definedName>
    <x:definedName name="fixed_fee_per_period">'Assumptions'!$D$19</x:definedName>
    <x:definedName name="subordinated_fee_bps">'Assumptions'!$D$20</x:definedName>
    <x:definedName name="oc_trigger">'Assumptions'!$D$21</x:definedName>
    <x:definedName name="ic_trigger">'Assumptions'!$D$22</x:definedName>
    <x:definedName name="recovery_lag_quarters">'Assumptions'!$D$23</x:definedName>
    <x:definedName name="annual_prepayment_rate">'Assumptions'!$D$24</x:definedName>
    <x:definedName name="reinvestment_end_date">'Assumptions'!$D$25</x:definedName>
    <x:definedName name="reinvestment_price">'Assumptions'!$D$26</x:definedName>
    <x:definedName name="reinvestment_spread_bps">'Assumptions'!$D$27</x:definedName>
    <x:definedName name="reinvestment_recovery">'Assumptions'!$D$28</x:definedName>
    <x:definedName name="reinvestment_maturity_years">'Assumptions'!$D$29</x:definedName>
    <x:definedName name="reinvestment_floor_bps">'Assumptions'!$D$30</x:definedName>
    <x:definedName name="principal_support_interest">'Assumptions'!$D$31</x:definedName>
    <x:definedName name="final_liquidation_price">'Assumptions'!$D$32</x:definedName>
    <x:definedName name="oc_recovery_credit">'Assumptions'!$D$33</x:definedName>
    <x:definedName name="reinvestment_stop_on_trigger">'Assumptions'!$D$34</x:definedName>
    <x:definedName name="base_default_rate">'Assumptions'!$D$35</x:definedName>
    <x:definedName name="base_scenario_id">'Assumptions'!$D$36</x:definedName>
    <x:definedName name="agency_sdr_aaa">'Assumptions'!$D$37</x:definedName>
    <x:definedName name="agency_sdr_source">'Assumptions'!$D$38</x:definedName>
    <x:definedName name="scenario_front_flat_recovery_multiplier">'Assumptions'!$D$39</x:definedName>
    <x:definedName name="scenario_front_flat_annual_prepayment_rate">'Assumptions'!$D$40</x:definedName>
    <x:definedName name="scenario_front_low_recovery_multiplier">'Assumptions'!$D$41</x:definedName>
    <x:definedName name="scenario_front_low_annual_prepayment_rate">'Assumptions'!$D$42</x:definedName>
    <x:definedName name="scenario_front_high_recovery_multiplier">'Assumptions'!$D$43</x:definedName>
    <x:definedName name="scenario_front_high_annual_prepayment_rate">'Assumptions'!$D$44</x:definedName>
    <x:definedName name="scenario_middle_flat_recovery_multiplier">'Assumptions'!$D$45</x:definedName>
    <x:definedName name="scenario_middle_flat_annual_prepayment_rate">'Assumptions'!$D$46</x:definedName>
    <x:definedName name="scenario_middle_low_recovery_multiplier">'Assumptions'!$D$47</x:definedName>
    <x:definedName name="scenario_middle_low_annual_prepayment_rate">'Assumptions'!$D$48</x:definedName>
    <x:definedName name="scenario_middle_high_recovery_multiplier">'Assumptions'!$D$49</x:definedName>
    <x:definedName name="scenario_middle_high_annual_prepayment_rate">'Assumptions'!$D$50</x:definedName>
    <x:definedName name="scenario_back_flat_recovery_multiplier">'Assumptions'!$D$51</x:definedName>
    <x:definedName name="scenario_back_flat_annual_prepayment_rate">'Assumptions'!$D$52</x:definedName>
    <x:definedName name="scenario_back_low_recovery_multiplier">'Assumptions'!$D$53</x:definedName>
    <x:definedName name="scenario_back_low_annual_prepayment_rate">'Assumptions'!$D$54</x:definedName>
    <x:definedName name="scenario_back_high_recovery_multiplier">'Assumptions'!$D$55</x:definedName>
    <x:definedName name="scenario_back_high_annual_prepayment_rate">'Assumptions'!$D$56</x:definedName>
    <x:definedName name="scenario_level_flat_recovery_multiplier">'Assumptions'!$D$57</x:definedName>
    <x:definedName name="scenario_level_flat_annual_prepayment_rate">'Assumptions'!$D$58</x:definedName>
    <x:definedName name="scenario_level_low_recovery_multiplier">'Assumptions'!$D$59</x:definedName>
    <x:definedName name="scenario_level_low_annual_prepayment_rate">'Assumptions'!$D$60</x:definedName>
    <x:definedName name="scenario_level_high_recovery_multiplier">'Assumptions'!$D$61</x:definedName>
    <x:definedName name="scenario_level_high_annual_prepayment_rate">'Assumptions'!$D$62</x:definedName>
    <x:definedName name="Senior_Balance">'Capital Calc'!$G$8</x:definedName>
    <x:definedName name="Junior_Balance">'Capital Calc'!$H$8</x:definedName>
    <x:definedName name="Equity_Contribution">'Capital Calc'!$I$8</x:definedName>
    <x:definedName name="Fitch_WARF_Factors">'Fitch Parameters'!$C$8:$D$28</x:definedName>
    <x:definedName name="Fitch_WARF">'Fitch Calc'!$D$10</x:definedName>
    <x:definedName name="Fitch_WARR">'Fitch Calc'!$D$12</x:definedName>
    <x:definedName name="SP_Parameter_Changes">'SP Credit Parameters'!$D$29</x:definedName>
    <x:definedName name="Refresh_Required">'Checks'!$D$41</x:definedName>
  </x:definedName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5">
    <x:numFmt numFmtId="200" formatCode="#,##0;(#,##0);&quot;-&quot;"/>
    <x:numFmt numFmtId="201" formatCode="0.0%;(0.0%);&quot;-&quot;"/>
    <x:numFmt numFmtId="202" formatCode="yyyy-mm-dd"/>
    <x:numFmt numFmtId="203" formatCode="0.00"/>
    <x:numFmt numFmtId="204" formatCode="0"/>
    <x:numFmt numFmtId="205" formatCode="0.00&quot;x&quot;"/>
    <x:numFmt numFmtId="206" formatCode="0.0"/>
    <x:numFmt numFmtId="207" formatCode="0.0000"/>
    <x:numFmt numFmtId="208" formatCode="0.00000"/>
    <x:numFmt numFmtId="209" formatCode="mmm-yy"/>
    <x:numFmt numFmtId="210" formatCode="General"/>
    <x:numFmt numFmtId="211" formatCode="0.000"/>
    <x:numFmt numFmtId="212" formatCode="#,##0.0000"/>
    <x:numFmt numFmtId="213" formatCode="0.0%"/>
    <x:numFmt numFmtId="214" formatCode="#,##0.00"/>
  </x:numFmts>
  <x:fonts count="26">
    <x:font>
      <x:sz val="11"/>
      <x:name val="Carlito"/>
    </x:font>
    <x:font>
      <x:sz val="10"/>
      <x:color rgb="FF243247"/>
      <x:name val="Arial"/>
    </x:font>
    <x:font>
      <x:b/>
      <x:sz val="17"/>
      <x:color rgb="FF243247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sz val="10"/>
      <x:color rgb="FF000000"/>
      <x:name val="Arial"/>
    </x:font>
    <x:font>
      <x:sz val="11"/>
      <x:color rgb="FF008000"/>
      <x:name val="Carlito"/>
    </x:font>
    <x:font>
      <x:sz val="11"/>
      <x:color rgb="FF000000"/>
      <x:name val="Carlito"/>
    </x:font>
    <x:font>
      <x:sz val="11"/>
      <x:color rgb="FF243247"/>
      <x:name val="Arial"/>
    </x:font>
    <x:font>
      <x:i/>
      <x:sz val="10"/>
      <x:color rgb="FF243247"/>
      <x:name val="Arial"/>
    </x:font>
    <x:font>
      <x:b/>
      <x:sz val="11"/>
      <x:color rgb="FF243247"/>
      <x:name val="Arial"/>
    </x:font>
    <x:font>
      <x:b/>
      <x:sz val="11"/>
      <x:name val="Carlito"/>
    </x:font>
    <x:font>
      <x:sz val="11"/>
      <x:color rgb="FF000000"/>
      <x:name val="Arial"/>
    </x:font>
    <x:font>
      <x:sz val="11"/>
      <x:color rgb="FF0000FF"/>
      <x:name val="Arial"/>
    </x:font>
    <x:font>
      <x:b/>
      <x:sz val="17"/>
      <x:name val="Arial"/>
    </x:font>
    <x:font>
      <x:sz val="11"/>
      <x:color rgb="FF008000"/>
      <x:name val="Arial"/>
    </x:font>
    <x:font>
      <x:b/>
      <x:sz val="10"/>
      <x:color rgb="FF203955"/>
      <x:name val="Arial"/>
    </x:font>
    <x:font>
      <x:b/>
      <x:sz val="10"/>
      <x:color rgb="FF167D8D"/>
      <x:name val="Arial"/>
    </x:font>
    <x:font>
      <x:b/>
      <x:sz val="10"/>
      <x:color rgb="FF81909E"/>
      <x:name val="Arial"/>
    </x:font>
    <x:font>
      <x:b/>
      <x:sz val="10"/>
      <x:color rgb="FFD6A43A"/>
      <x:name val="Arial"/>
    </x:font>
    <x:font>
      <x:b/>
      <x:sz val="10"/>
      <x:color rgb="FF3075B9"/>
      <x:name val="Arial"/>
    </x:font>
    <x:font>
      <x:b/>
      <x:sz val="10"/>
      <x:color rgb="FF8859A3"/>
      <x:name val="Arial"/>
    </x:font>
    <x:font>
      <x:b/>
      <x:sz val="10"/>
      <x:color rgb="FFD88238"/>
      <x:name val="Arial"/>
    </x:font>
    <x:font>
      <x:b/>
      <x:sz val="10"/>
      <x:color rgb="FFBE5555"/>
      <x:name val="Arial"/>
    </x:font>
    <x:font>
      <x:sz val="11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955"/>
      </x:patternFill>
    </x:fill>
    <x:fill>
      <x:patternFill patternType="solid">
        <x:fgColor rgb="FFEEF2F7"/>
      </x:patternFill>
    </x:fill>
    <x:fill>
      <x:patternFill patternType="solid">
        <x:fgColor rgb="FFFFF4C9"/>
      </x:patternFill>
    </x:fill>
  </x:fills>
  <x:borders count="3">
    <x:border/>
    <x:border>
      <x:bottom style="thin">
        <x:color rgb="FFD7DFE7"/>
      </x:bottom>
    </x:border>
    <x:border>
      <x:right style="thin">
        <x:color rgb="FFD7DFE7"/>
      </x:right>
    </x:border>
  </x:borders>
  <x:cellStyleXfs count="1">
    <x:xf numFmtId="0" fontId="0" fillId="0" borderId="0"/>
  </x:cellStyleXfs>
  <x:cellXfs count="19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3" fontId="1" fillId="3" borderId="0" xfId="0" applyNumberFormat="1" applyFont="1" applyFill="1" applyBorder="1"/>
    <x:xf numFmtId="204" fontId="1" fillId="3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1" fontId="4" fillId="0" borderId="0" xfId="0" applyNumberFormat="1" applyFont="1" applyFill="1" applyBorder="1"/>
    <x:xf numFmtId="203" fontId="4" fillId="0" borderId="0" xfId="0" applyNumberFormat="1" applyFont="1" applyFill="1" applyBorder="1"/>
    <x:xf numFmtId="200" fontId="5" fillId="0" borderId="0" xfId="0" applyNumberFormat="1" applyFont="1" applyFill="1" applyBorder="1"/>
    <x:xf numFmtId="203" fontId="6" fillId="0" borderId="0" xfId="0" applyNumberFormat="1" applyFont="1" applyFill="1" applyBorder="1"/>
    <x:xf numFmtId="203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2" fillId="0" borderId="1" xfId="0" applyNumberFormat="1" applyFont="1" applyFill="1" applyBorder="1"/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8" fillId="2" borderId="0" xfId="0" applyNumberFormat="1" applyFont="1" applyFill="1" applyBorder="1"/>
    <x:xf numFmtId="0" fontId="8" fillId="3" borderId="0" xfId="0" applyNumberFormat="1" applyFont="1" applyFill="1" applyBorder="1"/>
    <x:xf numFmtId="0" fontId="0" fillId="3" borderId="0" xfId="0" applyNumberFormat="1" applyFont="1" applyFill="1" applyBorder="1"/>
    <x:xf numFmtId="203" fontId="8" fillId="3" borderId="0" xfId="0" applyNumberFormat="1" applyFont="1" applyFill="1" applyBorder="1"/>
    <x:xf numFmtId="203" fontId="0" fillId="3" borderId="0" xfId="0" applyNumberFormat="1" applyFont="1" applyFill="1" applyBorder="1"/>
    <x:xf numFmtId="0" fontId="10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202" fontId="8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8" fillId="0" borderId="0" xfId="0" applyNumberFormat="1" applyFont="1" applyFill="1" applyBorder="1"/>
    <x:xf numFmtId="205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8" fillId="4" borderId="0" xfId="0" applyNumberFormat="1" applyFont="1" applyFill="1" applyBorder="1"/>
    <x:xf numFmtId="0" fontId="8" fillId="4" borderId="0" xfId="0" applyNumberFormat="1" applyFont="1" applyFill="1" applyBorder="1"/>
    <x:xf numFmtId="201" fontId="8" fillId="4" borderId="0" xfId="0" applyNumberFormat="1" applyFont="1" applyFill="1" applyBorder="1"/>
    <x:xf numFmtId="205" fontId="8" fillId="4" borderId="0" xfId="0" applyNumberFormat="1" applyFont="1" applyFill="1" applyBorder="1"/>
    <x:xf numFmtId="0" fontId="8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8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3" fillId="4" borderId="0" xfId="0" applyNumberFormat="1" applyFont="1" applyFill="1" applyBorder="1"/>
    <x:xf numFmtId="0" fontId="13" fillId="4" borderId="0" xfId="0" applyNumberFormat="1" applyFont="1" applyFill="1" applyBorder="1"/>
    <x:xf numFmtId="201" fontId="13" fillId="4" borderId="0" xfId="0" applyNumberFormat="1" applyFont="1" applyFill="1" applyBorder="1"/>
    <x:xf numFmtId="205" fontId="13" fillId="4" borderId="0" xfId="0" applyNumberFormat="1" applyFont="1" applyFill="1" applyBorder="1"/>
    <x:xf numFmtId="0" fontId="13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13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8" fillId="3" borderId="0" xfId="0" applyNumberFormat="1" applyFont="1" applyFill="1" applyBorder="1"/>
    <x:xf numFmtId="201" fontId="8" fillId="3" borderId="0" xfId="0" applyNumberFormat="1" applyFont="1" applyFill="1" applyBorder="1"/>
    <x:xf numFmtId="205" fontId="8" fillId="3" borderId="0" xfId="0" applyNumberFormat="1" applyFont="1" applyFill="1" applyBorder="1"/>
    <x:xf numFmtId="0" fontId="8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8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0" borderId="0" xfId="0" applyNumberFormat="1" applyFont="1" applyFill="1" applyBorder="1"/>
    <x:xf numFmtId="0" fontId="15" fillId="0" borderId="0" xfId="0" applyNumberFormat="1" applyFont="1" applyFill="1" applyBorder="1"/>
    <x:xf numFmtId="200" fontId="15" fillId="0" borderId="0" xfId="0" applyNumberFormat="1" applyFont="1" applyFill="1" applyBorder="1"/>
    <x:xf numFmtId="204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7" fillId="0" borderId="0" xfId="0" applyNumberFormat="1" applyFont="1" applyFill="1" applyBorder="1"/>
    <x:xf numFmtId="206" fontId="6" fillId="0" borderId="0" xfId="0" applyNumberFormat="1" applyFont="1" applyFill="1" applyBorder="1"/>
    <x:xf numFmtId="201" fontId="6" fillId="0" borderId="0" xfId="0" applyNumberFormat="1" applyFont="1" applyFill="1" applyBorder="1"/>
    <x:xf numFmtId="207" fontId="6" fillId="0" borderId="0" xfId="0" applyNumberFormat="1" applyFont="1" applyFill="1" applyBorder="1"/>
    <x:xf numFmtId="206" fontId="7" fillId="0" borderId="0" xfId="0" applyNumberFormat="1" applyFont="1" applyFill="1" applyBorder="1"/>
    <x:xf numFmtId="203" fontId="6" fillId="0" borderId="0" xfId="0" applyNumberFormat="1" applyFont="1" applyFill="1" applyBorder="1" applyAlignment="1">
      <x:alignment wrapText="1"/>
    </x:xf>
    <x:xf numFmtId="201" fontId="15" fillId="0" borderId="0" xfId="0" applyNumberFormat="1" applyFont="1" applyFill="1" applyBorder="1"/>
    <x:xf numFmtId="200" fontId="8" fillId="0" borderId="0" xfId="0" applyNumberFormat="1" applyFont="1" applyFill="1" applyBorder="1"/>
    <x:xf numFmtId="208" fontId="8" fillId="0" borderId="0" xfId="0" applyNumberFormat="1" applyFont="1" applyFill="1" applyBorder="1"/>
    <x:xf numFmtId="201" fontId="12" fillId="0" borderId="0" xfId="0" applyNumberFormat="1" applyFont="1" applyFill="1" applyBorder="1"/>
    <x:xf numFmtId="200" fontId="0" fillId="0" borderId="0" xfId="0" applyNumberFormat="1" applyFont="1" applyFill="1" applyBorder="1"/>
    <x:xf numFmtId="200" fontId="12" fillId="0" borderId="0" xfId="0" applyNumberFormat="1" applyFont="1" applyFill="1" applyBorder="1"/>
    <x:xf numFmtId="200" fontId="7" fillId="0" borderId="0" xfId="0" applyNumberFormat="1" applyFont="1" applyFill="1" applyBorder="1"/>
    <x:xf numFmtId="209" fontId="3" fillId="2" borderId="0" xfId="0" applyNumberFormat="1" applyFont="1" applyFill="1" applyBorder="1" applyAlignment="1">
      <x:alignment vertical="center" wrapText="1"/>
    </x:xf>
    <x:xf numFmtId="21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1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8" fillId="3" borderId="0" xfId="0" applyNumberFormat="1" applyFont="1" applyFill="1" applyBorder="1"/>
    <x:xf numFmtId="210" fontId="8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200" fontId="6" fillId="3" borderId="0" xfId="0" applyNumberFormat="1" applyFont="1" applyFill="1" applyBorder="1"/>
    <x:xf numFmtId="201" fontId="0" fillId="3" borderId="0" xfId="0" applyNumberFormat="1" applyFont="1" applyFill="1" applyBorder="1" applyAlignment="1">
      <x:alignment wrapText="1"/>
    </x:xf>
    <x:xf numFmtId="211" fontId="6" fillId="0" borderId="0" xfId="0" applyNumberFormat="1" applyFont="1" applyFill="1" applyBorder="1"/>
    <x:xf numFmtId="211" fontId="8" fillId="3" borderId="0" xfId="0" applyNumberFormat="1" applyFont="1" applyFill="1" applyBorder="1"/>
    <x:xf numFmtId="211" fontId="0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201" fontId="0" fillId="3" borderId="0" xfId="0" applyNumberFormat="1" applyFont="1" applyFill="1" applyBorder="1"/>
    <x:xf numFmtId="200" fontId="15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11" fontId="6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12" fontId="8" fillId="0" borderId="0" xfId="0" applyNumberFormat="1" applyFont="1" applyFill="1" applyBorder="1"/>
    <x:xf numFmtId="200" fontId="6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3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/>
    <x:xf numFmtId="0" fontId="17" fillId="0" borderId="0" xfId="0" applyNumberFormat="1" applyFont="1" applyFill="1" applyBorder="1"/>
    <x:xf numFmtId="0" fontId="18" fillId="0" borderId="0" xfId="0" applyNumberFormat="1" applyFont="1" applyFill="1" applyBorder="1"/>
    <x:xf numFmtId="0" fontId="19" fillId="0" borderId="0" xfId="0" applyNumberFormat="1" applyFont="1" applyFill="1" applyBorder="1"/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2" fillId="0" borderId="0" xfId="0" applyNumberFormat="1" applyFont="1" applyFill="1" applyBorder="1"/>
    <x:xf numFmtId="0" fontId="23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top"/>
    </x:xf>
    <x:xf numFmtId="200" fontId="6" fillId="3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 wrapText="1"/>
    </x:xf>
    <x:xf numFmtId="201" fontId="0" fillId="3" borderId="0" xfId="0" applyNumberFormat="1" applyFont="1" applyFill="1" applyBorder="1" applyAlignment="1">
      <x:alignment vertical="top" wrapText="1"/>
    </x:xf>
    <x:xf numFmtId="211" fontId="6" fillId="0" borderId="0" xfId="0" applyNumberFormat="1" applyFont="1" applyFill="1" applyBorder="1" applyAlignment="1">
      <x:alignment vertical="top"/>
    </x:xf>
    <x:xf numFmtId="200" fontId="7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213" fontId="6" fillId="0" borderId="0" xfId="0" applyNumberFormat="1" applyFont="1" applyFill="1" applyBorder="1" applyAlignment="1">
      <x:alignment wrapText="1"/>
    </x:xf>
    <x:xf numFmtId="214" fontId="6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center" wrapText="1"/>
    </x:xf>
    <x:xf numFmtId="214" fontId="6" fillId="0" borderId="0" xfId="0" applyNumberFormat="1" applyFont="1" applyFill="1" applyBorder="1" applyAlignment="1">
      <x:alignment horizontal="center" wrapText="1"/>
    </x:xf>
    <x:xf numFmtId="211" fontId="6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201" fontId="6" fillId="0" borderId="0" xfId="0" applyNumberFormat="1" applyFont="1" applyFill="1" applyBorder="1" applyAlignment="1">
      <x:alignment horizontal="center" wrapText="1"/>
    </x:xf>
    <x:xf numFmtId="213" fontId="6" fillId="0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wrapText="1"/>
    </x:xf>
    <x:xf numFmtId="0" fontId="8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horizontal="center" wrapText="1"/>
    </x:xf>
    <x:xf numFmtId="214" fontId="6" fillId="0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wrapText="1"/>
    </x:xf>
    <x:xf numFmtId="201" fontId="6" fillId="0" borderId="2" xfId="0" applyNumberFormat="1" applyFont="1" applyFill="1" applyBorder="1" applyAlignment="1">
      <x:alignment horizontal="center" wrapText="1"/>
    </x:xf>
    <x:xf numFmtId="213" fontId="6" fillId="0" borderId="2" xfId="0" applyNumberFormat="1" applyFont="1" applyFill="1" applyBorder="1" applyAlignment="1">
      <x:alignment horizontal="center" wrapText="1"/>
    </x:xf>
    <x:xf numFmtId="211" fontId="6" fillId="0" borderId="2" xfId="0" applyNumberFormat="1" applyFont="1" applyFill="1" applyBorder="1" applyAlignment="1">
      <x:alignment horizontal="center" wrapText="1"/>
    </x:xf>
    <x:xf numFmtId="201" fontId="0" fillId="0" borderId="2" xfId="0" applyNumberFormat="1" applyFont="1" applyFill="1" applyBorder="1" applyAlignment="1">
      <x:alignment horizontal="center" wrapText="1"/>
    </x:xf>
    <x:xf numFmtId="212" fontId="8" fillId="0" borderId="2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24" fillId="0" borderId="0" xfId="0" applyNumberFormat="1" applyFont="1" applyFill="1" applyBorder="1"/>
    <x:xf numFmtId="0" fontId="24" fillId="0" borderId="2" xfId="0" applyNumberFormat="1" applyFont="1" applyFill="1" applyBorder="1" applyAlignment="1">
      <x:alignment wrapText="1"/>
    </x:xf>
    <x:xf numFmtId="214" fontId="15" fillId="0" borderId="2" xfId="0" applyNumberFormat="1" applyFont="1" applyFill="1" applyBorder="1" applyAlignment="1">
      <x:alignment horizontal="center" wrapText="1"/>
    </x:xf>
    <x:xf numFmtId="211" fontId="15" fillId="0" borderId="2" xfId="0" applyNumberFormat="1" applyFont="1" applyFill="1" applyBorder="1" applyAlignment="1">
      <x:alignment horizontal="center" wrapText="1"/>
    </x:xf>
    <x:xf numFmtId="0" fontId="24" fillId="0" borderId="0" xfId="0" applyNumberFormat="1" applyFont="1" applyFill="1" applyBorder="1" applyAlignment="1">
      <x:alignment wrapText="1"/>
    </x:xf>
    <x:xf numFmtId="0" fontId="24" fillId="0" borderId="2" xfId="0" applyNumberFormat="1" applyFont="1" applyFill="1" applyBorder="1" applyAlignment="1">
      <x:alignment horizontal="center" wrapText="1"/>
    </x:xf>
    <x:xf numFmtId="201" fontId="15" fillId="0" borderId="2" xfId="0" applyNumberFormat="1" applyFont="1" applyFill="1" applyBorder="1" applyAlignment="1">
      <x:alignment horizontal="center" wrapText="1"/>
    </x:xf>
    <x:xf numFmtId="213" fontId="15" fillId="0" borderId="2" xfId="0" applyNumberFormat="1" applyFont="1" applyFill="1" applyBorder="1" applyAlignment="1">
      <x:alignment horizontal="center" wrapText="1"/>
    </x:xf>
    <x:xf numFmtId="201" fontId="24" fillId="0" borderId="2" xfId="0" applyNumberFormat="1" applyFont="1" applyFill="1" applyBorder="1" applyAlignment="1">
      <x:alignment horizontal="center" wrapText="1"/>
    </x:xf>
    <x:xf numFmtId="0" fontId="24" fillId="0" borderId="0" xfId="0" applyNumberFormat="1" applyFont="1" applyFill="1" applyBorder="1" applyAlignment="1">
      <x:alignment horizontal="center"/>
    </x:xf>
    <x:xf numFmtId="0" fontId="15" fillId="0" borderId="0" xfId="0" applyNumberFormat="1" applyFont="1" applyFill="1" applyBorder="1" applyAlignment="1">
      <x:alignment horizontal="center" wrapText="1"/>
    </x:xf>
    <x:xf numFmtId="0" fontId="24" fillId="0" borderId="0" xfId="0" applyNumberFormat="1" applyFont="1" applyFill="1" applyBorder="1" applyAlignment="1">
      <x:alignment horizontal="center" wrapText="1"/>
    </x:xf>
    <x:xf numFmtId="201" fontId="15" fillId="0" borderId="0" xfId="0" applyNumberFormat="1" applyFont="1" applyFill="1" applyBorder="1" applyAlignment="1">
      <x:alignment horizontal="center" wrapText="1"/>
    </x:xf>
    <x:xf numFmtId="201" fontId="24" fillId="0" borderId="0" xfId="0" applyNumberFormat="1" applyFont="1" applyFill="1" applyBorder="1"/>
    <x:xf numFmtId="201" fontId="24" fillId="3" borderId="0" xfId="0" applyNumberFormat="1" applyFont="1" applyFill="1" applyBorder="1"/>
    <x:xf numFmtId="0" fontId="24" fillId="3" borderId="0" xfId="0" applyNumberFormat="1" applyFont="1" applyFill="1" applyBorder="1"/>
    <x:xf numFmtId="200" fontId="24" fillId="3" borderId="0" xfId="0" applyNumberFormat="1" applyFont="1" applyFill="1" applyBorder="1"/>
    <x:xf numFmtId="204" fontId="15" fillId="0" borderId="0" xfId="0" applyNumberFormat="1" applyFont="1" applyFill="1" applyBorder="1"/>
    <x:xf numFmtId="0" fontId="24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15" fillId="0" borderId="0" xfId="0" applyNumberFormat="1" applyFont="1" applyFill="1" applyBorder="1"/>
    <x:xf numFmtId="203" fontId="15" fillId="0" borderId="0" xfId="0" applyNumberFormat="1" applyFont="1" applyFill="1" applyBorder="1"/>
    <x:xf numFmtId="201" fontId="15" fillId="0" borderId="0" xfId="0" applyNumberFormat="1" applyFont="1" applyFill="1" applyBorder="1" applyAlignment="1">
      <x:alignment wrapText="1"/>
    </x:xf>
    <x:xf numFmtId="203" fontId="12" fillId="0" borderId="0" xfId="0" applyNumberFormat="1" applyFont="1" applyFill="1" applyBorder="1"/>
    <x:xf numFmtId="207" fontId="15" fillId="0" borderId="0" xfId="0" applyNumberFormat="1" applyFont="1" applyFill="1" applyBorder="1"/>
    <x:xf numFmtId="206" fontId="12" fillId="0" borderId="0" xfId="0" applyNumberFormat="1" applyFont="1" applyFill="1" applyBorder="1"/>
    <x:xf numFmtId="214" fontId="15" fillId="0" borderId="0" xfId="0" applyNumberFormat="1" applyFont="1" applyFill="1" applyBorder="1" applyAlignment="1">
      <x:alignment wrapText="1"/>
    </x:xf>
    <x:xf numFmtId="203" fontId="24" fillId="3" borderId="0" xfId="0" applyNumberFormat="1" applyFont="1" applyFill="1" applyBorder="1"/>
    <x:xf numFmtId="0" fontId="25" fillId="0" borderId="0" xfId="0" applyNumberFormat="1" applyFont="1" applyFill="1" applyBorder="1"/>
    <x:xf numFmtId="200" fontId="24" fillId="0" borderId="0" xfId="0" applyNumberFormat="1" applyFont="1" applyFill="1" applyBorder="1"/>
    <x:xf numFmtId="0" fontId="24" fillId="3" borderId="0" xfId="0" applyNumberFormat="1" applyFont="1" applyFill="1" applyBorder="1" applyAlignment="1">
      <x:alignment vertical="top"/>
    </x:xf>
    <x:xf numFmtId="200" fontId="15" fillId="3" borderId="0" xfId="0" applyNumberFormat="1" applyFont="1" applyFill="1" applyBorder="1" applyAlignment="1">
      <x:alignment vertical="top"/>
    </x:xf>
    <x:xf numFmtId="0" fontId="24" fillId="3" borderId="0" xfId="0" applyNumberFormat="1" applyFont="1" applyFill="1" applyBorder="1" applyAlignment="1">
      <x:alignment vertical="top" wrapText="1"/>
    </x:xf>
    <x:xf numFmtId="201" fontId="24" fillId="3" borderId="0" xfId="0" applyNumberFormat="1" applyFont="1" applyFill="1" applyBorder="1" applyAlignment="1">
      <x:alignment vertical="top" wrapText="1"/>
    </x:xf>
    <x:xf numFmtId="211" fontId="15" fillId="0" borderId="0" xfId="0" applyNumberFormat="1" applyFont="1" applyFill="1" applyBorder="1" applyAlignment="1">
      <x:alignment vertical="top"/>
    </x:xf>
    <x:xf numFmtId="200" fontId="12" fillId="0" borderId="0" xfId="0" applyNumberFormat="1" applyFont="1" applyFill="1" applyBorder="1" applyAlignment="1">
      <x:alignment vertical="top"/>
    </x:xf>
    <x:xf numFmtId="200" fontId="15" fillId="0" borderId="0" xfId="0" applyNumberFormat="1" applyFont="1" applyFill="1" applyBorder="1" applyAlignment="1">
      <x:alignment vertical="top"/>
    </x:xf>
    <x:xf numFmtId="0" fontId="12" fillId="0" borderId="0" xfId="0" applyNumberFormat="1" applyFont="1" applyFill="1" applyBorder="1" applyAlignment="1">
      <x:alignment vertical="top"/>
    </x:xf>
    <x:xf numFmtId="0" fontId="24" fillId="0" borderId="0" xfId="0" applyNumberFormat="1" applyFont="1" applyFill="1" applyBorder="1" applyAlignment="1">
      <x:alignment vertical="top"/>
    </x:xf>
    <x:xf numFmtId="211" fontId="24" fillId="3" borderId="0" xfId="0" applyNumberFormat="1" applyFont="1" applyFill="1" applyBorder="1"/>
    <x:xf numFmtId="0" fontId="24" fillId="3" borderId="0" xfId="0" applyNumberFormat="1" applyFont="1" applyFill="1" applyBorder="1" applyAlignment="1">
      <x:alignment wrapText="1"/>
    </x:xf>
    <x:xf numFmtId="213" fontId="15" fillId="0" borderId="0" xfId="0" applyNumberFormat="1" applyFont="1" applyFill="1" applyBorder="1" applyAlignment="1">
      <x:alignment wrapText="1"/>
    </x:xf>
    <x:xf numFmtId="211" fontId="15" fillId="0" borderId="0" xfId="0" applyNumberFormat="1" applyFont="1" applyFill="1" applyBorder="1" applyAlignment="1">
      <x:alignment wrapText="1"/>
    </x:xf>
    <x:xf numFmtId="204" fontId="15" fillId="0" borderId="0" xfId="0" applyNumberFormat="1" applyFont="1" applyFill="1" applyBorder="1" applyAlignment="1">
      <x:alignment wrapText="1"/>
    </x:xf>
    <x:xf numFmtId="200" fontId="24" fillId="0" borderId="0" xfId="0" applyNumberFormat="1" applyFont="1" applyFill="1" applyBorder="1" applyAlignment="1">
      <x:alignment wrapText="1"/>
    </x:xf>
    <x:xf numFmtId="0" fontId="2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8" fontId="12" fillId="0" borderId="0" xfId="0" applyNumberFormat="1" applyFont="1" applyFill="1" applyBorder="1"/>
    <x:xf numFmtId="212" fontId="15" fillId="0" borderId="0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FCE6DF"/>
        </x:patternFill>
      </x:fill>
    </x:dxf>
    <x:dxf>
      <x:fill>
        <x:patternFill patternType="solid">
          <x:bgColor rgb="FFFFF1DD"/>
        </x:patternFill>
      </x:fill>
    </x:dxf>
    <x:dxf>
      <x:fill>
        <x:patternFill patternType="solid">
          <x:bgColor rgb="FFFCE6DF"/>
        </x:patternFill>
      </x:fill>
    </x:dxf>
    <x:dxf>
      <x:fill>
        <x:patternFill patternType="solid">
          <x:bgColor rgb="FFFFF1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73885a7ed49d7" /><Relationship Type="http://schemas.openxmlformats.org/officeDocument/2006/relationships/theme" Target="/xl/theme/theme1.xml" Id="R83cabd9c1d934d04" /><Relationship Type="http://schemas.microsoft.com/office/2022/11/relationships/FeaturePropertyBag" Target="/xl/featurePropertyBag/featurePropertyBag.xml" Id="R98d6f15a874a41b2" /><Relationship Type="http://schemas.openxmlformats.org/officeDocument/2006/relationships/sharedStrings" Target="/xl/sharedStrings.xml" Id="R859cf4d522584d2a" /><Relationship Type="http://schemas.openxmlformats.org/officeDocument/2006/relationships/worksheet" Target="/xl/worksheets/sheet1.xml" Id="Rf4759c2a0f1e430d" /><Relationship Type="http://schemas.openxmlformats.org/officeDocument/2006/relationships/worksheet" Target="/xl/worksheets/sheet2.xml" Id="R4fdafa94b66742c8" /><Relationship Type="http://schemas.openxmlformats.org/officeDocument/2006/relationships/worksheet" Target="/xl/worksheets/sheet3.xml" Id="R123c1a7fd7c44156" /><Relationship Type="http://schemas.openxmlformats.org/officeDocument/2006/relationships/worksheet" Target="/xl/worksheets/sheet4.xml" Id="Ra1ae1ce8c1ed422c" /><Relationship Type="http://schemas.openxmlformats.org/officeDocument/2006/relationships/worksheet" Target="/xl/worksheets/sheet5.xml" Id="Raf1273f6bc6142bc" /><Relationship Type="http://schemas.openxmlformats.org/officeDocument/2006/relationships/worksheet" Target="/xl/worksheets/sheet6.xml" Id="Rcd580740e7b04dd3" /><Relationship Type="http://schemas.openxmlformats.org/officeDocument/2006/relationships/worksheet" Target="/xl/worksheets/sheet7.xml" Id="R8860f04494e24a77" /><Relationship Type="http://schemas.openxmlformats.org/officeDocument/2006/relationships/worksheet" Target="/xl/worksheets/sheet8.xml" Id="R82c8a12c4b6444d5" /><Relationship Type="http://schemas.openxmlformats.org/officeDocument/2006/relationships/worksheet" Target="/xl/worksheets/sheet9.xml" Id="R78e3876085d24f82" /><Relationship Type="http://schemas.openxmlformats.org/officeDocument/2006/relationships/worksheet" Target="/xl/worksheets/sheet10.xml" Id="Rcaf4cdddfe2c4af9" /><Relationship Type="http://schemas.openxmlformats.org/officeDocument/2006/relationships/worksheet" Target="/xl/worksheets/sheet11.xml" Id="R3e72f80787974ac8" /><Relationship Type="http://schemas.openxmlformats.org/officeDocument/2006/relationships/worksheet" Target="/xl/worksheets/sheet12.xml" Id="R19d64cfd55844864" /><Relationship Type="http://schemas.openxmlformats.org/officeDocument/2006/relationships/worksheet" Target="/xl/worksheets/sheet13.xml" Id="R8abb16d1f94143d1" /><Relationship Type="http://schemas.openxmlformats.org/officeDocument/2006/relationships/worksheet" Target="/xl/worksheets/sheet14.xml" Id="Rf87b111663d24069" /><Relationship Type="http://schemas.openxmlformats.org/officeDocument/2006/relationships/worksheet" Target="/xl/worksheets/sheet15.xml" Id="R01a185238da54c2b" /><Relationship Type="http://schemas.openxmlformats.org/officeDocument/2006/relationships/worksheet" Target="/xl/worksheets/sheet16.xml" Id="Rdcc65fd78c074266" /><Relationship Type="http://schemas.openxmlformats.org/officeDocument/2006/relationships/worksheet" Target="/xl/worksheets/sheet17.xml" Id="R43bc9c4c0f7e4607" /><Relationship Type="http://schemas.openxmlformats.org/officeDocument/2006/relationships/worksheet" Target="/xl/worksheets/sheet18.xml" Id="Re25733ea79114e9e" /><Relationship Type="http://schemas.openxmlformats.org/officeDocument/2006/relationships/worksheet" Target="/xl/worksheets/sheet19.xml" Id="R97bb34388a404510" /><Relationship Type="http://schemas.openxmlformats.org/officeDocument/2006/relationships/worksheet" Target="/xl/worksheets/sheet20.xml" Id="Ra14311157b574c69" /><Relationship Type="http://schemas.openxmlformats.org/officeDocument/2006/relationships/worksheet" Target="/xl/worksheets/sheet21.xml" Id="R0e0b6a386de442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bd57ec17204de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Largest Industries (% of Par)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Share</c:v>
          </c:tx>
          <c:cat>
            <c:strRef>
              <c:f>'Portfolio Calc'!$G$8:$G$17</c:f>
              <c:strCache>
                <c:ptCount val="0"/>
              </c:strCache>
            </c:strRef>
          </c:cat>
          <c:val>
            <c:numRef>
              <c:f>'Portfolio Calc'!$I$8:$I$17</c:f>
              <c:numCache>
                <c:formatCode>0.0%;(0.0%);"-"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6</xdr:row>
      <xdr:rowOff>0</xdr:rowOff>
    </xdr:from>
    <xdr:to>
      <xdr:col>19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bd57ec17204de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ortfolioData" displayName="PortfolioData" ref="A7:AB289" headerRowCount="1" totalsRowCount="0" totalsRowShown="0">
  <x:tableColumns count="28">
    <x:tableColumn id="1" name="instrument_id"/>
    <x:tableColumn id="2" name="obligor_id"/>
    <x:tableColumn id="3" name="obligor_name"/>
    <x:tableColumn id="4" name="par"/>
    <x:tableColumn id="5" name="sp_rating"/>
    <x:tableColumn id="6" name="sp_industry"/>
    <x:tableColumn id="7" name="country"/>
    <x:tableColumn id="8" name="seniority"/>
    <x:tableColumn id="9" name="rate_type"/>
    <x:tableColumn id="10" name="spread_bps"/>
    <x:tableColumn id="11" name="fixed_coupon_rate"/>
    <x:tableColumn id="12" name="floor_bps"/>
    <x:tableColumn id="13" name="maturity_date"/>
    <x:tableColumn id="14" name="recovery_aaa"/>
    <x:tableColumn id="15" name="price"/>
    <x:tableColumn id="16" name="payment_frequency"/>
    <x:tableColumn id="17" name="currency"/>
    <x:tableColumn id="18" name="benchmark"/>
    <x:tableColumn id="19" name="weight"/>
    <x:tableColumn id="20" name="term_years"/>
    <x:tableColumn id="21" name="floating_par_x_spread"/>
    <x:tableColumn id="22" name="par_x_recovery"/>
    <x:tableColumn id="23" name="input_changes"/>
    <x:tableColumn id="24" name="duplicate_id"/>
    <x:tableColumn id="25" name="field_errors"/>
    <x:tableColumn id="26" name="SP_rating_factor"/>
    <x:tableColumn id="27" name="par_x_SP_factor"/>
    <x:tableColumn id="28" name="par_x_SP_abs_devi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FitchFacilityData" displayName="FitchFacilityData" ref="A7:O289" headerRowCount="1" totalsRowCount="0" totalsRowShown="0">
  <x:tableColumns count="15">
    <x:tableColumn id="1" name="Facility ID"/>
    <x:tableColumn id="2" name="Par (shared)"/>
    <x:tableColumn id="3" name="Fitch IDR input"/>
    <x:tableColumn id="4" name="Rating basis"/>
    <x:tableColumn id="5" name="Fitch industry"/>
    <x:tableColumn id="6" name="Fitch recovery"/>
    <x:tableColumn id="7" name="Recovery basis"/>
    <x:tableColumn id="8" name="Source reference"/>
    <x:tableColumn id="9" name="Fitch rating factor"/>
    <x:tableColumn id="10" name="Par × factor"/>
    <x:tableColumn id="11" name="Par × recovery"/>
    <x:tableColumn id="12" name="Missing rating par"/>
    <x:tableColumn id="13" name="Missing recovery par"/>
    <x:tableColumn id="14" name="Changed cells"/>
    <x:tableColumn id="15" name="Missing industry pa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StressResults" displayName="StressResults" ref="A7:S2779" headerRowCount="1" totalsRowCount="0" totalsRowShown="0">
  <x:tableColumns count="19">
    <x:tableColumn id="1" name="senior_pct"/>
    <x:tableColumn id="2" name="scenario_id"/>
    <x:tableColumn id="3" name="target_default_rate"/>
    <x:tableColumn id="4" name="realized_default_rate"/>
    <x:tableColumn id="5" name="default_target_attained"/>
    <x:tableColumn id="6" name="senior_pass"/>
    <x:tableColumn id="7" name="senior_timely_interest_shortfall"/>
    <x:tableColumn id="8" name="senior_principal_shortfall"/>
    <x:tableColumn id="9" name="junior_interest_arrears"/>
    <x:tableColumn id="10" name="junior_principal_shortfall"/>
    <x:tableColumn id="11" name="equity_distributions"/>
    <x:tableColumn id="12" name="oc_breach_periods"/>
    <x:tableColumn id="13" name="ic_breach_periods"/>
    <x:tableColumn id="14" name="max_cash_residual"/>
    <x:tableColumn id="15" name="max_par_residual"/>
    <x:tableColumn id="16" name="max_priority_violation"/>
    <x:tableColumn id="17" name="accounting_valid"/>
    <x:tableColumn id="18" name="unallocated_defaults"/>
    <x:tableColumn id="19" name="stress_signatu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428a23a1e14d4d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207de52823ca4b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.xml" Id="R3ede40a849d5416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3.xml" Id="Rd2f7f1893cd04b97" /></Relationships>
</file>

<file path=xl/worksheets/sheet1.xml><?xml version="1.0" encoding="utf-8"?>
<x:worksheet xmlns:x="http://schemas.openxmlformats.org/spreadsheetml/2006/main">
  <x:sheetPr>
    <x:tabColor rgb="FF20395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5" hidden="0" customWidth="1"/>
    <x:col min="4" max="4" width="30" hidden="0" customWidth="1"/>
    <x:col min="5" max="5" width="100" hidden="0" customWidth="1"/>
  </x:cols>
  <x:sheetData>
    <x:row r="1">
      <x:c r="A1" s="23"/>
      <x:c r="B1" s="23"/>
      <x:c r="C1" s="110" t="str">
        <x:v>Guide</x:v>
      </x:c>
      <x:c r="D1" s="23"/>
      <x:c r="E1" s="23"/>
    </x:row>
    <x:row r="2">
      <x:c r="A2" s="23"/>
      <x:c r="B2" s="23"/>
      <x:c r="C2" s="24" t="str">
        <x:v>Start Here</x:v>
      </x:c>
      <x:c r="D2" s="25"/>
      <x:c r="E2" s="25"/>
    </x:row>
    <x:row r="3" ht="22" customHeight="1">
      <x:c r="A3" s="23"/>
      <x:c r="B3" s="23"/>
      <x:c r="C3" s="26" t="str">
        <x:v>Version 0.2.0 — one portfolio, distinct S&amp;P and Fitch calculations, explicit development assumptions.</x:v>
      </x:c>
      <x:c r="D3" s="23"/>
      <x:c r="E3" s="23"/>
    </x:row>
    <x:row r="4">
      <x:c r="A4" s="23"/>
      <x:c r="B4" s="23"/>
      <x:c r="C4" s="23"/>
      <x:c r="D4" s="23"/>
      <x:c r="E4" s="23"/>
    </x:row>
    <x:row r="5">
      <x:c r="A5" s="23"/>
      <x:c r="B5" s="23"/>
      <x:c r="C5" s="23"/>
      <x:c r="D5" s="23"/>
      <x:c r="E5" s="23"/>
    </x:row>
    <x:row r="6">
      <x:c r="A6" s="23"/>
      <x:c r="B6" s="23"/>
      <x:c r="C6" s="23"/>
      <x:c r="D6" s="23"/>
      <x:c r="E6" s="23"/>
    </x:row>
    <x:row r="7" ht="38" customHeight="1">
      <x:c r="A7" s="23"/>
      <x:c r="B7" s="23"/>
      <x:c r="C7" s="7" t="str">
        <x:v>Step / topic</x:v>
      </x:c>
      <x:c r="D7" s="7" t="str">
        <x:v>Open or update</x:v>
      </x:c>
      <x:c r="E7" s="7" t="str">
        <x:v>What to do</x:v>
      </x:c>
    </x:row>
    <x:row r="8" ht="58" customHeight="1">
      <x:c r="A8" s="23"/>
      <x:c r="B8" s="23"/>
      <x:c r="C8" s="33" t="str">
        <x:v>1. Start with results</x:v>
      </x:c>
      <x:c r="D8" s="33" t="str">
        <x:v>Agency Comparison</x:v>
      </x:c>
      <x:c r="E8" s="33" t="str">
        <x:v>See the S&amp;P and Fitch columns together. Read the basis beside each metric. Missing / not calculated means further work is required; it is never a pass.</x:v>
      </x:c>
    </x:row>
    <x:row r="9" ht="58" customHeight="1">
      <x:c r="A9" s="150"/>
      <x:c r="B9" s="150"/>
      <x:c r="C9" s="33" t="str">
        <x:v>2. Supply the portfolio</x:v>
      </x:c>
      <x:c r="D9" s="33" t="str">
        <x:v>templates/portfolio_template.csv</x:v>
      </x:c>
      <x:c r="E9" s="33" t="str">
        <x:v>One row per facility; keep common obligor IDs consistent. See docs/data_dictionary.md. Replace the CSV, not rows inside Excel. Row counts resize automatically on rerun.</x:v>
      </x:c>
    </x:row>
    <x:row r="10" ht="58" customHeight="1">
      <x:c r="A10" s="150"/>
      <x:c r="B10" s="150"/>
      <x:c r="C10" s="33" t="str">
        <x:v>3. Supply Fitch inputs</x:v>
      </x:c>
      <x:c r="D10" s="33" t="str">
        <x:v>templates/fitch_inputs_template.csv</x:v>
      </x:c>
      <x:c r="E10" s="33" t="str">
        <x:v>Optional separate CSV, matched by instrument_id. Supply reviewed Fitch rating, rating basis, industry, recovery and source. Omit it for an S&amp;P-only run; Fitch then displays missing inputs.</x:v>
      </x:c>
    </x:row>
    <x:row r="11" ht="58" customHeight="1">
      <x:c r="A11" s="150"/>
      <x:c r="B11" s="150"/>
      <x:c r="C11" s="33" t="str">
        <x:v>4. Review deal assumptions</x:v>
      </x:c>
      <x:c r="D11" s="33" t="str">
        <x:v>Assumptions; config/model.json</x:v>
      </x:c>
      <x:c r="E11" s="33" t="str">
        <x:v>Confirm dates, coupons, fees, 64% senior / 26% junior / 10% equity, triggers, recoveries and reinvestment. The supplied terms and fictional development choices are labelled by row.</x:v>
      </x:c>
    </x:row>
    <x:row r="12" ht="58" customHeight="1">
      <x:c r="A12" s="150"/>
      <x:c r="B12" s="150"/>
      <x:c r="C12" s="33" t="str">
        <x:v>5. Review stress assumptions</x:v>
      </x:c>
      <x:c r="D12" s="33" t="str">
        <x:v>Stress Inputs</x:v>
      </x:c>
      <x:c r="E12" s="33" t="str">
        <x:v>Default timing is S&amp;P Table 20 informed. Rates, recovery lag and other deal controls are development assumptions. These cash flows do not implement a Fitch stress set.</x:v>
      </x:c>
    </x:row>
    <x:row r="13" ht="58" customHeight="1">
      <x:c r="A13" s="150"/>
      <x:c r="B13" s="150"/>
      <x:c r="C13" s="33" t="str">
        <x:v>6. Run the example</x:v>
      </x:c>
      <x:c r="D13" s="33" t="str">
        <x:v>From the package folder</x:v>
      </x:c>
      <x:c r="E13" s="33" t="str">
        <x:v>python -m clo --portfolio examples/example.csv --fitch-inputs examples/fitch_example.csv --config config/model.json --output examples/Example_CLO.xlsx</x:v>
      </x:c>
    </x:row>
    <x:row r="14" ht="58" customHeight="1">
      <x:c r="A14" s="150"/>
      <x:c r="B14" s="150"/>
      <x:c r="C14" s="33" t="str">
        <x:v>7. Replace and rerun</x:v>
      </x:c>
      <x:c r="D14" s="33" t="str">
        <x:v>Use your new CSV paths</x:v>
      </x:c>
      <x:c r="E14" s="33" t="str">
        <x:v>Change --portfolio and optional --fitch-inputs, then choose a fresh --output filename. See QUICK_START.md for the replacement example and the Windows launcher.</x:v>
      </x:c>
    </x:row>
    <x:row r="15" ht="58" customHeight="1">
      <x:c r="A15" s="150"/>
      <x:c r="B15" s="150"/>
      <x:c r="C15" s="33" t="str">
        <x:v>8. Check the run</x:v>
      </x:c>
      <x:c r="D15" s="33" t="str">
        <x:v>Checks</x:v>
      </x:c>
      <x:c r="E15" s="33" t="str">
        <x:v>Resolve input, reconciliation and formula errors before interpreting results. Unattained default targets cannot count as passes. A blank template shows NOT RUN.</x:v>
      </x:c>
    </x:row>
    <x:row r="16" ht="58" customHeight="1">
      <x:c r="A16" s="150"/>
      <x:c r="B16" s="150"/>
      <x:c r="C16" s="33" t="str">
        <x:v>9. Read the details</x:v>
      </x:c>
      <x:c r="D16" s="33" t="str">
        <x:v>Outputs; Sensitivity; Cash Flow Calc</x:v>
      </x:c>
      <x:c r="E16" s="33" t="str">
        <x:v>These are development cash-flow results. Review shortfalls, default target attainment and tested default brackets. An absence of shortfalls does not establish an agency rating.</x:v>
      </x:c>
    </x:row>
    <x:row r="17" ht="58" customHeight="1">
      <x:c r="A17" s="150"/>
      <x:c r="B17" s="150"/>
      <x:c r="C17" s="33" t="str">
        <x:v>10. Save Excel assumptions</x:v>
      </x:c>
      <x:c r="D17" s="33" t="str">
        <x:v>Blue cells; then --assumptions-from</x:v>
      </x:c>
      <x:c r="E17" s="33" t="str">
        <x:v>Edit designated Assumptions / Stress Inputs cells, save, and rerun with --assumptions-from your_saved_workbook.xlsx. This flag does not import Portfolio Inputs, Fitch Inputs or parameter-table edits.</x:v>
      </x:c>
    </x:row>
    <x:row r="18" ht="58" customHeight="1">
      <x:c r="A18" s="150"/>
      <x:c r="B18" s="150"/>
      <x:c r="C18" s="33" t="str">
        <x:v>Live Excel calculations</x:v>
      </x:c>
      <x:c r="D18" s="33" t="str">
        <x:v>Portfolio / agency / capital tabs</x:v>
      </x:c>
      <x:c r="E18" s="33" t="str">
        <x:v>Composition, grouping, SPWARF, S&amp;P dispersion, Fitch WARF/WARR, coverage and reconciliation formulas recalculate. Results retain their stated input basis.</x:v>
      </x:c>
    </x:row>
    <x:row r="19" ht="58" customHeight="1">
      <x:c r="A19" s="150"/>
      <x:c r="B19" s="150"/>
      <x:c r="C19" s="33" t="str">
        <x:v>Rerun-dependent results</x:v>
      </x:c>
      <x:c r="D19" s="33" t="str">
        <x:v>Grey source / Python cells</x:v>
      </x:c>
      <x:c r="E19" s="33" t="str">
        <x:v>Cash-flow simulations, sensitivities and selected concentration exposures reflect the last run. Input changes visibly flag REFRESH REQUIRED. Use automatic Excel calculation.</x:v>
      </x:c>
    </x:row>
    <x:row r="20" ht="58" customHeight="1">
      <x:c r="A20" s="150"/>
      <x:c r="B20" s="150"/>
      <x:c r="C20" s="33" t="str">
        <x:v>Preserve source changes</x:v>
      </x:c>
      <x:c r="D20" s="33" t="str">
        <x:v>Portfolio and Fitch source CSVs</x:v>
      </x:c>
      <x:c r="E20" s="33" t="str">
        <x:v>Editing imported Excel fields is temporary. To keep a source change, update the authoritative CSV and rerun. Parameter tables are versioned source constants, not assumption controls.</x:v>
      </x:c>
    </x:row>
    <x:row r="21" ht="58" customHeight="1">
      <x:c r="A21" s="150"/>
      <x:c r="B21" s="150"/>
      <x:c r="C21" s="33" t="str">
        <x:v>Agency metrics differ</x:v>
      </x:c>
      <x:c r="D21" s="33" t="str">
        <x:v>S&amp;P blue / Fitch purple tabs</x:v>
      </x:c>
      <x:c r="E21" s="33" t="str">
        <x:v>S&amp;P WARF and Fitch WARF use different scales. Supplied recovery_aaa is not Fitch WARR. An S&amp;P SDR and Fitch RDR/RLR require separate credit-model analysis.</x:v>
      </x:c>
    </x:row>
    <x:row r="22" ht="58" customHeight="1">
      <x:c r="A22" s="150"/>
      <x:c r="B22" s="150"/>
      <x:c r="C22" s="33" t="str">
        <x:v>Missing model components</x:v>
      </x:c>
      <x:c r="D22" s="33" t="str">
        <x:v>Gaps and Sources</x:v>
      </x:c>
      <x:c r="E22" s="33" t="str">
        <x:v>No S&amp;P or Fitch agency rating is produced. S&amp;P SDR and Fitch PCM outputs are missing; Fitch cash-flow rules and full S&amp;P stresses remain engineering / calibration work.</x:v>
      </x:c>
    </x:row>
    <x:row r="23" ht="58" customHeight="1">
      <x:c r="A23" s="150"/>
      <x:c r="B23" s="150"/>
      <x:c r="C23" s="33" t="str">
        <x:v>Fictional example basis</x:v>
      </x:c>
      <x:c r="D23" s="33" t="str">
        <x:v>Input provenance</x:v>
      </x:c>
      <x:c r="E23" s="33" t="str">
        <x:v>The 282-row sample comes from the supplied fictional workbook. Fitch rating equality proxies and first-lien recovery fallbacks are explicit development assumptions, not Fitch opinions.</x:v>
      </x:c>
    </x:row>
    <x:row r="24" ht="58" customHeight="1">
      <x:c r="A24" s="150"/>
      <x:c r="B24" s="150"/>
      <x:c r="C24" s="33" t="str">
        <x:v>Tab colours</x:v>
      </x:c>
      <x:c r="D24" s="33" t="str">
        <x:v>Purpose, not approval status</x:v>
      </x:c>
      <x:c r="E24" s="33" t="str">
        <x:v>Teal: combined / development outputs. Grey: shared portfolio and structure. Gold: deal inputs. Blue: S&amp;P. Purple: Fitch. Orange: development stresses / cash flows. Red: checks. Navy: guides.</x:v>
      </x:c>
    </x:row>
    <x:row r="25" ht="58" customHeight="1">
      <x:c r="A25" s="150"/>
      <x:c r="B25" s="150"/>
      <x:c r="C25" s="33" t="str">
        <x:v>Cell colours</x:v>
      </x:c>
      <x:c r="D25" s="33" t="str">
        <x:v>Source / input / formula</x:v>
      </x:c>
      <x:c r="E25" s="33" t="str">
        <x:v>Grey fill = source or Python value. Amber fill + blue font = editable assumption. Black = same-sheet formula; green = cross-sheet formula. Read labels as well as colours.</x:v>
      </x:c>
    </x:row>
    <x:row r="26" ht="58" customHeight="1">
      <x:c r="A26" s="150"/>
      <x:c r="B26" s="150"/>
      <x:c r="C26" s="33" t="str">
        <x:v>Local environment</x:v>
      </x:c>
      <x:c r="D26" s="33" t="str">
        <x:v>README.md setup</x:v>
      </x:c>
      <x:c r="E26" s="33" t="str">
        <x:v>Processing is local. Python and the Excel renderer must be provisioned in the approved FT environment. No real portfolio should leave that environment.</x:v>
      </x:c>
    </x:row>
    <x:row r="27" ht="58" customHeight="1">
      <x:c r="A27" s="150"/>
      <x:c r="B27" s="150"/>
      <x:c r="C27" s="33" t="str">
        <x:v>For a new LLM / maintainer</x:v>
      </x:c>
      <x:c r="D27" s="33" t="str">
        <x:v>docs/LLM_HANDOVER.md</x:v>
      </x:c>
      <x:c r="E27" s="33" t="str">
        <x:v>Read the handover, methodology register, input dictionaries and tests. It identifies the authoritative files, calculation ownership, unresolved work and validation procedure.</x:v>
      </x:c>
    </x:row>
    <x:row r="28" ht="58" customHeight="1">
      <x:c r="A28" s="150"/>
      <x:c r="B28" s="150"/>
      <x:c r="C28" s="33" t="str">
        <x:v>Run ID</x:v>
      </x:c>
      <x:c r="D28" s="33" t="str">
        <x:v>c31d923d2a5ee803</x:v>
      </x:c>
      <x:c r="E28" s="33" t="str">
        <x:v>Use this with the results JSON and validation report to identify the exact run.</x:v>
      </x:c>
    </x:row>
    <x:row r="29" ht="58" customHeight="1">
      <x:c r="A29" s="150"/>
      <x:c r="B29" s="150"/>
      <x:c r="C29" s="33" t="str">
        <x:v>Portfolio source</x:v>
      </x:c>
      <x:c r="D29" s="33" t="str">
        <x:v>example.csv</x:v>
      </x:c>
      <x:c r="E29" s="33" t="str">
        <x:v>4871e685880ab049e1bb5339e057537c3c152040d17e245b3fe9dca50e415af3</x:v>
      </x:c>
    </x:row>
    <x:row r="30" ht="58" customHeight="1">
      <x:c r="A30" s="150"/>
      <x:c r="B30" s="150"/>
      <x:c r="C30" s="33" t="str">
        <x:v>Fitch source</x:v>
      </x:c>
      <x:c r="D30" s="33" t="str">
        <x:v>fitch_example.csv</x:v>
      </x:c>
      <x:c r="E30" s="33" t="str">
        <x:v>607362bd925e9b831aee6cfba9d0499738cac10bfcb2e6b5dd8dbc9d160ba72b</x:v>
      </x:c>
    </x:row>
    <x:row r="31" ht="58" customHeight="1">
      <x:c r="A31" s="150"/>
      <x:c r="B31" s="150"/>
      <x:c r="C31" s="33" t="str">
        <x:v>Configuration / generated</x:v>
      </x:c>
      <x:c r="D31" s="33" t="str">
        <x:v>2026-09-21 18:41:58 UTC</x:v>
      </x:c>
      <x:c r="E31" s="33" t="str">
        <x:v>de8042790ba58de94e6c8c6096fead6bfce11b86527e27b1811866e1cb361949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67D8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2" hidden="0" customWidth="1"/>
    <x:col min="4" max="4" width="36" hidden="0" customWidth="1"/>
    <x:col min="5" max="5" width="36" hidden="0" customWidth="1"/>
    <x:col min="6" max="6" width="75" hidden="0" customWidth="1"/>
    <x:col min="7" max="7" width="29" hidden="0" customWidth="1"/>
  </x:cols>
  <x:sheetData>
    <x:row r="1">
      <x:c r="A1" s="23"/>
      <x:c r="B1" s="23"/>
      <x:c r="C1" s="111" t="str">
        <x:v>Combined output</x:v>
      </x:c>
      <x:c r="D1" s="23"/>
      <x:c r="E1" s="23"/>
      <x:c r="F1" s="23"/>
      <x:c r="G1" s="150"/>
      <x:c r="H1" s="150"/>
      <x:c r="I1" s="150"/>
      <x:c r="J1" s="150"/>
      <x:c r="K1" s="150"/>
      <x:c r="L1" s="150"/>
      <x:c r="M1" s="150"/>
    </x:row>
    <x:row r="2">
      <x:c r="A2" s="23"/>
      <x:c r="B2" s="23"/>
      <x:c r="C2" s="24" t="str">
        <x:v>S&amp;P And Fitch Comparison</x:v>
      </x:c>
      <x:c r="D2" s="25"/>
      <x:c r="E2" s="25"/>
      <x:c r="F2" s="25"/>
      <x:c r="G2" s="150"/>
      <x:c r="H2" s="150"/>
      <x:c r="I2" s="150"/>
      <x:c r="J2" s="150"/>
      <x:c r="K2" s="150"/>
      <x:c r="L2" s="150"/>
      <x:c r="M2" s="150"/>
    </x:row>
    <x:row r="3" ht="22" customHeight="1">
      <x:c r="A3" s="23"/>
      <x:c r="B3" s="23"/>
      <x:c r="C3" s="26" t="str">
        <x:v>Same portfolio and capital structure. Different credit metrics, stress conventions and outstanding requirements.</x:v>
      </x:c>
      <x:c r="D3" s="23"/>
      <x:c r="E3" s="23"/>
      <x:c r="F3" s="23"/>
      <x:c r="G3" s="150"/>
      <x:c r="H3" s="150"/>
      <x:c r="I3" s="150"/>
      <x:c r="J3" s="150"/>
      <x:c r="K3" s="150"/>
      <x:c r="L3" s="150"/>
      <x:c r="M3" s="150"/>
    </x:row>
    <x:row r="4">
      <x:c r="A4" s="23"/>
      <x:c r="B4" s="23"/>
      <x:c r="C4" s="23"/>
      <x:c r="D4" s="23"/>
      <x:c r="E4" s="23"/>
      <x:c r="F4" s="23"/>
      <x:c r="G4" s="150"/>
      <x:c r="H4" s="150"/>
      <x:c r="I4" s="150"/>
      <x:c r="J4" s="150"/>
      <x:c r="K4" s="150"/>
      <x:c r="L4" s="150"/>
      <x:c r="M4" s="150"/>
    </x:row>
    <x:row r="5">
      <x:c r="A5" s="23"/>
      <x:c r="B5" s="23"/>
      <x:c r="C5" s="32" t="str">
        <x:f>IF(Refresh_Required,"REFRESH REQUIRED — Python results reflect the last run","Python results match the imported inputs")</x:f>
        <x:v>Python results match the imported inputs</x:v>
      </x:c>
      <x:c r="D5" s="23"/>
      <x:c r="E5" s="23"/>
      <x:c r="F5" s="23"/>
      <x:c r="G5" s="150"/>
      <x:c r="H5" s="150"/>
      <x:c r="I5" s="150"/>
      <x:c r="J5" s="150"/>
      <x:c r="K5" s="150"/>
      <x:c r="L5" s="150"/>
      <x:c r="M5" s="150"/>
    </x:row>
    <x:row r="6">
      <x:c r="A6" s="23"/>
      <x:c r="B6" s="23"/>
      <x:c r="C6" s="23"/>
      <x:c r="D6" s="23"/>
      <x:c r="E6" s="23"/>
      <x:c r="F6" s="23"/>
      <x:c r="G6" s="150"/>
      <x:c r="H6" s="150"/>
      <x:c r="I6" s="150"/>
      <x:c r="J6" s="150"/>
      <x:c r="K6" s="150"/>
      <x:c r="L6" s="150"/>
      <x:c r="M6" s="150"/>
    </x:row>
    <x:row r="7" ht="38" customHeight="1">
      <x:c r="A7" s="23"/>
      <x:c r="B7" s="23"/>
      <x:c r="C7" s="7" t="str">
        <x:v>Metric / question</x:v>
      </x:c>
      <x:c r="D7" s="7" t="str">
        <x:v>S&amp;P</x:v>
      </x:c>
      <x:c r="E7" s="7" t="str">
        <x:v>Fitch</x:v>
      </x:c>
      <x:c r="F7" s="7" t="str">
        <x:v>How to read this</x:v>
      </x:c>
      <x:c r="G7" s="150"/>
      <x:c r="H7" s="150"/>
      <x:c r="I7" s="150"/>
      <x:c r="J7" s="150"/>
      <x:c r="K7" s="150"/>
      <x:c r="L7" s="150"/>
      <x:c r="M7" s="150"/>
    </x:row>
    <x:row r="8" ht="57" customHeight="1">
      <x:c r="A8" s="23"/>
      <x:c r="B8" s="23"/>
      <x:c r="C8" s="139" t="str">
        <x:v>Criteria basis</x:v>
      </x:c>
      <x:c r="D8" s="141" t="str">
        <x:v>2019-06-21; republished 2026-04-10</x:v>
      </x:c>
      <x:c r="E8" s="141" t="str">
        <x:v>2026-06-01</x:v>
      </x:c>
      <x:c r="F8" s="33" t="str">
        <x:v>See Methodology, SP Credit Parameters and Fitch Parameters for sources and implemented scope.</x:v>
      </x:c>
      <x:c r="G8" s="150"/>
      <x:c r="H8" s="150"/>
      <x:c r="I8" s="150"/>
      <x:c r="J8" s="150"/>
      <x:c r="K8" s="150"/>
      <x:c r="L8" s="150"/>
      <x:c r="M8" s="150"/>
    </x:row>
    <x:row r="9" ht="57" customHeight="1">
      <x:c r="A9" s="150"/>
      <x:c r="B9" s="150"/>
      <x:c r="C9" s="151" t="str">
        <x:v>Weighted-average rating factor</x:v>
      </x:c>
      <x:c r="D9" s="152" t="n">
        <x:f>IF(Refresh_Required,"REFRESH REQUIRED",SPWARF)</x:f>
        <x:v>2379.3783153333334</x:v>
      </x:c>
      <x:c r="E9" s="153" t="n">
        <x:f>IF(Refresh_Required,"REFRESH REQUIRED",Fitch_WARF)</x:f>
        <x:v>21.428948526666666</x:v>
      </x:c>
      <x:c r="F9" s="154" t="str">
        <x:v>Different scales: compare each against its own methodology. The Fitch example uses labelled development rating proxies.</x:v>
      </x:c>
      <x:c r="G9" s="150"/>
      <x:c r="H9" s="150"/>
      <x:c r="I9" s="150"/>
      <x:c r="J9" s="150"/>
      <x:c r="K9" s="150"/>
      <x:c r="L9" s="150"/>
      <x:c r="M9" s="150"/>
    </x:row>
    <x:row r="10" ht="57" customHeight="1">
      <x:c r="A10" s="150"/>
      <x:c r="B10" s="150"/>
      <x:c r="C10" s="151" t="str">
        <x:v>Credit input basis</x:v>
      </x:c>
      <x:c r="D10" s="155" t="str">
        <x:v>Supplied fictional S&amp;P ratings</x:v>
      </x:c>
      <x:c r="E10" s="155" t="str">
        <x:v>CALCULATED - development assumptions</x:v>
      </x:c>
      <x:c r="F10" s="154" t="str">
        <x:v>A public factor table does not verify the underlying rating or establish a target rating.</x:v>
      </x:c>
      <x:c r="G10" s="150"/>
      <x:c r="H10" s="150"/>
      <x:c r="I10" s="150"/>
      <x:c r="J10" s="150"/>
      <x:c r="K10" s="150"/>
      <x:c r="L10" s="150"/>
      <x:c r="M10" s="150"/>
    </x:row>
    <x:row r="11" ht="57" customHeight="1">
      <x:c r="A11" s="150"/>
      <x:c r="B11" s="150"/>
      <x:c r="C11" s="151" t="str">
        <x:v>Weighted recovery</x:v>
      </x:c>
      <x:c r="D11" s="156" t="n">
        <x:f>IF(Refresh_Required,"REFRESH REQUIRED",'Portfolio Calc'!D14)</x:f>
        <x:v>0.3962717333333333</x:v>
      </x:c>
      <x:c r="E11" s="156" t="str">
        <x:f>IF(Refresh_Required,"REFRESH REQUIRED",Fitch_WARR)</x:f>
        <x:v>Missing recovery inputs</x:v>
      </x:c>
      <x:c r="F11" s="154" t="str">
        <x:v>S&amp;P column is supplied fictional recovery_aaa. Fitch WARR requires separate issue recovery / BBsf basis. These are not like-for-like stressed recoveries.</x:v>
      </x:c>
      <x:c r="G11" s="150"/>
      <x:c r="H11" s="150"/>
      <x:c r="I11" s="150"/>
      <x:c r="J11" s="150"/>
      <x:c r="K11" s="150"/>
      <x:c r="L11" s="150"/>
      <x:c r="M11" s="150"/>
    </x:row>
    <x:row r="12" ht="57" customHeight="1">
      <x:c r="A12" s="150"/>
      <x:c r="B12" s="150"/>
      <x:c r="C12" s="151" t="str">
        <x:v>Recovery input coverage</x:v>
      </x:c>
      <x:c r="D12" s="157" t="n">
        <x:f>IF(Refresh_Required,"REFRESH REQUIRED",1)</x:f>
        <x:v>1</x:v>
      </x:c>
      <x:c r="E12" s="157" t="n">
        <x:f>IF(Refresh_Required,"REFRESH REQUIRED",'Fitch Calc'!D11)</x:f>
        <x:v>0.9854466666666667</x:v>
      </x:c>
      <x:c r="F12" s="154" t="str">
        <x:v>Coverage means supplied required inputs, not agency validation. Fitch WARR stays unavailable until every facility has the required recovery basis.</x:v>
      </x:c>
      <x:c r="G12" s="150"/>
      <x:c r="H12" s="150"/>
      <x:c r="I12" s="150"/>
      <x:c r="J12" s="150"/>
      <x:c r="K12" s="150"/>
      <x:c r="L12" s="150"/>
      <x:c r="M12" s="150"/>
    </x:row>
    <x:row r="13" ht="57" customHeight="1">
      <x:c r="A13" s="150"/>
      <x:c r="B13" s="150"/>
      <x:c r="C13" s="151" t="str">
        <x:v>AAA default hurdle</x:v>
      </x:c>
      <x:c r="D13" s="156" t="str">
        <x:f>IF(Refresh_Required,"REFRESH REQUIRED",IF(ISNUMBER(agency_sdr_aaa),agency_sdr_aaa,"SDR not supplied"))</x:f>
        <x:v>SDR not supplied</x:v>
      </x:c>
      <x:c r="E13" s="158" t="str">
        <x:v>RDR not calculated</x:v>
      </x:c>
      <x:c r="F13" s="154" t="str">
        <x:v>SDR / RDR are gross default hurdles. Obtain the applicable credit-model outputs or complete and benchmark an independent implementation.</x:v>
      </x:c>
      <x:c r="G13" s="150"/>
      <x:c r="H13" s="150"/>
      <x:c r="I13" s="150"/>
      <x:c r="J13" s="150"/>
      <x:c r="K13" s="150"/>
      <x:c r="L13" s="150"/>
      <x:c r="M13" s="150"/>
    </x:row>
    <x:row r="14" ht="57" customHeight="1">
      <x:c r="A14" s="150"/>
      <x:c r="B14" s="150"/>
      <x:c r="C14" s="151" t="str">
        <x:v>AAA portfolio loss hurdle</x:v>
      </x:c>
      <x:c r="D14" s="155" t="str">
        <x:v>Not a substitute for SDR</x:v>
      </x:c>
      <x:c r="E14" s="155" t="str">
        <x:v>RLR not calculated</x:v>
      </x:c>
      <x:c r="F14" s="154" t="str">
        <x:v>Fitch rating loss rate comes from PCM analysis. WARF multiplied by a loss assumption is not a replacement.</x:v>
      </x:c>
      <x:c r="G14" s="150"/>
      <x:c r="H14" s="150"/>
      <x:c r="I14" s="150"/>
      <x:c r="J14" s="150"/>
      <x:c r="K14" s="150"/>
      <x:c r="L14" s="150"/>
      <x:c r="M14" s="150"/>
    </x:row>
    <x:row r="15" ht="57" customHeight="1">
      <x:c r="A15" s="150"/>
      <x:c r="B15" s="150"/>
      <x:c r="C15" s="151" t="str">
        <x:v>Agency cash-flow BDR</x:v>
      </x:c>
      <x:c r="D15" s="155" t="str">
        <x:v>Not implemented / benchmarked</x:v>
      </x:c>
      <x:c r="E15" s="155" t="str">
        <x:v>Not implemented / benchmarked</x:v>
      </x:c>
      <x:c r="F15" s="154" t="str">
        <x:v>Current development cash flows below must not be labelled agency BDRs. Fitch needs additional collateral and stress mechanics.</x:v>
      </x:c>
      <x:c r="G15" s="150"/>
      <x:c r="H15" s="150"/>
      <x:c r="I15" s="150"/>
      <x:c r="J15" s="150"/>
      <x:c r="K15" s="150"/>
      <x:c r="L15" s="150"/>
      <x:c r="M15" s="150"/>
    </x:row>
    <x:row r="16" ht="57" customHeight="1">
      <x:c r="A16" s="150"/>
      <x:c r="B16" s="150"/>
      <x:c r="C16" s="151" t="str">
        <x:v>Supplemental / concentration</x:v>
      </x:c>
      <x:c r="D16" s="155" t="str">
        <x:v>Public S&amp;P loss arithmetic</x:v>
      </x:c>
      <x:c r="E16" s="155" t="str">
        <x:v>Not implemented</x:v>
      </x:c>
      <x:c r="F16" s="154" t="str">
        <x:v>S&amp;P event-loss amounts are on Concentration Calc; tranche sufficiency remains unassessed. Fitch industry taxonomy still needs review.</x:v>
      </x:c>
      <x:c r="G16" s="150"/>
      <x:c r="H16" s="150"/>
      <x:c r="I16" s="150"/>
      <x:c r="J16" s="150"/>
      <x:c r="K16" s="150"/>
      <x:c r="L16" s="150"/>
      <x:c r="M16" s="150"/>
    </x:row>
    <x:row r="17" ht="57" customHeight="1">
      <x:c r="A17" s="150"/>
      <x:c r="B17" s="150"/>
      <x:c r="C17" s="151" t="str">
        <x:v>AAA target conclusion</x:v>
      </x:c>
      <x:c r="D17" s="155" t="str">
        <x:v>NOT DETERMINED</x:v>
      </x:c>
      <x:c r="E17" s="155" t="str">
        <x:v>NOT DETERMINED</x:v>
      </x:c>
      <x:c r="F17" s="154" t="str">
        <x:v>No rating or agency sufficiency conclusion is produced by this workbook.</x:v>
      </x:c>
      <x:c r="G17" s="150"/>
      <x:c r="H17" s="150"/>
      <x:c r="I17" s="150"/>
      <x:c r="J17" s="150"/>
      <x:c r="K17" s="150"/>
      <x:c r="L17" s="150"/>
      <x:c r="M17" s="150"/>
    </x:row>
    <x:row r="18">
      <x:c r="A18" s="150"/>
      <x:c r="B18" s="150"/>
      <x:c r="C18" s="150"/>
      <x:c r="D18" s="159"/>
      <x:c r="E18" s="159"/>
      <x:c r="F18" s="150"/>
      <x:c r="G18" s="150"/>
      <x:c r="H18" s="150"/>
      <x:c r="I18" s="150"/>
      <x:c r="J18" s="150"/>
      <x:c r="K18" s="150"/>
      <x:c r="L18" s="150"/>
      <x:c r="M18" s="150"/>
    </x:row>
    <x:row r="19">
      <x:c r="A19" s="150"/>
      <x:c r="B19" s="150"/>
      <x:c r="C19" s="150"/>
      <x:c r="D19" s="159"/>
      <x:c r="E19" s="159"/>
      <x:c r="F19" s="150"/>
      <x:c r="G19" s="150"/>
      <x:c r="H19" s="150"/>
      <x:c r="I19" s="150"/>
      <x:c r="J19" s="150"/>
      <x:c r="K19" s="150"/>
      <x:c r="L19" s="150"/>
      <x:c r="M19" s="150"/>
    </x:row>
    <x:row r="20" ht="38" customHeight="1">
      <x:c r="A20" s="150"/>
      <x:c r="B20" s="150"/>
      <x:c r="C20" s="7" t="str">
        <x:v>Development cash flow</x:v>
      </x:c>
      <x:c r="D20" s="137" t="str">
        <x:v>Result</x:v>
      </x:c>
      <x:c r="E20" s="137" t="str">
        <x:v>Structure / severity</x:v>
      </x:c>
      <x:c r="F20" s="7" t="str">
        <x:v>Interpretation</x:v>
      </x:c>
      <x:c r="G20" s="150"/>
      <x:c r="H20" s="150"/>
      <x:c r="I20" s="150"/>
      <x:c r="J20" s="150"/>
      <x:c r="K20" s="150"/>
      <x:c r="L20" s="150"/>
      <x:c r="M20" s="150"/>
    </x:row>
    <x:row r="21" ht="45" customHeight="1">
      <x:c r="A21" s="150"/>
      <x:c r="B21" s="150"/>
      <x:c r="C21" s="154" t="str">
        <x:v>Base senior interest / principal</x:v>
      </x:c>
      <x:c r="D21" s="160" t="str">
        <x:f>IF(Refresh_Required,"REFRESH REQUIRED",Outputs!D24)</x:f>
        <x:v>Meets tested case</x:v>
      </x:c>
      <x:c r="E21" s="161" t="str">
        <x:v>64% senior; 30% defaults</x:v>
      </x:c>
      <x:c r="F21" s="154" t="str">
        <x:v>Exploratory independent waterfall, S&amp;P-informed timing and fictional rates / deal assumptions.</x:v>
      </x:c>
      <x:c r="G21" s="150"/>
      <x:c r="H21" s="150"/>
      <x:c r="I21" s="150"/>
      <x:c r="J21" s="150"/>
      <x:c r="K21" s="150"/>
      <x:c r="L21" s="150"/>
      <x:c r="M21" s="150"/>
    </x:row>
    <x:row r="22" ht="45" customHeight="1">
      <x:c r="A22" s="150"/>
      <x:c r="B22" s="150"/>
      <x:c r="C22" s="154" t="str">
        <x:v>Last tested all-scenario pass</x:v>
      </x:c>
      <x:c r="D22" s="162" t="n">
        <x:f>IF(Refresh_Required,"REFRESH REQUIRED",Outputs!D28)</x:f>
        <x:v>0.6</x:v>
      </x:c>
      <x:c r="E22" s="161" t="str">
        <x:v>Fixed grid, 5% default steps</x:v>
      </x:c>
      <x:c r="F22" s="154" t="str">
        <x:v>Not an exact BDR. Review target attainment and each scenario boundary in Sensitivity.</x:v>
      </x:c>
      <x:c r="G22" s="150"/>
      <x:c r="H22" s="150"/>
      <x:c r="I22" s="150"/>
      <x:c r="J22" s="150"/>
      <x:c r="K22" s="150"/>
      <x:c r="L22" s="150"/>
      <x:c r="M22" s="150"/>
    </x:row>
    <x:row r="23" ht="45" customHeight="1">
      <x:c r="A23" s="150"/>
      <x:c r="B23" s="150"/>
      <x:c r="C23" s="154" t="str">
        <x:v>First tested scenario failure</x:v>
      </x:c>
      <x:c r="D23" s="162" t="n">
        <x:f>IF(Refresh_Required,"REFRESH REQUIRED",Outputs!D29)</x:f>
        <x:v>0.65</x:v>
      </x:c>
      <x:c r="E23" s="161" t="str">
        <x:v>Same collateral at every size</x:v>
      </x:c>
      <x:c r="F23" s="154" t="str">
        <x:v>Senior sensitivity is 60%–70%, equity fixed at 10%, junior debt adjusts.</x:v>
      </x:c>
      <x:c r="G23" s="150"/>
      <x:c r="H23" s="150"/>
      <x:c r="I23" s="150"/>
      <x:c r="J23" s="150"/>
      <x:c r="K23" s="150"/>
      <x:c r="L23" s="150"/>
      <x:c r="M23" s="150"/>
    </x:row>
    <x:row r="24">
      <x:c r="A24" s="150"/>
      <x:c r="B24" s="150"/>
      <x:c r="C24" s="150"/>
      <x:c r="D24" s="150"/>
      <x:c r="E24" s="150"/>
      <x:c r="F24" s="150"/>
      <x:c r="G24" s="150"/>
      <x:c r="H24" s="150"/>
      <x:c r="I24" s="150"/>
      <x:c r="J24" s="150"/>
      <x:c r="K24" s="150"/>
      <x:c r="L24" s="150"/>
      <x:c r="M24" s="150"/>
    </x:row>
    <x:row r="25">
      <x:c r="A25" s="150"/>
      <x:c r="B25" s="150"/>
      <x:c r="C25" s="150"/>
      <x:c r="D25" s="150"/>
      <x:c r="E25" s="150"/>
      <x:c r="F25" s="150"/>
      <x:c r="G25" s="150"/>
      <x:c r="H25" s="150"/>
      <x:c r="I25" s="150"/>
      <x:c r="J25" s="150"/>
      <x:c r="K25" s="150"/>
      <x:c r="L25" s="150"/>
      <x:c r="M25" s="150"/>
    </x:row>
    <x:row r="26" ht="38" customHeight="1">
      <x:c r="A26" s="150"/>
      <x:c r="B26" s="150"/>
      <x:c r="C26" s="7" t="str">
        <x:v>Development gross defaults</x:v>
      </x:c>
      <x:c r="D26" s="7" t="str">
        <x:v>Scenarios attaining target</x:v>
      </x:c>
      <x:c r="E26" s="7" t="str">
        <x:v>Scenarios passing senior</x:v>
      </x:c>
      <x:c r="F26" s="7" t="str">
        <x:v>Worst missed interest</x:v>
      </x:c>
      <x:c r="G26" s="7" t="str">
        <x:v>Worst final principal shortfall</x:v>
      </x:c>
      <x:c r="H26" s="150"/>
      <x:c r="I26" s="7" t="str">
        <x:v>Python severity</x:v>
      </x:c>
      <x:c r="J26" s="7" t="str">
        <x:v>Attained count</x:v>
      </x:c>
      <x:c r="K26" s="7" t="str">
        <x:v>Pass count</x:v>
      </x:c>
      <x:c r="L26" s="7" t="str">
        <x:v>Missed interest</x:v>
      </x:c>
      <x:c r="M26" s="7" t="str">
        <x:v>Principal shortfall</x:v>
      </x:c>
    </x:row>
    <x:row r="27">
      <x:c r="A27" s="150"/>
      <x:c r="B27" s="150"/>
      <x:c r="C27" s="163" t="n">
        <x:v>0.6</x:v>
      </x:c>
      <x:c r="D27" s="65" t="n">
        <x:f>IF(Refresh_Required,"REFRESH REQUIRED",J27)</x:f>
        <x:v>12</x:v>
      </x:c>
      <x:c r="E27" s="65" t="n">
        <x:f>IF(Refresh_Required,"REFRESH REQUIRED",K27)</x:f>
        <x:v>12</x:v>
      </x:c>
      <x:c r="F27" s="66" t="n">
        <x:f>IF(Refresh_Required,"REFRESH REQUIRED",L27)</x:f>
        <x:v>0</x:v>
      </x:c>
      <x:c r="G27" s="66" t="n">
        <x:f>IF(Refresh_Required,"REFRESH REQUIRED",M27)</x:f>
        <x:v>0</x:v>
      </x:c>
      <x:c r="H27" s="150"/>
      <x:c r="I27" s="164" t="n">
        <x:v>0.6</x:v>
      </x:c>
      <x:c r="J27" s="165" t="n">
        <x:v>12</x:v>
      </x:c>
      <x:c r="K27" s="165" t="n">
        <x:v>12</x:v>
      </x:c>
      <x:c r="L27" s="166" t="n">
        <x:v>0</x:v>
      </x:c>
      <x:c r="M27" s="166" t="n">
        <x:v>0</x:v>
      </x:c>
    </x:row>
    <x:row r="28">
      <x:c r="A28" s="150"/>
      <x:c r="B28" s="150"/>
      <x:c r="C28" s="163" t="n">
        <x:v>0.65</x:v>
      </x:c>
      <x:c r="D28" s="65" t="n">
        <x:f>IF(Refresh_Required,"REFRESH REQUIRED",J28)</x:f>
        <x:v>12</x:v>
      </x:c>
      <x:c r="E28" s="65" t="n">
        <x:f>IF(Refresh_Required,"REFRESH REQUIRED",K28)</x:f>
        <x:v>0</x:v>
      </x:c>
      <x:c r="F28" s="66" t="n">
        <x:f>IF(Refresh_Required,"REFRESH REQUIRED",L28)</x:f>
        <x:v>2797025.6021267343</x:v>
      </x:c>
      <x:c r="G28" s="66" t="n">
        <x:f>IF(Refresh_Required,"REFRESH REQUIRED",M28)</x:f>
        <x:v>9617579.798632605</x:v>
      </x:c>
      <x:c r="H28" s="150"/>
      <x:c r="I28" s="164" t="n">
        <x:v>0.65</x:v>
      </x:c>
      <x:c r="J28" s="165" t="n">
        <x:v>12</x:v>
      </x:c>
      <x:c r="K28" s="165" t="n">
        <x:v>0</x:v>
      </x:c>
      <x:c r="L28" s="166" t="n">
        <x:v>2797025.6021267343</x:v>
      </x:c>
      <x:c r="M28" s="166" t="n">
        <x:v>9617579.798632605</x:v>
      </x:c>
    </x:row>
    <x:row r="29">
      <x:c r="A29" s="150"/>
      <x:c r="B29" s="150"/>
      <x:c r="C29" s="163" t="n">
        <x:v>0.7</x:v>
      </x:c>
      <x:c r="D29" s="65" t="n">
        <x:f>IF(Refresh_Required,"REFRESH REQUIRED",J29)</x:f>
        <x:v>12</x:v>
      </x:c>
      <x:c r="E29" s="65" t="n">
        <x:f>IF(Refresh_Required,"REFRESH REQUIRED",K29)</x:f>
        <x:v>0</x:v>
      </x:c>
      <x:c r="F29" s="66" t="n">
        <x:f>IF(Refresh_Required,"REFRESH REQUIRED",L29)</x:f>
        <x:v>6480099.426153048</x:v>
      </x:c>
      <x:c r="G29" s="66" t="n">
        <x:f>IF(Refresh_Required,"REFRESH REQUIRED",M29)</x:f>
        <x:v>21475779.90197996</x:v>
      </x:c>
      <x:c r="H29" s="150"/>
      <x:c r="I29" s="164" t="n">
        <x:v>0.7</x:v>
      </x:c>
      <x:c r="J29" s="165" t="n">
        <x:v>12</x:v>
      </x:c>
      <x:c r="K29" s="165" t="n">
        <x:v>0</x:v>
      </x:c>
      <x:c r="L29" s="166" t="n">
        <x:v>6480099.426153048</x:v>
      </x:c>
      <x:c r="M29" s="166" t="n">
        <x:v>21475779.90197996</x:v>
      </x:c>
    </x:row>
    <x:row r="30">
      <x:c r="A30" s="150"/>
      <x:c r="B30" s="150"/>
      <x:c r="C30" s="150"/>
      <x:c r="D30" s="150"/>
      <x:c r="E30" s="150"/>
      <x:c r="F30" s="150"/>
      <x:c r="G30" s="150"/>
      <x:c r="H30" s="150"/>
      <x:c r="I30" s="150"/>
      <x:c r="J30" s="150"/>
      <x:c r="K30" s="150"/>
      <x:c r="L30" s="150"/>
      <x:c r="M30" s="150"/>
    </x:row>
    <x:row r="31">
      <x:c r="A31" s="150"/>
      <x:c r="B31" s="150"/>
      <x:c r="C31" s="150" t="str">
        <x:v>60%, 65% and 70% are sensitivity points, with no assigned rating or probability.</x:v>
      </x:c>
      <x:c r="D31" s="150"/>
      <x:c r="E31" s="150"/>
      <x:c r="F31" s="150"/>
      <x:c r="G31" s="150"/>
      <x:c r="H31" s="150"/>
      <x:c r="I31" s="150"/>
      <x:c r="J31" s="150"/>
      <x:c r="K31" s="150"/>
      <x:c r="L31" s="150"/>
      <x:c r="M31" s="150"/>
    </x:row>
    <x:row r="32">
      <x:c r="A32" s="150"/>
      <x:c r="B32" s="150"/>
      <x:c r="C32" s="150" t="str">
        <x:v>The same existing stress matrix is tested at each point; no agency hurdle has been assumed.</x:v>
      </x:c>
      <x:c r="D32" s="150"/>
      <x:c r="E32" s="150"/>
      <x:c r="F32" s="150"/>
      <x:c r="G32" s="150"/>
      <x:c r="H32" s="150"/>
      <x:c r="I32" s="150"/>
      <x:c r="J32" s="150"/>
      <x:c r="K32" s="150"/>
      <x:c r="L32" s="150"/>
      <x:c r="M32" s="150"/>
    </x:row>
    <x:row r="33">
      <x:c r="A33" s="150"/>
      <x:c r="B33" s="150"/>
      <x:c r="C33" s="150" t="str">
        <x:v>Next: resolve missing inputs on Gaps and Sources, then review all Checks.</x:v>
      </x:c>
      <x:c r="D33" s="150"/>
      <x:c r="E33" s="150"/>
      <x:c r="F33" s="150"/>
      <x:c r="G33" s="150"/>
      <x:c r="H33" s="150"/>
      <x:c r="I33" s="150"/>
      <x:c r="J33" s="150"/>
      <x:c r="K33" s="150"/>
      <x:c r="L33" s="150"/>
      <x:c r="M33" s="15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67D8D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28" hidden="0" customWidth="1"/>
    <x:col min="5" max="5" width="1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23"/>
      <x:c r="B1" s="23"/>
      <x:c r="C1" s="111" t="str">
        <x:v>Development output</x:v>
      </x:c>
      <x:c r="D1" s="23"/>
      <x:c r="E1" s="23"/>
      <x:c r="F1" s="23"/>
      <x:c r="G1" s="23"/>
      <x:c r="H1" s="23"/>
      <x:c r="I1" s="23"/>
      <x:c r="J1" s="23"/>
    </x:row>
    <x:row r="2">
      <x:c r="A2" s="23"/>
      <x:c r="B2" s="23"/>
      <x:c r="C2" s="24" t="str">
        <x:v>Portfolio And Development Results</x:v>
      </x:c>
      <x:c r="D2" s="25"/>
      <x:c r="E2" s="25"/>
      <x:c r="F2" s="25"/>
      <x:c r="G2" s="25"/>
      <x:c r="H2" s="25"/>
      <x:c r="I2" s="25"/>
      <x:c r="J2" s="25"/>
    </x:row>
    <x:row r="3" ht="22" customHeight="1">
      <x:c r="A3" s="23"/>
      <x:c r="B3" s="23"/>
      <x:c r="C3" s="26" t="str">
        <x:v>Fictional development portfolio. S&amp;P public criteria components plus exploratory cash flows.</x:v>
      </x:c>
      <x:c r="D3" s="23"/>
      <x:c r="E3" s="23"/>
      <x:c r="F3" s="23"/>
      <x:c r="G3" s="23"/>
      <x:c r="H3" s="23"/>
      <x:c r="I3" s="23"/>
      <x:c r="J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</x:row>
    <x:row r="5">
      <x:c r="A5" s="23"/>
      <x:c r="B5" s="23"/>
      <x:c r="C5" s="32" t="str">
        <x:f>IF(Refresh_Required,"REFRESH REQUIRED — Python results reflect the last run","Python results match the imported inputs")</x:f>
        <x:v>Python results match the imported inputs</x:v>
      </x:c>
      <x:c r="D5" s="23"/>
      <x:c r="E5" s="23"/>
      <x:c r="F5" s="23"/>
      <x:c r="G5" s="23"/>
      <x:c r="H5" s="23"/>
      <x:c r="I5" s="23"/>
      <x:c r="J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</x:row>
    <x:row r="7" ht="38" customHeight="1">
      <x:c r="A7" s="23"/>
      <x:c r="B7" s="23"/>
      <x:c r="C7" s="7" t="str">
        <x:v>Portfolio summary</x:v>
      </x:c>
      <x:c r="D7" s="7" t="str">
        <x:v>Result</x:v>
      </x:c>
      <x:c r="E7" s="23"/>
      <x:c r="F7" s="23"/>
      <x:c r="G7" s="23"/>
      <x:c r="H7" s="23"/>
      <x:c r="I7" s="23"/>
      <x:c r="J7" s="23"/>
    </x:row>
    <x:row r="8">
      <x:c r="A8" s="23"/>
      <x:c r="B8" s="23"/>
      <x:c r="C8" s="23" t="str">
        <x:v>Portfolio par</x:v>
      </x:c>
      <x:c r="D8" s="66" t="n">
        <x:f>'Portfolio Calc'!D8</x:f>
        <x:v>300000000</x:v>
      </x:c>
      <x:c r="E8" s="23"/>
      <x:c r="F8" s="23"/>
      <x:c r="G8" s="23" t="str">
        <x:v>Python run values</x:v>
      </x:c>
      <x:c r="H8" s="23" t="str">
        <x:v>Value</x:v>
      </x:c>
      <x:c r="I8" s="23"/>
      <x:c r="J8" s="23"/>
    </x:row>
    <x:row r="9">
      <x:c r="A9" s="150"/>
      <x:c r="B9" s="150"/>
      <x:c r="C9" s="150" t="str">
        <x:v>Facilities</x:v>
      </x:c>
      <x:c r="D9" s="167" t="n">
        <x:f>'Portfolio Calc'!D9</x:f>
        <x:v>282</x:v>
      </x:c>
      <x:c r="E9" s="150"/>
      <x:c r="F9" s="150"/>
      <x:c r="G9" s="150" t="str">
        <x:v>Base senior pass</x:v>
      </x:c>
      <x:c r="H9" s="168" t="b">
        <x:v>1</x:v>
      </x:c>
      <x:c r="I9" s="150"/>
      <x:c r="J9" s="150"/>
    </x:row>
    <x:row r="10">
      <x:c r="A10" s="150"/>
      <x:c r="B10" s="150"/>
      <x:c r="C10" s="150" t="str">
        <x:v>Obligors</x:v>
      </x:c>
      <x:c r="D10" s="167" t="n">
        <x:f>'Portfolio Calc'!D10</x:f>
        <x:v>270</x:v>
      </x:c>
      <x:c r="E10" s="150"/>
      <x:c r="F10" s="150"/>
      <x:c r="G10" s="150" t="str">
        <x:v>Missed timely interest</x:v>
      </x:c>
      <x:c r="H10" s="166" t="n">
        <x:v>0</x:v>
      </x:c>
      <x:c r="I10" s="150"/>
      <x:c r="J10" s="150"/>
    </x:row>
    <x:row r="11">
      <x:c r="A11" s="150"/>
      <x:c r="B11" s="150"/>
      <x:c r="C11" s="150" t="str">
        <x:v>Weighted floating spread (bps)</x:v>
      </x:c>
      <x:c r="D11" s="169" t="n">
        <x:f>'Portfolio Calc'!D13</x:f>
        <x:v>288.4695070159345</x:v>
      </x:c>
      <x:c r="E11" s="150"/>
      <x:c r="F11" s="150"/>
      <x:c r="G11" s="150" t="str">
        <x:v>Final senior principal</x:v>
      </x:c>
      <x:c r="H11" s="166" t="n">
        <x:v>0</x:v>
      </x:c>
      <x:c r="I11" s="150"/>
      <x:c r="J11" s="150"/>
    </x:row>
    <x:row r="12">
      <x:c r="A12" s="150"/>
      <x:c r="B12" s="150"/>
      <x:c r="C12" s="150" t="str">
        <x:v>Supplied stressed recovery</x:v>
      </x:c>
      <x:c r="D12" s="75" t="n">
        <x:f>'Portfolio Calc'!D14</x:f>
        <x:v>0.3962717333333333</x:v>
      </x:c>
      <x:c r="E12" s="150"/>
      <x:c r="F12" s="150"/>
      <x:c r="G12" s="150" t="str">
        <x:v>Realized default rate</x:v>
      </x:c>
      <x:c r="H12" s="164" t="n">
        <x:v>0.3</x:v>
      </x:c>
      <x:c r="I12" s="150"/>
      <x:c r="J12" s="150"/>
    </x:row>
    <x:row r="13">
      <x:c r="A13" s="150"/>
      <x:c r="B13" s="150"/>
      <x:c r="C13" s="150" t="str">
        <x:v>Weighted term (years)</x:v>
      </x:c>
      <x:c r="D13" s="170" t="n">
        <x:f>'Portfolio Calc'!D15</x:f>
        <x:v>5.222635163130275</x:v>
      </x:c>
      <x:c r="E13" s="150"/>
      <x:c r="F13" s="150"/>
      <x:c r="G13" s="150" t="str">
        <x:v>Target attained</x:v>
      </x:c>
      <x:c r="H13" s="168" t="b">
        <x:v>1</x:v>
      </x:c>
      <x:c r="I13" s="150"/>
      <x:c r="J13" s="150"/>
    </x:row>
    <x:row r="14">
      <x:c r="A14" s="150"/>
      <x:c r="B14" s="150"/>
      <x:c r="C14" s="150" t="str">
        <x:v>Largest obligor share</x:v>
      </x:c>
      <x:c r="D14" s="75" t="n">
        <x:f>'Portfolio Calc'!D17</x:f>
        <x:v>0.00408</x:v>
      </x:c>
      <x:c r="E14" s="150"/>
      <x:c r="F14" s="150"/>
      <x:c r="G14" s="150" t="str">
        <x:v>Last tested pass</x:v>
      </x:c>
      <x:c r="H14" s="163" t="n">
        <x:v>0.6</x:v>
      </x:c>
      <x:c r="I14" s="150"/>
      <x:c r="J14" s="150"/>
    </x:row>
    <x:row r="15">
      <x:c r="A15" s="150"/>
      <x:c r="B15" s="150"/>
      <x:c r="C15" s="150" t="str">
        <x:v>Base senior balance</x:v>
      </x:c>
      <x:c r="D15" s="66" t="n">
        <x:f>Senior_Balance</x:f>
        <x:v>192000000</x:v>
      </x:c>
      <x:c r="E15" s="150"/>
      <x:c r="F15" s="150"/>
      <x:c r="G15" s="150" t="str">
        <x:v>First tested failure</x:v>
      </x:c>
      <x:c r="H15" s="163" t="n">
        <x:v>0.65</x:v>
      </x:c>
      <x:c r="I15" s="150"/>
      <x:c r="J15" s="150"/>
    </x:row>
    <x:row r="16">
      <x:c r="A16" s="150"/>
      <x:c r="B16" s="150"/>
      <x:c r="C16" s="150" t="str">
        <x:v>Base junior balance</x:v>
      </x:c>
      <x:c r="D16" s="66" t="n">
        <x:f>Junior_Balance</x:f>
        <x:v>78000000</x:v>
      </x:c>
      <x:c r="E16" s="150"/>
      <x:c r="F16" s="150"/>
      <x:c r="G16" s="150"/>
      <x:c r="H16" s="150"/>
      <x:c r="I16" s="150"/>
      <x:c r="J16" s="150"/>
    </x:row>
    <x:row r="17">
      <x:c r="A17" s="150"/>
      <x:c r="B17" s="150"/>
      <x:c r="C17" s="150" t="str">
        <x:v>Equity contribution</x:v>
      </x:c>
      <x:c r="D17" s="66" t="n">
        <x:f>Equity_Contribution</x:f>
        <x:v>30000000</x:v>
      </x:c>
      <x:c r="E17" s="150"/>
      <x:c r="F17" s="150"/>
      <x:c r="G17" s="150"/>
      <x:c r="H17" s="150"/>
      <x:c r="I17" s="150"/>
      <x:c r="J17" s="150"/>
    </x:row>
    <x:row r="18">
      <x:c r="A18" s="150"/>
      <x:c r="B18" s="150"/>
      <x:c r="C18" s="150"/>
      <x:c r="D18" s="150"/>
      <x:c r="E18" s="150"/>
      <x:c r="F18" s="150"/>
      <x:c r="G18" s="150"/>
      <x:c r="H18" s="150"/>
      <x:c r="I18" s="150"/>
      <x:c r="J18" s="150"/>
    </x:row>
    <x:row r="19">
      <x:c r="A19" s="150"/>
      <x:c r="B19" s="150"/>
      <x:c r="C19" s="150"/>
      <x:c r="D19" s="150"/>
      <x:c r="E19" s="150"/>
      <x:c r="F19" s="150"/>
      <x:c r="G19" s="150"/>
      <x:c r="H19" s="150"/>
      <x:c r="I19" s="150"/>
      <x:c r="J19" s="150"/>
    </x:row>
    <x:row r="20">
      <x:c r="A20" s="150"/>
      <x:c r="B20" s="150"/>
      <x:c r="C20" s="150"/>
      <x:c r="D20" s="150"/>
      <x:c r="E20" s="150"/>
      <x:c r="F20" s="150"/>
      <x:c r="G20" s="150"/>
      <x:c r="H20" s="150"/>
      <x:c r="I20" s="150"/>
      <x:c r="J20" s="150"/>
    </x:row>
    <x:row r="21" ht="38" customHeight="1">
      <x:c r="A21" s="150"/>
      <x:c r="B21" s="150"/>
      <x:c r="C21" s="7" t="str">
        <x:v>Methodology / cash flow</x:v>
      </x:c>
      <x:c r="D21" s="7" t="str">
        <x:v>Result</x:v>
      </x:c>
      <x:c r="E21" s="150"/>
      <x:c r="F21" s="150"/>
      <x:c r="G21" s="150"/>
      <x:c r="H21" s="150"/>
      <x:c r="I21" s="150"/>
      <x:c r="J21" s="150"/>
    </x:row>
    <x:row r="22" ht="32" customHeight="1">
      <x:c r="A22" s="150"/>
      <x:c r="B22" s="150"/>
      <x:c r="C22" s="150" t="str">
        <x:v>S&amp;P AAA result</x:v>
      </x:c>
      <x:c r="D22" s="154" t="str">
        <x:v>NOT DETERMINED</x:v>
      </x:c>
      <x:c r="E22" s="150"/>
      <x:c r="F22" s="150"/>
      <x:c r="G22" s="150"/>
      <x:c r="H22" s="150"/>
      <x:c r="I22" s="150"/>
      <x:c r="J22" s="150"/>
    </x:row>
    <x:row r="23" ht="32" customHeight="1">
      <x:c r="A23" s="150"/>
      <x:c r="B23" s="150"/>
      <x:c r="C23" s="150" t="str">
        <x:v>Agency scenario default rate</x:v>
      </x:c>
      <x:c r="D23" s="171" t="str">
        <x:f>IF(Refresh_Required,"REFRESH REQUIRED",IF(ISNUMBER(agency_sdr_aaa),agency_sdr_aaa,"Unavailable"))</x:f>
        <x:v>Unavailable</x:v>
      </x:c>
      <x:c r="E23" s="150"/>
      <x:c r="F23" s="150"/>
      <x:c r="G23" s="150"/>
      <x:c r="H23" s="150"/>
      <x:c r="I23" s="150"/>
      <x:c r="J23" s="150"/>
    </x:row>
    <x:row r="24" ht="32" customHeight="1">
      <x:c r="A24" s="150"/>
      <x:c r="B24" s="150"/>
      <x:c r="C24" s="150" t="str">
        <x:v>Exploratory base cash flow</x:v>
      </x:c>
      <x:c r="D24" s="87" t="str">
        <x:f>IF(Refresh_Required,"REFRESH REQUIRED",IF(H13,IF(H9,"Meets tested case","Shortfall"),"Target not attained"))</x:f>
        <x:v>Meets tested case</x:v>
      </x:c>
      <x:c r="E24" s="150"/>
      <x:c r="F24" s="150"/>
      <x:c r="G24" s="150"/>
      <x:c r="H24" s="150"/>
      <x:c r="I24" s="150"/>
      <x:c r="J24" s="150"/>
    </x:row>
    <x:row r="25" ht="32" customHeight="1">
      <x:c r="A25" s="150"/>
      <x:c r="B25" s="150"/>
      <x:c r="C25" s="150" t="str">
        <x:v>Senior missed timely interest</x:v>
      </x:c>
      <x:c r="D25" s="101" t="n">
        <x:f>IF(Refresh_Required,"REFRESH REQUIRED",H10)</x:f>
        <x:v>0</x:v>
      </x:c>
      <x:c r="E25" s="150"/>
      <x:c r="F25" s="150"/>
      <x:c r="G25" s="150"/>
      <x:c r="H25" s="150"/>
      <x:c r="I25" s="150"/>
      <x:c r="J25" s="150"/>
    </x:row>
    <x:row r="26" ht="32" customHeight="1">
      <x:c r="A26" s="150"/>
      <x:c r="B26" s="150"/>
      <x:c r="C26" s="150" t="str">
        <x:v>Senior final principal shortfall</x:v>
      </x:c>
      <x:c r="D26" s="101" t="n">
        <x:f>IF(Refresh_Required,"REFRESH REQUIRED",H11)</x:f>
        <x:v>0</x:v>
      </x:c>
      <x:c r="E26" s="150"/>
      <x:c r="F26" s="150"/>
      <x:c r="G26" s="150"/>
      <x:c r="H26" s="150"/>
      <x:c r="I26" s="150"/>
      <x:c r="J26" s="150"/>
    </x:row>
    <x:row r="27" ht="32" customHeight="1">
      <x:c r="A27" s="150"/>
      <x:c r="B27" s="150"/>
      <x:c r="C27" s="150" t="str">
        <x:v>Supplemental test sufficiency</x:v>
      </x:c>
      <x:c r="D27" s="154" t="str">
        <x:v>NOT ASSESSED</x:v>
      </x:c>
      <x:c r="E27" s="150"/>
      <x:c r="F27" s="150"/>
      <x:c r="G27" s="150"/>
      <x:c r="H27" s="150"/>
      <x:c r="I27" s="150"/>
      <x:c r="J27" s="150"/>
    </x:row>
    <x:row r="28">
      <x:c r="A28" s="150"/>
      <x:c r="B28" s="150"/>
      <x:c r="C28" s="150" t="str">
        <x:v>Exploratory grid: last tested pass</x:v>
      </x:c>
      <x:c r="D28" s="75" t="n">
        <x:f>IF(Refresh_Required,"REFRESH REQUIRED",IF(ISNUMBER(H14),H14,"Unavailable"))</x:f>
        <x:v>0.6</x:v>
      </x:c>
      <x:c r="E28" s="150"/>
      <x:c r="F28" s="150"/>
      <x:c r="G28" s="150"/>
      <x:c r="H28" s="150"/>
      <x:c r="I28" s="150"/>
      <x:c r="J28" s="150"/>
    </x:row>
    <x:row r="29">
      <x:c r="A29" s="150"/>
      <x:c r="B29" s="150"/>
      <x:c r="C29" s="150" t="str">
        <x:v>Exploratory grid: first tested failure</x:v>
      </x:c>
      <x:c r="D29" s="75" t="n">
        <x:f>IF(Refresh_Required,"REFRESH REQUIRED",IF(ISNUMBER(H15),H15,"Unavailable"))</x:f>
        <x:v>0.65</x:v>
      </x:c>
      <x:c r="E29" s="150"/>
      <x:c r="F29" s="150"/>
      <x:c r="G29" s="150"/>
      <x:c r="H29" s="150"/>
      <x:c r="I29" s="150"/>
      <x:c r="J29" s="150"/>
    </x:row>
    <x:row r="30">
      <x:c r="A30" s="150"/>
      <x:c r="B30" s="150"/>
      <x:c r="C30" s="150"/>
      <x:c r="D30" s="150"/>
      <x:c r="E30" s="150"/>
      <x:c r="F30" s="150"/>
      <x:c r="G30" s="150"/>
      <x:c r="H30" s="150"/>
      <x:c r="I30" s="150"/>
      <x:c r="J30" s="150"/>
    </x:row>
    <x:row r="31">
      <x:c r="A31" s="150"/>
      <x:c r="B31" s="150"/>
      <x:c r="C31" s="150" t="str">
        <x:v>Review sequence</x:v>
      </x:c>
      <x:c r="D31" s="150"/>
      <x:c r="E31" s="150"/>
      <x:c r="F31" s="150"/>
      <x:c r="G31" s="150"/>
      <x:c r="H31" s="150"/>
      <x:c r="I31" s="150"/>
      <x:c r="J31" s="150"/>
    </x:row>
    <x:row r="32">
      <x:c r="A32" s="150"/>
      <x:c r="B32" s="150"/>
      <x:c r="C32" s="150" t="str">
        <x:v>1. Check inputs, mappings and assumption provenance.</x:v>
      </x:c>
      <x:c r="D32" s="150"/>
      <x:c r="E32" s="150"/>
      <x:c r="F32" s="150"/>
      <x:c r="G32" s="150"/>
      <x:c r="H32" s="150"/>
      <x:c r="I32" s="150"/>
      <x:c r="J32" s="150"/>
    </x:row>
    <x:row r="33">
      <x:c r="A33" s="150"/>
      <x:c r="B33" s="150"/>
      <x:c r="C33" s="150" t="str">
        <x:v>2. Review Portfolio Calc and common-obligor grouping.</x:v>
      </x:c>
      <x:c r="D33" s="150"/>
      <x:c r="E33" s="150"/>
      <x:c r="F33" s="150"/>
      <x:c r="G33" s="150"/>
      <x:c r="H33" s="150"/>
      <x:c r="I33" s="150"/>
      <x:c r="J33" s="150"/>
    </x:row>
    <x:row r="34">
      <x:c r="A34" s="150"/>
      <x:c r="B34" s="150"/>
      <x:c r="C34" s="150" t="str">
        <x:v>3. Review senior sensitivities, target attainment and cash flows.</x:v>
      </x:c>
      <x:c r="D34" s="150"/>
      <x:c r="E34" s="150"/>
      <x:c r="F34" s="150"/>
      <x:c r="G34" s="150"/>
      <x:c r="H34" s="150"/>
      <x:c r="I34" s="150"/>
      <x:c r="J34" s="150"/>
    </x:row>
    <x:row r="35">
      <x:c r="A35" s="150"/>
      <x:c r="B35" s="150"/>
      <x:c r="C35" s="150" t="str">
        <x:v>4. Review all Checks and Methodology limitations before using results.</x:v>
      </x:c>
      <x:c r="D35" s="150"/>
      <x:c r="E35" s="150"/>
      <x:c r="F35" s="150"/>
      <x:c r="G35" s="150"/>
      <x:c r="H35" s="150"/>
      <x:c r="I35" s="150"/>
      <x:c r="J35" s="150"/>
    </x:row>
    <x:row r="36">
      <x:c r="A36" s="150"/>
      <x:c r="B36" s="150"/>
      <x:c r="C36" s="150"/>
      <x:c r="D36" s="150"/>
      <x:c r="E36" s="150"/>
      <x:c r="F36" s="150"/>
      <x:c r="G36" s="150"/>
      <x:c r="H36" s="150"/>
      <x:c r="I36" s="150"/>
      <x:c r="J36" s="150"/>
    </x:row>
    <x:row r="37">
      <x:c r="A37" s="150"/>
      <x:c r="B37" s="150"/>
      <x:c r="C37" s="150" t="str">
        <x:v>See Agency Comparison for the separate S&amp;P and Fitch metrics and missing prerequisites.</x:v>
      </x:c>
      <x:c r="D37" s="150"/>
      <x:c r="E37" s="150"/>
      <x:c r="F37" s="150"/>
      <x:c r="G37" s="150"/>
      <x:c r="H37" s="150"/>
      <x:c r="I37" s="150"/>
      <x:c r="J37" s="15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1909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9" hidden="0" customWidth="1"/>
    <x:col min="4" max="4" width="16" hidden="0" customWidth="1"/>
    <x:col min="5" max="5" width="16" hidden="0" customWidth="1"/>
    <x:col min="6" max="6" width="31" hidden="0" customWidth="1"/>
    <x:col min="7" max="7" width="2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23" hidden="0" customWidth="1"/>
    <x:col min="27" max="27" width="23" hidden="0" customWidth="1"/>
    <x:col min="28" max="28" width="23" hidden="0" customWidth="1"/>
  </x:cols>
  <x:sheetData>
    <x:row r="1">
      <x:c r="A1" s="112" t="str">
        <x:v>Shared source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50"/>
      <x:c r="AA1" s="150"/>
      <x:c r="AB1" s="150"/>
    </x:row>
    <x:row r="2">
      <x:c r="A2" s="2" t="str">
        <x:v>Portfolio Inputs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50"/>
      <x:c r="AA2" s="150"/>
      <x:c r="AB2" s="150"/>
    </x:row>
    <x:row r="3">
      <x:c r="A3" s="1" t="str">
        <x:v>Imported CSV fields. Edit the CSV for refresh; workbook edits flag Python results as stale.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50"/>
      <x:c r="AA3" s="150"/>
      <x:c r="AB3" s="150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50"/>
      <x:c r="AA4" s="150"/>
      <x:c r="AB4" s="150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50"/>
      <x:c r="AA5" s="150"/>
      <x:c r="AB5" s="150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50"/>
      <x:c r="AA6" s="150"/>
      <x:c r="AB6" s="150"/>
    </x:row>
    <x:row r="7" ht="38" customHeight="1">
      <x:c r="A7" s="7" t="str">
        <x:v>instrument_id</x:v>
      </x:c>
      <x:c r="B7" s="7" t="str">
        <x:v>obligor_id</x:v>
      </x:c>
      <x:c r="C7" s="7" t="str">
        <x:v>obligor_name</x:v>
      </x:c>
      <x:c r="D7" s="7" t="str">
        <x:v>par</x:v>
      </x:c>
      <x:c r="E7" s="7" t="str">
        <x:v>sp_rating</x:v>
      </x:c>
      <x:c r="F7" s="7" t="str">
        <x:v>sp_industry</x:v>
      </x:c>
      <x:c r="G7" s="7" t="str">
        <x:v>country</x:v>
      </x:c>
      <x:c r="H7" s="7" t="str">
        <x:v>seniority</x:v>
      </x:c>
      <x:c r="I7" s="7" t="str">
        <x:v>rate_type</x:v>
      </x:c>
      <x:c r="J7" s="7" t="str">
        <x:v>spread_bps</x:v>
      </x:c>
      <x:c r="K7" s="7" t="str">
        <x:v>fixed_coupon_rate</x:v>
      </x:c>
      <x:c r="L7" s="7" t="str">
        <x:v>floor_bps</x:v>
      </x:c>
      <x:c r="M7" s="7" t="str">
        <x:v>maturity_date</x:v>
      </x:c>
      <x:c r="N7" s="7" t="str">
        <x:v>recovery_aaa</x:v>
      </x:c>
      <x:c r="O7" s="7" t="str">
        <x:v>price</x:v>
      </x:c>
      <x:c r="P7" s="7" t="str">
        <x:v>payment_frequency</x:v>
      </x:c>
      <x:c r="Q7" s="7" t="str">
        <x:v>currency</x:v>
      </x:c>
      <x:c r="R7" s="7" t="str">
        <x:v>benchmark</x:v>
      </x:c>
      <x:c r="S7" s="7" t="str">
        <x:v>weight</x:v>
      </x:c>
      <x:c r="T7" s="7" t="str">
        <x:v>term_years</x:v>
      </x:c>
      <x:c r="U7" s="7" t="str">
        <x:v>floating_par_x_spread</x:v>
      </x:c>
      <x:c r="V7" s="7" t="str">
        <x:v>par_x_recovery</x:v>
      </x:c>
      <x:c r="W7" s="7" t="str">
        <x:v>input_changes</x:v>
      </x:c>
      <x:c r="X7" s="7" t="str">
        <x:v>duplicate_id</x:v>
      </x:c>
      <x:c r="Y7" s="7" t="str">
        <x:v>field_errors</x:v>
      </x:c>
      <x:c r="Z7" s="7" t="str">
        <x:v>SP_rating_factor</x:v>
      </x:c>
      <x:c r="AA7" s="7" t="str">
        <x:v>par_x_SP_factor</x:v>
      </x:c>
      <x:c r="AB7" s="7" t="str">
        <x:v>par_x_SP_abs_deviation</x:v>
      </x:c>
    </x:row>
    <x:row r="8">
      <x:c r="A8" s="8" t="str">
        <x:v>SYN-LN-00001</x:v>
      </x:c>
      <x:c r="B8" s="8" t="str">
        <x:v>SYN-OB-0001</x:v>
      </x:c>
      <x:c r="C8" s="8" t="str">
        <x:v>Alder Holdings 001</x:v>
      </x:c>
      <x:c r="D8" s="9" t="n">
        <x:v>1182000</x:v>
      </x:c>
      <x:c r="E8" s="8" t="str">
        <x:v>BB-</x:v>
      </x:c>
      <x:c r="F8" s="8" t="str">
        <x:v>Hotels, Restaurants &amp; Leisure</x:v>
      </x:c>
      <x:c r="G8" s="8" t="str">
        <x:v>United States</x:v>
      </x:c>
      <x:c r="H8" s="8" t="str">
        <x:v>1st Lien</x:v>
      </x:c>
      <x:c r="I8" s="8" t="str">
        <x:v>Floating</x:v>
      </x:c>
      <x:c r="J8" s="8" t="n">
        <x:v>220</x:v>
      </x:c>
      <x:c r="K8" s="10"/>
      <x:c r="L8" s="8" t="n">
        <x:v>0</x:v>
      </x:c>
      <x:c r="M8" s="11" t="n">
        <x:v>48882</x:v>
      </x:c>
      <x:c r="N8" s="10" t="n">
        <x:v>0.395</x:v>
      </x:c>
      <x:c r="O8" s="12" t="n">
        <x:v>101.5</x:v>
      </x:c>
      <x:c r="P8" s="13" t="n">
        <x:v>4</x:v>
      </x:c>
      <x:c r="Q8" s="8" t="str">
        <x:v>USD</x:v>
      </x:c>
      <x:c r="R8" s="8" t="str">
        <x:v>SOFR</x:v>
      </x:c>
      <x:c r="S8" s="18" t="n">
        <x:f>IF(Portfolio_Par&gt;0,D8/Portfolio_Par,"")</x:f>
        <x:v>0.00394</x:v>
      </x:c>
      <x:c r="T8" s="19" t="n">
        <x:f>IF(A8="","",(M8-as_of_date)/365.25)</x:f>
        <x:v>6.828199863107461</x:v>
      </x:c>
      <x:c r="U8" s="20" t="n">
        <x:f>IF(I8="Floating",D8*J8,0)</x:f>
        <x:v>260040000</x:v>
      </x:c>
      <x:c r="V8" s="20" t="n">
        <x:f>IF(A8="","",D8*N8)</x:f>
        <x:v>466890</x:v>
      </x:c>
      <x:c r="W8" s="14" t="n">
        <x:f>IF(A8='Run Snapshot'!A8,0,1)+IF(B8='Run Snapshot'!B8,0,1)+IF(C8='Run Snapshot'!C8,0,1)+IF(D8='Run Snapshot'!D8,0,1)+IF(E8='Run Snapshot'!E8,0,1)+IF(F8='Run Snapshot'!F8,0,1)+IF(G8='Run Snapshot'!G8,0,1)+IF(H8='Run Snapshot'!H8,0,1)+IF(I8='Run Snapshot'!I8,0,1)+IF(J8='Run Snapshot'!J8,0,1)+IF(K8='Run Snapshot'!K8,0,1)+IF(L8='Run Snapshot'!L8,0,1)+IF(M8='Run Snapshot'!M8,0,1)+IF(N8='Run Snapshot'!N8,0,1)+IF(O8='Run Snapshot'!O8,0,1)+IF(P8='Run Snapshot'!P8,0,1)+IF(Q8='Run Snapshot'!Q8,0,1)+IF(R8='Run Snapshot'!R8,0,1)</x:f>
        <x:v>0</x:v>
      </x:c>
      <x:c r="X8" s="15" t="n">
        <x:f>IF(A8="",0,COUNTIF($A$8:$A$289,A8)-1)</x:f>
        <x:v>0</x:v>
      </x:c>
      <x:c r="Y8" s="14" t="n">
        <x:f>IF(A8="",1,IF(OR(D8&lt;=0,N8&lt;0,N8&gt;1,M8&lt;=as_of_date),1,0))</x:f>
        <x:v>0</x:v>
      </x:c>
      <x:c r="Z8" s="170" t="n">
        <x:f>IF(A8="","",VLOOKUP(E8,SP_WARF_Factors,2,FALSE))</x:f>
        <x:v>1565.44</x:v>
      </x:c>
      <x:c r="AA8" s="172" t="n">
        <x:f>IF(A8="","",D8*Z8)</x:f>
        <x:v>1850350080</x:v>
      </x:c>
      <x:c r="AB8" s="170" t="n">
        <x:f>IF(A8="","",D8*ABS(Z8-SPWARF))</x:f>
        <x:v>962075088.724</x:v>
      </x:c>
    </x:row>
    <x:row r="9">
      <x:c r="A9" s="8" t="str">
        <x:v>SYN-LN-00002</x:v>
      </x:c>
      <x:c r="B9" s="8" t="str">
        <x:v>SYN-OB-0002</x:v>
      </x:c>
      <x:c r="C9" s="8" t="str">
        <x:v>Amber Inc. 002</x:v>
      </x:c>
      <x:c r="D9" s="9" t="n">
        <x:v>586000</x:v>
      </x:c>
      <x:c r="E9" s="8" t="str">
        <x:v>BBB</x:v>
      </x:c>
      <x:c r="F9" s="8" t="str">
        <x:v>IT Services</x:v>
      </x:c>
      <x:c r="G9" s="8" t="str">
        <x:v>United Kingdom</x:v>
      </x:c>
      <x:c r="H9" s="8" t="str">
        <x:v>Sr Unsec</x:v>
      </x:c>
      <x:c r="I9" s="8" t="str">
        <x:v>Floating</x:v>
      </x:c>
      <x:c r="J9" s="8" t="n">
        <x:v>220</x:v>
      </x:c>
      <x:c r="K9" s="10"/>
      <x:c r="L9" s="8" t="n">
        <x:v>0</x:v>
      </x:c>
      <x:c r="M9" s="11" t="n">
        <x:v>47894</x:v>
      </x:c>
      <x:c r="N9" s="10" t="n">
        <x:v>0.2</x:v>
      </x:c>
      <x:c r="O9" s="12" t="n">
        <x:v>96.5</x:v>
      </x:c>
      <x:c r="P9" s="13" t="n">
        <x:v>4</x:v>
      </x:c>
      <x:c r="Q9" s="8" t="str">
        <x:v>USD</x:v>
      </x:c>
      <x:c r="R9" s="8" t="str">
        <x:v>SOFR</x:v>
      </x:c>
      <x:c r="S9" s="18" t="n">
        <x:f>IF(Portfolio_Par&gt;0,D9/Portfolio_Par,"")</x:f>
        <x:v>0.0019533333333333334</x:v>
      </x:c>
      <x:c r="T9" s="19" t="n">
        <x:f>IF(A9="","",(M9-as_of_date)/365.25)</x:f>
        <x:v>4.123203285420945</x:v>
      </x:c>
      <x:c r="U9" s="20" t="n">
        <x:f>IF(I9="Floating",D9*J9,0)</x:f>
        <x:v>128920000</x:v>
      </x:c>
      <x:c r="V9" s="20" t="n">
        <x:f>IF(A9="","",D9*N9)</x:f>
        <x:v>117200</x:v>
      </x:c>
      <x:c r="W9" s="14" t="n">
        <x:f>IF(A9='Run Snapshot'!A9,0,1)+IF(B9='Run Snapshot'!B9,0,1)+IF(C9='Run Snapshot'!C9,0,1)+IF(D9='Run Snapshot'!D9,0,1)+IF(E9='Run Snapshot'!E9,0,1)+IF(F9='Run Snapshot'!F9,0,1)+IF(G9='Run Snapshot'!G9,0,1)+IF(H9='Run Snapshot'!H9,0,1)+IF(I9='Run Snapshot'!I9,0,1)+IF(J9='Run Snapshot'!J9,0,1)+IF(K9='Run Snapshot'!K9,0,1)+IF(L9='Run Snapshot'!L9,0,1)+IF(M9='Run Snapshot'!M9,0,1)+IF(N9='Run Snapshot'!N9,0,1)+IF(O9='Run Snapshot'!O9,0,1)+IF(P9='Run Snapshot'!P9,0,1)+IF(Q9='Run Snapshot'!Q9,0,1)+IF(R9='Run Snapshot'!R9,0,1)</x:f>
        <x:v>0</x:v>
      </x:c>
      <x:c r="X9" s="15" t="n">
        <x:f>IF(A9="",0,COUNTIF($A$8:$A$289,A9)-1)</x:f>
        <x:v>0</x:v>
      </x:c>
      <x:c r="Y9" s="14" t="n">
        <x:f>IF(A9="",1,IF(OR(D9&lt;=0,N9&lt;0,N9&gt;1,M9&lt;=as_of_date),1,0))</x:f>
        <x:v>0</x:v>
      </x:c>
      <x:c r="Z9" s="170" t="n">
        <x:f>IF(A9="","",VLOOKUP(E9,SP_WARF_Factors,2,FALSE))</x:f>
        <x:v>361.17</x:v>
      </x:c>
      <x:c r="AA9" s="172" t="n">
        <x:f>IF(A9="","",D9*Z9)</x:f>
        <x:v>211645620</x:v>
      </x:c>
      <x:c r="AB9" s="170" t="n">
        <x:f>IF(A9="","",D9*ABS(Z9-SPWARF))</x:f>
        <x:v>1182670072.7853334</x:v>
      </x:c>
    </x:row>
    <x:row r="10">
      <x:c r="A10" s="8" t="str">
        <x:v>SYN-LN-00003</x:v>
      </x:c>
      <x:c r="B10" s="8" t="str">
        <x:v>SYN-OB-0003</x:v>
      </x:c>
      <x:c r="C10" s="8" t="str">
        <x:v>Arbor Corp. 003</x:v>
      </x:c>
      <x:c r="D10" s="9" t="n">
        <x:v>1182000</x:v>
      </x:c>
      <x:c r="E10" s="8" t="str">
        <x:v>B</x:v>
      </x:c>
      <x:c r="F10" s="8" t="str">
        <x:v>Industrial Conglomerates</x:v>
      </x:c>
      <x:c r="G10" s="8" t="str">
        <x:v>United States</x:v>
      </x:c>
      <x:c r="H10" s="8" t="str">
        <x:v>1st Lien</x:v>
      </x:c>
      <x:c r="I10" s="8" t="str">
        <x:v>Floating</x:v>
      </x:c>
      <x:c r="J10" s="8" t="n">
        <x:v>255</x:v>
      </x:c>
      <x:c r="K10" s="10"/>
      <x:c r="L10" s="8" t="n">
        <x:v>0</x:v>
      </x:c>
      <x:c r="M10" s="11" t="n">
        <x:v>48319</x:v>
      </x:c>
      <x:c r="N10" s="10" t="n">
        <x:v>0.405</x:v>
      </x:c>
      <x:c r="O10" s="12" t="n">
        <x:v>100.25</x:v>
      </x:c>
      <x:c r="P10" s="13" t="n">
        <x:v>4</x:v>
      </x:c>
      <x:c r="Q10" s="8" t="str">
        <x:v>USD</x:v>
      </x:c>
      <x:c r="R10" s="8" t="str">
        <x:v>SOFR</x:v>
      </x:c>
      <x:c r="S10" s="18" t="n">
        <x:f>IF(Portfolio_Par&gt;0,D10/Portfolio_Par,"")</x:f>
        <x:v>0.00394</x:v>
      </x:c>
      <x:c r="T10" s="19" t="n">
        <x:f>IF(A10="","",(M10-as_of_date)/365.25)</x:f>
        <x:v>5.286789869952088</x:v>
      </x:c>
      <x:c r="U10" s="20" t="n">
        <x:f>IF(I10="Floating",D10*J10,0)</x:f>
        <x:v>301410000</x:v>
      </x:c>
      <x:c r="V10" s="20" t="n">
        <x:f>IF(A10="","",D10*N10)</x:f>
        <x:v>478710.00000000006</x:v>
      </x:c>
      <x:c r="W10" s="14" t="n">
        <x:f>IF(A10='Run Snapshot'!A10,0,1)+IF(B10='Run Snapshot'!B10,0,1)+IF(C10='Run Snapshot'!C10,0,1)+IF(D10='Run Snapshot'!D10,0,1)+IF(E10='Run Snapshot'!E10,0,1)+IF(F10='Run Snapshot'!F10,0,1)+IF(G10='Run Snapshot'!G10,0,1)+IF(H10='Run Snapshot'!H10,0,1)+IF(I10='Run Snapshot'!I10,0,1)+IF(J10='Run Snapshot'!J10,0,1)+IF(K10='Run Snapshot'!K10,0,1)+IF(L10='Run Snapshot'!L10,0,1)+IF(M10='Run Snapshot'!M10,0,1)+IF(N10='Run Snapshot'!N10,0,1)+IF(O10='Run Snapshot'!O10,0,1)+IF(P10='Run Snapshot'!P10,0,1)+IF(Q10='Run Snapshot'!Q10,0,1)+IF(R10='Run Snapshot'!R10,0,1)</x:f>
        <x:v>0</x:v>
      </x:c>
      <x:c r="X10" s="15" t="n">
        <x:f>IF(A10="",0,COUNTIF($A$8:$A$289,A10)-1)</x:f>
        <x:v>0</x:v>
      </x:c>
      <x:c r="Y10" s="14" t="n">
        <x:f>IF(A10="",1,IF(OR(D10&lt;=0,N10&lt;0,N10&gt;1,M10&lt;=as_of_date),1,0))</x:f>
        <x:v>0</x:v>
      </x:c>
      <x:c r="Z10" s="170" t="n">
        <x:f>IF(A10="","",VLOOKUP(E10,SP_WARF_Factors,2,FALSE))</x:f>
        <x:v>2859.5</x:v>
      </x:c>
      <x:c r="AA10" s="172" t="n">
        <x:f>IF(A10="","",D10*Z10)</x:f>
        <x:v>3379929000</x:v>
      </x:c>
      <x:c r="AB10" s="170" t="n">
        <x:f>IF(A10="","",D10*ABS(Z10-SPWARF))</x:f>
        <x:v>567503831.2759999</x:v>
      </x:c>
    </x:row>
    <x:row r="11">
      <x:c r="A11" s="8" t="str">
        <x:v>SYN-LN-00004</x:v>
      </x:c>
      <x:c r="B11" s="8" t="str">
        <x:v>SYN-OB-0004</x:v>
      </x:c>
      <x:c r="C11" s="8" t="str">
        <x:v>Atlas Group 004</x:v>
      </x:c>
      <x:c r="D11" s="9" t="n">
        <x:v>1182000</x:v>
      </x:c>
      <x:c r="E11" s="8" t="str">
        <x:v>B-</x:v>
      </x:c>
      <x:c r="F11" s="8" t="str">
        <x:v>Financial services</x:v>
      </x:c>
      <x:c r="G11" s="8" t="str">
        <x:v>United States</x:v>
      </x:c>
      <x:c r="H11" s="8" t="str">
        <x:v>1st Lien</x:v>
      </x:c>
      <x:c r="I11" s="8" t="str">
        <x:v>Floating</x:v>
      </x:c>
      <x:c r="J11" s="8" t="n">
        <x:v>575</x:v>
      </x:c>
      <x:c r="K11" s="10"/>
      <x:c r="L11" s="8" t="n">
        <x:v>0</x:v>
      </x:c>
      <x:c r="M11" s="11" t="n">
        <x:v>47968</x:v>
      </x:c>
      <x:c r="N11" s="10" t="n">
        <x:v>0.305</x:v>
      </x:c>
      <x:c r="O11" s="12" t="n">
        <x:v>101.25</x:v>
      </x:c>
      <x:c r="P11" s="13" t="n">
        <x:v>4</x:v>
      </x:c>
      <x:c r="Q11" s="8" t="str">
        <x:v>USD</x:v>
      </x:c>
      <x:c r="R11" s="8" t="str">
        <x:v>SOFR</x:v>
      </x:c>
      <x:c r="S11" s="18" t="n">
        <x:f>IF(Portfolio_Par&gt;0,D11/Portfolio_Par,"")</x:f>
        <x:v>0.00394</x:v>
      </x:c>
      <x:c r="T11" s="19" t="n">
        <x:f>IF(A11="","",(M11-as_of_date)/365.25)</x:f>
        <x:v>4.32580424366872</x:v>
      </x:c>
      <x:c r="U11" s="20" t="n">
        <x:f>IF(I11="Floating",D11*J11,0)</x:f>
        <x:v>679650000</x:v>
      </x:c>
      <x:c r="V11" s="20" t="n">
        <x:f>IF(A11="","",D11*N11)</x:f>
        <x:v>360510</x:v>
      </x:c>
      <x:c r="W11" s="14" t="n">
        <x:f>IF(A11='Run Snapshot'!A11,0,1)+IF(B11='Run Snapshot'!B11,0,1)+IF(C11='Run Snapshot'!C11,0,1)+IF(D11='Run Snapshot'!D11,0,1)+IF(E11='Run Snapshot'!E11,0,1)+IF(F11='Run Snapshot'!F11,0,1)+IF(G11='Run Snapshot'!G11,0,1)+IF(H11='Run Snapshot'!H11,0,1)+IF(I11='Run Snapshot'!I11,0,1)+IF(J11='Run Snapshot'!J11,0,1)+IF(K11='Run Snapshot'!K11,0,1)+IF(L11='Run Snapshot'!L11,0,1)+IF(M11='Run Snapshot'!M11,0,1)+IF(N11='Run Snapshot'!N11,0,1)+IF(O11='Run Snapshot'!O11,0,1)+IF(P11='Run Snapshot'!P11,0,1)+IF(Q11='Run Snapshot'!Q11,0,1)+IF(R11='Run Snapshot'!R11,0,1)</x:f>
        <x:v>0</x:v>
      </x:c>
      <x:c r="X11" s="15" t="n">
        <x:f>IF(A11="",0,COUNTIF($A$8:$A$289,A11)-1)</x:f>
        <x:v>0</x:v>
      </x:c>
      <x:c r="Y11" s="14" t="n">
        <x:f>IF(A11="",1,IF(OR(D11&lt;=0,N11&lt;0,N11&gt;1,M11&lt;=as_of_date),1,0))</x:f>
        <x:v>0</x:v>
      </x:c>
      <x:c r="Z11" s="170" t="n">
        <x:f>IF(A11="","",VLOOKUP(E11,SP_WARF_Factors,2,FALSE))</x:f>
        <x:v>3610.11</x:v>
      </x:c>
      <x:c r="AA11" s="172" t="n">
        <x:f>IF(A11="","",D11*Z11)</x:f>
        <x:v>4267150020</x:v>
      </x:c>
      <x:c r="AB11" s="170" t="n">
        <x:f>IF(A11="","",D11*ABS(Z11-SPWARF))</x:f>
        <x:v>1454724851.276</x:v>
      </x:c>
    </x:row>
    <x:row r="12">
      <x:c r="A12" s="8" t="str">
        <x:v>SYN-LN-00005</x:v>
      </x:c>
      <x:c r="B12" s="8" t="str">
        <x:v>SYN-OB-0005</x:v>
      </x:c>
      <x:c r="C12" s="8" t="str">
        <x:v>Beacon LLC 005</x:v>
      </x:c>
      <x:c r="D12" s="9" t="n">
        <x:v>1182000</x:v>
      </x:c>
      <x:c r="E12" s="8" t="str">
        <x:v>B</x:v>
      </x:c>
      <x:c r="F12" s="8" t="str">
        <x:v>Healthcare Providers &amp; Services</x:v>
      </x:c>
      <x:c r="G12" s="8" t="str">
        <x:v>United States</x:v>
      </x:c>
      <x:c r="H12" s="8" t="str">
        <x:v>1st Lien</x:v>
      </x:c>
      <x:c r="I12" s="8" t="str">
        <x:v>Floating</x:v>
      </x:c>
      <x:c r="J12" s="8" t="n">
        <x:v>195</x:v>
      </x:c>
      <x:c r="K12" s="10"/>
      <x:c r="L12" s="8" t="n">
        <x:v>0</x:v>
      </x:c>
      <x:c r="M12" s="11" t="n">
        <x:v>47937</x:v>
      </x:c>
      <x:c r="N12" s="10" t="n">
        <x:v>0.36</x:v>
      </x:c>
      <x:c r="O12" s="12" t="n">
        <x:v>96.75</x:v>
      </x:c>
      <x:c r="P12" s="13" t="n">
        <x:v>4</x:v>
      </x:c>
      <x:c r="Q12" s="8" t="str">
        <x:v>USD</x:v>
      </x:c>
      <x:c r="R12" s="8" t="str">
        <x:v>SOFR</x:v>
      </x:c>
      <x:c r="S12" s="18" t="n">
        <x:f>IF(Portfolio_Par&gt;0,D12/Portfolio_Par,"")</x:f>
        <x:v>0.00394</x:v>
      </x:c>
      <x:c r="T12" s="19" t="n">
        <x:f>IF(A12="","",(M12-as_of_date)/365.25)</x:f>
        <x:v>4.240930869267625</x:v>
      </x:c>
      <x:c r="U12" s="20" t="n">
        <x:f>IF(I12="Floating",D12*J12,0)</x:f>
        <x:v>230490000</x:v>
      </x:c>
      <x:c r="V12" s="20" t="n">
        <x:f>IF(A12="","",D12*N12)</x:f>
        <x:v>425520</x:v>
      </x:c>
      <x:c r="W12" s="14" t="n">
        <x:f>IF(A12='Run Snapshot'!A12,0,1)+IF(B12='Run Snapshot'!B12,0,1)+IF(C12='Run Snapshot'!C12,0,1)+IF(D12='Run Snapshot'!D12,0,1)+IF(E12='Run Snapshot'!E12,0,1)+IF(F12='Run Snapshot'!F12,0,1)+IF(G12='Run Snapshot'!G12,0,1)+IF(H12='Run Snapshot'!H12,0,1)+IF(I12='Run Snapshot'!I12,0,1)+IF(J12='Run Snapshot'!J12,0,1)+IF(K12='Run Snapshot'!K12,0,1)+IF(L12='Run Snapshot'!L12,0,1)+IF(M12='Run Snapshot'!M12,0,1)+IF(N12='Run Snapshot'!N12,0,1)+IF(O12='Run Snapshot'!O12,0,1)+IF(P12='Run Snapshot'!P12,0,1)+IF(Q12='Run Snapshot'!Q12,0,1)+IF(R12='Run Snapshot'!R12,0,1)</x:f>
        <x:v>0</x:v>
      </x:c>
      <x:c r="X12" s="15" t="n">
        <x:f>IF(A12="",0,COUNTIF($A$8:$A$289,A12)-1)</x:f>
        <x:v>0</x:v>
      </x:c>
      <x:c r="Y12" s="14" t="n">
        <x:f>IF(A12="",1,IF(OR(D12&lt;=0,N12&lt;0,N12&gt;1,M12&lt;=as_of_date),1,0))</x:f>
        <x:v>0</x:v>
      </x:c>
      <x:c r="Z12" s="170" t="n">
        <x:f>IF(A12="","",VLOOKUP(E12,SP_WARF_Factors,2,FALSE))</x:f>
        <x:v>2859.5</x:v>
      </x:c>
      <x:c r="AA12" s="172" t="n">
        <x:f>IF(A12="","",D12*Z12)</x:f>
        <x:v>3379929000</x:v>
      </x:c>
      <x:c r="AB12" s="170" t="n">
        <x:f>IF(A12="","",D12*ABS(Z12-SPWARF))</x:f>
        <x:v>567503831.2759999</x:v>
      </x:c>
    </x:row>
    <x:row r="13">
      <x:c r="A13" s="8" t="str">
        <x:v>SYN-LN-00006</x:v>
      </x:c>
      <x:c r="B13" s="8" t="str">
        <x:v>SYN-OB-0006</x:v>
      </x:c>
      <x:c r="C13" s="8" t="str">
        <x:v>Bluewater Holdings 006</x:v>
      </x:c>
      <x:c r="D13" s="9" t="n">
        <x:v>1182000</x:v>
      </x:c>
      <x:c r="E13" s="8" t="str">
        <x:v>B</x:v>
      </x:c>
      <x:c r="F13" s="8" t="str">
        <x:v>Chemicals</x:v>
      </x:c>
      <x:c r="G13" s="8" t="str">
        <x:v>United States</x:v>
      </x:c>
      <x:c r="H13" s="8" t="str">
        <x:v>1st Lien</x:v>
      </x:c>
      <x:c r="I13" s="8" t="str">
        <x:v>Floating</x:v>
      </x:c>
      <x:c r="J13" s="8" t="n">
        <x:v>325</x:v>
      </x:c>
      <x:c r="K13" s="10"/>
      <x:c r="L13" s="8" t="n">
        <x:v>0</x:v>
      </x:c>
      <x:c r="M13" s="11" t="n">
        <x:v>48594</x:v>
      </x:c>
      <x:c r="N13" s="10" t="n">
        <x:v>0.43</x:v>
      </x:c>
      <x:c r="O13" s="12" t="n">
        <x:v>99</x:v>
      </x:c>
      <x:c r="P13" s="13" t="n">
        <x:v>4</x:v>
      </x:c>
      <x:c r="Q13" s="8" t="str">
        <x:v>USD</x:v>
      </x:c>
      <x:c r="R13" s="8" t="str">
        <x:v>SOFR</x:v>
      </x:c>
      <x:c r="S13" s="18" t="n">
        <x:f>IF(Portfolio_Par&gt;0,D13/Portfolio_Par,"")</x:f>
        <x:v>0.00394</x:v>
      </x:c>
      <x:c r="T13" s="19" t="n">
        <x:f>IF(A13="","",(M13-as_of_date)/365.25)</x:f>
        <x:v>6.039698836413415</x:v>
      </x:c>
      <x:c r="U13" s="20" t="n">
        <x:f>IF(I13="Floating",D13*J13,0)</x:f>
        <x:v>384150000</x:v>
      </x:c>
      <x:c r="V13" s="20" t="n">
        <x:f>IF(A13="","",D13*N13)</x:f>
        <x:v>508260</x:v>
      </x:c>
      <x:c r="W13" s="14" t="n">
        <x:f>IF(A13='Run Snapshot'!A13,0,1)+IF(B13='Run Snapshot'!B13,0,1)+IF(C13='Run Snapshot'!C13,0,1)+IF(D13='Run Snapshot'!D13,0,1)+IF(E13='Run Snapshot'!E13,0,1)+IF(F13='Run Snapshot'!F13,0,1)+IF(G13='Run Snapshot'!G13,0,1)+IF(H13='Run Snapshot'!H13,0,1)+IF(I13='Run Snapshot'!I13,0,1)+IF(J13='Run Snapshot'!J13,0,1)+IF(K13='Run Snapshot'!K13,0,1)+IF(L13='Run Snapshot'!L13,0,1)+IF(M13='Run Snapshot'!M13,0,1)+IF(N13='Run Snapshot'!N13,0,1)+IF(O13='Run Snapshot'!O13,0,1)+IF(P13='Run Snapshot'!P13,0,1)+IF(Q13='Run Snapshot'!Q13,0,1)+IF(R13='Run Snapshot'!R13,0,1)</x:f>
        <x:v>0</x:v>
      </x:c>
      <x:c r="X13" s="15" t="n">
        <x:f>IF(A13="",0,COUNTIF($A$8:$A$289,A13)-1)</x:f>
        <x:v>0</x:v>
      </x:c>
      <x:c r="Y13" s="14" t="n">
        <x:f>IF(A13="",1,IF(OR(D13&lt;=0,N13&lt;0,N13&gt;1,M13&lt;=as_of_date),1,0))</x:f>
        <x:v>0</x:v>
      </x:c>
      <x:c r="Z13" s="170" t="n">
        <x:f>IF(A13="","",VLOOKUP(E13,SP_WARF_Factors,2,FALSE))</x:f>
        <x:v>2859.5</x:v>
      </x:c>
      <x:c r="AA13" s="172" t="n">
        <x:f>IF(A13="","",D13*Z13)</x:f>
        <x:v>3379929000</x:v>
      </x:c>
      <x:c r="AB13" s="170" t="n">
        <x:f>IF(A13="","",D13*ABS(Z13-SPWARF))</x:f>
        <x:v>567503831.2759999</x:v>
      </x:c>
    </x:row>
    <x:row r="14">
      <x:c r="A14" s="8" t="str">
        <x:v>SYN-LN-00007</x:v>
      </x:c>
      <x:c r="B14" s="8" t="str">
        <x:v>SYN-OB-0007</x:v>
      </x:c>
      <x:c r="C14" s="8" t="str">
        <x:v>Bracken Inc. 007</x:v>
      </x:c>
      <x:c r="D14" s="9" t="n">
        <x:v>1182000</x:v>
      </x:c>
      <x:c r="E14" s="8" t="str">
        <x:v>B</x:v>
      </x:c>
      <x:c r="F14" s="8" t="str">
        <x:v>Building Products</x:v>
      </x:c>
      <x:c r="G14" s="8" t="str">
        <x:v>United States</x:v>
      </x:c>
      <x:c r="H14" s="8" t="str">
        <x:v>1st Lien</x:v>
      </x:c>
      <x:c r="I14" s="8" t="str">
        <x:v>Floating</x:v>
      </x:c>
      <x:c r="J14" s="8" t="n">
        <x:v>290</x:v>
      </x:c>
      <x:c r="K14" s="10"/>
      <x:c r="L14" s="8" t="n">
        <x:v>0</x:v>
      </x:c>
      <x:c r="M14" s="11" t="n">
        <x:v>47133</x:v>
      </x:c>
      <x:c r="N14" s="10" t="n">
        <x:v>0.45</x:v>
      </x:c>
      <x:c r="O14" s="12" t="n">
        <x:v>99.5</x:v>
      </x:c>
      <x:c r="P14" s="13" t="n">
        <x:v>4</x:v>
      </x:c>
      <x:c r="Q14" s="8" t="str">
        <x:v>USD</x:v>
      </x:c>
      <x:c r="R14" s="8" t="str">
        <x:v>SOFR</x:v>
      </x:c>
      <x:c r="S14" s="18" t="n">
        <x:f>IF(Portfolio_Par&gt;0,D14/Portfolio_Par,"")</x:f>
        <x:v>0.00394</x:v>
      </x:c>
      <x:c r="T14" s="19" t="n">
        <x:f>IF(A14="","",(M14-as_of_date)/365.25)</x:f>
        <x:v>2.0396988364134154</x:v>
      </x:c>
      <x:c r="U14" s="20" t="n">
        <x:f>IF(I14="Floating",D14*J14,0)</x:f>
        <x:v>342780000</x:v>
      </x:c>
      <x:c r="V14" s="20" t="n">
        <x:f>IF(A14="","",D14*N14)</x:f>
        <x:v>531900</x:v>
      </x:c>
      <x:c r="W14" s="14" t="n">
        <x:f>IF(A14='Run Snapshot'!A14,0,1)+IF(B14='Run Snapshot'!B14,0,1)+IF(C14='Run Snapshot'!C14,0,1)+IF(D14='Run Snapshot'!D14,0,1)+IF(E14='Run Snapshot'!E14,0,1)+IF(F14='Run Snapshot'!F14,0,1)+IF(G14='Run Snapshot'!G14,0,1)+IF(H14='Run Snapshot'!H14,0,1)+IF(I14='Run Snapshot'!I14,0,1)+IF(J14='Run Snapshot'!J14,0,1)+IF(K14='Run Snapshot'!K14,0,1)+IF(L14='Run Snapshot'!L14,0,1)+IF(M14='Run Snapshot'!M14,0,1)+IF(N14='Run Snapshot'!N14,0,1)+IF(O14='Run Snapshot'!O14,0,1)+IF(P14='Run Snapshot'!P14,0,1)+IF(Q14='Run Snapshot'!Q14,0,1)+IF(R14='Run Snapshot'!R14,0,1)</x:f>
        <x:v>0</x:v>
      </x:c>
      <x:c r="X14" s="15" t="n">
        <x:f>IF(A14="",0,COUNTIF($A$8:$A$289,A14)-1)</x:f>
        <x:v>0</x:v>
      </x:c>
      <x:c r="Y14" s="14" t="n">
        <x:f>IF(A14="",1,IF(OR(D14&lt;=0,N14&lt;0,N14&gt;1,M14&lt;=as_of_date),1,0))</x:f>
        <x:v>0</x:v>
      </x:c>
      <x:c r="Z14" s="170" t="n">
        <x:f>IF(A14="","",VLOOKUP(E14,SP_WARF_Factors,2,FALSE))</x:f>
        <x:v>2859.5</x:v>
      </x:c>
      <x:c r="AA14" s="172" t="n">
        <x:f>IF(A14="","",D14*Z14)</x:f>
        <x:v>3379929000</x:v>
      </x:c>
      <x:c r="AB14" s="170" t="n">
        <x:f>IF(A14="","",D14*ABS(Z14-SPWARF))</x:f>
        <x:v>567503831.2759999</x:v>
      </x:c>
    </x:row>
    <x:row r="15">
      <x:c r="A15" s="8" t="str">
        <x:v>SYN-LN-00008</x:v>
      </x:c>
      <x:c r="B15" s="8" t="str">
        <x:v>SYN-OB-0008</x:v>
      </x:c>
      <x:c r="C15" s="8" t="str">
        <x:v>Cedar Corp. 008</x:v>
      </x:c>
      <x:c r="D15" s="9" t="n">
        <x:v>1182000</x:v>
      </x:c>
      <x:c r="E15" s="8" t="str">
        <x:v>B+</x:v>
      </x:c>
      <x:c r="F15" s="8" t="str">
        <x:v>Industrial Conglomerates</x:v>
      </x:c>
      <x:c r="G15" s="8" t="str">
        <x:v>United States</x:v>
      </x:c>
      <x:c r="H15" s="8" t="str">
        <x:v>1st Lien</x:v>
      </x:c>
      <x:c r="I15" s="8" t="str">
        <x:v>Floating</x:v>
      </x:c>
      <x:c r="J15" s="8" t="n">
        <x:v>110</x:v>
      </x:c>
      <x:c r="K15" s="10"/>
      <x:c r="L15" s="8" t="n">
        <x:v>0</x:v>
      </x:c>
      <x:c r="M15" s="11" t="n">
        <x:v>48517</x:v>
      </x:c>
      <x:c r="N15" s="10" t="n">
        <x:v>0.49</x:v>
      </x:c>
      <x:c r="O15" s="12" t="n">
        <x:v>98.5</x:v>
      </x:c>
      <x:c r="P15" s="13" t="n">
        <x:v>4</x:v>
      </x:c>
      <x:c r="Q15" s="8" t="str">
        <x:v>USD</x:v>
      </x:c>
      <x:c r="R15" s="8" t="str">
        <x:v>SOFR</x:v>
      </x:c>
      <x:c r="S15" s="18" t="n">
        <x:f>IF(Portfolio_Par&gt;0,D15/Portfolio_Par,"")</x:f>
        <x:v>0.00394</x:v>
      </x:c>
      <x:c r="T15" s="19" t="n">
        <x:f>IF(A15="","",(M15-as_of_date)/365.25)</x:f>
        <x:v>5.8288843258042435</x:v>
      </x:c>
      <x:c r="U15" s="20" t="n">
        <x:f>IF(I15="Floating",D15*J15,0)</x:f>
        <x:v>130020000</x:v>
      </x:c>
      <x:c r="V15" s="20" t="n">
        <x:f>IF(A15="","",D15*N15)</x:f>
        <x:v>579180</x:v>
      </x:c>
      <x:c r="W15" s="14" t="n">
        <x:f>IF(A15='Run Snapshot'!A15,0,1)+IF(B15='Run Snapshot'!B15,0,1)+IF(C15='Run Snapshot'!C15,0,1)+IF(D15='Run Snapshot'!D15,0,1)+IF(E15='Run Snapshot'!E15,0,1)+IF(F15='Run Snapshot'!F15,0,1)+IF(G15='Run Snapshot'!G15,0,1)+IF(H15='Run Snapshot'!H15,0,1)+IF(I15='Run Snapshot'!I15,0,1)+IF(J15='Run Snapshot'!J15,0,1)+IF(K15='Run Snapshot'!K15,0,1)+IF(L15='Run Snapshot'!L15,0,1)+IF(M15='Run Snapshot'!M15,0,1)+IF(N15='Run Snapshot'!N15,0,1)+IF(O15='Run Snapshot'!O15,0,1)+IF(P15='Run Snapshot'!P15,0,1)+IF(Q15='Run Snapshot'!Q15,0,1)+IF(R15='Run Snapshot'!R15,0,1)</x:f>
        <x:v>0</x:v>
      </x:c>
      <x:c r="X15" s="15" t="n">
        <x:f>IF(A15="",0,COUNTIF($A$8:$A$289,A15)-1)</x:f>
        <x:v>0</x:v>
      </x:c>
      <x:c r="Y15" s="14" t="n">
        <x:f>IF(A15="",1,IF(OR(D15&lt;=0,N15&lt;0,N15&gt;1,M15&lt;=as_of_date),1,0))</x:f>
        <x:v>0</x:v>
      </x:c>
      <x:c r="Z15" s="170" t="n">
        <x:f>IF(A15="","",VLOOKUP(E15,SP_WARF_Factors,2,FALSE))</x:f>
        <x:v>1982</x:v>
      </x:c>
      <x:c r="AA15" s="172" t="n">
        <x:f>IF(A15="","",D15*Z15)</x:f>
        <x:v>2342724000</x:v>
      </x:c>
      <x:c r="AB15" s="170" t="n">
        <x:f>IF(A15="","",D15*ABS(Z15-SPWARF))</x:f>
        <x:v>469701168.72400004</x:v>
      </x:c>
    </x:row>
    <x:row r="16">
      <x:c r="A16" s="8" t="str">
        <x:v>SYN-LN-00009</x:v>
      </x:c>
      <x:c r="B16" s="8" t="str">
        <x:v>SYN-OB-0009</x:v>
      </x:c>
      <x:c r="C16" s="8" t="str">
        <x:v>Cobalt Group 009</x:v>
      </x:c>
      <x:c r="D16" s="9" t="n">
        <x:v>1182000</x:v>
      </x:c>
      <x:c r="E16" s="8" t="str">
        <x:v>BB-</x:v>
      </x:c>
      <x:c r="F16" s="8" t="str">
        <x:v>Diversified Telecommunication Services</x:v>
      </x:c>
      <x:c r="G16" s="8" t="str">
        <x:v>United States</x:v>
      </x:c>
      <x:c r="H16" s="8" t="str">
        <x:v>1st Lien</x:v>
      </x:c>
      <x:c r="I16" s="8" t="str">
        <x:v>Floating</x:v>
      </x:c>
      <x:c r="J16" s="8" t="n">
        <x:v>330</x:v>
      </x:c>
      <x:c r="K16" s="10"/>
      <x:c r="L16" s="8" t="n">
        <x:v>0</x:v>
      </x:c>
      <x:c r="M16" s="11" t="n">
        <x:v>48745</x:v>
      </x:c>
      <x:c r="N16" s="10" t="n">
        <x:v>0.2</x:v>
      </x:c>
      <x:c r="O16" s="12" t="n">
        <x:v>99.75</x:v>
      </x:c>
      <x:c r="P16" s="13" t="n">
        <x:v>4</x:v>
      </x:c>
      <x:c r="Q16" s="8" t="str">
        <x:v>USD</x:v>
      </x:c>
      <x:c r="R16" s="8" t="str">
        <x:v>SOFR</x:v>
      </x:c>
      <x:c r="S16" s="18" t="n">
        <x:f>IF(Portfolio_Par&gt;0,D16/Portfolio_Par,"")</x:f>
        <x:v>0.00394</x:v>
      </x:c>
      <x:c r="T16" s="19" t="n">
        <x:f>IF(A16="","",(M16-as_of_date)/365.25)</x:f>
        <x:v>6.453114305270363</x:v>
      </x:c>
      <x:c r="U16" s="20" t="n">
        <x:f>IF(I16="Floating",D16*J16,0)</x:f>
        <x:v>390060000</x:v>
      </x:c>
      <x:c r="V16" s="20" t="n">
        <x:f>IF(A16="","",D16*N16)</x:f>
        <x:v>236400</x:v>
      </x:c>
      <x:c r="W16" s="14" t="n">
        <x:f>IF(A16='Run Snapshot'!A16,0,1)+IF(B16='Run Snapshot'!B16,0,1)+IF(C16='Run Snapshot'!C16,0,1)+IF(D16='Run Snapshot'!D16,0,1)+IF(E16='Run Snapshot'!E16,0,1)+IF(F16='Run Snapshot'!F16,0,1)+IF(G16='Run Snapshot'!G16,0,1)+IF(H16='Run Snapshot'!H16,0,1)+IF(I16='Run Snapshot'!I16,0,1)+IF(J16='Run Snapshot'!J16,0,1)+IF(K16='Run Snapshot'!K16,0,1)+IF(L16='Run Snapshot'!L16,0,1)+IF(M16='Run Snapshot'!M16,0,1)+IF(N16='Run Snapshot'!N16,0,1)+IF(O16='Run Snapshot'!O16,0,1)+IF(P16='Run Snapshot'!P16,0,1)+IF(Q16='Run Snapshot'!Q16,0,1)+IF(R16='Run Snapshot'!R16,0,1)</x:f>
        <x:v>0</x:v>
      </x:c>
      <x:c r="X16" s="15" t="n">
        <x:f>IF(A16="",0,COUNTIF($A$8:$A$289,A16)-1)</x:f>
        <x:v>0</x:v>
      </x:c>
      <x:c r="Y16" s="14" t="n">
        <x:f>IF(A16="",1,IF(OR(D16&lt;=0,N16&lt;0,N16&gt;1,M16&lt;=as_of_date),1,0))</x:f>
        <x:v>0</x:v>
      </x:c>
      <x:c r="Z16" s="170" t="n">
        <x:f>IF(A16="","",VLOOKUP(E16,SP_WARF_Factors,2,FALSE))</x:f>
        <x:v>1565.44</x:v>
      </x:c>
      <x:c r="AA16" s="172" t="n">
        <x:f>IF(A16="","",D16*Z16)</x:f>
        <x:v>1850350080</x:v>
      </x:c>
      <x:c r="AB16" s="170" t="n">
        <x:f>IF(A16="","",D16*ABS(Z16-SPWARF))</x:f>
        <x:v>962075088.724</x:v>
      </x:c>
    </x:row>
    <x:row r="17">
      <x:c r="A17" s="8" t="str">
        <x:v>SYN-LN-00010</x:v>
      </x:c>
      <x:c r="B17" s="8" t="str">
        <x:v>SYN-OB-0010</x:v>
      </x:c>
      <x:c r="C17" s="8" t="str">
        <x:v>Copper LLC 010</x:v>
      </x:c>
      <x:c r="D17" s="9" t="n">
        <x:v>1182000</x:v>
      </x:c>
      <x:c r="E17" s="8" t="str">
        <x:v>BB</x:v>
      </x:c>
      <x:c r="F17" s="8" t="str">
        <x:v>Commercial Services &amp; Supplies</x:v>
      </x:c>
      <x:c r="G17" s="8" t="str">
        <x:v>United States</x:v>
      </x:c>
      <x:c r="H17" s="8" t="str">
        <x:v>1st Lien</x:v>
      </x:c>
      <x:c r="I17" s="8" t="str">
        <x:v>Floating</x:v>
      </x:c>
      <x:c r="J17" s="8" t="n">
        <x:v>205</x:v>
      </x:c>
      <x:c r="K17" s="10"/>
      <x:c r="L17" s="8" t="n">
        <x:v>0</x:v>
      </x:c>
      <x:c r="M17" s="11" t="n">
        <x:v>48151</x:v>
      </x:c>
      <x:c r="N17" s="10" t="n">
        <x:v>0.525</x:v>
      </x:c>
      <x:c r="O17" s="12" t="n">
        <x:v>100.375</x:v>
      </x:c>
      <x:c r="P17" s="13" t="n">
        <x:v>4</x:v>
      </x:c>
      <x:c r="Q17" s="8" t="str">
        <x:v>USD</x:v>
      </x:c>
      <x:c r="R17" s="8" t="str">
        <x:v>SOFR</x:v>
      </x:c>
      <x:c r="S17" s="18" t="n">
        <x:f>IF(Portfolio_Par&gt;0,D17/Portfolio_Par,"")</x:f>
        <x:v>0.00394</x:v>
      </x:c>
      <x:c r="T17" s="19" t="n">
        <x:f>IF(A17="","",(M17-as_of_date)/365.25)</x:f>
        <x:v>4.826830937713894</x:v>
      </x:c>
      <x:c r="U17" s="20" t="n">
        <x:f>IF(I17="Floating",D17*J17,0)</x:f>
        <x:v>242310000</x:v>
      </x:c>
      <x:c r="V17" s="20" t="n">
        <x:f>IF(A17="","",D17*N17)</x:f>
        <x:v>620550</x:v>
      </x:c>
      <x:c r="W17" s="14" t="n">
        <x:f>IF(A17='Run Snapshot'!A17,0,1)+IF(B17='Run Snapshot'!B17,0,1)+IF(C17='Run Snapshot'!C17,0,1)+IF(D17='Run Snapshot'!D17,0,1)+IF(E17='Run Snapshot'!E17,0,1)+IF(F17='Run Snapshot'!F17,0,1)+IF(G17='Run Snapshot'!G17,0,1)+IF(H17='Run Snapshot'!H17,0,1)+IF(I17='Run Snapshot'!I17,0,1)+IF(J17='Run Snapshot'!J17,0,1)+IF(K17='Run Snapshot'!K17,0,1)+IF(L17='Run Snapshot'!L17,0,1)+IF(M17='Run Snapshot'!M17,0,1)+IF(N17='Run Snapshot'!N17,0,1)+IF(O17='Run Snapshot'!O17,0,1)+IF(P17='Run Snapshot'!P17,0,1)+IF(Q17='Run Snapshot'!Q17,0,1)+IF(R17='Run Snapshot'!R17,0,1)</x:f>
        <x:v>0</x:v>
      </x:c>
      <x:c r="X17" s="15" t="n">
        <x:f>IF(A17="",0,COUNTIF($A$8:$A$289,A17)-1)</x:f>
        <x:v>0</x:v>
      </x:c>
      <x:c r="Y17" s="14" t="n">
        <x:f>IF(A17="",1,IF(OR(D17&lt;=0,N17&lt;0,N17&gt;1,M17&lt;=as_of_date),1,0))</x:f>
        <x:v>0</x:v>
      </x:c>
      <x:c r="Z17" s="170" t="n">
        <x:f>IF(A17="","",VLOOKUP(E17,SP_WARF_Factors,2,FALSE))</x:f>
        <x:v>1233.63</x:v>
      </x:c>
      <x:c r="AA17" s="172" t="n">
        <x:f>IF(A17="","",D17*Z17)</x:f>
        <x:v>1458150660.0000002</x:v>
      </x:c>
      <x:c r="AB17" s="170" t="n">
        <x:f>IF(A17="","",D17*ABS(Z17-SPWARF))</x:f>
        <x:v>1354274508.724</x:v>
      </x:c>
    </x:row>
    <x:row r="18">
      <x:c r="A18" s="8" t="str">
        <x:v>SYN-LN-00011</x:v>
      </x:c>
      <x:c r="B18" s="8" t="str">
        <x:v>SYN-OB-0011</x:v>
      </x:c>
      <x:c r="C18" s="8" t="str">
        <x:v>Crest Holdings 011</x:v>
      </x:c>
      <x:c r="D18" s="9" t="n">
        <x:v>570000</x:v>
      </x:c>
      <x:c r="E18" s="8" t="str">
        <x:v>B+</x:v>
      </x:c>
      <x:c r="F18" s="8" t="str">
        <x:v>Commercial Services &amp; Supplies</x:v>
      </x:c>
      <x:c r="G18" s="8" t="str">
        <x:v>United States</x:v>
      </x:c>
      <x:c r="H18" s="8" t="str">
        <x:v>1st Lien</x:v>
      </x:c>
      <x:c r="I18" s="8" t="str">
        <x:v>Floating</x:v>
      </x:c>
      <x:c r="J18" s="8" t="n">
        <x:v>130</x:v>
      </x:c>
      <x:c r="K18" s="10"/>
      <x:c r="L18" s="8" t="n">
        <x:v>0</x:v>
      </x:c>
      <x:c r="M18" s="11" t="n">
        <x:v>48867</x:v>
      </x:c>
      <x:c r="N18" s="10" t="n">
        <x:v>0.395</x:v>
      </x:c>
      <x:c r="O18" s="12" t="n">
        <x:v>100.125</x:v>
      </x:c>
      <x:c r="P18" s="13" t="n">
        <x:v>4</x:v>
      </x:c>
      <x:c r="Q18" s="8" t="str">
        <x:v>USD</x:v>
      </x:c>
      <x:c r="R18" s="8" t="str">
        <x:v>SOFR</x:v>
      </x:c>
      <x:c r="S18" s="18" t="n">
        <x:f>IF(Portfolio_Par&gt;0,D18/Portfolio_Par,"")</x:f>
        <x:v>0.0019</x:v>
      </x:c>
      <x:c r="T18" s="19" t="n">
        <x:f>IF(A18="","",(M18-as_of_date)/365.25)</x:f>
        <x:v>6.787132101300479</x:v>
      </x:c>
      <x:c r="U18" s="20" t="n">
        <x:f>IF(I18="Floating",D18*J18,0)</x:f>
        <x:v>74100000</x:v>
      </x:c>
      <x:c r="V18" s="20" t="n">
        <x:f>IF(A18="","",D18*N18)</x:f>
        <x:v>225150</x:v>
      </x:c>
      <x:c r="W18" s="14" t="n">
        <x:f>IF(A18='Run Snapshot'!A18,0,1)+IF(B18='Run Snapshot'!B18,0,1)+IF(C18='Run Snapshot'!C18,0,1)+IF(D18='Run Snapshot'!D18,0,1)+IF(E18='Run Snapshot'!E18,0,1)+IF(F18='Run Snapshot'!F18,0,1)+IF(G18='Run Snapshot'!G18,0,1)+IF(H18='Run Snapshot'!H18,0,1)+IF(I18='Run Snapshot'!I18,0,1)+IF(J18='Run Snapshot'!J18,0,1)+IF(K18='Run Snapshot'!K18,0,1)+IF(L18='Run Snapshot'!L18,0,1)+IF(M18='Run Snapshot'!M18,0,1)+IF(N18='Run Snapshot'!N18,0,1)+IF(O18='Run Snapshot'!O18,0,1)+IF(P18='Run Snapshot'!P18,0,1)+IF(Q18='Run Snapshot'!Q18,0,1)+IF(R18='Run Snapshot'!R18,0,1)</x:f>
        <x:v>0</x:v>
      </x:c>
      <x:c r="X18" s="15" t="n">
        <x:f>IF(A18="",0,COUNTIF($A$8:$A$289,A18)-1)</x:f>
        <x:v>0</x:v>
      </x:c>
      <x:c r="Y18" s="14" t="n">
        <x:f>IF(A18="",1,IF(OR(D18&lt;=0,N18&lt;0,N18&gt;1,M18&lt;=as_of_date),1,0))</x:f>
        <x:v>0</x:v>
      </x:c>
      <x:c r="Z18" s="170" t="n">
        <x:f>IF(A18="","",VLOOKUP(E18,SP_WARF_Factors,2,FALSE))</x:f>
        <x:v>1982</x:v>
      </x:c>
      <x:c r="AA18" s="172" t="n">
        <x:f>IF(A18="","",D18*Z18)</x:f>
        <x:v>1129740000</x:v>
      </x:c>
      <x:c r="AB18" s="170" t="n">
        <x:f>IF(A18="","",D18*ABS(Z18-SPWARF))</x:f>
        <x:v>226505639.74</x:v>
      </x:c>
    </x:row>
    <x:row r="19">
      <x:c r="A19" s="8" t="str">
        <x:v>SYN-LN-00012</x:v>
      </x:c>
      <x:c r="B19" s="8" t="str">
        <x:v>SYN-OB-0011</x:v>
      </x:c>
      <x:c r="C19" s="8" t="str">
        <x:v>Crest Holdings 011</x:v>
      </x:c>
      <x:c r="D19" s="9" t="n">
        <x:v>612000</x:v>
      </x:c>
      <x:c r="E19" s="8" t="str">
        <x:v>B+</x:v>
      </x:c>
      <x:c r="F19" s="8" t="str">
        <x:v>Commercial Services &amp; Supplies</x:v>
      </x:c>
      <x:c r="G19" s="8" t="str">
        <x:v>United States</x:v>
      </x:c>
      <x:c r="H19" s="8" t="str">
        <x:v>1st Lien</x:v>
      </x:c>
      <x:c r="I19" s="8" t="str">
        <x:v>Floating</x:v>
      </x:c>
      <x:c r="J19" s="8" t="n">
        <x:v>140</x:v>
      </x:c>
      <x:c r="K19" s="10"/>
      <x:c r="L19" s="8" t="n">
        <x:v>0</x:v>
      </x:c>
      <x:c r="M19" s="11" t="n">
        <x:v>48928</x:v>
      </x:c>
      <x:c r="N19" s="10" t="n">
        <x:v>0.395</x:v>
      </x:c>
      <x:c r="O19" s="12" t="n">
        <x:v>100.25</x:v>
      </x:c>
      <x:c r="P19" s="13" t="n">
        <x:v>4</x:v>
      </x:c>
      <x:c r="Q19" s="8" t="str">
        <x:v>USD</x:v>
      </x:c>
      <x:c r="R19" s="8" t="str">
        <x:v>SOFR</x:v>
      </x:c>
      <x:c r="S19" s="18" t="n">
        <x:f>IF(Portfolio_Par&gt;0,D19/Portfolio_Par,"")</x:f>
        <x:v>0.00204</x:v>
      </x:c>
      <x:c r="T19" s="19" t="n">
        <x:f>IF(A19="","",(M19-as_of_date)/365.25)</x:f>
        <x:v>6.954140999315538</x:v>
      </x:c>
      <x:c r="U19" s="20" t="n">
        <x:f>IF(I19="Floating",D19*J19,0)</x:f>
        <x:v>85680000</x:v>
      </x:c>
      <x:c r="V19" s="20" t="n">
        <x:f>IF(A19="","",D19*N19)</x:f>
        <x:v>241740</x:v>
      </x:c>
      <x:c r="W19" s="14" t="n">
        <x:f>IF(A19='Run Snapshot'!A19,0,1)+IF(B19='Run Snapshot'!B19,0,1)+IF(C19='Run Snapshot'!C19,0,1)+IF(D19='Run Snapshot'!D19,0,1)+IF(E19='Run Snapshot'!E19,0,1)+IF(F19='Run Snapshot'!F19,0,1)+IF(G19='Run Snapshot'!G19,0,1)+IF(H19='Run Snapshot'!H19,0,1)+IF(I19='Run Snapshot'!I19,0,1)+IF(J19='Run Snapshot'!J19,0,1)+IF(K19='Run Snapshot'!K19,0,1)+IF(L19='Run Snapshot'!L19,0,1)+IF(M19='Run Snapshot'!M19,0,1)+IF(N19='Run Snapshot'!N19,0,1)+IF(O19='Run Snapshot'!O19,0,1)+IF(P19='Run Snapshot'!P19,0,1)+IF(Q19='Run Snapshot'!Q19,0,1)+IF(R19='Run Snapshot'!R19,0,1)</x:f>
        <x:v>0</x:v>
      </x:c>
      <x:c r="X19" s="15" t="n">
        <x:f>IF(A19="",0,COUNTIF($A$8:$A$289,A19)-1)</x:f>
        <x:v>0</x:v>
      </x:c>
      <x:c r="Y19" s="14" t="n">
        <x:f>IF(A19="",1,IF(OR(D19&lt;=0,N19&lt;0,N19&gt;1,M19&lt;=as_of_date),1,0))</x:f>
        <x:v>0</x:v>
      </x:c>
      <x:c r="Z19" s="170" t="n">
        <x:f>IF(A19="","",VLOOKUP(E19,SP_WARF_Factors,2,FALSE))</x:f>
        <x:v>1982</x:v>
      </x:c>
      <x:c r="AA19" s="172" t="n">
        <x:f>IF(A19="","",D19*Z19)</x:f>
        <x:v>1212984000</x:v>
      </x:c>
      <x:c r="AB19" s="170" t="n">
        <x:f>IF(A19="","",D19*ABS(Z19-SPWARF))</x:f>
        <x:v>243195528.98400003</x:v>
      </x:c>
    </x:row>
    <x:row r="20">
      <x:c r="A20" s="8" t="str">
        <x:v>SYN-LN-00013</x:v>
      </x:c>
      <x:c r="B20" s="8" t="str">
        <x:v>SYN-OB-0012</x:v>
      </x:c>
      <x:c r="C20" s="8" t="str">
        <x:v>Duneland Inc. 012</x:v>
      </x:c>
      <x:c r="D20" s="9" t="n">
        <x:v>650000</x:v>
      </x:c>
      <x:c r="E20" s="8" t="str">
        <x:v>B+</x:v>
      </x:c>
      <x:c r="F20" s="8" t="str">
        <x:v>Industrial Conglomerates</x:v>
      </x:c>
      <x:c r="G20" s="8" t="str">
        <x:v>United States</x:v>
      </x:c>
      <x:c r="H20" s="8" t="str">
        <x:v>1st Lien</x:v>
      </x:c>
      <x:c r="I20" s="8" t="str">
        <x:v>Floating</x:v>
      </x:c>
      <x:c r="J20" s="8" t="n">
        <x:v>280</x:v>
      </x:c>
      <x:c r="K20" s="10"/>
      <x:c r="L20" s="8" t="n">
        <x:v>50</x:v>
      </x:c>
      <x:c r="M20" s="11" t="n">
        <x:v>48014</x:v>
      </x:c>
      <x:c r="N20" s="10" t="n">
        <x:v>0.285</x:v>
      </x:c>
      <x:c r="O20" s="12" t="n">
        <x:v>99.625</x:v>
      </x:c>
      <x:c r="P20" s="13" t="n">
        <x:v>4</x:v>
      </x:c>
      <x:c r="Q20" s="8" t="str">
        <x:v>USD</x:v>
      </x:c>
      <x:c r="R20" s="8" t="str">
        <x:v>SOFR</x:v>
      </x:c>
      <x:c r="S20" s="18" t="n">
        <x:f>IF(Portfolio_Par&gt;0,D20/Portfolio_Par,"")</x:f>
        <x:v>0.0021666666666666666</x:v>
      </x:c>
      <x:c r="T20" s="19" t="n">
        <x:f>IF(A20="","",(M20-as_of_date)/365.25)</x:f>
        <x:v>4.4517453798767965</x:v>
      </x:c>
      <x:c r="U20" s="20" t="n">
        <x:f>IF(I20="Floating",D20*J20,0)</x:f>
        <x:v>182000000</x:v>
      </x:c>
      <x:c r="V20" s="20" t="n">
        <x:f>IF(A20="","",D20*N20)</x:f>
        <x:v>185249.99999999997</x:v>
      </x:c>
      <x:c r="W20" s="14" t="n">
        <x:f>IF(A20='Run Snapshot'!A20,0,1)+IF(B20='Run Snapshot'!B20,0,1)+IF(C20='Run Snapshot'!C20,0,1)+IF(D20='Run Snapshot'!D20,0,1)+IF(E20='Run Snapshot'!E20,0,1)+IF(F20='Run Snapshot'!F20,0,1)+IF(G20='Run Snapshot'!G20,0,1)+IF(H20='Run Snapshot'!H20,0,1)+IF(I20='Run Snapshot'!I20,0,1)+IF(J20='Run Snapshot'!J20,0,1)+IF(K20='Run Snapshot'!K20,0,1)+IF(L20='Run Snapshot'!L20,0,1)+IF(M20='Run Snapshot'!M20,0,1)+IF(N20='Run Snapshot'!N20,0,1)+IF(O20='Run Snapshot'!O20,0,1)+IF(P20='Run Snapshot'!P20,0,1)+IF(Q20='Run Snapshot'!Q20,0,1)+IF(R20='Run Snapshot'!R20,0,1)</x:f>
        <x:v>0</x:v>
      </x:c>
      <x:c r="X20" s="15" t="n">
        <x:f>IF(A20="",0,COUNTIF($A$8:$A$289,A20)-1)</x:f>
        <x:v>0</x:v>
      </x:c>
      <x:c r="Y20" s="14" t="n">
        <x:f>IF(A20="",1,IF(OR(D20&lt;=0,N20&lt;0,N20&gt;1,M20&lt;=as_of_date),1,0))</x:f>
        <x:v>0</x:v>
      </x:c>
      <x:c r="Z20" s="170" t="n">
        <x:f>IF(A20="","",VLOOKUP(E20,SP_WARF_Factors,2,FALSE))</x:f>
        <x:v>1982</x:v>
      </x:c>
      <x:c r="AA20" s="172" t="n">
        <x:f>IF(A20="","",D20*Z20)</x:f>
        <x:v>1288300000</x:v>
      </x:c>
      <x:c r="AB20" s="170" t="n">
        <x:f>IF(A20="","",D20*ABS(Z20-SPWARF))</x:f>
        <x:v>258295904.9666667</x:v>
      </x:c>
    </x:row>
    <x:row r="21">
      <x:c r="A21" s="8" t="str">
        <x:v>SYN-LN-00014</x:v>
      </x:c>
      <x:c r="B21" s="8" t="str">
        <x:v>SYN-OB-0012</x:v>
      </x:c>
      <x:c r="C21" s="8" t="str">
        <x:v>Duneland Inc. 012</x:v>
      </x:c>
      <x:c r="D21" s="9" t="n">
        <x:v>532000</x:v>
      </x:c>
      <x:c r="E21" s="8" t="str">
        <x:v>B+</x:v>
      </x:c>
      <x:c r="F21" s="8" t="str">
        <x:v>Industrial Conglomerates</x:v>
      </x:c>
      <x:c r="G21" s="8" t="str">
        <x:v>United States</x:v>
      </x:c>
      <x:c r="H21" s="8" t="str">
        <x:v>1st Lien</x:v>
      </x:c>
      <x:c r="I21" s="8" t="str">
        <x:v>Floating</x:v>
      </x:c>
      <x:c r="J21" s="8" t="n">
        <x:v>290</x:v>
      </x:c>
      <x:c r="K21" s="10"/>
      <x:c r="L21" s="8" t="n">
        <x:v>0</x:v>
      </x:c>
      <x:c r="M21" s="11" t="n">
        <x:v>48088</x:v>
      </x:c>
      <x:c r="N21" s="10" t="n">
        <x:v>0.285</x:v>
      </x:c>
      <x:c r="O21" s="12" t="n">
        <x:v>99.75</x:v>
      </x:c>
      <x:c r="P21" s="13" t="n">
        <x:v>4</x:v>
      </x:c>
      <x:c r="Q21" s="8" t="str">
        <x:v>USD</x:v>
      </x:c>
      <x:c r="R21" s="8" t="str">
        <x:v>SOFR</x:v>
      </x:c>
      <x:c r="S21" s="18" t="n">
        <x:f>IF(Portfolio_Par&gt;0,D21/Portfolio_Par,"")</x:f>
        <x:v>0.0017733333333333334</x:v>
      </x:c>
      <x:c r="T21" s="19" t="n">
        <x:f>IF(A21="","",(M21-as_of_date)/365.25)</x:f>
        <x:v>4.654346338124572</x:v>
      </x:c>
      <x:c r="U21" s="20" t="n">
        <x:f>IF(I21="Floating",D21*J21,0)</x:f>
        <x:v>154280000</x:v>
      </x:c>
      <x:c r="V21" s="20" t="n">
        <x:f>IF(A21="","",D21*N21)</x:f>
        <x:v>151620</x:v>
      </x:c>
      <x:c r="W21" s="14" t="n">
        <x:f>IF(A21='Run Snapshot'!A21,0,1)+IF(B21='Run Snapshot'!B21,0,1)+IF(C21='Run Snapshot'!C21,0,1)+IF(D21='Run Snapshot'!D21,0,1)+IF(E21='Run Snapshot'!E21,0,1)+IF(F21='Run Snapshot'!F21,0,1)+IF(G21='Run Snapshot'!G21,0,1)+IF(H21='Run Snapshot'!H21,0,1)+IF(I21='Run Snapshot'!I21,0,1)+IF(J21='Run Snapshot'!J21,0,1)+IF(K21='Run Snapshot'!K21,0,1)+IF(L21='Run Snapshot'!L21,0,1)+IF(M21='Run Snapshot'!M21,0,1)+IF(N21='Run Snapshot'!N21,0,1)+IF(O21='Run Snapshot'!O21,0,1)+IF(P21='Run Snapshot'!P21,0,1)+IF(Q21='Run Snapshot'!Q21,0,1)+IF(R21='Run Snapshot'!R21,0,1)</x:f>
        <x:v>0</x:v>
      </x:c>
      <x:c r="X21" s="15" t="n">
        <x:f>IF(A21="",0,COUNTIF($A$8:$A$289,A21)-1)</x:f>
        <x:v>0</x:v>
      </x:c>
      <x:c r="Y21" s="14" t="n">
        <x:f>IF(A21="",1,IF(OR(D21&lt;=0,N21&lt;0,N21&gt;1,M21&lt;=as_of_date),1,0))</x:f>
        <x:v>0</x:v>
      </x:c>
      <x:c r="Z21" s="170" t="n">
        <x:f>IF(A21="","",VLOOKUP(E21,SP_WARF_Factors,2,FALSE))</x:f>
        <x:v>1982</x:v>
      </x:c>
      <x:c r="AA21" s="172" t="n">
        <x:f>IF(A21="","",D21*Z21)</x:f>
        <x:v>1054424000</x:v>
      </x:c>
      <x:c r="AB21" s="170" t="n">
        <x:f>IF(A21="","",D21*ABS(Z21-SPWARF))</x:f>
        <x:v>211405263.75733337</x:v>
      </x:c>
    </x:row>
    <x:row r="22">
      <x:c r="A22" s="8" t="str">
        <x:v>SYN-LN-00015</x:v>
      </x:c>
      <x:c r="B22" s="8" t="str">
        <x:v>SYN-OB-0013</x:v>
      </x:c>
      <x:c r="C22" s="8" t="str">
        <x:v>Elmstone Corp. 013</x:v>
      </x:c>
      <x:c r="D22" s="9" t="n">
        <x:v>1182000</x:v>
      </x:c>
      <x:c r="E22" s="8" t="str">
        <x:v>BB</x:v>
      </x:c>
      <x:c r="F22" s="8" t="str">
        <x:v>Construction Materials</x:v>
      </x:c>
      <x:c r="G22" s="8" t="str">
        <x:v>United States</x:v>
      </x:c>
      <x:c r="H22" s="8" t="str">
        <x:v>1st Lien</x:v>
      </x:c>
      <x:c r="I22" s="8" t="str">
        <x:v>Floating</x:v>
      </x:c>
      <x:c r="J22" s="8" t="n">
        <x:v>195</x:v>
      </x:c>
      <x:c r="K22" s="10"/>
      <x:c r="L22" s="8" t="n">
        <x:v>0</x:v>
      </x:c>
      <x:c r="M22" s="11" t="n">
        <x:v>48027</x:v>
      </x:c>
      <x:c r="N22" s="10" t="n">
        <x:v>0.315</x:v>
      </x:c>
      <x:c r="O22" s="12" t="n">
        <x:v>99.25</x:v>
      </x:c>
      <x:c r="P22" s="13" t="n">
        <x:v>4</x:v>
      </x:c>
      <x:c r="Q22" s="8" t="str">
        <x:v>USD</x:v>
      </x:c>
      <x:c r="R22" s="8" t="str">
        <x:v>SOFR</x:v>
      </x:c>
      <x:c r="S22" s="18" t="n">
        <x:f>IF(Portfolio_Par&gt;0,D22/Portfolio_Par,"")</x:f>
        <x:v>0.00394</x:v>
      </x:c>
      <x:c r="T22" s="19" t="n">
        <x:f>IF(A22="","",(M22-as_of_date)/365.25)</x:f>
        <x:v>4.487337440109514</x:v>
      </x:c>
      <x:c r="U22" s="20" t="n">
        <x:f>IF(I22="Floating",D22*J22,0)</x:f>
        <x:v>230490000</x:v>
      </x:c>
      <x:c r="V22" s="20" t="n">
        <x:f>IF(A22="","",D22*N22)</x:f>
        <x:v>372330</x:v>
      </x:c>
      <x:c r="W22" s="14" t="n">
        <x:f>IF(A22='Run Snapshot'!A22,0,1)+IF(B22='Run Snapshot'!B22,0,1)+IF(C22='Run Snapshot'!C22,0,1)+IF(D22='Run Snapshot'!D22,0,1)+IF(E22='Run Snapshot'!E22,0,1)+IF(F22='Run Snapshot'!F22,0,1)+IF(G22='Run Snapshot'!G22,0,1)+IF(H22='Run Snapshot'!H22,0,1)+IF(I22='Run Snapshot'!I22,0,1)+IF(J22='Run Snapshot'!J22,0,1)+IF(K22='Run Snapshot'!K22,0,1)+IF(L22='Run Snapshot'!L22,0,1)+IF(M22='Run Snapshot'!M22,0,1)+IF(N22='Run Snapshot'!N22,0,1)+IF(O22='Run Snapshot'!O22,0,1)+IF(P22='Run Snapshot'!P22,0,1)+IF(Q22='Run Snapshot'!Q22,0,1)+IF(R22='Run Snapshot'!R22,0,1)</x:f>
        <x:v>0</x:v>
      </x:c>
      <x:c r="X22" s="15" t="n">
        <x:f>IF(A22="",0,COUNTIF($A$8:$A$289,A22)-1)</x:f>
        <x:v>0</x:v>
      </x:c>
      <x:c r="Y22" s="14" t="n">
        <x:f>IF(A22="",1,IF(OR(D22&lt;=0,N22&lt;0,N22&gt;1,M22&lt;=as_of_date),1,0))</x:f>
        <x:v>0</x:v>
      </x:c>
      <x:c r="Z22" s="170" t="n">
        <x:f>IF(A22="","",VLOOKUP(E22,SP_WARF_Factors,2,FALSE))</x:f>
        <x:v>1233.63</x:v>
      </x:c>
      <x:c r="AA22" s="172" t="n">
        <x:f>IF(A22="","",D22*Z22)</x:f>
        <x:v>1458150660.0000002</x:v>
      </x:c>
      <x:c r="AB22" s="170" t="n">
        <x:f>IF(A22="","",D22*ABS(Z22-SPWARF))</x:f>
        <x:v>1354274508.724</x:v>
      </x:c>
    </x:row>
    <x:row r="23">
      <x:c r="A23" s="8" t="str">
        <x:v>SYN-LN-00016</x:v>
      </x:c>
      <x:c r="B23" s="8" t="str">
        <x:v>SYN-OB-0014</x:v>
      </x:c>
      <x:c r="C23" s="8" t="str">
        <x:v>Evergreen Group 014</x:v>
      </x:c>
      <x:c r="D23" s="9" t="n">
        <x:v>1182000</x:v>
      </x:c>
      <x:c r="E23" s="8" t="str">
        <x:v>BB-</x:v>
      </x:c>
      <x:c r="F23" s="8" t="str">
        <x:v>Hotels, Restaurants &amp; Leisure</x:v>
      </x:c>
      <x:c r="G23" s="8" t="str">
        <x:v>United States</x:v>
      </x:c>
      <x:c r="H23" s="8" t="str">
        <x:v>1st Lien</x:v>
      </x:c>
      <x:c r="I23" s="8" t="str">
        <x:v>Floating</x:v>
      </x:c>
      <x:c r="J23" s="8" t="n">
        <x:v>215</x:v>
      </x:c>
      <x:c r="K23" s="10"/>
      <x:c r="L23" s="8" t="n">
        <x:v>0</x:v>
      </x:c>
      <x:c r="M23" s="11" t="n">
        <x:v>48288</x:v>
      </x:c>
      <x:c r="N23" s="10" t="n">
        <x:v>0.725</x:v>
      </x:c>
      <x:c r="O23" s="12" t="n">
        <x:v>98.125</x:v>
      </x:c>
      <x:c r="P23" s="13" t="n">
        <x:v>4</x:v>
      </x:c>
      <x:c r="Q23" s="8" t="str">
        <x:v>USD</x:v>
      </x:c>
      <x:c r="R23" s="8" t="str">
        <x:v>SOFR</x:v>
      </x:c>
      <x:c r="S23" s="18" t="n">
        <x:f>IF(Portfolio_Par&gt;0,D23/Portfolio_Par,"")</x:f>
        <x:v>0.00394</x:v>
      </x:c>
      <x:c r="T23" s="19" t="n">
        <x:f>IF(A23="","",(M23-as_of_date)/365.25)</x:f>
        <x:v>5.201916495550993</x:v>
      </x:c>
      <x:c r="U23" s="20" t="n">
        <x:f>IF(I23="Floating",D23*J23,0)</x:f>
        <x:v>254130000</x:v>
      </x:c>
      <x:c r="V23" s="20" t="n">
        <x:f>IF(A23="","",D23*N23)</x:f>
        <x:v>856950</x:v>
      </x:c>
      <x:c r="W23" s="14" t="n">
        <x:f>IF(A23='Run Snapshot'!A23,0,1)+IF(B23='Run Snapshot'!B23,0,1)+IF(C23='Run Snapshot'!C23,0,1)+IF(D23='Run Snapshot'!D23,0,1)+IF(E23='Run Snapshot'!E23,0,1)+IF(F23='Run Snapshot'!F23,0,1)+IF(G23='Run Snapshot'!G23,0,1)+IF(H23='Run Snapshot'!H23,0,1)+IF(I23='Run Snapshot'!I23,0,1)+IF(J23='Run Snapshot'!J23,0,1)+IF(K23='Run Snapshot'!K23,0,1)+IF(L23='Run Snapshot'!L23,0,1)+IF(M23='Run Snapshot'!M23,0,1)+IF(N23='Run Snapshot'!N23,0,1)+IF(O23='Run Snapshot'!O23,0,1)+IF(P23='Run Snapshot'!P23,0,1)+IF(Q23='Run Snapshot'!Q23,0,1)+IF(R23='Run Snapshot'!R23,0,1)</x:f>
        <x:v>0</x:v>
      </x:c>
      <x:c r="X23" s="15" t="n">
        <x:f>IF(A23="",0,COUNTIF($A$8:$A$289,A23)-1)</x:f>
        <x:v>0</x:v>
      </x:c>
      <x:c r="Y23" s="14" t="n">
        <x:f>IF(A23="",1,IF(OR(D23&lt;=0,N23&lt;0,N23&gt;1,M23&lt;=as_of_date),1,0))</x:f>
        <x:v>0</x:v>
      </x:c>
      <x:c r="Z23" s="170" t="n">
        <x:f>IF(A23="","",VLOOKUP(E23,SP_WARF_Factors,2,FALSE))</x:f>
        <x:v>1565.44</x:v>
      </x:c>
      <x:c r="AA23" s="172" t="n">
        <x:f>IF(A23="","",D23*Z23)</x:f>
        <x:v>1850350080</x:v>
      </x:c>
      <x:c r="AB23" s="170" t="n">
        <x:f>IF(A23="","",D23*ABS(Z23-SPWARF))</x:f>
        <x:v>962075088.724</x:v>
      </x:c>
    </x:row>
    <x:row r="24">
      <x:c r="A24" s="8" t="str">
        <x:v>SYN-LN-00017</x:v>
      </x:c>
      <x:c r="B24" s="8" t="str">
        <x:v>SYN-OB-0015</x:v>
      </x:c>
      <x:c r="C24" s="8" t="str">
        <x:v>Fairhaven LLC 015</x:v>
      </x:c>
      <x:c r="D24" s="9" t="n">
        <x:v>630000</x:v>
      </x:c>
      <x:c r="E24" s="8" t="str">
        <x:v>BB-</x:v>
      </x:c>
      <x:c r="F24" s="8" t="str">
        <x:v>Beverages</x:v>
      </x:c>
      <x:c r="G24" s="8" t="str">
        <x:v>Switzerland</x:v>
      </x:c>
      <x:c r="H24" s="8" t="str">
        <x:v>Sr Secured</x:v>
      </x:c>
      <x:c r="I24" s="8" t="str">
        <x:v>Fixed</x:v>
      </x:c>
      <x:c r="J24" s="8"/>
      <x:c r="K24" s="10" t="n">
        <x:v>0.0455</x:v>
      </x:c>
      <x:c r="L24" s="8"/>
      <x:c r="M24" s="11" t="n">
        <x:v>49003</x:v>
      </x:c>
      <x:c r="N24" s="10" t="n">
        <x:v>0.325</x:v>
      </x:c>
      <x:c r="O24" s="12" t="n">
        <x:v>99</x:v>
      </x:c>
      <x:c r="P24" s="13" t="n">
        <x:v>2</x:v>
      </x:c>
      <x:c r="Q24" s="8" t="str">
        <x:v>USD</x:v>
      </x:c>
      <x:c r="R24" s="8"/>
      <x:c r="S24" s="18" t="n">
        <x:f>IF(Portfolio_Par&gt;0,D24/Portfolio_Par,"")</x:f>
        <x:v>0.0021</x:v>
      </x:c>
      <x:c r="T24" s="19" t="n">
        <x:f>IF(A24="","",(M24-as_of_date)/365.25)</x:f>
        <x:v>7.1594798083504445</x:v>
      </x:c>
      <x:c r="U24" s="20" t="n">
        <x:f>IF(I24="Floating",D24*J24,0)</x:f>
        <x:v>0</x:v>
      </x:c>
      <x:c r="V24" s="20" t="n">
        <x:f>IF(A24="","",D24*N24)</x:f>
        <x:v>204750</x:v>
      </x:c>
      <x:c r="W24" s="14" t="n">
        <x:f>IF(A24='Run Snapshot'!A24,0,1)+IF(B24='Run Snapshot'!B24,0,1)+IF(C24='Run Snapshot'!C24,0,1)+IF(D24='Run Snapshot'!D24,0,1)+IF(E24='Run Snapshot'!E24,0,1)+IF(F24='Run Snapshot'!F24,0,1)+IF(G24='Run Snapshot'!G24,0,1)+IF(H24='Run Snapshot'!H24,0,1)+IF(I24='Run Snapshot'!I24,0,1)+IF(J24='Run Snapshot'!J24,0,1)+IF(K24='Run Snapshot'!K24,0,1)+IF(L24='Run Snapshot'!L24,0,1)+IF(M24='Run Snapshot'!M24,0,1)+IF(N24='Run Snapshot'!N24,0,1)+IF(O24='Run Snapshot'!O24,0,1)+IF(P24='Run Snapshot'!P24,0,1)+IF(Q24='Run Snapshot'!Q24,0,1)+IF(R24='Run Snapshot'!R24,0,1)</x:f>
        <x:v>0</x:v>
      </x:c>
      <x:c r="X24" s="15" t="n">
        <x:f>IF(A24="",0,COUNTIF($A$8:$A$289,A24)-1)</x:f>
        <x:v>0</x:v>
      </x:c>
      <x:c r="Y24" s="14" t="n">
        <x:f>IF(A24="",1,IF(OR(D24&lt;=0,N24&lt;0,N24&gt;1,M24&lt;=as_of_date),1,0))</x:f>
        <x:v>0</x:v>
      </x:c>
      <x:c r="Z24" s="170" t="n">
        <x:f>IF(A24="","",VLOOKUP(E24,SP_WARF_Factors,2,FALSE))</x:f>
        <x:v>1565.44</x:v>
      </x:c>
      <x:c r="AA24" s="172" t="n">
        <x:f>IF(A24="","",D24*Z24)</x:f>
        <x:v>986227200</x:v>
      </x:c>
      <x:c r="AB24" s="170" t="n">
        <x:f>IF(A24="","",D24*ABS(Z24-SPWARF))</x:f>
        <x:v>512781138.65999997</x:v>
      </x:c>
    </x:row>
    <x:row r="25">
      <x:c r="A25" s="8" t="str">
        <x:v>SYN-LN-00018</x:v>
      </x:c>
      <x:c r="B25" s="8" t="str">
        <x:v>SYN-OB-0016</x:v>
      </x:c>
      <x:c r="C25" s="8" t="str">
        <x:v>Granite Holdings 016</x:v>
      </x:c>
      <x:c r="D25" s="9" t="n">
        <x:v>1182000</x:v>
      </x:c>
      <x:c r="E25" s="8" t="str">
        <x:v>BB</x:v>
      </x:c>
      <x:c r="F25" s="8" t="str">
        <x:v>Banks</x:v>
      </x:c>
      <x:c r="G25" s="8" t="str">
        <x:v>United States</x:v>
      </x:c>
      <x:c r="H25" s="8" t="str">
        <x:v>1st Lien</x:v>
      </x:c>
      <x:c r="I25" s="8" t="str">
        <x:v>Floating</x:v>
      </x:c>
      <x:c r="J25" s="8" t="n">
        <x:v>285</x:v>
      </x:c>
      <x:c r="K25" s="10"/>
      <x:c r="L25" s="8" t="n">
        <x:v>0</x:v>
      </x:c>
      <x:c r="M25" s="11" t="n">
        <x:v>47710</x:v>
      </x:c>
      <x:c r="N25" s="10" t="n">
        <x:v>0.45</x:v>
      </x:c>
      <x:c r="O25" s="12" t="n">
        <x:v>101.5</x:v>
      </x:c>
      <x:c r="P25" s="13" t="n">
        <x:v>4</x:v>
      </x:c>
      <x:c r="Q25" s="8" t="str">
        <x:v>USD</x:v>
      </x:c>
      <x:c r="R25" s="8" t="str">
        <x:v>SOFR</x:v>
      </x:c>
      <x:c r="S25" s="18" t="n">
        <x:f>IF(Portfolio_Par&gt;0,D25/Portfolio_Par,"")</x:f>
        <x:v>0.00394</x:v>
      </x:c>
      <x:c r="T25" s="19" t="n">
        <x:f>IF(A25="","",(M25-as_of_date)/365.25)</x:f>
        <x:v>3.619438740588638</x:v>
      </x:c>
      <x:c r="U25" s="20" t="n">
        <x:f>IF(I25="Floating",D25*J25,0)</x:f>
        <x:v>336870000</x:v>
      </x:c>
      <x:c r="V25" s="20" t="n">
        <x:f>IF(A25="","",D25*N25)</x:f>
        <x:v>531900</x:v>
      </x:c>
      <x:c r="W25" s="14" t="n">
        <x:f>IF(A25='Run Snapshot'!A25,0,1)+IF(B25='Run Snapshot'!B25,0,1)+IF(C25='Run Snapshot'!C25,0,1)+IF(D25='Run Snapshot'!D25,0,1)+IF(E25='Run Snapshot'!E25,0,1)+IF(F25='Run Snapshot'!F25,0,1)+IF(G25='Run Snapshot'!G25,0,1)+IF(H25='Run Snapshot'!H25,0,1)+IF(I25='Run Snapshot'!I25,0,1)+IF(J25='Run Snapshot'!J25,0,1)+IF(K25='Run Snapshot'!K25,0,1)+IF(L25='Run Snapshot'!L25,0,1)+IF(M25='Run Snapshot'!M25,0,1)+IF(N25='Run Snapshot'!N25,0,1)+IF(O25='Run Snapshot'!O25,0,1)+IF(P25='Run Snapshot'!P25,0,1)+IF(Q25='Run Snapshot'!Q25,0,1)+IF(R25='Run Snapshot'!R25,0,1)</x:f>
        <x:v>0</x:v>
      </x:c>
      <x:c r="X25" s="15" t="n">
        <x:f>IF(A25="",0,COUNTIF($A$8:$A$289,A25)-1)</x:f>
        <x:v>0</x:v>
      </x:c>
      <x:c r="Y25" s="14" t="n">
        <x:f>IF(A25="",1,IF(OR(D25&lt;=0,N25&lt;0,N25&gt;1,M25&lt;=as_of_date),1,0))</x:f>
        <x:v>0</x:v>
      </x:c>
      <x:c r="Z25" s="170" t="n">
        <x:f>IF(A25="","",VLOOKUP(E25,SP_WARF_Factors,2,FALSE))</x:f>
        <x:v>1233.63</x:v>
      </x:c>
      <x:c r="AA25" s="172" t="n">
        <x:f>IF(A25="","",D25*Z25)</x:f>
        <x:v>1458150660.0000002</x:v>
      </x:c>
      <x:c r="AB25" s="170" t="n">
        <x:f>IF(A25="","",D25*ABS(Z25-SPWARF))</x:f>
        <x:v>1354274508.724</x:v>
      </x:c>
    </x:row>
    <x:row r="26">
      <x:c r="A26" s="8" t="str">
        <x:v>SYN-LN-00019</x:v>
      </x:c>
      <x:c r="B26" s="8" t="str">
        <x:v>SYN-OB-0017</x:v>
      </x:c>
      <x:c r="C26" s="8" t="str">
        <x:v>Harbor Inc. 017</x:v>
      </x:c>
      <x:c r="D26" s="9" t="n">
        <x:v>1182000</x:v>
      </x:c>
      <x:c r="E26" s="8" t="str">
        <x:v>B-</x:v>
      </x:c>
      <x:c r="F26" s="8" t="str">
        <x:v>Transportation Infrastructure</x:v>
      </x:c>
      <x:c r="G26" s="8" t="str">
        <x:v>United States</x:v>
      </x:c>
      <x:c r="H26" s="8" t="str">
        <x:v>1st Lien</x:v>
      </x:c>
      <x:c r="I26" s="8" t="str">
        <x:v>Floating</x:v>
      </x:c>
      <x:c r="J26" s="8" t="n">
        <x:v>280</x:v>
      </x:c>
      <x:c r="K26" s="10"/>
      <x:c r="L26" s="8" t="n">
        <x:v>0</x:v>
      </x:c>
      <x:c r="M26" s="11" t="n">
        <x:v>48349</x:v>
      </x:c>
      <x:c r="N26" s="10" t="n">
        <x:v>0.235</x:v>
      </x:c>
      <x:c r="O26" s="12" t="n">
        <x:v>95.375</x:v>
      </x:c>
      <x:c r="P26" s="13" t="n">
        <x:v>4</x:v>
      </x:c>
      <x:c r="Q26" s="8" t="str">
        <x:v>USD</x:v>
      </x:c>
      <x:c r="R26" s="8" t="str">
        <x:v>SOFR</x:v>
      </x:c>
      <x:c r="S26" s="18" t="n">
        <x:f>IF(Portfolio_Par&gt;0,D26/Portfolio_Par,"")</x:f>
        <x:v>0.00394</x:v>
      </x:c>
      <x:c r="T26" s="19" t="n">
        <x:f>IF(A26="","",(M26-as_of_date)/365.25)</x:f>
        <x:v>5.368925393566051</x:v>
      </x:c>
      <x:c r="U26" s="20" t="n">
        <x:f>IF(I26="Floating",D26*J26,0)</x:f>
        <x:v>330960000</x:v>
      </x:c>
      <x:c r="V26" s="20" t="n">
        <x:f>IF(A26="","",D26*N26)</x:f>
        <x:v>277770</x:v>
      </x:c>
      <x:c r="W26" s="14" t="n">
        <x:f>IF(A26='Run Snapshot'!A26,0,1)+IF(B26='Run Snapshot'!B26,0,1)+IF(C26='Run Snapshot'!C26,0,1)+IF(D26='Run Snapshot'!D26,0,1)+IF(E26='Run Snapshot'!E26,0,1)+IF(F26='Run Snapshot'!F26,0,1)+IF(G26='Run Snapshot'!G26,0,1)+IF(H26='Run Snapshot'!H26,0,1)+IF(I26='Run Snapshot'!I26,0,1)+IF(J26='Run Snapshot'!J26,0,1)+IF(K26='Run Snapshot'!K26,0,1)+IF(L26='Run Snapshot'!L26,0,1)+IF(M26='Run Snapshot'!M26,0,1)+IF(N26='Run Snapshot'!N26,0,1)+IF(O26='Run Snapshot'!O26,0,1)+IF(P26='Run Snapshot'!P26,0,1)+IF(Q26='Run Snapshot'!Q26,0,1)+IF(R26='Run Snapshot'!R26,0,1)</x:f>
        <x:v>0</x:v>
      </x:c>
      <x:c r="X26" s="15" t="n">
        <x:f>IF(A26="",0,COUNTIF($A$8:$A$289,A26)-1)</x:f>
        <x:v>0</x:v>
      </x:c>
      <x:c r="Y26" s="14" t="n">
        <x:f>IF(A26="",1,IF(OR(D26&lt;=0,N26&lt;0,N26&gt;1,M26&lt;=as_of_date),1,0))</x:f>
        <x:v>0</x:v>
      </x:c>
      <x:c r="Z26" s="170" t="n">
        <x:f>IF(A26="","",VLOOKUP(E26,SP_WARF_Factors,2,FALSE))</x:f>
        <x:v>3610.11</x:v>
      </x:c>
      <x:c r="AA26" s="172" t="n">
        <x:f>IF(A26="","",D26*Z26)</x:f>
        <x:v>4267150020</x:v>
      </x:c>
      <x:c r="AB26" s="170" t="n">
        <x:f>IF(A26="","",D26*ABS(Z26-SPWARF))</x:f>
        <x:v>1454724851.276</x:v>
      </x:c>
    </x:row>
    <x:row r="27">
      <x:c r="A27" s="8" t="str">
        <x:v>SYN-LN-00020</x:v>
      </x:c>
      <x:c r="B27" s="8" t="str">
        <x:v>SYN-OB-0018</x:v>
      </x:c>
      <x:c r="C27" s="8" t="str">
        <x:v>Hawthorne Corp. 018</x:v>
      </x:c>
      <x:c r="D27" s="9" t="n">
        <x:v>1182000</x:v>
      </x:c>
      <x:c r="E27" s="8" t="str">
        <x:v>B+</x:v>
      </x:c>
      <x:c r="F27" s="8" t="str">
        <x:v>Passenger airlines</x:v>
      </x:c>
      <x:c r="G27" s="8" t="str">
        <x:v>United States</x:v>
      </x:c>
      <x:c r="H27" s="8" t="str">
        <x:v>1st Lien</x:v>
      </x:c>
      <x:c r="I27" s="8" t="str">
        <x:v>Floating</x:v>
      </x:c>
      <x:c r="J27" s="8" t="n">
        <x:v>290</x:v>
      </x:c>
      <x:c r="K27" s="10"/>
      <x:c r="L27" s="8" t="n">
        <x:v>0</x:v>
      </x:c>
      <x:c r="M27" s="11" t="n">
        <x:v>47817</x:v>
      </x:c>
      <x:c r="N27" s="10" t="n">
        <x:v>0.495</x:v>
      </x:c>
      <x:c r="O27" s="12" t="n">
        <x:v>100.25</x:v>
      </x:c>
      <x:c r="P27" s="13" t="n">
        <x:v>4</x:v>
      </x:c>
      <x:c r="Q27" s="8" t="str">
        <x:v>USD</x:v>
      </x:c>
      <x:c r="R27" s="8" t="str">
        <x:v>SOFR</x:v>
      </x:c>
      <x:c r="S27" s="18" t="n">
        <x:f>IF(Portfolio_Par&gt;0,D27/Portfolio_Par,"")</x:f>
        <x:v>0.00394</x:v>
      </x:c>
      <x:c r="T27" s="19" t="n">
        <x:f>IF(A27="","",(M27-as_of_date)/365.25)</x:f>
        <x:v>3.912388774811773</x:v>
      </x:c>
      <x:c r="U27" s="20" t="n">
        <x:f>IF(I27="Floating",D27*J27,0)</x:f>
        <x:v>342780000</x:v>
      </x:c>
      <x:c r="V27" s="20" t="n">
        <x:f>IF(A27="","",D27*N27)</x:f>
        <x:v>585090</x:v>
      </x:c>
      <x:c r="W27" s="14" t="n">
        <x:f>IF(A27='Run Snapshot'!A27,0,1)+IF(B27='Run Snapshot'!B27,0,1)+IF(C27='Run Snapshot'!C27,0,1)+IF(D27='Run Snapshot'!D27,0,1)+IF(E27='Run Snapshot'!E27,0,1)+IF(F27='Run Snapshot'!F27,0,1)+IF(G27='Run Snapshot'!G27,0,1)+IF(H27='Run Snapshot'!H27,0,1)+IF(I27='Run Snapshot'!I27,0,1)+IF(J27='Run Snapshot'!J27,0,1)+IF(K27='Run Snapshot'!K27,0,1)+IF(L27='Run Snapshot'!L27,0,1)+IF(M27='Run Snapshot'!M27,0,1)+IF(N27='Run Snapshot'!N27,0,1)+IF(O27='Run Snapshot'!O27,0,1)+IF(P27='Run Snapshot'!P27,0,1)+IF(Q27='Run Snapshot'!Q27,0,1)+IF(R27='Run Snapshot'!R27,0,1)</x:f>
        <x:v>0</x:v>
      </x:c>
      <x:c r="X27" s="15" t="n">
        <x:f>IF(A27="",0,COUNTIF($A$8:$A$289,A27)-1)</x:f>
        <x:v>0</x:v>
      </x:c>
      <x:c r="Y27" s="14" t="n">
        <x:f>IF(A27="",1,IF(OR(D27&lt;=0,N27&lt;0,N27&gt;1,M27&lt;=as_of_date),1,0))</x:f>
        <x:v>0</x:v>
      </x:c>
      <x:c r="Z27" s="170" t="n">
        <x:f>IF(A27="","",VLOOKUP(E27,SP_WARF_Factors,2,FALSE))</x:f>
        <x:v>1982</x:v>
      </x:c>
      <x:c r="AA27" s="172" t="n">
        <x:f>IF(A27="","",D27*Z27)</x:f>
        <x:v>2342724000</x:v>
      </x:c>
      <x:c r="AB27" s="170" t="n">
        <x:f>IF(A27="","",D27*ABS(Z27-SPWARF))</x:f>
        <x:v>469701168.72400004</x:v>
      </x:c>
    </x:row>
    <x:row r="28">
      <x:c r="A28" s="8" t="str">
        <x:v>SYN-LN-00021</x:v>
      </x:c>
      <x:c r="B28" s="8" t="str">
        <x:v>SYN-OB-0019</x:v>
      </x:c>
      <x:c r="C28" s="8" t="str">
        <x:v>Highland Group 019</x:v>
      </x:c>
      <x:c r="D28" s="9" t="n">
        <x:v>1182000</x:v>
      </x:c>
      <x:c r="E28" s="8" t="str">
        <x:v>BB-</x:v>
      </x:c>
      <x:c r="F28" s="8" t="str">
        <x:v>Industrial Conglomerates</x:v>
      </x:c>
      <x:c r="G28" s="8" t="str">
        <x:v>United States</x:v>
      </x:c>
      <x:c r="H28" s="8" t="str">
        <x:v>1st Lien</x:v>
      </x:c>
      <x:c r="I28" s="8" t="str">
        <x:v>Floating</x:v>
      </x:c>
      <x:c r="J28" s="8" t="n">
        <x:v>150</x:v>
      </x:c>
      <x:c r="K28" s="10"/>
      <x:c r="L28" s="8" t="n">
        <x:v>0</x:v>
      </x:c>
      <x:c r="M28" s="11" t="n">
        <x:v>47966</x:v>
      </x:c>
      <x:c r="N28" s="10" t="n">
        <x:v>0.275</x:v>
      </x:c>
      <x:c r="O28" s="12" t="n">
        <x:v>99.25</x:v>
      </x:c>
      <x:c r="P28" s="13" t="n">
        <x:v>4</x:v>
      </x:c>
      <x:c r="Q28" s="8" t="str">
        <x:v>USD</x:v>
      </x:c>
      <x:c r="R28" s="8" t="str">
        <x:v>SOFR</x:v>
      </x:c>
      <x:c r="S28" s="18" t="n">
        <x:f>IF(Portfolio_Par&gt;0,D28/Portfolio_Par,"")</x:f>
        <x:v>0.00394</x:v>
      </x:c>
      <x:c r="T28" s="19" t="n">
        <x:f>IF(A28="","",(M28-as_of_date)/365.25)</x:f>
        <x:v>4.3203285420944555</x:v>
      </x:c>
      <x:c r="U28" s="20" t="n">
        <x:f>IF(I28="Floating",D28*J28,0)</x:f>
        <x:v>177300000</x:v>
      </x:c>
      <x:c r="V28" s="20" t="n">
        <x:f>IF(A28="","",D28*N28)</x:f>
        <x:v>325050</x:v>
      </x:c>
      <x:c r="W28" s="14" t="n">
        <x:f>IF(A28='Run Snapshot'!A28,0,1)+IF(B28='Run Snapshot'!B28,0,1)+IF(C28='Run Snapshot'!C28,0,1)+IF(D28='Run Snapshot'!D28,0,1)+IF(E28='Run Snapshot'!E28,0,1)+IF(F28='Run Snapshot'!F28,0,1)+IF(G28='Run Snapshot'!G28,0,1)+IF(H28='Run Snapshot'!H28,0,1)+IF(I28='Run Snapshot'!I28,0,1)+IF(J28='Run Snapshot'!J28,0,1)+IF(K28='Run Snapshot'!K28,0,1)+IF(L28='Run Snapshot'!L28,0,1)+IF(M28='Run Snapshot'!M28,0,1)+IF(N28='Run Snapshot'!N28,0,1)+IF(O28='Run Snapshot'!O28,0,1)+IF(P28='Run Snapshot'!P28,0,1)+IF(Q28='Run Snapshot'!Q28,0,1)+IF(R28='Run Snapshot'!R28,0,1)</x:f>
        <x:v>0</x:v>
      </x:c>
      <x:c r="X28" s="15" t="n">
        <x:f>IF(A28="",0,COUNTIF($A$8:$A$289,A28)-1)</x:f>
        <x:v>0</x:v>
      </x:c>
      <x:c r="Y28" s="14" t="n">
        <x:f>IF(A28="",1,IF(OR(D28&lt;=0,N28&lt;0,N28&gt;1,M28&lt;=as_of_date),1,0))</x:f>
        <x:v>0</x:v>
      </x:c>
      <x:c r="Z28" s="170" t="n">
        <x:f>IF(A28="","",VLOOKUP(E28,SP_WARF_Factors,2,FALSE))</x:f>
        <x:v>1565.44</x:v>
      </x:c>
      <x:c r="AA28" s="172" t="n">
        <x:f>IF(A28="","",D28*Z28)</x:f>
        <x:v>1850350080</x:v>
      </x:c>
      <x:c r="AB28" s="170" t="n">
        <x:f>IF(A28="","",D28*ABS(Z28-SPWARF))</x:f>
        <x:v>962075088.724</x:v>
      </x:c>
    </x:row>
    <x:row r="29">
      <x:c r="A29" s="8" t="str">
        <x:v>SYN-LN-00022</x:v>
      </x:c>
      <x:c r="B29" s="8" t="str">
        <x:v>SYN-OB-0020</x:v>
      </x:c>
      <x:c r="C29" s="8" t="str">
        <x:v>Ironwood LLC 020</x:v>
      </x:c>
      <x:c r="D29" s="9" t="n">
        <x:v>1182000</x:v>
      </x:c>
      <x:c r="E29" s="8" t="str">
        <x:v>BBB-</x:v>
      </x:c>
      <x:c r="F29" s="8" t="str">
        <x:v>Capital Markets</x:v>
      </x:c>
      <x:c r="G29" s="8" t="str">
        <x:v>United States</x:v>
      </x:c>
      <x:c r="H29" s="8" t="str">
        <x:v>1st Lien</x:v>
      </x:c>
      <x:c r="I29" s="8" t="str">
        <x:v>Floating</x:v>
      </x:c>
      <x:c r="J29" s="8" t="n">
        <x:v>225</x:v>
      </x:c>
      <x:c r="K29" s="10"/>
      <x:c r="L29" s="8" t="n">
        <x:v>0</x:v>
      </x:c>
      <x:c r="M29" s="11" t="n">
        <x:v>48638</x:v>
      </x:c>
      <x:c r="N29" s="10" t="n">
        <x:v>0.37</x:v>
      </x:c>
      <x:c r="O29" s="12" t="n">
        <x:v>101.5</x:v>
      </x:c>
      <x:c r="P29" s="13" t="n">
        <x:v>4</x:v>
      </x:c>
      <x:c r="Q29" s="8" t="str">
        <x:v>USD</x:v>
      </x:c>
      <x:c r="R29" s="8" t="str">
        <x:v>SOFR</x:v>
      </x:c>
      <x:c r="S29" s="18" t="n">
        <x:f>IF(Portfolio_Par&gt;0,D29/Portfolio_Par,"")</x:f>
        <x:v>0.00394</x:v>
      </x:c>
      <x:c r="T29" s="19" t="n">
        <x:f>IF(A29="","",(M29-as_of_date)/365.25)</x:f>
        <x:v>6.160164271047228</x:v>
      </x:c>
      <x:c r="U29" s="20" t="n">
        <x:f>IF(I29="Floating",D29*J29,0)</x:f>
        <x:v>265950000</x:v>
      </x:c>
      <x:c r="V29" s="20" t="n">
        <x:f>IF(A29="","",D29*N29)</x:f>
        <x:v>437340</x:v>
      </x:c>
      <x:c r="W29" s="14" t="n">
        <x:f>IF(A29='Run Snapshot'!A29,0,1)+IF(B29='Run Snapshot'!B29,0,1)+IF(C29='Run Snapshot'!C29,0,1)+IF(D29='Run Snapshot'!D29,0,1)+IF(E29='Run Snapshot'!E29,0,1)+IF(F29='Run Snapshot'!F29,0,1)+IF(G29='Run Snapshot'!G29,0,1)+IF(H29='Run Snapshot'!H29,0,1)+IF(I29='Run Snapshot'!I29,0,1)+IF(J29='Run Snapshot'!J29,0,1)+IF(K29='Run Snapshot'!K29,0,1)+IF(L29='Run Snapshot'!L29,0,1)+IF(M29='Run Snapshot'!M29,0,1)+IF(N29='Run Snapshot'!N29,0,1)+IF(O29='Run Snapshot'!O29,0,1)+IF(P29='Run Snapshot'!P29,0,1)+IF(Q29='Run Snapshot'!Q29,0,1)+IF(R29='Run Snapshot'!R29,0,1)</x:f>
        <x:v>0</x:v>
      </x:c>
      <x:c r="X29" s="15" t="n">
        <x:f>IF(A29="",0,COUNTIF($A$8:$A$289,A29)-1)</x:f>
        <x:v>0</x:v>
      </x:c>
      <x:c r="Y29" s="14" t="n">
        <x:f>IF(A29="",1,IF(OR(D29&lt;=0,N29&lt;0,N29&gt;1,M29&lt;=as_of_date),1,0))</x:f>
        <x:v>0</x:v>
      </x:c>
      <x:c r="Z29" s="170" t="n">
        <x:f>IF(A29="","",VLOOKUP(E29,SP_WARF_Factors,2,FALSE))</x:f>
        <x:v>540.42</x:v>
      </x:c>
      <x:c r="AA29" s="172" t="n">
        <x:f>IF(A29="","",D29*Z29)</x:f>
        <x:v>638776440</x:v>
      </x:c>
      <x:c r="AB29" s="170" t="n">
        <x:f>IF(A29="","",D29*ABS(Z29-SPWARF))</x:f>
        <x:v>2173648728.724</x:v>
      </x:c>
    </x:row>
    <x:row r="30">
      <x:c r="A30" s="8" t="str">
        <x:v>SYN-LN-00023</x:v>
      </x:c>
      <x:c r="B30" s="8" t="str">
        <x:v>SYN-OB-0021</x:v>
      </x:c>
      <x:c r="C30" s="8" t="str">
        <x:v>Juniper Holdings 021</x:v>
      </x:c>
      <x:c r="D30" s="9" t="n">
        <x:v>1182000</x:v>
      </x:c>
      <x:c r="E30" s="8" t="str">
        <x:v>BB</x:v>
      </x:c>
      <x:c r="F30" s="8" t="str">
        <x:v>Healthcare Technology</x:v>
      </x:c>
      <x:c r="G30" s="8" t="str">
        <x:v>United States</x:v>
      </x:c>
      <x:c r="H30" s="8" t="str">
        <x:v>1st Lien</x:v>
      </x:c>
      <x:c r="I30" s="8" t="str">
        <x:v>Floating</x:v>
      </x:c>
      <x:c r="J30" s="8" t="n">
        <x:v>215</x:v>
      </x:c>
      <x:c r="K30" s="10"/>
      <x:c r="L30" s="8" t="n">
        <x:v>0</x:v>
      </x:c>
      <x:c r="M30" s="11" t="n">
        <x:v>48548</x:v>
      </x:c>
      <x:c r="N30" s="10" t="n">
        <x:v>0.435</x:v>
      </x:c>
      <x:c r="O30" s="12" t="n">
        <x:v>99.375</x:v>
      </x:c>
      <x:c r="P30" s="13" t="n">
        <x:v>4</x:v>
      </x:c>
      <x:c r="Q30" s="8" t="str">
        <x:v>USD</x:v>
      </x:c>
      <x:c r="R30" s="8" t="str">
        <x:v>SOFR</x:v>
      </x:c>
      <x:c r="S30" s="18" t="n">
        <x:f>IF(Portfolio_Par&gt;0,D30/Portfolio_Par,"")</x:f>
        <x:v>0.00394</x:v>
      </x:c>
      <x:c r="T30" s="19" t="n">
        <x:f>IF(A30="","",(M30-as_of_date)/365.25)</x:f>
        <x:v>5.9137577002053385</x:v>
      </x:c>
      <x:c r="U30" s="20" t="n">
        <x:f>IF(I30="Floating",D30*J30,0)</x:f>
        <x:v>254130000</x:v>
      </x:c>
      <x:c r="V30" s="20" t="n">
        <x:f>IF(A30="","",D30*N30)</x:f>
        <x:v>514170</x:v>
      </x:c>
      <x:c r="W30" s="14" t="n">
        <x:f>IF(A30='Run Snapshot'!A30,0,1)+IF(B30='Run Snapshot'!B30,0,1)+IF(C30='Run Snapshot'!C30,0,1)+IF(D30='Run Snapshot'!D30,0,1)+IF(E30='Run Snapshot'!E30,0,1)+IF(F30='Run Snapshot'!F30,0,1)+IF(G30='Run Snapshot'!G30,0,1)+IF(H30='Run Snapshot'!H30,0,1)+IF(I30='Run Snapshot'!I30,0,1)+IF(J30='Run Snapshot'!J30,0,1)+IF(K30='Run Snapshot'!K30,0,1)+IF(L30='Run Snapshot'!L30,0,1)+IF(M30='Run Snapshot'!M30,0,1)+IF(N30='Run Snapshot'!N30,0,1)+IF(O30='Run Snapshot'!O30,0,1)+IF(P30='Run Snapshot'!P30,0,1)+IF(Q30='Run Snapshot'!Q30,0,1)+IF(R30='Run Snapshot'!R30,0,1)</x:f>
        <x:v>0</x:v>
      </x:c>
      <x:c r="X30" s="15" t="n">
        <x:f>IF(A30="",0,COUNTIF($A$8:$A$289,A30)-1)</x:f>
        <x:v>0</x:v>
      </x:c>
      <x:c r="Y30" s="14" t="n">
        <x:f>IF(A30="",1,IF(OR(D30&lt;=0,N30&lt;0,N30&gt;1,M30&lt;=as_of_date),1,0))</x:f>
        <x:v>0</x:v>
      </x:c>
      <x:c r="Z30" s="170" t="n">
        <x:f>IF(A30="","",VLOOKUP(E30,SP_WARF_Factors,2,FALSE))</x:f>
        <x:v>1233.63</x:v>
      </x:c>
      <x:c r="AA30" s="172" t="n">
        <x:f>IF(A30="","",D30*Z30)</x:f>
        <x:v>1458150660.0000002</x:v>
      </x:c>
      <x:c r="AB30" s="170" t="n">
        <x:f>IF(A30="","",D30*ABS(Z30-SPWARF))</x:f>
        <x:v>1354274508.724</x:v>
      </x:c>
    </x:row>
    <x:row r="31">
      <x:c r="A31" s="8" t="str">
        <x:v>SYN-LN-00024</x:v>
      </x:c>
      <x:c r="B31" s="8" t="str">
        <x:v>SYN-OB-0022</x:v>
      </x:c>
      <x:c r="C31" s="8" t="str">
        <x:v>Keystone Inc. 022</x:v>
      </x:c>
      <x:c r="D31" s="9" t="n">
        <x:v>1182000</x:v>
      </x:c>
      <x:c r="E31" s="8" t="str">
        <x:v>B+</x:v>
      </x:c>
      <x:c r="F31" s="8" t="str">
        <x:v>Hotels, Restaurants &amp; Leisure</x:v>
      </x:c>
      <x:c r="G31" s="8" t="str">
        <x:v>United States</x:v>
      </x:c>
      <x:c r="H31" s="8" t="str">
        <x:v>1st Lien</x:v>
      </x:c>
      <x:c r="I31" s="8" t="str">
        <x:v>Floating</x:v>
      </x:c>
      <x:c r="J31" s="8" t="n">
        <x:v>215</x:v>
      </x:c>
      <x:c r="K31" s="10"/>
      <x:c r="L31" s="8" t="n">
        <x:v>0</x:v>
      </x:c>
      <x:c r="M31" s="11" t="n">
        <x:v>49140</x:v>
      </x:c>
      <x:c r="N31" s="10" t="n">
        <x:v>0.435</x:v>
      </x:c>
      <x:c r="O31" s="12" t="n">
        <x:v>98.75</x:v>
      </x:c>
      <x:c r="P31" s="13" t="n">
        <x:v>4</x:v>
      </x:c>
      <x:c r="Q31" s="8" t="str">
        <x:v>USD</x:v>
      </x:c>
      <x:c r="R31" s="8" t="str">
        <x:v>SOFR</x:v>
      </x:c>
      <x:c r="S31" s="18" t="n">
        <x:f>IF(Portfolio_Par&gt;0,D31/Portfolio_Par,"")</x:f>
        <x:v>0.00394</x:v>
      </x:c>
      <x:c r="T31" s="19" t="n">
        <x:f>IF(A31="","",(M31-as_of_date)/365.25)</x:f>
        <x:v>7.534565366187543</x:v>
      </x:c>
      <x:c r="U31" s="20" t="n">
        <x:f>IF(I31="Floating",D31*J31,0)</x:f>
        <x:v>254130000</x:v>
      </x:c>
      <x:c r="V31" s="20" t="n">
        <x:f>IF(A31="","",D31*N31)</x:f>
        <x:v>514170</x:v>
      </x:c>
      <x:c r="W31" s="14" t="n">
        <x:f>IF(A31='Run Snapshot'!A31,0,1)+IF(B31='Run Snapshot'!B31,0,1)+IF(C31='Run Snapshot'!C31,0,1)+IF(D31='Run Snapshot'!D31,0,1)+IF(E31='Run Snapshot'!E31,0,1)+IF(F31='Run Snapshot'!F31,0,1)+IF(G31='Run Snapshot'!G31,0,1)+IF(H31='Run Snapshot'!H31,0,1)+IF(I31='Run Snapshot'!I31,0,1)+IF(J31='Run Snapshot'!J31,0,1)+IF(K31='Run Snapshot'!K31,0,1)+IF(L31='Run Snapshot'!L31,0,1)+IF(M31='Run Snapshot'!M31,0,1)+IF(N31='Run Snapshot'!N31,0,1)+IF(O31='Run Snapshot'!O31,0,1)+IF(P31='Run Snapshot'!P31,0,1)+IF(Q31='Run Snapshot'!Q31,0,1)+IF(R31='Run Snapshot'!R31,0,1)</x:f>
        <x:v>0</x:v>
      </x:c>
      <x:c r="X31" s="15" t="n">
        <x:f>IF(A31="",0,COUNTIF($A$8:$A$289,A31)-1)</x:f>
        <x:v>0</x:v>
      </x:c>
      <x:c r="Y31" s="14" t="n">
        <x:f>IF(A31="",1,IF(OR(D31&lt;=0,N31&lt;0,N31&gt;1,M31&lt;=as_of_date),1,0))</x:f>
        <x:v>0</x:v>
      </x:c>
      <x:c r="Z31" s="170" t="n">
        <x:f>IF(A31="","",VLOOKUP(E31,SP_WARF_Factors,2,FALSE))</x:f>
        <x:v>1982</x:v>
      </x:c>
      <x:c r="AA31" s="172" t="n">
        <x:f>IF(A31="","",D31*Z31)</x:f>
        <x:v>2342724000</x:v>
      </x:c>
      <x:c r="AB31" s="170" t="n">
        <x:f>IF(A31="","",D31*ABS(Z31-SPWARF))</x:f>
        <x:v>469701168.72400004</x:v>
      </x:c>
    </x:row>
    <x:row r="32">
      <x:c r="A32" s="8" t="str">
        <x:v>SYN-LN-00025</x:v>
      </x:c>
      <x:c r="B32" s="8" t="str">
        <x:v>SYN-OB-0023</x:v>
      </x:c>
      <x:c r="C32" s="8" t="str">
        <x:v>Lakeview Corp. 023</x:v>
      </x:c>
      <x:c r="D32" s="9" t="n">
        <x:v>1182000</x:v>
      </x:c>
      <x:c r="E32" s="8" t="str">
        <x:v>B-</x:v>
      </x:c>
      <x:c r="F32" s="8" t="str">
        <x:v>Containers &amp; Packaging</x:v>
      </x:c>
      <x:c r="G32" s="8" t="str">
        <x:v>United States</x:v>
      </x:c>
      <x:c r="H32" s="8" t="str">
        <x:v>1st Lien</x:v>
      </x:c>
      <x:c r="I32" s="8" t="str">
        <x:v>Floating</x:v>
      </x:c>
      <x:c r="J32" s="8" t="n">
        <x:v>290</x:v>
      </x:c>
      <x:c r="K32" s="10"/>
      <x:c r="L32" s="8" t="n">
        <x:v>0</x:v>
      </x:c>
      <x:c r="M32" s="11" t="n">
        <x:v>47845</x:v>
      </x:c>
      <x:c r="N32" s="10" t="n">
        <x:v>0.27</x:v>
      </x:c>
      <x:c r="O32" s="12" t="n">
        <x:v>100.375</x:v>
      </x:c>
      <x:c r="P32" s="13" t="n">
        <x:v>4</x:v>
      </x:c>
      <x:c r="Q32" s="8" t="str">
        <x:v>USD</x:v>
      </x:c>
      <x:c r="R32" s="8" t="str">
        <x:v>SOFR</x:v>
      </x:c>
      <x:c r="S32" s="18" t="n">
        <x:f>IF(Portfolio_Par&gt;0,D32/Portfolio_Par,"")</x:f>
        <x:v>0.00394</x:v>
      </x:c>
      <x:c r="T32" s="19" t="n">
        <x:f>IF(A32="","",(M32-as_of_date)/365.25)</x:f>
        <x:v>3.9890485968514717</x:v>
      </x:c>
      <x:c r="U32" s="20" t="n">
        <x:f>IF(I32="Floating",D32*J32,0)</x:f>
        <x:v>342780000</x:v>
      </x:c>
      <x:c r="V32" s="20" t="n">
        <x:f>IF(A32="","",D32*N32)</x:f>
        <x:v>319140</x:v>
      </x:c>
      <x:c r="W32" s="14" t="n">
        <x:f>IF(A32='Run Snapshot'!A32,0,1)+IF(B32='Run Snapshot'!B32,0,1)+IF(C32='Run Snapshot'!C32,0,1)+IF(D32='Run Snapshot'!D32,0,1)+IF(E32='Run Snapshot'!E32,0,1)+IF(F32='Run Snapshot'!F32,0,1)+IF(G32='Run Snapshot'!G32,0,1)+IF(H32='Run Snapshot'!H32,0,1)+IF(I32='Run Snapshot'!I32,0,1)+IF(J32='Run Snapshot'!J32,0,1)+IF(K32='Run Snapshot'!K32,0,1)+IF(L32='Run Snapshot'!L32,0,1)+IF(M32='Run Snapshot'!M32,0,1)+IF(N32='Run Snapshot'!N32,0,1)+IF(O32='Run Snapshot'!O32,0,1)+IF(P32='Run Snapshot'!P32,0,1)+IF(Q32='Run Snapshot'!Q32,0,1)+IF(R32='Run Snapshot'!R32,0,1)</x:f>
        <x:v>0</x:v>
      </x:c>
      <x:c r="X32" s="15" t="n">
        <x:f>IF(A32="",0,COUNTIF($A$8:$A$289,A32)-1)</x:f>
        <x:v>0</x:v>
      </x:c>
      <x:c r="Y32" s="14" t="n">
        <x:f>IF(A32="",1,IF(OR(D32&lt;=0,N32&lt;0,N32&gt;1,M32&lt;=as_of_date),1,0))</x:f>
        <x:v>0</x:v>
      </x:c>
      <x:c r="Z32" s="170" t="n">
        <x:f>IF(A32="","",VLOOKUP(E32,SP_WARF_Factors,2,FALSE))</x:f>
        <x:v>3610.11</x:v>
      </x:c>
      <x:c r="AA32" s="172" t="n">
        <x:f>IF(A32="","",D32*Z32)</x:f>
        <x:v>4267150020</x:v>
      </x:c>
      <x:c r="AB32" s="170" t="n">
        <x:f>IF(A32="","",D32*ABS(Z32-SPWARF))</x:f>
        <x:v>1454724851.276</x:v>
      </x:c>
    </x:row>
    <x:row r="33">
      <x:c r="A33" s="8" t="str">
        <x:v>SYN-LN-00026</x:v>
      </x:c>
      <x:c r="B33" s="8" t="str">
        <x:v>SYN-OB-0024</x:v>
      </x:c>
      <x:c r="C33" s="8" t="str">
        <x:v>Larkspur Group 024</x:v>
      </x:c>
      <x:c r="D33" s="9" t="n">
        <x:v>1182000</x:v>
      </x:c>
      <x:c r="E33" s="8" t="str">
        <x:v>B</x:v>
      </x:c>
      <x:c r="F33" s="8" t="str">
        <x:v>Aerospace &amp; Defense</x:v>
      </x:c>
      <x:c r="G33" s="8" t="str">
        <x:v>Luxembourg</x:v>
      </x:c>
      <x:c r="H33" s="8" t="str">
        <x:v>1st Lien</x:v>
      </x:c>
      <x:c r="I33" s="8" t="str">
        <x:v>Floating</x:v>
      </x:c>
      <x:c r="J33" s="8" t="n">
        <x:v>405</x:v>
      </x:c>
      <x:c r="K33" s="10"/>
      <x:c r="L33" s="8" t="n">
        <x:v>0</x:v>
      </x:c>
      <x:c r="M33" s="11" t="n">
        <x:v>47480</x:v>
      </x:c>
      <x:c r="N33" s="10" t="n">
        <x:v>0.285</x:v>
      </x:c>
      <x:c r="O33" s="12" t="n">
        <x:v>101.5</x:v>
      </x:c>
      <x:c r="P33" s="13" t="n">
        <x:v>4</x:v>
      </x:c>
      <x:c r="Q33" s="8" t="str">
        <x:v>USD</x:v>
      </x:c>
      <x:c r="R33" s="8" t="str">
        <x:v>SOFR</x:v>
      </x:c>
      <x:c r="S33" s="18" t="n">
        <x:f>IF(Portfolio_Par&gt;0,D33/Portfolio_Par,"")</x:f>
        <x:v>0.00394</x:v>
      </x:c>
      <x:c r="T33" s="19" t="n">
        <x:f>IF(A33="","",(M33-as_of_date)/365.25)</x:f>
        <x:v>2.9897330595482545</x:v>
      </x:c>
      <x:c r="U33" s="20" t="n">
        <x:f>IF(I33="Floating",D33*J33,0)</x:f>
        <x:v>478710000</x:v>
      </x:c>
      <x:c r="V33" s="20" t="n">
        <x:f>IF(A33="","",D33*N33)</x:f>
        <x:v>336870</x:v>
      </x:c>
      <x:c r="W33" s="14" t="n">
        <x:f>IF(A33='Run Snapshot'!A33,0,1)+IF(B33='Run Snapshot'!B33,0,1)+IF(C33='Run Snapshot'!C33,0,1)+IF(D33='Run Snapshot'!D33,0,1)+IF(E33='Run Snapshot'!E33,0,1)+IF(F33='Run Snapshot'!F33,0,1)+IF(G33='Run Snapshot'!G33,0,1)+IF(H33='Run Snapshot'!H33,0,1)+IF(I33='Run Snapshot'!I33,0,1)+IF(J33='Run Snapshot'!J33,0,1)+IF(K33='Run Snapshot'!K33,0,1)+IF(L33='Run Snapshot'!L33,0,1)+IF(M33='Run Snapshot'!M33,0,1)+IF(N33='Run Snapshot'!N33,0,1)+IF(O33='Run Snapshot'!O33,0,1)+IF(P33='Run Snapshot'!P33,0,1)+IF(Q33='Run Snapshot'!Q33,0,1)+IF(R33='Run Snapshot'!R33,0,1)</x:f>
        <x:v>0</x:v>
      </x:c>
      <x:c r="X33" s="15" t="n">
        <x:f>IF(A33="",0,COUNTIF($A$8:$A$289,A33)-1)</x:f>
        <x:v>0</x:v>
      </x:c>
      <x:c r="Y33" s="14" t="n">
        <x:f>IF(A33="",1,IF(OR(D33&lt;=0,N33&lt;0,N33&gt;1,M33&lt;=as_of_date),1,0))</x:f>
        <x:v>0</x:v>
      </x:c>
      <x:c r="Z33" s="170" t="n">
        <x:f>IF(A33="","",VLOOKUP(E33,SP_WARF_Factors,2,FALSE))</x:f>
        <x:v>2859.5</x:v>
      </x:c>
      <x:c r="AA33" s="172" t="n">
        <x:f>IF(A33="","",D33*Z33)</x:f>
        <x:v>3379929000</x:v>
      </x:c>
      <x:c r="AB33" s="170" t="n">
        <x:f>IF(A33="","",D33*ABS(Z33-SPWARF))</x:f>
        <x:v>567503831.2759999</x:v>
      </x:c>
    </x:row>
    <x:row r="34">
      <x:c r="A34" s="8" t="str">
        <x:v>SYN-LN-00027</x:v>
      </x:c>
      <x:c r="B34" s="8" t="str">
        <x:v>SYN-OB-0025</x:v>
      </x:c>
      <x:c r="C34" s="8" t="str">
        <x:v>Maple LLC 025</x:v>
      </x:c>
      <x:c r="D34" s="9" t="n">
        <x:v>1182000</x:v>
      </x:c>
      <x:c r="E34" s="8" t="str">
        <x:v>BB-</x:v>
      </x:c>
      <x:c r="F34" s="8" t="str">
        <x:v>Broadline retail</x:v>
      </x:c>
      <x:c r="G34" s="8" t="str">
        <x:v>United States</x:v>
      </x:c>
      <x:c r="H34" s="8" t="str">
        <x:v>1st Lien</x:v>
      </x:c>
      <x:c r="I34" s="8" t="str">
        <x:v>Floating</x:v>
      </x:c>
      <x:c r="J34" s="8" t="n">
        <x:v>235</x:v>
      </x:c>
      <x:c r="K34" s="10"/>
      <x:c r="L34" s="8" t="n">
        <x:v>0</x:v>
      </x:c>
      <x:c r="M34" s="11" t="n">
        <x:v>48727</x:v>
      </x:c>
      <x:c r="N34" s="10" t="n">
        <x:v>0.475</x:v>
      </x:c>
      <x:c r="O34" s="12" t="n">
        <x:v>100.25</x:v>
      </x:c>
      <x:c r="P34" s="13" t="n">
        <x:v>4</x:v>
      </x:c>
      <x:c r="Q34" s="8" t="str">
        <x:v>USD</x:v>
      </x:c>
      <x:c r="R34" s="8" t="str">
        <x:v>SOFR</x:v>
      </x:c>
      <x:c r="S34" s="18" t="n">
        <x:f>IF(Portfolio_Par&gt;0,D34/Portfolio_Par,"")</x:f>
        <x:v>0.00394</x:v>
      </x:c>
      <x:c r="T34" s="19" t="n">
        <x:f>IF(A34="","",(M34-as_of_date)/365.25)</x:f>
        <x:v>6.403832991101985</x:v>
      </x:c>
      <x:c r="U34" s="20" t="n">
        <x:f>IF(I34="Floating",D34*J34,0)</x:f>
        <x:v>277770000</x:v>
      </x:c>
      <x:c r="V34" s="20" t="n">
        <x:f>IF(A34="","",D34*N34)</x:f>
        <x:v>561450</x:v>
      </x:c>
      <x:c r="W34" s="14" t="n">
        <x:f>IF(A34='Run Snapshot'!A34,0,1)+IF(B34='Run Snapshot'!B34,0,1)+IF(C34='Run Snapshot'!C34,0,1)+IF(D34='Run Snapshot'!D34,0,1)+IF(E34='Run Snapshot'!E34,0,1)+IF(F34='Run Snapshot'!F34,0,1)+IF(G34='Run Snapshot'!G34,0,1)+IF(H34='Run Snapshot'!H34,0,1)+IF(I34='Run Snapshot'!I34,0,1)+IF(J34='Run Snapshot'!J34,0,1)+IF(K34='Run Snapshot'!K34,0,1)+IF(L34='Run Snapshot'!L34,0,1)+IF(M34='Run Snapshot'!M34,0,1)+IF(N34='Run Snapshot'!N34,0,1)+IF(O34='Run Snapshot'!O34,0,1)+IF(P34='Run Snapshot'!P34,0,1)+IF(Q34='Run Snapshot'!Q34,0,1)+IF(R34='Run Snapshot'!R34,0,1)</x:f>
        <x:v>0</x:v>
      </x:c>
      <x:c r="X34" s="15" t="n">
        <x:f>IF(A34="",0,COUNTIF($A$8:$A$289,A34)-1)</x:f>
        <x:v>0</x:v>
      </x:c>
      <x:c r="Y34" s="14" t="n">
        <x:f>IF(A34="",1,IF(OR(D34&lt;=0,N34&lt;0,N34&gt;1,M34&lt;=as_of_date),1,0))</x:f>
        <x:v>0</x:v>
      </x:c>
      <x:c r="Z34" s="170" t="n">
        <x:f>IF(A34="","",VLOOKUP(E34,SP_WARF_Factors,2,FALSE))</x:f>
        <x:v>1565.44</x:v>
      </x:c>
      <x:c r="AA34" s="172" t="n">
        <x:f>IF(A34="","",D34*Z34)</x:f>
        <x:v>1850350080</x:v>
      </x:c>
      <x:c r="AB34" s="170" t="n">
        <x:f>IF(A34="","",D34*ABS(Z34-SPWARF))</x:f>
        <x:v>962075088.724</x:v>
      </x:c>
    </x:row>
    <x:row r="35">
      <x:c r="A35" s="8" t="str">
        <x:v>SYN-LN-00028</x:v>
      </x:c>
      <x:c r="B35" s="8" t="str">
        <x:v>SYN-OB-0026</x:v>
      </x:c>
      <x:c r="C35" s="8" t="str">
        <x:v>Meridian Holdings 026</x:v>
      </x:c>
      <x:c r="D35" s="9" t="n">
        <x:v>1182000</x:v>
      </x:c>
      <x:c r="E35" s="8" t="str">
        <x:v>BB-</x:v>
      </x:c>
      <x:c r="F35" s="8" t="str">
        <x:v>Household Products</x:v>
      </x:c>
      <x:c r="G35" s="8" t="str">
        <x:v>United States</x:v>
      </x:c>
      <x:c r="H35" s="8" t="str">
        <x:v>1st Lien</x:v>
      </x:c>
      <x:c r="I35" s="8" t="str">
        <x:v>Floating</x:v>
      </x:c>
      <x:c r="J35" s="8" t="n">
        <x:v>295</x:v>
      </x:c>
      <x:c r="K35" s="10"/>
      <x:c r="L35" s="8" t="n">
        <x:v>0</x:v>
      </x:c>
      <x:c r="M35" s="11" t="n">
        <x:v>48515</x:v>
      </x:c>
      <x:c r="N35" s="10" t="n">
        <x:v>0.365</x:v>
      </x:c>
      <x:c r="O35" s="12" t="n">
        <x:v>97</x:v>
      </x:c>
      <x:c r="P35" s="13" t="n">
        <x:v>4</x:v>
      </x:c>
      <x:c r="Q35" s="8" t="str">
        <x:v>USD</x:v>
      </x:c>
      <x:c r="R35" s="8" t="str">
        <x:v>SOFR</x:v>
      </x:c>
      <x:c r="S35" s="18" t="n">
        <x:f>IF(Portfolio_Par&gt;0,D35/Portfolio_Par,"")</x:f>
        <x:v>0.00394</x:v>
      </x:c>
      <x:c r="T35" s="19" t="n">
        <x:f>IF(A35="","",(M35-as_of_date)/365.25)</x:f>
        <x:v>5.823408624229979</x:v>
      </x:c>
      <x:c r="U35" s="20" t="n">
        <x:f>IF(I35="Floating",D35*J35,0)</x:f>
        <x:v>348690000</x:v>
      </x:c>
      <x:c r="V35" s="20" t="n">
        <x:f>IF(A35="","",D35*N35)</x:f>
        <x:v>431430</x:v>
      </x:c>
      <x:c r="W35" s="14" t="n">
        <x:f>IF(A35='Run Snapshot'!A35,0,1)+IF(B35='Run Snapshot'!B35,0,1)+IF(C35='Run Snapshot'!C35,0,1)+IF(D35='Run Snapshot'!D35,0,1)+IF(E35='Run Snapshot'!E35,0,1)+IF(F35='Run Snapshot'!F35,0,1)+IF(G35='Run Snapshot'!G35,0,1)+IF(H35='Run Snapshot'!H35,0,1)+IF(I35='Run Snapshot'!I35,0,1)+IF(J35='Run Snapshot'!J35,0,1)+IF(K35='Run Snapshot'!K35,0,1)+IF(L35='Run Snapshot'!L35,0,1)+IF(M35='Run Snapshot'!M35,0,1)+IF(N35='Run Snapshot'!N35,0,1)+IF(O35='Run Snapshot'!O35,0,1)+IF(P35='Run Snapshot'!P35,0,1)+IF(Q35='Run Snapshot'!Q35,0,1)+IF(R35='Run Snapshot'!R35,0,1)</x:f>
        <x:v>0</x:v>
      </x:c>
      <x:c r="X35" s="15" t="n">
        <x:f>IF(A35="",0,COUNTIF($A$8:$A$289,A35)-1)</x:f>
        <x:v>0</x:v>
      </x:c>
      <x:c r="Y35" s="14" t="n">
        <x:f>IF(A35="",1,IF(OR(D35&lt;=0,N35&lt;0,N35&gt;1,M35&lt;=as_of_date),1,0))</x:f>
        <x:v>0</x:v>
      </x:c>
      <x:c r="Z35" s="170" t="n">
        <x:f>IF(A35="","",VLOOKUP(E35,SP_WARF_Factors,2,FALSE))</x:f>
        <x:v>1565.44</x:v>
      </x:c>
      <x:c r="AA35" s="172" t="n">
        <x:f>IF(A35="","",D35*Z35)</x:f>
        <x:v>1850350080</x:v>
      </x:c>
      <x:c r="AB35" s="170" t="n">
        <x:f>IF(A35="","",D35*ABS(Z35-SPWARF))</x:f>
        <x:v>962075088.724</x:v>
      </x:c>
    </x:row>
    <x:row r="36">
      <x:c r="A36" s="8" t="str">
        <x:v>SYN-LN-00029</x:v>
      </x:c>
      <x:c r="B36" s="8" t="str">
        <x:v>SYN-OB-0027</x:v>
      </x:c>
      <x:c r="C36" s="8" t="str">
        <x:v>Northfield Inc. 027</x:v>
      </x:c>
      <x:c r="D36" s="9" t="n">
        <x:v>630000</x:v>
      </x:c>
      <x:c r="E36" s="8" t="str">
        <x:v>B</x:v>
      </x:c>
      <x:c r="F36" s="8" t="str">
        <x:v>Aerospace &amp; Defense</x:v>
      </x:c>
      <x:c r="G36" s="8" t="str">
        <x:v>Luxembourg</x:v>
      </x:c>
      <x:c r="H36" s="8" t="str">
        <x:v>1st Lien</x:v>
      </x:c>
      <x:c r="I36" s="8" t="str">
        <x:v>Floating</x:v>
      </x:c>
      <x:c r="J36" s="8" t="n">
        <x:v>365</x:v>
      </x:c>
      <x:c r="K36" s="10"/>
      <x:c r="L36" s="8" t="n">
        <x:v>50</x:v>
      </x:c>
      <x:c r="M36" s="11" t="n">
        <x:v>49582</x:v>
      </x:c>
      <x:c r="N36" s="10" t="n">
        <x:v>0.43</x:v>
      </x:c>
      <x:c r="O36" s="12" t="n">
        <x:v>99.5</x:v>
      </x:c>
      <x:c r="P36" s="13" t="n">
        <x:v>4</x:v>
      </x:c>
      <x:c r="Q36" s="8" t="str">
        <x:v>USD</x:v>
      </x:c>
      <x:c r="R36" s="8" t="str">
        <x:v>SOFR</x:v>
      </x:c>
      <x:c r="S36" s="18" t="n">
        <x:f>IF(Portfolio_Par&gt;0,D36/Portfolio_Par,"")</x:f>
        <x:v>0.0021</x:v>
      </x:c>
      <x:c r="T36" s="19" t="n">
        <x:f>IF(A36="","",(M36-as_of_date)/365.25)</x:f>
        <x:v>8.744695414099931</x:v>
      </x:c>
      <x:c r="U36" s="20" t="n">
        <x:f>IF(I36="Floating",D36*J36,0)</x:f>
        <x:v>229950000</x:v>
      </x:c>
      <x:c r="V36" s="20" t="n">
        <x:f>IF(A36="","",D36*N36)</x:f>
        <x:v>270900</x:v>
      </x:c>
      <x:c r="W36" s="14" t="n">
        <x:f>IF(A36='Run Snapshot'!A36,0,1)+IF(B36='Run Snapshot'!B36,0,1)+IF(C36='Run Snapshot'!C36,0,1)+IF(D36='Run Snapshot'!D36,0,1)+IF(E36='Run Snapshot'!E36,0,1)+IF(F36='Run Snapshot'!F36,0,1)+IF(G36='Run Snapshot'!G36,0,1)+IF(H36='Run Snapshot'!H36,0,1)+IF(I36='Run Snapshot'!I36,0,1)+IF(J36='Run Snapshot'!J36,0,1)+IF(K36='Run Snapshot'!K36,0,1)+IF(L36='Run Snapshot'!L36,0,1)+IF(M36='Run Snapshot'!M36,0,1)+IF(N36='Run Snapshot'!N36,0,1)+IF(O36='Run Snapshot'!O36,0,1)+IF(P36='Run Snapshot'!P36,0,1)+IF(Q36='Run Snapshot'!Q36,0,1)+IF(R36='Run Snapshot'!R36,0,1)</x:f>
        <x:v>0</x:v>
      </x:c>
      <x:c r="X36" s="15" t="n">
        <x:f>IF(A36="",0,COUNTIF($A$8:$A$289,A36)-1)</x:f>
        <x:v>0</x:v>
      </x:c>
      <x:c r="Y36" s="14" t="n">
        <x:f>IF(A36="",1,IF(OR(D36&lt;=0,N36&lt;0,N36&gt;1,M36&lt;=as_of_date),1,0))</x:f>
        <x:v>0</x:v>
      </x:c>
      <x:c r="Z36" s="170" t="n">
        <x:f>IF(A36="","",VLOOKUP(E36,SP_WARF_Factors,2,FALSE))</x:f>
        <x:v>2859.5</x:v>
      </x:c>
      <x:c r="AA36" s="172" t="n">
        <x:f>IF(A36="","",D36*Z36)</x:f>
        <x:v>1801485000</x:v>
      </x:c>
      <x:c r="AB36" s="170" t="n">
        <x:f>IF(A36="","",D36*ABS(Z36-SPWARF))</x:f>
        <x:v>302476661.34</x:v>
      </x:c>
    </x:row>
    <x:row r="37">
      <x:c r="A37" s="8" t="str">
        <x:v>SYN-LN-00030</x:v>
      </x:c>
      <x:c r="B37" s="8" t="str">
        <x:v>SYN-OB-0028</x:v>
      </x:c>
      <x:c r="C37" s="8" t="str">
        <x:v>Oakmont Corp. 028</x:v>
      </x:c>
      <x:c r="D37" s="9" t="n">
        <x:v>1182000</x:v>
      </x:c>
      <x:c r="E37" s="8" t="str">
        <x:v>B-</x:v>
      </x:c>
      <x:c r="F37" s="8" t="str">
        <x:v>Financial services</x:v>
      </x:c>
      <x:c r="G37" s="8" t="str">
        <x:v>United States</x:v>
      </x:c>
      <x:c r="H37" s="8" t="str">
        <x:v>1st Lien</x:v>
      </x:c>
      <x:c r="I37" s="8" t="str">
        <x:v>Floating</x:v>
      </x:c>
      <x:c r="J37" s="8" t="n">
        <x:v>330</x:v>
      </x:c>
      <x:c r="K37" s="10"/>
      <x:c r="L37" s="8" t="n">
        <x:v>0</x:v>
      </x:c>
      <x:c r="M37" s="11" t="n">
        <x:v>48533</x:v>
      </x:c>
      <x:c r="N37" s="10" t="n">
        <x:v>0.385</x:v>
      </x:c>
      <x:c r="O37" s="12" t="n">
        <x:v>98.875</x:v>
      </x:c>
      <x:c r="P37" s="13" t="n">
        <x:v>4</x:v>
      </x:c>
      <x:c r="Q37" s="8" t="str">
        <x:v>USD</x:v>
      </x:c>
      <x:c r="R37" s="8" t="str">
        <x:v>SOFR</x:v>
      </x:c>
      <x:c r="S37" s="18" t="n">
        <x:f>IF(Portfolio_Par&gt;0,D37/Portfolio_Par,"")</x:f>
        <x:v>0.00394</x:v>
      </x:c>
      <x:c r="T37" s="19" t="n">
        <x:f>IF(A37="","",(M37-as_of_date)/365.25)</x:f>
        <x:v>5.8726899383983575</x:v>
      </x:c>
      <x:c r="U37" s="20" t="n">
        <x:f>IF(I37="Floating",D37*J37,0)</x:f>
        <x:v>390060000</x:v>
      </x:c>
      <x:c r="V37" s="20" t="n">
        <x:f>IF(A37="","",D37*N37)</x:f>
        <x:v>455070</x:v>
      </x:c>
      <x:c r="W37" s="14" t="n">
        <x:f>IF(A37='Run Snapshot'!A37,0,1)+IF(B37='Run Snapshot'!B37,0,1)+IF(C37='Run Snapshot'!C37,0,1)+IF(D37='Run Snapshot'!D37,0,1)+IF(E37='Run Snapshot'!E37,0,1)+IF(F37='Run Snapshot'!F37,0,1)+IF(G37='Run Snapshot'!G37,0,1)+IF(H37='Run Snapshot'!H37,0,1)+IF(I37='Run Snapshot'!I37,0,1)+IF(J37='Run Snapshot'!J37,0,1)+IF(K37='Run Snapshot'!K37,0,1)+IF(L37='Run Snapshot'!L37,0,1)+IF(M37='Run Snapshot'!M37,0,1)+IF(N37='Run Snapshot'!N37,0,1)+IF(O37='Run Snapshot'!O37,0,1)+IF(P37='Run Snapshot'!P37,0,1)+IF(Q37='Run Snapshot'!Q37,0,1)+IF(R37='Run Snapshot'!R37,0,1)</x:f>
        <x:v>0</x:v>
      </x:c>
      <x:c r="X37" s="15" t="n">
        <x:f>IF(A37="",0,COUNTIF($A$8:$A$289,A37)-1)</x:f>
        <x:v>0</x:v>
      </x:c>
      <x:c r="Y37" s="14" t="n">
        <x:f>IF(A37="",1,IF(OR(D37&lt;=0,N37&lt;0,N37&gt;1,M37&lt;=as_of_date),1,0))</x:f>
        <x:v>0</x:v>
      </x:c>
      <x:c r="Z37" s="170" t="n">
        <x:f>IF(A37="","",VLOOKUP(E37,SP_WARF_Factors,2,FALSE))</x:f>
        <x:v>3610.11</x:v>
      </x:c>
      <x:c r="AA37" s="172" t="n">
        <x:f>IF(A37="","",D37*Z37)</x:f>
        <x:v>4267150020</x:v>
      </x:c>
      <x:c r="AB37" s="170" t="n">
        <x:f>IF(A37="","",D37*ABS(Z37-SPWARF))</x:f>
        <x:v>1454724851.276</x:v>
      </x:c>
    </x:row>
    <x:row r="38">
      <x:c r="A38" s="8" t="str">
        <x:v>SYN-LN-00031</x:v>
      </x:c>
      <x:c r="B38" s="8" t="str">
        <x:v>SYN-OB-0029</x:v>
      </x:c>
      <x:c r="C38" s="8" t="str">
        <x:v>Orchard Group 029</x:v>
      </x:c>
      <x:c r="D38" s="9" t="n">
        <x:v>1182000</x:v>
      </x:c>
      <x:c r="E38" s="8" t="str">
        <x:v>B+</x:v>
      </x:c>
      <x:c r="F38" s="8" t="str">
        <x:v>Semiconductors &amp; Semiconductor Equipment</x:v>
      </x:c>
      <x:c r="G38" s="8" t="str">
        <x:v>United States</x:v>
      </x:c>
      <x:c r="H38" s="8" t="str">
        <x:v>1st Lien</x:v>
      </x:c>
      <x:c r="I38" s="8" t="str">
        <x:v>Floating</x:v>
      </x:c>
      <x:c r="J38" s="8" t="n">
        <x:v>375</x:v>
      </x:c>
      <x:c r="K38" s="10"/>
      <x:c r="L38" s="8" t="n">
        <x:v>0</x:v>
      </x:c>
      <x:c r="M38" s="11" t="n">
        <x:v>48301</x:v>
      </x:c>
      <x:c r="N38" s="10" t="n">
        <x:v>0.295</x:v>
      </x:c>
      <x:c r="O38" s="12" t="n">
        <x:v>100.5</x:v>
      </x:c>
      <x:c r="P38" s="13" t="n">
        <x:v>4</x:v>
      </x:c>
      <x:c r="Q38" s="8" t="str">
        <x:v>USD</x:v>
      </x:c>
      <x:c r="R38" s="8" t="str">
        <x:v>SOFR</x:v>
      </x:c>
      <x:c r="S38" s="18" t="n">
        <x:f>IF(Portfolio_Par&gt;0,D38/Portfolio_Par,"")</x:f>
        <x:v>0.00394</x:v>
      </x:c>
      <x:c r="T38" s="19" t="n">
        <x:f>IF(A38="","",(M38-as_of_date)/365.25)</x:f>
        <x:v>5.23750855578371</x:v>
      </x:c>
      <x:c r="U38" s="20" t="n">
        <x:f>IF(I38="Floating",D38*J38,0)</x:f>
        <x:v>443250000</x:v>
      </x:c>
      <x:c r="V38" s="20" t="n">
        <x:f>IF(A38="","",D38*N38)</x:f>
        <x:v>348690</x:v>
      </x:c>
      <x:c r="W38" s="14" t="n">
        <x:f>IF(A38='Run Snapshot'!A38,0,1)+IF(B38='Run Snapshot'!B38,0,1)+IF(C38='Run Snapshot'!C38,0,1)+IF(D38='Run Snapshot'!D38,0,1)+IF(E38='Run Snapshot'!E38,0,1)+IF(F38='Run Snapshot'!F38,0,1)+IF(G38='Run Snapshot'!G38,0,1)+IF(H38='Run Snapshot'!H38,0,1)+IF(I38='Run Snapshot'!I38,0,1)+IF(J38='Run Snapshot'!J38,0,1)+IF(K38='Run Snapshot'!K38,0,1)+IF(L38='Run Snapshot'!L38,0,1)+IF(M38='Run Snapshot'!M38,0,1)+IF(N38='Run Snapshot'!N38,0,1)+IF(O38='Run Snapshot'!O38,0,1)+IF(P38='Run Snapshot'!P38,0,1)+IF(Q38='Run Snapshot'!Q38,0,1)+IF(R38='Run Snapshot'!R38,0,1)</x:f>
        <x:v>0</x:v>
      </x:c>
      <x:c r="X38" s="15" t="n">
        <x:f>IF(A38="",0,COUNTIF($A$8:$A$289,A38)-1)</x:f>
        <x:v>0</x:v>
      </x:c>
      <x:c r="Y38" s="14" t="n">
        <x:f>IF(A38="",1,IF(OR(D38&lt;=0,N38&lt;0,N38&gt;1,M38&lt;=as_of_date),1,0))</x:f>
        <x:v>0</x:v>
      </x:c>
      <x:c r="Z38" s="170" t="n">
        <x:f>IF(A38="","",VLOOKUP(E38,SP_WARF_Factors,2,FALSE))</x:f>
        <x:v>1982</x:v>
      </x:c>
      <x:c r="AA38" s="172" t="n">
        <x:f>IF(A38="","",D38*Z38)</x:f>
        <x:v>2342724000</x:v>
      </x:c>
      <x:c r="AB38" s="170" t="n">
        <x:f>IF(A38="","",D38*ABS(Z38-SPWARF))</x:f>
        <x:v>469701168.72400004</x:v>
      </x:c>
    </x:row>
    <x:row r="39">
      <x:c r="A39" s="8" t="str">
        <x:v>SYN-LN-00032</x:v>
      </x:c>
      <x:c r="B39" s="8" t="str">
        <x:v>SYN-OB-0030</x:v>
      </x:c>
      <x:c r="C39" s="8" t="str">
        <x:v>Pinecrest LLC 030</x:v>
      </x:c>
      <x:c r="D39" s="9" t="n">
        <x:v>1182000</x:v>
      </x:c>
      <x:c r="E39" s="8" t="str">
        <x:v>B</x:v>
      </x:c>
      <x:c r="F39" s="8" t="str">
        <x:v>Industrial Conglomerates</x:v>
      </x:c>
      <x:c r="G39" s="8" t="str">
        <x:v>United States</x:v>
      </x:c>
      <x:c r="H39" s="8" t="str">
        <x:v>1st Lien</x:v>
      </x:c>
      <x:c r="I39" s="8" t="str">
        <x:v>Floating</x:v>
      </x:c>
      <x:c r="J39" s="8" t="n">
        <x:v>435</x:v>
      </x:c>
      <x:c r="K39" s="10"/>
      <x:c r="L39" s="8" t="n">
        <x:v>0</x:v>
      </x:c>
      <x:c r="M39" s="11" t="n">
        <x:v>48607</x:v>
      </x:c>
      <x:c r="N39" s="10" t="n">
        <x:v>0.325</x:v>
      </x:c>
      <x:c r="O39" s="12" t="n">
        <x:v>100.625</x:v>
      </x:c>
      <x:c r="P39" s="13" t="n">
        <x:v>4</x:v>
      </x:c>
      <x:c r="Q39" s="8" t="str">
        <x:v>USD</x:v>
      </x:c>
      <x:c r="R39" s="8" t="str">
        <x:v>SOFR</x:v>
      </x:c>
      <x:c r="S39" s="18" t="n">
        <x:f>IF(Portfolio_Par&gt;0,D39/Portfolio_Par,"")</x:f>
        <x:v>0.00394</x:v>
      </x:c>
      <x:c r="T39" s="19" t="n">
        <x:f>IF(A39="","",(M39-as_of_date)/365.25)</x:f>
        <x:v>6.075290896646133</x:v>
      </x:c>
      <x:c r="U39" s="20" t="n">
        <x:f>IF(I39="Floating",D39*J39,0)</x:f>
        <x:v>514170000</x:v>
      </x:c>
      <x:c r="V39" s="20" t="n">
        <x:f>IF(A39="","",D39*N39)</x:f>
        <x:v>384150</x:v>
      </x:c>
      <x:c r="W39" s="14" t="n">
        <x:f>IF(A39='Run Snapshot'!A39,0,1)+IF(B39='Run Snapshot'!B39,0,1)+IF(C39='Run Snapshot'!C39,0,1)+IF(D39='Run Snapshot'!D39,0,1)+IF(E39='Run Snapshot'!E39,0,1)+IF(F39='Run Snapshot'!F39,0,1)+IF(G39='Run Snapshot'!G39,0,1)+IF(H39='Run Snapshot'!H39,0,1)+IF(I39='Run Snapshot'!I39,0,1)+IF(J39='Run Snapshot'!J39,0,1)+IF(K39='Run Snapshot'!K39,0,1)+IF(L39='Run Snapshot'!L39,0,1)+IF(M39='Run Snapshot'!M39,0,1)+IF(N39='Run Snapshot'!N39,0,1)+IF(O39='Run Snapshot'!O39,0,1)+IF(P39='Run Snapshot'!P39,0,1)+IF(Q39='Run Snapshot'!Q39,0,1)+IF(R39='Run Snapshot'!R39,0,1)</x:f>
        <x:v>0</x:v>
      </x:c>
      <x:c r="X39" s="15" t="n">
        <x:f>IF(A39="",0,COUNTIF($A$8:$A$289,A39)-1)</x:f>
        <x:v>0</x:v>
      </x:c>
      <x:c r="Y39" s="14" t="n">
        <x:f>IF(A39="",1,IF(OR(D39&lt;=0,N39&lt;0,N39&gt;1,M39&lt;=as_of_date),1,0))</x:f>
        <x:v>0</x:v>
      </x:c>
      <x:c r="Z39" s="170" t="n">
        <x:f>IF(A39="","",VLOOKUP(E39,SP_WARF_Factors,2,FALSE))</x:f>
        <x:v>2859.5</x:v>
      </x:c>
      <x:c r="AA39" s="172" t="n">
        <x:f>IF(A39="","",D39*Z39)</x:f>
        <x:v>3379929000</x:v>
      </x:c>
      <x:c r="AB39" s="170" t="n">
        <x:f>IF(A39="","",D39*ABS(Z39-SPWARF))</x:f>
        <x:v>567503831.2759999</x:v>
      </x:c>
    </x:row>
    <x:row r="40">
      <x:c r="A40" s="8" t="str">
        <x:v>SYN-LN-00033</x:v>
      </x:c>
      <x:c r="B40" s="8" t="str">
        <x:v>SYN-OB-0031</x:v>
      </x:c>
      <x:c r="C40" s="8" t="str">
        <x:v>Redwood Holdings 031</x:v>
      </x:c>
      <x:c r="D40" s="9" t="n">
        <x:v>1182000</x:v>
      </x:c>
      <x:c r="E40" s="8" t="str">
        <x:v>B+</x:v>
      </x:c>
      <x:c r="F40" s="8" t="str">
        <x:v>Professional Services</x:v>
      </x:c>
      <x:c r="G40" s="8" t="str">
        <x:v>United States</x:v>
      </x:c>
      <x:c r="H40" s="8" t="str">
        <x:v>1st Lien</x:v>
      </x:c>
      <x:c r="I40" s="8" t="str">
        <x:v>Floating</x:v>
      </x:c>
      <x:c r="J40" s="8" t="n">
        <x:v>430</x:v>
      </x:c>
      <x:c r="K40" s="10"/>
      <x:c r="L40" s="8" t="n">
        <x:v>0</x:v>
      </x:c>
      <x:c r="M40" s="11" t="n">
        <x:v>48898</x:v>
      </x:c>
      <x:c r="N40" s="10" t="n">
        <x:v>0.335</x:v>
      </x:c>
      <x:c r="O40" s="12" t="n">
        <x:v>100.125</x:v>
      </x:c>
      <x:c r="P40" s="13" t="n">
        <x:v>4</x:v>
      </x:c>
      <x:c r="Q40" s="8" t="str">
        <x:v>USD</x:v>
      </x:c>
      <x:c r="R40" s="8" t="str">
        <x:v>SOFR</x:v>
      </x:c>
      <x:c r="S40" s="18" t="n">
        <x:f>IF(Portfolio_Par&gt;0,D40/Portfolio_Par,"")</x:f>
        <x:v>0.00394</x:v>
      </x:c>
      <x:c r="T40" s="19" t="n">
        <x:f>IF(A40="","",(M40-as_of_date)/365.25)</x:f>
        <x:v>6.872005475701574</x:v>
      </x:c>
      <x:c r="U40" s="20" t="n">
        <x:f>IF(I40="Floating",D40*J40,0)</x:f>
        <x:v>508260000</x:v>
      </x:c>
      <x:c r="V40" s="20" t="n">
        <x:f>IF(A40="","",D40*N40)</x:f>
        <x:v>395970</x:v>
      </x:c>
      <x:c r="W40" s="14" t="n">
        <x:f>IF(A40='Run Snapshot'!A40,0,1)+IF(B40='Run Snapshot'!B40,0,1)+IF(C40='Run Snapshot'!C40,0,1)+IF(D40='Run Snapshot'!D40,0,1)+IF(E40='Run Snapshot'!E40,0,1)+IF(F40='Run Snapshot'!F40,0,1)+IF(G40='Run Snapshot'!G40,0,1)+IF(H40='Run Snapshot'!H40,0,1)+IF(I40='Run Snapshot'!I40,0,1)+IF(J40='Run Snapshot'!J40,0,1)+IF(K40='Run Snapshot'!K40,0,1)+IF(L40='Run Snapshot'!L40,0,1)+IF(M40='Run Snapshot'!M40,0,1)+IF(N40='Run Snapshot'!N40,0,1)+IF(O40='Run Snapshot'!O40,0,1)+IF(P40='Run Snapshot'!P40,0,1)+IF(Q40='Run Snapshot'!Q40,0,1)+IF(R40='Run Snapshot'!R40,0,1)</x:f>
        <x:v>0</x:v>
      </x:c>
      <x:c r="X40" s="15" t="n">
        <x:f>IF(A40="",0,COUNTIF($A$8:$A$289,A40)-1)</x:f>
        <x:v>0</x:v>
      </x:c>
      <x:c r="Y40" s="14" t="n">
        <x:f>IF(A40="",1,IF(OR(D40&lt;=0,N40&lt;0,N40&gt;1,M40&lt;=as_of_date),1,0))</x:f>
        <x:v>0</x:v>
      </x:c>
      <x:c r="Z40" s="170" t="n">
        <x:f>IF(A40="","",VLOOKUP(E40,SP_WARF_Factors,2,FALSE))</x:f>
        <x:v>1982</x:v>
      </x:c>
      <x:c r="AA40" s="172" t="n">
        <x:f>IF(A40="","",D40*Z40)</x:f>
        <x:v>2342724000</x:v>
      </x:c>
      <x:c r="AB40" s="170" t="n">
        <x:f>IF(A40="","",D40*ABS(Z40-SPWARF))</x:f>
        <x:v>469701168.72400004</x:v>
      </x:c>
    </x:row>
    <x:row r="41">
      <x:c r="A41" s="8" t="str">
        <x:v>SYN-LN-00034</x:v>
      </x:c>
      <x:c r="B41" s="8" t="str">
        <x:v>SYN-OB-0032</x:v>
      </x:c>
      <x:c r="C41" s="8" t="str">
        <x:v>Riverton Inc. 032</x:v>
      </x:c>
      <x:c r="D41" s="9" t="n">
        <x:v>1182000</x:v>
      </x:c>
      <x:c r="E41" s="8" t="str">
        <x:v>B+</x:v>
      </x:c>
      <x:c r="F41" s="8" t="str">
        <x:v>Semiconductors &amp; Semiconductor Equipment</x:v>
      </x:c>
      <x:c r="G41" s="8" t="str">
        <x:v>United States</x:v>
      </x:c>
      <x:c r="H41" s="8" t="str">
        <x:v>1st Lien</x:v>
      </x:c>
      <x:c r="I41" s="8" t="str">
        <x:v>Floating</x:v>
      </x:c>
      <x:c r="J41" s="8" t="n">
        <x:v>325</x:v>
      </x:c>
      <x:c r="K41" s="10"/>
      <x:c r="L41" s="8" t="n">
        <x:v>0</x:v>
      </x:c>
      <x:c r="M41" s="11" t="n">
        <x:v>47983</x:v>
      </x:c>
      <x:c r="N41" s="10" t="n">
        <x:v>0.355</x:v>
      </x:c>
      <x:c r="O41" s="12" t="n">
        <x:v>100.125</x:v>
      </x:c>
      <x:c r="P41" s="13" t="n">
        <x:v>4</x:v>
      </x:c>
      <x:c r="Q41" s="8" t="str">
        <x:v>USD</x:v>
      </x:c>
      <x:c r="R41" s="8" t="str">
        <x:v>SOFR</x:v>
      </x:c>
      <x:c r="S41" s="18" t="n">
        <x:f>IF(Portfolio_Par&gt;0,D41/Portfolio_Par,"")</x:f>
        <x:v>0.00394</x:v>
      </x:c>
      <x:c r="T41" s="19" t="n">
        <x:f>IF(A41="","",(M41-as_of_date)/365.25)</x:f>
        <x:v>4.3668720054757015</x:v>
      </x:c>
      <x:c r="U41" s="20" t="n">
        <x:f>IF(I41="Floating",D41*J41,0)</x:f>
        <x:v>384150000</x:v>
      </x:c>
      <x:c r="V41" s="20" t="n">
        <x:f>IF(A41="","",D41*N41)</x:f>
        <x:v>419610</x:v>
      </x:c>
      <x:c r="W41" s="14" t="n">
        <x:f>IF(A41='Run Snapshot'!A41,0,1)+IF(B41='Run Snapshot'!B41,0,1)+IF(C41='Run Snapshot'!C41,0,1)+IF(D41='Run Snapshot'!D41,0,1)+IF(E41='Run Snapshot'!E41,0,1)+IF(F41='Run Snapshot'!F41,0,1)+IF(G41='Run Snapshot'!G41,0,1)+IF(H41='Run Snapshot'!H41,0,1)+IF(I41='Run Snapshot'!I41,0,1)+IF(J41='Run Snapshot'!J41,0,1)+IF(K41='Run Snapshot'!K41,0,1)+IF(L41='Run Snapshot'!L41,0,1)+IF(M41='Run Snapshot'!M41,0,1)+IF(N41='Run Snapshot'!N41,0,1)+IF(O41='Run Snapshot'!O41,0,1)+IF(P41='Run Snapshot'!P41,0,1)+IF(Q41='Run Snapshot'!Q41,0,1)+IF(R41='Run Snapshot'!R41,0,1)</x:f>
        <x:v>0</x:v>
      </x:c>
      <x:c r="X41" s="15" t="n">
        <x:f>IF(A41="",0,COUNTIF($A$8:$A$289,A41)-1)</x:f>
        <x:v>0</x:v>
      </x:c>
      <x:c r="Y41" s="14" t="n">
        <x:f>IF(A41="",1,IF(OR(D41&lt;=0,N41&lt;0,N41&gt;1,M41&lt;=as_of_date),1,0))</x:f>
        <x:v>0</x:v>
      </x:c>
      <x:c r="Z41" s="170" t="n">
        <x:f>IF(A41="","",VLOOKUP(E41,SP_WARF_Factors,2,FALSE))</x:f>
        <x:v>1982</x:v>
      </x:c>
      <x:c r="AA41" s="172" t="n">
        <x:f>IF(A41="","",D41*Z41)</x:f>
        <x:v>2342724000</x:v>
      </x:c>
      <x:c r="AB41" s="170" t="n">
        <x:f>IF(A41="","",D41*ABS(Z41-SPWARF))</x:f>
        <x:v>469701168.72400004</x:v>
      </x:c>
    </x:row>
    <x:row r="42">
      <x:c r="A42" s="8" t="str">
        <x:v>SYN-LN-00035</x:v>
      </x:c>
      <x:c r="B42" s="8" t="str">
        <x:v>SYN-OB-0033</x:v>
      </x:c>
      <x:c r="C42" s="8" t="str">
        <x:v>Silver Corp. 033</x:v>
      </x:c>
      <x:c r="D42" s="9" t="n">
        <x:v>1182000</x:v>
      </x:c>
      <x:c r="E42" s="8" t="str">
        <x:v>B-</x:v>
      </x:c>
      <x:c r="F42" s="8" t="str">
        <x:v>Healthcare Technology</x:v>
      </x:c>
      <x:c r="G42" s="8" t="str">
        <x:v>United States</x:v>
      </x:c>
      <x:c r="H42" s="8" t="str">
        <x:v>1st Lien</x:v>
      </x:c>
      <x:c r="I42" s="8" t="str">
        <x:v>Floating</x:v>
      </x:c>
      <x:c r="J42" s="8" t="n">
        <x:v>430</x:v>
      </x:c>
      <x:c r="K42" s="10"/>
      <x:c r="L42" s="8" t="n">
        <x:v>0</x:v>
      </x:c>
      <x:c r="M42" s="11" t="n">
        <x:v>48014</x:v>
      </x:c>
      <x:c r="N42" s="10" t="n">
        <x:v>0.435</x:v>
      </x:c>
      <x:c r="O42" s="12" t="n">
        <x:v>99.625</x:v>
      </x:c>
      <x:c r="P42" s="13" t="n">
        <x:v>4</x:v>
      </x:c>
      <x:c r="Q42" s="8" t="str">
        <x:v>USD</x:v>
      </x:c>
      <x:c r="R42" s="8" t="str">
        <x:v>SOFR</x:v>
      </x:c>
      <x:c r="S42" s="18" t="n">
        <x:f>IF(Portfolio_Par&gt;0,D42/Portfolio_Par,"")</x:f>
        <x:v>0.00394</x:v>
      </x:c>
      <x:c r="T42" s="19" t="n">
        <x:f>IF(A42="","",(M42-as_of_date)/365.25)</x:f>
        <x:v>4.4517453798767965</x:v>
      </x:c>
      <x:c r="U42" s="20" t="n">
        <x:f>IF(I42="Floating",D42*J42,0)</x:f>
        <x:v>508260000</x:v>
      </x:c>
      <x:c r="V42" s="20" t="n">
        <x:f>IF(A42="","",D42*N42)</x:f>
        <x:v>514170</x:v>
      </x:c>
      <x:c r="W42" s="14" t="n">
        <x:f>IF(A42='Run Snapshot'!A42,0,1)+IF(B42='Run Snapshot'!B42,0,1)+IF(C42='Run Snapshot'!C42,0,1)+IF(D42='Run Snapshot'!D42,0,1)+IF(E42='Run Snapshot'!E42,0,1)+IF(F42='Run Snapshot'!F42,0,1)+IF(G42='Run Snapshot'!G42,0,1)+IF(H42='Run Snapshot'!H42,0,1)+IF(I42='Run Snapshot'!I42,0,1)+IF(J42='Run Snapshot'!J42,0,1)+IF(K42='Run Snapshot'!K42,0,1)+IF(L42='Run Snapshot'!L42,0,1)+IF(M42='Run Snapshot'!M42,0,1)+IF(N42='Run Snapshot'!N42,0,1)+IF(O42='Run Snapshot'!O42,0,1)+IF(P42='Run Snapshot'!P42,0,1)+IF(Q42='Run Snapshot'!Q42,0,1)+IF(R42='Run Snapshot'!R42,0,1)</x:f>
        <x:v>0</x:v>
      </x:c>
      <x:c r="X42" s="15" t="n">
        <x:f>IF(A42="",0,COUNTIF($A$8:$A$289,A42)-1)</x:f>
        <x:v>0</x:v>
      </x:c>
      <x:c r="Y42" s="14" t="n">
        <x:f>IF(A42="",1,IF(OR(D42&lt;=0,N42&lt;0,N42&gt;1,M42&lt;=as_of_date),1,0))</x:f>
        <x:v>0</x:v>
      </x:c>
      <x:c r="Z42" s="170" t="n">
        <x:f>IF(A42="","",VLOOKUP(E42,SP_WARF_Factors,2,FALSE))</x:f>
        <x:v>3610.11</x:v>
      </x:c>
      <x:c r="AA42" s="172" t="n">
        <x:f>IF(A42="","",D42*Z42)</x:f>
        <x:v>4267150020</x:v>
      </x:c>
      <x:c r="AB42" s="170" t="n">
        <x:f>IF(A42="","",D42*ABS(Z42-SPWARF))</x:f>
        <x:v>1454724851.276</x:v>
      </x:c>
    </x:row>
    <x:row r="43">
      <x:c r="A43" s="8" t="str">
        <x:v>SYN-LN-00036</x:v>
      </x:c>
      <x:c r="B43" s="8" t="str">
        <x:v>SYN-OB-0034</x:v>
      </x:c>
      <x:c r="C43" s="8" t="str">
        <x:v>Stonebridge Group 034</x:v>
      </x:c>
      <x:c r="D43" s="9" t="n">
        <x:v>1182000</x:v>
      </x:c>
      <x:c r="E43" s="8" t="str">
        <x:v>B</x:v>
      </x:c>
      <x:c r="F43" s="8" t="str">
        <x:v>Building Products</x:v>
      </x:c>
      <x:c r="G43" s="8" t="str">
        <x:v>United States</x:v>
      </x:c>
      <x:c r="H43" s="8" t="str">
        <x:v>1st Lien</x:v>
      </x:c>
      <x:c r="I43" s="8" t="str">
        <x:v>Floating</x:v>
      </x:c>
      <x:c r="J43" s="8" t="n">
        <x:v>275</x:v>
      </x:c>
      <x:c r="K43" s="10"/>
      <x:c r="L43" s="8" t="n">
        <x:v>0</x:v>
      </x:c>
      <x:c r="M43" s="11" t="n">
        <x:v>48182</x:v>
      </x:c>
      <x:c r="N43" s="10" t="n">
        <x:v>0.36</x:v>
      </x:c>
      <x:c r="O43" s="12" t="n">
        <x:v>99.5</x:v>
      </x:c>
      <x:c r="P43" s="13" t="n">
        <x:v>4</x:v>
      </x:c>
      <x:c r="Q43" s="8" t="str">
        <x:v>USD</x:v>
      </x:c>
      <x:c r="R43" s="8" t="str">
        <x:v>SOFR</x:v>
      </x:c>
      <x:c r="S43" s="18" t="n">
        <x:f>IF(Portfolio_Par&gt;0,D43/Portfolio_Par,"")</x:f>
        <x:v>0.00394</x:v>
      </x:c>
      <x:c r="T43" s="19" t="n">
        <x:f>IF(A43="","",(M43-as_of_date)/365.25)</x:f>
        <x:v>4.91170431211499</x:v>
      </x:c>
      <x:c r="U43" s="20" t="n">
        <x:f>IF(I43="Floating",D43*J43,0)</x:f>
        <x:v>325050000</x:v>
      </x:c>
      <x:c r="V43" s="20" t="n">
        <x:f>IF(A43="","",D43*N43)</x:f>
        <x:v>425520</x:v>
      </x:c>
      <x:c r="W43" s="14" t="n">
        <x:f>IF(A43='Run Snapshot'!A43,0,1)+IF(B43='Run Snapshot'!B43,0,1)+IF(C43='Run Snapshot'!C43,0,1)+IF(D43='Run Snapshot'!D43,0,1)+IF(E43='Run Snapshot'!E43,0,1)+IF(F43='Run Snapshot'!F43,0,1)+IF(G43='Run Snapshot'!G43,0,1)+IF(H43='Run Snapshot'!H43,0,1)+IF(I43='Run Snapshot'!I43,0,1)+IF(J43='Run Snapshot'!J43,0,1)+IF(K43='Run Snapshot'!K43,0,1)+IF(L43='Run Snapshot'!L43,0,1)+IF(M43='Run Snapshot'!M43,0,1)+IF(N43='Run Snapshot'!N43,0,1)+IF(O43='Run Snapshot'!O43,0,1)+IF(P43='Run Snapshot'!P43,0,1)+IF(Q43='Run Snapshot'!Q43,0,1)+IF(R43='Run Snapshot'!R43,0,1)</x:f>
        <x:v>0</x:v>
      </x:c>
      <x:c r="X43" s="15" t="n">
        <x:f>IF(A43="",0,COUNTIF($A$8:$A$289,A43)-1)</x:f>
        <x:v>0</x:v>
      </x:c>
      <x:c r="Y43" s="14" t="n">
        <x:f>IF(A43="",1,IF(OR(D43&lt;=0,N43&lt;0,N43&gt;1,M43&lt;=as_of_date),1,0))</x:f>
        <x:v>0</x:v>
      </x:c>
      <x:c r="Z43" s="170" t="n">
        <x:f>IF(A43="","",VLOOKUP(E43,SP_WARF_Factors,2,FALSE))</x:f>
        <x:v>2859.5</x:v>
      </x:c>
      <x:c r="AA43" s="172" t="n">
        <x:f>IF(A43="","",D43*Z43)</x:f>
        <x:v>3379929000</x:v>
      </x:c>
      <x:c r="AB43" s="170" t="n">
        <x:f>IF(A43="","",D43*ABS(Z43-SPWARF))</x:f>
        <x:v>567503831.2759999</x:v>
      </x:c>
    </x:row>
    <x:row r="44">
      <x:c r="A44" s="8" t="str">
        <x:v>SYN-LN-00037</x:v>
      </x:c>
      <x:c r="B44" s="8" t="str">
        <x:v>SYN-OB-0035</x:v>
      </x:c>
      <x:c r="C44" s="8" t="str">
        <x:v>Summit LLC 035</x:v>
      </x:c>
      <x:c r="D44" s="9" t="n">
        <x:v>1182000</x:v>
      </x:c>
      <x:c r="E44" s="8" t="str">
        <x:v>BB-</x:v>
      </x:c>
      <x:c r="F44" s="8" t="str">
        <x:v>Gas Utilities</x:v>
      </x:c>
      <x:c r="G44" s="8" t="str">
        <x:v>United States</x:v>
      </x:c>
      <x:c r="H44" s="8" t="str">
        <x:v>1st Lien</x:v>
      </x:c>
      <x:c r="I44" s="8" t="str">
        <x:v>Floating</x:v>
      </x:c>
      <x:c r="J44" s="8" t="n">
        <x:v>220</x:v>
      </x:c>
      <x:c r="K44" s="10"/>
      <x:c r="L44" s="8" t="n">
        <x:v>0</x:v>
      </x:c>
      <x:c r="M44" s="11" t="n">
        <x:v>48057</x:v>
      </x:c>
      <x:c r="N44" s="10" t="n">
        <x:v>0.2</x:v>
      </x:c>
      <x:c r="O44" s="12" t="n">
        <x:v>97.25</x:v>
      </x:c>
      <x:c r="P44" s="13" t="n">
        <x:v>4</x:v>
      </x:c>
      <x:c r="Q44" s="8" t="str">
        <x:v>USD</x:v>
      </x:c>
      <x:c r="R44" s="8" t="str">
        <x:v>SOFR</x:v>
      </x:c>
      <x:c r="S44" s="18" t="n">
        <x:f>IF(Portfolio_Par&gt;0,D44/Portfolio_Par,"")</x:f>
        <x:v>0.00394</x:v>
      </x:c>
      <x:c r="T44" s="19" t="n">
        <x:f>IF(A44="","",(M44-as_of_date)/365.25)</x:f>
        <x:v>4.569472963723477</x:v>
      </x:c>
      <x:c r="U44" s="20" t="n">
        <x:f>IF(I44="Floating",D44*J44,0)</x:f>
        <x:v>260040000</x:v>
      </x:c>
      <x:c r="V44" s="20" t="n">
        <x:f>IF(A44="","",D44*N44)</x:f>
        <x:v>236400</x:v>
      </x:c>
      <x:c r="W44" s="14" t="n">
        <x:f>IF(A44='Run Snapshot'!A44,0,1)+IF(B44='Run Snapshot'!B44,0,1)+IF(C44='Run Snapshot'!C44,0,1)+IF(D44='Run Snapshot'!D44,0,1)+IF(E44='Run Snapshot'!E44,0,1)+IF(F44='Run Snapshot'!F44,0,1)+IF(G44='Run Snapshot'!G44,0,1)+IF(H44='Run Snapshot'!H44,0,1)+IF(I44='Run Snapshot'!I44,0,1)+IF(J44='Run Snapshot'!J44,0,1)+IF(K44='Run Snapshot'!K44,0,1)+IF(L44='Run Snapshot'!L44,0,1)+IF(M44='Run Snapshot'!M44,0,1)+IF(N44='Run Snapshot'!N44,0,1)+IF(O44='Run Snapshot'!O44,0,1)+IF(P44='Run Snapshot'!P44,0,1)+IF(Q44='Run Snapshot'!Q44,0,1)+IF(R44='Run Snapshot'!R44,0,1)</x:f>
        <x:v>0</x:v>
      </x:c>
      <x:c r="X44" s="15" t="n">
        <x:f>IF(A44="",0,COUNTIF($A$8:$A$289,A44)-1)</x:f>
        <x:v>0</x:v>
      </x:c>
      <x:c r="Y44" s="14" t="n">
        <x:f>IF(A44="",1,IF(OR(D44&lt;=0,N44&lt;0,N44&gt;1,M44&lt;=as_of_date),1,0))</x:f>
        <x:v>0</x:v>
      </x:c>
      <x:c r="Z44" s="170" t="n">
        <x:f>IF(A44="","",VLOOKUP(E44,SP_WARF_Factors,2,FALSE))</x:f>
        <x:v>1565.44</x:v>
      </x:c>
      <x:c r="AA44" s="172" t="n">
        <x:f>IF(A44="","",D44*Z44)</x:f>
        <x:v>1850350080</x:v>
      </x:c>
      <x:c r="AB44" s="170" t="n">
        <x:f>IF(A44="","",D44*ABS(Z44-SPWARF))</x:f>
        <x:v>962075088.724</x:v>
      </x:c>
    </x:row>
    <x:row r="45">
      <x:c r="A45" s="8" t="str">
        <x:v>SYN-LN-00038</x:v>
      </x:c>
      <x:c r="B45" s="8" t="str">
        <x:v>SYN-OB-0036</x:v>
      </x:c>
      <x:c r="C45" s="8" t="str">
        <x:v>Timber Holdings 036</x:v>
      </x:c>
      <x:c r="D45" s="9" t="n">
        <x:v>1182000</x:v>
      </x:c>
      <x:c r="E45" s="8" t="str">
        <x:v>B-</x:v>
      </x:c>
      <x:c r="F45" s="8" t="str">
        <x:v>Machinery</x:v>
      </x:c>
      <x:c r="G45" s="8" t="str">
        <x:v>United States</x:v>
      </x:c>
      <x:c r="H45" s="8" t="str">
        <x:v>1st Lien</x:v>
      </x:c>
      <x:c r="I45" s="8" t="str">
        <x:v>Floating</x:v>
      </x:c>
      <x:c r="J45" s="8" t="n">
        <x:v>460</x:v>
      </x:c>
      <x:c r="K45" s="10"/>
      <x:c r="L45" s="8" t="n">
        <x:v>0</x:v>
      </x:c>
      <x:c r="M45" s="11" t="n">
        <x:v>48638</x:v>
      </x:c>
      <x:c r="N45" s="10" t="n">
        <x:v>0.47</x:v>
      </x:c>
      <x:c r="O45" s="12" t="n">
        <x:v>101.5</x:v>
      </x:c>
      <x:c r="P45" s="13" t="n">
        <x:v>4</x:v>
      </x:c>
      <x:c r="Q45" s="8" t="str">
        <x:v>USD</x:v>
      </x:c>
      <x:c r="R45" s="8" t="str">
        <x:v>SOFR</x:v>
      </x:c>
      <x:c r="S45" s="18" t="n">
        <x:f>IF(Portfolio_Par&gt;0,D45/Portfolio_Par,"")</x:f>
        <x:v>0.00394</x:v>
      </x:c>
      <x:c r="T45" s="19" t="n">
        <x:f>IF(A45="","",(M45-as_of_date)/365.25)</x:f>
        <x:v>6.160164271047228</x:v>
      </x:c>
      <x:c r="U45" s="20" t="n">
        <x:f>IF(I45="Floating",D45*J45,0)</x:f>
        <x:v>543720000</x:v>
      </x:c>
      <x:c r="V45" s="20" t="n">
        <x:f>IF(A45="","",D45*N45)</x:f>
        <x:v>555540</x:v>
      </x:c>
      <x:c r="W45" s="14" t="n">
        <x:f>IF(A45='Run Snapshot'!A45,0,1)+IF(B45='Run Snapshot'!B45,0,1)+IF(C45='Run Snapshot'!C45,0,1)+IF(D45='Run Snapshot'!D45,0,1)+IF(E45='Run Snapshot'!E45,0,1)+IF(F45='Run Snapshot'!F45,0,1)+IF(G45='Run Snapshot'!G45,0,1)+IF(H45='Run Snapshot'!H45,0,1)+IF(I45='Run Snapshot'!I45,0,1)+IF(J45='Run Snapshot'!J45,0,1)+IF(K45='Run Snapshot'!K45,0,1)+IF(L45='Run Snapshot'!L45,0,1)+IF(M45='Run Snapshot'!M45,0,1)+IF(N45='Run Snapshot'!N45,0,1)+IF(O45='Run Snapshot'!O45,0,1)+IF(P45='Run Snapshot'!P45,0,1)+IF(Q45='Run Snapshot'!Q45,0,1)+IF(R45='Run Snapshot'!R45,0,1)</x:f>
        <x:v>0</x:v>
      </x:c>
      <x:c r="X45" s="15" t="n">
        <x:f>IF(A45="",0,COUNTIF($A$8:$A$289,A45)-1)</x:f>
        <x:v>0</x:v>
      </x:c>
      <x:c r="Y45" s="14" t="n">
        <x:f>IF(A45="",1,IF(OR(D45&lt;=0,N45&lt;0,N45&gt;1,M45&lt;=as_of_date),1,0))</x:f>
        <x:v>0</x:v>
      </x:c>
      <x:c r="Z45" s="170" t="n">
        <x:f>IF(A45="","",VLOOKUP(E45,SP_WARF_Factors,2,FALSE))</x:f>
        <x:v>3610.11</x:v>
      </x:c>
      <x:c r="AA45" s="172" t="n">
        <x:f>IF(A45="","",D45*Z45)</x:f>
        <x:v>4267150020</x:v>
      </x:c>
      <x:c r="AB45" s="170" t="n">
        <x:f>IF(A45="","",D45*ABS(Z45-SPWARF))</x:f>
        <x:v>1454724851.276</x:v>
      </x:c>
    </x:row>
    <x:row r="46">
      <x:c r="A46" s="8" t="str">
        <x:v>SYN-LN-00039</x:v>
      </x:c>
      <x:c r="B46" s="8" t="str">
        <x:v>SYN-OB-0037</x:v>
      </x:c>
      <x:c r="C46" s="8" t="str">
        <x:v>Westhaven Inc. 037</x:v>
      </x:c>
      <x:c r="D46" s="9" t="n">
        <x:v>1182000</x:v>
      </x:c>
      <x:c r="E46" s="8" t="str">
        <x:v>B-</x:v>
      </x:c>
      <x:c r="F46" s="8" t="str">
        <x:v>Energy Equipment &amp; Services</x:v>
      </x:c>
      <x:c r="G46" s="8" t="str">
        <x:v>United States</x:v>
      </x:c>
      <x:c r="H46" s="8" t="str">
        <x:v>1st Lien</x:v>
      </x:c>
      <x:c r="I46" s="8" t="str">
        <x:v>Floating</x:v>
      </x:c>
      <x:c r="J46" s="8" t="n">
        <x:v>150</x:v>
      </x:c>
      <x:c r="K46" s="10"/>
      <x:c r="L46" s="8" t="n">
        <x:v>0</x:v>
      </x:c>
      <x:c r="M46" s="11" t="n">
        <x:v>47327</x:v>
      </x:c>
      <x:c r="N46" s="10" t="n">
        <x:v>0.34</x:v>
      </x:c>
      <x:c r="O46" s="12" t="n">
        <x:v>98.75</x:v>
      </x:c>
      <x:c r="P46" s="13" t="n">
        <x:v>4</x:v>
      </x:c>
      <x:c r="Q46" s="8" t="str">
        <x:v>USD</x:v>
      </x:c>
      <x:c r="R46" s="8" t="str">
        <x:v>SOFR</x:v>
      </x:c>
      <x:c r="S46" s="18" t="n">
        <x:f>IF(Portfolio_Par&gt;0,D46/Portfolio_Par,"")</x:f>
        <x:v>0.00394</x:v>
      </x:c>
      <x:c r="T46" s="19" t="n">
        <x:f>IF(A46="","",(M46-as_of_date)/365.25)</x:f>
        <x:v>2.5708418891170433</x:v>
      </x:c>
      <x:c r="U46" s="20" t="n">
        <x:f>IF(I46="Floating",D46*J46,0)</x:f>
        <x:v>177300000</x:v>
      </x:c>
      <x:c r="V46" s="20" t="n">
        <x:f>IF(A46="","",D46*N46)</x:f>
        <x:v>401880</x:v>
      </x:c>
      <x:c r="W46" s="14" t="n">
        <x:f>IF(A46='Run Snapshot'!A46,0,1)+IF(B46='Run Snapshot'!B46,0,1)+IF(C46='Run Snapshot'!C46,0,1)+IF(D46='Run Snapshot'!D46,0,1)+IF(E46='Run Snapshot'!E46,0,1)+IF(F46='Run Snapshot'!F46,0,1)+IF(G46='Run Snapshot'!G46,0,1)+IF(H46='Run Snapshot'!H46,0,1)+IF(I46='Run Snapshot'!I46,0,1)+IF(J46='Run Snapshot'!J46,0,1)+IF(K46='Run Snapshot'!K46,0,1)+IF(L46='Run Snapshot'!L46,0,1)+IF(M46='Run Snapshot'!M46,0,1)+IF(N46='Run Snapshot'!N46,0,1)+IF(O46='Run Snapshot'!O46,0,1)+IF(P46='Run Snapshot'!P46,0,1)+IF(Q46='Run Snapshot'!Q46,0,1)+IF(R46='Run Snapshot'!R46,0,1)</x:f>
        <x:v>0</x:v>
      </x:c>
      <x:c r="X46" s="15" t="n">
        <x:f>IF(A46="",0,COUNTIF($A$8:$A$289,A46)-1)</x:f>
        <x:v>0</x:v>
      </x:c>
      <x:c r="Y46" s="14" t="n">
        <x:f>IF(A46="",1,IF(OR(D46&lt;=0,N46&lt;0,N46&gt;1,M46&lt;=as_of_date),1,0))</x:f>
        <x:v>0</x:v>
      </x:c>
      <x:c r="Z46" s="170" t="n">
        <x:f>IF(A46="","",VLOOKUP(E46,SP_WARF_Factors,2,FALSE))</x:f>
        <x:v>3610.11</x:v>
      </x:c>
      <x:c r="AA46" s="172" t="n">
        <x:f>IF(A46="","",D46*Z46)</x:f>
        <x:v>4267150020</x:v>
      </x:c>
      <x:c r="AB46" s="170" t="n">
        <x:f>IF(A46="","",D46*ABS(Z46-SPWARF))</x:f>
        <x:v>1454724851.276</x:v>
      </x:c>
    </x:row>
    <x:row r="47">
      <x:c r="A47" s="8" t="str">
        <x:v>SYN-LN-00040</x:v>
      </x:c>
      <x:c r="B47" s="8" t="str">
        <x:v>SYN-OB-0038</x:v>
      </x:c>
      <x:c r="C47" s="8" t="str">
        <x:v>Willow Corp. 038</x:v>
      </x:c>
      <x:c r="D47" s="9" t="n">
        <x:v>630000</x:v>
      </x:c>
      <x:c r="E47" s="8" t="str">
        <x:v>BB</x:v>
      </x:c>
      <x:c r="F47" s="8" t="str">
        <x:v>Auto Components</x:v>
      </x:c>
      <x:c r="G47" s="8" t="str">
        <x:v>Canada</x:v>
      </x:c>
      <x:c r="H47" s="8" t="str">
        <x:v>1st Lien</x:v>
      </x:c>
      <x:c r="I47" s="8" t="str">
        <x:v>Floating</x:v>
      </x:c>
      <x:c r="J47" s="8" t="n">
        <x:v>295</x:v>
      </x:c>
      <x:c r="K47" s="10"/>
      <x:c r="L47" s="8" t="n">
        <x:v>50</x:v>
      </x:c>
      <x:c r="M47" s="11" t="n">
        <x:v>48563</x:v>
      </x:c>
      <x:c r="N47" s="10" t="n">
        <x:v>0.62</x:v>
      </x:c>
      <x:c r="O47" s="12" t="n">
        <x:v>100.75</x:v>
      </x:c>
      <x:c r="P47" s="13" t="n">
        <x:v>4</x:v>
      </x:c>
      <x:c r="Q47" s="8" t="str">
        <x:v>USD</x:v>
      </x:c>
      <x:c r="R47" s="8" t="str">
        <x:v>SOFR</x:v>
      </x:c>
      <x:c r="S47" s="18" t="n">
        <x:f>IF(Portfolio_Par&gt;0,D47/Portfolio_Par,"")</x:f>
        <x:v>0.0021</x:v>
      </x:c>
      <x:c r="T47" s="19" t="n">
        <x:f>IF(A47="","",(M47-as_of_date)/365.25)</x:f>
        <x:v>5.95482546201232</x:v>
      </x:c>
      <x:c r="U47" s="20" t="n">
        <x:f>IF(I47="Floating",D47*J47,0)</x:f>
        <x:v>185850000</x:v>
      </x:c>
      <x:c r="V47" s="20" t="n">
        <x:f>IF(A47="","",D47*N47)</x:f>
        <x:v>390600</x:v>
      </x:c>
      <x:c r="W47" s="14" t="n">
        <x:f>IF(A47='Run Snapshot'!A47,0,1)+IF(B47='Run Snapshot'!B47,0,1)+IF(C47='Run Snapshot'!C47,0,1)+IF(D47='Run Snapshot'!D47,0,1)+IF(E47='Run Snapshot'!E47,0,1)+IF(F47='Run Snapshot'!F47,0,1)+IF(G47='Run Snapshot'!G47,0,1)+IF(H47='Run Snapshot'!H47,0,1)+IF(I47='Run Snapshot'!I47,0,1)+IF(J47='Run Snapshot'!J47,0,1)+IF(K47='Run Snapshot'!K47,0,1)+IF(L47='Run Snapshot'!L47,0,1)+IF(M47='Run Snapshot'!M47,0,1)+IF(N47='Run Snapshot'!N47,0,1)+IF(O47='Run Snapshot'!O47,0,1)+IF(P47='Run Snapshot'!P47,0,1)+IF(Q47='Run Snapshot'!Q47,0,1)+IF(R47='Run Snapshot'!R47,0,1)</x:f>
        <x:v>0</x:v>
      </x:c>
      <x:c r="X47" s="15" t="n">
        <x:f>IF(A47="",0,COUNTIF($A$8:$A$289,A47)-1)</x:f>
        <x:v>0</x:v>
      </x:c>
      <x:c r="Y47" s="14" t="n">
        <x:f>IF(A47="",1,IF(OR(D47&lt;=0,N47&lt;0,N47&gt;1,M47&lt;=as_of_date),1,0))</x:f>
        <x:v>0</x:v>
      </x:c>
      <x:c r="Z47" s="170" t="n">
        <x:f>IF(A47="","",VLOOKUP(E47,SP_WARF_Factors,2,FALSE))</x:f>
        <x:v>1233.63</x:v>
      </x:c>
      <x:c r="AA47" s="172" t="n">
        <x:f>IF(A47="","",D47*Z47)</x:f>
        <x:v>777186900.0000001</x:v>
      </x:c>
      <x:c r="AB47" s="170" t="n">
        <x:f>IF(A47="","",D47*ABS(Z47-SPWARF))</x:f>
        <x:v>721821438.66</x:v>
      </x:c>
    </x:row>
    <x:row r="48">
      <x:c r="A48" s="8" t="str">
        <x:v>SYN-LN-00041</x:v>
      </x:c>
      <x:c r="B48" s="8" t="str">
        <x:v>SYN-OB-0039</x:v>
      </x:c>
      <x:c r="C48" s="8" t="str">
        <x:v>Windward Group 039</x:v>
      </x:c>
      <x:c r="D48" s="9" t="n">
        <x:v>1182000</x:v>
      </x:c>
      <x:c r="E48" s="8" t="str">
        <x:v>B</x:v>
      </x:c>
      <x:c r="F48" s="8" t="str">
        <x:v>Aerospace &amp; Defense</x:v>
      </x:c>
      <x:c r="G48" s="8" t="str">
        <x:v>United States</x:v>
      </x:c>
      <x:c r="H48" s="8" t="str">
        <x:v>1st Lien</x:v>
      </x:c>
      <x:c r="I48" s="8" t="str">
        <x:v>Floating</x:v>
      </x:c>
      <x:c r="J48" s="8" t="n">
        <x:v>220</x:v>
      </x:c>
      <x:c r="K48" s="10"/>
      <x:c r="L48" s="8" t="n">
        <x:v>0</x:v>
      </x:c>
      <x:c r="M48" s="11" t="n">
        <x:v>48745</x:v>
      </x:c>
      <x:c r="N48" s="10" t="n">
        <x:v>0.415</x:v>
      </x:c>
      <x:c r="O48" s="12" t="n">
        <x:v>100.75</x:v>
      </x:c>
      <x:c r="P48" s="13" t="n">
        <x:v>4</x:v>
      </x:c>
      <x:c r="Q48" s="8" t="str">
        <x:v>USD</x:v>
      </x:c>
      <x:c r="R48" s="8" t="str">
        <x:v>SOFR</x:v>
      </x:c>
      <x:c r="S48" s="18" t="n">
        <x:f>IF(Portfolio_Par&gt;0,D48/Portfolio_Par,"")</x:f>
        <x:v>0.00394</x:v>
      </x:c>
      <x:c r="T48" s="19" t="n">
        <x:f>IF(A48="","",(M48-as_of_date)/365.25)</x:f>
        <x:v>6.453114305270363</x:v>
      </x:c>
      <x:c r="U48" s="20" t="n">
        <x:f>IF(I48="Floating",D48*J48,0)</x:f>
        <x:v>260040000</x:v>
      </x:c>
      <x:c r="V48" s="20" t="n">
        <x:f>IF(A48="","",D48*N48)</x:f>
        <x:v>490530</x:v>
      </x:c>
      <x:c r="W48" s="14" t="n">
        <x:f>IF(A48='Run Snapshot'!A48,0,1)+IF(B48='Run Snapshot'!B48,0,1)+IF(C48='Run Snapshot'!C48,0,1)+IF(D48='Run Snapshot'!D48,0,1)+IF(E48='Run Snapshot'!E48,0,1)+IF(F48='Run Snapshot'!F48,0,1)+IF(G48='Run Snapshot'!G48,0,1)+IF(H48='Run Snapshot'!H48,0,1)+IF(I48='Run Snapshot'!I48,0,1)+IF(J48='Run Snapshot'!J48,0,1)+IF(K48='Run Snapshot'!K48,0,1)+IF(L48='Run Snapshot'!L48,0,1)+IF(M48='Run Snapshot'!M48,0,1)+IF(N48='Run Snapshot'!N48,0,1)+IF(O48='Run Snapshot'!O48,0,1)+IF(P48='Run Snapshot'!P48,0,1)+IF(Q48='Run Snapshot'!Q48,0,1)+IF(R48='Run Snapshot'!R48,0,1)</x:f>
        <x:v>0</x:v>
      </x:c>
      <x:c r="X48" s="15" t="n">
        <x:f>IF(A48="",0,COUNTIF($A$8:$A$289,A48)-1)</x:f>
        <x:v>0</x:v>
      </x:c>
      <x:c r="Y48" s="14" t="n">
        <x:f>IF(A48="",1,IF(OR(D48&lt;=0,N48&lt;0,N48&gt;1,M48&lt;=as_of_date),1,0))</x:f>
        <x:v>0</x:v>
      </x:c>
      <x:c r="Z48" s="170" t="n">
        <x:f>IF(A48="","",VLOOKUP(E48,SP_WARF_Factors,2,FALSE))</x:f>
        <x:v>2859.5</x:v>
      </x:c>
      <x:c r="AA48" s="172" t="n">
        <x:f>IF(A48="","",D48*Z48)</x:f>
        <x:v>3379929000</x:v>
      </x:c>
      <x:c r="AB48" s="170" t="n">
        <x:f>IF(A48="","",D48*ABS(Z48-SPWARF))</x:f>
        <x:v>567503831.2759999</x:v>
      </x:c>
    </x:row>
    <x:row r="49">
      <x:c r="A49" s="8" t="str">
        <x:v>SYN-LN-00042</x:v>
      </x:c>
      <x:c r="B49" s="8" t="str">
        <x:v>SYN-OB-0040</x:v>
      </x:c>
      <x:c r="C49" s="8" t="str">
        <x:v>Woodland LLC 040</x:v>
      </x:c>
      <x:c r="D49" s="9" t="n">
        <x:v>1182000</x:v>
      </x:c>
      <x:c r="E49" s="8" t="str">
        <x:v>BB</x:v>
      </x:c>
      <x:c r="F49" s="8" t="str">
        <x:v>Interactive media and services</x:v>
      </x:c>
      <x:c r="G49" s="8" t="str">
        <x:v>United States</x:v>
      </x:c>
      <x:c r="H49" s="8" t="str">
        <x:v>1st Lien</x:v>
      </x:c>
      <x:c r="I49" s="8" t="str">
        <x:v>Floating</x:v>
      </x:c>
      <x:c r="J49" s="8" t="n">
        <x:v>305</x:v>
      </x:c>
      <x:c r="K49" s="10"/>
      <x:c r="L49" s="8" t="n">
        <x:v>0</x:v>
      </x:c>
      <x:c r="M49" s="11" t="n">
        <x:v>48548</x:v>
      </x:c>
      <x:c r="N49" s="10" t="n">
        <x:v>0.545</x:v>
      </x:c>
      <x:c r="O49" s="12" t="n">
        <x:v>99.125</x:v>
      </x:c>
      <x:c r="P49" s="13" t="n">
        <x:v>4</x:v>
      </x:c>
      <x:c r="Q49" s="8" t="str">
        <x:v>USD</x:v>
      </x:c>
      <x:c r="R49" s="8" t="str">
        <x:v>SOFR</x:v>
      </x:c>
      <x:c r="S49" s="18" t="n">
        <x:f>IF(Portfolio_Par&gt;0,D49/Portfolio_Par,"")</x:f>
        <x:v>0.00394</x:v>
      </x:c>
      <x:c r="T49" s="19" t="n">
        <x:f>IF(A49="","",(M49-as_of_date)/365.25)</x:f>
        <x:v>5.9137577002053385</x:v>
      </x:c>
      <x:c r="U49" s="20" t="n">
        <x:f>IF(I49="Floating",D49*J49,0)</x:f>
        <x:v>360510000</x:v>
      </x:c>
      <x:c r="V49" s="20" t="n">
        <x:f>IF(A49="","",D49*N49)</x:f>
        <x:v>644190</x:v>
      </x:c>
      <x:c r="W49" s="14" t="n">
        <x:f>IF(A49='Run Snapshot'!A49,0,1)+IF(B49='Run Snapshot'!B49,0,1)+IF(C49='Run Snapshot'!C49,0,1)+IF(D49='Run Snapshot'!D49,0,1)+IF(E49='Run Snapshot'!E49,0,1)+IF(F49='Run Snapshot'!F49,0,1)+IF(G49='Run Snapshot'!G49,0,1)+IF(H49='Run Snapshot'!H49,0,1)+IF(I49='Run Snapshot'!I49,0,1)+IF(J49='Run Snapshot'!J49,0,1)+IF(K49='Run Snapshot'!K49,0,1)+IF(L49='Run Snapshot'!L49,0,1)+IF(M49='Run Snapshot'!M49,0,1)+IF(N49='Run Snapshot'!N49,0,1)+IF(O49='Run Snapshot'!O49,0,1)+IF(P49='Run Snapshot'!P49,0,1)+IF(Q49='Run Snapshot'!Q49,0,1)+IF(R49='Run Snapshot'!R49,0,1)</x:f>
        <x:v>0</x:v>
      </x:c>
      <x:c r="X49" s="15" t="n">
        <x:f>IF(A49="",0,COUNTIF($A$8:$A$289,A49)-1)</x:f>
        <x:v>0</x:v>
      </x:c>
      <x:c r="Y49" s="14" t="n">
        <x:f>IF(A49="",1,IF(OR(D49&lt;=0,N49&lt;0,N49&gt;1,M49&lt;=as_of_date),1,0))</x:f>
        <x:v>0</x:v>
      </x:c>
      <x:c r="Z49" s="170" t="n">
        <x:f>IF(A49="","",VLOOKUP(E49,SP_WARF_Factors,2,FALSE))</x:f>
        <x:v>1233.63</x:v>
      </x:c>
      <x:c r="AA49" s="172" t="n">
        <x:f>IF(A49="","",D49*Z49)</x:f>
        <x:v>1458150660.0000002</x:v>
      </x:c>
      <x:c r="AB49" s="170" t="n">
        <x:f>IF(A49="","",D49*ABS(Z49-SPWARF))</x:f>
        <x:v>1354274508.724</x:v>
      </x:c>
    </x:row>
    <x:row r="50">
      <x:c r="A50" s="8" t="str">
        <x:v>SYN-LN-00043</x:v>
      </x:c>
      <x:c r="B50" s="8" t="str">
        <x:v>SYN-OB-0041</x:v>
      </x:c>
      <x:c r="C50" s="8" t="str">
        <x:v>Alder Holdings 041</x:v>
      </x:c>
      <x:c r="D50" s="9" t="n">
        <x:v>1182000</x:v>
      </x:c>
      <x:c r="E50" s="8" t="str">
        <x:v>B</x:v>
      </x:c>
      <x:c r="F50" s="8" t="str">
        <x:v>IT Services</x:v>
      </x:c>
      <x:c r="G50" s="8" t="str">
        <x:v>United States</x:v>
      </x:c>
      <x:c r="H50" s="8" t="str">
        <x:v>1st Lien</x:v>
      </x:c>
      <x:c r="I50" s="8" t="str">
        <x:v>Floating</x:v>
      </x:c>
      <x:c r="J50" s="8" t="n">
        <x:v>270</x:v>
      </x:c>
      <x:c r="K50" s="10"/>
      <x:c r="L50" s="8" t="n">
        <x:v>0</x:v>
      </x:c>
      <x:c r="M50" s="11" t="n">
        <x:v>48882</x:v>
      </x:c>
      <x:c r="N50" s="10" t="n">
        <x:v>0.28</x:v>
      </x:c>
      <x:c r="O50" s="12" t="n">
        <x:v>99.125</x:v>
      </x:c>
      <x:c r="P50" s="13" t="n">
        <x:v>4</x:v>
      </x:c>
      <x:c r="Q50" s="8" t="str">
        <x:v>USD</x:v>
      </x:c>
      <x:c r="R50" s="8" t="str">
        <x:v>SOFR</x:v>
      </x:c>
      <x:c r="S50" s="18" t="n">
        <x:f>IF(Portfolio_Par&gt;0,D50/Portfolio_Par,"")</x:f>
        <x:v>0.00394</x:v>
      </x:c>
      <x:c r="T50" s="19" t="n">
        <x:f>IF(A50="","",(M50-as_of_date)/365.25)</x:f>
        <x:v>6.828199863107461</x:v>
      </x:c>
      <x:c r="U50" s="20" t="n">
        <x:f>IF(I50="Floating",D50*J50,0)</x:f>
        <x:v>319140000</x:v>
      </x:c>
      <x:c r="V50" s="20" t="n">
        <x:f>IF(A50="","",D50*N50)</x:f>
        <x:v>330960.00000000006</x:v>
      </x:c>
      <x:c r="W50" s="14" t="n">
        <x:f>IF(A50='Run Snapshot'!A50,0,1)+IF(B50='Run Snapshot'!B50,0,1)+IF(C50='Run Snapshot'!C50,0,1)+IF(D50='Run Snapshot'!D50,0,1)+IF(E50='Run Snapshot'!E50,0,1)+IF(F50='Run Snapshot'!F50,0,1)+IF(G50='Run Snapshot'!G50,0,1)+IF(H50='Run Snapshot'!H50,0,1)+IF(I50='Run Snapshot'!I50,0,1)+IF(J50='Run Snapshot'!J50,0,1)+IF(K50='Run Snapshot'!K50,0,1)+IF(L50='Run Snapshot'!L50,0,1)+IF(M50='Run Snapshot'!M50,0,1)+IF(N50='Run Snapshot'!N50,0,1)+IF(O50='Run Snapshot'!O50,0,1)+IF(P50='Run Snapshot'!P50,0,1)+IF(Q50='Run Snapshot'!Q50,0,1)+IF(R50='Run Snapshot'!R50,0,1)</x:f>
        <x:v>0</x:v>
      </x:c>
      <x:c r="X50" s="15" t="n">
        <x:f>IF(A50="",0,COUNTIF($A$8:$A$289,A50)-1)</x:f>
        <x:v>0</x:v>
      </x:c>
      <x:c r="Y50" s="14" t="n">
        <x:f>IF(A50="",1,IF(OR(D50&lt;=0,N50&lt;0,N50&gt;1,M50&lt;=as_of_date),1,0))</x:f>
        <x:v>0</x:v>
      </x:c>
      <x:c r="Z50" s="170" t="n">
        <x:f>IF(A50="","",VLOOKUP(E50,SP_WARF_Factors,2,FALSE))</x:f>
        <x:v>2859.5</x:v>
      </x:c>
      <x:c r="AA50" s="172" t="n">
        <x:f>IF(A50="","",D50*Z50)</x:f>
        <x:v>3379929000</x:v>
      </x:c>
      <x:c r="AB50" s="170" t="n">
        <x:f>IF(A50="","",D50*ABS(Z50-SPWARF))</x:f>
        <x:v>567503831.2759999</x:v>
      </x:c>
    </x:row>
    <x:row r="51">
      <x:c r="A51" s="8" t="str">
        <x:v>SYN-LN-00044</x:v>
      </x:c>
      <x:c r="B51" s="8" t="str">
        <x:v>SYN-OB-0042</x:v>
      </x:c>
      <x:c r="C51" s="8" t="str">
        <x:v>Amber Inc. 042</x:v>
      </x:c>
      <x:c r="D51" s="9" t="n">
        <x:v>1182000</x:v>
      </x:c>
      <x:c r="E51" s="8" t="str">
        <x:v>B+</x:v>
      </x:c>
      <x:c r="F51" s="8" t="str">
        <x:v>Semiconductors &amp; Semiconductor Equipment</x:v>
      </x:c>
      <x:c r="G51" s="8" t="str">
        <x:v>United States</x:v>
      </x:c>
      <x:c r="H51" s="8" t="str">
        <x:v>1st Lien</x:v>
      </x:c>
      <x:c r="I51" s="8" t="str">
        <x:v>Floating</x:v>
      </x:c>
      <x:c r="J51" s="8" t="n">
        <x:v>330</x:v>
      </x:c>
      <x:c r="K51" s="10"/>
      <x:c r="L51" s="8" t="n">
        <x:v>0</x:v>
      </x:c>
      <x:c r="M51" s="11" t="n">
        <x:v>48182</x:v>
      </x:c>
      <x:c r="N51" s="10" t="n">
        <x:v>0.425</x:v>
      </x:c>
      <x:c r="O51" s="12" t="n">
        <x:v>99.625</x:v>
      </x:c>
      <x:c r="P51" s="13" t="n">
        <x:v>4</x:v>
      </x:c>
      <x:c r="Q51" s="8" t="str">
        <x:v>USD</x:v>
      </x:c>
      <x:c r="R51" s="8" t="str">
        <x:v>SOFR</x:v>
      </x:c>
      <x:c r="S51" s="18" t="n">
        <x:f>IF(Portfolio_Par&gt;0,D51/Portfolio_Par,"")</x:f>
        <x:v>0.00394</x:v>
      </x:c>
      <x:c r="T51" s="19" t="n">
        <x:f>IF(A51="","",(M51-as_of_date)/365.25)</x:f>
        <x:v>4.91170431211499</x:v>
      </x:c>
      <x:c r="U51" s="20" t="n">
        <x:f>IF(I51="Floating",D51*J51,0)</x:f>
        <x:v>390060000</x:v>
      </x:c>
      <x:c r="V51" s="20" t="n">
        <x:f>IF(A51="","",D51*N51)</x:f>
        <x:v>502350</x:v>
      </x:c>
      <x:c r="W51" s="14" t="n">
        <x:f>IF(A51='Run Snapshot'!A51,0,1)+IF(B51='Run Snapshot'!B51,0,1)+IF(C51='Run Snapshot'!C51,0,1)+IF(D51='Run Snapshot'!D51,0,1)+IF(E51='Run Snapshot'!E51,0,1)+IF(F51='Run Snapshot'!F51,0,1)+IF(G51='Run Snapshot'!G51,0,1)+IF(H51='Run Snapshot'!H51,0,1)+IF(I51='Run Snapshot'!I51,0,1)+IF(J51='Run Snapshot'!J51,0,1)+IF(K51='Run Snapshot'!K51,0,1)+IF(L51='Run Snapshot'!L51,0,1)+IF(M51='Run Snapshot'!M51,0,1)+IF(N51='Run Snapshot'!N51,0,1)+IF(O51='Run Snapshot'!O51,0,1)+IF(P51='Run Snapshot'!P51,0,1)+IF(Q51='Run Snapshot'!Q51,0,1)+IF(R51='Run Snapshot'!R51,0,1)</x:f>
        <x:v>0</x:v>
      </x:c>
      <x:c r="X51" s="15" t="n">
        <x:f>IF(A51="",0,COUNTIF($A$8:$A$289,A51)-1)</x:f>
        <x:v>0</x:v>
      </x:c>
      <x:c r="Y51" s="14" t="n">
        <x:f>IF(A51="",1,IF(OR(D51&lt;=0,N51&lt;0,N51&gt;1,M51&lt;=as_of_date),1,0))</x:f>
        <x:v>0</x:v>
      </x:c>
      <x:c r="Z51" s="170" t="n">
        <x:f>IF(A51="","",VLOOKUP(E51,SP_WARF_Factors,2,FALSE))</x:f>
        <x:v>1982</x:v>
      </x:c>
      <x:c r="AA51" s="172" t="n">
        <x:f>IF(A51="","",D51*Z51)</x:f>
        <x:v>2342724000</x:v>
      </x:c>
      <x:c r="AB51" s="170" t="n">
        <x:f>IF(A51="","",D51*ABS(Z51-SPWARF))</x:f>
        <x:v>469701168.72400004</x:v>
      </x:c>
    </x:row>
    <x:row r="52">
      <x:c r="A52" s="8" t="str">
        <x:v>SYN-LN-00045</x:v>
      </x:c>
      <x:c r="B52" s="8" t="str">
        <x:v>SYN-OB-0043</x:v>
      </x:c>
      <x:c r="C52" s="8" t="str">
        <x:v>Arbor Corp. 043</x:v>
      </x:c>
      <x:c r="D52" s="9" t="n">
        <x:v>1182000</x:v>
      </x:c>
      <x:c r="E52" s="8" t="str">
        <x:v>B</x:v>
      </x:c>
      <x:c r="F52" s="8" t="str">
        <x:v>Healthcare Providers &amp; Services</x:v>
      </x:c>
      <x:c r="G52" s="8" t="str">
        <x:v>United States</x:v>
      </x:c>
      <x:c r="H52" s="8" t="str">
        <x:v>1st Lien</x:v>
      </x:c>
      <x:c r="I52" s="8" t="str">
        <x:v>Floating</x:v>
      </x:c>
      <x:c r="J52" s="8" t="n">
        <x:v>365</x:v>
      </x:c>
      <x:c r="K52" s="10"/>
      <x:c r="L52" s="8" t="n">
        <x:v>0</x:v>
      </x:c>
      <x:c r="M52" s="11" t="n">
        <x:v>48852</x:v>
      </x:c>
      <x:c r="N52" s="10" t="n">
        <x:v>0.39</x:v>
      </x:c>
      <x:c r="O52" s="12" t="n">
        <x:v>101.5</x:v>
      </x:c>
      <x:c r="P52" s="13" t="n">
        <x:v>4</x:v>
      </x:c>
      <x:c r="Q52" s="8" t="str">
        <x:v>USD</x:v>
      </x:c>
      <x:c r="R52" s="8" t="str">
        <x:v>SOFR</x:v>
      </x:c>
      <x:c r="S52" s="18" t="n">
        <x:f>IF(Portfolio_Par&gt;0,D52/Portfolio_Par,"")</x:f>
        <x:v>0.00394</x:v>
      </x:c>
      <x:c r="T52" s="19" t="n">
        <x:f>IF(A52="","",(M52-as_of_date)/365.25)</x:f>
        <x:v>6.746064339493498</x:v>
      </x:c>
      <x:c r="U52" s="20" t="n">
        <x:f>IF(I52="Floating",D52*J52,0)</x:f>
        <x:v>431430000</x:v>
      </x:c>
      <x:c r="V52" s="20" t="n">
        <x:f>IF(A52="","",D52*N52)</x:f>
        <x:v>460980</x:v>
      </x:c>
      <x:c r="W52" s="14" t="n">
        <x:f>IF(A52='Run Snapshot'!A52,0,1)+IF(B52='Run Snapshot'!B52,0,1)+IF(C52='Run Snapshot'!C52,0,1)+IF(D52='Run Snapshot'!D52,0,1)+IF(E52='Run Snapshot'!E52,0,1)+IF(F52='Run Snapshot'!F52,0,1)+IF(G52='Run Snapshot'!G52,0,1)+IF(H52='Run Snapshot'!H52,0,1)+IF(I52='Run Snapshot'!I52,0,1)+IF(J52='Run Snapshot'!J52,0,1)+IF(K52='Run Snapshot'!K52,0,1)+IF(L52='Run Snapshot'!L52,0,1)+IF(M52='Run Snapshot'!M52,0,1)+IF(N52='Run Snapshot'!N52,0,1)+IF(O52='Run Snapshot'!O52,0,1)+IF(P52='Run Snapshot'!P52,0,1)+IF(Q52='Run Snapshot'!Q52,0,1)+IF(R52='Run Snapshot'!R52,0,1)</x:f>
        <x:v>0</x:v>
      </x:c>
      <x:c r="X52" s="15" t="n">
        <x:f>IF(A52="",0,COUNTIF($A$8:$A$289,A52)-1)</x:f>
        <x:v>0</x:v>
      </x:c>
      <x:c r="Y52" s="14" t="n">
        <x:f>IF(A52="",1,IF(OR(D52&lt;=0,N52&lt;0,N52&gt;1,M52&lt;=as_of_date),1,0))</x:f>
        <x:v>0</x:v>
      </x:c>
      <x:c r="Z52" s="170" t="n">
        <x:f>IF(A52="","",VLOOKUP(E52,SP_WARF_Factors,2,FALSE))</x:f>
        <x:v>2859.5</x:v>
      </x:c>
      <x:c r="AA52" s="172" t="n">
        <x:f>IF(A52="","",D52*Z52)</x:f>
        <x:v>3379929000</x:v>
      </x:c>
      <x:c r="AB52" s="170" t="n">
        <x:f>IF(A52="","",D52*ABS(Z52-SPWARF))</x:f>
        <x:v>567503831.2759999</x:v>
      </x:c>
    </x:row>
    <x:row r="53">
      <x:c r="A53" s="8" t="str">
        <x:v>SYN-LN-00046</x:v>
      </x:c>
      <x:c r="B53" s="8" t="str">
        <x:v>SYN-OB-0044</x:v>
      </x:c>
      <x:c r="C53" s="8" t="str">
        <x:v>Atlas Group 044</x:v>
      </x:c>
      <x:c r="D53" s="9" t="n">
        <x:v>1182000</x:v>
      </x:c>
      <x:c r="E53" s="8" t="str">
        <x:v>B+</x:v>
      </x:c>
      <x:c r="F53" s="8" t="str">
        <x:v>Electric Utilities</x:v>
      </x:c>
      <x:c r="G53" s="8" t="str">
        <x:v>United States</x:v>
      </x:c>
      <x:c r="H53" s="8" t="str">
        <x:v>1st Lien</x:v>
      </x:c>
      <x:c r="I53" s="8" t="str">
        <x:v>Floating</x:v>
      </x:c>
      <x:c r="J53" s="8" t="n">
        <x:v>300</x:v>
      </x:c>
      <x:c r="K53" s="10"/>
      <x:c r="L53" s="8" t="n">
        <x:v>0</x:v>
      </x:c>
      <x:c r="M53" s="11" t="n">
        <x:v>48911</x:v>
      </x:c>
      <x:c r="N53" s="10" t="n">
        <x:v>0.43</x:v>
      </x:c>
      <x:c r="O53" s="12" t="n">
        <x:v>101.125</x:v>
      </x:c>
      <x:c r="P53" s="13" t="n">
        <x:v>4</x:v>
      </x:c>
      <x:c r="Q53" s="8" t="str">
        <x:v>USD</x:v>
      </x:c>
      <x:c r="R53" s="8" t="str">
        <x:v>SOFR</x:v>
      </x:c>
      <x:c r="S53" s="18" t="n">
        <x:f>IF(Portfolio_Par&gt;0,D53/Portfolio_Par,"")</x:f>
        <x:v>0.00394</x:v>
      </x:c>
      <x:c r="T53" s="19" t="n">
        <x:f>IF(A53="","",(M53-as_of_date)/365.25)</x:f>
        <x:v>6.907597535934292</x:v>
      </x:c>
      <x:c r="U53" s="20" t="n">
        <x:f>IF(I53="Floating",D53*J53,0)</x:f>
        <x:v>354600000</x:v>
      </x:c>
      <x:c r="V53" s="20" t="n">
        <x:f>IF(A53="","",D53*N53)</x:f>
        <x:v>508260</x:v>
      </x:c>
      <x:c r="W53" s="14" t="n">
        <x:f>IF(A53='Run Snapshot'!A53,0,1)+IF(B53='Run Snapshot'!B53,0,1)+IF(C53='Run Snapshot'!C53,0,1)+IF(D53='Run Snapshot'!D53,0,1)+IF(E53='Run Snapshot'!E53,0,1)+IF(F53='Run Snapshot'!F53,0,1)+IF(G53='Run Snapshot'!G53,0,1)+IF(H53='Run Snapshot'!H53,0,1)+IF(I53='Run Snapshot'!I53,0,1)+IF(J53='Run Snapshot'!J53,0,1)+IF(K53='Run Snapshot'!K53,0,1)+IF(L53='Run Snapshot'!L53,0,1)+IF(M53='Run Snapshot'!M53,0,1)+IF(N53='Run Snapshot'!N53,0,1)+IF(O53='Run Snapshot'!O53,0,1)+IF(P53='Run Snapshot'!P53,0,1)+IF(Q53='Run Snapshot'!Q53,0,1)+IF(R53='Run Snapshot'!R53,0,1)</x:f>
        <x:v>0</x:v>
      </x:c>
      <x:c r="X53" s="15" t="n">
        <x:f>IF(A53="",0,COUNTIF($A$8:$A$289,A53)-1)</x:f>
        <x:v>0</x:v>
      </x:c>
      <x:c r="Y53" s="14" t="n">
        <x:f>IF(A53="",1,IF(OR(D53&lt;=0,N53&lt;0,N53&gt;1,M53&lt;=as_of_date),1,0))</x:f>
        <x:v>0</x:v>
      </x:c>
      <x:c r="Z53" s="170" t="n">
        <x:f>IF(A53="","",VLOOKUP(E53,SP_WARF_Factors,2,FALSE))</x:f>
        <x:v>1982</x:v>
      </x:c>
      <x:c r="AA53" s="172" t="n">
        <x:f>IF(A53="","",D53*Z53)</x:f>
        <x:v>2342724000</x:v>
      </x:c>
      <x:c r="AB53" s="170" t="n">
        <x:f>IF(A53="","",D53*ABS(Z53-SPWARF))</x:f>
        <x:v>469701168.72400004</x:v>
      </x:c>
    </x:row>
    <x:row r="54">
      <x:c r="A54" s="8" t="str">
        <x:v>SYN-LN-00047</x:v>
      </x:c>
      <x:c r="B54" s="8" t="str">
        <x:v>SYN-OB-0045</x:v>
      </x:c>
      <x:c r="C54" s="8" t="str">
        <x:v>Beacon LLC 045</x:v>
      </x:c>
      <x:c r="D54" s="9" t="n">
        <x:v>1182000</x:v>
      </x:c>
      <x:c r="E54" s="8" t="str">
        <x:v>B</x:v>
      </x:c>
      <x:c r="F54" s="8" t="str">
        <x:v>Aerospace &amp; Defense</x:v>
      </x:c>
      <x:c r="G54" s="8" t="str">
        <x:v>United States</x:v>
      </x:c>
      <x:c r="H54" s="8" t="str">
        <x:v>1st Lien</x:v>
      </x:c>
      <x:c r="I54" s="8" t="str">
        <x:v>Floating</x:v>
      </x:c>
      <x:c r="J54" s="8" t="n">
        <x:v>360</x:v>
      </x:c>
      <x:c r="K54" s="10"/>
      <x:c r="L54" s="8" t="n">
        <x:v>0</x:v>
      </x:c>
      <x:c r="M54" s="11" t="n">
        <x:v>48928</x:v>
      </x:c>
      <x:c r="N54" s="10" t="n">
        <x:v>0.305</x:v>
      </x:c>
      <x:c r="O54" s="12" t="n">
        <x:v>98.75</x:v>
      </x:c>
      <x:c r="P54" s="13" t="n">
        <x:v>4</x:v>
      </x:c>
      <x:c r="Q54" s="8" t="str">
        <x:v>USD</x:v>
      </x:c>
      <x:c r="R54" s="8" t="str">
        <x:v>SOFR</x:v>
      </x:c>
      <x:c r="S54" s="18" t="n">
        <x:f>IF(Portfolio_Par&gt;0,D54/Portfolio_Par,"")</x:f>
        <x:v>0.00394</x:v>
      </x:c>
      <x:c r="T54" s="19" t="n">
        <x:f>IF(A54="","",(M54-as_of_date)/365.25)</x:f>
        <x:v>6.954140999315538</x:v>
      </x:c>
      <x:c r="U54" s="20" t="n">
        <x:f>IF(I54="Floating",D54*J54,0)</x:f>
        <x:v>425520000</x:v>
      </x:c>
      <x:c r="V54" s="20" t="n">
        <x:f>IF(A54="","",D54*N54)</x:f>
        <x:v>360510</x:v>
      </x:c>
      <x:c r="W54" s="14" t="n">
        <x:f>IF(A54='Run Snapshot'!A54,0,1)+IF(B54='Run Snapshot'!B54,0,1)+IF(C54='Run Snapshot'!C54,0,1)+IF(D54='Run Snapshot'!D54,0,1)+IF(E54='Run Snapshot'!E54,0,1)+IF(F54='Run Snapshot'!F54,0,1)+IF(G54='Run Snapshot'!G54,0,1)+IF(H54='Run Snapshot'!H54,0,1)+IF(I54='Run Snapshot'!I54,0,1)+IF(J54='Run Snapshot'!J54,0,1)+IF(K54='Run Snapshot'!K54,0,1)+IF(L54='Run Snapshot'!L54,0,1)+IF(M54='Run Snapshot'!M54,0,1)+IF(N54='Run Snapshot'!N54,0,1)+IF(O54='Run Snapshot'!O54,0,1)+IF(P54='Run Snapshot'!P54,0,1)+IF(Q54='Run Snapshot'!Q54,0,1)+IF(R54='Run Snapshot'!R54,0,1)</x:f>
        <x:v>0</x:v>
      </x:c>
      <x:c r="X54" s="15" t="n">
        <x:f>IF(A54="",0,COUNTIF($A$8:$A$289,A54)-1)</x:f>
        <x:v>0</x:v>
      </x:c>
      <x:c r="Y54" s="14" t="n">
        <x:f>IF(A54="",1,IF(OR(D54&lt;=0,N54&lt;0,N54&gt;1,M54&lt;=as_of_date),1,0))</x:f>
        <x:v>0</x:v>
      </x:c>
      <x:c r="Z54" s="170" t="n">
        <x:f>IF(A54="","",VLOOKUP(E54,SP_WARF_Factors,2,FALSE))</x:f>
        <x:v>2859.5</x:v>
      </x:c>
      <x:c r="AA54" s="172" t="n">
        <x:f>IF(A54="","",D54*Z54)</x:f>
        <x:v>3379929000</x:v>
      </x:c>
      <x:c r="AB54" s="170" t="n">
        <x:f>IF(A54="","",D54*ABS(Z54-SPWARF))</x:f>
        <x:v>567503831.2759999</x:v>
      </x:c>
    </x:row>
    <x:row r="55">
      <x:c r="A55" s="8" t="str">
        <x:v>SYN-LN-00048</x:v>
      </x:c>
      <x:c r="B55" s="8" t="str">
        <x:v>SYN-OB-0046</x:v>
      </x:c>
      <x:c r="C55" s="8" t="str">
        <x:v>Bluewater Holdings 046</x:v>
      </x:c>
      <x:c r="D55" s="9" t="n">
        <x:v>1182000</x:v>
      </x:c>
      <x:c r="E55" s="8" t="str">
        <x:v>B</x:v>
      </x:c>
      <x:c r="F55" s="8" t="str">
        <x:v>Aerospace &amp; Defense</x:v>
      </x:c>
      <x:c r="G55" s="8" t="str">
        <x:v>United States</x:v>
      </x:c>
      <x:c r="H55" s="8" t="str">
        <x:v>1st Lien</x:v>
      </x:c>
      <x:c r="I55" s="8" t="str">
        <x:v>Floating</x:v>
      </x:c>
      <x:c r="J55" s="8" t="n">
        <x:v>365</x:v>
      </x:c>
      <x:c r="K55" s="10"/>
      <x:c r="L55" s="8" t="n">
        <x:v>0</x:v>
      </x:c>
      <x:c r="M55" s="11" t="n">
        <x:v>47832</x:v>
      </x:c>
      <x:c r="N55" s="10" t="n">
        <x:v>0.445</x:v>
      </x:c>
      <x:c r="O55" s="12" t="n">
        <x:v>101.5</x:v>
      </x:c>
      <x:c r="P55" s="13" t="n">
        <x:v>4</x:v>
      </x:c>
      <x:c r="Q55" s="8" t="str">
        <x:v>USD</x:v>
      </x:c>
      <x:c r="R55" s="8" t="str">
        <x:v>SOFR</x:v>
      </x:c>
      <x:c r="S55" s="18" t="n">
        <x:f>IF(Portfolio_Par&gt;0,D55/Portfolio_Par,"")</x:f>
        <x:v>0.00394</x:v>
      </x:c>
      <x:c r="T55" s="19" t="n">
        <x:f>IF(A55="","",(M55-as_of_date)/365.25)</x:f>
        <x:v>3.9534565366187544</x:v>
      </x:c>
      <x:c r="U55" s="20" t="n">
        <x:f>IF(I55="Floating",D55*J55,0)</x:f>
        <x:v>431430000</x:v>
      </x:c>
      <x:c r="V55" s="20" t="n">
        <x:f>IF(A55="","",D55*N55)</x:f>
        <x:v>525990</x:v>
      </x:c>
      <x:c r="W55" s="14" t="n">
        <x:f>IF(A55='Run Snapshot'!A55,0,1)+IF(B55='Run Snapshot'!B55,0,1)+IF(C55='Run Snapshot'!C55,0,1)+IF(D55='Run Snapshot'!D55,0,1)+IF(E55='Run Snapshot'!E55,0,1)+IF(F55='Run Snapshot'!F55,0,1)+IF(G55='Run Snapshot'!G55,0,1)+IF(H55='Run Snapshot'!H55,0,1)+IF(I55='Run Snapshot'!I55,0,1)+IF(J55='Run Snapshot'!J55,0,1)+IF(K55='Run Snapshot'!K55,0,1)+IF(L55='Run Snapshot'!L55,0,1)+IF(M55='Run Snapshot'!M55,0,1)+IF(N55='Run Snapshot'!N55,0,1)+IF(O55='Run Snapshot'!O55,0,1)+IF(P55='Run Snapshot'!P55,0,1)+IF(Q55='Run Snapshot'!Q55,0,1)+IF(R55='Run Snapshot'!R55,0,1)</x:f>
        <x:v>0</x:v>
      </x:c>
      <x:c r="X55" s="15" t="n">
        <x:f>IF(A55="",0,COUNTIF($A$8:$A$289,A55)-1)</x:f>
        <x:v>0</x:v>
      </x:c>
      <x:c r="Y55" s="14" t="n">
        <x:f>IF(A55="",1,IF(OR(D55&lt;=0,N55&lt;0,N55&gt;1,M55&lt;=as_of_date),1,0))</x:f>
        <x:v>0</x:v>
      </x:c>
      <x:c r="Z55" s="170" t="n">
        <x:f>IF(A55="","",VLOOKUP(E55,SP_WARF_Factors,2,FALSE))</x:f>
        <x:v>2859.5</x:v>
      </x:c>
      <x:c r="AA55" s="172" t="n">
        <x:f>IF(A55="","",D55*Z55)</x:f>
        <x:v>3379929000</x:v>
      </x:c>
      <x:c r="AB55" s="170" t="n">
        <x:f>IF(A55="","",D55*ABS(Z55-SPWARF))</x:f>
        <x:v>567503831.2759999</x:v>
      </x:c>
    </x:row>
    <x:row r="56">
      <x:c r="A56" s="8" t="str">
        <x:v>SYN-LN-00049</x:v>
      </x:c>
      <x:c r="B56" s="8" t="str">
        <x:v>SYN-OB-0047</x:v>
      </x:c>
      <x:c r="C56" s="8" t="str">
        <x:v>Bracken Inc. 047</x:v>
      </x:c>
      <x:c r="D56" s="9" t="n">
        <x:v>1182000</x:v>
      </x:c>
      <x:c r="E56" s="8" t="str">
        <x:v>B-</x:v>
      </x:c>
      <x:c r="F56" s="8" t="str">
        <x:v>Diversified Telecommunication Services</x:v>
      </x:c>
      <x:c r="G56" s="8" t="str">
        <x:v>United States</x:v>
      </x:c>
      <x:c r="H56" s="8" t="str">
        <x:v>1st Lien</x:v>
      </x:c>
      <x:c r="I56" s="8" t="str">
        <x:v>Floating</x:v>
      </x:c>
      <x:c r="J56" s="8" t="n">
        <x:v>430</x:v>
      </x:c>
      <x:c r="K56" s="10"/>
      <x:c r="L56" s="8" t="n">
        <x:v>0</x:v>
      </x:c>
      <x:c r="M56" s="11" t="n">
        <x:v>47437</x:v>
      </x:c>
      <x:c r="N56" s="10" t="n">
        <x:v>0.375</x:v>
      </x:c>
      <x:c r="O56" s="12" t="n">
        <x:v>95.5</x:v>
      </x:c>
      <x:c r="P56" s="13" t="n">
        <x:v>4</x:v>
      </x:c>
      <x:c r="Q56" s="8" t="str">
        <x:v>USD</x:v>
      </x:c>
      <x:c r="R56" s="8" t="str">
        <x:v>SOFR</x:v>
      </x:c>
      <x:c r="S56" s="18" t="n">
        <x:f>IF(Portfolio_Par&gt;0,D56/Portfolio_Par,"")</x:f>
        <x:v>0.00394</x:v>
      </x:c>
      <x:c r="T56" s="19" t="n">
        <x:f>IF(A56="","",(M56-as_of_date)/365.25)</x:f>
        <x:v>2.8720054757015743</x:v>
      </x:c>
      <x:c r="U56" s="20" t="n">
        <x:f>IF(I56="Floating",D56*J56,0)</x:f>
        <x:v>508260000</x:v>
      </x:c>
      <x:c r="V56" s="20" t="n">
        <x:f>IF(A56="","",D56*N56)</x:f>
        <x:v>443250</x:v>
      </x:c>
      <x:c r="W56" s="14" t="n">
        <x:f>IF(A56='Run Snapshot'!A56,0,1)+IF(B56='Run Snapshot'!B56,0,1)+IF(C56='Run Snapshot'!C56,0,1)+IF(D56='Run Snapshot'!D56,0,1)+IF(E56='Run Snapshot'!E56,0,1)+IF(F56='Run Snapshot'!F56,0,1)+IF(G56='Run Snapshot'!G56,0,1)+IF(H56='Run Snapshot'!H56,0,1)+IF(I56='Run Snapshot'!I56,0,1)+IF(J56='Run Snapshot'!J56,0,1)+IF(K56='Run Snapshot'!K56,0,1)+IF(L56='Run Snapshot'!L56,0,1)+IF(M56='Run Snapshot'!M56,0,1)+IF(N56='Run Snapshot'!N56,0,1)+IF(O56='Run Snapshot'!O56,0,1)+IF(P56='Run Snapshot'!P56,0,1)+IF(Q56='Run Snapshot'!Q56,0,1)+IF(R56='Run Snapshot'!R56,0,1)</x:f>
        <x:v>0</x:v>
      </x:c>
      <x:c r="X56" s="15" t="n">
        <x:f>IF(A56="",0,COUNTIF($A$8:$A$289,A56)-1)</x:f>
        <x:v>0</x:v>
      </x:c>
      <x:c r="Y56" s="14" t="n">
        <x:f>IF(A56="",1,IF(OR(D56&lt;=0,N56&lt;0,N56&gt;1,M56&lt;=as_of_date),1,0))</x:f>
        <x:v>0</x:v>
      </x:c>
      <x:c r="Z56" s="170" t="n">
        <x:f>IF(A56="","",VLOOKUP(E56,SP_WARF_Factors,2,FALSE))</x:f>
        <x:v>3610.11</x:v>
      </x:c>
      <x:c r="AA56" s="172" t="n">
        <x:f>IF(A56="","",D56*Z56)</x:f>
        <x:v>4267150020</x:v>
      </x:c>
      <x:c r="AB56" s="170" t="n">
        <x:f>IF(A56="","",D56*ABS(Z56-SPWARF))</x:f>
        <x:v>1454724851.276</x:v>
      </x:c>
    </x:row>
    <x:row r="57">
      <x:c r="A57" s="8" t="str">
        <x:v>SYN-LN-00050</x:v>
      </x:c>
      <x:c r="B57" s="8" t="str">
        <x:v>SYN-OB-0048</x:v>
      </x:c>
      <x:c r="C57" s="8" t="str">
        <x:v>Cedar Corp. 048</x:v>
      </x:c>
      <x:c r="D57" s="9" t="n">
        <x:v>630000</x:v>
      </x:c>
      <x:c r="E57" s="8" t="str">
        <x:v>BBB-</x:v>
      </x:c>
      <x:c r="F57" s="8" t="str">
        <x:v>Financial services</x:v>
      </x:c>
      <x:c r="G57" s="8" t="str">
        <x:v>Netherlands</x:v>
      </x:c>
      <x:c r="H57" s="8" t="str">
        <x:v>Sr Secured</x:v>
      </x:c>
      <x:c r="I57" s="8" t="str">
        <x:v>Floating</x:v>
      </x:c>
      <x:c r="J57" s="8" t="n">
        <x:v>210</x:v>
      </x:c>
      <x:c r="K57" s="10"/>
      <x:c r="L57" s="8" t="n">
        <x:v>50</x:v>
      </x:c>
      <x:c r="M57" s="11" t="n">
        <x:v>47618</x:v>
      </x:c>
      <x:c r="N57" s="10" t="n">
        <x:v>0.33</x:v>
      </x:c>
      <x:c r="O57" s="12" t="n">
        <x:v>97.625</x:v>
      </x:c>
      <x:c r="P57" s="13" t="n">
        <x:v>4</x:v>
      </x:c>
      <x:c r="Q57" s="8" t="str">
        <x:v>USD</x:v>
      </x:c>
      <x:c r="R57" s="8" t="str">
        <x:v>SOFR</x:v>
      </x:c>
      <x:c r="S57" s="18" t="n">
        <x:f>IF(Portfolio_Par&gt;0,D57/Portfolio_Par,"")</x:f>
        <x:v>0.0021</x:v>
      </x:c>
      <x:c r="T57" s="19" t="n">
        <x:f>IF(A57="","",(M57-as_of_date)/365.25)</x:f>
        <x:v>3.3675564681724848</x:v>
      </x:c>
      <x:c r="U57" s="20" t="n">
        <x:f>IF(I57="Floating",D57*J57,0)</x:f>
        <x:v>132300000</x:v>
      </x:c>
      <x:c r="V57" s="20" t="n">
        <x:f>IF(A57="","",D57*N57)</x:f>
        <x:v>207900</x:v>
      </x:c>
      <x:c r="W57" s="14" t="n">
        <x:f>IF(A57='Run Snapshot'!A57,0,1)+IF(B57='Run Snapshot'!B57,0,1)+IF(C57='Run Snapshot'!C57,0,1)+IF(D57='Run Snapshot'!D57,0,1)+IF(E57='Run Snapshot'!E57,0,1)+IF(F57='Run Snapshot'!F57,0,1)+IF(G57='Run Snapshot'!G57,0,1)+IF(H57='Run Snapshot'!H57,0,1)+IF(I57='Run Snapshot'!I57,0,1)+IF(J57='Run Snapshot'!J57,0,1)+IF(K57='Run Snapshot'!K57,0,1)+IF(L57='Run Snapshot'!L57,0,1)+IF(M57='Run Snapshot'!M57,0,1)+IF(N57='Run Snapshot'!N57,0,1)+IF(O57='Run Snapshot'!O57,0,1)+IF(P57='Run Snapshot'!P57,0,1)+IF(Q57='Run Snapshot'!Q57,0,1)+IF(R57='Run Snapshot'!R57,0,1)</x:f>
        <x:v>0</x:v>
      </x:c>
      <x:c r="X57" s="15" t="n">
        <x:f>IF(A57="",0,COUNTIF($A$8:$A$289,A57)-1)</x:f>
        <x:v>0</x:v>
      </x:c>
      <x:c r="Y57" s="14" t="n">
        <x:f>IF(A57="",1,IF(OR(D57&lt;=0,N57&lt;0,N57&gt;1,M57&lt;=as_of_date),1,0))</x:f>
        <x:v>0</x:v>
      </x:c>
      <x:c r="Z57" s="170" t="n">
        <x:f>IF(A57="","",VLOOKUP(E57,SP_WARF_Factors,2,FALSE))</x:f>
        <x:v>540.42</x:v>
      </x:c>
      <x:c r="AA57" s="172" t="n">
        <x:f>IF(A57="","",D57*Z57)</x:f>
        <x:v>340464600</x:v>
      </x:c>
      <x:c r="AB57" s="170" t="n">
        <x:f>IF(A57="","",D57*ABS(Z57-SPWARF))</x:f>
        <x:v>1158543738.66</x:v>
      </x:c>
    </x:row>
    <x:row r="58">
      <x:c r="A58" s="8" t="str">
        <x:v>SYN-LN-00051</x:v>
      </x:c>
      <x:c r="B58" s="8" t="str">
        <x:v>SYN-OB-0049</x:v>
      </x:c>
      <x:c r="C58" s="8" t="str">
        <x:v>Cobalt Group 049</x:v>
      </x:c>
      <x:c r="D58" s="9" t="n">
        <x:v>1182000</x:v>
      </x:c>
      <x:c r="E58" s="8" t="str">
        <x:v>BB</x:v>
      </x:c>
      <x:c r="F58" s="8" t="str">
        <x:v>Banks</x:v>
      </x:c>
      <x:c r="G58" s="8" t="str">
        <x:v>United States</x:v>
      </x:c>
      <x:c r="H58" s="8" t="str">
        <x:v>1st Lien</x:v>
      </x:c>
      <x:c r="I58" s="8" t="str">
        <x:v>Floating</x:v>
      </x:c>
      <x:c r="J58" s="8" t="n">
        <x:v>260</x:v>
      </x:c>
      <x:c r="K58" s="10"/>
      <x:c r="L58" s="8" t="n">
        <x:v>0</x:v>
      </x:c>
      <x:c r="M58" s="11" t="n">
        <x:v>47529</x:v>
      </x:c>
      <x:c r="N58" s="10" t="n">
        <x:v>0.515</x:v>
      </x:c>
      <x:c r="O58" s="12" t="n">
        <x:v>99.125</x:v>
      </x:c>
      <x:c r="P58" s="13" t="n">
        <x:v>4</x:v>
      </x:c>
      <x:c r="Q58" s="8" t="str">
        <x:v>USD</x:v>
      </x:c>
      <x:c r="R58" s="8" t="str">
        <x:v>SOFR</x:v>
      </x:c>
      <x:c r="S58" s="18" t="n">
        <x:f>IF(Portfolio_Par&gt;0,D58/Portfolio_Par,"")</x:f>
        <x:v>0.00394</x:v>
      </x:c>
      <x:c r="T58" s="19" t="n">
        <x:f>IF(A58="","",(M58-as_of_date)/365.25)</x:f>
        <x:v>3.1238877481177276</x:v>
      </x:c>
      <x:c r="U58" s="20" t="n">
        <x:f>IF(I58="Floating",D58*J58,0)</x:f>
        <x:v>307320000</x:v>
      </x:c>
      <x:c r="V58" s="20" t="n">
        <x:f>IF(A58="","",D58*N58)</x:f>
        <x:v>608730</x:v>
      </x:c>
      <x:c r="W58" s="14" t="n">
        <x:f>IF(A58='Run Snapshot'!A58,0,1)+IF(B58='Run Snapshot'!B58,0,1)+IF(C58='Run Snapshot'!C58,0,1)+IF(D58='Run Snapshot'!D58,0,1)+IF(E58='Run Snapshot'!E58,0,1)+IF(F58='Run Snapshot'!F58,0,1)+IF(G58='Run Snapshot'!G58,0,1)+IF(H58='Run Snapshot'!H58,0,1)+IF(I58='Run Snapshot'!I58,0,1)+IF(J58='Run Snapshot'!J58,0,1)+IF(K58='Run Snapshot'!K58,0,1)+IF(L58='Run Snapshot'!L58,0,1)+IF(M58='Run Snapshot'!M58,0,1)+IF(N58='Run Snapshot'!N58,0,1)+IF(O58='Run Snapshot'!O58,0,1)+IF(P58='Run Snapshot'!P58,0,1)+IF(Q58='Run Snapshot'!Q58,0,1)+IF(R58='Run Snapshot'!R58,0,1)</x:f>
        <x:v>0</x:v>
      </x:c>
      <x:c r="X58" s="15" t="n">
        <x:f>IF(A58="",0,COUNTIF($A$8:$A$289,A58)-1)</x:f>
        <x:v>0</x:v>
      </x:c>
      <x:c r="Y58" s="14" t="n">
        <x:f>IF(A58="",1,IF(OR(D58&lt;=0,N58&lt;0,N58&gt;1,M58&lt;=as_of_date),1,0))</x:f>
        <x:v>0</x:v>
      </x:c>
      <x:c r="Z58" s="170" t="n">
        <x:f>IF(A58="","",VLOOKUP(E58,SP_WARF_Factors,2,FALSE))</x:f>
        <x:v>1233.63</x:v>
      </x:c>
      <x:c r="AA58" s="172" t="n">
        <x:f>IF(A58="","",D58*Z58)</x:f>
        <x:v>1458150660.0000002</x:v>
      </x:c>
      <x:c r="AB58" s="170" t="n">
        <x:f>IF(A58="","",D58*ABS(Z58-SPWARF))</x:f>
        <x:v>1354274508.724</x:v>
      </x:c>
    </x:row>
    <x:row r="59">
      <x:c r="A59" s="8" t="str">
        <x:v>SYN-LN-00052</x:v>
      </x:c>
      <x:c r="B59" s="8" t="str">
        <x:v>SYN-OB-0050</x:v>
      </x:c>
      <x:c r="C59" s="8" t="str">
        <x:v>Copper LLC 050</x:v>
      </x:c>
      <x:c r="D59" s="9" t="n">
        <x:v>630000</x:v>
      </x:c>
      <x:c r="E59" s="8" t="str">
        <x:v>BB+</x:v>
      </x:c>
      <x:c r="F59" s="8" t="str">
        <x:v>Construction &amp; Engineering</x:v>
      </x:c>
      <x:c r="G59" s="8" t="str">
        <x:v>United States</x:v>
      </x:c>
      <x:c r="H59" s="8" t="str">
        <x:v>1st Lien</x:v>
      </x:c>
      <x:c r="I59" s="8" t="str">
        <x:v>Floating</x:v>
      </x:c>
      <x:c r="J59" s="8" t="n">
        <x:v>195</x:v>
      </x:c>
      <x:c r="K59" s="10"/>
      <x:c r="L59" s="8" t="n">
        <x:v>50</x:v>
      </x:c>
      <x:c r="M59" s="11" t="n">
        <x:v>47815</x:v>
      </x:c>
      <x:c r="N59" s="10" t="n">
        <x:v>0.475</x:v>
      </x:c>
      <x:c r="O59" s="12" t="n">
        <x:v>99.125</x:v>
      </x:c>
      <x:c r="P59" s="13" t="n">
        <x:v>4</x:v>
      </x:c>
      <x:c r="Q59" s="8" t="str">
        <x:v>USD</x:v>
      </x:c>
      <x:c r="R59" s="8" t="str">
        <x:v>SOFR</x:v>
      </x:c>
      <x:c r="S59" s="18" t="n">
        <x:f>IF(Portfolio_Par&gt;0,D59/Portfolio_Par,"")</x:f>
        <x:v>0.0021</x:v>
      </x:c>
      <x:c r="T59" s="19" t="n">
        <x:f>IF(A59="","",(M59-as_of_date)/365.25)</x:f>
        <x:v>3.9069130732375084</x:v>
      </x:c>
      <x:c r="U59" s="20" t="n">
        <x:f>IF(I59="Floating",D59*J59,0)</x:f>
        <x:v>122850000</x:v>
      </x:c>
      <x:c r="V59" s="20" t="n">
        <x:f>IF(A59="","",D59*N59)</x:f>
        <x:v>299250</x:v>
      </x:c>
      <x:c r="W59" s="14" t="n">
        <x:f>IF(A59='Run Snapshot'!A59,0,1)+IF(B59='Run Snapshot'!B59,0,1)+IF(C59='Run Snapshot'!C59,0,1)+IF(D59='Run Snapshot'!D59,0,1)+IF(E59='Run Snapshot'!E59,0,1)+IF(F59='Run Snapshot'!F59,0,1)+IF(G59='Run Snapshot'!G59,0,1)+IF(H59='Run Snapshot'!H59,0,1)+IF(I59='Run Snapshot'!I59,0,1)+IF(J59='Run Snapshot'!J59,0,1)+IF(K59='Run Snapshot'!K59,0,1)+IF(L59='Run Snapshot'!L59,0,1)+IF(M59='Run Snapshot'!M59,0,1)+IF(N59='Run Snapshot'!N59,0,1)+IF(O59='Run Snapshot'!O59,0,1)+IF(P59='Run Snapshot'!P59,0,1)+IF(Q59='Run Snapshot'!Q59,0,1)+IF(R59='Run Snapshot'!R59,0,1)</x:f>
        <x:v>0</x:v>
      </x:c>
      <x:c r="X59" s="15" t="n">
        <x:f>IF(A59="",0,COUNTIF($A$8:$A$289,A59)-1)</x:f>
        <x:v>0</x:v>
      </x:c>
      <x:c r="Y59" s="14" t="n">
        <x:f>IF(A59="",1,IF(OR(D59&lt;=0,N59&lt;0,N59&gt;1,M59&lt;=as_of_date),1,0))</x:f>
        <x:v>0</x:v>
      </x:c>
      <x:c r="Z59" s="170" t="n">
        <x:f>IF(A59="","",VLOOKUP(E59,SP_WARF_Factors,2,FALSE))</x:f>
        <x:v>784.92</x:v>
      </x:c>
      <x:c r="AA59" s="172" t="n">
        <x:f>IF(A59="","",D59*Z59)</x:f>
        <x:v>494499600</x:v>
      </x:c>
      <x:c r="AB59" s="170" t="n">
        <x:f>IF(A59="","",D59*ABS(Z59-SPWARF))</x:f>
        <x:v>1004508738.66</x:v>
      </x:c>
    </x:row>
    <x:row r="60">
      <x:c r="A60" s="8" t="str">
        <x:v>SYN-LN-00053</x:v>
      </x:c>
      <x:c r="B60" s="8" t="str">
        <x:v>SYN-OB-0051</x:v>
      </x:c>
      <x:c r="C60" s="8" t="str">
        <x:v>Crest Holdings 051</x:v>
      </x:c>
      <x:c r="D60" s="9" t="n">
        <x:v>1182000</x:v>
      </x:c>
      <x:c r="E60" s="8" t="str">
        <x:v>BB-</x:v>
      </x:c>
      <x:c r="F60" s="8" t="str">
        <x:v>Food Products</x:v>
      </x:c>
      <x:c r="G60" s="8" t="str">
        <x:v>United Kingdom</x:v>
      </x:c>
      <x:c r="H60" s="8" t="str">
        <x:v>1st Lien</x:v>
      </x:c>
      <x:c r="I60" s="8" t="str">
        <x:v>Floating</x:v>
      </x:c>
      <x:c r="J60" s="8" t="n">
        <x:v>355</x:v>
      </x:c>
      <x:c r="K60" s="10"/>
      <x:c r="L60" s="8" t="n">
        <x:v>0</x:v>
      </x:c>
      <x:c r="M60" s="11" t="n">
        <x:v>48423</x:v>
      </x:c>
      <x:c r="N60" s="10" t="n">
        <x:v>0.4</x:v>
      </x:c>
      <x:c r="O60" s="12" t="n">
        <x:v>99.375</x:v>
      </x:c>
      <x:c r="P60" s="13" t="n">
        <x:v>4</x:v>
      </x:c>
      <x:c r="Q60" s="8" t="str">
        <x:v>USD</x:v>
      </x:c>
      <x:c r="R60" s="8" t="str">
        <x:v>SOFR</x:v>
      </x:c>
      <x:c r="S60" s="18" t="n">
        <x:f>IF(Portfolio_Par&gt;0,D60/Portfolio_Par,"")</x:f>
        <x:v>0.00394</x:v>
      </x:c>
      <x:c r="T60" s="19" t="n">
        <x:f>IF(A60="","",(M60-as_of_date)/365.25)</x:f>
        <x:v>5.5715263518138265</x:v>
      </x:c>
      <x:c r="U60" s="20" t="n">
        <x:f>IF(I60="Floating",D60*J60,0)</x:f>
        <x:v>419610000</x:v>
      </x:c>
      <x:c r="V60" s="20" t="n">
        <x:f>IF(A60="","",D60*N60)</x:f>
        <x:v>472800</x:v>
      </x:c>
      <x:c r="W60" s="14" t="n">
        <x:f>IF(A60='Run Snapshot'!A60,0,1)+IF(B60='Run Snapshot'!B60,0,1)+IF(C60='Run Snapshot'!C60,0,1)+IF(D60='Run Snapshot'!D60,0,1)+IF(E60='Run Snapshot'!E60,0,1)+IF(F60='Run Snapshot'!F60,0,1)+IF(G60='Run Snapshot'!G60,0,1)+IF(H60='Run Snapshot'!H60,0,1)+IF(I60='Run Snapshot'!I60,0,1)+IF(J60='Run Snapshot'!J60,0,1)+IF(K60='Run Snapshot'!K60,0,1)+IF(L60='Run Snapshot'!L60,0,1)+IF(M60='Run Snapshot'!M60,0,1)+IF(N60='Run Snapshot'!N60,0,1)+IF(O60='Run Snapshot'!O60,0,1)+IF(P60='Run Snapshot'!P60,0,1)+IF(Q60='Run Snapshot'!Q60,0,1)+IF(R60='Run Snapshot'!R60,0,1)</x:f>
        <x:v>0</x:v>
      </x:c>
      <x:c r="X60" s="15" t="n">
        <x:f>IF(A60="",0,COUNTIF($A$8:$A$289,A60)-1)</x:f>
        <x:v>0</x:v>
      </x:c>
      <x:c r="Y60" s="14" t="n">
        <x:f>IF(A60="",1,IF(OR(D60&lt;=0,N60&lt;0,N60&gt;1,M60&lt;=as_of_date),1,0))</x:f>
        <x:v>0</x:v>
      </x:c>
      <x:c r="Z60" s="170" t="n">
        <x:f>IF(A60="","",VLOOKUP(E60,SP_WARF_Factors,2,FALSE))</x:f>
        <x:v>1565.44</x:v>
      </x:c>
      <x:c r="AA60" s="172" t="n">
        <x:f>IF(A60="","",D60*Z60)</x:f>
        <x:v>1850350080</x:v>
      </x:c>
      <x:c r="AB60" s="170" t="n">
        <x:f>IF(A60="","",D60*ABS(Z60-SPWARF))</x:f>
        <x:v>962075088.724</x:v>
      </x:c>
    </x:row>
    <x:row r="61">
      <x:c r="A61" s="8" t="str">
        <x:v>SYN-LN-00054</x:v>
      </x:c>
      <x:c r="B61" s="8" t="str">
        <x:v>SYN-OB-0052</x:v>
      </x:c>
      <x:c r="C61" s="8" t="str">
        <x:v>Duneland Inc. 052</x:v>
      </x:c>
      <x:c r="D61" s="9" t="n">
        <x:v>1182000</x:v>
      </x:c>
      <x:c r="E61" s="8" t="str">
        <x:v>B-</x:v>
      </x:c>
      <x:c r="F61" s="8" t="str">
        <x:v>Software</x:v>
      </x:c>
      <x:c r="G61" s="8" t="str">
        <x:v>United States</x:v>
      </x:c>
      <x:c r="H61" s="8" t="str">
        <x:v>1st Lien</x:v>
      </x:c>
      <x:c r="I61" s="8" t="str">
        <x:v>Floating</x:v>
      </x:c>
      <x:c r="J61" s="8" t="n">
        <x:v>380</x:v>
      </x:c>
      <x:c r="K61" s="10"/>
      <x:c r="L61" s="8" t="n">
        <x:v>0</x:v>
      </x:c>
      <x:c r="M61" s="11" t="n">
        <x:v>48546</x:v>
      </x:c>
      <x:c r="N61" s="10" t="n">
        <x:v>0.37</x:v>
      </x:c>
      <x:c r="O61" s="12" t="n">
        <x:v>95.875</x:v>
      </x:c>
      <x:c r="P61" s="13" t="n">
        <x:v>4</x:v>
      </x:c>
      <x:c r="Q61" s="8" t="str">
        <x:v>USD</x:v>
      </x:c>
      <x:c r="R61" s="8" t="str">
        <x:v>SOFR</x:v>
      </x:c>
      <x:c r="S61" s="18" t="n">
        <x:f>IF(Portfolio_Par&gt;0,D61/Portfolio_Par,"")</x:f>
        <x:v>0.00394</x:v>
      </x:c>
      <x:c r="T61" s="19" t="n">
        <x:f>IF(A61="","",(M61-as_of_date)/365.25)</x:f>
        <x:v>5.908281998631074</x:v>
      </x:c>
      <x:c r="U61" s="20" t="n">
        <x:f>IF(I61="Floating",D61*J61,0)</x:f>
        <x:v>449160000</x:v>
      </x:c>
      <x:c r="V61" s="20" t="n">
        <x:f>IF(A61="","",D61*N61)</x:f>
        <x:v>437340</x:v>
      </x:c>
      <x:c r="W61" s="14" t="n">
        <x:f>IF(A61='Run Snapshot'!A61,0,1)+IF(B61='Run Snapshot'!B61,0,1)+IF(C61='Run Snapshot'!C61,0,1)+IF(D61='Run Snapshot'!D61,0,1)+IF(E61='Run Snapshot'!E61,0,1)+IF(F61='Run Snapshot'!F61,0,1)+IF(G61='Run Snapshot'!G61,0,1)+IF(H61='Run Snapshot'!H61,0,1)+IF(I61='Run Snapshot'!I61,0,1)+IF(J61='Run Snapshot'!J61,0,1)+IF(K61='Run Snapshot'!K61,0,1)+IF(L61='Run Snapshot'!L61,0,1)+IF(M61='Run Snapshot'!M61,0,1)+IF(N61='Run Snapshot'!N61,0,1)+IF(O61='Run Snapshot'!O61,0,1)+IF(P61='Run Snapshot'!P61,0,1)+IF(Q61='Run Snapshot'!Q61,0,1)+IF(R61='Run Snapshot'!R61,0,1)</x:f>
        <x:v>0</x:v>
      </x:c>
      <x:c r="X61" s="15" t="n">
        <x:f>IF(A61="",0,COUNTIF($A$8:$A$289,A61)-1)</x:f>
        <x:v>0</x:v>
      </x:c>
      <x:c r="Y61" s="14" t="n">
        <x:f>IF(A61="",1,IF(OR(D61&lt;=0,N61&lt;0,N61&gt;1,M61&lt;=as_of_date),1,0))</x:f>
        <x:v>0</x:v>
      </x:c>
      <x:c r="Z61" s="170" t="n">
        <x:f>IF(A61="","",VLOOKUP(E61,SP_WARF_Factors,2,FALSE))</x:f>
        <x:v>3610.11</x:v>
      </x:c>
      <x:c r="AA61" s="172" t="n">
        <x:f>IF(A61="","",D61*Z61)</x:f>
        <x:v>4267150020</x:v>
      </x:c>
      <x:c r="AB61" s="170" t="n">
        <x:f>IF(A61="","",D61*ABS(Z61-SPWARF))</x:f>
        <x:v>1454724851.276</x:v>
      </x:c>
    </x:row>
    <x:row r="62">
      <x:c r="A62" s="8" t="str">
        <x:v>SYN-LN-00055</x:v>
      </x:c>
      <x:c r="B62" s="8" t="str">
        <x:v>SYN-OB-0053</x:v>
      </x:c>
      <x:c r="C62" s="8" t="str">
        <x:v>Elmstone Corp. 053</x:v>
      </x:c>
      <x:c r="D62" s="9" t="n">
        <x:v>1182000</x:v>
      </x:c>
      <x:c r="E62" s="8" t="str">
        <x:v>B+</x:v>
      </x:c>
      <x:c r="F62" s="8" t="str">
        <x:v>Industrial Conglomerates</x:v>
      </x:c>
      <x:c r="G62" s="8" t="str">
        <x:v>United States</x:v>
      </x:c>
      <x:c r="H62" s="8" t="str">
        <x:v>1st Lien</x:v>
      </x:c>
      <x:c r="I62" s="8" t="str">
        <x:v>Floating</x:v>
      </x:c>
      <x:c r="J62" s="8" t="n">
        <x:v>195</x:v>
      </x:c>
      <x:c r="K62" s="10"/>
      <x:c r="L62" s="8" t="n">
        <x:v>0</x:v>
      </x:c>
      <x:c r="M62" s="11" t="n">
        <x:v>47710</x:v>
      </x:c>
      <x:c r="N62" s="10" t="n">
        <x:v>0.49</x:v>
      </x:c>
      <x:c r="O62" s="12" t="n">
        <x:v>101.25</x:v>
      </x:c>
      <x:c r="P62" s="13" t="n">
        <x:v>4</x:v>
      </x:c>
      <x:c r="Q62" s="8" t="str">
        <x:v>USD</x:v>
      </x:c>
      <x:c r="R62" s="8" t="str">
        <x:v>SOFR</x:v>
      </x:c>
      <x:c r="S62" s="18" t="n">
        <x:f>IF(Portfolio_Par&gt;0,D62/Portfolio_Par,"")</x:f>
        <x:v>0.00394</x:v>
      </x:c>
      <x:c r="T62" s="19" t="n">
        <x:f>IF(A62="","",(M62-as_of_date)/365.25)</x:f>
        <x:v>3.619438740588638</x:v>
      </x:c>
      <x:c r="U62" s="20" t="n">
        <x:f>IF(I62="Floating",D62*J62,0)</x:f>
        <x:v>230490000</x:v>
      </x:c>
      <x:c r="V62" s="20" t="n">
        <x:f>IF(A62="","",D62*N62)</x:f>
        <x:v>579180</x:v>
      </x:c>
      <x:c r="W62" s="14" t="n">
        <x:f>IF(A62='Run Snapshot'!A62,0,1)+IF(B62='Run Snapshot'!B62,0,1)+IF(C62='Run Snapshot'!C62,0,1)+IF(D62='Run Snapshot'!D62,0,1)+IF(E62='Run Snapshot'!E62,0,1)+IF(F62='Run Snapshot'!F62,0,1)+IF(G62='Run Snapshot'!G62,0,1)+IF(H62='Run Snapshot'!H62,0,1)+IF(I62='Run Snapshot'!I62,0,1)+IF(J62='Run Snapshot'!J62,0,1)+IF(K62='Run Snapshot'!K62,0,1)+IF(L62='Run Snapshot'!L62,0,1)+IF(M62='Run Snapshot'!M62,0,1)+IF(N62='Run Snapshot'!N62,0,1)+IF(O62='Run Snapshot'!O62,0,1)+IF(P62='Run Snapshot'!P62,0,1)+IF(Q62='Run Snapshot'!Q62,0,1)+IF(R62='Run Snapshot'!R62,0,1)</x:f>
        <x:v>0</x:v>
      </x:c>
      <x:c r="X62" s="15" t="n">
        <x:f>IF(A62="",0,COUNTIF($A$8:$A$289,A62)-1)</x:f>
        <x:v>0</x:v>
      </x:c>
      <x:c r="Y62" s="14" t="n">
        <x:f>IF(A62="",1,IF(OR(D62&lt;=0,N62&lt;0,N62&gt;1,M62&lt;=as_of_date),1,0))</x:f>
        <x:v>0</x:v>
      </x:c>
      <x:c r="Z62" s="170" t="n">
        <x:f>IF(A62="","",VLOOKUP(E62,SP_WARF_Factors,2,FALSE))</x:f>
        <x:v>1982</x:v>
      </x:c>
      <x:c r="AA62" s="172" t="n">
        <x:f>IF(A62="","",D62*Z62)</x:f>
        <x:v>2342724000</x:v>
      </x:c>
      <x:c r="AB62" s="170" t="n">
        <x:f>IF(A62="","",D62*ABS(Z62-SPWARF))</x:f>
        <x:v>469701168.72400004</x:v>
      </x:c>
    </x:row>
    <x:row r="63">
      <x:c r="A63" s="8" t="str">
        <x:v>SYN-LN-00056</x:v>
      </x:c>
      <x:c r="B63" s="8" t="str">
        <x:v>SYN-OB-0054</x:v>
      </x:c>
      <x:c r="C63" s="8" t="str">
        <x:v>Evergreen Group 054</x:v>
      </x:c>
      <x:c r="D63" s="9" t="n">
        <x:v>1182000</x:v>
      </x:c>
      <x:c r="E63" s="8" t="str">
        <x:v>B-</x:v>
      </x:c>
      <x:c r="F63" s="8" t="str">
        <x:v>Diversified Telecommunication Services</x:v>
      </x:c>
      <x:c r="G63" s="8" t="str">
        <x:v>United States</x:v>
      </x:c>
      <x:c r="H63" s="8" t="str">
        <x:v>1st Lien</x:v>
      </x:c>
      <x:c r="I63" s="8" t="str">
        <x:v>Floating</x:v>
      </x:c>
      <x:c r="J63" s="8" t="n">
        <x:v>335</x:v>
      </x:c>
      <x:c r="K63" s="10"/>
      <x:c r="L63" s="8" t="n">
        <x:v>0</x:v>
      </x:c>
      <x:c r="M63" s="11" t="n">
        <x:v>48699</x:v>
      </x:c>
      <x:c r="N63" s="10" t="n">
        <x:v>0.2</x:v>
      </x:c>
      <x:c r="O63" s="12" t="n">
        <x:v>101.5</x:v>
      </x:c>
      <x:c r="P63" s="13" t="n">
        <x:v>4</x:v>
      </x:c>
      <x:c r="Q63" s="8" t="str">
        <x:v>USD</x:v>
      </x:c>
      <x:c r="R63" s="8" t="str">
        <x:v>SOFR</x:v>
      </x:c>
      <x:c r="S63" s="18" t="n">
        <x:f>IF(Portfolio_Par&gt;0,D63/Portfolio_Par,"")</x:f>
        <x:v>0.00394</x:v>
      </x:c>
      <x:c r="T63" s="19" t="n">
        <x:f>IF(A63="","",(M63-as_of_date)/365.25)</x:f>
        <x:v>6.327173169062286</x:v>
      </x:c>
      <x:c r="U63" s="20" t="n">
        <x:f>IF(I63="Floating",D63*J63,0)</x:f>
        <x:v>395970000</x:v>
      </x:c>
      <x:c r="V63" s="20" t="n">
        <x:f>IF(A63="","",D63*N63)</x:f>
        <x:v>236400</x:v>
      </x:c>
      <x:c r="W63" s="14" t="n">
        <x:f>IF(A63='Run Snapshot'!A63,0,1)+IF(B63='Run Snapshot'!B63,0,1)+IF(C63='Run Snapshot'!C63,0,1)+IF(D63='Run Snapshot'!D63,0,1)+IF(E63='Run Snapshot'!E63,0,1)+IF(F63='Run Snapshot'!F63,0,1)+IF(G63='Run Snapshot'!G63,0,1)+IF(H63='Run Snapshot'!H63,0,1)+IF(I63='Run Snapshot'!I63,0,1)+IF(J63='Run Snapshot'!J63,0,1)+IF(K63='Run Snapshot'!K63,0,1)+IF(L63='Run Snapshot'!L63,0,1)+IF(M63='Run Snapshot'!M63,0,1)+IF(N63='Run Snapshot'!N63,0,1)+IF(O63='Run Snapshot'!O63,0,1)+IF(P63='Run Snapshot'!P63,0,1)+IF(Q63='Run Snapshot'!Q63,0,1)+IF(R63='Run Snapshot'!R63,0,1)</x:f>
        <x:v>0</x:v>
      </x:c>
      <x:c r="X63" s="15" t="n">
        <x:f>IF(A63="",0,COUNTIF($A$8:$A$289,A63)-1)</x:f>
        <x:v>0</x:v>
      </x:c>
      <x:c r="Y63" s="14" t="n">
        <x:f>IF(A63="",1,IF(OR(D63&lt;=0,N63&lt;0,N63&gt;1,M63&lt;=as_of_date),1,0))</x:f>
        <x:v>0</x:v>
      </x:c>
      <x:c r="Z63" s="170" t="n">
        <x:f>IF(A63="","",VLOOKUP(E63,SP_WARF_Factors,2,FALSE))</x:f>
        <x:v>3610.11</x:v>
      </x:c>
      <x:c r="AA63" s="172" t="n">
        <x:f>IF(A63="","",D63*Z63)</x:f>
        <x:v>4267150020</x:v>
      </x:c>
      <x:c r="AB63" s="170" t="n">
        <x:f>IF(A63="","",D63*ABS(Z63-SPWARF))</x:f>
        <x:v>1454724851.276</x:v>
      </x:c>
    </x:row>
    <x:row r="64">
      <x:c r="A64" s="8" t="str">
        <x:v>SYN-LN-00057</x:v>
      </x:c>
      <x:c r="B64" s="8" t="str">
        <x:v>SYN-OB-0055</x:v>
      </x:c>
      <x:c r="C64" s="8" t="str">
        <x:v>Fairhaven LLC 055</x:v>
      </x:c>
      <x:c r="D64" s="9" t="n">
        <x:v>630000</x:v>
      </x:c>
      <x:c r="E64" s="8" t="str">
        <x:v>B-</x:v>
      </x:c>
      <x:c r="F64" s="8" t="str">
        <x:v>Healthcare Providers &amp; Services</x:v>
      </x:c>
      <x:c r="G64" s="8" t="str">
        <x:v>Austria</x:v>
      </x:c>
      <x:c r="H64" s="8" t="str">
        <x:v>1st Lien</x:v>
      </x:c>
      <x:c r="I64" s="8" t="str">
        <x:v>Floating</x:v>
      </x:c>
      <x:c r="J64" s="8" t="n">
        <x:v>425</x:v>
      </x:c>
      <x:c r="K64" s="10"/>
      <x:c r="L64" s="8" t="n">
        <x:v>50</x:v>
      </x:c>
      <x:c r="M64" s="11" t="n">
        <x:v>48485</x:v>
      </x:c>
      <x:c r="N64" s="10" t="n">
        <x:v>0.405</x:v>
      </x:c>
      <x:c r="O64" s="12" t="n">
        <x:v>96.25</x:v>
      </x:c>
      <x:c r="P64" s="13" t="n">
        <x:v>4</x:v>
      </x:c>
      <x:c r="Q64" s="8" t="str">
        <x:v>USD</x:v>
      </x:c>
      <x:c r="R64" s="8" t="str">
        <x:v>SOFR</x:v>
      </x:c>
      <x:c r="S64" s="18" t="n">
        <x:f>IF(Portfolio_Par&gt;0,D64/Portfolio_Par,"")</x:f>
        <x:v>0.0021</x:v>
      </x:c>
      <x:c r="T64" s="19" t="n">
        <x:f>IF(A64="","",(M64-as_of_date)/365.25)</x:f>
        <x:v>5.7412731006160165</x:v>
      </x:c>
      <x:c r="U64" s="20" t="n">
        <x:f>IF(I64="Floating",D64*J64,0)</x:f>
        <x:v>267750000</x:v>
      </x:c>
      <x:c r="V64" s="20" t="n">
        <x:f>IF(A64="","",D64*N64)</x:f>
        <x:v>255150.00000000003</x:v>
      </x:c>
      <x:c r="W64" s="14" t="n">
        <x:f>IF(A64='Run Snapshot'!A64,0,1)+IF(B64='Run Snapshot'!B64,0,1)+IF(C64='Run Snapshot'!C64,0,1)+IF(D64='Run Snapshot'!D64,0,1)+IF(E64='Run Snapshot'!E64,0,1)+IF(F64='Run Snapshot'!F64,0,1)+IF(G64='Run Snapshot'!G64,0,1)+IF(H64='Run Snapshot'!H64,0,1)+IF(I64='Run Snapshot'!I64,0,1)+IF(J64='Run Snapshot'!J64,0,1)+IF(K64='Run Snapshot'!K64,0,1)+IF(L64='Run Snapshot'!L64,0,1)+IF(M64='Run Snapshot'!M64,0,1)+IF(N64='Run Snapshot'!N64,0,1)+IF(O64='Run Snapshot'!O64,0,1)+IF(P64='Run Snapshot'!P64,0,1)+IF(Q64='Run Snapshot'!Q64,0,1)+IF(R64='Run Snapshot'!R64,0,1)</x:f>
        <x:v>0</x:v>
      </x:c>
      <x:c r="X64" s="15" t="n">
        <x:f>IF(A64="",0,COUNTIF($A$8:$A$289,A64)-1)</x:f>
        <x:v>0</x:v>
      </x:c>
      <x:c r="Y64" s="14" t="n">
        <x:f>IF(A64="",1,IF(OR(D64&lt;=0,N64&lt;0,N64&gt;1,M64&lt;=as_of_date),1,0))</x:f>
        <x:v>0</x:v>
      </x:c>
      <x:c r="Z64" s="170" t="n">
        <x:f>IF(A64="","",VLOOKUP(E64,SP_WARF_Factors,2,FALSE))</x:f>
        <x:v>3610.11</x:v>
      </x:c>
      <x:c r="AA64" s="172" t="n">
        <x:f>IF(A64="","",D64*Z64)</x:f>
        <x:v>2274369300</x:v>
      </x:c>
      <x:c r="AB64" s="170" t="n">
        <x:f>IF(A64="","",D64*ABS(Z64-SPWARF))</x:f>
        <x:v>775360961.34</x:v>
      </x:c>
    </x:row>
    <x:row r="65">
      <x:c r="A65" s="8" t="str">
        <x:v>SYN-LN-00058</x:v>
      </x:c>
      <x:c r="B65" s="8" t="str">
        <x:v>SYN-OB-0056</x:v>
      </x:c>
      <x:c r="C65" s="8" t="str">
        <x:v>Granite Holdings 056</x:v>
      </x:c>
      <x:c r="D65" s="9" t="n">
        <x:v>630000</x:v>
      </x:c>
      <x:c r="E65" s="8" t="str">
        <x:v>BBB+</x:v>
      </x:c>
      <x:c r="F65" s="8" t="str">
        <x:v>Leisure Products</x:v>
      </x:c>
      <x:c r="G65" s="8" t="str">
        <x:v>United Kingdom</x:v>
      </x:c>
      <x:c r="H65" s="8" t="str">
        <x:v>1st Lien</x:v>
      </x:c>
      <x:c r="I65" s="8" t="str">
        <x:v>Floating</x:v>
      </x:c>
      <x:c r="J65" s="8" t="n">
        <x:v>265</x:v>
      </x:c>
      <x:c r="K65" s="10"/>
      <x:c r="L65" s="8" t="n">
        <x:v>50</x:v>
      </x:c>
      <x:c r="M65" s="11" t="n">
        <x:v>47679</x:v>
      </x:c>
      <x:c r="N65" s="10" t="n">
        <x:v>0.495</x:v>
      </x:c>
      <x:c r="O65" s="12" t="n">
        <x:v>95.375</x:v>
      </x:c>
      <x:c r="P65" s="13" t="n">
        <x:v>4</x:v>
      </x:c>
      <x:c r="Q65" s="8" t="str">
        <x:v>USD</x:v>
      </x:c>
      <x:c r="R65" s="8" t="str">
        <x:v>SOFR</x:v>
      </x:c>
      <x:c r="S65" s="18" t="n">
        <x:f>IF(Portfolio_Par&gt;0,D65/Portfolio_Par,"")</x:f>
        <x:v>0.0021</x:v>
      </x:c>
      <x:c r="T65" s="19" t="n">
        <x:f>IF(A65="","",(M65-as_of_date)/365.25)</x:f>
        <x:v>3.5345653661875427</x:v>
      </x:c>
      <x:c r="U65" s="20" t="n">
        <x:f>IF(I65="Floating",D65*J65,0)</x:f>
        <x:v>166950000</x:v>
      </x:c>
      <x:c r="V65" s="20" t="n">
        <x:f>IF(A65="","",D65*N65)</x:f>
        <x:v>311850</x:v>
      </x:c>
      <x:c r="W65" s="14" t="n">
        <x:f>IF(A65='Run Snapshot'!A65,0,1)+IF(B65='Run Snapshot'!B65,0,1)+IF(C65='Run Snapshot'!C65,0,1)+IF(D65='Run Snapshot'!D65,0,1)+IF(E65='Run Snapshot'!E65,0,1)+IF(F65='Run Snapshot'!F65,0,1)+IF(G65='Run Snapshot'!G65,0,1)+IF(H65='Run Snapshot'!H65,0,1)+IF(I65='Run Snapshot'!I65,0,1)+IF(J65='Run Snapshot'!J65,0,1)+IF(K65='Run Snapshot'!K65,0,1)+IF(L65='Run Snapshot'!L65,0,1)+IF(M65='Run Snapshot'!M65,0,1)+IF(N65='Run Snapshot'!N65,0,1)+IF(O65='Run Snapshot'!O65,0,1)+IF(P65='Run Snapshot'!P65,0,1)+IF(Q65='Run Snapshot'!Q65,0,1)+IF(R65='Run Snapshot'!R65,0,1)</x:f>
        <x:v>0</x:v>
      </x:c>
      <x:c r="X65" s="15" t="n">
        <x:f>IF(A65="",0,COUNTIF($A$8:$A$289,A65)-1)</x:f>
        <x:v>0</x:v>
      </x:c>
      <x:c r="Y65" s="14" t="n">
        <x:f>IF(A65="",1,IF(OR(D65&lt;=0,N65&lt;0,N65&gt;1,M65&lt;=as_of_date),1,0))</x:f>
        <x:v>0</x:v>
      </x:c>
      <x:c r="Z65" s="170" t="n">
        <x:f>IF(A65="","",VLOOKUP(E65,SP_WARF_Factors,2,FALSE))</x:f>
        <x:v>271.01</x:v>
      </x:c>
      <x:c r="AA65" s="172" t="n">
        <x:f>IF(A65="","",D65*Z65)</x:f>
        <x:v>170736300</x:v>
      </x:c>
      <x:c r="AB65" s="170" t="n">
        <x:f>IF(A65="","",D65*ABS(Z65-SPWARF))</x:f>
        <x:v>1328272038.6599998</x:v>
      </x:c>
    </x:row>
    <x:row r="66">
      <x:c r="A66" s="8" t="str">
        <x:v>SYN-LN-00059</x:v>
      </x:c>
      <x:c r="B66" s="8" t="str">
        <x:v>SYN-OB-0057</x:v>
      </x:c>
      <x:c r="C66" s="8" t="str">
        <x:v>Harbor Inc. 057</x:v>
      </x:c>
      <x:c r="D66" s="9" t="n">
        <x:v>1182000</x:v>
      </x:c>
      <x:c r="E66" s="8" t="str">
        <x:v>BB+</x:v>
      </x:c>
      <x:c r="F66" s="8" t="str">
        <x:v>Leisure Products</x:v>
      </x:c>
      <x:c r="G66" s="8" t="str">
        <x:v>United States</x:v>
      </x:c>
      <x:c r="H66" s="8" t="str">
        <x:v>1st Lien</x:v>
      </x:c>
      <x:c r="I66" s="8" t="str">
        <x:v>Floating</x:v>
      </x:c>
      <x:c r="J66" s="8" t="n">
        <x:v>190</x:v>
      </x:c>
      <x:c r="K66" s="10"/>
      <x:c r="L66" s="8" t="n">
        <x:v>0</x:v>
      </x:c>
      <x:c r="M66" s="11" t="n">
        <x:v>48609</x:v>
      </x:c>
      <x:c r="N66" s="10" t="n">
        <x:v>0.46</x:v>
      </x:c>
      <x:c r="O66" s="12" t="n">
        <x:v>100.5</x:v>
      </x:c>
      <x:c r="P66" s="13" t="n">
        <x:v>4</x:v>
      </x:c>
      <x:c r="Q66" s="8" t="str">
        <x:v>USD</x:v>
      </x:c>
      <x:c r="R66" s="8" t="str">
        <x:v>SOFR</x:v>
      </x:c>
      <x:c r="S66" s="18" t="n">
        <x:f>IF(Portfolio_Par&gt;0,D66/Portfolio_Par,"")</x:f>
        <x:v>0.00394</x:v>
      </x:c>
      <x:c r="T66" s="19" t="n">
        <x:f>IF(A66="","",(M66-as_of_date)/365.25)</x:f>
        <x:v>6.080766598220397</x:v>
      </x:c>
      <x:c r="U66" s="20" t="n">
        <x:f>IF(I66="Floating",D66*J66,0)</x:f>
        <x:v>224580000</x:v>
      </x:c>
      <x:c r="V66" s="20" t="n">
        <x:f>IF(A66="","",D66*N66)</x:f>
        <x:v>543720</x:v>
      </x:c>
      <x:c r="W66" s="14" t="n">
        <x:f>IF(A66='Run Snapshot'!A66,0,1)+IF(B66='Run Snapshot'!B66,0,1)+IF(C66='Run Snapshot'!C66,0,1)+IF(D66='Run Snapshot'!D66,0,1)+IF(E66='Run Snapshot'!E66,0,1)+IF(F66='Run Snapshot'!F66,0,1)+IF(G66='Run Snapshot'!G66,0,1)+IF(H66='Run Snapshot'!H66,0,1)+IF(I66='Run Snapshot'!I66,0,1)+IF(J66='Run Snapshot'!J66,0,1)+IF(K66='Run Snapshot'!K66,0,1)+IF(L66='Run Snapshot'!L66,0,1)+IF(M66='Run Snapshot'!M66,0,1)+IF(N66='Run Snapshot'!N66,0,1)+IF(O66='Run Snapshot'!O66,0,1)+IF(P66='Run Snapshot'!P66,0,1)+IF(Q66='Run Snapshot'!Q66,0,1)+IF(R66='Run Snapshot'!R66,0,1)</x:f>
        <x:v>0</x:v>
      </x:c>
      <x:c r="X66" s="15" t="n">
        <x:f>IF(A66="",0,COUNTIF($A$8:$A$289,A66)-1)</x:f>
        <x:v>0</x:v>
      </x:c>
      <x:c r="Y66" s="14" t="n">
        <x:f>IF(A66="",1,IF(OR(D66&lt;=0,N66&lt;0,N66&gt;1,M66&lt;=as_of_date),1,0))</x:f>
        <x:v>0</x:v>
      </x:c>
      <x:c r="Z66" s="170" t="n">
        <x:f>IF(A66="","",VLOOKUP(E66,SP_WARF_Factors,2,FALSE))</x:f>
        <x:v>784.92</x:v>
      </x:c>
      <x:c r="AA66" s="172" t="n">
        <x:f>IF(A66="","",D66*Z66)</x:f>
        <x:v>927775440</x:v>
      </x:c>
      <x:c r="AB66" s="170" t="n">
        <x:f>IF(A66="","",D66*ABS(Z66-SPWARF))</x:f>
        <x:v>1884649728.724</x:v>
      </x:c>
    </x:row>
    <x:row r="67">
      <x:c r="A67" s="8" t="str">
        <x:v>SYN-LN-00060</x:v>
      </x:c>
      <x:c r="B67" s="8" t="str">
        <x:v>SYN-OB-0058</x:v>
      </x:c>
      <x:c r="C67" s="8" t="str">
        <x:v>Hawthorne Corp. 058</x:v>
      </x:c>
      <x:c r="D67" s="9" t="n">
        <x:v>1182000</x:v>
      </x:c>
      <x:c r="E67" s="8" t="str">
        <x:v>BB-</x:v>
      </x:c>
      <x:c r="F67" s="8" t="str">
        <x:v>Household Products</x:v>
      </x:c>
      <x:c r="G67" s="8" t="str">
        <x:v>United States</x:v>
      </x:c>
      <x:c r="H67" s="8" t="str">
        <x:v>1st Lien</x:v>
      </x:c>
      <x:c r="I67" s="8" t="str">
        <x:v>Floating</x:v>
      </x:c>
      <x:c r="J67" s="8" t="n">
        <x:v>265</x:v>
      </x:c>
      <x:c r="K67" s="10"/>
      <x:c r="L67" s="8" t="n">
        <x:v>0</x:v>
      </x:c>
      <x:c r="M67" s="11" t="n">
        <x:v>48941</x:v>
      </x:c>
      <x:c r="N67" s="10" t="n">
        <x:v>0.35</x:v>
      </x:c>
      <x:c r="O67" s="12" t="n">
        <x:v>96</x:v>
      </x:c>
      <x:c r="P67" s="13" t="n">
        <x:v>4</x:v>
      </x:c>
      <x:c r="Q67" s="8" t="str">
        <x:v>USD</x:v>
      </x:c>
      <x:c r="R67" s="8" t="str">
        <x:v>SOFR</x:v>
      </x:c>
      <x:c r="S67" s="18" t="n">
        <x:f>IF(Portfolio_Par&gt;0,D67/Portfolio_Par,"")</x:f>
        <x:v>0.00394</x:v>
      </x:c>
      <x:c r="T67" s="19" t="n">
        <x:f>IF(A67="","",(M67-as_of_date)/365.25)</x:f>
        <x:v>6.9897330595482545</x:v>
      </x:c>
      <x:c r="U67" s="20" t="n">
        <x:f>IF(I67="Floating",D67*J67,0)</x:f>
        <x:v>313230000</x:v>
      </x:c>
      <x:c r="V67" s="20" t="n">
        <x:f>IF(A67="","",D67*N67)</x:f>
        <x:v>413700</x:v>
      </x:c>
      <x:c r="W67" s="14" t="n">
        <x:f>IF(A67='Run Snapshot'!A67,0,1)+IF(B67='Run Snapshot'!B67,0,1)+IF(C67='Run Snapshot'!C67,0,1)+IF(D67='Run Snapshot'!D67,0,1)+IF(E67='Run Snapshot'!E67,0,1)+IF(F67='Run Snapshot'!F67,0,1)+IF(G67='Run Snapshot'!G67,0,1)+IF(H67='Run Snapshot'!H67,0,1)+IF(I67='Run Snapshot'!I67,0,1)+IF(J67='Run Snapshot'!J67,0,1)+IF(K67='Run Snapshot'!K67,0,1)+IF(L67='Run Snapshot'!L67,0,1)+IF(M67='Run Snapshot'!M67,0,1)+IF(N67='Run Snapshot'!N67,0,1)+IF(O67='Run Snapshot'!O67,0,1)+IF(P67='Run Snapshot'!P67,0,1)+IF(Q67='Run Snapshot'!Q67,0,1)+IF(R67='Run Snapshot'!R67,0,1)</x:f>
        <x:v>0</x:v>
      </x:c>
      <x:c r="X67" s="15" t="n">
        <x:f>IF(A67="",0,COUNTIF($A$8:$A$289,A67)-1)</x:f>
        <x:v>0</x:v>
      </x:c>
      <x:c r="Y67" s="14" t="n">
        <x:f>IF(A67="",1,IF(OR(D67&lt;=0,N67&lt;0,N67&gt;1,M67&lt;=as_of_date),1,0))</x:f>
        <x:v>0</x:v>
      </x:c>
      <x:c r="Z67" s="170" t="n">
        <x:f>IF(A67="","",VLOOKUP(E67,SP_WARF_Factors,2,FALSE))</x:f>
        <x:v>1565.44</x:v>
      </x:c>
      <x:c r="AA67" s="172" t="n">
        <x:f>IF(A67="","",D67*Z67)</x:f>
        <x:v>1850350080</x:v>
      </x:c>
      <x:c r="AB67" s="170" t="n">
        <x:f>IF(A67="","",D67*ABS(Z67-SPWARF))</x:f>
        <x:v>962075088.724</x:v>
      </x:c>
    </x:row>
    <x:row r="68">
      <x:c r="A68" s="8" t="str">
        <x:v>SYN-LN-00061</x:v>
      </x:c>
      <x:c r="B68" s="8" t="str">
        <x:v>SYN-OB-0059</x:v>
      </x:c>
      <x:c r="C68" s="8" t="str">
        <x:v>Highland Group 059</x:v>
      </x:c>
      <x:c r="D68" s="9" t="n">
        <x:v>1182000</x:v>
      </x:c>
      <x:c r="E68" s="8" t="str">
        <x:v>B-</x:v>
      </x:c>
      <x:c r="F68" s="8" t="str">
        <x:v>Transportation Infrastructure</x:v>
      </x:c>
      <x:c r="G68" s="8" t="str">
        <x:v>United States</x:v>
      </x:c>
      <x:c r="H68" s="8" t="str">
        <x:v>1st Lien</x:v>
      </x:c>
      <x:c r="I68" s="8" t="str">
        <x:v>Floating</x:v>
      </x:c>
      <x:c r="J68" s="8" t="n">
        <x:v>410</x:v>
      </x:c>
      <x:c r="K68" s="10"/>
      <x:c r="L68" s="8" t="n">
        <x:v>0</x:v>
      </x:c>
      <x:c r="M68" s="11" t="n">
        <x:v>48197</x:v>
      </x:c>
      <x:c r="N68" s="10" t="n">
        <x:v>0.45</x:v>
      </x:c>
      <x:c r="O68" s="12" t="n">
        <x:v>96.5</x:v>
      </x:c>
      <x:c r="P68" s="13" t="n">
        <x:v>4</x:v>
      </x:c>
      <x:c r="Q68" s="8" t="str">
        <x:v>USD</x:v>
      </x:c>
      <x:c r="R68" s="8" t="str">
        <x:v>SOFR</x:v>
      </x:c>
      <x:c r="S68" s="18" t="n">
        <x:f>IF(Portfolio_Par&gt;0,D68/Portfolio_Par,"")</x:f>
        <x:v>0.00394</x:v>
      </x:c>
      <x:c r="T68" s="19" t="n">
        <x:f>IF(A68="","",(M68-as_of_date)/365.25)</x:f>
        <x:v>4.952772073921971</x:v>
      </x:c>
      <x:c r="U68" s="20" t="n">
        <x:f>IF(I68="Floating",D68*J68,0)</x:f>
        <x:v>484620000</x:v>
      </x:c>
      <x:c r="V68" s="20" t="n">
        <x:f>IF(A68="","",D68*N68)</x:f>
        <x:v>531900</x:v>
      </x:c>
      <x:c r="W68" s="14" t="n">
        <x:f>IF(A68='Run Snapshot'!A68,0,1)+IF(B68='Run Snapshot'!B68,0,1)+IF(C68='Run Snapshot'!C68,0,1)+IF(D68='Run Snapshot'!D68,0,1)+IF(E68='Run Snapshot'!E68,0,1)+IF(F68='Run Snapshot'!F68,0,1)+IF(G68='Run Snapshot'!G68,0,1)+IF(H68='Run Snapshot'!H68,0,1)+IF(I68='Run Snapshot'!I68,0,1)+IF(J68='Run Snapshot'!J68,0,1)+IF(K68='Run Snapshot'!K68,0,1)+IF(L68='Run Snapshot'!L68,0,1)+IF(M68='Run Snapshot'!M68,0,1)+IF(N68='Run Snapshot'!N68,0,1)+IF(O68='Run Snapshot'!O68,0,1)+IF(P68='Run Snapshot'!P68,0,1)+IF(Q68='Run Snapshot'!Q68,0,1)+IF(R68='Run Snapshot'!R68,0,1)</x:f>
        <x:v>0</x:v>
      </x:c>
      <x:c r="X68" s="15" t="n">
        <x:f>IF(A68="",0,COUNTIF($A$8:$A$289,A68)-1)</x:f>
        <x:v>0</x:v>
      </x:c>
      <x:c r="Y68" s="14" t="n">
        <x:f>IF(A68="",1,IF(OR(D68&lt;=0,N68&lt;0,N68&gt;1,M68&lt;=as_of_date),1,0))</x:f>
        <x:v>0</x:v>
      </x:c>
      <x:c r="Z68" s="170" t="n">
        <x:f>IF(A68="","",VLOOKUP(E68,SP_WARF_Factors,2,FALSE))</x:f>
        <x:v>3610.11</x:v>
      </x:c>
      <x:c r="AA68" s="172" t="n">
        <x:f>IF(A68="","",D68*Z68)</x:f>
        <x:v>4267150020</x:v>
      </x:c>
      <x:c r="AB68" s="170" t="n">
        <x:f>IF(A68="","",D68*ABS(Z68-SPWARF))</x:f>
        <x:v>1454724851.276</x:v>
      </x:c>
    </x:row>
    <x:row r="69">
      <x:c r="A69" s="8" t="str">
        <x:v>SYN-LN-00062</x:v>
      </x:c>
      <x:c r="B69" s="8" t="str">
        <x:v>SYN-OB-0060</x:v>
      </x:c>
      <x:c r="C69" s="8" t="str">
        <x:v>Ironwood LLC 060</x:v>
      </x:c>
      <x:c r="D69" s="9" t="n">
        <x:v>1182000</x:v>
      </x:c>
      <x:c r="E69" s="8" t="str">
        <x:v>B</x:v>
      </x:c>
      <x:c r="F69" s="8" t="str">
        <x:v>Diversified Consumer Services</x:v>
      </x:c>
      <x:c r="G69" s="8" t="str">
        <x:v>United States</x:v>
      </x:c>
      <x:c r="H69" s="8" t="str">
        <x:v>1st Lien</x:v>
      </x:c>
      <x:c r="I69" s="8" t="str">
        <x:v>Floating</x:v>
      </x:c>
      <x:c r="J69" s="8" t="n">
        <x:v>275</x:v>
      </x:c>
      <x:c r="K69" s="10"/>
      <x:c r="L69" s="8" t="n">
        <x:v>0</x:v>
      </x:c>
      <x:c r="M69" s="11" t="n">
        <x:v>49094</x:v>
      </x:c>
      <x:c r="N69" s="10" t="n">
        <x:v>0.43</x:v>
      </x:c>
      <x:c r="O69" s="12" t="n">
        <x:v>101.25</x:v>
      </x:c>
      <x:c r="P69" s="13" t="n">
        <x:v>4</x:v>
      </x:c>
      <x:c r="Q69" s="8" t="str">
        <x:v>USD</x:v>
      </x:c>
      <x:c r="R69" s="8" t="str">
        <x:v>SOFR</x:v>
      </x:c>
      <x:c r="S69" s="18" t="n">
        <x:f>IF(Portfolio_Par&gt;0,D69/Portfolio_Par,"")</x:f>
        <x:v>0.00394</x:v>
      </x:c>
      <x:c r="T69" s="19" t="n">
        <x:f>IF(A69="","",(M69-as_of_date)/365.25)</x:f>
        <x:v>7.408624229979466</x:v>
      </x:c>
      <x:c r="U69" s="20" t="n">
        <x:f>IF(I69="Floating",D69*J69,0)</x:f>
        <x:v>325050000</x:v>
      </x:c>
      <x:c r="V69" s="20" t="n">
        <x:f>IF(A69="","",D69*N69)</x:f>
        <x:v>508260</x:v>
      </x:c>
      <x:c r="W69" s="14" t="n">
        <x:f>IF(A69='Run Snapshot'!A69,0,1)+IF(B69='Run Snapshot'!B69,0,1)+IF(C69='Run Snapshot'!C69,0,1)+IF(D69='Run Snapshot'!D69,0,1)+IF(E69='Run Snapshot'!E69,0,1)+IF(F69='Run Snapshot'!F69,0,1)+IF(G69='Run Snapshot'!G69,0,1)+IF(H69='Run Snapshot'!H69,0,1)+IF(I69='Run Snapshot'!I69,0,1)+IF(J69='Run Snapshot'!J69,0,1)+IF(K69='Run Snapshot'!K69,0,1)+IF(L69='Run Snapshot'!L69,0,1)+IF(M69='Run Snapshot'!M69,0,1)+IF(N69='Run Snapshot'!N69,0,1)+IF(O69='Run Snapshot'!O69,0,1)+IF(P69='Run Snapshot'!P69,0,1)+IF(Q69='Run Snapshot'!Q69,0,1)+IF(R69='Run Snapshot'!R69,0,1)</x:f>
        <x:v>0</x:v>
      </x:c>
      <x:c r="X69" s="15" t="n">
        <x:f>IF(A69="",0,COUNTIF($A$8:$A$289,A69)-1)</x:f>
        <x:v>0</x:v>
      </x:c>
      <x:c r="Y69" s="14" t="n">
        <x:f>IF(A69="",1,IF(OR(D69&lt;=0,N69&lt;0,N69&gt;1,M69&lt;=as_of_date),1,0))</x:f>
        <x:v>0</x:v>
      </x:c>
      <x:c r="Z69" s="170" t="n">
        <x:f>IF(A69="","",VLOOKUP(E69,SP_WARF_Factors,2,FALSE))</x:f>
        <x:v>2859.5</x:v>
      </x:c>
      <x:c r="AA69" s="172" t="n">
        <x:f>IF(A69="","",D69*Z69)</x:f>
        <x:v>3379929000</x:v>
      </x:c>
      <x:c r="AB69" s="170" t="n">
        <x:f>IF(A69="","",D69*ABS(Z69-SPWARF))</x:f>
        <x:v>567503831.2759999</x:v>
      </x:c>
    </x:row>
    <x:row r="70">
      <x:c r="A70" s="8" t="str">
        <x:v>SYN-LN-00063</x:v>
      </x:c>
      <x:c r="B70" s="8" t="str">
        <x:v>SYN-OB-0061</x:v>
      </x:c>
      <x:c r="C70" s="8" t="str">
        <x:v>Juniper Holdings 061</x:v>
      </x:c>
      <x:c r="D70" s="9" t="n">
        <x:v>630000</x:v>
      </x:c>
      <x:c r="E70" s="8" t="str">
        <x:v>B+</x:v>
      </x:c>
      <x:c r="F70" s="8" t="str">
        <x:v>Electric Utilities</x:v>
      </x:c>
      <x:c r="G70" s="8" t="str">
        <x:v>Ireland</x:v>
      </x:c>
      <x:c r="H70" s="8" t="str">
        <x:v>1st Lien</x:v>
      </x:c>
      <x:c r="I70" s="8" t="str">
        <x:v>Floating</x:v>
      </x:c>
      <x:c r="J70" s="8" t="n">
        <x:v>300</x:v>
      </x:c>
      <x:c r="K70" s="10"/>
      <x:c r="L70" s="8" t="n">
        <x:v>0</x:v>
      </x:c>
      <x:c r="M70" s="11" t="n">
        <x:v>48487</x:v>
      </x:c>
      <x:c r="N70" s="10" t="n">
        <x:v>0.415</x:v>
      </x:c>
      <x:c r="O70" s="12" t="n">
        <x:v>100</x:v>
      </x:c>
      <x:c r="P70" s="13" t="n">
        <x:v>4</x:v>
      </x:c>
      <x:c r="Q70" s="8" t="str">
        <x:v>USD</x:v>
      </x:c>
      <x:c r="R70" s="8" t="str">
        <x:v>SOFR</x:v>
      </x:c>
      <x:c r="S70" s="18" t="n">
        <x:f>IF(Portfolio_Par&gt;0,D70/Portfolio_Par,"")</x:f>
        <x:v>0.0021</x:v>
      </x:c>
      <x:c r="T70" s="19" t="n">
        <x:f>IF(A70="","",(M70-as_of_date)/365.25)</x:f>
        <x:v>5.746748802190281</x:v>
      </x:c>
      <x:c r="U70" s="20" t="n">
        <x:f>IF(I70="Floating",D70*J70,0)</x:f>
        <x:v>189000000</x:v>
      </x:c>
      <x:c r="V70" s="20" t="n">
        <x:f>IF(A70="","",D70*N70)</x:f>
        <x:v>261450</x:v>
      </x:c>
      <x:c r="W70" s="14" t="n">
        <x:f>IF(A70='Run Snapshot'!A70,0,1)+IF(B70='Run Snapshot'!B70,0,1)+IF(C70='Run Snapshot'!C70,0,1)+IF(D70='Run Snapshot'!D70,0,1)+IF(E70='Run Snapshot'!E70,0,1)+IF(F70='Run Snapshot'!F70,0,1)+IF(G70='Run Snapshot'!G70,0,1)+IF(H70='Run Snapshot'!H70,0,1)+IF(I70='Run Snapshot'!I70,0,1)+IF(J70='Run Snapshot'!J70,0,1)+IF(K70='Run Snapshot'!K70,0,1)+IF(L70='Run Snapshot'!L70,0,1)+IF(M70='Run Snapshot'!M70,0,1)+IF(N70='Run Snapshot'!N70,0,1)+IF(O70='Run Snapshot'!O70,0,1)+IF(P70='Run Snapshot'!P70,0,1)+IF(Q70='Run Snapshot'!Q70,0,1)+IF(R70='Run Snapshot'!R70,0,1)</x:f>
        <x:v>0</x:v>
      </x:c>
      <x:c r="X70" s="15" t="n">
        <x:f>IF(A70="",0,COUNTIF($A$8:$A$289,A70)-1)</x:f>
        <x:v>0</x:v>
      </x:c>
      <x:c r="Y70" s="14" t="n">
        <x:f>IF(A70="",1,IF(OR(D70&lt;=0,N70&lt;0,N70&gt;1,M70&lt;=as_of_date),1,0))</x:f>
        <x:v>0</x:v>
      </x:c>
      <x:c r="Z70" s="170" t="n">
        <x:f>IF(A70="","",VLOOKUP(E70,SP_WARF_Factors,2,FALSE))</x:f>
        <x:v>1982</x:v>
      </x:c>
      <x:c r="AA70" s="172" t="n">
        <x:f>IF(A70="","",D70*Z70)</x:f>
        <x:v>1248660000</x:v>
      </x:c>
      <x:c r="AB70" s="170" t="n">
        <x:f>IF(A70="","",D70*ABS(Z70-SPWARF))</x:f>
        <x:v>250348338.66000003</x:v>
      </x:c>
    </x:row>
    <x:row r="71">
      <x:c r="A71" s="8" t="str">
        <x:v>SYN-LN-00064</x:v>
      </x:c>
      <x:c r="B71" s="8" t="str">
        <x:v>SYN-OB-0062</x:v>
      </x:c>
      <x:c r="C71" s="8" t="str">
        <x:v>Keystone Inc. 062</x:v>
      </x:c>
      <x:c r="D71" s="9" t="n">
        <x:v>1182000</x:v>
      </x:c>
      <x:c r="E71" s="8" t="str">
        <x:v>B+</x:v>
      </x:c>
      <x:c r="F71" s="8" t="str">
        <x:v>Electric Utilities</x:v>
      </x:c>
      <x:c r="G71" s="8" t="str">
        <x:v>United States</x:v>
      </x:c>
      <x:c r="H71" s="8" t="str">
        <x:v>1st Lien</x:v>
      </x:c>
      <x:c r="I71" s="8" t="str">
        <x:v>Floating</x:v>
      </x:c>
      <x:c r="J71" s="8" t="n">
        <x:v>285</x:v>
      </x:c>
      <x:c r="K71" s="10"/>
      <x:c r="L71" s="8" t="n">
        <x:v>0</x:v>
      </x:c>
      <x:c r="M71" s="11" t="n">
        <x:v>48699</x:v>
      </x:c>
      <x:c r="N71" s="10" t="n">
        <x:v>0.375</x:v>
      </x:c>
      <x:c r="O71" s="12" t="n">
        <x:v>97.625</x:v>
      </x:c>
      <x:c r="P71" s="13" t="n">
        <x:v>4</x:v>
      </x:c>
      <x:c r="Q71" s="8" t="str">
        <x:v>USD</x:v>
      </x:c>
      <x:c r="R71" s="8" t="str">
        <x:v>SOFR</x:v>
      </x:c>
      <x:c r="S71" s="18" t="n">
        <x:f>IF(Portfolio_Par&gt;0,D71/Portfolio_Par,"")</x:f>
        <x:v>0.00394</x:v>
      </x:c>
      <x:c r="T71" s="19" t="n">
        <x:f>IF(A71="","",(M71-as_of_date)/365.25)</x:f>
        <x:v>6.327173169062286</x:v>
      </x:c>
      <x:c r="U71" s="20" t="n">
        <x:f>IF(I71="Floating",D71*J71,0)</x:f>
        <x:v>336870000</x:v>
      </x:c>
      <x:c r="V71" s="20" t="n">
        <x:f>IF(A71="","",D71*N71)</x:f>
        <x:v>443250</x:v>
      </x:c>
      <x:c r="W71" s="14" t="n">
        <x:f>IF(A71='Run Snapshot'!A71,0,1)+IF(B71='Run Snapshot'!B71,0,1)+IF(C71='Run Snapshot'!C71,0,1)+IF(D71='Run Snapshot'!D71,0,1)+IF(E71='Run Snapshot'!E71,0,1)+IF(F71='Run Snapshot'!F71,0,1)+IF(G71='Run Snapshot'!G71,0,1)+IF(H71='Run Snapshot'!H71,0,1)+IF(I71='Run Snapshot'!I71,0,1)+IF(J71='Run Snapshot'!J71,0,1)+IF(K71='Run Snapshot'!K71,0,1)+IF(L71='Run Snapshot'!L71,0,1)+IF(M71='Run Snapshot'!M71,0,1)+IF(N71='Run Snapshot'!N71,0,1)+IF(O71='Run Snapshot'!O71,0,1)+IF(P71='Run Snapshot'!P71,0,1)+IF(Q71='Run Snapshot'!Q71,0,1)+IF(R71='Run Snapshot'!R71,0,1)</x:f>
        <x:v>0</x:v>
      </x:c>
      <x:c r="X71" s="15" t="n">
        <x:f>IF(A71="",0,COUNTIF($A$8:$A$289,A71)-1)</x:f>
        <x:v>0</x:v>
      </x:c>
      <x:c r="Y71" s="14" t="n">
        <x:f>IF(A71="",1,IF(OR(D71&lt;=0,N71&lt;0,N71&gt;1,M71&lt;=as_of_date),1,0))</x:f>
        <x:v>0</x:v>
      </x:c>
      <x:c r="Z71" s="170" t="n">
        <x:f>IF(A71="","",VLOOKUP(E71,SP_WARF_Factors,2,FALSE))</x:f>
        <x:v>1982</x:v>
      </x:c>
      <x:c r="AA71" s="172" t="n">
        <x:f>IF(A71="","",D71*Z71)</x:f>
        <x:v>2342724000</x:v>
      </x:c>
      <x:c r="AB71" s="170" t="n">
        <x:f>IF(A71="","",D71*ABS(Z71-SPWARF))</x:f>
        <x:v>469701168.72400004</x:v>
      </x:c>
    </x:row>
    <x:row r="72">
      <x:c r="A72" s="8" t="str">
        <x:v>SYN-LN-00065</x:v>
      </x:c>
      <x:c r="B72" s="8" t="str">
        <x:v>SYN-OB-0063</x:v>
      </x:c>
      <x:c r="C72" s="8" t="str">
        <x:v>Lakeview Corp. 063</x:v>
      </x:c>
      <x:c r="D72" s="9" t="n">
        <x:v>1182000</x:v>
      </x:c>
      <x:c r="E72" s="8" t="str">
        <x:v>B-</x:v>
      </x:c>
      <x:c r="F72" s="8" t="str">
        <x:v>Software</x:v>
      </x:c>
      <x:c r="G72" s="8" t="str">
        <x:v>United States</x:v>
      </x:c>
      <x:c r="H72" s="8" t="str">
        <x:v>1st Lien</x:v>
      </x:c>
      <x:c r="I72" s="8" t="str">
        <x:v>Floating</x:v>
      </x:c>
      <x:c r="J72" s="8" t="n">
        <x:v>515</x:v>
      </x:c>
      <x:c r="K72" s="10"/>
      <x:c r="L72" s="8" t="n">
        <x:v>0</x:v>
      </x:c>
      <x:c r="M72" s="11" t="n">
        <x:v>47907</x:v>
      </x:c>
      <x:c r="N72" s="10" t="n">
        <x:v>0.3</x:v>
      </x:c>
      <x:c r="O72" s="12" t="n">
        <x:v>101.5</x:v>
      </x:c>
      <x:c r="P72" s="13" t="n">
        <x:v>4</x:v>
      </x:c>
      <x:c r="Q72" s="8" t="str">
        <x:v>USD</x:v>
      </x:c>
      <x:c r="R72" s="8" t="str">
        <x:v>SOFR</x:v>
      </x:c>
      <x:c r="S72" s="18" t="n">
        <x:f>IF(Portfolio_Par&gt;0,D72/Portfolio_Par,"")</x:f>
        <x:v>0.00394</x:v>
      </x:c>
      <x:c r="T72" s="19" t="n">
        <x:f>IF(A72="","",(M72-as_of_date)/365.25)</x:f>
        <x:v>4.158795345653662</x:v>
      </x:c>
      <x:c r="U72" s="20" t="n">
        <x:f>IF(I72="Floating",D72*J72,0)</x:f>
        <x:v>608730000</x:v>
      </x:c>
      <x:c r="V72" s="20" t="n">
        <x:f>IF(A72="","",D72*N72)</x:f>
        <x:v>354600</x:v>
      </x:c>
      <x:c r="W72" s="14" t="n">
        <x:f>IF(A72='Run Snapshot'!A72,0,1)+IF(B72='Run Snapshot'!B72,0,1)+IF(C72='Run Snapshot'!C72,0,1)+IF(D72='Run Snapshot'!D72,0,1)+IF(E72='Run Snapshot'!E72,0,1)+IF(F72='Run Snapshot'!F72,0,1)+IF(G72='Run Snapshot'!G72,0,1)+IF(H72='Run Snapshot'!H72,0,1)+IF(I72='Run Snapshot'!I72,0,1)+IF(J72='Run Snapshot'!J72,0,1)+IF(K72='Run Snapshot'!K72,0,1)+IF(L72='Run Snapshot'!L72,0,1)+IF(M72='Run Snapshot'!M72,0,1)+IF(N72='Run Snapshot'!N72,0,1)+IF(O72='Run Snapshot'!O72,0,1)+IF(P72='Run Snapshot'!P72,0,1)+IF(Q72='Run Snapshot'!Q72,0,1)+IF(R72='Run Snapshot'!R72,0,1)</x:f>
        <x:v>0</x:v>
      </x:c>
      <x:c r="X72" s="15" t="n">
        <x:f>IF(A72="",0,COUNTIF($A$8:$A$289,A72)-1)</x:f>
        <x:v>0</x:v>
      </x:c>
      <x:c r="Y72" s="14" t="n">
        <x:f>IF(A72="",1,IF(OR(D72&lt;=0,N72&lt;0,N72&gt;1,M72&lt;=as_of_date),1,0))</x:f>
        <x:v>0</x:v>
      </x:c>
      <x:c r="Z72" s="170" t="n">
        <x:f>IF(A72="","",VLOOKUP(E72,SP_WARF_Factors,2,FALSE))</x:f>
        <x:v>3610.11</x:v>
      </x:c>
      <x:c r="AA72" s="172" t="n">
        <x:f>IF(A72="","",D72*Z72)</x:f>
        <x:v>4267150020</x:v>
      </x:c>
      <x:c r="AB72" s="170" t="n">
        <x:f>IF(A72="","",D72*ABS(Z72-SPWARF))</x:f>
        <x:v>1454724851.276</x:v>
      </x:c>
    </x:row>
    <x:row r="73">
      <x:c r="A73" s="8" t="str">
        <x:v>SYN-LN-00066</x:v>
      </x:c>
      <x:c r="B73" s="8" t="str">
        <x:v>SYN-OB-0064</x:v>
      </x:c>
      <x:c r="C73" s="8" t="str">
        <x:v>Larkspur Group 064</x:v>
      </x:c>
      <x:c r="D73" s="9" t="n">
        <x:v>1182000</x:v>
      </x:c>
      <x:c r="E73" s="8" t="str">
        <x:v>B-</x:v>
      </x:c>
      <x:c r="F73" s="8" t="str">
        <x:v>Financial services</x:v>
      </x:c>
      <x:c r="G73" s="8" t="str">
        <x:v>United Kingdom</x:v>
      </x:c>
      <x:c r="H73" s="8" t="str">
        <x:v>1st Lien</x:v>
      </x:c>
      <x:c r="I73" s="8" t="str">
        <x:v>Floating</x:v>
      </x:c>
      <x:c r="J73" s="8" t="n">
        <x:v>455</x:v>
      </x:c>
      <x:c r="K73" s="10"/>
      <x:c r="L73" s="8" t="n">
        <x:v>0</x:v>
      </x:c>
      <x:c r="M73" s="11" t="n">
        <x:v>47876</x:v>
      </x:c>
      <x:c r="N73" s="10" t="n">
        <x:v>0.33</x:v>
      </x:c>
      <x:c r="O73" s="12" t="n">
        <x:v>100.75</x:v>
      </x:c>
      <x:c r="P73" s="13" t="n">
        <x:v>4</x:v>
      </x:c>
      <x:c r="Q73" s="8" t="str">
        <x:v>USD</x:v>
      </x:c>
      <x:c r="R73" s="8" t="str">
        <x:v>SOFR</x:v>
      </x:c>
      <x:c r="S73" s="18" t="n">
        <x:f>IF(Portfolio_Par&gt;0,D73/Portfolio_Par,"")</x:f>
        <x:v>0.00394</x:v>
      </x:c>
      <x:c r="T73" s="19" t="n">
        <x:f>IF(A73="","",(M73-as_of_date)/365.25)</x:f>
        <x:v>4.073921971252567</x:v>
      </x:c>
      <x:c r="U73" s="20" t="n">
        <x:f>IF(I73="Floating",D73*J73,0)</x:f>
        <x:v>537810000</x:v>
      </x:c>
      <x:c r="V73" s="20" t="n">
        <x:f>IF(A73="","",D73*N73)</x:f>
        <x:v>390060</x:v>
      </x:c>
      <x:c r="W73" s="14" t="n">
        <x:f>IF(A73='Run Snapshot'!A73,0,1)+IF(B73='Run Snapshot'!B73,0,1)+IF(C73='Run Snapshot'!C73,0,1)+IF(D73='Run Snapshot'!D73,0,1)+IF(E73='Run Snapshot'!E73,0,1)+IF(F73='Run Snapshot'!F73,0,1)+IF(G73='Run Snapshot'!G73,0,1)+IF(H73='Run Snapshot'!H73,0,1)+IF(I73='Run Snapshot'!I73,0,1)+IF(J73='Run Snapshot'!J73,0,1)+IF(K73='Run Snapshot'!K73,0,1)+IF(L73='Run Snapshot'!L73,0,1)+IF(M73='Run Snapshot'!M73,0,1)+IF(N73='Run Snapshot'!N73,0,1)+IF(O73='Run Snapshot'!O73,0,1)+IF(P73='Run Snapshot'!P73,0,1)+IF(Q73='Run Snapshot'!Q73,0,1)+IF(R73='Run Snapshot'!R73,0,1)</x:f>
        <x:v>0</x:v>
      </x:c>
      <x:c r="X73" s="15" t="n">
        <x:f>IF(A73="",0,COUNTIF($A$8:$A$289,A73)-1)</x:f>
        <x:v>0</x:v>
      </x:c>
      <x:c r="Y73" s="14" t="n">
        <x:f>IF(A73="",1,IF(OR(D73&lt;=0,N73&lt;0,N73&gt;1,M73&lt;=as_of_date),1,0))</x:f>
        <x:v>0</x:v>
      </x:c>
      <x:c r="Z73" s="170" t="n">
        <x:f>IF(A73="","",VLOOKUP(E73,SP_WARF_Factors,2,FALSE))</x:f>
        <x:v>3610.11</x:v>
      </x:c>
      <x:c r="AA73" s="172" t="n">
        <x:f>IF(A73="","",D73*Z73)</x:f>
        <x:v>4267150020</x:v>
      </x:c>
      <x:c r="AB73" s="170" t="n">
        <x:f>IF(A73="","",D73*ABS(Z73-SPWARF))</x:f>
        <x:v>1454724851.276</x:v>
      </x:c>
    </x:row>
    <x:row r="74">
      <x:c r="A74" s="8" t="str">
        <x:v>SYN-LN-00067</x:v>
      </x:c>
      <x:c r="B74" s="8" t="str">
        <x:v>SYN-OB-0065</x:v>
      </x:c>
      <x:c r="C74" s="8" t="str">
        <x:v>Maple LLC 065</x:v>
      </x:c>
      <x:c r="D74" s="9" t="n">
        <x:v>1182000</x:v>
      </x:c>
      <x:c r="E74" s="8" t="str">
        <x:v>BB-</x:v>
      </x:c>
      <x:c r="F74" s="8" t="str">
        <x:v>Hotels, Restaurants &amp; Leisure</x:v>
      </x:c>
      <x:c r="G74" s="8" t="str">
        <x:v>United States</x:v>
      </x:c>
      <x:c r="H74" s="8" t="str">
        <x:v>1st Lien</x:v>
      </x:c>
      <x:c r="I74" s="8" t="str">
        <x:v>Floating</x:v>
      </x:c>
      <x:c r="J74" s="8" t="n">
        <x:v>225</x:v>
      </x:c>
      <x:c r="K74" s="10"/>
      <x:c r="L74" s="8" t="n">
        <x:v>0</x:v>
      </x:c>
      <x:c r="M74" s="11" t="n">
        <x:v>47756</x:v>
      </x:c>
      <x:c r="N74" s="10" t="n">
        <x:v>0.2</x:v>
      </x:c>
      <x:c r="O74" s="12" t="n">
        <x:v>101.5</x:v>
      </x:c>
      <x:c r="P74" s="13" t="n">
        <x:v>4</x:v>
      </x:c>
      <x:c r="Q74" s="8" t="str">
        <x:v>USD</x:v>
      </x:c>
      <x:c r="R74" s="8" t="str">
        <x:v>SOFR</x:v>
      </x:c>
      <x:c r="S74" s="18" t="n">
        <x:f>IF(Portfolio_Par&gt;0,D74/Portfolio_Par,"")</x:f>
        <x:v>0.00394</x:v>
      </x:c>
      <x:c r="T74" s="19" t="n">
        <x:f>IF(A74="","",(M74-as_of_date)/365.25)</x:f>
        <x:v>3.7453798767967146</x:v>
      </x:c>
      <x:c r="U74" s="20" t="n">
        <x:f>IF(I74="Floating",D74*J74,0)</x:f>
        <x:v>265950000</x:v>
      </x:c>
      <x:c r="V74" s="20" t="n">
        <x:f>IF(A74="","",D74*N74)</x:f>
        <x:v>236400</x:v>
      </x:c>
      <x:c r="W74" s="14" t="n">
        <x:f>IF(A74='Run Snapshot'!A74,0,1)+IF(B74='Run Snapshot'!B74,0,1)+IF(C74='Run Snapshot'!C74,0,1)+IF(D74='Run Snapshot'!D74,0,1)+IF(E74='Run Snapshot'!E74,0,1)+IF(F74='Run Snapshot'!F74,0,1)+IF(G74='Run Snapshot'!G74,0,1)+IF(H74='Run Snapshot'!H74,0,1)+IF(I74='Run Snapshot'!I74,0,1)+IF(J74='Run Snapshot'!J74,0,1)+IF(K74='Run Snapshot'!K74,0,1)+IF(L74='Run Snapshot'!L74,0,1)+IF(M74='Run Snapshot'!M74,0,1)+IF(N74='Run Snapshot'!N74,0,1)+IF(O74='Run Snapshot'!O74,0,1)+IF(P74='Run Snapshot'!P74,0,1)+IF(Q74='Run Snapshot'!Q74,0,1)+IF(R74='Run Snapshot'!R74,0,1)</x:f>
        <x:v>0</x:v>
      </x:c>
      <x:c r="X74" s="15" t="n">
        <x:f>IF(A74="",0,COUNTIF($A$8:$A$289,A74)-1)</x:f>
        <x:v>0</x:v>
      </x:c>
      <x:c r="Y74" s="14" t="n">
        <x:f>IF(A74="",1,IF(OR(D74&lt;=0,N74&lt;0,N74&gt;1,M74&lt;=as_of_date),1,0))</x:f>
        <x:v>0</x:v>
      </x:c>
      <x:c r="Z74" s="170" t="n">
        <x:f>IF(A74="","",VLOOKUP(E74,SP_WARF_Factors,2,FALSE))</x:f>
        <x:v>1565.44</x:v>
      </x:c>
      <x:c r="AA74" s="172" t="n">
        <x:f>IF(A74="","",D74*Z74)</x:f>
        <x:v>1850350080</x:v>
      </x:c>
      <x:c r="AB74" s="170" t="n">
        <x:f>IF(A74="","",D74*ABS(Z74-SPWARF))</x:f>
        <x:v>962075088.724</x:v>
      </x:c>
    </x:row>
    <x:row r="75">
      <x:c r="A75" s="8" t="str">
        <x:v>SYN-LN-00068</x:v>
      </x:c>
      <x:c r="B75" s="8" t="str">
        <x:v>SYN-OB-0066</x:v>
      </x:c>
      <x:c r="C75" s="8" t="str">
        <x:v>Meridian Holdings 066</x:v>
      </x:c>
      <x:c r="D75" s="9" t="n">
        <x:v>1182000</x:v>
      </x:c>
      <x:c r="E75" s="8" t="str">
        <x:v>B-</x:v>
      </x:c>
      <x:c r="F75" s="8" t="str">
        <x:v>Financial services</x:v>
      </x:c>
      <x:c r="G75" s="8" t="str">
        <x:v>United States</x:v>
      </x:c>
      <x:c r="H75" s="8" t="str">
        <x:v>1st Lien</x:v>
      </x:c>
      <x:c r="I75" s="8" t="str">
        <x:v>Floating</x:v>
      </x:c>
      <x:c r="J75" s="8" t="n">
        <x:v>365</x:v>
      </x:c>
      <x:c r="K75" s="10"/>
      <x:c r="L75" s="8" t="n">
        <x:v>0</x:v>
      </x:c>
      <x:c r="M75" s="11" t="n">
        <x:v>47786</x:v>
      </x:c>
      <x:c r="N75" s="10" t="n">
        <x:v>0.395</x:v>
      </x:c>
      <x:c r="O75" s="12" t="n">
        <x:v>98</x:v>
      </x:c>
      <x:c r="P75" s="13" t="n">
        <x:v>4</x:v>
      </x:c>
      <x:c r="Q75" s="8" t="str">
        <x:v>USD</x:v>
      </x:c>
      <x:c r="R75" s="8" t="str">
        <x:v>SOFR</x:v>
      </x:c>
      <x:c r="S75" s="18" t="n">
        <x:f>IF(Portfolio_Par&gt;0,D75/Portfolio_Par,"")</x:f>
        <x:v>0.00394</x:v>
      </x:c>
      <x:c r="T75" s="19" t="n">
        <x:f>IF(A75="","",(M75-as_of_date)/365.25)</x:f>
        <x:v>3.8275154004106775</x:v>
      </x:c>
      <x:c r="U75" s="20" t="n">
        <x:f>IF(I75="Floating",D75*J75,0)</x:f>
        <x:v>431430000</x:v>
      </x:c>
      <x:c r="V75" s="20" t="n">
        <x:f>IF(A75="","",D75*N75)</x:f>
        <x:v>466890</x:v>
      </x:c>
      <x:c r="W75" s="14" t="n">
        <x:f>IF(A75='Run Snapshot'!A75,0,1)+IF(B75='Run Snapshot'!B75,0,1)+IF(C75='Run Snapshot'!C75,0,1)+IF(D75='Run Snapshot'!D75,0,1)+IF(E75='Run Snapshot'!E75,0,1)+IF(F75='Run Snapshot'!F75,0,1)+IF(G75='Run Snapshot'!G75,0,1)+IF(H75='Run Snapshot'!H75,0,1)+IF(I75='Run Snapshot'!I75,0,1)+IF(J75='Run Snapshot'!J75,0,1)+IF(K75='Run Snapshot'!K75,0,1)+IF(L75='Run Snapshot'!L75,0,1)+IF(M75='Run Snapshot'!M75,0,1)+IF(N75='Run Snapshot'!N75,0,1)+IF(O75='Run Snapshot'!O75,0,1)+IF(P75='Run Snapshot'!P75,0,1)+IF(Q75='Run Snapshot'!Q75,0,1)+IF(R75='Run Snapshot'!R75,0,1)</x:f>
        <x:v>0</x:v>
      </x:c>
      <x:c r="X75" s="15" t="n">
        <x:f>IF(A75="",0,COUNTIF($A$8:$A$289,A75)-1)</x:f>
        <x:v>0</x:v>
      </x:c>
      <x:c r="Y75" s="14" t="n">
        <x:f>IF(A75="",1,IF(OR(D75&lt;=0,N75&lt;0,N75&gt;1,M75&lt;=as_of_date),1,0))</x:f>
        <x:v>0</x:v>
      </x:c>
      <x:c r="Z75" s="170" t="n">
        <x:f>IF(A75="","",VLOOKUP(E75,SP_WARF_Factors,2,FALSE))</x:f>
        <x:v>3610.11</x:v>
      </x:c>
      <x:c r="AA75" s="172" t="n">
        <x:f>IF(A75="","",D75*Z75)</x:f>
        <x:v>4267150020</x:v>
      </x:c>
      <x:c r="AB75" s="170" t="n">
        <x:f>IF(A75="","",D75*ABS(Z75-SPWARF))</x:f>
        <x:v>1454724851.276</x:v>
      </x:c>
    </x:row>
    <x:row r="76">
      <x:c r="A76" s="8" t="str">
        <x:v>SYN-LN-00069</x:v>
      </x:c>
      <x:c r="B76" s="8" t="str">
        <x:v>SYN-OB-0067</x:v>
      </x:c>
      <x:c r="C76" s="8" t="str">
        <x:v>Northfield Inc. 067</x:v>
      </x:c>
      <x:c r="D76" s="9" t="n">
        <x:v>1182000</x:v>
      </x:c>
      <x:c r="E76" s="8" t="str">
        <x:v>BB</x:v>
      </x:c>
      <x:c r="F76" s="8" t="str">
        <x:v>Diversified Telecommunication Services</x:v>
      </x:c>
      <x:c r="G76" s="8" t="str">
        <x:v>United States</x:v>
      </x:c>
      <x:c r="H76" s="8" t="str">
        <x:v>1st Lien</x:v>
      </x:c>
      <x:c r="I76" s="8" t="str">
        <x:v>Floating</x:v>
      </x:c>
      <x:c r="J76" s="8" t="n">
        <x:v>215</x:v>
      </x:c>
      <x:c r="K76" s="10"/>
      <x:c r="L76" s="8" t="n">
        <x:v>0</x:v>
      </x:c>
      <x:c r="M76" s="11" t="n">
        <x:v>47662</x:v>
      </x:c>
      <x:c r="N76" s="10" t="n">
        <x:v>0.55</x:v>
      </x:c>
      <x:c r="O76" s="12" t="n">
        <x:v>100.875</x:v>
      </x:c>
      <x:c r="P76" s="13" t="n">
        <x:v>4</x:v>
      </x:c>
      <x:c r="Q76" s="8" t="str">
        <x:v>USD</x:v>
      </x:c>
      <x:c r="R76" s="8" t="str">
        <x:v>SOFR</x:v>
      </x:c>
      <x:c r="S76" s="18" t="n">
        <x:f>IF(Portfolio_Par&gt;0,D76/Portfolio_Par,"")</x:f>
        <x:v>0.00394</x:v>
      </x:c>
      <x:c r="T76" s="19" t="n">
        <x:f>IF(A76="","",(M76-as_of_date)/365.25)</x:f>
        <x:v>3.488021902806297</x:v>
      </x:c>
      <x:c r="U76" s="20" t="n">
        <x:f>IF(I76="Floating",D76*J76,0)</x:f>
        <x:v>254130000</x:v>
      </x:c>
      <x:c r="V76" s="20" t="n">
        <x:f>IF(A76="","",D76*N76)</x:f>
        <x:v>650100</x:v>
      </x:c>
      <x:c r="W76" s="14" t="n">
        <x:f>IF(A76='Run Snapshot'!A76,0,1)+IF(B76='Run Snapshot'!B76,0,1)+IF(C76='Run Snapshot'!C76,0,1)+IF(D76='Run Snapshot'!D76,0,1)+IF(E76='Run Snapshot'!E76,0,1)+IF(F76='Run Snapshot'!F76,0,1)+IF(G76='Run Snapshot'!G76,0,1)+IF(H76='Run Snapshot'!H76,0,1)+IF(I76='Run Snapshot'!I76,0,1)+IF(J76='Run Snapshot'!J76,0,1)+IF(K76='Run Snapshot'!K76,0,1)+IF(L76='Run Snapshot'!L76,0,1)+IF(M76='Run Snapshot'!M76,0,1)+IF(N76='Run Snapshot'!N76,0,1)+IF(O76='Run Snapshot'!O76,0,1)+IF(P76='Run Snapshot'!P76,0,1)+IF(Q76='Run Snapshot'!Q76,0,1)+IF(R76='Run Snapshot'!R76,0,1)</x:f>
        <x:v>0</x:v>
      </x:c>
      <x:c r="X76" s="15" t="n">
        <x:f>IF(A76="",0,COUNTIF($A$8:$A$289,A76)-1)</x:f>
        <x:v>0</x:v>
      </x:c>
      <x:c r="Y76" s="14" t="n">
        <x:f>IF(A76="",1,IF(OR(D76&lt;=0,N76&lt;0,N76&gt;1,M76&lt;=as_of_date),1,0))</x:f>
        <x:v>0</x:v>
      </x:c>
      <x:c r="Z76" s="170" t="n">
        <x:f>IF(A76="","",VLOOKUP(E76,SP_WARF_Factors,2,FALSE))</x:f>
        <x:v>1233.63</x:v>
      </x:c>
      <x:c r="AA76" s="172" t="n">
        <x:f>IF(A76="","",D76*Z76)</x:f>
        <x:v>1458150660.0000002</x:v>
      </x:c>
      <x:c r="AB76" s="170" t="n">
        <x:f>IF(A76="","",D76*ABS(Z76-SPWARF))</x:f>
        <x:v>1354274508.724</x:v>
      </x:c>
    </x:row>
    <x:row r="77">
      <x:c r="A77" s="8" t="str">
        <x:v>SYN-LN-00070</x:v>
      </x:c>
      <x:c r="B77" s="8" t="str">
        <x:v>SYN-OB-0068</x:v>
      </x:c>
      <x:c r="C77" s="8" t="str">
        <x:v>Oakmont Corp. 068</x:v>
      </x:c>
      <x:c r="D77" s="9" t="n">
        <x:v>1182000</x:v>
      </x:c>
      <x:c r="E77" s="8" t="str">
        <x:v>B</x:v>
      </x:c>
      <x:c r="F77" s="8" t="str">
        <x:v>Chemicals</x:v>
      </x:c>
      <x:c r="G77" s="8" t="str">
        <x:v>United States</x:v>
      </x:c>
      <x:c r="H77" s="8" t="str">
        <x:v>1st Lien</x:v>
      </x:c>
      <x:c r="I77" s="8" t="str">
        <x:v>Floating</x:v>
      </x:c>
      <x:c r="J77" s="8" t="n">
        <x:v>190</x:v>
      </x:c>
      <x:c r="K77" s="10"/>
      <x:c r="L77" s="8" t="n">
        <x:v>0</x:v>
      </x:c>
      <x:c r="M77" s="11" t="n">
        <x:v>48119</x:v>
      </x:c>
      <x:c r="N77" s="10" t="n">
        <x:v>0.31</x:v>
      </x:c>
      <x:c r="O77" s="12" t="n">
        <x:v>100</x:v>
      </x:c>
      <x:c r="P77" s="13" t="n">
        <x:v>4</x:v>
      </x:c>
      <x:c r="Q77" s="8" t="str">
        <x:v>USD</x:v>
      </x:c>
      <x:c r="R77" s="8" t="str">
        <x:v>SOFR</x:v>
      </x:c>
      <x:c r="S77" s="18" t="n">
        <x:f>IF(Portfolio_Par&gt;0,D77/Portfolio_Par,"")</x:f>
        <x:v>0.00394</x:v>
      </x:c>
      <x:c r="T77" s="19" t="n">
        <x:f>IF(A77="","",(M77-as_of_date)/365.25)</x:f>
        <x:v>4.739219712525667</x:v>
      </x:c>
      <x:c r="U77" s="20" t="n">
        <x:f>IF(I77="Floating",D77*J77,0)</x:f>
        <x:v>224580000</x:v>
      </x:c>
      <x:c r="V77" s="20" t="n">
        <x:f>IF(A77="","",D77*N77)</x:f>
        <x:v>366420</x:v>
      </x:c>
      <x:c r="W77" s="14" t="n">
        <x:f>IF(A77='Run Snapshot'!A77,0,1)+IF(B77='Run Snapshot'!B77,0,1)+IF(C77='Run Snapshot'!C77,0,1)+IF(D77='Run Snapshot'!D77,0,1)+IF(E77='Run Snapshot'!E77,0,1)+IF(F77='Run Snapshot'!F77,0,1)+IF(G77='Run Snapshot'!G77,0,1)+IF(H77='Run Snapshot'!H77,0,1)+IF(I77='Run Snapshot'!I77,0,1)+IF(J77='Run Snapshot'!J77,0,1)+IF(K77='Run Snapshot'!K77,0,1)+IF(L77='Run Snapshot'!L77,0,1)+IF(M77='Run Snapshot'!M77,0,1)+IF(N77='Run Snapshot'!N77,0,1)+IF(O77='Run Snapshot'!O77,0,1)+IF(P77='Run Snapshot'!P77,0,1)+IF(Q77='Run Snapshot'!Q77,0,1)+IF(R77='Run Snapshot'!R77,0,1)</x:f>
        <x:v>0</x:v>
      </x:c>
      <x:c r="X77" s="15" t="n">
        <x:f>IF(A77="",0,COUNTIF($A$8:$A$289,A77)-1)</x:f>
        <x:v>0</x:v>
      </x:c>
      <x:c r="Y77" s="14" t="n">
        <x:f>IF(A77="",1,IF(OR(D77&lt;=0,N77&lt;0,N77&gt;1,M77&lt;=as_of_date),1,0))</x:f>
        <x:v>0</x:v>
      </x:c>
      <x:c r="Z77" s="170" t="n">
        <x:f>IF(A77="","",VLOOKUP(E77,SP_WARF_Factors,2,FALSE))</x:f>
        <x:v>2859.5</x:v>
      </x:c>
      <x:c r="AA77" s="172" t="n">
        <x:f>IF(A77="","",D77*Z77)</x:f>
        <x:v>3379929000</x:v>
      </x:c>
      <x:c r="AB77" s="170" t="n">
        <x:f>IF(A77="","",D77*ABS(Z77-SPWARF))</x:f>
        <x:v>567503831.2759999</x:v>
      </x:c>
    </x:row>
    <x:row r="78">
      <x:c r="A78" s="8" t="str">
        <x:v>SYN-LN-00071</x:v>
      </x:c>
      <x:c r="B78" s="8" t="str">
        <x:v>SYN-OB-0069</x:v>
      </x:c>
      <x:c r="C78" s="8" t="str">
        <x:v>Orchard Group 069</x:v>
      </x:c>
      <x:c r="D78" s="9" t="n">
        <x:v>1182000</x:v>
      </x:c>
      <x:c r="E78" s="8" t="str">
        <x:v>B</x:v>
      </x:c>
      <x:c r="F78" s="8" t="str">
        <x:v>Diversified Consumer Services</x:v>
      </x:c>
      <x:c r="G78" s="8" t="str">
        <x:v>United States</x:v>
      </x:c>
      <x:c r="H78" s="8" t="str">
        <x:v>1st Lien</x:v>
      </x:c>
      <x:c r="I78" s="8" t="str">
        <x:v>Floating</x:v>
      </x:c>
      <x:c r="J78" s="8" t="n">
        <x:v>335</x:v>
      </x:c>
      <x:c r="K78" s="10"/>
      <x:c r="L78" s="8" t="n">
        <x:v>0</x:v>
      </x:c>
      <x:c r="M78" s="11" t="n">
        <x:v>48959</x:v>
      </x:c>
      <x:c r="N78" s="10" t="n">
        <x:v>0.39</x:v>
      </x:c>
      <x:c r="O78" s="12" t="n">
        <x:v>100.5</x:v>
      </x:c>
      <x:c r="P78" s="13" t="n">
        <x:v>4</x:v>
      </x:c>
      <x:c r="Q78" s="8" t="str">
        <x:v>USD</x:v>
      </x:c>
      <x:c r="R78" s="8" t="str">
        <x:v>SOFR</x:v>
      </x:c>
      <x:c r="S78" s="18" t="n">
        <x:f>IF(Portfolio_Par&gt;0,D78/Portfolio_Par,"")</x:f>
        <x:v>0.00394</x:v>
      </x:c>
      <x:c r="T78" s="19" t="n">
        <x:f>IF(A78="","",(M78-as_of_date)/365.25)</x:f>
        <x:v>7.039014373716633</x:v>
      </x:c>
      <x:c r="U78" s="20" t="n">
        <x:f>IF(I78="Floating",D78*J78,0)</x:f>
        <x:v>395970000</x:v>
      </x:c>
      <x:c r="V78" s="20" t="n">
        <x:f>IF(A78="","",D78*N78)</x:f>
        <x:v>460980</x:v>
      </x:c>
      <x:c r="W78" s="14" t="n">
        <x:f>IF(A78='Run Snapshot'!A78,0,1)+IF(B78='Run Snapshot'!B78,0,1)+IF(C78='Run Snapshot'!C78,0,1)+IF(D78='Run Snapshot'!D78,0,1)+IF(E78='Run Snapshot'!E78,0,1)+IF(F78='Run Snapshot'!F78,0,1)+IF(G78='Run Snapshot'!G78,0,1)+IF(H78='Run Snapshot'!H78,0,1)+IF(I78='Run Snapshot'!I78,0,1)+IF(J78='Run Snapshot'!J78,0,1)+IF(K78='Run Snapshot'!K78,0,1)+IF(L78='Run Snapshot'!L78,0,1)+IF(M78='Run Snapshot'!M78,0,1)+IF(N78='Run Snapshot'!N78,0,1)+IF(O78='Run Snapshot'!O78,0,1)+IF(P78='Run Snapshot'!P78,0,1)+IF(Q78='Run Snapshot'!Q78,0,1)+IF(R78='Run Snapshot'!R78,0,1)</x:f>
        <x:v>0</x:v>
      </x:c>
      <x:c r="X78" s="15" t="n">
        <x:f>IF(A78="",0,COUNTIF($A$8:$A$289,A78)-1)</x:f>
        <x:v>0</x:v>
      </x:c>
      <x:c r="Y78" s="14" t="n">
        <x:f>IF(A78="",1,IF(OR(D78&lt;=0,N78&lt;0,N78&gt;1,M78&lt;=as_of_date),1,0))</x:f>
        <x:v>0</x:v>
      </x:c>
      <x:c r="Z78" s="170" t="n">
        <x:f>IF(A78="","",VLOOKUP(E78,SP_WARF_Factors,2,FALSE))</x:f>
        <x:v>2859.5</x:v>
      </x:c>
      <x:c r="AA78" s="172" t="n">
        <x:f>IF(A78="","",D78*Z78)</x:f>
        <x:v>3379929000</x:v>
      </x:c>
      <x:c r="AB78" s="170" t="n">
        <x:f>IF(A78="","",D78*ABS(Z78-SPWARF))</x:f>
        <x:v>567503831.2759999</x:v>
      </x:c>
    </x:row>
    <x:row r="79">
      <x:c r="A79" s="8" t="str">
        <x:v>SYN-LN-00072</x:v>
      </x:c>
      <x:c r="B79" s="8" t="str">
        <x:v>SYN-OB-0070</x:v>
      </x:c>
      <x:c r="C79" s="8" t="str">
        <x:v>Pinecrest LLC 070</x:v>
      </x:c>
      <x:c r="D79" s="9" t="n">
        <x:v>630000</x:v>
      </x:c>
      <x:c r="E79" s="8" t="str">
        <x:v>B</x:v>
      </x:c>
      <x:c r="F79" s="8" t="str">
        <x:v>Electrical Equipment</x:v>
      </x:c>
      <x:c r="G79" s="8" t="str">
        <x:v>United States</x:v>
      </x:c>
      <x:c r="H79" s="8" t="str">
        <x:v>1st Lien</x:v>
      </x:c>
      <x:c r="I79" s="8" t="str">
        <x:v>Floating</x:v>
      </x:c>
      <x:c r="J79" s="8" t="n">
        <x:v>115</x:v>
      </x:c>
      <x:c r="K79" s="10"/>
      <x:c r="L79" s="8" t="n">
        <x:v>0</x:v>
      </x:c>
      <x:c r="M79" s="11" t="n">
        <x:v>48014</x:v>
      </x:c>
      <x:c r="N79" s="10" t="n">
        <x:v>0.225</x:v>
      </x:c>
      <x:c r="O79" s="12" t="n">
        <x:v>101.5</x:v>
      </x:c>
      <x:c r="P79" s="13" t="n">
        <x:v>4</x:v>
      </x:c>
      <x:c r="Q79" s="8" t="str">
        <x:v>USD</x:v>
      </x:c>
      <x:c r="R79" s="8" t="str">
        <x:v>SOFR</x:v>
      </x:c>
      <x:c r="S79" s="18" t="n">
        <x:f>IF(Portfolio_Par&gt;0,D79/Portfolio_Par,"")</x:f>
        <x:v>0.0021</x:v>
      </x:c>
      <x:c r="T79" s="19" t="n">
        <x:f>IF(A79="","",(M79-as_of_date)/365.25)</x:f>
        <x:v>4.4517453798767965</x:v>
      </x:c>
      <x:c r="U79" s="20" t="n">
        <x:f>IF(I79="Floating",D79*J79,0)</x:f>
        <x:v>72450000</x:v>
      </x:c>
      <x:c r="V79" s="20" t="n">
        <x:f>IF(A79="","",D79*N79)</x:f>
        <x:v>141750</x:v>
      </x:c>
      <x:c r="W79" s="14" t="n">
        <x:f>IF(A79='Run Snapshot'!A79,0,1)+IF(B79='Run Snapshot'!B79,0,1)+IF(C79='Run Snapshot'!C79,0,1)+IF(D79='Run Snapshot'!D79,0,1)+IF(E79='Run Snapshot'!E79,0,1)+IF(F79='Run Snapshot'!F79,0,1)+IF(G79='Run Snapshot'!G79,0,1)+IF(H79='Run Snapshot'!H79,0,1)+IF(I79='Run Snapshot'!I79,0,1)+IF(J79='Run Snapshot'!J79,0,1)+IF(K79='Run Snapshot'!K79,0,1)+IF(L79='Run Snapshot'!L79,0,1)+IF(M79='Run Snapshot'!M79,0,1)+IF(N79='Run Snapshot'!N79,0,1)+IF(O79='Run Snapshot'!O79,0,1)+IF(P79='Run Snapshot'!P79,0,1)+IF(Q79='Run Snapshot'!Q79,0,1)+IF(R79='Run Snapshot'!R79,0,1)</x:f>
        <x:v>0</x:v>
      </x:c>
      <x:c r="X79" s="15" t="n">
        <x:f>IF(A79="",0,COUNTIF($A$8:$A$289,A79)-1)</x:f>
        <x:v>0</x:v>
      </x:c>
      <x:c r="Y79" s="14" t="n">
        <x:f>IF(A79="",1,IF(OR(D79&lt;=0,N79&lt;0,N79&gt;1,M79&lt;=as_of_date),1,0))</x:f>
        <x:v>0</x:v>
      </x:c>
      <x:c r="Z79" s="170" t="n">
        <x:f>IF(A79="","",VLOOKUP(E79,SP_WARF_Factors,2,FALSE))</x:f>
        <x:v>2859.5</x:v>
      </x:c>
      <x:c r="AA79" s="172" t="n">
        <x:f>IF(A79="","",D79*Z79)</x:f>
        <x:v>1801485000</x:v>
      </x:c>
      <x:c r="AB79" s="170" t="n">
        <x:f>IF(A79="","",D79*ABS(Z79-SPWARF))</x:f>
        <x:v>302476661.34</x:v>
      </x:c>
    </x:row>
    <x:row r="80">
      <x:c r="A80" s="8" t="str">
        <x:v>SYN-LN-00073</x:v>
      </x:c>
      <x:c r="B80" s="8" t="str">
        <x:v>SYN-OB-0071</x:v>
      </x:c>
      <x:c r="C80" s="8" t="str">
        <x:v>Redwood Holdings 071</x:v>
      </x:c>
      <x:c r="D80" s="9" t="n">
        <x:v>1182000</x:v>
      </x:c>
      <x:c r="E80" s="8" t="str">
        <x:v>B-</x:v>
      </x:c>
      <x:c r="F80" s="8" t="str">
        <x:v>Specialty Retail</x:v>
      </x:c>
      <x:c r="G80" s="8" t="str">
        <x:v>United States</x:v>
      </x:c>
      <x:c r="H80" s="8" t="str">
        <x:v>1st Lien</x:v>
      </x:c>
      <x:c r="I80" s="8" t="str">
        <x:v>Floating</x:v>
      </x:c>
      <x:c r="J80" s="8" t="n">
        <x:v>200</x:v>
      </x:c>
      <x:c r="K80" s="10"/>
      <x:c r="L80" s="8" t="n">
        <x:v>0</x:v>
      </x:c>
      <x:c r="M80" s="11" t="n">
        <x:v>49079</x:v>
      </x:c>
      <x:c r="N80" s="10" t="n">
        <x:v>0.445</x:v>
      </x:c>
      <x:c r="O80" s="12" t="n">
        <x:v>101.5</x:v>
      </x:c>
      <x:c r="P80" s="13" t="n">
        <x:v>4</x:v>
      </x:c>
      <x:c r="Q80" s="8" t="str">
        <x:v>USD</x:v>
      </x:c>
      <x:c r="R80" s="8" t="str">
        <x:v>SOFR</x:v>
      </x:c>
      <x:c r="S80" s="18" t="n">
        <x:f>IF(Portfolio_Par&gt;0,D80/Portfolio_Par,"")</x:f>
        <x:v>0.00394</x:v>
      </x:c>
      <x:c r="T80" s="19" t="n">
        <x:f>IF(A80="","",(M80-as_of_date)/365.25)</x:f>
        <x:v>7.367556468172484</x:v>
      </x:c>
      <x:c r="U80" s="20" t="n">
        <x:f>IF(I80="Floating",D80*J80,0)</x:f>
        <x:v>236400000</x:v>
      </x:c>
      <x:c r="V80" s="20" t="n">
        <x:f>IF(A80="","",D80*N80)</x:f>
        <x:v>525990</x:v>
      </x:c>
      <x:c r="W80" s="14" t="n">
        <x:f>IF(A80='Run Snapshot'!A80,0,1)+IF(B80='Run Snapshot'!B80,0,1)+IF(C80='Run Snapshot'!C80,0,1)+IF(D80='Run Snapshot'!D80,0,1)+IF(E80='Run Snapshot'!E80,0,1)+IF(F80='Run Snapshot'!F80,0,1)+IF(G80='Run Snapshot'!G80,0,1)+IF(H80='Run Snapshot'!H80,0,1)+IF(I80='Run Snapshot'!I80,0,1)+IF(J80='Run Snapshot'!J80,0,1)+IF(K80='Run Snapshot'!K80,0,1)+IF(L80='Run Snapshot'!L80,0,1)+IF(M80='Run Snapshot'!M80,0,1)+IF(N80='Run Snapshot'!N80,0,1)+IF(O80='Run Snapshot'!O80,0,1)+IF(P80='Run Snapshot'!P80,0,1)+IF(Q80='Run Snapshot'!Q80,0,1)+IF(R80='Run Snapshot'!R80,0,1)</x:f>
        <x:v>0</x:v>
      </x:c>
      <x:c r="X80" s="15" t="n">
        <x:f>IF(A80="",0,COUNTIF($A$8:$A$289,A80)-1)</x:f>
        <x:v>0</x:v>
      </x:c>
      <x:c r="Y80" s="14" t="n">
        <x:f>IF(A80="",1,IF(OR(D80&lt;=0,N80&lt;0,N80&gt;1,M80&lt;=as_of_date),1,0))</x:f>
        <x:v>0</x:v>
      </x:c>
      <x:c r="Z80" s="170" t="n">
        <x:f>IF(A80="","",VLOOKUP(E80,SP_WARF_Factors,2,FALSE))</x:f>
        <x:v>3610.11</x:v>
      </x:c>
      <x:c r="AA80" s="172" t="n">
        <x:f>IF(A80="","",D80*Z80)</x:f>
        <x:v>4267150020</x:v>
      </x:c>
      <x:c r="AB80" s="170" t="n">
        <x:f>IF(A80="","",D80*ABS(Z80-SPWARF))</x:f>
        <x:v>1454724851.276</x:v>
      </x:c>
    </x:row>
    <x:row r="81">
      <x:c r="A81" s="8" t="str">
        <x:v>SYN-LN-00074</x:v>
      </x:c>
      <x:c r="B81" s="8" t="str">
        <x:v>SYN-OB-0072</x:v>
      </x:c>
      <x:c r="C81" s="8" t="str">
        <x:v>Riverton Inc. 072</x:v>
      </x:c>
      <x:c r="D81" s="9" t="n">
        <x:v>630000</x:v>
      </x:c>
      <x:c r="E81" s="8" t="str">
        <x:v>A-</x:v>
      </x:c>
      <x:c r="F81" s="8" t="str">
        <x:v>Building Products</x:v>
      </x:c>
      <x:c r="G81" s="8" t="str">
        <x:v>Germany</x:v>
      </x:c>
      <x:c r="H81" s="8" t="str">
        <x:v>1st Lien</x:v>
      </x:c>
      <x:c r="I81" s="8" t="str">
        <x:v>Floating</x:v>
      </x:c>
      <x:c r="J81" s="8" t="n">
        <x:v>335</x:v>
      </x:c>
      <x:c r="K81" s="10"/>
      <x:c r="L81" s="8" t="n">
        <x:v>0</x:v>
      </x:c>
      <x:c r="M81" s="11" t="n">
        <x:v>48533</x:v>
      </x:c>
      <x:c r="N81" s="10" t="n">
        <x:v>0.305</x:v>
      </x:c>
      <x:c r="O81" s="12" t="n">
        <x:v>98.375</x:v>
      </x:c>
      <x:c r="P81" s="13" t="n">
        <x:v>4</x:v>
      </x:c>
      <x:c r="Q81" s="8" t="str">
        <x:v>USD</x:v>
      </x:c>
      <x:c r="R81" s="8" t="str">
        <x:v>SOFR</x:v>
      </x:c>
      <x:c r="S81" s="18" t="n">
        <x:f>IF(Portfolio_Par&gt;0,D81/Portfolio_Par,"")</x:f>
        <x:v>0.0021</x:v>
      </x:c>
      <x:c r="T81" s="19" t="n">
        <x:f>IF(A81="","",(M81-as_of_date)/365.25)</x:f>
        <x:v>5.8726899383983575</x:v>
      </x:c>
      <x:c r="U81" s="20" t="n">
        <x:f>IF(I81="Floating",D81*J81,0)</x:f>
        <x:v>211050000</x:v>
      </x:c>
      <x:c r="V81" s="20" t="n">
        <x:f>IF(A81="","",D81*N81)</x:f>
        <x:v>192150</x:v>
      </x:c>
      <x:c r="W81" s="14" t="n">
        <x:f>IF(A81='Run Snapshot'!A81,0,1)+IF(B81='Run Snapshot'!B81,0,1)+IF(C81='Run Snapshot'!C81,0,1)+IF(D81='Run Snapshot'!D81,0,1)+IF(E81='Run Snapshot'!E81,0,1)+IF(F81='Run Snapshot'!F81,0,1)+IF(G81='Run Snapshot'!G81,0,1)+IF(H81='Run Snapshot'!H81,0,1)+IF(I81='Run Snapshot'!I81,0,1)+IF(J81='Run Snapshot'!J81,0,1)+IF(K81='Run Snapshot'!K81,0,1)+IF(L81='Run Snapshot'!L81,0,1)+IF(M81='Run Snapshot'!M81,0,1)+IF(N81='Run Snapshot'!N81,0,1)+IF(O81='Run Snapshot'!O81,0,1)+IF(P81='Run Snapshot'!P81,0,1)+IF(Q81='Run Snapshot'!Q81,0,1)+IF(R81='Run Snapshot'!R81,0,1)</x:f>
        <x:v>0</x:v>
      </x:c>
      <x:c r="X81" s="15" t="n">
        <x:f>IF(A81="",0,COUNTIF($A$8:$A$289,A81)-1)</x:f>
        <x:v>0</x:v>
      </x:c>
      <x:c r="Y81" s="14" t="n">
        <x:f>IF(A81="",1,IF(OR(D81&lt;=0,N81&lt;0,N81&gt;1,M81&lt;=as_of_date),1,0))</x:f>
        <x:v>0</x:v>
      </x:c>
      <x:c r="Z81" s="170" t="n">
        <x:f>IF(A81="","",VLOOKUP(E81,SP_WARF_Factors,2,FALSE))</x:f>
        <x:v>199.83</x:v>
      </x:c>
      <x:c r="AA81" s="172" t="n">
        <x:f>IF(A81="","",D81*Z81)</x:f>
        <x:v>125892900.00000001</x:v>
      </x:c>
      <x:c r="AB81" s="170" t="n">
        <x:f>IF(A81="","",D81*ABS(Z81-SPWARF))</x:f>
        <x:v>1373115438.66</x:v>
      </x:c>
    </x:row>
    <x:row r="82">
      <x:c r="A82" s="8" t="str">
        <x:v>SYN-LN-00075</x:v>
      </x:c>
      <x:c r="B82" s="8" t="str">
        <x:v>SYN-OB-0073</x:v>
      </x:c>
      <x:c r="C82" s="8" t="str">
        <x:v>Silver Corp. 073</x:v>
      </x:c>
      <x:c r="D82" s="9" t="n">
        <x:v>1182000</x:v>
      </x:c>
      <x:c r="E82" s="8" t="str">
        <x:v>B-</x:v>
      </x:c>
      <x:c r="F82" s="8" t="str">
        <x:v>Healthcare Technology</x:v>
      </x:c>
      <x:c r="G82" s="8" t="str">
        <x:v>United States</x:v>
      </x:c>
      <x:c r="H82" s="8" t="str">
        <x:v>1st Lien</x:v>
      </x:c>
      <x:c r="I82" s="8" t="str">
        <x:v>Floating</x:v>
      </x:c>
      <x:c r="J82" s="8" t="n">
        <x:v>405</x:v>
      </x:c>
      <x:c r="K82" s="10"/>
      <x:c r="L82" s="8" t="n">
        <x:v>0</x:v>
      </x:c>
      <x:c r="M82" s="11" t="n">
        <x:v>48485</x:v>
      </x:c>
      <x:c r="N82" s="10" t="n">
        <x:v>0.31</x:v>
      </x:c>
      <x:c r="O82" s="12" t="n">
        <x:v>97.125</x:v>
      </x:c>
      <x:c r="P82" s="13" t="n">
        <x:v>4</x:v>
      </x:c>
      <x:c r="Q82" s="8" t="str">
        <x:v>USD</x:v>
      </x:c>
      <x:c r="R82" s="8" t="str">
        <x:v>SOFR</x:v>
      </x:c>
      <x:c r="S82" s="18" t="n">
        <x:f>IF(Portfolio_Par&gt;0,D82/Portfolio_Par,"")</x:f>
        <x:v>0.00394</x:v>
      </x:c>
      <x:c r="T82" s="19" t="n">
        <x:f>IF(A82="","",(M82-as_of_date)/365.25)</x:f>
        <x:v>5.7412731006160165</x:v>
      </x:c>
      <x:c r="U82" s="20" t="n">
        <x:f>IF(I82="Floating",D82*J82,0)</x:f>
        <x:v>478710000</x:v>
      </x:c>
      <x:c r="V82" s="20" t="n">
        <x:f>IF(A82="","",D82*N82)</x:f>
        <x:v>366420</x:v>
      </x:c>
      <x:c r="W82" s="14" t="n">
        <x:f>IF(A82='Run Snapshot'!A82,0,1)+IF(B82='Run Snapshot'!B82,0,1)+IF(C82='Run Snapshot'!C82,0,1)+IF(D82='Run Snapshot'!D82,0,1)+IF(E82='Run Snapshot'!E82,0,1)+IF(F82='Run Snapshot'!F82,0,1)+IF(G82='Run Snapshot'!G82,0,1)+IF(H82='Run Snapshot'!H82,0,1)+IF(I82='Run Snapshot'!I82,0,1)+IF(J82='Run Snapshot'!J82,0,1)+IF(K82='Run Snapshot'!K82,0,1)+IF(L82='Run Snapshot'!L82,0,1)+IF(M82='Run Snapshot'!M82,0,1)+IF(N82='Run Snapshot'!N82,0,1)+IF(O82='Run Snapshot'!O82,0,1)+IF(P82='Run Snapshot'!P82,0,1)+IF(Q82='Run Snapshot'!Q82,0,1)+IF(R82='Run Snapshot'!R82,0,1)</x:f>
        <x:v>0</x:v>
      </x:c>
      <x:c r="X82" s="15" t="n">
        <x:f>IF(A82="",0,COUNTIF($A$8:$A$289,A82)-1)</x:f>
        <x:v>0</x:v>
      </x:c>
      <x:c r="Y82" s="14" t="n">
        <x:f>IF(A82="",1,IF(OR(D82&lt;=0,N82&lt;0,N82&gt;1,M82&lt;=as_of_date),1,0))</x:f>
        <x:v>0</x:v>
      </x:c>
      <x:c r="Z82" s="170" t="n">
        <x:f>IF(A82="","",VLOOKUP(E82,SP_WARF_Factors,2,FALSE))</x:f>
        <x:v>3610.11</x:v>
      </x:c>
      <x:c r="AA82" s="172" t="n">
        <x:f>IF(A82="","",D82*Z82)</x:f>
        <x:v>4267150020</x:v>
      </x:c>
      <x:c r="AB82" s="170" t="n">
        <x:f>IF(A82="","",D82*ABS(Z82-SPWARF))</x:f>
        <x:v>1454724851.276</x:v>
      </x:c>
    </x:row>
    <x:row r="83">
      <x:c r="A83" s="8" t="str">
        <x:v>SYN-LN-00076</x:v>
      </x:c>
      <x:c r="B83" s="8" t="str">
        <x:v>SYN-OB-0074</x:v>
      </x:c>
      <x:c r="C83" s="8" t="str">
        <x:v>Stonebridge Group 074</x:v>
      </x:c>
      <x:c r="D83" s="9" t="n">
        <x:v>1182000</x:v>
      </x:c>
      <x:c r="E83" s="8" t="str">
        <x:v>B</x:v>
      </x:c>
      <x:c r="F83" s="8" t="str">
        <x:v>Diversified Consumer Services</x:v>
      </x:c>
      <x:c r="G83" s="8" t="str">
        <x:v>United States</x:v>
      </x:c>
      <x:c r="H83" s="8" t="str">
        <x:v>1st Lien</x:v>
      </x:c>
      <x:c r="I83" s="8" t="str">
        <x:v>Floating</x:v>
      </x:c>
      <x:c r="J83" s="8" t="n">
        <x:v>240</x:v>
      </x:c>
      <x:c r="K83" s="10"/>
      <x:c r="L83" s="8" t="n">
        <x:v>0</x:v>
      </x:c>
      <x:c r="M83" s="11" t="n">
        <x:v>48243</x:v>
      </x:c>
      <x:c r="N83" s="10" t="n">
        <x:v>0.39</x:v>
      </x:c>
      <x:c r="O83" s="12" t="n">
        <x:v>98</x:v>
      </x:c>
      <x:c r="P83" s="13" t="n">
        <x:v>4</x:v>
      </x:c>
      <x:c r="Q83" s="8" t="str">
        <x:v>USD</x:v>
      </x:c>
      <x:c r="R83" s="8" t="str">
        <x:v>SOFR</x:v>
      </x:c>
      <x:c r="S83" s="18" t="n">
        <x:f>IF(Portfolio_Par&gt;0,D83/Portfolio_Par,"")</x:f>
        <x:v>0.00394</x:v>
      </x:c>
      <x:c r="T83" s="19" t="n">
        <x:f>IF(A83="","",(M83-as_of_date)/365.25)</x:f>
        <x:v>5.078713210130048</x:v>
      </x:c>
      <x:c r="U83" s="20" t="n">
        <x:f>IF(I83="Floating",D83*J83,0)</x:f>
        <x:v>283680000</x:v>
      </x:c>
      <x:c r="V83" s="20" t="n">
        <x:f>IF(A83="","",D83*N83)</x:f>
        <x:v>460980</x:v>
      </x:c>
      <x:c r="W83" s="14" t="n">
        <x:f>IF(A83='Run Snapshot'!A83,0,1)+IF(B83='Run Snapshot'!B83,0,1)+IF(C83='Run Snapshot'!C83,0,1)+IF(D83='Run Snapshot'!D83,0,1)+IF(E83='Run Snapshot'!E83,0,1)+IF(F83='Run Snapshot'!F83,0,1)+IF(G83='Run Snapshot'!G83,0,1)+IF(H83='Run Snapshot'!H83,0,1)+IF(I83='Run Snapshot'!I83,0,1)+IF(J83='Run Snapshot'!J83,0,1)+IF(K83='Run Snapshot'!K83,0,1)+IF(L83='Run Snapshot'!L83,0,1)+IF(M83='Run Snapshot'!M83,0,1)+IF(N83='Run Snapshot'!N83,0,1)+IF(O83='Run Snapshot'!O83,0,1)+IF(P83='Run Snapshot'!P83,0,1)+IF(Q83='Run Snapshot'!Q83,0,1)+IF(R83='Run Snapshot'!R83,0,1)</x:f>
        <x:v>0</x:v>
      </x:c>
      <x:c r="X83" s="15" t="n">
        <x:f>IF(A83="",0,COUNTIF($A$8:$A$289,A83)-1)</x:f>
        <x:v>0</x:v>
      </x:c>
      <x:c r="Y83" s="14" t="n">
        <x:f>IF(A83="",1,IF(OR(D83&lt;=0,N83&lt;0,N83&gt;1,M83&lt;=as_of_date),1,0))</x:f>
        <x:v>0</x:v>
      </x:c>
      <x:c r="Z83" s="170" t="n">
        <x:f>IF(A83="","",VLOOKUP(E83,SP_WARF_Factors,2,FALSE))</x:f>
        <x:v>2859.5</x:v>
      </x:c>
      <x:c r="AA83" s="172" t="n">
        <x:f>IF(A83="","",D83*Z83)</x:f>
        <x:v>3379929000</x:v>
      </x:c>
      <x:c r="AB83" s="170" t="n">
        <x:f>IF(A83="","",D83*ABS(Z83-SPWARF))</x:f>
        <x:v>567503831.2759999</x:v>
      </x:c>
    </x:row>
    <x:row r="84">
      <x:c r="A84" s="8" t="str">
        <x:v>SYN-LN-00077</x:v>
      </x:c>
      <x:c r="B84" s="8" t="str">
        <x:v>SYN-OB-0075</x:v>
      </x:c>
      <x:c r="C84" s="8" t="str">
        <x:v>Summit LLC 075</x:v>
      </x:c>
      <x:c r="D84" s="9" t="n">
        <x:v>1182000</x:v>
      </x:c>
      <x:c r="E84" s="8" t="str">
        <x:v>B+</x:v>
      </x:c>
      <x:c r="F84" s="8" t="str">
        <x:v>Insurance</x:v>
      </x:c>
      <x:c r="G84" s="8" t="str">
        <x:v>United States</x:v>
      </x:c>
      <x:c r="H84" s="8" t="str">
        <x:v>1st Lien</x:v>
      </x:c>
      <x:c r="I84" s="8" t="str">
        <x:v>Floating</x:v>
      </x:c>
      <x:c r="J84" s="8" t="n">
        <x:v>250</x:v>
      </x:c>
      <x:c r="K84" s="10"/>
      <x:c r="L84" s="8" t="n">
        <x:v>0</x:v>
      </x:c>
      <x:c r="M84" s="11" t="n">
        <x:v>48441</x:v>
      </x:c>
      <x:c r="N84" s="10" t="n">
        <x:v>0.365</x:v>
      </x:c>
      <x:c r="O84" s="12" t="n">
        <x:v>99.125</x:v>
      </x:c>
      <x:c r="P84" s="13" t="n">
        <x:v>4</x:v>
      </x:c>
      <x:c r="Q84" s="8" t="str">
        <x:v>USD</x:v>
      </x:c>
      <x:c r="R84" s="8" t="str">
        <x:v>SOFR</x:v>
      </x:c>
      <x:c r="S84" s="18" t="n">
        <x:f>IF(Portfolio_Par&gt;0,D84/Portfolio_Par,"")</x:f>
        <x:v>0.00394</x:v>
      </x:c>
      <x:c r="T84" s="19" t="n">
        <x:f>IF(A84="","",(M84-as_of_date)/365.25)</x:f>
        <x:v>5.620807665982204</x:v>
      </x:c>
      <x:c r="U84" s="20" t="n">
        <x:f>IF(I84="Floating",D84*J84,0)</x:f>
        <x:v>295500000</x:v>
      </x:c>
      <x:c r="V84" s="20" t="n">
        <x:f>IF(A84="","",D84*N84)</x:f>
        <x:v>431430</x:v>
      </x:c>
      <x:c r="W84" s="14" t="n">
        <x:f>IF(A84='Run Snapshot'!A84,0,1)+IF(B84='Run Snapshot'!B84,0,1)+IF(C84='Run Snapshot'!C84,0,1)+IF(D84='Run Snapshot'!D84,0,1)+IF(E84='Run Snapshot'!E84,0,1)+IF(F84='Run Snapshot'!F84,0,1)+IF(G84='Run Snapshot'!G84,0,1)+IF(H84='Run Snapshot'!H84,0,1)+IF(I84='Run Snapshot'!I84,0,1)+IF(J84='Run Snapshot'!J84,0,1)+IF(K84='Run Snapshot'!K84,0,1)+IF(L84='Run Snapshot'!L84,0,1)+IF(M84='Run Snapshot'!M84,0,1)+IF(N84='Run Snapshot'!N84,0,1)+IF(O84='Run Snapshot'!O84,0,1)+IF(P84='Run Snapshot'!P84,0,1)+IF(Q84='Run Snapshot'!Q84,0,1)+IF(R84='Run Snapshot'!R84,0,1)</x:f>
        <x:v>0</x:v>
      </x:c>
      <x:c r="X84" s="15" t="n">
        <x:f>IF(A84="",0,COUNTIF($A$8:$A$289,A84)-1)</x:f>
        <x:v>0</x:v>
      </x:c>
      <x:c r="Y84" s="14" t="n">
        <x:f>IF(A84="",1,IF(OR(D84&lt;=0,N84&lt;0,N84&gt;1,M84&lt;=as_of_date),1,0))</x:f>
        <x:v>0</x:v>
      </x:c>
      <x:c r="Z84" s="170" t="n">
        <x:f>IF(A84="","",VLOOKUP(E84,SP_WARF_Factors,2,FALSE))</x:f>
        <x:v>1982</x:v>
      </x:c>
      <x:c r="AA84" s="172" t="n">
        <x:f>IF(A84="","",D84*Z84)</x:f>
        <x:v>2342724000</x:v>
      </x:c>
      <x:c r="AB84" s="170" t="n">
        <x:f>IF(A84="","",D84*ABS(Z84-SPWARF))</x:f>
        <x:v>469701168.72400004</x:v>
      </x:c>
    </x:row>
    <x:row r="85">
      <x:c r="A85" s="8" t="str">
        <x:v>SYN-LN-00078</x:v>
      </x:c>
      <x:c r="B85" s="8" t="str">
        <x:v>SYN-OB-0076</x:v>
      </x:c>
      <x:c r="C85" s="8" t="str">
        <x:v>Timber Holdings 076</x:v>
      </x:c>
      <x:c r="D85" s="9" t="n">
        <x:v>770000</x:v>
      </x:c>
      <x:c r="E85" s="8" t="str">
        <x:v>BB-</x:v>
      </x:c>
      <x:c r="F85" s="8" t="str">
        <x:v>Oil, Gas &amp; Consumable Fuels</x:v>
      </x:c>
      <x:c r="G85" s="8" t="str">
        <x:v>United States</x:v>
      </x:c>
      <x:c r="H85" s="8" t="str">
        <x:v>1st Lien</x:v>
      </x:c>
      <x:c r="I85" s="8" t="str">
        <x:v>Floating</x:v>
      </x:c>
      <x:c r="J85" s="8" t="n">
        <x:v>200</x:v>
      </x:c>
      <x:c r="K85" s="10"/>
      <x:c r="L85" s="8" t="n">
        <x:v>0</x:v>
      </x:c>
      <x:c r="M85" s="11" t="n">
        <x:v>48362</x:v>
      </x:c>
      <x:c r="N85" s="10" t="n">
        <x:v>0.345</x:v>
      </x:c>
      <x:c r="O85" s="12" t="n">
        <x:v>101</x:v>
      </x:c>
      <x:c r="P85" s="13" t="n">
        <x:v>4</x:v>
      </x:c>
      <x:c r="Q85" s="8" t="str">
        <x:v>USD</x:v>
      </x:c>
      <x:c r="R85" s="8" t="str">
        <x:v>SOFR</x:v>
      </x:c>
      <x:c r="S85" s="18" t="n">
        <x:f>IF(Portfolio_Par&gt;0,D85/Portfolio_Par,"")</x:f>
        <x:v>0.0025666666666666667</x:v>
      </x:c>
      <x:c r="T85" s="19" t="n">
        <x:f>IF(A85="","",(M85-as_of_date)/365.25)</x:f>
        <x:v>5.404517453798768</x:v>
      </x:c>
      <x:c r="U85" s="20" t="n">
        <x:f>IF(I85="Floating",D85*J85,0)</x:f>
        <x:v>154000000</x:v>
      </x:c>
      <x:c r="V85" s="20" t="n">
        <x:f>IF(A85="","",D85*N85)</x:f>
        <x:v>265650</x:v>
      </x:c>
      <x:c r="W85" s="14" t="n">
        <x:f>IF(A85='Run Snapshot'!A85,0,1)+IF(B85='Run Snapshot'!B85,0,1)+IF(C85='Run Snapshot'!C85,0,1)+IF(D85='Run Snapshot'!D85,0,1)+IF(E85='Run Snapshot'!E85,0,1)+IF(F85='Run Snapshot'!F85,0,1)+IF(G85='Run Snapshot'!G85,0,1)+IF(H85='Run Snapshot'!H85,0,1)+IF(I85='Run Snapshot'!I85,0,1)+IF(J85='Run Snapshot'!J85,0,1)+IF(K85='Run Snapshot'!K85,0,1)+IF(L85='Run Snapshot'!L85,0,1)+IF(M85='Run Snapshot'!M85,0,1)+IF(N85='Run Snapshot'!N85,0,1)+IF(O85='Run Snapshot'!O85,0,1)+IF(P85='Run Snapshot'!P85,0,1)+IF(Q85='Run Snapshot'!Q85,0,1)+IF(R85='Run Snapshot'!R85,0,1)</x:f>
        <x:v>0</x:v>
      </x:c>
      <x:c r="X85" s="15" t="n">
        <x:f>IF(A85="",0,COUNTIF($A$8:$A$289,A85)-1)</x:f>
        <x:v>0</x:v>
      </x:c>
      <x:c r="Y85" s="14" t="n">
        <x:f>IF(A85="",1,IF(OR(D85&lt;=0,N85&lt;0,N85&gt;1,M85&lt;=as_of_date),1,0))</x:f>
        <x:v>0</x:v>
      </x:c>
      <x:c r="Z85" s="170" t="n">
        <x:f>IF(A85="","",VLOOKUP(E85,SP_WARF_Factors,2,FALSE))</x:f>
        <x:v>1565.44</x:v>
      </x:c>
      <x:c r="AA85" s="172" t="n">
        <x:f>IF(A85="","",D85*Z85)</x:f>
        <x:v>1205388800</x:v>
      </x:c>
      <x:c r="AB85" s="170" t="n">
        <x:f>IF(A85="","",D85*ABS(Z85-SPWARF))</x:f>
        <x:v>626732502.8066666</x:v>
      </x:c>
    </x:row>
    <x:row r="86">
      <x:c r="A86" s="8" t="str">
        <x:v>SYN-LN-00079</x:v>
      </x:c>
      <x:c r="B86" s="8" t="str">
        <x:v>SYN-OB-0076</x:v>
      </x:c>
      <x:c r="C86" s="8" t="str">
        <x:v>Timber Holdings 076</x:v>
      </x:c>
      <x:c r="D86" s="9" t="n">
        <x:v>412000</x:v>
      </x:c>
      <x:c r="E86" s="8" t="str">
        <x:v>BB-</x:v>
      </x:c>
      <x:c r="F86" s="8" t="str">
        <x:v>Oil, Gas &amp; Consumable Fuels</x:v>
      </x:c>
      <x:c r="G86" s="8" t="str">
        <x:v>United States</x:v>
      </x:c>
      <x:c r="H86" s="8" t="str">
        <x:v>1st Lien</x:v>
      </x:c>
      <x:c r="I86" s="8" t="str">
        <x:v>Floating</x:v>
      </x:c>
      <x:c r="J86" s="8" t="n">
        <x:v>210</x:v>
      </x:c>
      <x:c r="K86" s="10"/>
      <x:c r="L86" s="8" t="n">
        <x:v>50</x:v>
      </x:c>
      <x:c r="M86" s="11" t="n">
        <x:v>48425</x:v>
      </x:c>
      <x:c r="N86" s="10" t="n">
        <x:v>0.345</x:v>
      </x:c>
      <x:c r="O86" s="12" t="n">
        <x:v>101.125</x:v>
      </x:c>
      <x:c r="P86" s="13" t="n">
        <x:v>4</x:v>
      </x:c>
      <x:c r="Q86" s="8" t="str">
        <x:v>USD</x:v>
      </x:c>
      <x:c r="R86" s="8" t="str">
        <x:v>SOFR</x:v>
      </x:c>
      <x:c r="S86" s="18" t="n">
        <x:f>IF(Portfolio_Par&gt;0,D86/Portfolio_Par,"")</x:f>
        <x:v>0.0013733333333333334</x:v>
      </x:c>
      <x:c r="T86" s="19" t="n">
        <x:f>IF(A86="","",(M86-as_of_date)/365.25)</x:f>
        <x:v>5.577002053388091</x:v>
      </x:c>
      <x:c r="U86" s="20" t="n">
        <x:f>IF(I86="Floating",D86*J86,0)</x:f>
        <x:v>86520000</x:v>
      </x:c>
      <x:c r="V86" s="20" t="n">
        <x:f>IF(A86="","",D86*N86)</x:f>
        <x:v>142140</x:v>
      </x:c>
      <x:c r="W86" s="14" t="n">
        <x:f>IF(A86='Run Snapshot'!A86,0,1)+IF(B86='Run Snapshot'!B86,0,1)+IF(C86='Run Snapshot'!C86,0,1)+IF(D86='Run Snapshot'!D86,0,1)+IF(E86='Run Snapshot'!E86,0,1)+IF(F86='Run Snapshot'!F86,0,1)+IF(G86='Run Snapshot'!G86,0,1)+IF(H86='Run Snapshot'!H86,0,1)+IF(I86='Run Snapshot'!I86,0,1)+IF(J86='Run Snapshot'!J86,0,1)+IF(K86='Run Snapshot'!K86,0,1)+IF(L86='Run Snapshot'!L86,0,1)+IF(M86='Run Snapshot'!M86,0,1)+IF(N86='Run Snapshot'!N86,0,1)+IF(O86='Run Snapshot'!O86,0,1)+IF(P86='Run Snapshot'!P86,0,1)+IF(Q86='Run Snapshot'!Q86,0,1)+IF(R86='Run Snapshot'!R86,0,1)</x:f>
        <x:v>0</x:v>
      </x:c>
      <x:c r="X86" s="15" t="n">
        <x:f>IF(A86="",0,COUNTIF($A$8:$A$289,A86)-1)</x:f>
        <x:v>0</x:v>
      </x:c>
      <x:c r="Y86" s="14" t="n">
        <x:f>IF(A86="",1,IF(OR(D86&lt;=0,N86&lt;0,N86&gt;1,M86&lt;=as_of_date),1,0))</x:f>
        <x:v>0</x:v>
      </x:c>
      <x:c r="Z86" s="170" t="n">
        <x:f>IF(A86="","",VLOOKUP(E86,SP_WARF_Factors,2,FALSE))</x:f>
        <x:v>1565.44</x:v>
      </x:c>
      <x:c r="AA86" s="172" t="n">
        <x:f>IF(A86="","",D86*Z86)</x:f>
        <x:v>644961280</x:v>
      </x:c>
      <x:c r="AB86" s="170" t="n">
        <x:f>IF(A86="","",D86*ABS(Z86-SPWARF))</x:f>
        <x:v>335342585.9173333</x:v>
      </x:c>
    </x:row>
    <x:row r="87">
      <x:c r="A87" s="8" t="str">
        <x:v>SYN-LN-00080</x:v>
      </x:c>
      <x:c r="B87" s="8" t="str">
        <x:v>SYN-OB-0077</x:v>
      </x:c>
      <x:c r="C87" s="8" t="str">
        <x:v>Westhaven Inc. 077</x:v>
      </x:c>
      <x:c r="D87" s="9" t="n">
        <x:v>1182000</x:v>
      </x:c>
      <x:c r="E87" s="8" t="str">
        <x:v>B</x:v>
      </x:c>
      <x:c r="F87" s="8" t="str">
        <x:v>IT Services</x:v>
      </x:c>
      <x:c r="G87" s="8" t="str">
        <x:v>United States</x:v>
      </x:c>
      <x:c r="H87" s="8" t="str">
        <x:v>1st Lien</x:v>
      </x:c>
      <x:c r="I87" s="8" t="str">
        <x:v>Floating</x:v>
      </x:c>
      <x:c r="J87" s="8" t="n">
        <x:v>135</x:v>
      </x:c>
      <x:c r="K87" s="10"/>
      <x:c r="L87" s="8" t="n">
        <x:v>0</x:v>
      </x:c>
      <x:c r="M87" s="11" t="n">
        <x:v>48880</x:v>
      </x:c>
      <x:c r="N87" s="10" t="n">
        <x:v>0.325</x:v>
      </x:c>
      <x:c r="O87" s="12" t="n">
        <x:v>98.25</x:v>
      </x:c>
      <x:c r="P87" s="13" t="n">
        <x:v>4</x:v>
      </x:c>
      <x:c r="Q87" s="8" t="str">
        <x:v>USD</x:v>
      </x:c>
      <x:c r="R87" s="8" t="str">
        <x:v>SOFR</x:v>
      </x:c>
      <x:c r="S87" s="18" t="n">
        <x:f>IF(Portfolio_Par&gt;0,D87/Portfolio_Par,"")</x:f>
        <x:v>0.00394</x:v>
      </x:c>
      <x:c r="T87" s="19" t="n">
        <x:f>IF(A87="","",(M87-as_of_date)/365.25)</x:f>
        <x:v>6.822724161533197</x:v>
      </x:c>
      <x:c r="U87" s="20" t="n">
        <x:f>IF(I87="Floating",D87*J87,0)</x:f>
        <x:v>159570000</x:v>
      </x:c>
      <x:c r="V87" s="20" t="n">
        <x:f>IF(A87="","",D87*N87)</x:f>
        <x:v>384150</x:v>
      </x:c>
      <x:c r="W87" s="14" t="n">
        <x:f>IF(A87='Run Snapshot'!A87,0,1)+IF(B87='Run Snapshot'!B87,0,1)+IF(C87='Run Snapshot'!C87,0,1)+IF(D87='Run Snapshot'!D87,0,1)+IF(E87='Run Snapshot'!E87,0,1)+IF(F87='Run Snapshot'!F87,0,1)+IF(G87='Run Snapshot'!G87,0,1)+IF(H87='Run Snapshot'!H87,0,1)+IF(I87='Run Snapshot'!I87,0,1)+IF(J87='Run Snapshot'!J87,0,1)+IF(K87='Run Snapshot'!K87,0,1)+IF(L87='Run Snapshot'!L87,0,1)+IF(M87='Run Snapshot'!M87,0,1)+IF(N87='Run Snapshot'!N87,0,1)+IF(O87='Run Snapshot'!O87,0,1)+IF(P87='Run Snapshot'!P87,0,1)+IF(Q87='Run Snapshot'!Q87,0,1)+IF(R87='Run Snapshot'!R87,0,1)</x:f>
        <x:v>0</x:v>
      </x:c>
      <x:c r="X87" s="15" t="n">
        <x:f>IF(A87="",0,COUNTIF($A$8:$A$289,A87)-1)</x:f>
        <x:v>0</x:v>
      </x:c>
      <x:c r="Y87" s="14" t="n">
        <x:f>IF(A87="",1,IF(OR(D87&lt;=0,N87&lt;0,N87&gt;1,M87&lt;=as_of_date),1,0))</x:f>
        <x:v>0</x:v>
      </x:c>
      <x:c r="Z87" s="170" t="n">
        <x:f>IF(A87="","",VLOOKUP(E87,SP_WARF_Factors,2,FALSE))</x:f>
        <x:v>2859.5</x:v>
      </x:c>
      <x:c r="AA87" s="172" t="n">
        <x:f>IF(A87="","",D87*Z87)</x:f>
        <x:v>3379929000</x:v>
      </x:c>
      <x:c r="AB87" s="170" t="n">
        <x:f>IF(A87="","",D87*ABS(Z87-SPWARF))</x:f>
        <x:v>567503831.2759999</x:v>
      </x:c>
    </x:row>
    <x:row r="88">
      <x:c r="A88" s="8" t="str">
        <x:v>SYN-LN-00081</x:v>
      </x:c>
      <x:c r="B88" s="8" t="str">
        <x:v>SYN-OB-0078</x:v>
      </x:c>
      <x:c r="C88" s="8" t="str">
        <x:v>Willow Corp. 078</x:v>
      </x:c>
      <x:c r="D88" s="9" t="n">
        <x:v>1182000</x:v>
      </x:c>
      <x:c r="E88" s="8" t="str">
        <x:v>B</x:v>
      </x:c>
      <x:c r="F88" s="8" t="str">
        <x:v>IT Services</x:v>
      </x:c>
      <x:c r="G88" s="8" t="str">
        <x:v>United States</x:v>
      </x:c>
      <x:c r="H88" s="8" t="str">
        <x:v>1st Lien</x:v>
      </x:c>
      <x:c r="I88" s="8" t="str">
        <x:v>Floating</x:v>
      </x:c>
      <x:c r="J88" s="8" t="n">
        <x:v>325</x:v>
      </x:c>
      <x:c r="K88" s="10"/>
      <x:c r="L88" s="8" t="n">
        <x:v>0</x:v>
      </x:c>
      <x:c r="M88" s="11" t="n">
        <x:v>48487</x:v>
      </x:c>
      <x:c r="N88" s="10" t="n">
        <x:v>0.485</x:v>
      </x:c>
      <x:c r="O88" s="12" t="n">
        <x:v>101.5</x:v>
      </x:c>
      <x:c r="P88" s="13" t="n">
        <x:v>4</x:v>
      </x:c>
      <x:c r="Q88" s="8" t="str">
        <x:v>USD</x:v>
      </x:c>
      <x:c r="R88" s="8" t="str">
        <x:v>SOFR</x:v>
      </x:c>
      <x:c r="S88" s="18" t="n">
        <x:f>IF(Portfolio_Par&gt;0,D88/Portfolio_Par,"")</x:f>
        <x:v>0.00394</x:v>
      </x:c>
      <x:c r="T88" s="19" t="n">
        <x:f>IF(A88="","",(M88-as_of_date)/365.25)</x:f>
        <x:v>5.746748802190281</x:v>
      </x:c>
      <x:c r="U88" s="20" t="n">
        <x:f>IF(I88="Floating",D88*J88,0)</x:f>
        <x:v>384150000</x:v>
      </x:c>
      <x:c r="V88" s="20" t="n">
        <x:f>IF(A88="","",D88*N88)</x:f>
        <x:v>573270</x:v>
      </x:c>
      <x:c r="W88" s="14" t="n">
        <x:f>IF(A88='Run Snapshot'!A88,0,1)+IF(B88='Run Snapshot'!B88,0,1)+IF(C88='Run Snapshot'!C88,0,1)+IF(D88='Run Snapshot'!D88,0,1)+IF(E88='Run Snapshot'!E88,0,1)+IF(F88='Run Snapshot'!F88,0,1)+IF(G88='Run Snapshot'!G88,0,1)+IF(H88='Run Snapshot'!H88,0,1)+IF(I88='Run Snapshot'!I88,0,1)+IF(J88='Run Snapshot'!J88,0,1)+IF(K88='Run Snapshot'!K88,0,1)+IF(L88='Run Snapshot'!L88,0,1)+IF(M88='Run Snapshot'!M88,0,1)+IF(N88='Run Snapshot'!N88,0,1)+IF(O88='Run Snapshot'!O88,0,1)+IF(P88='Run Snapshot'!P88,0,1)+IF(Q88='Run Snapshot'!Q88,0,1)+IF(R88='Run Snapshot'!R88,0,1)</x:f>
        <x:v>0</x:v>
      </x:c>
      <x:c r="X88" s="15" t="n">
        <x:f>IF(A88="",0,COUNTIF($A$8:$A$289,A88)-1)</x:f>
        <x:v>0</x:v>
      </x:c>
      <x:c r="Y88" s="14" t="n">
        <x:f>IF(A88="",1,IF(OR(D88&lt;=0,N88&lt;0,N88&gt;1,M88&lt;=as_of_date),1,0))</x:f>
        <x:v>0</x:v>
      </x:c>
      <x:c r="Z88" s="170" t="n">
        <x:f>IF(A88="","",VLOOKUP(E88,SP_WARF_Factors,2,FALSE))</x:f>
        <x:v>2859.5</x:v>
      </x:c>
      <x:c r="AA88" s="172" t="n">
        <x:f>IF(A88="","",D88*Z88)</x:f>
        <x:v>3379929000</x:v>
      </x:c>
      <x:c r="AB88" s="170" t="n">
        <x:f>IF(A88="","",D88*ABS(Z88-SPWARF))</x:f>
        <x:v>567503831.2759999</x:v>
      </x:c>
    </x:row>
    <x:row r="89">
      <x:c r="A89" s="8" t="str">
        <x:v>SYN-LN-00082</x:v>
      </x:c>
      <x:c r="B89" s="8" t="str">
        <x:v>SYN-OB-0079</x:v>
      </x:c>
      <x:c r="C89" s="8" t="str">
        <x:v>Windward Group 079</x:v>
      </x:c>
      <x:c r="D89" s="9" t="n">
        <x:v>1182000</x:v>
      </x:c>
      <x:c r="E89" s="8" t="str">
        <x:v>B</x:v>
      </x:c>
      <x:c r="F89" s="8" t="str">
        <x:v>Construction &amp; Engineering</x:v>
      </x:c>
      <x:c r="G89" s="8" t="str">
        <x:v>United States</x:v>
      </x:c>
      <x:c r="H89" s="8" t="str">
        <x:v>1st Lien</x:v>
      </x:c>
      <x:c r="I89" s="8" t="str">
        <x:v>Floating</x:v>
      </x:c>
      <x:c r="J89" s="8" t="n">
        <x:v>380</x:v>
      </x:c>
      <x:c r="K89" s="10"/>
      <x:c r="L89" s="8" t="n">
        <x:v>0</x:v>
      </x:c>
      <x:c r="M89" s="11" t="n">
        <x:v>48546</x:v>
      </x:c>
      <x:c r="N89" s="10" t="n">
        <x:v>0.405</x:v>
      </x:c>
      <x:c r="O89" s="12" t="n">
        <x:v>96.875</x:v>
      </x:c>
      <x:c r="P89" s="13" t="n">
        <x:v>4</x:v>
      </x:c>
      <x:c r="Q89" s="8" t="str">
        <x:v>USD</x:v>
      </x:c>
      <x:c r="R89" s="8" t="str">
        <x:v>SOFR</x:v>
      </x:c>
      <x:c r="S89" s="18" t="n">
        <x:f>IF(Portfolio_Par&gt;0,D89/Portfolio_Par,"")</x:f>
        <x:v>0.00394</x:v>
      </x:c>
      <x:c r="T89" s="19" t="n">
        <x:f>IF(A89="","",(M89-as_of_date)/365.25)</x:f>
        <x:v>5.908281998631074</x:v>
      </x:c>
      <x:c r="U89" s="20" t="n">
        <x:f>IF(I89="Floating",D89*J89,0)</x:f>
        <x:v>449160000</x:v>
      </x:c>
      <x:c r="V89" s="20" t="n">
        <x:f>IF(A89="","",D89*N89)</x:f>
        <x:v>478710.00000000006</x:v>
      </x:c>
      <x:c r="W89" s="14" t="n">
        <x:f>IF(A89='Run Snapshot'!A89,0,1)+IF(B89='Run Snapshot'!B89,0,1)+IF(C89='Run Snapshot'!C89,0,1)+IF(D89='Run Snapshot'!D89,0,1)+IF(E89='Run Snapshot'!E89,0,1)+IF(F89='Run Snapshot'!F89,0,1)+IF(G89='Run Snapshot'!G89,0,1)+IF(H89='Run Snapshot'!H89,0,1)+IF(I89='Run Snapshot'!I89,0,1)+IF(J89='Run Snapshot'!J89,0,1)+IF(K89='Run Snapshot'!K89,0,1)+IF(L89='Run Snapshot'!L89,0,1)+IF(M89='Run Snapshot'!M89,0,1)+IF(N89='Run Snapshot'!N89,0,1)+IF(O89='Run Snapshot'!O89,0,1)+IF(P89='Run Snapshot'!P89,0,1)+IF(Q89='Run Snapshot'!Q89,0,1)+IF(R89='Run Snapshot'!R89,0,1)</x:f>
        <x:v>0</x:v>
      </x:c>
      <x:c r="X89" s="15" t="n">
        <x:f>IF(A89="",0,COUNTIF($A$8:$A$289,A89)-1)</x:f>
        <x:v>0</x:v>
      </x:c>
      <x:c r="Y89" s="14" t="n">
        <x:f>IF(A89="",1,IF(OR(D89&lt;=0,N89&lt;0,N89&gt;1,M89&lt;=as_of_date),1,0))</x:f>
        <x:v>0</x:v>
      </x:c>
      <x:c r="Z89" s="170" t="n">
        <x:f>IF(A89="","",VLOOKUP(E89,SP_WARF_Factors,2,FALSE))</x:f>
        <x:v>2859.5</x:v>
      </x:c>
      <x:c r="AA89" s="172" t="n">
        <x:f>IF(A89="","",D89*Z89)</x:f>
        <x:v>3379929000</x:v>
      </x:c>
      <x:c r="AB89" s="170" t="n">
        <x:f>IF(A89="","",D89*ABS(Z89-SPWARF))</x:f>
        <x:v>567503831.2759999</x:v>
      </x:c>
    </x:row>
    <x:row r="90">
      <x:c r="A90" s="8" t="str">
        <x:v>SYN-LN-00083</x:v>
      </x:c>
      <x:c r="B90" s="8" t="str">
        <x:v>SYN-OB-0080</x:v>
      </x:c>
      <x:c r="C90" s="8" t="str">
        <x:v>Woodland LLC 080</x:v>
      </x:c>
      <x:c r="D90" s="9" t="n">
        <x:v>1182000</x:v>
      </x:c>
      <x:c r="E90" s="8" t="str">
        <x:v>B-</x:v>
      </x:c>
      <x:c r="F90" s="8" t="str">
        <x:v>Diversified Telecommunication Services</x:v>
      </x:c>
      <x:c r="G90" s="8" t="str">
        <x:v>United States</x:v>
      </x:c>
      <x:c r="H90" s="8" t="str">
        <x:v>1st Lien</x:v>
      </x:c>
      <x:c r="I90" s="8" t="str">
        <x:v>Floating</x:v>
      </x:c>
      <x:c r="J90" s="8" t="n">
        <x:v>315</x:v>
      </x:c>
      <x:c r="K90" s="10"/>
      <x:c r="L90" s="8" t="n">
        <x:v>0</x:v>
      </x:c>
      <x:c r="M90" s="11" t="n">
        <x:v>47966</x:v>
      </x:c>
      <x:c r="N90" s="10" t="n">
        <x:v>0.255</x:v>
      </x:c>
      <x:c r="O90" s="12" t="n">
        <x:v>95.75</x:v>
      </x:c>
      <x:c r="P90" s="13" t="n">
        <x:v>4</x:v>
      </x:c>
      <x:c r="Q90" s="8" t="str">
        <x:v>USD</x:v>
      </x:c>
      <x:c r="R90" s="8" t="str">
        <x:v>SOFR</x:v>
      </x:c>
      <x:c r="S90" s="18" t="n">
        <x:f>IF(Portfolio_Par&gt;0,D90/Portfolio_Par,"")</x:f>
        <x:v>0.00394</x:v>
      </x:c>
      <x:c r="T90" s="19" t="n">
        <x:f>IF(A90="","",(M90-as_of_date)/365.25)</x:f>
        <x:v>4.3203285420944555</x:v>
      </x:c>
      <x:c r="U90" s="20" t="n">
        <x:f>IF(I90="Floating",D90*J90,0)</x:f>
        <x:v>372330000</x:v>
      </x:c>
      <x:c r="V90" s="20" t="n">
        <x:f>IF(A90="","",D90*N90)</x:f>
        <x:v>301410</x:v>
      </x:c>
      <x:c r="W90" s="14" t="n">
        <x:f>IF(A90='Run Snapshot'!A90,0,1)+IF(B90='Run Snapshot'!B90,0,1)+IF(C90='Run Snapshot'!C90,0,1)+IF(D90='Run Snapshot'!D90,0,1)+IF(E90='Run Snapshot'!E90,0,1)+IF(F90='Run Snapshot'!F90,0,1)+IF(G90='Run Snapshot'!G90,0,1)+IF(H90='Run Snapshot'!H90,0,1)+IF(I90='Run Snapshot'!I90,0,1)+IF(J90='Run Snapshot'!J90,0,1)+IF(K90='Run Snapshot'!K90,0,1)+IF(L90='Run Snapshot'!L90,0,1)+IF(M90='Run Snapshot'!M90,0,1)+IF(N90='Run Snapshot'!N90,0,1)+IF(O90='Run Snapshot'!O90,0,1)+IF(P90='Run Snapshot'!P90,0,1)+IF(Q90='Run Snapshot'!Q90,0,1)+IF(R90='Run Snapshot'!R90,0,1)</x:f>
        <x:v>0</x:v>
      </x:c>
      <x:c r="X90" s="15" t="n">
        <x:f>IF(A90="",0,COUNTIF($A$8:$A$289,A90)-1)</x:f>
        <x:v>0</x:v>
      </x:c>
      <x:c r="Y90" s="14" t="n">
        <x:f>IF(A90="",1,IF(OR(D90&lt;=0,N90&lt;0,N90&gt;1,M90&lt;=as_of_date),1,0))</x:f>
        <x:v>0</x:v>
      </x:c>
      <x:c r="Z90" s="170" t="n">
        <x:f>IF(A90="","",VLOOKUP(E90,SP_WARF_Factors,2,FALSE))</x:f>
        <x:v>3610.11</x:v>
      </x:c>
      <x:c r="AA90" s="172" t="n">
        <x:f>IF(A90="","",D90*Z90)</x:f>
        <x:v>4267150020</x:v>
      </x:c>
      <x:c r="AB90" s="170" t="n">
        <x:f>IF(A90="","",D90*ABS(Z90-SPWARF))</x:f>
        <x:v>1454724851.276</x:v>
      </x:c>
    </x:row>
    <x:row r="91">
      <x:c r="A91" s="8" t="str">
        <x:v>SYN-LN-00084</x:v>
      </x:c>
      <x:c r="B91" s="8" t="str">
        <x:v>SYN-OB-0081</x:v>
      </x:c>
      <x:c r="C91" s="8" t="str">
        <x:v>Alder Holdings 081</x:v>
      </x:c>
      <x:c r="D91" s="9" t="n">
        <x:v>1182000</x:v>
      </x:c>
      <x:c r="E91" s="8" t="str">
        <x:v>BB</x:v>
      </x:c>
      <x:c r="F91" s="8" t="str">
        <x:v>Commercial Services &amp; Supplies</x:v>
      </x:c>
      <x:c r="G91" s="8" t="str">
        <x:v>United States</x:v>
      </x:c>
      <x:c r="H91" s="8" t="str">
        <x:v>1st Lien</x:v>
      </x:c>
      <x:c r="I91" s="8" t="str">
        <x:v>Floating</x:v>
      </x:c>
      <x:c r="J91" s="8" t="n">
        <x:v>230</x:v>
      </x:c>
      <x:c r="K91" s="10"/>
      <x:c r="L91" s="8" t="n">
        <x:v>0</x:v>
      </x:c>
      <x:c r="M91" s="11" t="n">
        <x:v>48149</x:v>
      </x:c>
      <x:c r="N91" s="10" t="n">
        <x:v>0.37</x:v>
      </x:c>
      <x:c r="O91" s="12" t="n">
        <x:v>98.75</x:v>
      </x:c>
      <x:c r="P91" s="13" t="n">
        <x:v>4</x:v>
      </x:c>
      <x:c r="Q91" s="8" t="str">
        <x:v>USD</x:v>
      </x:c>
      <x:c r="R91" s="8" t="str">
        <x:v>SOFR</x:v>
      </x:c>
      <x:c r="S91" s="18" t="n">
        <x:f>IF(Portfolio_Par&gt;0,D91/Portfolio_Par,"")</x:f>
        <x:v>0.00394</x:v>
      </x:c>
      <x:c r="T91" s="19" t="n">
        <x:f>IF(A91="","",(M91-as_of_date)/365.25)</x:f>
        <x:v>4.82135523613963</x:v>
      </x:c>
      <x:c r="U91" s="20" t="n">
        <x:f>IF(I91="Floating",D91*J91,0)</x:f>
        <x:v>271860000</x:v>
      </x:c>
      <x:c r="V91" s="20" t="n">
        <x:f>IF(A91="","",D91*N91)</x:f>
        <x:v>437340</x:v>
      </x:c>
      <x:c r="W91" s="14" t="n">
        <x:f>IF(A91='Run Snapshot'!A91,0,1)+IF(B91='Run Snapshot'!B91,0,1)+IF(C91='Run Snapshot'!C91,0,1)+IF(D91='Run Snapshot'!D91,0,1)+IF(E91='Run Snapshot'!E91,0,1)+IF(F91='Run Snapshot'!F91,0,1)+IF(G91='Run Snapshot'!G91,0,1)+IF(H91='Run Snapshot'!H91,0,1)+IF(I91='Run Snapshot'!I91,0,1)+IF(J91='Run Snapshot'!J91,0,1)+IF(K91='Run Snapshot'!K91,0,1)+IF(L91='Run Snapshot'!L91,0,1)+IF(M91='Run Snapshot'!M91,0,1)+IF(N91='Run Snapshot'!N91,0,1)+IF(O91='Run Snapshot'!O91,0,1)+IF(P91='Run Snapshot'!P91,0,1)+IF(Q91='Run Snapshot'!Q91,0,1)+IF(R91='Run Snapshot'!R91,0,1)</x:f>
        <x:v>0</x:v>
      </x:c>
      <x:c r="X91" s="15" t="n">
        <x:f>IF(A91="",0,COUNTIF($A$8:$A$289,A91)-1)</x:f>
        <x:v>0</x:v>
      </x:c>
      <x:c r="Y91" s="14" t="n">
        <x:f>IF(A91="",1,IF(OR(D91&lt;=0,N91&lt;0,N91&gt;1,M91&lt;=as_of_date),1,0))</x:f>
        <x:v>0</x:v>
      </x:c>
      <x:c r="Z91" s="170" t="n">
        <x:f>IF(A91="","",VLOOKUP(E91,SP_WARF_Factors,2,FALSE))</x:f>
        <x:v>1233.63</x:v>
      </x:c>
      <x:c r="AA91" s="172" t="n">
        <x:f>IF(A91="","",D91*Z91)</x:f>
        <x:v>1458150660.0000002</x:v>
      </x:c>
      <x:c r="AB91" s="170" t="n">
        <x:f>IF(A91="","",D91*ABS(Z91-SPWARF))</x:f>
        <x:v>1354274508.724</x:v>
      </x:c>
    </x:row>
    <x:row r="92">
      <x:c r="A92" s="8" t="str">
        <x:v>SYN-LN-00085</x:v>
      </x:c>
      <x:c r="B92" s="8" t="str">
        <x:v>SYN-OB-0082</x:v>
      </x:c>
      <x:c r="C92" s="8" t="str">
        <x:v>Amber Inc. 082</x:v>
      </x:c>
      <x:c r="D92" s="9" t="n">
        <x:v>630000</x:v>
      </x:c>
      <x:c r="E92" s="8" t="str">
        <x:v>BBB-</x:v>
      </x:c>
      <x:c r="F92" s="8" t="str">
        <x:v>Media</x:v>
      </x:c>
      <x:c r="G92" s="8" t="str">
        <x:v>Netherlands</x:v>
      </x:c>
      <x:c r="H92" s="8" t="str">
        <x:v>1st Lien</x:v>
      </x:c>
      <x:c r="I92" s="8" t="str">
        <x:v>Floating</x:v>
      </x:c>
      <x:c r="J92" s="8" t="n">
        <x:v>245</x:v>
      </x:c>
      <x:c r="K92" s="10"/>
      <x:c r="L92" s="8" t="n">
        <x:v>50</x:v>
      </x:c>
      <x:c r="M92" s="11" t="n">
        <x:v>48850</x:v>
      </x:c>
      <x:c r="N92" s="10" t="n">
        <x:v>0.5</x:v>
      </x:c>
      <x:c r="O92" s="12" t="n">
        <x:v>97.125</x:v>
      </x:c>
      <x:c r="P92" s="13" t="n">
        <x:v>4</x:v>
      </x:c>
      <x:c r="Q92" s="8" t="str">
        <x:v>USD</x:v>
      </x:c>
      <x:c r="R92" s="8" t="str">
        <x:v>SOFR</x:v>
      </x:c>
      <x:c r="S92" s="18" t="n">
        <x:f>IF(Portfolio_Par&gt;0,D92/Portfolio_Par,"")</x:f>
        <x:v>0.0021</x:v>
      </x:c>
      <x:c r="T92" s="19" t="n">
        <x:f>IF(A92="","",(M92-as_of_date)/365.25)</x:f>
        <x:v>6.740588637919234</x:v>
      </x:c>
      <x:c r="U92" s="20" t="n">
        <x:f>IF(I92="Floating",D92*J92,0)</x:f>
        <x:v>154350000</x:v>
      </x:c>
      <x:c r="V92" s="20" t="n">
        <x:f>IF(A92="","",D92*N92)</x:f>
        <x:v>315000</x:v>
      </x:c>
      <x:c r="W92" s="14" t="n">
        <x:f>IF(A92='Run Snapshot'!A92,0,1)+IF(B92='Run Snapshot'!B92,0,1)+IF(C92='Run Snapshot'!C92,0,1)+IF(D92='Run Snapshot'!D92,0,1)+IF(E92='Run Snapshot'!E92,0,1)+IF(F92='Run Snapshot'!F92,0,1)+IF(G92='Run Snapshot'!G92,0,1)+IF(H92='Run Snapshot'!H92,0,1)+IF(I92='Run Snapshot'!I92,0,1)+IF(J92='Run Snapshot'!J92,0,1)+IF(K92='Run Snapshot'!K92,0,1)+IF(L92='Run Snapshot'!L92,0,1)+IF(M92='Run Snapshot'!M92,0,1)+IF(N92='Run Snapshot'!N92,0,1)+IF(O92='Run Snapshot'!O92,0,1)+IF(P92='Run Snapshot'!P92,0,1)+IF(Q92='Run Snapshot'!Q92,0,1)+IF(R92='Run Snapshot'!R92,0,1)</x:f>
        <x:v>0</x:v>
      </x:c>
      <x:c r="X92" s="15" t="n">
        <x:f>IF(A92="",0,COUNTIF($A$8:$A$289,A92)-1)</x:f>
        <x:v>0</x:v>
      </x:c>
      <x:c r="Y92" s="14" t="n">
        <x:f>IF(A92="",1,IF(OR(D92&lt;=0,N92&lt;0,N92&gt;1,M92&lt;=as_of_date),1,0))</x:f>
        <x:v>0</x:v>
      </x:c>
      <x:c r="Z92" s="170" t="n">
        <x:f>IF(A92="","",VLOOKUP(E92,SP_WARF_Factors,2,FALSE))</x:f>
        <x:v>540.42</x:v>
      </x:c>
      <x:c r="AA92" s="172" t="n">
        <x:f>IF(A92="","",D92*Z92)</x:f>
        <x:v>340464600</x:v>
      </x:c>
      <x:c r="AB92" s="170" t="n">
        <x:f>IF(A92="","",D92*ABS(Z92-SPWARF))</x:f>
        <x:v>1158543738.66</x:v>
      </x:c>
    </x:row>
    <x:row r="93">
      <x:c r="A93" s="8" t="str">
        <x:v>SYN-LN-00086</x:v>
      </x:c>
      <x:c r="B93" s="8" t="str">
        <x:v>SYN-OB-0083</x:v>
      </x:c>
      <x:c r="C93" s="8" t="str">
        <x:v>Arbor Corp. 083</x:v>
      </x:c>
      <x:c r="D93" s="9" t="n">
        <x:v>1182000</x:v>
      </x:c>
      <x:c r="E93" s="8" t="str">
        <x:v>BB+</x:v>
      </x:c>
      <x:c r="F93" s="8" t="str">
        <x:v>Specialty Retail</x:v>
      </x:c>
      <x:c r="G93" s="8" t="str">
        <x:v>United States</x:v>
      </x:c>
      <x:c r="H93" s="8" t="str">
        <x:v>1st Lien</x:v>
      </x:c>
      <x:c r="I93" s="8" t="str">
        <x:v>Floating</x:v>
      </x:c>
      <x:c r="J93" s="8" t="n">
        <x:v>240</x:v>
      </x:c>
      <x:c r="K93" s="10"/>
      <x:c r="L93" s="8" t="n">
        <x:v>0</x:v>
      </x:c>
      <x:c r="M93" s="11" t="n">
        <x:v>48136</x:v>
      </x:c>
      <x:c r="N93" s="10" t="n">
        <x:v>0.415</x:v>
      </x:c>
      <x:c r="O93" s="12" t="n">
        <x:v>101.5</x:v>
      </x:c>
      <x:c r="P93" s="13" t="n">
        <x:v>4</x:v>
      </x:c>
      <x:c r="Q93" s="8" t="str">
        <x:v>USD</x:v>
      </x:c>
      <x:c r="R93" s="8" t="str">
        <x:v>SOFR</x:v>
      </x:c>
      <x:c r="S93" s="18" t="n">
        <x:f>IF(Portfolio_Par&gt;0,D93/Portfolio_Par,"")</x:f>
        <x:v>0.00394</x:v>
      </x:c>
      <x:c r="T93" s="19" t="n">
        <x:f>IF(A93="","",(M93-as_of_date)/365.25)</x:f>
        <x:v>4.785763175906913</x:v>
      </x:c>
      <x:c r="U93" s="20" t="n">
        <x:f>IF(I93="Floating",D93*J93,0)</x:f>
        <x:v>283680000</x:v>
      </x:c>
      <x:c r="V93" s="20" t="n">
        <x:f>IF(A93="","",D93*N93)</x:f>
        <x:v>490530</x:v>
      </x:c>
      <x:c r="W93" s="14" t="n">
        <x:f>IF(A93='Run Snapshot'!A93,0,1)+IF(B93='Run Snapshot'!B93,0,1)+IF(C93='Run Snapshot'!C93,0,1)+IF(D93='Run Snapshot'!D93,0,1)+IF(E93='Run Snapshot'!E93,0,1)+IF(F93='Run Snapshot'!F93,0,1)+IF(G93='Run Snapshot'!G93,0,1)+IF(H93='Run Snapshot'!H93,0,1)+IF(I93='Run Snapshot'!I93,0,1)+IF(J93='Run Snapshot'!J93,0,1)+IF(K93='Run Snapshot'!K93,0,1)+IF(L93='Run Snapshot'!L93,0,1)+IF(M93='Run Snapshot'!M93,0,1)+IF(N93='Run Snapshot'!N93,0,1)+IF(O93='Run Snapshot'!O93,0,1)+IF(P93='Run Snapshot'!P93,0,1)+IF(Q93='Run Snapshot'!Q93,0,1)+IF(R93='Run Snapshot'!R93,0,1)</x:f>
        <x:v>0</x:v>
      </x:c>
      <x:c r="X93" s="15" t="n">
        <x:f>IF(A93="",0,COUNTIF($A$8:$A$289,A93)-1)</x:f>
        <x:v>0</x:v>
      </x:c>
      <x:c r="Y93" s="14" t="n">
        <x:f>IF(A93="",1,IF(OR(D93&lt;=0,N93&lt;0,N93&gt;1,M93&lt;=as_of_date),1,0))</x:f>
        <x:v>0</x:v>
      </x:c>
      <x:c r="Z93" s="170" t="n">
        <x:f>IF(A93="","",VLOOKUP(E93,SP_WARF_Factors,2,FALSE))</x:f>
        <x:v>784.92</x:v>
      </x:c>
      <x:c r="AA93" s="172" t="n">
        <x:f>IF(A93="","",D93*Z93)</x:f>
        <x:v>927775440</x:v>
      </x:c>
      <x:c r="AB93" s="170" t="n">
        <x:f>IF(A93="","",D93*ABS(Z93-SPWARF))</x:f>
        <x:v>1884649728.724</x:v>
      </x:c>
    </x:row>
    <x:row r="94">
      <x:c r="A94" s="8" t="str">
        <x:v>SYN-LN-00087</x:v>
      </x:c>
      <x:c r="B94" s="8" t="str">
        <x:v>SYN-OB-0084</x:v>
      </x:c>
      <x:c r="C94" s="8" t="str">
        <x:v>Atlas Group 084</x:v>
      </x:c>
      <x:c r="D94" s="9" t="n">
        <x:v>630000</x:v>
      </x:c>
      <x:c r="E94" s="8" t="str">
        <x:v>BB+</x:v>
      </x:c>
      <x:c r="F94" s="8" t="str">
        <x:v>Leisure Products</x:v>
      </x:c>
      <x:c r="G94" s="8" t="str">
        <x:v>United Kingdom</x:v>
      </x:c>
      <x:c r="H94" s="8" t="str">
        <x:v>1st Lien</x:v>
      </x:c>
      <x:c r="I94" s="8" t="str">
        <x:v>Floating</x:v>
      </x:c>
      <x:c r="J94" s="8" t="n">
        <x:v>190</x:v>
      </x:c>
      <x:c r="K94" s="10"/>
      <x:c r="L94" s="8" t="n">
        <x:v>0</x:v>
      </x:c>
      <x:c r="M94" s="11" t="n">
        <x:v>48576</x:v>
      </x:c>
      <x:c r="N94" s="10" t="n">
        <x:v>0.305</x:v>
      </x:c>
      <x:c r="O94" s="12" t="n">
        <x:v>99.875</x:v>
      </x:c>
      <x:c r="P94" s="13" t="n">
        <x:v>4</x:v>
      </x:c>
      <x:c r="Q94" s="8" t="str">
        <x:v>USD</x:v>
      </x:c>
      <x:c r="R94" s="8" t="str">
        <x:v>SOFR</x:v>
      </x:c>
      <x:c r="S94" s="18" t="n">
        <x:f>IF(Portfolio_Par&gt;0,D94/Portfolio_Par,"")</x:f>
        <x:v>0.0021</x:v>
      </x:c>
      <x:c r="T94" s="19" t="n">
        <x:f>IF(A94="","",(M94-as_of_date)/365.25)</x:f>
        <x:v>5.990417522245037</x:v>
      </x:c>
      <x:c r="U94" s="20" t="n">
        <x:f>IF(I94="Floating",D94*J94,0)</x:f>
        <x:v>119700000</x:v>
      </x:c>
      <x:c r="V94" s="20" t="n">
        <x:f>IF(A94="","",D94*N94)</x:f>
        <x:v>192150</x:v>
      </x:c>
      <x:c r="W94" s="14" t="n">
        <x:f>IF(A94='Run Snapshot'!A94,0,1)+IF(B94='Run Snapshot'!B94,0,1)+IF(C94='Run Snapshot'!C94,0,1)+IF(D94='Run Snapshot'!D94,0,1)+IF(E94='Run Snapshot'!E94,0,1)+IF(F94='Run Snapshot'!F94,0,1)+IF(G94='Run Snapshot'!G94,0,1)+IF(H94='Run Snapshot'!H94,0,1)+IF(I94='Run Snapshot'!I94,0,1)+IF(J94='Run Snapshot'!J94,0,1)+IF(K94='Run Snapshot'!K94,0,1)+IF(L94='Run Snapshot'!L94,0,1)+IF(M94='Run Snapshot'!M94,0,1)+IF(N94='Run Snapshot'!N94,0,1)+IF(O94='Run Snapshot'!O94,0,1)+IF(P94='Run Snapshot'!P94,0,1)+IF(Q94='Run Snapshot'!Q94,0,1)+IF(R94='Run Snapshot'!R94,0,1)</x:f>
        <x:v>0</x:v>
      </x:c>
      <x:c r="X94" s="15" t="n">
        <x:f>IF(A94="",0,COUNTIF($A$8:$A$289,A94)-1)</x:f>
        <x:v>0</x:v>
      </x:c>
      <x:c r="Y94" s="14" t="n">
        <x:f>IF(A94="",1,IF(OR(D94&lt;=0,N94&lt;0,N94&gt;1,M94&lt;=as_of_date),1,0))</x:f>
        <x:v>0</x:v>
      </x:c>
      <x:c r="Z94" s="170" t="n">
        <x:f>IF(A94="","",VLOOKUP(E94,SP_WARF_Factors,2,FALSE))</x:f>
        <x:v>784.92</x:v>
      </x:c>
      <x:c r="AA94" s="172" t="n">
        <x:f>IF(A94="","",D94*Z94)</x:f>
        <x:v>494499600</x:v>
      </x:c>
      <x:c r="AB94" s="170" t="n">
        <x:f>IF(A94="","",D94*ABS(Z94-SPWARF))</x:f>
        <x:v>1004508738.66</x:v>
      </x:c>
    </x:row>
    <x:row r="95">
      <x:c r="A95" s="8" t="str">
        <x:v>SYN-LN-00088</x:v>
      </x:c>
      <x:c r="B95" s="8" t="str">
        <x:v>SYN-OB-0085</x:v>
      </x:c>
      <x:c r="C95" s="8" t="str">
        <x:v>Beacon LLC 085</x:v>
      </x:c>
      <x:c r="D95" s="9" t="n">
        <x:v>1182000</x:v>
      </x:c>
      <x:c r="E95" s="8" t="str">
        <x:v>B</x:v>
      </x:c>
      <x:c r="F95" s="8" t="str">
        <x:v>Building Products</x:v>
      </x:c>
      <x:c r="G95" s="8" t="str">
        <x:v>United States</x:v>
      </x:c>
      <x:c r="H95" s="8" t="str">
        <x:v>1st Lien</x:v>
      </x:c>
      <x:c r="I95" s="8" t="str">
        <x:v>Floating</x:v>
      </x:c>
      <x:c r="J95" s="8" t="n">
        <x:v>200</x:v>
      </x:c>
      <x:c r="K95" s="10"/>
      <x:c r="L95" s="8" t="n">
        <x:v>0</x:v>
      </x:c>
      <x:c r="M95" s="11" t="n">
        <x:v>48029</x:v>
      </x:c>
      <x:c r="N95" s="10" t="n">
        <x:v>0.47</x:v>
      </x:c>
      <x:c r="O95" s="12" t="n">
        <x:v>98.625</x:v>
      </x:c>
      <x:c r="P95" s="13" t="n">
        <x:v>4</x:v>
      </x:c>
      <x:c r="Q95" s="8" t="str">
        <x:v>USD</x:v>
      </x:c>
      <x:c r="R95" s="8" t="str">
        <x:v>SOFR</x:v>
      </x:c>
      <x:c r="S95" s="18" t="n">
        <x:f>IF(Portfolio_Par&gt;0,D95/Portfolio_Par,"")</x:f>
        <x:v>0.00394</x:v>
      </x:c>
      <x:c r="T95" s="19" t="n">
        <x:f>IF(A95="","",(M95-as_of_date)/365.25)</x:f>
        <x:v>4.492813141683778</x:v>
      </x:c>
      <x:c r="U95" s="20" t="n">
        <x:f>IF(I95="Floating",D95*J95,0)</x:f>
        <x:v>236400000</x:v>
      </x:c>
      <x:c r="V95" s="20" t="n">
        <x:f>IF(A95="","",D95*N95)</x:f>
        <x:v>555540</x:v>
      </x:c>
      <x:c r="W95" s="14" t="n">
        <x:f>IF(A95='Run Snapshot'!A95,0,1)+IF(B95='Run Snapshot'!B95,0,1)+IF(C95='Run Snapshot'!C95,0,1)+IF(D95='Run Snapshot'!D95,0,1)+IF(E95='Run Snapshot'!E95,0,1)+IF(F95='Run Snapshot'!F95,0,1)+IF(G95='Run Snapshot'!G95,0,1)+IF(H95='Run Snapshot'!H95,0,1)+IF(I95='Run Snapshot'!I95,0,1)+IF(J95='Run Snapshot'!J95,0,1)+IF(K95='Run Snapshot'!K95,0,1)+IF(L95='Run Snapshot'!L95,0,1)+IF(M95='Run Snapshot'!M95,0,1)+IF(N95='Run Snapshot'!N95,0,1)+IF(O95='Run Snapshot'!O95,0,1)+IF(P95='Run Snapshot'!P95,0,1)+IF(Q95='Run Snapshot'!Q95,0,1)+IF(R95='Run Snapshot'!R95,0,1)</x:f>
        <x:v>0</x:v>
      </x:c>
      <x:c r="X95" s="15" t="n">
        <x:f>IF(A95="",0,COUNTIF($A$8:$A$289,A95)-1)</x:f>
        <x:v>0</x:v>
      </x:c>
      <x:c r="Y95" s="14" t="n">
        <x:f>IF(A95="",1,IF(OR(D95&lt;=0,N95&lt;0,N95&gt;1,M95&lt;=as_of_date),1,0))</x:f>
        <x:v>0</x:v>
      </x:c>
      <x:c r="Z95" s="170" t="n">
        <x:f>IF(A95="","",VLOOKUP(E95,SP_WARF_Factors,2,FALSE))</x:f>
        <x:v>2859.5</x:v>
      </x:c>
      <x:c r="AA95" s="172" t="n">
        <x:f>IF(A95="","",D95*Z95)</x:f>
        <x:v>3379929000</x:v>
      </x:c>
      <x:c r="AB95" s="170" t="n">
        <x:f>IF(A95="","",D95*ABS(Z95-SPWARF))</x:f>
        <x:v>567503831.2759999</x:v>
      </x:c>
    </x:row>
    <x:row r="96">
      <x:c r="A96" s="8" t="str">
        <x:v>SYN-LN-00089</x:v>
      </x:c>
      <x:c r="B96" s="8" t="str">
        <x:v>SYN-OB-0086</x:v>
      </x:c>
      <x:c r="C96" s="8" t="str">
        <x:v>Bluewater Holdings 086</x:v>
      </x:c>
      <x:c r="D96" s="9" t="n">
        <x:v>1182000</x:v>
      </x:c>
      <x:c r="E96" s="8" t="str">
        <x:v>BB</x:v>
      </x:c>
      <x:c r="F96" s="8" t="str">
        <x:v>Diversified Telecommunication Services</x:v>
      </x:c>
      <x:c r="G96" s="8" t="str">
        <x:v>United States</x:v>
      </x:c>
      <x:c r="H96" s="8" t="str">
        <x:v>1st Lien</x:v>
      </x:c>
      <x:c r="I96" s="8" t="str">
        <x:v>Floating</x:v>
      </x:c>
      <x:c r="J96" s="8" t="n">
        <x:v>115</x:v>
      </x:c>
      <x:c r="K96" s="10"/>
      <x:c r="L96" s="8" t="n">
        <x:v>0</x:v>
      </x:c>
      <x:c r="M96" s="11" t="n">
        <x:v>48393</x:v>
      </x:c>
      <x:c r="N96" s="10" t="n">
        <x:v>0.5</x:v>
      </x:c>
      <x:c r="O96" s="12" t="n">
        <x:v>101.5</x:v>
      </x:c>
      <x:c r="P96" s="13" t="n">
        <x:v>4</x:v>
      </x:c>
      <x:c r="Q96" s="8" t="str">
        <x:v>USD</x:v>
      </x:c>
      <x:c r="R96" s="8" t="str">
        <x:v>SOFR</x:v>
      </x:c>
      <x:c r="S96" s="18" t="n">
        <x:f>IF(Portfolio_Par&gt;0,D96/Portfolio_Par,"")</x:f>
        <x:v>0.00394</x:v>
      </x:c>
      <x:c r="T96" s="19" t="n">
        <x:f>IF(A96="","",(M96-as_of_date)/365.25)</x:f>
        <x:v>5.489390828199863</x:v>
      </x:c>
      <x:c r="U96" s="20" t="n">
        <x:f>IF(I96="Floating",D96*J96,0)</x:f>
        <x:v>135930000</x:v>
      </x:c>
      <x:c r="V96" s="20" t="n">
        <x:f>IF(A96="","",D96*N96)</x:f>
        <x:v>591000</x:v>
      </x:c>
      <x:c r="W96" s="14" t="n">
        <x:f>IF(A96='Run Snapshot'!A96,0,1)+IF(B96='Run Snapshot'!B96,0,1)+IF(C96='Run Snapshot'!C96,0,1)+IF(D96='Run Snapshot'!D96,0,1)+IF(E96='Run Snapshot'!E96,0,1)+IF(F96='Run Snapshot'!F96,0,1)+IF(G96='Run Snapshot'!G96,0,1)+IF(H96='Run Snapshot'!H96,0,1)+IF(I96='Run Snapshot'!I96,0,1)+IF(J96='Run Snapshot'!J96,0,1)+IF(K96='Run Snapshot'!K96,0,1)+IF(L96='Run Snapshot'!L96,0,1)+IF(M96='Run Snapshot'!M96,0,1)+IF(N96='Run Snapshot'!N96,0,1)+IF(O96='Run Snapshot'!O96,0,1)+IF(P96='Run Snapshot'!P96,0,1)+IF(Q96='Run Snapshot'!Q96,0,1)+IF(R96='Run Snapshot'!R96,0,1)</x:f>
        <x:v>0</x:v>
      </x:c>
      <x:c r="X96" s="15" t="n">
        <x:f>IF(A96="",0,COUNTIF($A$8:$A$289,A96)-1)</x:f>
        <x:v>0</x:v>
      </x:c>
      <x:c r="Y96" s="14" t="n">
        <x:f>IF(A96="",1,IF(OR(D96&lt;=0,N96&lt;0,N96&gt;1,M96&lt;=as_of_date),1,0))</x:f>
        <x:v>0</x:v>
      </x:c>
      <x:c r="Z96" s="170" t="n">
        <x:f>IF(A96="","",VLOOKUP(E96,SP_WARF_Factors,2,FALSE))</x:f>
        <x:v>1233.63</x:v>
      </x:c>
      <x:c r="AA96" s="172" t="n">
        <x:f>IF(A96="","",D96*Z96)</x:f>
        <x:v>1458150660.0000002</x:v>
      </x:c>
      <x:c r="AB96" s="170" t="n">
        <x:f>IF(A96="","",D96*ABS(Z96-SPWARF))</x:f>
        <x:v>1354274508.724</x:v>
      </x:c>
    </x:row>
    <x:row r="97">
      <x:c r="A97" s="8" t="str">
        <x:v>SYN-LN-00090</x:v>
      </x:c>
      <x:c r="B97" s="8" t="str">
        <x:v>SYN-OB-0087</x:v>
      </x:c>
      <x:c r="C97" s="8" t="str">
        <x:v>Bracken Inc. 087</x:v>
      </x:c>
      <x:c r="D97" s="9" t="n">
        <x:v>1182000</x:v>
      </x:c>
      <x:c r="E97" s="8" t="str">
        <x:v>B+</x:v>
      </x:c>
      <x:c r="F97" s="8" t="str">
        <x:v>Media</x:v>
      </x:c>
      <x:c r="G97" s="8" t="str">
        <x:v>United States</x:v>
      </x:c>
      <x:c r="H97" s="8" t="str">
        <x:v>1st Lien</x:v>
      </x:c>
      <x:c r="I97" s="8" t="str">
        <x:v>Floating</x:v>
      </x:c>
      <x:c r="J97" s="8" t="n">
        <x:v>270</x:v>
      </x:c>
      <x:c r="K97" s="10"/>
      <x:c r="L97" s="8" t="n">
        <x:v>0</x:v>
      </x:c>
      <x:c r="M97" s="11" t="n">
        <x:v>47741</x:v>
      </x:c>
      <x:c r="N97" s="10" t="n">
        <x:v>0.595</x:v>
      </x:c>
      <x:c r="O97" s="12" t="n">
        <x:v>99.625</x:v>
      </x:c>
      <x:c r="P97" s="13" t="n">
        <x:v>4</x:v>
      </x:c>
      <x:c r="Q97" s="8" t="str">
        <x:v>USD</x:v>
      </x:c>
      <x:c r="R97" s="8" t="str">
        <x:v>SOFR</x:v>
      </x:c>
      <x:c r="S97" s="18" t="n">
        <x:f>IF(Portfolio_Par&gt;0,D97/Portfolio_Par,"")</x:f>
        <x:v>0.00394</x:v>
      </x:c>
      <x:c r="T97" s="19" t="n">
        <x:f>IF(A97="","",(M97-as_of_date)/365.25)</x:f>
        <x:v>3.704312114989733</x:v>
      </x:c>
      <x:c r="U97" s="20" t="n">
        <x:f>IF(I97="Floating",D97*J97,0)</x:f>
        <x:v>319140000</x:v>
      </x:c>
      <x:c r="V97" s="20" t="n">
        <x:f>IF(A97="","",D97*N97)</x:f>
        <x:v>703290</x:v>
      </x:c>
      <x:c r="W97" s="14" t="n">
        <x:f>IF(A97='Run Snapshot'!A97,0,1)+IF(B97='Run Snapshot'!B97,0,1)+IF(C97='Run Snapshot'!C97,0,1)+IF(D97='Run Snapshot'!D97,0,1)+IF(E97='Run Snapshot'!E97,0,1)+IF(F97='Run Snapshot'!F97,0,1)+IF(G97='Run Snapshot'!G97,0,1)+IF(H97='Run Snapshot'!H97,0,1)+IF(I97='Run Snapshot'!I97,0,1)+IF(J97='Run Snapshot'!J97,0,1)+IF(K97='Run Snapshot'!K97,0,1)+IF(L97='Run Snapshot'!L97,0,1)+IF(M97='Run Snapshot'!M97,0,1)+IF(N97='Run Snapshot'!N97,0,1)+IF(O97='Run Snapshot'!O97,0,1)+IF(P97='Run Snapshot'!P97,0,1)+IF(Q97='Run Snapshot'!Q97,0,1)+IF(R97='Run Snapshot'!R97,0,1)</x:f>
        <x:v>0</x:v>
      </x:c>
      <x:c r="X97" s="15" t="n">
        <x:f>IF(A97="",0,COUNTIF($A$8:$A$289,A97)-1)</x:f>
        <x:v>0</x:v>
      </x:c>
      <x:c r="Y97" s="14" t="n">
        <x:f>IF(A97="",1,IF(OR(D97&lt;=0,N97&lt;0,N97&gt;1,M97&lt;=as_of_date),1,0))</x:f>
        <x:v>0</x:v>
      </x:c>
      <x:c r="Z97" s="170" t="n">
        <x:f>IF(A97="","",VLOOKUP(E97,SP_WARF_Factors,2,FALSE))</x:f>
        <x:v>1982</x:v>
      </x:c>
      <x:c r="AA97" s="172" t="n">
        <x:f>IF(A97="","",D97*Z97)</x:f>
        <x:v>2342724000</x:v>
      </x:c>
      <x:c r="AB97" s="170" t="n">
        <x:f>IF(A97="","",D97*ABS(Z97-SPWARF))</x:f>
        <x:v>469701168.72400004</x:v>
      </x:c>
    </x:row>
    <x:row r="98">
      <x:c r="A98" s="8" t="str">
        <x:v>SYN-LN-00091</x:v>
      </x:c>
      <x:c r="B98" s="8" t="str">
        <x:v>SYN-OB-0088</x:v>
      </x:c>
      <x:c r="C98" s="8" t="str">
        <x:v>Cedar Corp. 088</x:v>
      </x:c>
      <x:c r="D98" s="9" t="n">
        <x:v>630000</x:v>
      </x:c>
      <x:c r="E98" s="8" t="str">
        <x:v>BBB-</x:v>
      </x:c>
      <x:c r="F98" s="8" t="str">
        <x:v>Electrical Equipment</x:v>
      </x:c>
      <x:c r="G98" s="8" t="str">
        <x:v>United States</x:v>
      </x:c>
      <x:c r="H98" s="8" t="str">
        <x:v>Senior</x:v>
      </x:c>
      <x:c r="I98" s="8" t="str">
        <x:v>Floating</x:v>
      </x:c>
      <x:c r="J98" s="8" t="n">
        <x:v>225</x:v>
      </x:c>
      <x:c r="K98" s="10"/>
      <x:c r="L98" s="8" t="n">
        <x:v>50</x:v>
      </x:c>
      <x:c r="M98" s="11" t="n">
        <x:v>48487</x:v>
      </x:c>
      <x:c r="N98" s="10" t="n">
        <x:v>0.495</x:v>
      </x:c>
      <x:c r="O98" s="12" t="n">
        <x:v>99.625</x:v>
      </x:c>
      <x:c r="P98" s="13" t="n">
        <x:v>4</x:v>
      </x:c>
      <x:c r="Q98" s="8" t="str">
        <x:v>USD</x:v>
      </x:c>
      <x:c r="R98" s="8" t="str">
        <x:v>SOFR</x:v>
      </x:c>
      <x:c r="S98" s="18" t="n">
        <x:f>IF(Portfolio_Par&gt;0,D98/Portfolio_Par,"")</x:f>
        <x:v>0.0021</x:v>
      </x:c>
      <x:c r="T98" s="19" t="n">
        <x:f>IF(A98="","",(M98-as_of_date)/365.25)</x:f>
        <x:v>5.746748802190281</x:v>
      </x:c>
      <x:c r="U98" s="20" t="n">
        <x:f>IF(I98="Floating",D98*J98,0)</x:f>
        <x:v>141750000</x:v>
      </x:c>
      <x:c r="V98" s="20" t="n">
        <x:f>IF(A98="","",D98*N98)</x:f>
        <x:v>311850</x:v>
      </x:c>
      <x:c r="W98" s="14" t="n">
        <x:f>IF(A98='Run Snapshot'!A98,0,1)+IF(B98='Run Snapshot'!B98,0,1)+IF(C98='Run Snapshot'!C98,0,1)+IF(D98='Run Snapshot'!D98,0,1)+IF(E98='Run Snapshot'!E98,0,1)+IF(F98='Run Snapshot'!F98,0,1)+IF(G98='Run Snapshot'!G98,0,1)+IF(H98='Run Snapshot'!H98,0,1)+IF(I98='Run Snapshot'!I98,0,1)+IF(J98='Run Snapshot'!J98,0,1)+IF(K98='Run Snapshot'!K98,0,1)+IF(L98='Run Snapshot'!L98,0,1)+IF(M98='Run Snapshot'!M98,0,1)+IF(N98='Run Snapshot'!N98,0,1)+IF(O98='Run Snapshot'!O98,0,1)+IF(P98='Run Snapshot'!P98,0,1)+IF(Q98='Run Snapshot'!Q98,0,1)+IF(R98='Run Snapshot'!R98,0,1)</x:f>
        <x:v>0</x:v>
      </x:c>
      <x:c r="X98" s="15" t="n">
        <x:f>IF(A98="",0,COUNTIF($A$8:$A$289,A98)-1)</x:f>
        <x:v>0</x:v>
      </x:c>
      <x:c r="Y98" s="14" t="n">
        <x:f>IF(A98="",1,IF(OR(D98&lt;=0,N98&lt;0,N98&gt;1,M98&lt;=as_of_date),1,0))</x:f>
        <x:v>0</x:v>
      </x:c>
      <x:c r="Z98" s="170" t="n">
        <x:f>IF(A98="","",VLOOKUP(E98,SP_WARF_Factors,2,FALSE))</x:f>
        <x:v>540.42</x:v>
      </x:c>
      <x:c r="AA98" s="172" t="n">
        <x:f>IF(A98="","",D98*Z98)</x:f>
        <x:v>340464600</x:v>
      </x:c>
      <x:c r="AB98" s="170" t="n">
        <x:f>IF(A98="","",D98*ABS(Z98-SPWARF))</x:f>
        <x:v>1158543738.66</x:v>
      </x:c>
    </x:row>
    <x:row r="99">
      <x:c r="A99" s="8" t="str">
        <x:v>SYN-LN-00092</x:v>
      </x:c>
      <x:c r="B99" s="8" t="str">
        <x:v>SYN-OB-0089</x:v>
      </x:c>
      <x:c r="C99" s="8" t="str">
        <x:v>Cobalt Group 089</x:v>
      </x:c>
      <x:c r="D99" s="9" t="n">
        <x:v>1182000</x:v>
      </x:c>
      <x:c r="E99" s="8" t="str">
        <x:v>BB</x:v>
      </x:c>
      <x:c r="F99" s="8" t="str">
        <x:v>Commercial Services &amp; Supplies</x:v>
      </x:c>
      <x:c r="G99" s="8" t="str">
        <x:v>United States</x:v>
      </x:c>
      <x:c r="H99" s="8" t="str">
        <x:v>1st Lien</x:v>
      </x:c>
      <x:c r="I99" s="8" t="str">
        <x:v>Floating</x:v>
      </x:c>
      <x:c r="J99" s="8" t="n">
        <x:v>205</x:v>
      </x:c>
      <x:c r="K99" s="10"/>
      <x:c r="L99" s="8" t="n">
        <x:v>0</x:v>
      </x:c>
      <x:c r="M99" s="11" t="n">
        <x:v>48364</x:v>
      </x:c>
      <x:c r="N99" s="10" t="n">
        <x:v>0.31</x:v>
      </x:c>
      <x:c r="O99" s="12" t="n">
        <x:v>98.375</x:v>
      </x:c>
      <x:c r="P99" s="13" t="n">
        <x:v>4</x:v>
      </x:c>
      <x:c r="Q99" s="8" t="str">
        <x:v>USD</x:v>
      </x:c>
      <x:c r="R99" s="8" t="str">
        <x:v>SOFR</x:v>
      </x:c>
      <x:c r="S99" s="18" t="n">
        <x:f>IF(Portfolio_Par&gt;0,D99/Portfolio_Par,"")</x:f>
        <x:v>0.00394</x:v>
      </x:c>
      <x:c r="T99" s="19" t="n">
        <x:f>IF(A99="","",(M99-as_of_date)/365.25)</x:f>
        <x:v>5.409993155373032</x:v>
      </x:c>
      <x:c r="U99" s="20" t="n">
        <x:f>IF(I99="Floating",D99*J99,0)</x:f>
        <x:v>242310000</x:v>
      </x:c>
      <x:c r="V99" s="20" t="n">
        <x:f>IF(A99="","",D99*N99)</x:f>
        <x:v>366420</x:v>
      </x:c>
      <x:c r="W99" s="14" t="n">
        <x:f>IF(A99='Run Snapshot'!A99,0,1)+IF(B99='Run Snapshot'!B99,0,1)+IF(C99='Run Snapshot'!C99,0,1)+IF(D99='Run Snapshot'!D99,0,1)+IF(E99='Run Snapshot'!E99,0,1)+IF(F99='Run Snapshot'!F99,0,1)+IF(G99='Run Snapshot'!G99,0,1)+IF(H99='Run Snapshot'!H99,0,1)+IF(I99='Run Snapshot'!I99,0,1)+IF(J99='Run Snapshot'!J99,0,1)+IF(K99='Run Snapshot'!K99,0,1)+IF(L99='Run Snapshot'!L99,0,1)+IF(M99='Run Snapshot'!M99,0,1)+IF(N99='Run Snapshot'!N99,0,1)+IF(O99='Run Snapshot'!O99,0,1)+IF(P99='Run Snapshot'!P99,0,1)+IF(Q99='Run Snapshot'!Q99,0,1)+IF(R99='Run Snapshot'!R99,0,1)</x:f>
        <x:v>0</x:v>
      </x:c>
      <x:c r="X99" s="15" t="n">
        <x:f>IF(A99="",0,COUNTIF($A$8:$A$289,A99)-1)</x:f>
        <x:v>0</x:v>
      </x:c>
      <x:c r="Y99" s="14" t="n">
        <x:f>IF(A99="",1,IF(OR(D99&lt;=0,N99&lt;0,N99&gt;1,M99&lt;=as_of_date),1,0))</x:f>
        <x:v>0</x:v>
      </x:c>
      <x:c r="Z99" s="170" t="n">
        <x:f>IF(A99="","",VLOOKUP(E99,SP_WARF_Factors,2,FALSE))</x:f>
        <x:v>1233.63</x:v>
      </x:c>
      <x:c r="AA99" s="172" t="n">
        <x:f>IF(A99="","",D99*Z99)</x:f>
        <x:v>1458150660.0000002</x:v>
      </x:c>
      <x:c r="AB99" s="170" t="n">
        <x:f>IF(A99="","",D99*ABS(Z99-SPWARF))</x:f>
        <x:v>1354274508.724</x:v>
      </x:c>
    </x:row>
    <x:row r="100">
      <x:c r="A100" s="8" t="str">
        <x:v>SYN-LN-00093</x:v>
      </x:c>
      <x:c r="B100" s="8" t="str">
        <x:v>SYN-OB-0090</x:v>
      </x:c>
      <x:c r="C100" s="8" t="str">
        <x:v>Copper LLC 090</x:v>
      </x:c>
      <x:c r="D100" s="9" t="n">
        <x:v>1182000</x:v>
      </x:c>
      <x:c r="E100" s="8" t="str">
        <x:v>B</x:v>
      </x:c>
      <x:c r="F100" s="8" t="str">
        <x:v>Auto Components</x:v>
      </x:c>
      <x:c r="G100" s="8" t="str">
        <x:v>United States</x:v>
      </x:c>
      <x:c r="H100" s="8" t="str">
        <x:v>1st Lien</x:v>
      </x:c>
      <x:c r="I100" s="8" t="str">
        <x:v>Floating</x:v>
      </x:c>
      <x:c r="J100" s="8" t="n">
        <x:v>320</x:v>
      </x:c>
      <x:c r="K100" s="10"/>
      <x:c r="L100" s="8" t="n">
        <x:v>0</x:v>
      </x:c>
      <x:c r="M100" s="11" t="n">
        <x:v>48441</x:v>
      </x:c>
      <x:c r="N100" s="10" t="n">
        <x:v>0.2</x:v>
      </x:c>
      <x:c r="O100" s="12" t="n">
        <x:v>101.5</x:v>
      </x:c>
      <x:c r="P100" s="13" t="n">
        <x:v>4</x:v>
      </x:c>
      <x:c r="Q100" s="8" t="str">
        <x:v>USD</x:v>
      </x:c>
      <x:c r="R100" s="8" t="str">
        <x:v>SOFR</x:v>
      </x:c>
      <x:c r="S100" s="18" t="n">
        <x:f>IF(Portfolio_Par&gt;0,D100/Portfolio_Par,"")</x:f>
        <x:v>0.00394</x:v>
      </x:c>
      <x:c r="T100" s="19" t="n">
        <x:f>IF(A100="","",(M100-as_of_date)/365.25)</x:f>
        <x:v>5.620807665982204</x:v>
      </x:c>
      <x:c r="U100" s="20" t="n">
        <x:f>IF(I100="Floating",D100*J100,0)</x:f>
        <x:v>378240000</x:v>
      </x:c>
      <x:c r="V100" s="20" t="n">
        <x:f>IF(A100="","",D100*N100)</x:f>
        <x:v>236400</x:v>
      </x:c>
      <x:c r="W100" s="14" t="n">
        <x:f>IF(A100='Run Snapshot'!A100,0,1)+IF(B100='Run Snapshot'!B100,0,1)+IF(C100='Run Snapshot'!C100,0,1)+IF(D100='Run Snapshot'!D100,0,1)+IF(E100='Run Snapshot'!E100,0,1)+IF(F100='Run Snapshot'!F100,0,1)+IF(G100='Run Snapshot'!G100,0,1)+IF(H100='Run Snapshot'!H100,0,1)+IF(I100='Run Snapshot'!I100,0,1)+IF(J100='Run Snapshot'!J100,0,1)+IF(K100='Run Snapshot'!K100,0,1)+IF(L100='Run Snapshot'!L100,0,1)+IF(M100='Run Snapshot'!M100,0,1)+IF(N100='Run Snapshot'!N100,0,1)+IF(O100='Run Snapshot'!O100,0,1)+IF(P100='Run Snapshot'!P100,0,1)+IF(Q100='Run Snapshot'!Q100,0,1)+IF(R100='Run Snapshot'!R100,0,1)</x:f>
        <x:v>0</x:v>
      </x:c>
      <x:c r="X100" s="15" t="n">
        <x:f>IF(A100="",0,COUNTIF($A$8:$A$289,A100)-1)</x:f>
        <x:v>0</x:v>
      </x:c>
      <x:c r="Y100" s="14" t="n">
        <x:f>IF(A100="",1,IF(OR(D100&lt;=0,N100&lt;0,N100&gt;1,M100&lt;=as_of_date),1,0))</x:f>
        <x:v>0</x:v>
      </x:c>
      <x:c r="Z100" s="170" t="n">
        <x:f>IF(A100="","",VLOOKUP(E100,SP_WARF_Factors,2,FALSE))</x:f>
        <x:v>2859.5</x:v>
      </x:c>
      <x:c r="AA100" s="172" t="n">
        <x:f>IF(A100="","",D100*Z100)</x:f>
        <x:v>3379929000</x:v>
      </x:c>
      <x:c r="AB100" s="170" t="n">
        <x:f>IF(A100="","",D100*ABS(Z100-SPWARF))</x:f>
        <x:v>567503831.2759999</x:v>
      </x:c>
    </x:row>
    <x:row r="101">
      <x:c r="A101" s="8" t="str">
        <x:v>SYN-LN-00094</x:v>
      </x:c>
      <x:c r="B101" s="8" t="str">
        <x:v>SYN-OB-0091</x:v>
      </x:c>
      <x:c r="C101" s="8" t="str">
        <x:v>Crest Holdings 091</x:v>
      </x:c>
      <x:c r="D101" s="9" t="n">
        <x:v>1182000</x:v>
      </x:c>
      <x:c r="E101" s="8" t="str">
        <x:v>B</x:v>
      </x:c>
      <x:c r="F101" s="8" t="str">
        <x:v>Media</x:v>
      </x:c>
      <x:c r="G101" s="8" t="str">
        <x:v>United States</x:v>
      </x:c>
      <x:c r="H101" s="8" t="str">
        <x:v>1st Lien</x:v>
      </x:c>
      <x:c r="I101" s="8" t="str">
        <x:v>Floating</x:v>
      </x:c>
      <x:c r="J101" s="8" t="n">
        <x:v>340</x:v>
      </x:c>
      <x:c r="K101" s="10"/>
      <x:c r="L101" s="8" t="n">
        <x:v>0</x:v>
      </x:c>
      <x:c r="M101" s="11" t="n">
        <x:v>49003</x:v>
      </x:c>
      <x:c r="N101" s="10" t="n">
        <x:v>0.425</x:v>
      </x:c>
      <x:c r="O101" s="12" t="n">
        <x:v>100</x:v>
      </x:c>
      <x:c r="P101" s="13" t="n">
        <x:v>4</x:v>
      </x:c>
      <x:c r="Q101" s="8" t="str">
        <x:v>USD</x:v>
      </x:c>
      <x:c r="R101" s="8" t="str">
        <x:v>SOFR</x:v>
      </x:c>
      <x:c r="S101" s="18" t="n">
        <x:f>IF(Portfolio_Par&gt;0,D101/Portfolio_Par,"")</x:f>
        <x:v>0.00394</x:v>
      </x:c>
      <x:c r="T101" s="19" t="n">
        <x:f>IF(A101="","",(M101-as_of_date)/365.25)</x:f>
        <x:v>7.1594798083504445</x:v>
      </x:c>
      <x:c r="U101" s="20" t="n">
        <x:f>IF(I101="Floating",D101*J101,0)</x:f>
        <x:v>401880000</x:v>
      </x:c>
      <x:c r="V101" s="20" t="n">
        <x:f>IF(A101="","",D101*N101)</x:f>
        <x:v>502350</x:v>
      </x:c>
      <x:c r="W101" s="14" t="n">
        <x:f>IF(A101='Run Snapshot'!A101,0,1)+IF(B101='Run Snapshot'!B101,0,1)+IF(C101='Run Snapshot'!C101,0,1)+IF(D101='Run Snapshot'!D101,0,1)+IF(E101='Run Snapshot'!E101,0,1)+IF(F101='Run Snapshot'!F101,0,1)+IF(G101='Run Snapshot'!G101,0,1)+IF(H101='Run Snapshot'!H101,0,1)+IF(I101='Run Snapshot'!I101,0,1)+IF(J101='Run Snapshot'!J101,0,1)+IF(K101='Run Snapshot'!K101,0,1)+IF(L101='Run Snapshot'!L101,0,1)+IF(M101='Run Snapshot'!M101,0,1)+IF(N101='Run Snapshot'!N101,0,1)+IF(O101='Run Snapshot'!O101,0,1)+IF(P101='Run Snapshot'!P101,0,1)+IF(Q101='Run Snapshot'!Q101,0,1)+IF(R101='Run Snapshot'!R101,0,1)</x:f>
        <x:v>0</x:v>
      </x:c>
      <x:c r="X101" s="15" t="n">
        <x:f>IF(A101="",0,COUNTIF($A$8:$A$289,A101)-1)</x:f>
        <x:v>0</x:v>
      </x:c>
      <x:c r="Y101" s="14" t="n">
        <x:f>IF(A101="",1,IF(OR(D101&lt;=0,N101&lt;0,N101&gt;1,M101&lt;=as_of_date),1,0))</x:f>
        <x:v>0</x:v>
      </x:c>
      <x:c r="Z101" s="170" t="n">
        <x:f>IF(A101="","",VLOOKUP(E101,SP_WARF_Factors,2,FALSE))</x:f>
        <x:v>2859.5</x:v>
      </x:c>
      <x:c r="AA101" s="172" t="n">
        <x:f>IF(A101="","",D101*Z101)</x:f>
        <x:v>3379929000</x:v>
      </x:c>
      <x:c r="AB101" s="170" t="n">
        <x:f>IF(A101="","",D101*ABS(Z101-SPWARF))</x:f>
        <x:v>567503831.2759999</x:v>
      </x:c>
    </x:row>
    <x:row r="102">
      <x:c r="A102" s="8" t="str">
        <x:v>SYN-LN-00095</x:v>
      </x:c>
      <x:c r="B102" s="8" t="str">
        <x:v>SYN-OB-0092</x:v>
      </x:c>
      <x:c r="C102" s="8" t="str">
        <x:v>Duneland Inc. 092</x:v>
      </x:c>
      <x:c r="D102" s="9" t="n">
        <x:v>630000</x:v>
      </x:c>
      <x:c r="E102" s="8" t="str">
        <x:v>B+</x:v>
      </x:c>
      <x:c r="F102" s="8" t="str">
        <x:v>Gas Utilities</x:v>
      </x:c>
      <x:c r="G102" s="8" t="str">
        <x:v>Germany</x:v>
      </x:c>
      <x:c r="H102" s="8" t="str">
        <x:v>1st Lien</x:v>
      </x:c>
      <x:c r="I102" s="8" t="str">
        <x:v>Floating</x:v>
      </x:c>
      <x:c r="J102" s="8" t="n">
        <x:v>115</x:v>
      </x:c>
      <x:c r="K102" s="10"/>
      <x:c r="L102" s="8" t="n">
        <x:v>0</x:v>
      </x:c>
      <x:c r="M102" s="11" t="n">
        <x:v>47133</x:v>
      </x:c>
      <x:c r="N102" s="10" t="n">
        <x:v>0.68</x:v>
      </x:c>
      <x:c r="O102" s="12" t="n">
        <x:v>101.5</x:v>
      </x:c>
      <x:c r="P102" s="13" t="n">
        <x:v>4</x:v>
      </x:c>
      <x:c r="Q102" s="8" t="str">
        <x:v>USD</x:v>
      </x:c>
      <x:c r="R102" s="8" t="str">
        <x:v>SOFR</x:v>
      </x:c>
      <x:c r="S102" s="18" t="n">
        <x:f>IF(Portfolio_Par&gt;0,D102/Portfolio_Par,"")</x:f>
        <x:v>0.0021</x:v>
      </x:c>
      <x:c r="T102" s="19" t="n">
        <x:f>IF(A102="","",(M102-as_of_date)/365.25)</x:f>
        <x:v>2.0396988364134154</x:v>
      </x:c>
      <x:c r="U102" s="20" t="n">
        <x:f>IF(I102="Floating",D102*J102,0)</x:f>
        <x:v>72450000</x:v>
      </x:c>
      <x:c r="V102" s="20" t="n">
        <x:f>IF(A102="","",D102*N102)</x:f>
        <x:v>428400.00000000006</x:v>
      </x:c>
      <x:c r="W102" s="14" t="n">
        <x:f>IF(A102='Run Snapshot'!A102,0,1)+IF(B102='Run Snapshot'!B102,0,1)+IF(C102='Run Snapshot'!C102,0,1)+IF(D102='Run Snapshot'!D102,0,1)+IF(E102='Run Snapshot'!E102,0,1)+IF(F102='Run Snapshot'!F102,0,1)+IF(G102='Run Snapshot'!G102,0,1)+IF(H102='Run Snapshot'!H102,0,1)+IF(I102='Run Snapshot'!I102,0,1)+IF(J102='Run Snapshot'!J102,0,1)+IF(K102='Run Snapshot'!K102,0,1)+IF(L102='Run Snapshot'!L102,0,1)+IF(M102='Run Snapshot'!M102,0,1)+IF(N102='Run Snapshot'!N102,0,1)+IF(O102='Run Snapshot'!O102,0,1)+IF(P102='Run Snapshot'!P102,0,1)+IF(Q102='Run Snapshot'!Q102,0,1)+IF(R102='Run Snapshot'!R102,0,1)</x:f>
        <x:v>0</x:v>
      </x:c>
      <x:c r="X102" s="15" t="n">
        <x:f>IF(A102="",0,COUNTIF($A$8:$A$289,A102)-1)</x:f>
        <x:v>0</x:v>
      </x:c>
      <x:c r="Y102" s="14" t="n">
        <x:f>IF(A102="",1,IF(OR(D102&lt;=0,N102&lt;0,N102&gt;1,M102&lt;=as_of_date),1,0))</x:f>
        <x:v>0</x:v>
      </x:c>
      <x:c r="Z102" s="170" t="n">
        <x:f>IF(A102="","",VLOOKUP(E102,SP_WARF_Factors,2,FALSE))</x:f>
        <x:v>1982</x:v>
      </x:c>
      <x:c r="AA102" s="172" t="n">
        <x:f>IF(A102="","",D102*Z102)</x:f>
        <x:v>1248660000</x:v>
      </x:c>
      <x:c r="AB102" s="170" t="n">
        <x:f>IF(A102="","",D102*ABS(Z102-SPWARF))</x:f>
        <x:v>250348338.66000003</x:v>
      </x:c>
    </x:row>
    <x:row r="103">
      <x:c r="A103" s="8" t="str">
        <x:v>SYN-LN-00096</x:v>
      </x:c>
      <x:c r="B103" s="8" t="str">
        <x:v>SYN-OB-0093</x:v>
      </x:c>
      <x:c r="C103" s="8" t="str">
        <x:v>Elmstone Corp. 093</x:v>
      </x:c>
      <x:c r="D103" s="9" t="n">
        <x:v>1182000</x:v>
      </x:c>
      <x:c r="E103" s="8" t="str">
        <x:v>B-</x:v>
      </x:c>
      <x:c r="F103" s="8" t="str">
        <x:v>Textiles, Apparel &amp; Luxury Goods</x:v>
      </x:c>
      <x:c r="G103" s="8" t="str">
        <x:v>United States</x:v>
      </x:c>
      <x:c r="H103" s="8" t="str">
        <x:v>1st Lien</x:v>
      </x:c>
      <x:c r="I103" s="8" t="str">
        <x:v>Floating</x:v>
      </x:c>
      <x:c r="J103" s="8" t="n">
        <x:v>395</x:v>
      </x:c>
      <x:c r="K103" s="10"/>
      <x:c r="L103" s="8" t="n">
        <x:v>0</x:v>
      </x:c>
      <x:c r="M103" s="11" t="n">
        <x:v>48272</x:v>
      </x:c>
      <x:c r="N103" s="10" t="n">
        <x:v>0.44</x:v>
      </x:c>
      <x:c r="O103" s="12" t="n">
        <x:v>99.75</x:v>
      </x:c>
      <x:c r="P103" s="13" t="n">
        <x:v>4</x:v>
      </x:c>
      <x:c r="Q103" s="8" t="str">
        <x:v>USD</x:v>
      </x:c>
      <x:c r="R103" s="8" t="str">
        <x:v>SOFR</x:v>
      </x:c>
      <x:c r="S103" s="18" t="n">
        <x:f>IF(Portfolio_Par&gt;0,D103/Portfolio_Par,"")</x:f>
        <x:v>0.00394</x:v>
      </x:c>
      <x:c r="T103" s="19" t="n">
        <x:f>IF(A103="","",(M103-as_of_date)/365.25)</x:f>
        <x:v>5.158110882956879</x:v>
      </x:c>
      <x:c r="U103" s="20" t="n">
        <x:f>IF(I103="Floating",D103*J103,0)</x:f>
        <x:v>466890000</x:v>
      </x:c>
      <x:c r="V103" s="20" t="n">
        <x:f>IF(A103="","",D103*N103)</x:f>
        <x:v>520080</x:v>
      </x:c>
      <x:c r="W103" s="14" t="n">
        <x:f>IF(A103='Run Snapshot'!A103,0,1)+IF(B103='Run Snapshot'!B103,0,1)+IF(C103='Run Snapshot'!C103,0,1)+IF(D103='Run Snapshot'!D103,0,1)+IF(E103='Run Snapshot'!E103,0,1)+IF(F103='Run Snapshot'!F103,0,1)+IF(G103='Run Snapshot'!G103,0,1)+IF(H103='Run Snapshot'!H103,0,1)+IF(I103='Run Snapshot'!I103,0,1)+IF(J103='Run Snapshot'!J103,0,1)+IF(K103='Run Snapshot'!K103,0,1)+IF(L103='Run Snapshot'!L103,0,1)+IF(M103='Run Snapshot'!M103,0,1)+IF(N103='Run Snapshot'!N103,0,1)+IF(O103='Run Snapshot'!O103,0,1)+IF(P103='Run Snapshot'!P103,0,1)+IF(Q103='Run Snapshot'!Q103,0,1)+IF(R103='Run Snapshot'!R103,0,1)</x:f>
        <x:v>0</x:v>
      </x:c>
      <x:c r="X103" s="15" t="n">
        <x:f>IF(A103="",0,COUNTIF($A$8:$A$289,A103)-1)</x:f>
        <x:v>0</x:v>
      </x:c>
      <x:c r="Y103" s="14" t="n">
        <x:f>IF(A103="",1,IF(OR(D103&lt;=0,N103&lt;0,N103&gt;1,M103&lt;=as_of_date),1,0))</x:f>
        <x:v>0</x:v>
      </x:c>
      <x:c r="Z103" s="170" t="n">
        <x:f>IF(A103="","",VLOOKUP(E103,SP_WARF_Factors,2,FALSE))</x:f>
        <x:v>3610.11</x:v>
      </x:c>
      <x:c r="AA103" s="172" t="n">
        <x:f>IF(A103="","",D103*Z103)</x:f>
        <x:v>4267150020</x:v>
      </x:c>
      <x:c r="AB103" s="170" t="n">
        <x:f>IF(A103="","",D103*ABS(Z103-SPWARF))</x:f>
        <x:v>1454724851.276</x:v>
      </x:c>
    </x:row>
    <x:row r="104">
      <x:c r="A104" s="8" t="str">
        <x:v>SYN-LN-00097</x:v>
      </x:c>
      <x:c r="B104" s="8" t="str">
        <x:v>SYN-OB-0094</x:v>
      </x:c>
      <x:c r="C104" s="8" t="str">
        <x:v>Evergreen Group 094</x:v>
      </x:c>
      <x:c r="D104" s="9" t="n">
        <x:v>770000</x:v>
      </x:c>
      <x:c r="E104" s="8" t="str">
        <x:v>BB-</x:v>
      </x:c>
      <x:c r="F104" s="8" t="str">
        <x:v>Hotels, Restaurants &amp; Leisure</x:v>
      </x:c>
      <x:c r="G104" s="8" t="str">
        <x:v>United States</x:v>
      </x:c>
      <x:c r="H104" s="8" t="str">
        <x:v>1st Lien</x:v>
      </x:c>
      <x:c r="I104" s="8" t="str">
        <x:v>Floating</x:v>
      </x:c>
      <x:c r="J104" s="8" t="n">
        <x:v>370</x:v>
      </x:c>
      <x:c r="K104" s="10"/>
      <x:c r="L104" s="8" t="n">
        <x:v>0</x:v>
      </x:c>
      <x:c r="M104" s="11" t="n">
        <x:v>48180</x:v>
      </x:c>
      <x:c r="N104" s="10" t="n">
        <x:v>0.52</x:v>
      </x:c>
      <x:c r="O104" s="12" t="n">
        <x:v>98</x:v>
      </x:c>
      <x:c r="P104" s="13" t="n">
        <x:v>4</x:v>
      </x:c>
      <x:c r="Q104" s="8" t="str">
        <x:v>USD</x:v>
      </x:c>
      <x:c r="R104" s="8" t="str">
        <x:v>SOFR</x:v>
      </x:c>
      <x:c r="S104" s="18" t="n">
        <x:f>IF(Portfolio_Par&gt;0,D104/Portfolio_Par,"")</x:f>
        <x:v>0.0025666666666666667</x:v>
      </x:c>
      <x:c r="T104" s="19" t="n">
        <x:f>IF(A104="","",(M104-as_of_date)/365.25)</x:f>
        <x:v>4.906228610540725</x:v>
      </x:c>
      <x:c r="U104" s="20" t="n">
        <x:f>IF(I104="Floating",D104*J104,0)</x:f>
        <x:v>284900000</x:v>
      </x:c>
      <x:c r="V104" s="20" t="n">
        <x:f>IF(A104="","",D104*N104)</x:f>
        <x:v>400400</x:v>
      </x:c>
      <x:c r="W104" s="14" t="n">
        <x:f>IF(A104='Run Snapshot'!A104,0,1)+IF(B104='Run Snapshot'!B104,0,1)+IF(C104='Run Snapshot'!C104,0,1)+IF(D104='Run Snapshot'!D104,0,1)+IF(E104='Run Snapshot'!E104,0,1)+IF(F104='Run Snapshot'!F104,0,1)+IF(G104='Run Snapshot'!G104,0,1)+IF(H104='Run Snapshot'!H104,0,1)+IF(I104='Run Snapshot'!I104,0,1)+IF(J104='Run Snapshot'!J104,0,1)+IF(K104='Run Snapshot'!K104,0,1)+IF(L104='Run Snapshot'!L104,0,1)+IF(M104='Run Snapshot'!M104,0,1)+IF(N104='Run Snapshot'!N104,0,1)+IF(O104='Run Snapshot'!O104,0,1)+IF(P104='Run Snapshot'!P104,0,1)+IF(Q104='Run Snapshot'!Q104,0,1)+IF(R104='Run Snapshot'!R104,0,1)</x:f>
        <x:v>0</x:v>
      </x:c>
      <x:c r="X104" s="15" t="n">
        <x:f>IF(A104="",0,COUNTIF($A$8:$A$289,A104)-1)</x:f>
        <x:v>0</x:v>
      </x:c>
      <x:c r="Y104" s="14" t="n">
        <x:f>IF(A104="",1,IF(OR(D104&lt;=0,N104&lt;0,N104&gt;1,M104&lt;=as_of_date),1,0))</x:f>
        <x:v>0</x:v>
      </x:c>
      <x:c r="Z104" s="170" t="n">
        <x:f>IF(A104="","",VLOOKUP(E104,SP_WARF_Factors,2,FALSE))</x:f>
        <x:v>1565.44</x:v>
      </x:c>
      <x:c r="AA104" s="172" t="n">
        <x:f>IF(A104="","",D104*Z104)</x:f>
        <x:v>1205388800</x:v>
      </x:c>
      <x:c r="AB104" s="170" t="n">
        <x:f>IF(A104="","",D104*ABS(Z104-SPWARF))</x:f>
        <x:v>626732502.8066666</x:v>
      </x:c>
    </x:row>
    <x:row r="105">
      <x:c r="A105" s="8" t="str">
        <x:v>SYN-LN-00098</x:v>
      </x:c>
      <x:c r="B105" s="8" t="str">
        <x:v>SYN-OB-0094</x:v>
      </x:c>
      <x:c r="C105" s="8" t="str">
        <x:v>Evergreen Group 094</x:v>
      </x:c>
      <x:c r="D105" s="9" t="n">
        <x:v>412000</x:v>
      </x:c>
      <x:c r="E105" s="8" t="str">
        <x:v>BB-</x:v>
      </x:c>
      <x:c r="F105" s="8" t="str">
        <x:v>Hotels, Restaurants &amp; Leisure</x:v>
      </x:c>
      <x:c r="G105" s="8" t="str">
        <x:v>United States</x:v>
      </x:c>
      <x:c r="H105" s="8" t="str">
        <x:v>1st Lien</x:v>
      </x:c>
      <x:c r="I105" s="8" t="str">
        <x:v>Floating</x:v>
      </x:c>
      <x:c r="J105" s="8" t="n">
        <x:v>380</x:v>
      </x:c>
      <x:c r="K105" s="10"/>
      <x:c r="L105" s="8" t="n">
        <x:v>0</x:v>
      </x:c>
      <x:c r="M105" s="11" t="n">
        <x:v>48243</x:v>
      </x:c>
      <x:c r="N105" s="10" t="n">
        <x:v>0.52</x:v>
      </x:c>
      <x:c r="O105" s="12" t="n">
        <x:v>98.125</x:v>
      </x:c>
      <x:c r="P105" s="13" t="n">
        <x:v>4</x:v>
      </x:c>
      <x:c r="Q105" s="8" t="str">
        <x:v>USD</x:v>
      </x:c>
      <x:c r="R105" s="8" t="str">
        <x:v>SOFR</x:v>
      </x:c>
      <x:c r="S105" s="18" t="n">
        <x:f>IF(Portfolio_Par&gt;0,D105/Portfolio_Par,"")</x:f>
        <x:v>0.0013733333333333334</x:v>
      </x:c>
      <x:c r="T105" s="19" t="n">
        <x:f>IF(A105="","",(M105-as_of_date)/365.25)</x:f>
        <x:v>5.078713210130048</x:v>
      </x:c>
      <x:c r="U105" s="20" t="n">
        <x:f>IF(I105="Floating",D105*J105,0)</x:f>
        <x:v>156560000</x:v>
      </x:c>
      <x:c r="V105" s="20" t="n">
        <x:f>IF(A105="","",D105*N105)</x:f>
        <x:v>214240</x:v>
      </x:c>
      <x:c r="W105" s="14" t="n">
        <x:f>IF(A105='Run Snapshot'!A105,0,1)+IF(B105='Run Snapshot'!B105,0,1)+IF(C105='Run Snapshot'!C105,0,1)+IF(D105='Run Snapshot'!D105,0,1)+IF(E105='Run Snapshot'!E105,0,1)+IF(F105='Run Snapshot'!F105,0,1)+IF(G105='Run Snapshot'!G105,0,1)+IF(H105='Run Snapshot'!H105,0,1)+IF(I105='Run Snapshot'!I105,0,1)+IF(J105='Run Snapshot'!J105,0,1)+IF(K105='Run Snapshot'!K105,0,1)+IF(L105='Run Snapshot'!L105,0,1)+IF(M105='Run Snapshot'!M105,0,1)+IF(N105='Run Snapshot'!N105,0,1)+IF(O105='Run Snapshot'!O105,0,1)+IF(P105='Run Snapshot'!P105,0,1)+IF(Q105='Run Snapshot'!Q105,0,1)+IF(R105='Run Snapshot'!R105,0,1)</x:f>
        <x:v>0</x:v>
      </x:c>
      <x:c r="X105" s="15" t="n">
        <x:f>IF(A105="",0,COUNTIF($A$8:$A$289,A105)-1)</x:f>
        <x:v>0</x:v>
      </x:c>
      <x:c r="Y105" s="14" t="n">
        <x:f>IF(A105="",1,IF(OR(D105&lt;=0,N105&lt;0,N105&gt;1,M105&lt;=as_of_date),1,0))</x:f>
        <x:v>0</x:v>
      </x:c>
      <x:c r="Z105" s="170" t="n">
        <x:f>IF(A105="","",VLOOKUP(E105,SP_WARF_Factors,2,FALSE))</x:f>
        <x:v>1565.44</x:v>
      </x:c>
      <x:c r="AA105" s="172" t="n">
        <x:f>IF(A105="","",D105*Z105)</x:f>
        <x:v>644961280</x:v>
      </x:c>
      <x:c r="AB105" s="170" t="n">
        <x:f>IF(A105="","",D105*ABS(Z105-SPWARF))</x:f>
        <x:v>335342585.9173333</x:v>
      </x:c>
    </x:row>
    <x:row r="106">
      <x:c r="A106" s="8" t="str">
        <x:v>SYN-LN-00099</x:v>
      </x:c>
      <x:c r="B106" s="8" t="str">
        <x:v>SYN-OB-0095</x:v>
      </x:c>
      <x:c r="C106" s="8" t="str">
        <x:v>Fairhaven LLC 095</x:v>
      </x:c>
      <x:c r="D106" s="9" t="n">
        <x:v>1182000</x:v>
      </x:c>
      <x:c r="E106" s="8" t="str">
        <x:v>BB+</x:v>
      </x:c>
      <x:c r="F106" s="8" t="str">
        <x:v>Pharmaceuticals</x:v>
      </x:c>
      <x:c r="G106" s="8" t="str">
        <x:v>Luxembourg</x:v>
      </x:c>
      <x:c r="H106" s="8" t="str">
        <x:v>1st Lien</x:v>
      </x:c>
      <x:c r="I106" s="8" t="str">
        <x:v>Floating</x:v>
      </x:c>
      <x:c r="J106" s="8" t="n">
        <x:v>215</x:v>
      </x:c>
      <x:c r="K106" s="10"/>
      <x:c r="L106" s="8" t="n">
        <x:v>0</x:v>
      </x:c>
      <x:c r="M106" s="11" t="n">
        <x:v>48607</x:v>
      </x:c>
      <x:c r="N106" s="10" t="n">
        <x:v>0.34</x:v>
      </x:c>
      <x:c r="O106" s="12" t="n">
        <x:v>99.875</x:v>
      </x:c>
      <x:c r="P106" s="13" t="n">
        <x:v>4</x:v>
      </x:c>
      <x:c r="Q106" s="8" t="str">
        <x:v>USD</x:v>
      </x:c>
      <x:c r="R106" s="8" t="str">
        <x:v>SOFR</x:v>
      </x:c>
      <x:c r="S106" s="18" t="n">
        <x:f>IF(Portfolio_Par&gt;0,D106/Portfolio_Par,"")</x:f>
        <x:v>0.00394</x:v>
      </x:c>
      <x:c r="T106" s="19" t="n">
        <x:f>IF(A106="","",(M106-as_of_date)/365.25)</x:f>
        <x:v>6.075290896646133</x:v>
      </x:c>
      <x:c r="U106" s="20" t="n">
        <x:f>IF(I106="Floating",D106*J106,0)</x:f>
        <x:v>254130000</x:v>
      </x:c>
      <x:c r="V106" s="20" t="n">
        <x:f>IF(A106="","",D106*N106)</x:f>
        <x:v>401880</x:v>
      </x:c>
      <x:c r="W106" s="14" t="n">
        <x:f>IF(A106='Run Snapshot'!A106,0,1)+IF(B106='Run Snapshot'!B106,0,1)+IF(C106='Run Snapshot'!C106,0,1)+IF(D106='Run Snapshot'!D106,0,1)+IF(E106='Run Snapshot'!E106,0,1)+IF(F106='Run Snapshot'!F106,0,1)+IF(G106='Run Snapshot'!G106,0,1)+IF(H106='Run Snapshot'!H106,0,1)+IF(I106='Run Snapshot'!I106,0,1)+IF(J106='Run Snapshot'!J106,0,1)+IF(K106='Run Snapshot'!K106,0,1)+IF(L106='Run Snapshot'!L106,0,1)+IF(M106='Run Snapshot'!M106,0,1)+IF(N106='Run Snapshot'!N106,0,1)+IF(O106='Run Snapshot'!O106,0,1)+IF(P106='Run Snapshot'!P106,0,1)+IF(Q106='Run Snapshot'!Q106,0,1)+IF(R106='Run Snapshot'!R106,0,1)</x:f>
        <x:v>0</x:v>
      </x:c>
      <x:c r="X106" s="15" t="n">
        <x:f>IF(A106="",0,COUNTIF($A$8:$A$289,A106)-1)</x:f>
        <x:v>0</x:v>
      </x:c>
      <x:c r="Y106" s="14" t="n">
        <x:f>IF(A106="",1,IF(OR(D106&lt;=0,N106&lt;0,N106&gt;1,M106&lt;=as_of_date),1,0))</x:f>
        <x:v>0</x:v>
      </x:c>
      <x:c r="Z106" s="170" t="n">
        <x:f>IF(A106="","",VLOOKUP(E106,SP_WARF_Factors,2,FALSE))</x:f>
        <x:v>784.92</x:v>
      </x:c>
      <x:c r="AA106" s="172" t="n">
        <x:f>IF(A106="","",D106*Z106)</x:f>
        <x:v>927775440</x:v>
      </x:c>
      <x:c r="AB106" s="170" t="n">
        <x:f>IF(A106="","",D106*ABS(Z106-SPWARF))</x:f>
        <x:v>1884649728.724</x:v>
      </x:c>
    </x:row>
    <x:row r="107">
      <x:c r="A107" s="8" t="str">
        <x:v>SYN-LN-00100</x:v>
      </x:c>
      <x:c r="B107" s="8" t="str">
        <x:v>SYN-OB-0096</x:v>
      </x:c>
      <x:c r="C107" s="8" t="str">
        <x:v>Granite Holdings 096</x:v>
      </x:c>
      <x:c r="D107" s="9" t="n">
        <x:v>1182000</x:v>
      </x:c>
      <x:c r="E107" s="8" t="str">
        <x:v>B</x:v>
      </x:c>
      <x:c r="F107" s="8" t="str">
        <x:v>Electronic Equipment, Instruments &amp; Components</x:v>
      </x:c>
      <x:c r="G107" s="8" t="str">
        <x:v>United Kingdom</x:v>
      </x:c>
      <x:c r="H107" s="8" t="str">
        <x:v>1st Lien</x:v>
      </x:c>
      <x:c r="I107" s="8" t="str">
        <x:v>Floating</x:v>
      </x:c>
      <x:c r="J107" s="8" t="n">
        <x:v>265</x:v>
      </x:c>
      <x:c r="K107" s="10"/>
      <x:c r="L107" s="8" t="n">
        <x:v>0</x:v>
      </x:c>
      <x:c r="M107" s="11" t="n">
        <x:v>48180</x:v>
      </x:c>
      <x:c r="N107" s="10" t="n">
        <x:v>0.41</x:v>
      </x:c>
      <x:c r="O107" s="12" t="n">
        <x:v>100.25</x:v>
      </x:c>
      <x:c r="P107" s="13" t="n">
        <x:v>4</x:v>
      </x:c>
      <x:c r="Q107" s="8" t="str">
        <x:v>USD</x:v>
      </x:c>
      <x:c r="R107" s="8" t="str">
        <x:v>SOFR</x:v>
      </x:c>
      <x:c r="S107" s="18" t="n">
        <x:f>IF(Portfolio_Par&gt;0,D107/Portfolio_Par,"")</x:f>
        <x:v>0.00394</x:v>
      </x:c>
      <x:c r="T107" s="19" t="n">
        <x:f>IF(A107="","",(M107-as_of_date)/365.25)</x:f>
        <x:v>4.906228610540725</x:v>
      </x:c>
      <x:c r="U107" s="20" t="n">
        <x:f>IF(I107="Floating",D107*J107,0)</x:f>
        <x:v>313230000</x:v>
      </x:c>
      <x:c r="V107" s="20" t="n">
        <x:f>IF(A107="","",D107*N107)</x:f>
        <x:v>484620</x:v>
      </x:c>
      <x:c r="W107" s="14" t="n">
        <x:f>IF(A107='Run Snapshot'!A107,0,1)+IF(B107='Run Snapshot'!B107,0,1)+IF(C107='Run Snapshot'!C107,0,1)+IF(D107='Run Snapshot'!D107,0,1)+IF(E107='Run Snapshot'!E107,0,1)+IF(F107='Run Snapshot'!F107,0,1)+IF(G107='Run Snapshot'!G107,0,1)+IF(H107='Run Snapshot'!H107,0,1)+IF(I107='Run Snapshot'!I107,0,1)+IF(J107='Run Snapshot'!J107,0,1)+IF(K107='Run Snapshot'!K107,0,1)+IF(L107='Run Snapshot'!L107,0,1)+IF(M107='Run Snapshot'!M107,0,1)+IF(N107='Run Snapshot'!N107,0,1)+IF(O107='Run Snapshot'!O107,0,1)+IF(P107='Run Snapshot'!P107,0,1)+IF(Q107='Run Snapshot'!Q107,0,1)+IF(R107='Run Snapshot'!R107,0,1)</x:f>
        <x:v>0</x:v>
      </x:c>
      <x:c r="X107" s="15" t="n">
        <x:f>IF(A107="",0,COUNTIF($A$8:$A$289,A107)-1)</x:f>
        <x:v>0</x:v>
      </x:c>
      <x:c r="Y107" s="14" t="n">
        <x:f>IF(A107="",1,IF(OR(D107&lt;=0,N107&lt;0,N107&gt;1,M107&lt;=as_of_date),1,0))</x:f>
        <x:v>0</x:v>
      </x:c>
      <x:c r="Z107" s="170" t="n">
        <x:f>IF(A107="","",VLOOKUP(E107,SP_WARF_Factors,2,FALSE))</x:f>
        <x:v>2859.5</x:v>
      </x:c>
      <x:c r="AA107" s="172" t="n">
        <x:f>IF(A107="","",D107*Z107)</x:f>
        <x:v>3379929000</x:v>
      </x:c>
      <x:c r="AB107" s="170" t="n">
        <x:f>IF(A107="","",D107*ABS(Z107-SPWARF))</x:f>
        <x:v>567503831.2759999</x:v>
      </x:c>
    </x:row>
    <x:row r="108">
      <x:c r="A108" s="8" t="str">
        <x:v>SYN-LN-00101</x:v>
      </x:c>
      <x:c r="B108" s="8" t="str">
        <x:v>SYN-OB-0097</x:v>
      </x:c>
      <x:c r="C108" s="8" t="str">
        <x:v>Harbor Inc. 097</x:v>
      </x:c>
      <x:c r="D108" s="9" t="n">
        <x:v>1182000</x:v>
      </x:c>
      <x:c r="E108" s="8" t="str">
        <x:v>B</x:v>
      </x:c>
      <x:c r="F108" s="8" t="str">
        <x:v>Healthcare Equipment &amp; Supplies</x:v>
      </x:c>
      <x:c r="G108" s="8" t="str">
        <x:v>United States</x:v>
      </x:c>
      <x:c r="H108" s="8" t="str">
        <x:v>1st Lien</x:v>
      </x:c>
      <x:c r="I108" s="8" t="str">
        <x:v>Floating</x:v>
      </x:c>
      <x:c r="J108" s="8" t="n">
        <x:v>220</x:v>
      </x:c>
      <x:c r="K108" s="10"/>
      <x:c r="L108" s="8" t="n">
        <x:v>0</x:v>
      </x:c>
      <x:c r="M108" s="11" t="n">
        <x:v>48625</x:v>
      </x:c>
      <x:c r="N108" s="10" t="n">
        <x:v>0.305</x:v>
      </x:c>
      <x:c r="O108" s="12" t="n">
        <x:v>96.625</x:v>
      </x:c>
      <x:c r="P108" s="13" t="n">
        <x:v>4</x:v>
      </x:c>
      <x:c r="Q108" s="8" t="str">
        <x:v>USD</x:v>
      </x:c>
      <x:c r="R108" s="8" t="str">
        <x:v>SOFR</x:v>
      </x:c>
      <x:c r="S108" s="18" t="n">
        <x:f>IF(Portfolio_Par&gt;0,D108/Portfolio_Par,"")</x:f>
        <x:v>0.00394</x:v>
      </x:c>
      <x:c r="T108" s="19" t="n">
        <x:f>IF(A108="","",(M108-as_of_date)/365.25)</x:f>
        <x:v>6.12457221081451</x:v>
      </x:c>
      <x:c r="U108" s="20" t="n">
        <x:f>IF(I108="Floating",D108*J108,0)</x:f>
        <x:v>260040000</x:v>
      </x:c>
      <x:c r="V108" s="20" t="n">
        <x:f>IF(A108="","",D108*N108)</x:f>
        <x:v>360510</x:v>
      </x:c>
      <x:c r="W108" s="14" t="n">
        <x:f>IF(A108='Run Snapshot'!A108,0,1)+IF(B108='Run Snapshot'!B108,0,1)+IF(C108='Run Snapshot'!C108,0,1)+IF(D108='Run Snapshot'!D108,0,1)+IF(E108='Run Snapshot'!E108,0,1)+IF(F108='Run Snapshot'!F108,0,1)+IF(G108='Run Snapshot'!G108,0,1)+IF(H108='Run Snapshot'!H108,0,1)+IF(I108='Run Snapshot'!I108,0,1)+IF(J108='Run Snapshot'!J108,0,1)+IF(K108='Run Snapshot'!K108,0,1)+IF(L108='Run Snapshot'!L108,0,1)+IF(M108='Run Snapshot'!M108,0,1)+IF(N108='Run Snapshot'!N108,0,1)+IF(O108='Run Snapshot'!O108,0,1)+IF(P108='Run Snapshot'!P108,0,1)+IF(Q108='Run Snapshot'!Q108,0,1)+IF(R108='Run Snapshot'!R108,0,1)</x:f>
        <x:v>0</x:v>
      </x:c>
      <x:c r="X108" s="15" t="n">
        <x:f>IF(A108="",0,COUNTIF($A$8:$A$289,A108)-1)</x:f>
        <x:v>0</x:v>
      </x:c>
      <x:c r="Y108" s="14" t="n">
        <x:f>IF(A108="",1,IF(OR(D108&lt;=0,N108&lt;0,N108&gt;1,M108&lt;=as_of_date),1,0))</x:f>
        <x:v>0</x:v>
      </x:c>
      <x:c r="Z108" s="170" t="n">
        <x:f>IF(A108="","",VLOOKUP(E108,SP_WARF_Factors,2,FALSE))</x:f>
        <x:v>2859.5</x:v>
      </x:c>
      <x:c r="AA108" s="172" t="n">
        <x:f>IF(A108="","",D108*Z108)</x:f>
        <x:v>3379929000</x:v>
      </x:c>
      <x:c r="AB108" s="170" t="n">
        <x:f>IF(A108="","",D108*ABS(Z108-SPWARF))</x:f>
        <x:v>567503831.2759999</x:v>
      </x:c>
    </x:row>
    <x:row r="109">
      <x:c r="A109" s="8" t="str">
        <x:v>SYN-LN-00102</x:v>
      </x:c>
      <x:c r="B109" s="8" t="str">
        <x:v>SYN-OB-0098</x:v>
      </x:c>
      <x:c r="C109" s="8" t="str">
        <x:v>Hawthorne Corp. 098</x:v>
      </x:c>
      <x:c r="D109" s="9" t="n">
        <x:v>1182000</x:v>
      </x:c>
      <x:c r="E109" s="8" t="str">
        <x:v>BB</x:v>
      </x:c>
      <x:c r="F109" s="8" t="str">
        <x:v>Diversified Telecommunication Services</x:v>
      </x:c>
      <x:c r="G109" s="8" t="str">
        <x:v>United States</x:v>
      </x:c>
      <x:c r="H109" s="8" t="str">
        <x:v>1st Lien</x:v>
      </x:c>
      <x:c r="I109" s="8" t="str">
        <x:v>Floating</x:v>
      </x:c>
      <x:c r="J109" s="8" t="n">
        <x:v>285</x:v>
      </x:c>
      <x:c r="K109" s="10"/>
      <x:c r="L109" s="8" t="n">
        <x:v>0</x:v>
      </x:c>
      <x:c r="M109" s="11" t="n">
        <x:v>48090</x:v>
      </x:c>
      <x:c r="N109" s="10" t="n">
        <x:v>0.595</x:v>
      </x:c>
      <x:c r="O109" s="12" t="n">
        <x:v>98.125</x:v>
      </x:c>
      <x:c r="P109" s="13" t="n">
        <x:v>4</x:v>
      </x:c>
      <x:c r="Q109" s="8" t="str">
        <x:v>USD</x:v>
      </x:c>
      <x:c r="R109" s="8" t="str">
        <x:v>SOFR</x:v>
      </x:c>
      <x:c r="S109" s="18" t="n">
        <x:f>IF(Portfolio_Par&gt;0,D109/Portfolio_Par,"")</x:f>
        <x:v>0.00394</x:v>
      </x:c>
      <x:c r="T109" s="19" t="n">
        <x:f>IF(A109="","",(M109-as_of_date)/365.25)</x:f>
        <x:v>4.659822039698836</x:v>
      </x:c>
      <x:c r="U109" s="20" t="n">
        <x:f>IF(I109="Floating",D109*J109,0)</x:f>
        <x:v>336870000</x:v>
      </x:c>
      <x:c r="V109" s="20" t="n">
        <x:f>IF(A109="","",D109*N109)</x:f>
        <x:v>703290</x:v>
      </x:c>
      <x:c r="W109" s="14" t="n">
        <x:f>IF(A109='Run Snapshot'!A109,0,1)+IF(B109='Run Snapshot'!B109,0,1)+IF(C109='Run Snapshot'!C109,0,1)+IF(D109='Run Snapshot'!D109,0,1)+IF(E109='Run Snapshot'!E109,0,1)+IF(F109='Run Snapshot'!F109,0,1)+IF(G109='Run Snapshot'!G109,0,1)+IF(H109='Run Snapshot'!H109,0,1)+IF(I109='Run Snapshot'!I109,0,1)+IF(J109='Run Snapshot'!J109,0,1)+IF(K109='Run Snapshot'!K109,0,1)+IF(L109='Run Snapshot'!L109,0,1)+IF(M109='Run Snapshot'!M109,0,1)+IF(N109='Run Snapshot'!N109,0,1)+IF(O109='Run Snapshot'!O109,0,1)+IF(P109='Run Snapshot'!P109,0,1)+IF(Q109='Run Snapshot'!Q109,0,1)+IF(R109='Run Snapshot'!R109,0,1)</x:f>
        <x:v>0</x:v>
      </x:c>
      <x:c r="X109" s="15" t="n">
        <x:f>IF(A109="",0,COUNTIF($A$8:$A$289,A109)-1)</x:f>
        <x:v>0</x:v>
      </x:c>
      <x:c r="Y109" s="14" t="n">
        <x:f>IF(A109="",1,IF(OR(D109&lt;=0,N109&lt;0,N109&gt;1,M109&lt;=as_of_date),1,0))</x:f>
        <x:v>0</x:v>
      </x:c>
      <x:c r="Z109" s="170" t="n">
        <x:f>IF(A109="","",VLOOKUP(E109,SP_WARF_Factors,2,FALSE))</x:f>
        <x:v>1233.63</x:v>
      </x:c>
      <x:c r="AA109" s="172" t="n">
        <x:f>IF(A109="","",D109*Z109)</x:f>
        <x:v>1458150660.0000002</x:v>
      </x:c>
      <x:c r="AB109" s="170" t="n">
        <x:f>IF(A109="","",D109*ABS(Z109-SPWARF))</x:f>
        <x:v>1354274508.724</x:v>
      </x:c>
    </x:row>
    <x:row r="110">
      <x:c r="A110" s="8" t="str">
        <x:v>SYN-LN-00103</x:v>
      </x:c>
      <x:c r="B110" s="8" t="str">
        <x:v>SYN-OB-0099</x:v>
      </x:c>
      <x:c r="C110" s="8" t="str">
        <x:v>Highland Group 099</x:v>
      </x:c>
      <x:c r="D110" s="9" t="n">
        <x:v>1182000</x:v>
      </x:c>
      <x:c r="E110" s="8" t="str">
        <x:v>B</x:v>
      </x:c>
      <x:c r="F110" s="8" t="str">
        <x:v>Financial services</x:v>
      </x:c>
      <x:c r="G110" s="8" t="str">
        <x:v>United States</x:v>
      </x:c>
      <x:c r="H110" s="8" t="str">
        <x:v>1st Lien</x:v>
      </x:c>
      <x:c r="I110" s="8" t="str">
        <x:v>Floating</x:v>
      </x:c>
      <x:c r="J110" s="8" t="n">
        <x:v>175</x:v>
      </x:c>
      <x:c r="K110" s="10"/>
      <x:c r="L110" s="8" t="n">
        <x:v>0</x:v>
      </x:c>
      <x:c r="M110" s="11" t="n">
        <x:v>47572</x:v>
      </x:c>
      <x:c r="N110" s="10" t="n">
        <x:v>0.475</x:v>
      </x:c>
      <x:c r="O110" s="12" t="n">
        <x:v>98.875</x:v>
      </x:c>
      <x:c r="P110" s="13" t="n">
        <x:v>4</x:v>
      </x:c>
      <x:c r="Q110" s="8" t="str">
        <x:v>USD</x:v>
      </x:c>
      <x:c r="R110" s="8" t="str">
        <x:v>SOFR</x:v>
      </x:c>
      <x:c r="S110" s="18" t="n">
        <x:f>IF(Portfolio_Par&gt;0,D110/Portfolio_Par,"")</x:f>
        <x:v>0.00394</x:v>
      </x:c>
      <x:c r="T110" s="19" t="n">
        <x:f>IF(A110="","",(M110-as_of_date)/365.25)</x:f>
        <x:v>3.241615331964408</x:v>
      </x:c>
      <x:c r="U110" s="20" t="n">
        <x:f>IF(I110="Floating",D110*J110,0)</x:f>
        <x:v>206850000</x:v>
      </x:c>
      <x:c r="V110" s="20" t="n">
        <x:f>IF(A110="","",D110*N110)</x:f>
        <x:v>561450</x:v>
      </x:c>
      <x:c r="W110" s="14" t="n">
        <x:f>IF(A110='Run Snapshot'!A110,0,1)+IF(B110='Run Snapshot'!B110,0,1)+IF(C110='Run Snapshot'!C110,0,1)+IF(D110='Run Snapshot'!D110,0,1)+IF(E110='Run Snapshot'!E110,0,1)+IF(F110='Run Snapshot'!F110,0,1)+IF(G110='Run Snapshot'!G110,0,1)+IF(H110='Run Snapshot'!H110,0,1)+IF(I110='Run Snapshot'!I110,0,1)+IF(J110='Run Snapshot'!J110,0,1)+IF(K110='Run Snapshot'!K110,0,1)+IF(L110='Run Snapshot'!L110,0,1)+IF(M110='Run Snapshot'!M110,0,1)+IF(N110='Run Snapshot'!N110,0,1)+IF(O110='Run Snapshot'!O110,0,1)+IF(P110='Run Snapshot'!P110,0,1)+IF(Q110='Run Snapshot'!Q110,0,1)+IF(R110='Run Snapshot'!R110,0,1)</x:f>
        <x:v>0</x:v>
      </x:c>
      <x:c r="X110" s="15" t="n">
        <x:f>IF(A110="",0,COUNTIF($A$8:$A$289,A110)-1)</x:f>
        <x:v>0</x:v>
      </x:c>
      <x:c r="Y110" s="14" t="n">
        <x:f>IF(A110="",1,IF(OR(D110&lt;=0,N110&lt;0,N110&gt;1,M110&lt;=as_of_date),1,0))</x:f>
        <x:v>0</x:v>
      </x:c>
      <x:c r="Z110" s="170" t="n">
        <x:f>IF(A110="","",VLOOKUP(E110,SP_WARF_Factors,2,FALSE))</x:f>
        <x:v>2859.5</x:v>
      </x:c>
      <x:c r="AA110" s="172" t="n">
        <x:f>IF(A110="","",D110*Z110)</x:f>
        <x:v>3379929000</x:v>
      </x:c>
      <x:c r="AB110" s="170" t="n">
        <x:f>IF(A110="","",D110*ABS(Z110-SPWARF))</x:f>
        <x:v>567503831.2759999</x:v>
      </x:c>
    </x:row>
    <x:row r="111">
      <x:c r="A111" s="8" t="str">
        <x:v>SYN-LN-00104</x:v>
      </x:c>
      <x:c r="B111" s="8" t="str">
        <x:v>SYN-OB-0100</x:v>
      </x:c>
      <x:c r="C111" s="8" t="str">
        <x:v>Ironwood LLC 100</x:v>
      </x:c>
      <x:c r="D111" s="9" t="n">
        <x:v>1182000</x:v>
      </x:c>
      <x:c r="E111" s="8" t="str">
        <x:v>B-</x:v>
      </x:c>
      <x:c r="F111" s="8" t="str">
        <x:v>Machinery</x:v>
      </x:c>
      <x:c r="G111" s="8" t="str">
        <x:v>United States</x:v>
      </x:c>
      <x:c r="H111" s="8" t="str">
        <x:v>1st Lien</x:v>
      </x:c>
      <x:c r="I111" s="8" t="str">
        <x:v>Floating</x:v>
      </x:c>
      <x:c r="J111" s="8" t="n">
        <x:v>380</x:v>
      </x:c>
      <x:c r="K111" s="10"/>
      <x:c r="L111" s="8" t="n">
        <x:v>0</x:v>
      </x:c>
      <x:c r="M111" s="11" t="n">
        <x:v>49003</x:v>
      </x:c>
      <x:c r="N111" s="10" t="n">
        <x:v>0.365</x:v>
      </x:c>
      <x:c r="O111" s="12" t="n">
        <x:v>99.375</x:v>
      </x:c>
      <x:c r="P111" s="13" t="n">
        <x:v>4</x:v>
      </x:c>
      <x:c r="Q111" s="8" t="str">
        <x:v>USD</x:v>
      </x:c>
      <x:c r="R111" s="8" t="str">
        <x:v>SOFR</x:v>
      </x:c>
      <x:c r="S111" s="18" t="n">
        <x:f>IF(Portfolio_Par&gt;0,D111/Portfolio_Par,"")</x:f>
        <x:v>0.00394</x:v>
      </x:c>
      <x:c r="T111" s="19" t="n">
        <x:f>IF(A111="","",(M111-as_of_date)/365.25)</x:f>
        <x:v>7.1594798083504445</x:v>
      </x:c>
      <x:c r="U111" s="20" t="n">
        <x:f>IF(I111="Floating",D111*J111,0)</x:f>
        <x:v>449160000</x:v>
      </x:c>
      <x:c r="V111" s="20" t="n">
        <x:f>IF(A111="","",D111*N111)</x:f>
        <x:v>431430</x:v>
      </x:c>
      <x:c r="W111" s="14" t="n">
        <x:f>IF(A111='Run Snapshot'!A111,0,1)+IF(B111='Run Snapshot'!B111,0,1)+IF(C111='Run Snapshot'!C111,0,1)+IF(D111='Run Snapshot'!D111,0,1)+IF(E111='Run Snapshot'!E111,0,1)+IF(F111='Run Snapshot'!F111,0,1)+IF(G111='Run Snapshot'!G111,0,1)+IF(H111='Run Snapshot'!H111,0,1)+IF(I111='Run Snapshot'!I111,0,1)+IF(J111='Run Snapshot'!J111,0,1)+IF(K111='Run Snapshot'!K111,0,1)+IF(L111='Run Snapshot'!L111,0,1)+IF(M111='Run Snapshot'!M111,0,1)+IF(N111='Run Snapshot'!N111,0,1)+IF(O111='Run Snapshot'!O111,0,1)+IF(P111='Run Snapshot'!P111,0,1)+IF(Q111='Run Snapshot'!Q111,0,1)+IF(R111='Run Snapshot'!R111,0,1)</x:f>
        <x:v>0</x:v>
      </x:c>
      <x:c r="X111" s="15" t="n">
        <x:f>IF(A111="",0,COUNTIF($A$8:$A$289,A111)-1)</x:f>
        <x:v>0</x:v>
      </x:c>
      <x:c r="Y111" s="14" t="n">
        <x:f>IF(A111="",1,IF(OR(D111&lt;=0,N111&lt;0,N111&gt;1,M111&lt;=as_of_date),1,0))</x:f>
        <x:v>0</x:v>
      </x:c>
      <x:c r="Z111" s="170" t="n">
        <x:f>IF(A111="","",VLOOKUP(E111,SP_WARF_Factors,2,FALSE))</x:f>
        <x:v>3610.11</x:v>
      </x:c>
      <x:c r="AA111" s="172" t="n">
        <x:f>IF(A111="","",D111*Z111)</x:f>
        <x:v>4267150020</x:v>
      </x:c>
      <x:c r="AB111" s="170" t="n">
        <x:f>IF(A111="","",D111*ABS(Z111-SPWARF))</x:f>
        <x:v>1454724851.276</x:v>
      </x:c>
    </x:row>
    <x:row r="112">
      <x:c r="A112" s="8" t="str">
        <x:v>SYN-LN-00105</x:v>
      </x:c>
      <x:c r="B112" s="8" t="str">
        <x:v>SYN-OB-0101</x:v>
      </x:c>
      <x:c r="C112" s="8" t="str">
        <x:v>Juniper Holdings 101</x:v>
      </x:c>
      <x:c r="D112" s="9" t="n">
        <x:v>1182000</x:v>
      </x:c>
      <x:c r="E112" s="8" t="str">
        <x:v>B-</x:v>
      </x:c>
      <x:c r="F112" s="8" t="str">
        <x:v>Consumer Finance</x:v>
      </x:c>
      <x:c r="G112" s="8" t="str">
        <x:v>United States</x:v>
      </x:c>
      <x:c r="H112" s="8" t="str">
        <x:v>1st Lien</x:v>
      </x:c>
      <x:c r="I112" s="8" t="str">
        <x:v>Floating</x:v>
      </x:c>
      <x:c r="J112" s="8" t="n">
        <x:v>210</x:v>
      </x:c>
      <x:c r="K112" s="10"/>
      <x:c r="L112" s="8" t="n">
        <x:v>0</x:v>
      </x:c>
      <x:c r="M112" s="11" t="n">
        <x:v>48197</x:v>
      </x:c>
      <x:c r="N112" s="10" t="n">
        <x:v>0.535</x:v>
      </x:c>
      <x:c r="O112" s="12" t="n">
        <x:v>96.875</x:v>
      </x:c>
      <x:c r="P112" s="13" t="n">
        <x:v>4</x:v>
      </x:c>
      <x:c r="Q112" s="8" t="str">
        <x:v>USD</x:v>
      </x:c>
      <x:c r="R112" s="8" t="str">
        <x:v>SOFR</x:v>
      </x:c>
      <x:c r="S112" s="18" t="n">
        <x:f>IF(Portfolio_Par&gt;0,D112/Portfolio_Par,"")</x:f>
        <x:v>0.00394</x:v>
      </x:c>
      <x:c r="T112" s="19" t="n">
        <x:f>IF(A112="","",(M112-as_of_date)/365.25)</x:f>
        <x:v>4.952772073921971</x:v>
      </x:c>
      <x:c r="U112" s="20" t="n">
        <x:f>IF(I112="Floating",D112*J112,0)</x:f>
        <x:v>248220000</x:v>
      </x:c>
      <x:c r="V112" s="20" t="n">
        <x:f>IF(A112="","",D112*N112)</x:f>
        <x:v>632370</x:v>
      </x:c>
      <x:c r="W112" s="14" t="n">
        <x:f>IF(A112='Run Snapshot'!A112,0,1)+IF(B112='Run Snapshot'!B112,0,1)+IF(C112='Run Snapshot'!C112,0,1)+IF(D112='Run Snapshot'!D112,0,1)+IF(E112='Run Snapshot'!E112,0,1)+IF(F112='Run Snapshot'!F112,0,1)+IF(G112='Run Snapshot'!G112,0,1)+IF(H112='Run Snapshot'!H112,0,1)+IF(I112='Run Snapshot'!I112,0,1)+IF(J112='Run Snapshot'!J112,0,1)+IF(K112='Run Snapshot'!K112,0,1)+IF(L112='Run Snapshot'!L112,0,1)+IF(M112='Run Snapshot'!M112,0,1)+IF(N112='Run Snapshot'!N112,0,1)+IF(O112='Run Snapshot'!O112,0,1)+IF(P112='Run Snapshot'!P112,0,1)+IF(Q112='Run Snapshot'!Q112,0,1)+IF(R112='Run Snapshot'!R112,0,1)</x:f>
        <x:v>0</x:v>
      </x:c>
      <x:c r="X112" s="15" t="n">
        <x:f>IF(A112="",0,COUNTIF($A$8:$A$289,A112)-1)</x:f>
        <x:v>0</x:v>
      </x:c>
      <x:c r="Y112" s="14" t="n">
        <x:f>IF(A112="",1,IF(OR(D112&lt;=0,N112&lt;0,N112&gt;1,M112&lt;=as_of_date),1,0))</x:f>
        <x:v>0</x:v>
      </x:c>
      <x:c r="Z112" s="170" t="n">
        <x:f>IF(A112="","",VLOOKUP(E112,SP_WARF_Factors,2,FALSE))</x:f>
        <x:v>3610.11</x:v>
      </x:c>
      <x:c r="AA112" s="172" t="n">
        <x:f>IF(A112="","",D112*Z112)</x:f>
        <x:v>4267150020</x:v>
      </x:c>
      <x:c r="AB112" s="170" t="n">
        <x:f>IF(A112="","",D112*ABS(Z112-SPWARF))</x:f>
        <x:v>1454724851.276</x:v>
      </x:c>
    </x:row>
    <x:row r="113">
      <x:c r="A113" s="8" t="str">
        <x:v>SYN-LN-00106</x:v>
      </x:c>
      <x:c r="B113" s="8" t="str">
        <x:v>SYN-OB-0102</x:v>
      </x:c>
      <x:c r="C113" s="8" t="str">
        <x:v>Keystone Inc. 102</x:v>
      </x:c>
      <x:c r="D113" s="9" t="n">
        <x:v>1182000</x:v>
      </x:c>
      <x:c r="E113" s="8" t="str">
        <x:v>B+</x:v>
      </x:c>
      <x:c r="F113" s="8" t="str">
        <x:v>Independent Power and Renewable Electricity Producers</x:v>
      </x:c>
      <x:c r="G113" s="8" t="str">
        <x:v>United States</x:v>
      </x:c>
      <x:c r="H113" s="8" t="str">
        <x:v>1st Lien</x:v>
      </x:c>
      <x:c r="I113" s="8" t="str">
        <x:v>Floating</x:v>
      </x:c>
      <x:c r="J113" s="8" t="n">
        <x:v>175</x:v>
      </x:c>
      <x:c r="K113" s="10"/>
      <x:c r="L113" s="8" t="n">
        <x:v>0</x:v>
      </x:c>
      <x:c r="M113" s="11" t="n">
        <x:v>47815</x:v>
      </x:c>
      <x:c r="N113" s="10" t="n">
        <x:v>0.43</x:v>
      </x:c>
      <x:c r="O113" s="12" t="n">
        <x:v>100.5</x:v>
      </x:c>
      <x:c r="P113" s="13" t="n">
        <x:v>4</x:v>
      </x:c>
      <x:c r="Q113" s="8" t="str">
        <x:v>USD</x:v>
      </x:c>
      <x:c r="R113" s="8" t="str">
        <x:v>SOFR</x:v>
      </x:c>
      <x:c r="S113" s="18" t="n">
        <x:f>IF(Portfolio_Par&gt;0,D113/Portfolio_Par,"")</x:f>
        <x:v>0.00394</x:v>
      </x:c>
      <x:c r="T113" s="19" t="n">
        <x:f>IF(A113="","",(M113-as_of_date)/365.25)</x:f>
        <x:v>3.9069130732375084</x:v>
      </x:c>
      <x:c r="U113" s="20" t="n">
        <x:f>IF(I113="Floating",D113*J113,0)</x:f>
        <x:v>206850000</x:v>
      </x:c>
      <x:c r="V113" s="20" t="n">
        <x:f>IF(A113="","",D113*N113)</x:f>
        <x:v>508260</x:v>
      </x:c>
      <x:c r="W113" s="14" t="n">
        <x:f>IF(A113='Run Snapshot'!A113,0,1)+IF(B113='Run Snapshot'!B113,0,1)+IF(C113='Run Snapshot'!C113,0,1)+IF(D113='Run Snapshot'!D113,0,1)+IF(E113='Run Snapshot'!E113,0,1)+IF(F113='Run Snapshot'!F113,0,1)+IF(G113='Run Snapshot'!G113,0,1)+IF(H113='Run Snapshot'!H113,0,1)+IF(I113='Run Snapshot'!I113,0,1)+IF(J113='Run Snapshot'!J113,0,1)+IF(K113='Run Snapshot'!K113,0,1)+IF(L113='Run Snapshot'!L113,0,1)+IF(M113='Run Snapshot'!M113,0,1)+IF(N113='Run Snapshot'!N113,0,1)+IF(O113='Run Snapshot'!O113,0,1)+IF(P113='Run Snapshot'!P113,0,1)+IF(Q113='Run Snapshot'!Q113,0,1)+IF(R113='Run Snapshot'!R113,0,1)</x:f>
        <x:v>0</x:v>
      </x:c>
      <x:c r="X113" s="15" t="n">
        <x:f>IF(A113="",0,COUNTIF($A$8:$A$289,A113)-1)</x:f>
        <x:v>0</x:v>
      </x:c>
      <x:c r="Y113" s="14" t="n">
        <x:f>IF(A113="",1,IF(OR(D113&lt;=0,N113&lt;0,N113&gt;1,M113&lt;=as_of_date),1,0))</x:f>
        <x:v>0</x:v>
      </x:c>
      <x:c r="Z113" s="170" t="n">
        <x:f>IF(A113="","",VLOOKUP(E113,SP_WARF_Factors,2,FALSE))</x:f>
        <x:v>1982</x:v>
      </x:c>
      <x:c r="AA113" s="172" t="n">
        <x:f>IF(A113="","",D113*Z113)</x:f>
        <x:v>2342724000</x:v>
      </x:c>
      <x:c r="AB113" s="170" t="n">
        <x:f>IF(A113="","",D113*ABS(Z113-SPWARF))</x:f>
        <x:v>469701168.72400004</x:v>
      </x:c>
    </x:row>
    <x:row r="114">
      <x:c r="A114" s="8" t="str">
        <x:v>SYN-LN-00107</x:v>
      </x:c>
      <x:c r="B114" s="8" t="str">
        <x:v>SYN-OB-0103</x:v>
      </x:c>
      <x:c r="C114" s="8" t="str">
        <x:v>Lakeview Corp. 103</x:v>
      </x:c>
      <x:c r="D114" s="9" t="n">
        <x:v>1182000</x:v>
      </x:c>
      <x:c r="E114" s="8" t="str">
        <x:v>BB-</x:v>
      </x:c>
      <x:c r="F114" s="8" t="str">
        <x:v>Real Estate Management &amp; Development</x:v>
      </x:c>
      <x:c r="G114" s="8" t="str">
        <x:v>United States</x:v>
      </x:c>
      <x:c r="H114" s="8" t="str">
        <x:v>1st Lien</x:v>
      </x:c>
      <x:c r="I114" s="8" t="str">
        <x:v>Floating</x:v>
      </x:c>
      <x:c r="J114" s="8" t="n">
        <x:v>220</x:v>
      </x:c>
      <x:c r="K114" s="10"/>
      <x:c r="L114" s="8" t="n">
        <x:v>0</x:v>
      </x:c>
      <x:c r="M114" s="11" t="n">
        <x:v>48943</x:v>
      </x:c>
      <x:c r="N114" s="10" t="n">
        <x:v>0.48</x:v>
      </x:c>
      <x:c r="O114" s="12" t="n">
        <x:v>94.875</x:v>
      </x:c>
      <x:c r="P114" s="13" t="n">
        <x:v>4</x:v>
      </x:c>
      <x:c r="Q114" s="8" t="str">
        <x:v>USD</x:v>
      </x:c>
      <x:c r="R114" s="8" t="str">
        <x:v>SOFR</x:v>
      </x:c>
      <x:c r="S114" s="18" t="n">
        <x:f>IF(Portfolio_Par&gt;0,D114/Portfolio_Par,"")</x:f>
        <x:v>0.00394</x:v>
      </x:c>
      <x:c r="T114" s="19" t="n">
        <x:f>IF(A114="","",(M114-as_of_date)/365.25)</x:f>
        <x:v>6.995208761122519</x:v>
      </x:c>
      <x:c r="U114" s="20" t="n">
        <x:f>IF(I114="Floating",D114*J114,0)</x:f>
        <x:v>260040000</x:v>
      </x:c>
      <x:c r="V114" s="20" t="n">
        <x:f>IF(A114="","",D114*N114)</x:f>
        <x:v>567360</x:v>
      </x:c>
      <x:c r="W114" s="14" t="n">
        <x:f>IF(A114='Run Snapshot'!A114,0,1)+IF(B114='Run Snapshot'!B114,0,1)+IF(C114='Run Snapshot'!C114,0,1)+IF(D114='Run Snapshot'!D114,0,1)+IF(E114='Run Snapshot'!E114,0,1)+IF(F114='Run Snapshot'!F114,0,1)+IF(G114='Run Snapshot'!G114,0,1)+IF(H114='Run Snapshot'!H114,0,1)+IF(I114='Run Snapshot'!I114,0,1)+IF(J114='Run Snapshot'!J114,0,1)+IF(K114='Run Snapshot'!K114,0,1)+IF(L114='Run Snapshot'!L114,0,1)+IF(M114='Run Snapshot'!M114,0,1)+IF(N114='Run Snapshot'!N114,0,1)+IF(O114='Run Snapshot'!O114,0,1)+IF(P114='Run Snapshot'!P114,0,1)+IF(Q114='Run Snapshot'!Q114,0,1)+IF(R114='Run Snapshot'!R114,0,1)</x:f>
        <x:v>0</x:v>
      </x:c>
      <x:c r="X114" s="15" t="n">
        <x:f>IF(A114="",0,COUNTIF($A$8:$A$289,A114)-1)</x:f>
        <x:v>0</x:v>
      </x:c>
      <x:c r="Y114" s="14" t="n">
        <x:f>IF(A114="",1,IF(OR(D114&lt;=0,N114&lt;0,N114&gt;1,M114&lt;=as_of_date),1,0))</x:f>
        <x:v>0</x:v>
      </x:c>
      <x:c r="Z114" s="170" t="n">
        <x:f>IF(A114="","",VLOOKUP(E114,SP_WARF_Factors,2,FALSE))</x:f>
        <x:v>1565.44</x:v>
      </x:c>
      <x:c r="AA114" s="172" t="n">
        <x:f>IF(A114="","",D114*Z114)</x:f>
        <x:v>1850350080</x:v>
      </x:c>
      <x:c r="AB114" s="170" t="n">
        <x:f>IF(A114="","",D114*ABS(Z114-SPWARF))</x:f>
        <x:v>962075088.724</x:v>
      </x:c>
    </x:row>
    <x:row r="115">
      <x:c r="A115" s="8" t="str">
        <x:v>SYN-LN-00108</x:v>
      </x:c>
      <x:c r="B115" s="8" t="str">
        <x:v>SYN-OB-0104</x:v>
      </x:c>
      <x:c r="C115" s="8" t="str">
        <x:v>Larkspur Group 104</x:v>
      </x:c>
      <x:c r="D115" s="9" t="n">
        <x:v>630000</x:v>
      </x:c>
      <x:c r="E115" s="8" t="str">
        <x:v>B-</x:v>
      </x:c>
      <x:c r="F115" s="8" t="str">
        <x:v>Software</x:v>
      </x:c>
      <x:c r="G115" s="8" t="str">
        <x:v>United States</x:v>
      </x:c>
      <x:c r="H115" s="8" t="str">
        <x:v>1st Lien</x:v>
      </x:c>
      <x:c r="I115" s="8" t="str">
        <x:v>Fixed</x:v>
      </x:c>
      <x:c r="J115" s="8"/>
      <x:c r="K115" s="10" t="n">
        <x:v>0.046875</x:v>
      </x:c>
      <x:c r="L115" s="8"/>
      <x:c r="M115" s="11" t="n">
        <x:v>47419</x:v>
      </x:c>
      <x:c r="N115" s="10" t="n">
        <x:v>0.465</x:v>
      </x:c>
      <x:c r="O115" s="12" t="n">
        <x:v>99</x:v>
      </x:c>
      <x:c r="P115" s="13" t="n">
        <x:v>2</x:v>
      </x:c>
      <x:c r="Q115" s="8" t="str">
        <x:v>USD</x:v>
      </x:c>
      <x:c r="R115" s="8"/>
      <x:c r="S115" s="18" t="n">
        <x:f>IF(Portfolio_Par&gt;0,D115/Portfolio_Par,"")</x:f>
        <x:v>0.0021</x:v>
      </x:c>
      <x:c r="T115" s="19" t="n">
        <x:f>IF(A115="","",(M115-as_of_date)/365.25)</x:f>
        <x:v>2.8227241615331966</x:v>
      </x:c>
      <x:c r="U115" s="20" t="n">
        <x:f>IF(I115="Floating",D115*J115,0)</x:f>
        <x:v>0</x:v>
      </x:c>
      <x:c r="V115" s="20" t="n">
        <x:f>IF(A115="","",D115*N115)</x:f>
        <x:v>292950</x:v>
      </x:c>
      <x:c r="W115" s="14" t="n">
        <x:f>IF(A115='Run Snapshot'!A115,0,1)+IF(B115='Run Snapshot'!B115,0,1)+IF(C115='Run Snapshot'!C115,0,1)+IF(D115='Run Snapshot'!D115,0,1)+IF(E115='Run Snapshot'!E115,0,1)+IF(F115='Run Snapshot'!F115,0,1)+IF(G115='Run Snapshot'!G115,0,1)+IF(H115='Run Snapshot'!H115,0,1)+IF(I115='Run Snapshot'!I115,0,1)+IF(J115='Run Snapshot'!J115,0,1)+IF(K115='Run Snapshot'!K115,0,1)+IF(L115='Run Snapshot'!L115,0,1)+IF(M115='Run Snapshot'!M115,0,1)+IF(N115='Run Snapshot'!N115,0,1)+IF(O115='Run Snapshot'!O115,0,1)+IF(P115='Run Snapshot'!P115,0,1)+IF(Q115='Run Snapshot'!Q115,0,1)+IF(R115='Run Snapshot'!R115,0,1)</x:f>
        <x:v>0</x:v>
      </x:c>
      <x:c r="X115" s="15" t="n">
        <x:f>IF(A115="",0,COUNTIF($A$8:$A$289,A115)-1)</x:f>
        <x:v>0</x:v>
      </x:c>
      <x:c r="Y115" s="14" t="n">
        <x:f>IF(A115="",1,IF(OR(D115&lt;=0,N115&lt;0,N115&gt;1,M115&lt;=as_of_date),1,0))</x:f>
        <x:v>0</x:v>
      </x:c>
      <x:c r="Z115" s="170" t="n">
        <x:f>IF(A115="","",VLOOKUP(E115,SP_WARF_Factors,2,FALSE))</x:f>
        <x:v>3610.11</x:v>
      </x:c>
      <x:c r="AA115" s="172" t="n">
        <x:f>IF(A115="","",D115*Z115)</x:f>
        <x:v>2274369300</x:v>
      </x:c>
      <x:c r="AB115" s="170" t="n">
        <x:f>IF(A115="","",D115*ABS(Z115-SPWARF))</x:f>
        <x:v>775360961.34</x:v>
      </x:c>
    </x:row>
    <x:row r="116">
      <x:c r="A116" s="8" t="str">
        <x:v>SYN-LN-00109</x:v>
      </x:c>
      <x:c r="B116" s="8" t="str">
        <x:v>SYN-OB-0105</x:v>
      </x:c>
      <x:c r="C116" s="8" t="str">
        <x:v>Maple LLC 105</x:v>
      </x:c>
      <x:c r="D116" s="9" t="n">
        <x:v>1182000</x:v>
      </x:c>
      <x:c r="E116" s="8" t="str">
        <x:v>B</x:v>
      </x:c>
      <x:c r="F116" s="8" t="str">
        <x:v>Construction &amp; Engineering</x:v>
      </x:c>
      <x:c r="G116" s="8" t="str">
        <x:v>United States</x:v>
      </x:c>
      <x:c r="H116" s="8" t="str">
        <x:v>1st Lien</x:v>
      </x:c>
      <x:c r="I116" s="8" t="str">
        <x:v>Floating</x:v>
      </x:c>
      <x:c r="J116" s="8" t="n">
        <x:v>350</x:v>
      </x:c>
      <x:c r="K116" s="10"/>
      <x:c r="L116" s="8" t="n">
        <x:v>0</x:v>
      </x:c>
      <x:c r="M116" s="11" t="n">
        <x:v>49092</x:v>
      </x:c>
      <x:c r="N116" s="10" t="n">
        <x:v>0.335</x:v>
      </x:c>
      <x:c r="O116" s="12" t="n">
        <x:v>99.625</x:v>
      </x:c>
      <x:c r="P116" s="13" t="n">
        <x:v>4</x:v>
      </x:c>
      <x:c r="Q116" s="8" t="str">
        <x:v>USD</x:v>
      </x:c>
      <x:c r="R116" s="8" t="str">
        <x:v>SOFR</x:v>
      </x:c>
      <x:c r="S116" s="18" t="n">
        <x:f>IF(Portfolio_Par&gt;0,D116/Portfolio_Par,"")</x:f>
        <x:v>0.00394</x:v>
      </x:c>
      <x:c r="T116" s="19" t="n">
        <x:f>IF(A116="","",(M116-as_of_date)/365.25)</x:f>
        <x:v>7.403148528405202</x:v>
      </x:c>
      <x:c r="U116" s="20" t="n">
        <x:f>IF(I116="Floating",D116*J116,0)</x:f>
        <x:v>413700000</x:v>
      </x:c>
      <x:c r="V116" s="20" t="n">
        <x:f>IF(A116="","",D116*N116)</x:f>
        <x:v>395970</x:v>
      </x:c>
      <x:c r="W116" s="14" t="n">
        <x:f>IF(A116='Run Snapshot'!A116,0,1)+IF(B116='Run Snapshot'!B116,0,1)+IF(C116='Run Snapshot'!C116,0,1)+IF(D116='Run Snapshot'!D116,0,1)+IF(E116='Run Snapshot'!E116,0,1)+IF(F116='Run Snapshot'!F116,0,1)+IF(G116='Run Snapshot'!G116,0,1)+IF(H116='Run Snapshot'!H116,0,1)+IF(I116='Run Snapshot'!I116,0,1)+IF(J116='Run Snapshot'!J116,0,1)+IF(K116='Run Snapshot'!K116,0,1)+IF(L116='Run Snapshot'!L116,0,1)+IF(M116='Run Snapshot'!M116,0,1)+IF(N116='Run Snapshot'!N116,0,1)+IF(O116='Run Snapshot'!O116,0,1)+IF(P116='Run Snapshot'!P116,0,1)+IF(Q116='Run Snapshot'!Q116,0,1)+IF(R116='Run Snapshot'!R116,0,1)</x:f>
        <x:v>0</x:v>
      </x:c>
      <x:c r="X116" s="15" t="n">
        <x:f>IF(A116="",0,COUNTIF($A$8:$A$289,A116)-1)</x:f>
        <x:v>0</x:v>
      </x:c>
      <x:c r="Y116" s="14" t="n">
        <x:f>IF(A116="",1,IF(OR(D116&lt;=0,N116&lt;0,N116&gt;1,M116&lt;=as_of_date),1,0))</x:f>
        <x:v>0</x:v>
      </x:c>
      <x:c r="Z116" s="170" t="n">
        <x:f>IF(A116="","",VLOOKUP(E116,SP_WARF_Factors,2,FALSE))</x:f>
        <x:v>2859.5</x:v>
      </x:c>
      <x:c r="AA116" s="172" t="n">
        <x:f>IF(A116="","",D116*Z116)</x:f>
        <x:v>3379929000</x:v>
      </x:c>
      <x:c r="AB116" s="170" t="n">
        <x:f>IF(A116="","",D116*ABS(Z116-SPWARF))</x:f>
        <x:v>567503831.2759999</x:v>
      </x:c>
    </x:row>
    <x:row r="117">
      <x:c r="A117" s="8" t="str">
        <x:v>SYN-LN-00110</x:v>
      </x:c>
      <x:c r="B117" s="8" t="str">
        <x:v>SYN-OB-0106</x:v>
      </x:c>
      <x:c r="C117" s="8" t="str">
        <x:v>Meridian Holdings 106</x:v>
      </x:c>
      <x:c r="D117" s="9" t="n">
        <x:v>1182000</x:v>
      </x:c>
      <x:c r="E117" s="8" t="str">
        <x:v>B+</x:v>
      </x:c>
      <x:c r="F117" s="8" t="str">
        <x:v>Electric Utilities</x:v>
      </x:c>
      <x:c r="G117" s="8" t="str">
        <x:v>United States</x:v>
      </x:c>
      <x:c r="H117" s="8" t="str">
        <x:v>1st Lien</x:v>
      </x:c>
      <x:c r="I117" s="8" t="str">
        <x:v>Floating</x:v>
      </x:c>
      <x:c r="J117" s="8" t="n">
        <x:v>340</x:v>
      </x:c>
      <x:c r="K117" s="10"/>
      <x:c r="L117" s="8" t="n">
        <x:v>0</x:v>
      </x:c>
      <x:c r="M117" s="11" t="n">
        <x:v>47570</x:v>
      </x:c>
      <x:c r="N117" s="10" t="n">
        <x:v>0.375</x:v>
      </x:c>
      <x:c r="O117" s="12" t="n">
        <x:v>99</x:v>
      </x:c>
      <x:c r="P117" s="13" t="n">
        <x:v>4</x:v>
      </x:c>
      <x:c r="Q117" s="8" t="str">
        <x:v>USD</x:v>
      </x:c>
      <x:c r="R117" s="8" t="str">
        <x:v>SOFR</x:v>
      </x:c>
      <x:c r="S117" s="18" t="n">
        <x:f>IF(Portfolio_Par&gt;0,D117/Portfolio_Par,"")</x:f>
        <x:v>0.00394</x:v>
      </x:c>
      <x:c r="T117" s="19" t="n">
        <x:f>IF(A117="","",(M117-as_of_date)/365.25)</x:f>
        <x:v>3.2361396303901437</x:v>
      </x:c>
      <x:c r="U117" s="20" t="n">
        <x:f>IF(I117="Floating",D117*J117,0)</x:f>
        <x:v>401880000</x:v>
      </x:c>
      <x:c r="V117" s="20" t="n">
        <x:f>IF(A117="","",D117*N117)</x:f>
        <x:v>443250</x:v>
      </x:c>
      <x:c r="W117" s="14" t="n">
        <x:f>IF(A117='Run Snapshot'!A117,0,1)+IF(B117='Run Snapshot'!B117,0,1)+IF(C117='Run Snapshot'!C117,0,1)+IF(D117='Run Snapshot'!D117,0,1)+IF(E117='Run Snapshot'!E117,0,1)+IF(F117='Run Snapshot'!F117,0,1)+IF(G117='Run Snapshot'!G117,0,1)+IF(H117='Run Snapshot'!H117,0,1)+IF(I117='Run Snapshot'!I117,0,1)+IF(J117='Run Snapshot'!J117,0,1)+IF(K117='Run Snapshot'!K117,0,1)+IF(L117='Run Snapshot'!L117,0,1)+IF(M117='Run Snapshot'!M117,0,1)+IF(N117='Run Snapshot'!N117,0,1)+IF(O117='Run Snapshot'!O117,0,1)+IF(P117='Run Snapshot'!P117,0,1)+IF(Q117='Run Snapshot'!Q117,0,1)+IF(R117='Run Snapshot'!R117,0,1)</x:f>
        <x:v>0</x:v>
      </x:c>
      <x:c r="X117" s="15" t="n">
        <x:f>IF(A117="",0,COUNTIF($A$8:$A$289,A117)-1)</x:f>
        <x:v>0</x:v>
      </x:c>
      <x:c r="Y117" s="14" t="n">
        <x:f>IF(A117="",1,IF(OR(D117&lt;=0,N117&lt;0,N117&gt;1,M117&lt;=as_of_date),1,0))</x:f>
        <x:v>0</x:v>
      </x:c>
      <x:c r="Z117" s="170" t="n">
        <x:f>IF(A117="","",VLOOKUP(E117,SP_WARF_Factors,2,FALSE))</x:f>
        <x:v>1982</x:v>
      </x:c>
      <x:c r="AA117" s="172" t="n">
        <x:f>IF(A117="","",D117*Z117)</x:f>
        <x:v>2342724000</x:v>
      </x:c>
      <x:c r="AB117" s="170" t="n">
        <x:f>IF(A117="","",D117*ABS(Z117-SPWARF))</x:f>
        <x:v>469701168.72400004</x:v>
      </x:c>
    </x:row>
    <x:row r="118">
      <x:c r="A118" s="8" t="str">
        <x:v>SYN-LN-00111</x:v>
      </x:c>
      <x:c r="B118" s="8" t="str">
        <x:v>SYN-OB-0107</x:v>
      </x:c>
      <x:c r="C118" s="8" t="str">
        <x:v>Northfield Inc. 107</x:v>
      </x:c>
      <x:c r="D118" s="9" t="n">
        <x:v>630000</x:v>
      </x:c>
      <x:c r="E118" s="8" t="str">
        <x:v>A-</x:v>
      </x:c>
      <x:c r="F118" s="8" t="str">
        <x:v>Diversified Consumer Services</x:v>
      </x:c>
      <x:c r="G118" s="8" t="str">
        <x:v>Netherlands</x:v>
      </x:c>
      <x:c r="H118" s="8" t="str">
        <x:v>1st Lien</x:v>
      </x:c>
      <x:c r="I118" s="8" t="str">
        <x:v>Floating</x:v>
      </x:c>
      <x:c r="J118" s="8" t="n">
        <x:v>325</x:v>
      </x:c>
      <x:c r="K118" s="10"/>
      <x:c r="L118" s="8" t="n">
        <x:v>0</x:v>
      </x:c>
      <x:c r="M118" s="11" t="n">
        <x:v>48243</x:v>
      </x:c>
      <x:c r="N118" s="10" t="n">
        <x:v>0.565</x:v>
      </x:c>
      <x:c r="O118" s="12" t="n">
        <x:v>101.5</x:v>
      </x:c>
      <x:c r="P118" s="13" t="n">
        <x:v>4</x:v>
      </x:c>
      <x:c r="Q118" s="8" t="str">
        <x:v>USD</x:v>
      </x:c>
      <x:c r="R118" s="8" t="str">
        <x:v>SOFR</x:v>
      </x:c>
      <x:c r="S118" s="18" t="n">
        <x:f>IF(Portfolio_Par&gt;0,D118/Portfolio_Par,"")</x:f>
        <x:v>0.0021</x:v>
      </x:c>
      <x:c r="T118" s="19" t="n">
        <x:f>IF(A118="","",(M118-as_of_date)/365.25)</x:f>
        <x:v>5.078713210130048</x:v>
      </x:c>
      <x:c r="U118" s="20" t="n">
        <x:f>IF(I118="Floating",D118*J118,0)</x:f>
        <x:v>204750000</x:v>
      </x:c>
      <x:c r="V118" s="20" t="n">
        <x:f>IF(A118="","",D118*N118)</x:f>
        <x:v>355949.99999999994</x:v>
      </x:c>
      <x:c r="W118" s="14" t="n">
        <x:f>IF(A118='Run Snapshot'!A118,0,1)+IF(B118='Run Snapshot'!B118,0,1)+IF(C118='Run Snapshot'!C118,0,1)+IF(D118='Run Snapshot'!D118,0,1)+IF(E118='Run Snapshot'!E118,0,1)+IF(F118='Run Snapshot'!F118,0,1)+IF(G118='Run Snapshot'!G118,0,1)+IF(H118='Run Snapshot'!H118,0,1)+IF(I118='Run Snapshot'!I118,0,1)+IF(J118='Run Snapshot'!J118,0,1)+IF(K118='Run Snapshot'!K118,0,1)+IF(L118='Run Snapshot'!L118,0,1)+IF(M118='Run Snapshot'!M118,0,1)+IF(N118='Run Snapshot'!N118,0,1)+IF(O118='Run Snapshot'!O118,0,1)+IF(P118='Run Snapshot'!P118,0,1)+IF(Q118='Run Snapshot'!Q118,0,1)+IF(R118='Run Snapshot'!R118,0,1)</x:f>
        <x:v>0</x:v>
      </x:c>
      <x:c r="X118" s="15" t="n">
        <x:f>IF(A118="",0,COUNTIF($A$8:$A$289,A118)-1)</x:f>
        <x:v>0</x:v>
      </x:c>
      <x:c r="Y118" s="14" t="n">
        <x:f>IF(A118="",1,IF(OR(D118&lt;=0,N118&lt;0,N118&gt;1,M118&lt;=as_of_date),1,0))</x:f>
        <x:v>0</x:v>
      </x:c>
      <x:c r="Z118" s="170" t="n">
        <x:f>IF(A118="","",VLOOKUP(E118,SP_WARF_Factors,2,FALSE))</x:f>
        <x:v>199.83</x:v>
      </x:c>
      <x:c r="AA118" s="172" t="n">
        <x:f>IF(A118="","",D118*Z118)</x:f>
        <x:v>125892900.00000001</x:v>
      </x:c>
      <x:c r="AB118" s="170" t="n">
        <x:f>IF(A118="","",D118*ABS(Z118-SPWARF))</x:f>
        <x:v>1373115438.66</x:v>
      </x:c>
    </x:row>
    <x:row r="119">
      <x:c r="A119" s="8" t="str">
        <x:v>SYN-LN-00112</x:v>
      </x:c>
      <x:c r="B119" s="8" t="str">
        <x:v>SYN-OB-0108</x:v>
      </x:c>
      <x:c r="C119" s="8" t="str">
        <x:v>Oakmont Corp. 108</x:v>
      </x:c>
      <x:c r="D119" s="9" t="n">
        <x:v>630000</x:v>
      </x:c>
      <x:c r="E119" s="8" t="str">
        <x:v>B</x:v>
      </x:c>
      <x:c r="F119" s="8" t="str">
        <x:v>Wireless Telecommunication Services</x:v>
      </x:c>
      <x:c r="G119" s="8" t="str">
        <x:v>Luxembourg</x:v>
      </x:c>
      <x:c r="H119" s="8" t="str">
        <x:v>1st Lien</x:v>
      </x:c>
      <x:c r="I119" s="8" t="str">
        <x:v>Floating</x:v>
      </x:c>
      <x:c r="J119" s="8" t="n">
        <x:v>315</x:v>
      </x:c>
      <x:c r="K119" s="10"/>
      <x:c r="L119" s="8" t="n">
        <x:v>50</x:v>
      </x:c>
      <x:c r="M119" s="11" t="n">
        <x:v>48149</x:v>
      </x:c>
      <x:c r="N119" s="10" t="n">
        <x:v>0.37</x:v>
      </x:c>
      <x:c r="O119" s="12" t="n">
        <x:v>98.875</x:v>
      </x:c>
      <x:c r="P119" s="13" t="n">
        <x:v>4</x:v>
      </x:c>
      <x:c r="Q119" s="8" t="str">
        <x:v>USD</x:v>
      </x:c>
      <x:c r="R119" s="8" t="str">
        <x:v>SOFR</x:v>
      </x:c>
      <x:c r="S119" s="18" t="n">
        <x:f>IF(Portfolio_Par&gt;0,D119/Portfolio_Par,"")</x:f>
        <x:v>0.0021</x:v>
      </x:c>
      <x:c r="T119" s="19" t="n">
        <x:f>IF(A119="","",(M119-as_of_date)/365.25)</x:f>
        <x:v>4.82135523613963</x:v>
      </x:c>
      <x:c r="U119" s="20" t="n">
        <x:f>IF(I119="Floating",D119*J119,0)</x:f>
        <x:v>198450000</x:v>
      </x:c>
      <x:c r="V119" s="20" t="n">
        <x:f>IF(A119="","",D119*N119)</x:f>
        <x:v>233100</x:v>
      </x:c>
      <x:c r="W119" s="14" t="n">
        <x:f>IF(A119='Run Snapshot'!A119,0,1)+IF(B119='Run Snapshot'!B119,0,1)+IF(C119='Run Snapshot'!C119,0,1)+IF(D119='Run Snapshot'!D119,0,1)+IF(E119='Run Snapshot'!E119,0,1)+IF(F119='Run Snapshot'!F119,0,1)+IF(G119='Run Snapshot'!G119,0,1)+IF(H119='Run Snapshot'!H119,0,1)+IF(I119='Run Snapshot'!I119,0,1)+IF(J119='Run Snapshot'!J119,0,1)+IF(K119='Run Snapshot'!K119,0,1)+IF(L119='Run Snapshot'!L119,0,1)+IF(M119='Run Snapshot'!M119,0,1)+IF(N119='Run Snapshot'!N119,0,1)+IF(O119='Run Snapshot'!O119,0,1)+IF(P119='Run Snapshot'!P119,0,1)+IF(Q119='Run Snapshot'!Q119,0,1)+IF(R119='Run Snapshot'!R119,0,1)</x:f>
        <x:v>0</x:v>
      </x:c>
      <x:c r="X119" s="15" t="n">
        <x:f>IF(A119="",0,COUNTIF($A$8:$A$289,A119)-1)</x:f>
        <x:v>0</x:v>
      </x:c>
      <x:c r="Y119" s="14" t="n">
        <x:f>IF(A119="",1,IF(OR(D119&lt;=0,N119&lt;0,N119&gt;1,M119&lt;=as_of_date),1,0))</x:f>
        <x:v>0</x:v>
      </x:c>
      <x:c r="Z119" s="170" t="n">
        <x:f>IF(A119="","",VLOOKUP(E119,SP_WARF_Factors,2,FALSE))</x:f>
        <x:v>2859.5</x:v>
      </x:c>
      <x:c r="AA119" s="172" t="n">
        <x:f>IF(A119="","",D119*Z119)</x:f>
        <x:v>1801485000</x:v>
      </x:c>
      <x:c r="AB119" s="170" t="n">
        <x:f>IF(A119="","",D119*ABS(Z119-SPWARF))</x:f>
        <x:v>302476661.34</x:v>
      </x:c>
    </x:row>
    <x:row r="120">
      <x:c r="A120" s="8" t="str">
        <x:v>SYN-LN-00113</x:v>
      </x:c>
      <x:c r="B120" s="8" t="str">
        <x:v>SYN-OB-0109</x:v>
      </x:c>
      <x:c r="C120" s="8" t="str">
        <x:v>Orchard Group 109</x:v>
      </x:c>
      <x:c r="D120" s="9" t="n">
        <x:v>1220000</x:v>
      </x:c>
      <x:c r="E120" s="8" t="str">
        <x:v>B</x:v>
      </x:c>
      <x:c r="F120" s="8" t="str">
        <x:v>Healthcare Providers &amp; Services</x:v>
      </x:c>
      <x:c r="G120" s="8" t="str">
        <x:v>United States</x:v>
      </x:c>
      <x:c r="H120" s="8" t="str">
        <x:v>1st Lien</x:v>
      </x:c>
      <x:c r="I120" s="8" t="str">
        <x:v>Floating</x:v>
      </x:c>
      <x:c r="J120" s="8" t="n">
        <x:v>255</x:v>
      </x:c>
      <x:c r="K120" s="10"/>
      <x:c r="L120" s="8" t="n">
        <x:v>0</x:v>
      </x:c>
      <x:c r="M120" s="11" t="n">
        <x:v>48454</x:v>
      </x:c>
      <x:c r="N120" s="10" t="n">
        <x:v>0.455</x:v>
      </x:c>
      <x:c r="O120" s="12" t="n">
        <x:v>97.75</x:v>
      </x:c>
      <x:c r="P120" s="13" t="n">
        <x:v>4</x:v>
      </x:c>
      <x:c r="Q120" s="8" t="str">
        <x:v>USD</x:v>
      </x:c>
      <x:c r="R120" s="8" t="str">
        <x:v>SOFR</x:v>
      </x:c>
      <x:c r="S120" s="18" t="n">
        <x:f>IF(Portfolio_Par&gt;0,D120/Portfolio_Par,"")</x:f>
        <x:v>0.004066666666666666</x:v>
      </x:c>
      <x:c r="T120" s="19" t="n">
        <x:f>IF(A120="","",(M120-as_of_date)/365.25)</x:f>
        <x:v>5.6563997262149215</x:v>
      </x:c>
      <x:c r="U120" s="20" t="n">
        <x:f>IF(I120="Floating",D120*J120,0)</x:f>
        <x:v>311100000</x:v>
      </x:c>
      <x:c r="V120" s="20" t="n">
        <x:f>IF(A120="","",D120*N120)</x:f>
        <x:v>555100</x:v>
      </x:c>
      <x:c r="W120" s="14" t="n">
        <x:f>IF(A120='Run Snapshot'!A120,0,1)+IF(B120='Run Snapshot'!B120,0,1)+IF(C120='Run Snapshot'!C120,0,1)+IF(D120='Run Snapshot'!D120,0,1)+IF(E120='Run Snapshot'!E120,0,1)+IF(F120='Run Snapshot'!F120,0,1)+IF(G120='Run Snapshot'!G120,0,1)+IF(H120='Run Snapshot'!H120,0,1)+IF(I120='Run Snapshot'!I120,0,1)+IF(J120='Run Snapshot'!J120,0,1)+IF(K120='Run Snapshot'!K120,0,1)+IF(L120='Run Snapshot'!L120,0,1)+IF(M120='Run Snapshot'!M120,0,1)+IF(N120='Run Snapshot'!N120,0,1)+IF(O120='Run Snapshot'!O120,0,1)+IF(P120='Run Snapshot'!P120,0,1)+IF(Q120='Run Snapshot'!Q120,0,1)+IF(R120='Run Snapshot'!R120,0,1)</x:f>
        <x:v>0</x:v>
      </x:c>
      <x:c r="X120" s="15" t="n">
        <x:f>IF(A120="",0,COUNTIF($A$8:$A$289,A120)-1)</x:f>
        <x:v>0</x:v>
      </x:c>
      <x:c r="Y120" s="14" t="n">
        <x:f>IF(A120="",1,IF(OR(D120&lt;=0,N120&lt;0,N120&gt;1,M120&lt;=as_of_date),1,0))</x:f>
        <x:v>0</x:v>
      </x:c>
      <x:c r="Z120" s="170" t="n">
        <x:f>IF(A120="","",VLOOKUP(E120,SP_WARF_Factors,2,FALSE))</x:f>
        <x:v>2859.5</x:v>
      </x:c>
      <x:c r="AA120" s="172" t="n">
        <x:f>IF(A120="","",D120*Z120)</x:f>
        <x:v>3488590000</x:v>
      </x:c>
      <x:c r="AB120" s="170" t="n">
        <x:f>IF(A120="","",D120*ABS(Z120-SPWARF))</x:f>
        <x:v>585748455.2933333</x:v>
      </x:c>
    </x:row>
    <x:row r="121">
      <x:c r="A121" s="8" t="str">
        <x:v>SYN-LN-00114</x:v>
      </x:c>
      <x:c r="B121" s="8" t="str">
        <x:v>SYN-OB-0110</x:v>
      </x:c>
      <x:c r="C121" s="8" t="str">
        <x:v>Pinecrest LLC 110</x:v>
      </x:c>
      <x:c r="D121" s="9" t="n">
        <x:v>1182000</x:v>
      </x:c>
      <x:c r="E121" s="8" t="str">
        <x:v>B</x:v>
      </x:c>
      <x:c r="F121" s="8" t="str">
        <x:v>Chemicals</x:v>
      </x:c>
      <x:c r="G121" s="8" t="str">
        <x:v>Netherlands</x:v>
      </x:c>
      <x:c r="H121" s="8" t="str">
        <x:v>1st Lien</x:v>
      </x:c>
      <x:c r="I121" s="8" t="str">
        <x:v>Floating</x:v>
      </x:c>
      <x:c r="J121" s="8" t="n">
        <x:v>340</x:v>
      </x:c>
      <x:c r="K121" s="10"/>
      <x:c r="L121" s="8" t="n">
        <x:v>0</x:v>
      </x:c>
      <x:c r="M121" s="11" t="n">
        <x:v>48867</x:v>
      </x:c>
      <x:c r="N121" s="10" t="n">
        <x:v>0.425</x:v>
      </x:c>
      <x:c r="O121" s="12" t="n">
        <x:v>100.5</x:v>
      </x:c>
      <x:c r="P121" s="13" t="n">
        <x:v>4</x:v>
      </x:c>
      <x:c r="Q121" s="8" t="str">
        <x:v>USD</x:v>
      </x:c>
      <x:c r="R121" s="8" t="str">
        <x:v>SOFR</x:v>
      </x:c>
      <x:c r="S121" s="18" t="n">
        <x:f>IF(Portfolio_Par&gt;0,D121/Portfolio_Par,"")</x:f>
        <x:v>0.00394</x:v>
      </x:c>
      <x:c r="T121" s="19" t="n">
        <x:f>IF(A121="","",(M121-as_of_date)/365.25)</x:f>
        <x:v>6.787132101300479</x:v>
      </x:c>
      <x:c r="U121" s="20" t="n">
        <x:f>IF(I121="Floating",D121*J121,0)</x:f>
        <x:v>401880000</x:v>
      </x:c>
      <x:c r="V121" s="20" t="n">
        <x:f>IF(A121="","",D121*N121)</x:f>
        <x:v>502350</x:v>
      </x:c>
      <x:c r="W121" s="14" t="n">
        <x:f>IF(A121='Run Snapshot'!A121,0,1)+IF(B121='Run Snapshot'!B121,0,1)+IF(C121='Run Snapshot'!C121,0,1)+IF(D121='Run Snapshot'!D121,0,1)+IF(E121='Run Snapshot'!E121,0,1)+IF(F121='Run Snapshot'!F121,0,1)+IF(G121='Run Snapshot'!G121,0,1)+IF(H121='Run Snapshot'!H121,0,1)+IF(I121='Run Snapshot'!I121,0,1)+IF(J121='Run Snapshot'!J121,0,1)+IF(K121='Run Snapshot'!K121,0,1)+IF(L121='Run Snapshot'!L121,0,1)+IF(M121='Run Snapshot'!M121,0,1)+IF(N121='Run Snapshot'!N121,0,1)+IF(O121='Run Snapshot'!O121,0,1)+IF(P121='Run Snapshot'!P121,0,1)+IF(Q121='Run Snapshot'!Q121,0,1)+IF(R121='Run Snapshot'!R121,0,1)</x:f>
        <x:v>0</x:v>
      </x:c>
      <x:c r="X121" s="15" t="n">
        <x:f>IF(A121="",0,COUNTIF($A$8:$A$289,A121)-1)</x:f>
        <x:v>0</x:v>
      </x:c>
      <x:c r="Y121" s="14" t="n">
        <x:f>IF(A121="",1,IF(OR(D121&lt;=0,N121&lt;0,N121&gt;1,M121&lt;=as_of_date),1,0))</x:f>
        <x:v>0</x:v>
      </x:c>
      <x:c r="Z121" s="170" t="n">
        <x:f>IF(A121="","",VLOOKUP(E121,SP_WARF_Factors,2,FALSE))</x:f>
        <x:v>2859.5</x:v>
      </x:c>
      <x:c r="AA121" s="172" t="n">
        <x:f>IF(A121="","",D121*Z121)</x:f>
        <x:v>3379929000</x:v>
      </x:c>
      <x:c r="AB121" s="170" t="n">
        <x:f>IF(A121="","",D121*ABS(Z121-SPWARF))</x:f>
        <x:v>567503831.2759999</x:v>
      </x:c>
    </x:row>
    <x:row r="122">
      <x:c r="A122" s="8" t="str">
        <x:v>SYN-LN-00115</x:v>
      </x:c>
      <x:c r="B122" s="8" t="str">
        <x:v>SYN-OB-0111</x:v>
      </x:c>
      <x:c r="C122" s="8" t="str">
        <x:v>Redwood Holdings 111</x:v>
      </x:c>
      <x:c r="D122" s="9" t="n">
        <x:v>1182000</x:v>
      </x:c>
      <x:c r="E122" s="8" t="str">
        <x:v>B+</x:v>
      </x:c>
      <x:c r="F122" s="8" t="str">
        <x:v>Media</x:v>
      </x:c>
      <x:c r="G122" s="8" t="str">
        <x:v>United States</x:v>
      </x:c>
      <x:c r="H122" s="8" t="str">
        <x:v>1st Lien</x:v>
      </x:c>
      <x:c r="I122" s="8" t="str">
        <x:v>Floating</x:v>
      </x:c>
      <x:c r="J122" s="8" t="n">
        <x:v>265</x:v>
      </x:c>
      <x:c r="K122" s="10"/>
      <x:c r="L122" s="8" t="n">
        <x:v>0</x:v>
      </x:c>
      <x:c r="M122" s="11" t="n">
        <x:v>48027</x:v>
      </x:c>
      <x:c r="N122" s="10" t="n">
        <x:v>0.2</x:v>
      </x:c>
      <x:c r="O122" s="12" t="n">
        <x:v>100.625</x:v>
      </x:c>
      <x:c r="P122" s="13" t="n">
        <x:v>4</x:v>
      </x:c>
      <x:c r="Q122" s="8" t="str">
        <x:v>USD</x:v>
      </x:c>
      <x:c r="R122" s="8" t="str">
        <x:v>SOFR</x:v>
      </x:c>
      <x:c r="S122" s="18" t="n">
        <x:f>IF(Portfolio_Par&gt;0,D122/Portfolio_Par,"")</x:f>
        <x:v>0.00394</x:v>
      </x:c>
      <x:c r="T122" s="19" t="n">
        <x:f>IF(A122="","",(M122-as_of_date)/365.25)</x:f>
        <x:v>4.487337440109514</x:v>
      </x:c>
      <x:c r="U122" s="20" t="n">
        <x:f>IF(I122="Floating",D122*J122,0)</x:f>
        <x:v>313230000</x:v>
      </x:c>
      <x:c r="V122" s="20" t="n">
        <x:f>IF(A122="","",D122*N122)</x:f>
        <x:v>236400</x:v>
      </x:c>
      <x:c r="W122" s="14" t="n">
        <x:f>IF(A122='Run Snapshot'!A122,0,1)+IF(B122='Run Snapshot'!B122,0,1)+IF(C122='Run Snapshot'!C122,0,1)+IF(D122='Run Snapshot'!D122,0,1)+IF(E122='Run Snapshot'!E122,0,1)+IF(F122='Run Snapshot'!F122,0,1)+IF(G122='Run Snapshot'!G122,0,1)+IF(H122='Run Snapshot'!H122,0,1)+IF(I122='Run Snapshot'!I122,0,1)+IF(J122='Run Snapshot'!J122,0,1)+IF(K122='Run Snapshot'!K122,0,1)+IF(L122='Run Snapshot'!L122,0,1)+IF(M122='Run Snapshot'!M122,0,1)+IF(N122='Run Snapshot'!N122,0,1)+IF(O122='Run Snapshot'!O122,0,1)+IF(P122='Run Snapshot'!P122,0,1)+IF(Q122='Run Snapshot'!Q122,0,1)+IF(R122='Run Snapshot'!R122,0,1)</x:f>
        <x:v>0</x:v>
      </x:c>
      <x:c r="X122" s="15" t="n">
        <x:f>IF(A122="",0,COUNTIF($A$8:$A$289,A122)-1)</x:f>
        <x:v>0</x:v>
      </x:c>
      <x:c r="Y122" s="14" t="n">
        <x:f>IF(A122="",1,IF(OR(D122&lt;=0,N122&lt;0,N122&gt;1,M122&lt;=as_of_date),1,0))</x:f>
        <x:v>0</x:v>
      </x:c>
      <x:c r="Z122" s="170" t="n">
        <x:f>IF(A122="","",VLOOKUP(E122,SP_WARF_Factors,2,FALSE))</x:f>
        <x:v>1982</x:v>
      </x:c>
      <x:c r="AA122" s="172" t="n">
        <x:f>IF(A122="","",D122*Z122)</x:f>
        <x:v>2342724000</x:v>
      </x:c>
      <x:c r="AB122" s="170" t="n">
        <x:f>IF(A122="","",D122*ABS(Z122-SPWARF))</x:f>
        <x:v>469701168.72400004</x:v>
      </x:c>
    </x:row>
    <x:row r="123">
      <x:c r="A123" s="8" t="str">
        <x:v>SYN-LN-00116</x:v>
      </x:c>
      <x:c r="B123" s="8" t="str">
        <x:v>SYN-OB-0112</x:v>
      </x:c>
      <x:c r="C123" s="8" t="str">
        <x:v>Riverton Inc. 112</x:v>
      </x:c>
      <x:c r="D123" s="9" t="n">
        <x:v>1182000</x:v>
      </x:c>
      <x:c r="E123" s="8" t="str">
        <x:v>B</x:v>
      </x:c>
      <x:c r="F123" s="8" t="str">
        <x:v>IT Services</x:v>
      </x:c>
      <x:c r="G123" s="8" t="str">
        <x:v>United States</x:v>
      </x:c>
      <x:c r="H123" s="8" t="str">
        <x:v>1st Lien</x:v>
      </x:c>
      <x:c r="I123" s="8" t="str">
        <x:v>Floating</x:v>
      </x:c>
      <x:c r="J123" s="8" t="n">
        <x:v>290</x:v>
      </x:c>
      <x:c r="K123" s="10"/>
      <x:c r="L123" s="8" t="n">
        <x:v>0</x:v>
      </x:c>
      <x:c r="M123" s="11" t="n">
        <x:v>48533</x:v>
      </x:c>
      <x:c r="N123" s="10" t="n">
        <x:v>0.235</x:v>
      </x:c>
      <x:c r="O123" s="12" t="n">
        <x:v>99.75</x:v>
      </x:c>
      <x:c r="P123" s="13" t="n">
        <x:v>4</x:v>
      </x:c>
      <x:c r="Q123" s="8" t="str">
        <x:v>USD</x:v>
      </x:c>
      <x:c r="R123" s="8" t="str">
        <x:v>SOFR</x:v>
      </x:c>
      <x:c r="S123" s="18" t="n">
        <x:f>IF(Portfolio_Par&gt;0,D123/Portfolio_Par,"")</x:f>
        <x:v>0.00394</x:v>
      </x:c>
      <x:c r="T123" s="19" t="n">
        <x:f>IF(A123="","",(M123-as_of_date)/365.25)</x:f>
        <x:v>5.8726899383983575</x:v>
      </x:c>
      <x:c r="U123" s="20" t="n">
        <x:f>IF(I123="Floating",D123*J123,0)</x:f>
        <x:v>342780000</x:v>
      </x:c>
      <x:c r="V123" s="20" t="n">
        <x:f>IF(A123="","",D123*N123)</x:f>
        <x:v>277770</x:v>
      </x:c>
      <x:c r="W123" s="14" t="n">
        <x:f>IF(A123='Run Snapshot'!A123,0,1)+IF(B123='Run Snapshot'!B123,0,1)+IF(C123='Run Snapshot'!C123,0,1)+IF(D123='Run Snapshot'!D123,0,1)+IF(E123='Run Snapshot'!E123,0,1)+IF(F123='Run Snapshot'!F123,0,1)+IF(G123='Run Snapshot'!G123,0,1)+IF(H123='Run Snapshot'!H123,0,1)+IF(I123='Run Snapshot'!I123,0,1)+IF(J123='Run Snapshot'!J123,0,1)+IF(K123='Run Snapshot'!K123,0,1)+IF(L123='Run Snapshot'!L123,0,1)+IF(M123='Run Snapshot'!M123,0,1)+IF(N123='Run Snapshot'!N123,0,1)+IF(O123='Run Snapshot'!O123,0,1)+IF(P123='Run Snapshot'!P123,0,1)+IF(Q123='Run Snapshot'!Q123,0,1)+IF(R123='Run Snapshot'!R123,0,1)</x:f>
        <x:v>0</x:v>
      </x:c>
      <x:c r="X123" s="15" t="n">
        <x:f>IF(A123="",0,COUNTIF($A$8:$A$289,A123)-1)</x:f>
        <x:v>0</x:v>
      </x:c>
      <x:c r="Y123" s="14" t="n">
        <x:f>IF(A123="",1,IF(OR(D123&lt;=0,N123&lt;0,N123&gt;1,M123&lt;=as_of_date),1,0))</x:f>
        <x:v>0</x:v>
      </x:c>
      <x:c r="Z123" s="170" t="n">
        <x:f>IF(A123="","",VLOOKUP(E123,SP_WARF_Factors,2,FALSE))</x:f>
        <x:v>2859.5</x:v>
      </x:c>
      <x:c r="AA123" s="172" t="n">
        <x:f>IF(A123="","",D123*Z123)</x:f>
        <x:v>3379929000</x:v>
      </x:c>
      <x:c r="AB123" s="170" t="n">
        <x:f>IF(A123="","",D123*ABS(Z123-SPWARF))</x:f>
        <x:v>567503831.2759999</x:v>
      </x:c>
    </x:row>
    <x:row r="124">
      <x:c r="A124" s="8" t="str">
        <x:v>SYN-LN-00117</x:v>
      </x:c>
      <x:c r="B124" s="8" t="str">
        <x:v>SYN-OB-0113</x:v>
      </x:c>
      <x:c r="C124" s="8" t="str">
        <x:v>Silver Corp. 113</x:v>
      </x:c>
      <x:c r="D124" s="9" t="n">
        <x:v>1182000</x:v>
      </x:c>
      <x:c r="E124" s="8" t="str">
        <x:v>B-</x:v>
      </x:c>
      <x:c r="F124" s="8" t="str">
        <x:v>Healthcare Technology</x:v>
      </x:c>
      <x:c r="G124" s="8" t="str">
        <x:v>United States</x:v>
      </x:c>
      <x:c r="H124" s="8" t="str">
        <x:v>1st Lien</x:v>
      </x:c>
      <x:c r="I124" s="8" t="str">
        <x:v>Floating</x:v>
      </x:c>
      <x:c r="J124" s="8" t="n">
        <x:v>365</x:v>
      </x:c>
      <x:c r="K124" s="10"/>
      <x:c r="L124" s="8" t="n">
        <x:v>0</x:v>
      </x:c>
      <x:c r="M124" s="11" t="n">
        <x:v>48119</x:v>
      </x:c>
      <x:c r="N124" s="10" t="n">
        <x:v>0.24</x:v>
      </x:c>
      <x:c r="O124" s="12" t="n">
        <x:v>100</x:v>
      </x:c>
      <x:c r="P124" s="13" t="n">
        <x:v>4</x:v>
      </x:c>
      <x:c r="Q124" s="8" t="str">
        <x:v>USD</x:v>
      </x:c>
      <x:c r="R124" s="8" t="str">
        <x:v>SOFR</x:v>
      </x:c>
      <x:c r="S124" s="18" t="n">
        <x:f>IF(Portfolio_Par&gt;0,D124/Portfolio_Par,"")</x:f>
        <x:v>0.00394</x:v>
      </x:c>
      <x:c r="T124" s="19" t="n">
        <x:f>IF(A124="","",(M124-as_of_date)/365.25)</x:f>
        <x:v>4.739219712525667</x:v>
      </x:c>
      <x:c r="U124" s="20" t="n">
        <x:f>IF(I124="Floating",D124*J124,0)</x:f>
        <x:v>431430000</x:v>
      </x:c>
      <x:c r="V124" s="20" t="n">
        <x:f>IF(A124="","",D124*N124)</x:f>
        <x:v>283680</x:v>
      </x:c>
      <x:c r="W124" s="14" t="n">
        <x:f>IF(A124='Run Snapshot'!A124,0,1)+IF(B124='Run Snapshot'!B124,0,1)+IF(C124='Run Snapshot'!C124,0,1)+IF(D124='Run Snapshot'!D124,0,1)+IF(E124='Run Snapshot'!E124,0,1)+IF(F124='Run Snapshot'!F124,0,1)+IF(G124='Run Snapshot'!G124,0,1)+IF(H124='Run Snapshot'!H124,0,1)+IF(I124='Run Snapshot'!I124,0,1)+IF(J124='Run Snapshot'!J124,0,1)+IF(K124='Run Snapshot'!K124,0,1)+IF(L124='Run Snapshot'!L124,0,1)+IF(M124='Run Snapshot'!M124,0,1)+IF(N124='Run Snapshot'!N124,0,1)+IF(O124='Run Snapshot'!O124,0,1)+IF(P124='Run Snapshot'!P124,0,1)+IF(Q124='Run Snapshot'!Q124,0,1)+IF(R124='Run Snapshot'!R124,0,1)</x:f>
        <x:v>0</x:v>
      </x:c>
      <x:c r="X124" s="15" t="n">
        <x:f>IF(A124="",0,COUNTIF($A$8:$A$289,A124)-1)</x:f>
        <x:v>0</x:v>
      </x:c>
      <x:c r="Y124" s="14" t="n">
        <x:f>IF(A124="",1,IF(OR(D124&lt;=0,N124&lt;0,N124&gt;1,M124&lt;=as_of_date),1,0))</x:f>
        <x:v>0</x:v>
      </x:c>
      <x:c r="Z124" s="170" t="n">
        <x:f>IF(A124="","",VLOOKUP(E124,SP_WARF_Factors,2,FALSE))</x:f>
        <x:v>3610.11</x:v>
      </x:c>
      <x:c r="AA124" s="172" t="n">
        <x:f>IF(A124="","",D124*Z124)</x:f>
        <x:v>4267150020</x:v>
      </x:c>
      <x:c r="AB124" s="170" t="n">
        <x:f>IF(A124="","",D124*ABS(Z124-SPWARF))</x:f>
        <x:v>1454724851.276</x:v>
      </x:c>
    </x:row>
    <x:row r="125">
      <x:c r="A125" s="8" t="str">
        <x:v>SYN-LN-00118</x:v>
      </x:c>
      <x:c r="B125" s="8" t="str">
        <x:v>SYN-OB-0114</x:v>
      </x:c>
      <x:c r="C125" s="8" t="str">
        <x:v>Stonebridge Group 114</x:v>
      </x:c>
      <x:c r="D125" s="9" t="n">
        <x:v>1224000</x:v>
      </x:c>
      <x:c r="E125" s="8" t="str">
        <x:v>B</x:v>
      </x:c>
      <x:c r="F125" s="8" t="str">
        <x:v>Healthcare Providers &amp; Services</x:v>
      </x:c>
      <x:c r="G125" s="8" t="str">
        <x:v>United States</x:v>
      </x:c>
      <x:c r="H125" s="8" t="str">
        <x:v>1st Lien</x:v>
      </x:c>
      <x:c r="I125" s="8" t="str">
        <x:v>Floating</x:v>
      </x:c>
      <x:c r="J125" s="8" t="n">
        <x:v>300</x:v>
      </x:c>
      <x:c r="K125" s="10"/>
      <x:c r="L125" s="8" t="n">
        <x:v>0</x:v>
      </x:c>
      <x:c r="M125" s="11" t="n">
        <x:v>47756</x:v>
      </x:c>
      <x:c r="N125" s="10" t="n">
        <x:v>0.335</x:v>
      </x:c>
      <x:c r="O125" s="12" t="n">
        <x:v>98.875</x:v>
      </x:c>
      <x:c r="P125" s="13" t="n">
        <x:v>4</x:v>
      </x:c>
      <x:c r="Q125" s="8" t="str">
        <x:v>USD</x:v>
      </x:c>
      <x:c r="R125" s="8" t="str">
        <x:v>SOFR</x:v>
      </x:c>
      <x:c r="S125" s="18" t="n">
        <x:f>IF(Portfolio_Par&gt;0,D125/Portfolio_Par,"")</x:f>
        <x:v>0.00408</x:v>
      </x:c>
      <x:c r="T125" s="19" t="n">
        <x:f>IF(A125="","",(M125-as_of_date)/365.25)</x:f>
        <x:v>3.7453798767967146</x:v>
      </x:c>
      <x:c r="U125" s="20" t="n">
        <x:f>IF(I125="Floating",D125*J125,0)</x:f>
        <x:v>367200000</x:v>
      </x:c>
      <x:c r="V125" s="20" t="n">
        <x:f>IF(A125="","",D125*N125)</x:f>
        <x:v>410040</x:v>
      </x:c>
      <x:c r="W125" s="14" t="n">
        <x:f>IF(A125='Run Snapshot'!A125,0,1)+IF(B125='Run Snapshot'!B125,0,1)+IF(C125='Run Snapshot'!C125,0,1)+IF(D125='Run Snapshot'!D125,0,1)+IF(E125='Run Snapshot'!E125,0,1)+IF(F125='Run Snapshot'!F125,0,1)+IF(G125='Run Snapshot'!G125,0,1)+IF(H125='Run Snapshot'!H125,0,1)+IF(I125='Run Snapshot'!I125,0,1)+IF(J125='Run Snapshot'!J125,0,1)+IF(K125='Run Snapshot'!K125,0,1)+IF(L125='Run Snapshot'!L125,0,1)+IF(M125='Run Snapshot'!M125,0,1)+IF(N125='Run Snapshot'!N125,0,1)+IF(O125='Run Snapshot'!O125,0,1)+IF(P125='Run Snapshot'!P125,0,1)+IF(Q125='Run Snapshot'!Q125,0,1)+IF(R125='Run Snapshot'!R125,0,1)</x:f>
        <x:v>0</x:v>
      </x:c>
      <x:c r="X125" s="15" t="n">
        <x:f>IF(A125="",0,COUNTIF($A$8:$A$289,A125)-1)</x:f>
        <x:v>0</x:v>
      </x:c>
      <x:c r="Y125" s="14" t="n">
        <x:f>IF(A125="",1,IF(OR(D125&lt;=0,N125&lt;0,N125&gt;1,M125&lt;=as_of_date),1,0))</x:f>
        <x:v>0</x:v>
      </x:c>
      <x:c r="Z125" s="170" t="n">
        <x:f>IF(A125="","",VLOOKUP(E125,SP_WARF_Factors,2,FALSE))</x:f>
        <x:v>2859.5</x:v>
      </x:c>
      <x:c r="AA125" s="172" t="n">
        <x:f>IF(A125="","",D125*Z125)</x:f>
        <x:v>3500028000</x:v>
      </x:c>
      <x:c r="AB125" s="170" t="n">
        <x:f>IF(A125="","",D125*ABS(Z125-SPWARF))</x:f>
        <x:v>587668942.032</x:v>
      </x:c>
    </x:row>
    <x:row r="126">
      <x:c r="A126" s="8" t="str">
        <x:v>SYN-LN-00119</x:v>
      </x:c>
      <x:c r="B126" s="8" t="str">
        <x:v>SYN-OB-0115</x:v>
      </x:c>
      <x:c r="C126" s="8" t="str">
        <x:v>Summit LLC 115</x:v>
      </x:c>
      <x:c r="D126" s="9" t="n">
        <x:v>610000</x:v>
      </x:c>
      <x:c r="E126" s="8" t="str">
        <x:v>B+</x:v>
      </x:c>
      <x:c r="F126" s="8" t="str">
        <x:v>Life Sciences Tools &amp; Services</x:v>
      </x:c>
      <x:c r="G126" s="8" t="str">
        <x:v>United States</x:v>
      </x:c>
      <x:c r="H126" s="8" t="str">
        <x:v>1st Lien</x:v>
      </x:c>
      <x:c r="I126" s="8" t="str">
        <x:v>Floating</x:v>
      </x:c>
      <x:c r="J126" s="8" t="n">
        <x:v>255</x:v>
      </x:c>
      <x:c r="K126" s="10"/>
      <x:c r="L126" s="8" t="n">
        <x:v>50</x:v>
      </x:c>
      <x:c r="M126" s="11" t="n">
        <x:v>48197</x:v>
      </x:c>
      <x:c r="N126" s="10" t="n">
        <x:v>0.505</x:v>
      </x:c>
      <x:c r="O126" s="12" t="n">
        <x:v>101.5</x:v>
      </x:c>
      <x:c r="P126" s="13" t="n">
        <x:v>4</x:v>
      </x:c>
      <x:c r="Q126" s="8" t="str">
        <x:v>USD</x:v>
      </x:c>
      <x:c r="R126" s="8" t="str">
        <x:v>SOFR</x:v>
      </x:c>
      <x:c r="S126" s="18" t="n">
        <x:f>IF(Portfolio_Par&gt;0,D126/Portfolio_Par,"")</x:f>
        <x:v>0.002033333333333333</x:v>
      </x:c>
      <x:c r="T126" s="19" t="n">
        <x:f>IF(A126="","",(M126-as_of_date)/365.25)</x:f>
        <x:v>4.952772073921971</x:v>
      </x:c>
      <x:c r="U126" s="20" t="n">
        <x:f>IF(I126="Floating",D126*J126,0)</x:f>
        <x:v>155550000</x:v>
      </x:c>
      <x:c r="V126" s="20" t="n">
        <x:f>IF(A126="","",D126*N126)</x:f>
        <x:v>308050</x:v>
      </x:c>
      <x:c r="W126" s="14" t="n">
        <x:f>IF(A126='Run Snapshot'!A126,0,1)+IF(B126='Run Snapshot'!B126,0,1)+IF(C126='Run Snapshot'!C126,0,1)+IF(D126='Run Snapshot'!D126,0,1)+IF(E126='Run Snapshot'!E126,0,1)+IF(F126='Run Snapshot'!F126,0,1)+IF(G126='Run Snapshot'!G126,0,1)+IF(H126='Run Snapshot'!H126,0,1)+IF(I126='Run Snapshot'!I126,0,1)+IF(J126='Run Snapshot'!J126,0,1)+IF(K126='Run Snapshot'!K126,0,1)+IF(L126='Run Snapshot'!L126,0,1)+IF(M126='Run Snapshot'!M126,0,1)+IF(N126='Run Snapshot'!N126,0,1)+IF(O126='Run Snapshot'!O126,0,1)+IF(P126='Run Snapshot'!P126,0,1)+IF(Q126='Run Snapshot'!Q126,0,1)+IF(R126='Run Snapshot'!R126,0,1)</x:f>
        <x:v>0</x:v>
      </x:c>
      <x:c r="X126" s="15" t="n">
        <x:f>IF(A126="",0,COUNTIF($A$8:$A$289,A126)-1)</x:f>
        <x:v>0</x:v>
      </x:c>
      <x:c r="Y126" s="14" t="n">
        <x:f>IF(A126="",1,IF(OR(D126&lt;=0,N126&lt;0,N126&gt;1,M126&lt;=as_of_date),1,0))</x:f>
        <x:v>0</x:v>
      </x:c>
      <x:c r="Z126" s="170" t="n">
        <x:f>IF(A126="","",VLOOKUP(E126,SP_WARF_Factors,2,FALSE))</x:f>
        <x:v>1982</x:v>
      </x:c>
      <x:c r="AA126" s="172" t="n">
        <x:f>IF(A126="","",D126*Z126)</x:f>
        <x:v>1209020000</x:v>
      </x:c>
      <x:c r="AB126" s="170" t="n">
        <x:f>IF(A126="","",D126*ABS(Z126-SPWARF))</x:f>
        <x:v>242400772.35333335</x:v>
      </x:c>
    </x:row>
    <x:row r="127">
      <x:c r="A127" s="8" t="str">
        <x:v>SYN-LN-00120</x:v>
      </x:c>
      <x:c r="B127" s="8" t="str">
        <x:v>SYN-OB-0115</x:v>
      </x:c>
      <x:c r="C127" s="8" t="str">
        <x:v>Summit LLC 115</x:v>
      </x:c>
      <x:c r="D127" s="9" t="n">
        <x:v>572000</x:v>
      </x:c>
      <x:c r="E127" s="8" t="str">
        <x:v>B+</x:v>
      </x:c>
      <x:c r="F127" s="8" t="str">
        <x:v>Life Sciences Tools &amp; Services</x:v>
      </x:c>
      <x:c r="G127" s="8" t="str">
        <x:v>United States</x:v>
      </x:c>
      <x:c r="H127" s="8" t="str">
        <x:v>1st Lien</x:v>
      </x:c>
      <x:c r="I127" s="8" t="str">
        <x:v>Floating</x:v>
      </x:c>
      <x:c r="J127" s="8" t="n">
        <x:v>265</x:v>
      </x:c>
      <x:c r="K127" s="10"/>
      <x:c r="L127" s="8" t="n">
        <x:v>50</x:v>
      </x:c>
      <x:c r="M127" s="11" t="n">
        <x:v>48272</x:v>
      </x:c>
      <x:c r="N127" s="10" t="n">
        <x:v>0.505</x:v>
      </x:c>
      <x:c r="O127" s="12" t="n">
        <x:v>101.625</x:v>
      </x:c>
      <x:c r="P127" s="13" t="n">
        <x:v>4</x:v>
      </x:c>
      <x:c r="Q127" s="8" t="str">
        <x:v>USD</x:v>
      </x:c>
      <x:c r="R127" s="8" t="str">
        <x:v>SOFR</x:v>
      </x:c>
      <x:c r="S127" s="18" t="n">
        <x:f>IF(Portfolio_Par&gt;0,D127/Portfolio_Par,"")</x:f>
        <x:v>0.0019066666666666668</x:v>
      </x:c>
      <x:c r="T127" s="19" t="n">
        <x:f>IF(A127="","",(M127-as_of_date)/365.25)</x:f>
        <x:v>5.158110882956879</x:v>
      </x:c>
      <x:c r="U127" s="20" t="n">
        <x:f>IF(I127="Floating",D127*J127,0)</x:f>
        <x:v>151580000</x:v>
      </x:c>
      <x:c r="V127" s="20" t="n">
        <x:f>IF(A127="","",D127*N127)</x:f>
        <x:v>288860</x:v>
      </x:c>
      <x:c r="W127" s="14" t="n">
        <x:f>IF(A127='Run Snapshot'!A127,0,1)+IF(B127='Run Snapshot'!B127,0,1)+IF(C127='Run Snapshot'!C127,0,1)+IF(D127='Run Snapshot'!D127,0,1)+IF(E127='Run Snapshot'!E127,0,1)+IF(F127='Run Snapshot'!F127,0,1)+IF(G127='Run Snapshot'!G127,0,1)+IF(H127='Run Snapshot'!H127,0,1)+IF(I127='Run Snapshot'!I127,0,1)+IF(J127='Run Snapshot'!J127,0,1)+IF(K127='Run Snapshot'!K127,0,1)+IF(L127='Run Snapshot'!L127,0,1)+IF(M127='Run Snapshot'!M127,0,1)+IF(N127='Run Snapshot'!N127,0,1)+IF(O127='Run Snapshot'!O127,0,1)+IF(P127='Run Snapshot'!P127,0,1)+IF(Q127='Run Snapshot'!Q127,0,1)+IF(R127='Run Snapshot'!R127,0,1)</x:f>
        <x:v>0</x:v>
      </x:c>
      <x:c r="X127" s="15" t="n">
        <x:f>IF(A127="",0,COUNTIF($A$8:$A$289,A127)-1)</x:f>
        <x:v>0</x:v>
      </x:c>
      <x:c r="Y127" s="14" t="n">
        <x:f>IF(A127="",1,IF(OR(D127&lt;=0,N127&lt;0,N127&gt;1,M127&lt;=as_of_date),1,0))</x:f>
        <x:v>0</x:v>
      </x:c>
      <x:c r="Z127" s="170" t="n">
        <x:f>IF(A127="","",VLOOKUP(E127,SP_WARF_Factors,2,FALSE))</x:f>
        <x:v>1982</x:v>
      </x:c>
      <x:c r="AA127" s="172" t="n">
        <x:f>IF(A127="","",D127*Z127)</x:f>
        <x:v>1133704000</x:v>
      </x:c>
      <x:c r="AB127" s="170" t="n">
        <x:f>IF(A127="","",D127*ABS(Z127-SPWARF))</x:f>
        <x:v>227300396.37066668</x:v>
      </x:c>
    </x:row>
    <x:row r="128">
      <x:c r="A128" s="8" t="str">
        <x:v>SYN-LN-00121</x:v>
      </x:c>
      <x:c r="B128" s="8" t="str">
        <x:v>SYN-OB-0116</x:v>
      </x:c>
      <x:c r="C128" s="8" t="str">
        <x:v>Timber Holdings 116</x:v>
      </x:c>
      <x:c r="D128" s="9" t="n">
        <x:v>1182000</x:v>
      </x:c>
      <x:c r="E128" s="8" t="str">
        <x:v>B</x:v>
      </x:c>
      <x:c r="F128" s="8" t="str">
        <x:v>Chemicals</x:v>
      </x:c>
      <x:c r="G128" s="8" t="str">
        <x:v>United States</x:v>
      </x:c>
      <x:c r="H128" s="8" t="str">
        <x:v>1st Lien</x:v>
      </x:c>
      <x:c r="I128" s="8" t="str">
        <x:v>Floating</x:v>
      </x:c>
      <x:c r="J128" s="8" t="n">
        <x:v>290</x:v>
      </x:c>
      <x:c r="K128" s="10"/>
      <x:c r="L128" s="8" t="n">
        <x:v>0</x:v>
      </x:c>
      <x:c r="M128" s="11" t="n">
        <x:v>48941</x:v>
      </x:c>
      <x:c r="N128" s="10" t="n">
        <x:v>0.275</x:v>
      </x:c>
      <x:c r="O128" s="12" t="n">
        <x:v>98.5</x:v>
      </x:c>
      <x:c r="P128" s="13" t="n">
        <x:v>4</x:v>
      </x:c>
      <x:c r="Q128" s="8" t="str">
        <x:v>USD</x:v>
      </x:c>
      <x:c r="R128" s="8" t="str">
        <x:v>SOFR</x:v>
      </x:c>
      <x:c r="S128" s="18" t="n">
        <x:f>IF(Portfolio_Par&gt;0,D128/Portfolio_Par,"")</x:f>
        <x:v>0.00394</x:v>
      </x:c>
      <x:c r="T128" s="19" t="n">
        <x:f>IF(A128="","",(M128-as_of_date)/365.25)</x:f>
        <x:v>6.9897330595482545</x:v>
      </x:c>
      <x:c r="U128" s="20" t="n">
        <x:f>IF(I128="Floating",D128*J128,0)</x:f>
        <x:v>342780000</x:v>
      </x:c>
      <x:c r="V128" s="20" t="n">
        <x:f>IF(A128="","",D128*N128)</x:f>
        <x:v>325050</x:v>
      </x:c>
      <x:c r="W128" s="14" t="n">
        <x:f>IF(A128='Run Snapshot'!A128,0,1)+IF(B128='Run Snapshot'!B128,0,1)+IF(C128='Run Snapshot'!C128,0,1)+IF(D128='Run Snapshot'!D128,0,1)+IF(E128='Run Snapshot'!E128,0,1)+IF(F128='Run Snapshot'!F128,0,1)+IF(G128='Run Snapshot'!G128,0,1)+IF(H128='Run Snapshot'!H128,0,1)+IF(I128='Run Snapshot'!I128,0,1)+IF(J128='Run Snapshot'!J128,0,1)+IF(K128='Run Snapshot'!K128,0,1)+IF(L128='Run Snapshot'!L128,0,1)+IF(M128='Run Snapshot'!M128,0,1)+IF(N128='Run Snapshot'!N128,0,1)+IF(O128='Run Snapshot'!O128,0,1)+IF(P128='Run Snapshot'!P128,0,1)+IF(Q128='Run Snapshot'!Q128,0,1)+IF(R128='Run Snapshot'!R128,0,1)</x:f>
        <x:v>0</x:v>
      </x:c>
      <x:c r="X128" s="15" t="n">
        <x:f>IF(A128="",0,COUNTIF($A$8:$A$289,A128)-1)</x:f>
        <x:v>0</x:v>
      </x:c>
      <x:c r="Y128" s="14" t="n">
        <x:f>IF(A128="",1,IF(OR(D128&lt;=0,N128&lt;0,N128&gt;1,M128&lt;=as_of_date),1,0))</x:f>
        <x:v>0</x:v>
      </x:c>
      <x:c r="Z128" s="170" t="n">
        <x:f>IF(A128="","",VLOOKUP(E128,SP_WARF_Factors,2,FALSE))</x:f>
        <x:v>2859.5</x:v>
      </x:c>
      <x:c r="AA128" s="172" t="n">
        <x:f>IF(A128="","",D128*Z128)</x:f>
        <x:v>3379929000</x:v>
      </x:c>
      <x:c r="AB128" s="170" t="n">
        <x:f>IF(A128="","",D128*ABS(Z128-SPWARF))</x:f>
        <x:v>567503831.2759999</x:v>
      </x:c>
    </x:row>
    <x:row r="129">
      <x:c r="A129" s="8" t="str">
        <x:v>SYN-LN-00122</x:v>
      </x:c>
      <x:c r="B129" s="8" t="str">
        <x:v>SYN-OB-0117</x:v>
      </x:c>
      <x:c r="C129" s="8" t="str">
        <x:v>Westhaven Inc. 117</x:v>
      </x:c>
      <x:c r="D129" s="9" t="n">
        <x:v>630000</x:v>
      </x:c>
      <x:c r="E129" s="8" t="str">
        <x:v>B+</x:v>
      </x:c>
      <x:c r="F129" s="8" t="str">
        <x:v>Hotels, Restaurants &amp; Leisure</x:v>
      </x:c>
      <x:c r="G129" s="8" t="str">
        <x:v>United Kingdom</x:v>
      </x:c>
      <x:c r="H129" s="8" t="str">
        <x:v>Sr Unsec</x:v>
      </x:c>
      <x:c r="I129" s="8" t="str">
        <x:v>Floating</x:v>
      </x:c>
      <x:c r="J129" s="8" t="n">
        <x:v>235</x:v>
      </x:c>
      <x:c r="K129" s="10"/>
      <x:c r="L129" s="8" t="n">
        <x:v>0</x:v>
      </x:c>
      <x:c r="M129" s="11" t="n">
        <x:v>48259</x:v>
      </x:c>
      <x:c r="N129" s="10" t="n">
        <x:v>0.2</x:v>
      </x:c>
      <x:c r="O129" s="12" t="n">
        <x:v>101.5</x:v>
      </x:c>
      <x:c r="P129" s="13" t="n">
        <x:v>4</x:v>
      </x:c>
      <x:c r="Q129" s="8" t="str">
        <x:v>USD</x:v>
      </x:c>
      <x:c r="R129" s="8" t="str">
        <x:v>SOFR</x:v>
      </x:c>
      <x:c r="S129" s="18" t="n">
        <x:f>IF(Portfolio_Par&gt;0,D129/Portfolio_Par,"")</x:f>
        <x:v>0.0021</x:v>
      </x:c>
      <x:c r="T129" s="19" t="n">
        <x:f>IF(A129="","",(M129-as_of_date)/365.25)</x:f>
        <x:v>5.122518822724161</x:v>
      </x:c>
      <x:c r="U129" s="20" t="n">
        <x:f>IF(I129="Floating",D129*J129,0)</x:f>
        <x:v>148050000</x:v>
      </x:c>
      <x:c r="V129" s="20" t="n">
        <x:f>IF(A129="","",D129*N129)</x:f>
        <x:v>126000</x:v>
      </x:c>
      <x:c r="W129" s="14" t="n">
        <x:f>IF(A129='Run Snapshot'!A129,0,1)+IF(B129='Run Snapshot'!B129,0,1)+IF(C129='Run Snapshot'!C129,0,1)+IF(D129='Run Snapshot'!D129,0,1)+IF(E129='Run Snapshot'!E129,0,1)+IF(F129='Run Snapshot'!F129,0,1)+IF(G129='Run Snapshot'!G129,0,1)+IF(H129='Run Snapshot'!H129,0,1)+IF(I129='Run Snapshot'!I129,0,1)+IF(J129='Run Snapshot'!J129,0,1)+IF(K129='Run Snapshot'!K129,0,1)+IF(L129='Run Snapshot'!L129,0,1)+IF(M129='Run Snapshot'!M129,0,1)+IF(N129='Run Snapshot'!N129,0,1)+IF(O129='Run Snapshot'!O129,0,1)+IF(P129='Run Snapshot'!P129,0,1)+IF(Q129='Run Snapshot'!Q129,0,1)+IF(R129='Run Snapshot'!R129,0,1)</x:f>
        <x:v>0</x:v>
      </x:c>
      <x:c r="X129" s="15" t="n">
        <x:f>IF(A129="",0,COUNTIF($A$8:$A$289,A129)-1)</x:f>
        <x:v>0</x:v>
      </x:c>
      <x:c r="Y129" s="14" t="n">
        <x:f>IF(A129="",1,IF(OR(D129&lt;=0,N129&lt;0,N129&gt;1,M129&lt;=as_of_date),1,0))</x:f>
        <x:v>0</x:v>
      </x:c>
      <x:c r="Z129" s="170" t="n">
        <x:f>IF(A129="","",VLOOKUP(E129,SP_WARF_Factors,2,FALSE))</x:f>
        <x:v>1982</x:v>
      </x:c>
      <x:c r="AA129" s="172" t="n">
        <x:f>IF(A129="","",D129*Z129)</x:f>
        <x:v>1248660000</x:v>
      </x:c>
      <x:c r="AB129" s="170" t="n">
        <x:f>IF(A129="","",D129*ABS(Z129-SPWARF))</x:f>
        <x:v>250348338.66000003</x:v>
      </x:c>
    </x:row>
    <x:row r="130">
      <x:c r="A130" s="8" t="str">
        <x:v>SYN-LN-00123</x:v>
      </x:c>
      <x:c r="B130" s="8" t="str">
        <x:v>SYN-OB-0118</x:v>
      </x:c>
      <x:c r="C130" s="8" t="str">
        <x:v>Willow Corp. 118</x:v>
      </x:c>
      <x:c r="D130" s="9" t="n">
        <x:v>1182000</x:v>
      </x:c>
      <x:c r="E130" s="8" t="str">
        <x:v>B-</x:v>
      </x:c>
      <x:c r="F130" s="8" t="str">
        <x:v>Consumer Finance</x:v>
      </x:c>
      <x:c r="G130" s="8" t="str">
        <x:v>United States</x:v>
      </x:c>
      <x:c r="H130" s="8" t="str">
        <x:v>1st Lien</x:v>
      </x:c>
      <x:c r="I130" s="8" t="str">
        <x:v>Floating</x:v>
      </x:c>
      <x:c r="J130" s="8" t="n">
        <x:v>380</x:v>
      </x:c>
      <x:c r="K130" s="10"/>
      <x:c r="L130" s="8" t="n">
        <x:v>0</x:v>
      </x:c>
      <x:c r="M130" s="11" t="n">
        <x:v>48548</x:v>
      </x:c>
      <x:c r="N130" s="10" t="n">
        <x:v>0.495</x:v>
      </x:c>
      <x:c r="O130" s="12" t="n">
        <x:v>100</x:v>
      </x:c>
      <x:c r="P130" s="13" t="n">
        <x:v>4</x:v>
      </x:c>
      <x:c r="Q130" s="8" t="str">
        <x:v>USD</x:v>
      </x:c>
      <x:c r="R130" s="8" t="str">
        <x:v>SOFR</x:v>
      </x:c>
      <x:c r="S130" s="18" t="n">
        <x:f>IF(Portfolio_Par&gt;0,D130/Portfolio_Par,"")</x:f>
        <x:v>0.00394</x:v>
      </x:c>
      <x:c r="T130" s="19" t="n">
        <x:f>IF(A130="","",(M130-as_of_date)/365.25)</x:f>
        <x:v>5.9137577002053385</x:v>
      </x:c>
      <x:c r="U130" s="20" t="n">
        <x:f>IF(I130="Floating",D130*J130,0)</x:f>
        <x:v>449160000</x:v>
      </x:c>
      <x:c r="V130" s="20" t="n">
        <x:f>IF(A130="","",D130*N130)</x:f>
        <x:v>585090</x:v>
      </x:c>
      <x:c r="W130" s="14" t="n">
        <x:f>IF(A130='Run Snapshot'!A130,0,1)+IF(B130='Run Snapshot'!B130,0,1)+IF(C130='Run Snapshot'!C130,0,1)+IF(D130='Run Snapshot'!D130,0,1)+IF(E130='Run Snapshot'!E130,0,1)+IF(F130='Run Snapshot'!F130,0,1)+IF(G130='Run Snapshot'!G130,0,1)+IF(H130='Run Snapshot'!H130,0,1)+IF(I130='Run Snapshot'!I130,0,1)+IF(J130='Run Snapshot'!J130,0,1)+IF(K130='Run Snapshot'!K130,0,1)+IF(L130='Run Snapshot'!L130,0,1)+IF(M130='Run Snapshot'!M130,0,1)+IF(N130='Run Snapshot'!N130,0,1)+IF(O130='Run Snapshot'!O130,0,1)+IF(P130='Run Snapshot'!P130,0,1)+IF(Q130='Run Snapshot'!Q130,0,1)+IF(R130='Run Snapshot'!R130,0,1)</x:f>
        <x:v>0</x:v>
      </x:c>
      <x:c r="X130" s="15" t="n">
        <x:f>IF(A130="",0,COUNTIF($A$8:$A$289,A130)-1)</x:f>
        <x:v>0</x:v>
      </x:c>
      <x:c r="Y130" s="14" t="n">
        <x:f>IF(A130="",1,IF(OR(D130&lt;=0,N130&lt;0,N130&gt;1,M130&lt;=as_of_date),1,0))</x:f>
        <x:v>0</x:v>
      </x:c>
      <x:c r="Z130" s="170" t="n">
        <x:f>IF(A130="","",VLOOKUP(E130,SP_WARF_Factors,2,FALSE))</x:f>
        <x:v>3610.11</x:v>
      </x:c>
      <x:c r="AA130" s="172" t="n">
        <x:f>IF(A130="","",D130*Z130)</x:f>
        <x:v>4267150020</x:v>
      </x:c>
      <x:c r="AB130" s="170" t="n">
        <x:f>IF(A130="","",D130*ABS(Z130-SPWARF))</x:f>
        <x:v>1454724851.276</x:v>
      </x:c>
    </x:row>
    <x:row r="131">
      <x:c r="A131" s="8" t="str">
        <x:v>SYN-LN-00124</x:v>
      </x:c>
      <x:c r="B131" s="8" t="str">
        <x:v>SYN-OB-0119</x:v>
      </x:c>
      <x:c r="C131" s="8" t="str">
        <x:v>Windward Group 119</x:v>
      </x:c>
      <x:c r="D131" s="9" t="n">
        <x:v>1182000</x:v>
      </x:c>
      <x:c r="E131" s="8" t="str">
        <x:v>B-</x:v>
      </x:c>
      <x:c r="F131" s="8" t="str">
        <x:v>Financial services</x:v>
      </x:c>
      <x:c r="G131" s="8" t="str">
        <x:v>United States</x:v>
      </x:c>
      <x:c r="H131" s="8" t="str">
        <x:v>1st Lien</x:v>
      </x:c>
      <x:c r="I131" s="8" t="str">
        <x:v>Floating</x:v>
      </x:c>
      <x:c r="J131" s="8" t="n">
        <x:v>250</x:v>
      </x:c>
      <x:c r="K131" s="10"/>
      <x:c r="L131" s="8" t="n">
        <x:v>0</x:v>
      </x:c>
      <x:c r="M131" s="11" t="n">
        <x:v>48395</x:v>
      </x:c>
      <x:c r="N131" s="10" t="n">
        <x:v>0.35</x:v>
      </x:c>
      <x:c r="O131" s="12" t="n">
        <x:v>98.625</x:v>
      </x:c>
      <x:c r="P131" s="13" t="n">
        <x:v>4</x:v>
      </x:c>
      <x:c r="Q131" s="8" t="str">
        <x:v>USD</x:v>
      </x:c>
      <x:c r="R131" s="8" t="str">
        <x:v>SOFR</x:v>
      </x:c>
      <x:c r="S131" s="18" t="n">
        <x:f>IF(Portfolio_Par&gt;0,D131/Portfolio_Par,"")</x:f>
        <x:v>0.00394</x:v>
      </x:c>
      <x:c r="T131" s="19" t="n">
        <x:f>IF(A131="","",(M131-as_of_date)/365.25)</x:f>
        <x:v>5.494866529774128</x:v>
      </x:c>
      <x:c r="U131" s="20" t="n">
        <x:f>IF(I131="Floating",D131*J131,0)</x:f>
        <x:v>295500000</x:v>
      </x:c>
      <x:c r="V131" s="20" t="n">
        <x:f>IF(A131="","",D131*N131)</x:f>
        <x:v>413700</x:v>
      </x:c>
      <x:c r="W131" s="14" t="n">
        <x:f>IF(A131='Run Snapshot'!A131,0,1)+IF(B131='Run Snapshot'!B131,0,1)+IF(C131='Run Snapshot'!C131,0,1)+IF(D131='Run Snapshot'!D131,0,1)+IF(E131='Run Snapshot'!E131,0,1)+IF(F131='Run Snapshot'!F131,0,1)+IF(G131='Run Snapshot'!G131,0,1)+IF(H131='Run Snapshot'!H131,0,1)+IF(I131='Run Snapshot'!I131,0,1)+IF(J131='Run Snapshot'!J131,0,1)+IF(K131='Run Snapshot'!K131,0,1)+IF(L131='Run Snapshot'!L131,0,1)+IF(M131='Run Snapshot'!M131,0,1)+IF(N131='Run Snapshot'!N131,0,1)+IF(O131='Run Snapshot'!O131,0,1)+IF(P131='Run Snapshot'!P131,0,1)+IF(Q131='Run Snapshot'!Q131,0,1)+IF(R131='Run Snapshot'!R131,0,1)</x:f>
        <x:v>0</x:v>
      </x:c>
      <x:c r="X131" s="15" t="n">
        <x:f>IF(A131="",0,COUNTIF($A$8:$A$289,A131)-1)</x:f>
        <x:v>0</x:v>
      </x:c>
      <x:c r="Y131" s="14" t="n">
        <x:f>IF(A131="",1,IF(OR(D131&lt;=0,N131&lt;0,N131&gt;1,M131&lt;=as_of_date),1,0))</x:f>
        <x:v>0</x:v>
      </x:c>
      <x:c r="Z131" s="170" t="n">
        <x:f>IF(A131="","",VLOOKUP(E131,SP_WARF_Factors,2,FALSE))</x:f>
        <x:v>3610.11</x:v>
      </x:c>
      <x:c r="AA131" s="172" t="n">
        <x:f>IF(A131="","",D131*Z131)</x:f>
        <x:v>4267150020</x:v>
      </x:c>
      <x:c r="AB131" s="170" t="n">
        <x:f>IF(A131="","",D131*ABS(Z131-SPWARF))</x:f>
        <x:v>1454724851.276</x:v>
      </x:c>
    </x:row>
    <x:row r="132">
      <x:c r="A132" s="8" t="str">
        <x:v>SYN-LN-00125</x:v>
      </x:c>
      <x:c r="B132" s="8" t="str">
        <x:v>SYN-OB-0120</x:v>
      </x:c>
      <x:c r="C132" s="8" t="str">
        <x:v>Woodland LLC 120</x:v>
      </x:c>
      <x:c r="D132" s="9" t="n">
        <x:v>1182000</x:v>
      </x:c>
      <x:c r="E132" s="8" t="str">
        <x:v>BB-</x:v>
      </x:c>
      <x:c r="F132" s="8" t="str">
        <x:v>Gas Utilities</x:v>
      </x:c>
      <x:c r="G132" s="8" t="str">
        <x:v>United States</x:v>
      </x:c>
      <x:c r="H132" s="8" t="str">
        <x:v>1st Lien</x:v>
      </x:c>
      <x:c r="I132" s="8" t="str">
        <x:v>Floating</x:v>
      </x:c>
      <x:c r="J132" s="8" t="n">
        <x:v>235</x:v>
      </x:c>
      <x:c r="K132" s="10"/>
      <x:c r="L132" s="8" t="n">
        <x:v>0</x:v>
      </x:c>
      <x:c r="M132" s="11" t="n">
        <x:v>47922</x:v>
      </x:c>
      <x:c r="N132" s="10" t="n">
        <x:v>0.45</x:v>
      </x:c>
      <x:c r="O132" s="12" t="n">
        <x:v>98.5</x:v>
      </x:c>
      <x:c r="P132" s="13" t="n">
        <x:v>4</x:v>
      </x:c>
      <x:c r="Q132" s="8" t="str">
        <x:v>USD</x:v>
      </x:c>
      <x:c r="R132" s="8" t="str">
        <x:v>SOFR</x:v>
      </x:c>
      <x:c r="S132" s="18" t="n">
        <x:f>IF(Portfolio_Par&gt;0,D132/Portfolio_Par,"")</x:f>
        <x:v>0.00394</x:v>
      </x:c>
      <x:c r="T132" s="19" t="n">
        <x:f>IF(A132="","",(M132-as_of_date)/365.25)</x:f>
        <x:v>4.199863107460644</x:v>
      </x:c>
      <x:c r="U132" s="20" t="n">
        <x:f>IF(I132="Floating",D132*J132,0)</x:f>
        <x:v>277770000</x:v>
      </x:c>
      <x:c r="V132" s="20" t="n">
        <x:f>IF(A132="","",D132*N132)</x:f>
        <x:v>531900</x:v>
      </x:c>
      <x:c r="W132" s="14" t="n">
        <x:f>IF(A132='Run Snapshot'!A132,0,1)+IF(B132='Run Snapshot'!B132,0,1)+IF(C132='Run Snapshot'!C132,0,1)+IF(D132='Run Snapshot'!D132,0,1)+IF(E132='Run Snapshot'!E132,0,1)+IF(F132='Run Snapshot'!F132,0,1)+IF(G132='Run Snapshot'!G132,0,1)+IF(H132='Run Snapshot'!H132,0,1)+IF(I132='Run Snapshot'!I132,0,1)+IF(J132='Run Snapshot'!J132,0,1)+IF(K132='Run Snapshot'!K132,0,1)+IF(L132='Run Snapshot'!L132,0,1)+IF(M132='Run Snapshot'!M132,0,1)+IF(N132='Run Snapshot'!N132,0,1)+IF(O132='Run Snapshot'!O132,0,1)+IF(P132='Run Snapshot'!P132,0,1)+IF(Q132='Run Snapshot'!Q132,0,1)+IF(R132='Run Snapshot'!R132,0,1)</x:f>
        <x:v>0</x:v>
      </x:c>
      <x:c r="X132" s="15" t="n">
        <x:f>IF(A132="",0,COUNTIF($A$8:$A$289,A132)-1)</x:f>
        <x:v>0</x:v>
      </x:c>
      <x:c r="Y132" s="14" t="n">
        <x:f>IF(A132="",1,IF(OR(D132&lt;=0,N132&lt;0,N132&gt;1,M132&lt;=as_of_date),1,0))</x:f>
        <x:v>0</x:v>
      </x:c>
      <x:c r="Z132" s="170" t="n">
        <x:f>IF(A132="","",VLOOKUP(E132,SP_WARF_Factors,2,FALSE))</x:f>
        <x:v>1565.44</x:v>
      </x:c>
      <x:c r="AA132" s="172" t="n">
        <x:f>IF(A132="","",D132*Z132)</x:f>
        <x:v>1850350080</x:v>
      </x:c>
      <x:c r="AB132" s="170" t="n">
        <x:f>IF(A132="","",D132*ABS(Z132-SPWARF))</x:f>
        <x:v>962075088.724</x:v>
      </x:c>
    </x:row>
    <x:row r="133">
      <x:c r="A133" s="8" t="str">
        <x:v>SYN-LN-00126</x:v>
      </x:c>
      <x:c r="B133" s="8" t="str">
        <x:v>SYN-OB-0121</x:v>
      </x:c>
      <x:c r="C133" s="8" t="str">
        <x:v>Alder Holdings 121</x:v>
      </x:c>
      <x:c r="D133" s="9" t="n">
        <x:v>1182000</x:v>
      </x:c>
      <x:c r="E133" s="8" t="str">
        <x:v>B-</x:v>
      </x:c>
      <x:c r="F133" s="8" t="str">
        <x:v>Software</x:v>
      </x:c>
      <x:c r="G133" s="8" t="str">
        <x:v>United States</x:v>
      </x:c>
      <x:c r="H133" s="8" t="str">
        <x:v>1st Lien</x:v>
      </x:c>
      <x:c r="I133" s="8" t="str">
        <x:v>Floating</x:v>
      </x:c>
      <x:c r="J133" s="8" t="n">
        <x:v>365</x:v>
      </x:c>
      <x:c r="K133" s="10"/>
      <x:c r="L133" s="8" t="n">
        <x:v>0</x:v>
      </x:c>
      <x:c r="M133" s="11" t="n">
        <x:v>48594</x:v>
      </x:c>
      <x:c r="N133" s="10" t="n">
        <x:v>0.36</x:v>
      </x:c>
      <x:c r="O133" s="12" t="n">
        <x:v>98.25</x:v>
      </x:c>
      <x:c r="P133" s="13" t="n">
        <x:v>4</x:v>
      </x:c>
      <x:c r="Q133" s="8" t="str">
        <x:v>USD</x:v>
      </x:c>
      <x:c r="R133" s="8" t="str">
        <x:v>SOFR</x:v>
      </x:c>
      <x:c r="S133" s="18" t="n">
        <x:f>IF(Portfolio_Par&gt;0,D133/Portfolio_Par,"")</x:f>
        <x:v>0.00394</x:v>
      </x:c>
      <x:c r="T133" s="19" t="n">
        <x:f>IF(A133="","",(M133-as_of_date)/365.25)</x:f>
        <x:v>6.039698836413415</x:v>
      </x:c>
      <x:c r="U133" s="20" t="n">
        <x:f>IF(I133="Floating",D133*J133,0)</x:f>
        <x:v>431430000</x:v>
      </x:c>
      <x:c r="V133" s="20" t="n">
        <x:f>IF(A133="","",D133*N133)</x:f>
        <x:v>425520</x:v>
      </x:c>
      <x:c r="W133" s="14" t="n">
        <x:f>IF(A133='Run Snapshot'!A133,0,1)+IF(B133='Run Snapshot'!B133,0,1)+IF(C133='Run Snapshot'!C133,0,1)+IF(D133='Run Snapshot'!D133,0,1)+IF(E133='Run Snapshot'!E133,0,1)+IF(F133='Run Snapshot'!F133,0,1)+IF(G133='Run Snapshot'!G133,0,1)+IF(H133='Run Snapshot'!H133,0,1)+IF(I133='Run Snapshot'!I133,0,1)+IF(J133='Run Snapshot'!J133,0,1)+IF(K133='Run Snapshot'!K133,0,1)+IF(L133='Run Snapshot'!L133,0,1)+IF(M133='Run Snapshot'!M133,0,1)+IF(N133='Run Snapshot'!N133,0,1)+IF(O133='Run Snapshot'!O133,0,1)+IF(P133='Run Snapshot'!P133,0,1)+IF(Q133='Run Snapshot'!Q133,0,1)+IF(R133='Run Snapshot'!R133,0,1)</x:f>
        <x:v>0</x:v>
      </x:c>
      <x:c r="X133" s="15" t="n">
        <x:f>IF(A133="",0,COUNTIF($A$8:$A$289,A133)-1)</x:f>
        <x:v>0</x:v>
      </x:c>
      <x:c r="Y133" s="14" t="n">
        <x:f>IF(A133="",1,IF(OR(D133&lt;=0,N133&lt;0,N133&gt;1,M133&lt;=as_of_date),1,0))</x:f>
        <x:v>0</x:v>
      </x:c>
      <x:c r="Z133" s="170" t="n">
        <x:f>IF(A133="","",VLOOKUP(E133,SP_WARF_Factors,2,FALSE))</x:f>
        <x:v>3610.11</x:v>
      </x:c>
      <x:c r="AA133" s="172" t="n">
        <x:f>IF(A133="","",D133*Z133)</x:f>
        <x:v>4267150020</x:v>
      </x:c>
      <x:c r="AB133" s="170" t="n">
        <x:f>IF(A133="","",D133*ABS(Z133-SPWARF))</x:f>
        <x:v>1454724851.276</x:v>
      </x:c>
    </x:row>
    <x:row r="134">
      <x:c r="A134" s="8" t="str">
        <x:v>SYN-LN-00127</x:v>
      </x:c>
      <x:c r="B134" s="8" t="str">
        <x:v>SYN-OB-0122</x:v>
      </x:c>
      <x:c r="C134" s="8" t="str">
        <x:v>Amber Inc. 122</x:v>
      </x:c>
      <x:c r="D134" s="9" t="n">
        <x:v>1182000</x:v>
      </x:c>
      <x:c r="E134" s="8" t="str">
        <x:v>BB-</x:v>
      </x:c>
      <x:c r="F134" s="8" t="str">
        <x:v>Oil, Gas &amp; Consumable Fuels</x:v>
      </x:c>
      <x:c r="G134" s="8" t="str">
        <x:v>United States</x:v>
      </x:c>
      <x:c r="H134" s="8" t="str">
        <x:v>1st Lien</x:v>
      </x:c>
      <x:c r="I134" s="8" t="str">
        <x:v>Floating</x:v>
      </x:c>
      <x:c r="J134" s="8" t="n">
        <x:v>150</x:v>
      </x:c>
      <x:c r="K134" s="10"/>
      <x:c r="L134" s="8" t="n">
        <x:v>0</x:v>
      </x:c>
      <x:c r="M134" s="11" t="n">
        <x:v>48319</x:v>
      </x:c>
      <x:c r="N134" s="10" t="n">
        <x:v>0.325</x:v>
      </x:c>
      <x:c r="O134" s="12" t="n">
        <x:v>101.5</x:v>
      </x:c>
      <x:c r="P134" s="13" t="n">
        <x:v>4</x:v>
      </x:c>
      <x:c r="Q134" s="8" t="str">
        <x:v>USD</x:v>
      </x:c>
      <x:c r="R134" s="8" t="str">
        <x:v>SOFR</x:v>
      </x:c>
      <x:c r="S134" s="18" t="n">
        <x:f>IF(Portfolio_Par&gt;0,D134/Portfolio_Par,"")</x:f>
        <x:v>0.00394</x:v>
      </x:c>
      <x:c r="T134" s="19" t="n">
        <x:f>IF(A134="","",(M134-as_of_date)/365.25)</x:f>
        <x:v>5.286789869952088</x:v>
      </x:c>
      <x:c r="U134" s="20" t="n">
        <x:f>IF(I134="Floating",D134*J134,0)</x:f>
        <x:v>177300000</x:v>
      </x:c>
      <x:c r="V134" s="20" t="n">
        <x:f>IF(A134="","",D134*N134)</x:f>
        <x:v>384150</x:v>
      </x:c>
      <x:c r="W134" s="14" t="n">
        <x:f>IF(A134='Run Snapshot'!A134,0,1)+IF(B134='Run Snapshot'!B134,0,1)+IF(C134='Run Snapshot'!C134,0,1)+IF(D134='Run Snapshot'!D134,0,1)+IF(E134='Run Snapshot'!E134,0,1)+IF(F134='Run Snapshot'!F134,0,1)+IF(G134='Run Snapshot'!G134,0,1)+IF(H134='Run Snapshot'!H134,0,1)+IF(I134='Run Snapshot'!I134,0,1)+IF(J134='Run Snapshot'!J134,0,1)+IF(K134='Run Snapshot'!K134,0,1)+IF(L134='Run Snapshot'!L134,0,1)+IF(M134='Run Snapshot'!M134,0,1)+IF(N134='Run Snapshot'!N134,0,1)+IF(O134='Run Snapshot'!O134,0,1)+IF(P134='Run Snapshot'!P134,0,1)+IF(Q134='Run Snapshot'!Q134,0,1)+IF(R134='Run Snapshot'!R134,0,1)</x:f>
        <x:v>0</x:v>
      </x:c>
      <x:c r="X134" s="15" t="n">
        <x:f>IF(A134="",0,COUNTIF($A$8:$A$289,A134)-1)</x:f>
        <x:v>0</x:v>
      </x:c>
      <x:c r="Y134" s="14" t="n">
        <x:f>IF(A134="",1,IF(OR(D134&lt;=0,N134&lt;0,N134&gt;1,M134&lt;=as_of_date),1,0))</x:f>
        <x:v>0</x:v>
      </x:c>
      <x:c r="Z134" s="170" t="n">
        <x:f>IF(A134="","",VLOOKUP(E134,SP_WARF_Factors,2,FALSE))</x:f>
        <x:v>1565.44</x:v>
      </x:c>
      <x:c r="AA134" s="172" t="n">
        <x:f>IF(A134="","",D134*Z134)</x:f>
        <x:v>1850350080</x:v>
      </x:c>
      <x:c r="AB134" s="170" t="n">
        <x:f>IF(A134="","",D134*ABS(Z134-SPWARF))</x:f>
        <x:v>962075088.724</x:v>
      </x:c>
    </x:row>
    <x:row r="135">
      <x:c r="A135" s="8" t="str">
        <x:v>SYN-LN-00128</x:v>
      </x:c>
      <x:c r="B135" s="8" t="str">
        <x:v>SYN-OB-0123</x:v>
      </x:c>
      <x:c r="C135" s="8" t="str">
        <x:v>Arbor Corp. 123</x:v>
      </x:c>
      <x:c r="D135" s="9" t="n">
        <x:v>1182000</x:v>
      </x:c>
      <x:c r="E135" s="8" t="str">
        <x:v>B+</x:v>
      </x:c>
      <x:c r="F135" s="8" t="str">
        <x:v>Media</x:v>
      </x:c>
      <x:c r="G135" s="8" t="str">
        <x:v>United States</x:v>
      </x:c>
      <x:c r="H135" s="8" t="str">
        <x:v>1st Lien</x:v>
      </x:c>
      <x:c r="I135" s="8" t="str">
        <x:v>Floating</x:v>
      </x:c>
      <x:c r="J135" s="8" t="n">
        <x:v>290</x:v>
      </x:c>
      <x:c r="K135" s="10"/>
      <x:c r="L135" s="8" t="n">
        <x:v>0</x:v>
      </x:c>
      <x:c r="M135" s="11" t="n">
        <x:v>48821</x:v>
      </x:c>
      <x:c r="N135" s="10" t="n">
        <x:v>0.535</x:v>
      </x:c>
      <x:c r="O135" s="12" t="n">
        <x:v>101.5</x:v>
      </x:c>
      <x:c r="P135" s="13" t="n">
        <x:v>4</x:v>
      </x:c>
      <x:c r="Q135" s="8" t="str">
        <x:v>USD</x:v>
      </x:c>
      <x:c r="R135" s="8" t="str">
        <x:v>SOFR</x:v>
      </x:c>
      <x:c r="S135" s="18" t="n">
        <x:f>IF(Portfolio_Par&gt;0,D135/Portfolio_Par,"")</x:f>
        <x:v>0.00394</x:v>
      </x:c>
      <x:c r="T135" s="19" t="n">
        <x:f>IF(A135="","",(M135-as_of_date)/365.25)</x:f>
        <x:v>6.661190965092403</x:v>
      </x:c>
      <x:c r="U135" s="20" t="n">
        <x:f>IF(I135="Floating",D135*J135,0)</x:f>
        <x:v>342780000</x:v>
      </x:c>
      <x:c r="V135" s="20" t="n">
        <x:f>IF(A135="","",D135*N135)</x:f>
        <x:v>632370</x:v>
      </x:c>
      <x:c r="W135" s="14" t="n">
        <x:f>IF(A135='Run Snapshot'!A135,0,1)+IF(B135='Run Snapshot'!B135,0,1)+IF(C135='Run Snapshot'!C135,0,1)+IF(D135='Run Snapshot'!D135,0,1)+IF(E135='Run Snapshot'!E135,0,1)+IF(F135='Run Snapshot'!F135,0,1)+IF(G135='Run Snapshot'!G135,0,1)+IF(H135='Run Snapshot'!H135,0,1)+IF(I135='Run Snapshot'!I135,0,1)+IF(J135='Run Snapshot'!J135,0,1)+IF(K135='Run Snapshot'!K135,0,1)+IF(L135='Run Snapshot'!L135,0,1)+IF(M135='Run Snapshot'!M135,0,1)+IF(N135='Run Snapshot'!N135,0,1)+IF(O135='Run Snapshot'!O135,0,1)+IF(P135='Run Snapshot'!P135,0,1)+IF(Q135='Run Snapshot'!Q135,0,1)+IF(R135='Run Snapshot'!R135,0,1)</x:f>
        <x:v>0</x:v>
      </x:c>
      <x:c r="X135" s="15" t="n">
        <x:f>IF(A135="",0,COUNTIF($A$8:$A$289,A135)-1)</x:f>
        <x:v>0</x:v>
      </x:c>
      <x:c r="Y135" s="14" t="n">
        <x:f>IF(A135="",1,IF(OR(D135&lt;=0,N135&lt;0,N135&gt;1,M135&lt;=as_of_date),1,0))</x:f>
        <x:v>0</x:v>
      </x:c>
      <x:c r="Z135" s="170" t="n">
        <x:f>IF(A135="","",VLOOKUP(E135,SP_WARF_Factors,2,FALSE))</x:f>
        <x:v>1982</x:v>
      </x:c>
      <x:c r="AA135" s="172" t="n">
        <x:f>IF(A135="","",D135*Z135)</x:f>
        <x:v>2342724000</x:v>
      </x:c>
      <x:c r="AB135" s="170" t="n">
        <x:f>IF(A135="","",D135*ABS(Z135-SPWARF))</x:f>
        <x:v>469701168.72400004</x:v>
      </x:c>
    </x:row>
    <x:row r="136">
      <x:c r="A136" s="8" t="str">
        <x:v>SYN-LN-00129</x:v>
      </x:c>
      <x:c r="B136" s="8" t="str">
        <x:v>SYN-OB-0124</x:v>
      </x:c>
      <x:c r="C136" s="8" t="str">
        <x:v>Atlas Group 124</x:v>
      </x:c>
      <x:c r="D136" s="9" t="n">
        <x:v>1182000</x:v>
      </x:c>
      <x:c r="E136" s="8" t="str">
        <x:v>BB-</x:v>
      </x:c>
      <x:c r="F136" s="8" t="str">
        <x:v>Hotels, Restaurants &amp; Leisure</x:v>
      </x:c>
      <x:c r="G136" s="8" t="str">
        <x:v>United States</x:v>
      </x:c>
      <x:c r="H136" s="8" t="str">
        <x:v>1st Lien</x:v>
      </x:c>
      <x:c r="I136" s="8" t="str">
        <x:v>Floating</x:v>
      </x:c>
      <x:c r="J136" s="8" t="n">
        <x:v>260</x:v>
      </x:c>
      <x:c r="K136" s="10"/>
      <x:c r="L136" s="8" t="n">
        <x:v>0</x:v>
      </x:c>
      <x:c r="M136" s="11" t="n">
        <x:v>48546</x:v>
      </x:c>
      <x:c r="N136" s="10" t="n">
        <x:v>0.285</x:v>
      </x:c>
      <x:c r="O136" s="12" t="n">
        <x:v>99.625</x:v>
      </x:c>
      <x:c r="P136" s="13" t="n">
        <x:v>4</x:v>
      </x:c>
      <x:c r="Q136" s="8" t="str">
        <x:v>USD</x:v>
      </x:c>
      <x:c r="R136" s="8" t="str">
        <x:v>SOFR</x:v>
      </x:c>
      <x:c r="S136" s="18" t="n">
        <x:f>IF(Portfolio_Par&gt;0,D136/Portfolio_Par,"")</x:f>
        <x:v>0.00394</x:v>
      </x:c>
      <x:c r="T136" s="19" t="n">
        <x:f>IF(A136="","",(M136-as_of_date)/365.25)</x:f>
        <x:v>5.908281998631074</x:v>
      </x:c>
      <x:c r="U136" s="20" t="n">
        <x:f>IF(I136="Floating",D136*J136,0)</x:f>
        <x:v>307320000</x:v>
      </x:c>
      <x:c r="V136" s="20" t="n">
        <x:f>IF(A136="","",D136*N136)</x:f>
        <x:v>336870</x:v>
      </x:c>
      <x:c r="W136" s="14" t="n">
        <x:f>IF(A136='Run Snapshot'!A136,0,1)+IF(B136='Run Snapshot'!B136,0,1)+IF(C136='Run Snapshot'!C136,0,1)+IF(D136='Run Snapshot'!D136,0,1)+IF(E136='Run Snapshot'!E136,0,1)+IF(F136='Run Snapshot'!F136,0,1)+IF(G136='Run Snapshot'!G136,0,1)+IF(H136='Run Snapshot'!H136,0,1)+IF(I136='Run Snapshot'!I136,0,1)+IF(J136='Run Snapshot'!J136,0,1)+IF(K136='Run Snapshot'!K136,0,1)+IF(L136='Run Snapshot'!L136,0,1)+IF(M136='Run Snapshot'!M136,0,1)+IF(N136='Run Snapshot'!N136,0,1)+IF(O136='Run Snapshot'!O136,0,1)+IF(P136='Run Snapshot'!P136,0,1)+IF(Q136='Run Snapshot'!Q136,0,1)+IF(R136='Run Snapshot'!R136,0,1)</x:f>
        <x:v>0</x:v>
      </x:c>
      <x:c r="X136" s="15" t="n">
        <x:f>IF(A136="",0,COUNTIF($A$8:$A$289,A136)-1)</x:f>
        <x:v>0</x:v>
      </x:c>
      <x:c r="Y136" s="14" t="n">
        <x:f>IF(A136="",1,IF(OR(D136&lt;=0,N136&lt;0,N136&gt;1,M136&lt;=as_of_date),1,0))</x:f>
        <x:v>0</x:v>
      </x:c>
      <x:c r="Z136" s="170" t="n">
        <x:f>IF(A136="","",VLOOKUP(E136,SP_WARF_Factors,2,FALSE))</x:f>
        <x:v>1565.44</x:v>
      </x:c>
      <x:c r="AA136" s="172" t="n">
        <x:f>IF(A136="","",D136*Z136)</x:f>
        <x:v>1850350080</x:v>
      </x:c>
      <x:c r="AB136" s="170" t="n">
        <x:f>IF(A136="","",D136*ABS(Z136-SPWARF))</x:f>
        <x:v>962075088.724</x:v>
      </x:c>
    </x:row>
    <x:row r="137">
      <x:c r="A137" s="8" t="str">
        <x:v>SYN-LN-00130</x:v>
      </x:c>
      <x:c r="B137" s="8" t="str">
        <x:v>SYN-OB-0125</x:v>
      </x:c>
      <x:c r="C137" s="8" t="str">
        <x:v>Beacon LLC 125</x:v>
      </x:c>
      <x:c r="D137" s="9" t="n">
        <x:v>1182000</x:v>
      </x:c>
      <x:c r="E137" s="8" t="str">
        <x:v>B+</x:v>
      </x:c>
      <x:c r="F137" s="8" t="str">
        <x:v>Insurance</x:v>
      </x:c>
      <x:c r="G137" s="8" t="str">
        <x:v>United States</x:v>
      </x:c>
      <x:c r="H137" s="8" t="str">
        <x:v>1st Lien</x:v>
      </x:c>
      <x:c r="I137" s="8" t="str">
        <x:v>Floating</x:v>
      </x:c>
      <x:c r="J137" s="8" t="n">
        <x:v>305</x:v>
      </x:c>
      <x:c r="K137" s="10"/>
      <x:c r="L137" s="8" t="n">
        <x:v>0</x:v>
      </x:c>
      <x:c r="M137" s="11" t="n">
        <x:v>48167</x:v>
      </x:c>
      <x:c r="N137" s="10" t="n">
        <x:v>0.34</x:v>
      </x:c>
      <x:c r="O137" s="12" t="n">
        <x:v>100.75</x:v>
      </x:c>
      <x:c r="P137" s="13" t="n">
        <x:v>4</x:v>
      </x:c>
      <x:c r="Q137" s="8" t="str">
        <x:v>USD</x:v>
      </x:c>
      <x:c r="R137" s="8" t="str">
        <x:v>SOFR</x:v>
      </x:c>
      <x:c r="S137" s="18" t="n">
        <x:f>IF(Portfolio_Par&gt;0,D137/Portfolio_Par,"")</x:f>
        <x:v>0.00394</x:v>
      </x:c>
      <x:c r="T137" s="19" t="n">
        <x:f>IF(A137="","",(M137-as_of_date)/365.25)</x:f>
        <x:v>4.870636550308008</x:v>
      </x:c>
      <x:c r="U137" s="20" t="n">
        <x:f>IF(I137="Floating",D137*J137,0)</x:f>
        <x:v>360510000</x:v>
      </x:c>
      <x:c r="V137" s="20" t="n">
        <x:f>IF(A137="","",D137*N137)</x:f>
        <x:v>401880</x:v>
      </x:c>
      <x:c r="W137" s="14" t="n">
        <x:f>IF(A137='Run Snapshot'!A137,0,1)+IF(B137='Run Snapshot'!B137,0,1)+IF(C137='Run Snapshot'!C137,0,1)+IF(D137='Run Snapshot'!D137,0,1)+IF(E137='Run Snapshot'!E137,0,1)+IF(F137='Run Snapshot'!F137,0,1)+IF(G137='Run Snapshot'!G137,0,1)+IF(H137='Run Snapshot'!H137,0,1)+IF(I137='Run Snapshot'!I137,0,1)+IF(J137='Run Snapshot'!J137,0,1)+IF(K137='Run Snapshot'!K137,0,1)+IF(L137='Run Snapshot'!L137,0,1)+IF(M137='Run Snapshot'!M137,0,1)+IF(N137='Run Snapshot'!N137,0,1)+IF(O137='Run Snapshot'!O137,0,1)+IF(P137='Run Snapshot'!P137,0,1)+IF(Q137='Run Snapshot'!Q137,0,1)+IF(R137='Run Snapshot'!R137,0,1)</x:f>
        <x:v>0</x:v>
      </x:c>
      <x:c r="X137" s="15" t="n">
        <x:f>IF(A137="",0,COUNTIF($A$8:$A$289,A137)-1)</x:f>
        <x:v>0</x:v>
      </x:c>
      <x:c r="Y137" s="14" t="n">
        <x:f>IF(A137="",1,IF(OR(D137&lt;=0,N137&lt;0,N137&gt;1,M137&lt;=as_of_date),1,0))</x:f>
        <x:v>0</x:v>
      </x:c>
      <x:c r="Z137" s="170" t="n">
        <x:f>IF(A137="","",VLOOKUP(E137,SP_WARF_Factors,2,FALSE))</x:f>
        <x:v>1982</x:v>
      </x:c>
      <x:c r="AA137" s="172" t="n">
        <x:f>IF(A137="","",D137*Z137)</x:f>
        <x:v>2342724000</x:v>
      </x:c>
      <x:c r="AB137" s="170" t="n">
        <x:f>IF(A137="","",D137*ABS(Z137-SPWARF))</x:f>
        <x:v>469701168.72400004</x:v>
      </x:c>
    </x:row>
    <x:row r="138">
      <x:c r="A138" s="8" t="str">
        <x:v>SYN-LN-00131</x:v>
      </x:c>
      <x:c r="B138" s="8" t="str">
        <x:v>SYN-OB-0126</x:v>
      </x:c>
      <x:c r="C138" s="8" t="str">
        <x:v>Bluewater Holdings 126</x:v>
      </x:c>
      <x:c r="D138" s="9" t="n">
        <x:v>1182000</x:v>
      </x:c>
      <x:c r="E138" s="8" t="str">
        <x:v>BB-</x:v>
      </x:c>
      <x:c r="F138" s="8" t="str">
        <x:v>Hotels, Restaurants &amp; Leisure</x:v>
      </x:c>
      <x:c r="G138" s="8" t="str">
        <x:v>United States</x:v>
      </x:c>
      <x:c r="H138" s="8" t="str">
        <x:v>1st Lien</x:v>
      </x:c>
      <x:c r="I138" s="8" t="str">
        <x:v>Floating</x:v>
      </x:c>
      <x:c r="J138" s="8" t="n">
        <x:v>255</x:v>
      </x:c>
      <x:c r="K138" s="10"/>
      <x:c r="L138" s="8" t="n">
        <x:v>0</x:v>
      </x:c>
      <x:c r="M138" s="11" t="n">
        <x:v>48301</x:v>
      </x:c>
      <x:c r="N138" s="10" t="n">
        <x:v>0.305</x:v>
      </x:c>
      <x:c r="O138" s="12" t="n">
        <x:v>101.125</x:v>
      </x:c>
      <x:c r="P138" s="13" t="n">
        <x:v>4</x:v>
      </x:c>
      <x:c r="Q138" s="8" t="str">
        <x:v>USD</x:v>
      </x:c>
      <x:c r="R138" s="8" t="str">
        <x:v>SOFR</x:v>
      </x:c>
      <x:c r="S138" s="18" t="n">
        <x:f>IF(Portfolio_Par&gt;0,D138/Portfolio_Par,"")</x:f>
        <x:v>0.00394</x:v>
      </x:c>
      <x:c r="T138" s="19" t="n">
        <x:f>IF(A138="","",(M138-as_of_date)/365.25)</x:f>
        <x:v>5.23750855578371</x:v>
      </x:c>
      <x:c r="U138" s="20" t="n">
        <x:f>IF(I138="Floating",D138*J138,0)</x:f>
        <x:v>301410000</x:v>
      </x:c>
      <x:c r="V138" s="20" t="n">
        <x:f>IF(A138="","",D138*N138)</x:f>
        <x:v>360510</x:v>
      </x:c>
      <x:c r="W138" s="14" t="n">
        <x:f>IF(A138='Run Snapshot'!A138,0,1)+IF(B138='Run Snapshot'!B138,0,1)+IF(C138='Run Snapshot'!C138,0,1)+IF(D138='Run Snapshot'!D138,0,1)+IF(E138='Run Snapshot'!E138,0,1)+IF(F138='Run Snapshot'!F138,0,1)+IF(G138='Run Snapshot'!G138,0,1)+IF(H138='Run Snapshot'!H138,0,1)+IF(I138='Run Snapshot'!I138,0,1)+IF(J138='Run Snapshot'!J138,0,1)+IF(K138='Run Snapshot'!K138,0,1)+IF(L138='Run Snapshot'!L138,0,1)+IF(M138='Run Snapshot'!M138,0,1)+IF(N138='Run Snapshot'!N138,0,1)+IF(O138='Run Snapshot'!O138,0,1)+IF(P138='Run Snapshot'!P138,0,1)+IF(Q138='Run Snapshot'!Q138,0,1)+IF(R138='Run Snapshot'!R138,0,1)</x:f>
        <x:v>0</x:v>
      </x:c>
      <x:c r="X138" s="15" t="n">
        <x:f>IF(A138="",0,COUNTIF($A$8:$A$289,A138)-1)</x:f>
        <x:v>0</x:v>
      </x:c>
      <x:c r="Y138" s="14" t="n">
        <x:f>IF(A138="",1,IF(OR(D138&lt;=0,N138&lt;0,N138&gt;1,M138&lt;=as_of_date),1,0))</x:f>
        <x:v>0</x:v>
      </x:c>
      <x:c r="Z138" s="170" t="n">
        <x:f>IF(A138="","",VLOOKUP(E138,SP_WARF_Factors,2,FALSE))</x:f>
        <x:v>1565.44</x:v>
      </x:c>
      <x:c r="AA138" s="172" t="n">
        <x:f>IF(A138="","",D138*Z138)</x:f>
        <x:v>1850350080</x:v>
      </x:c>
      <x:c r="AB138" s="170" t="n">
        <x:f>IF(A138="","",D138*ABS(Z138-SPWARF))</x:f>
        <x:v>962075088.724</x:v>
      </x:c>
    </x:row>
    <x:row r="139">
      <x:c r="A139" s="8" t="str">
        <x:v>SYN-LN-00132</x:v>
      </x:c>
      <x:c r="B139" s="8" t="str">
        <x:v>SYN-OB-0127</x:v>
      </x:c>
      <x:c r="C139" s="8" t="str">
        <x:v>Bracken Inc. 127</x:v>
      </x:c>
      <x:c r="D139" s="9" t="n">
        <x:v>1182000</x:v>
      </x:c>
      <x:c r="E139" s="8" t="str">
        <x:v>B-</x:v>
      </x:c>
      <x:c r="F139" s="8" t="str">
        <x:v>Energy Equipment &amp; Services</x:v>
      </x:c>
      <x:c r="G139" s="8" t="str">
        <x:v>United States</x:v>
      </x:c>
      <x:c r="H139" s="8" t="str">
        <x:v>1st Lien</x:v>
      </x:c>
      <x:c r="I139" s="8" t="str">
        <x:v>Floating</x:v>
      </x:c>
      <x:c r="J139" s="8" t="n">
        <x:v>330</x:v>
      </x:c>
      <x:c r="K139" s="10"/>
      <x:c r="L139" s="8" t="n">
        <x:v>0</x:v>
      </x:c>
      <x:c r="M139" s="11" t="n">
        <x:v>48714</x:v>
      </x:c>
      <x:c r="N139" s="10" t="n">
        <x:v>0.38</x:v>
      </x:c>
      <x:c r="O139" s="12" t="n">
        <x:v>97.875</x:v>
      </x:c>
      <x:c r="P139" s="13" t="n">
        <x:v>4</x:v>
      </x:c>
      <x:c r="Q139" s="8" t="str">
        <x:v>USD</x:v>
      </x:c>
      <x:c r="R139" s="8" t="str">
        <x:v>SOFR</x:v>
      </x:c>
      <x:c r="S139" s="18" t="n">
        <x:f>IF(Portfolio_Par&gt;0,D139/Portfolio_Par,"")</x:f>
        <x:v>0.00394</x:v>
      </x:c>
      <x:c r="T139" s="19" t="n">
        <x:f>IF(A139="","",(M139-as_of_date)/365.25)</x:f>
        <x:v>6.368240930869268</x:v>
      </x:c>
      <x:c r="U139" s="20" t="n">
        <x:f>IF(I139="Floating",D139*J139,0)</x:f>
        <x:v>390060000</x:v>
      </x:c>
      <x:c r="V139" s="20" t="n">
        <x:f>IF(A139="","",D139*N139)</x:f>
        <x:v>449160</x:v>
      </x:c>
      <x:c r="W139" s="14" t="n">
        <x:f>IF(A139='Run Snapshot'!A139,0,1)+IF(B139='Run Snapshot'!B139,0,1)+IF(C139='Run Snapshot'!C139,0,1)+IF(D139='Run Snapshot'!D139,0,1)+IF(E139='Run Snapshot'!E139,0,1)+IF(F139='Run Snapshot'!F139,0,1)+IF(G139='Run Snapshot'!G139,0,1)+IF(H139='Run Snapshot'!H139,0,1)+IF(I139='Run Snapshot'!I139,0,1)+IF(J139='Run Snapshot'!J139,0,1)+IF(K139='Run Snapshot'!K139,0,1)+IF(L139='Run Snapshot'!L139,0,1)+IF(M139='Run Snapshot'!M139,0,1)+IF(N139='Run Snapshot'!N139,0,1)+IF(O139='Run Snapshot'!O139,0,1)+IF(P139='Run Snapshot'!P139,0,1)+IF(Q139='Run Snapshot'!Q139,0,1)+IF(R139='Run Snapshot'!R139,0,1)</x:f>
        <x:v>0</x:v>
      </x:c>
      <x:c r="X139" s="15" t="n">
        <x:f>IF(A139="",0,COUNTIF($A$8:$A$289,A139)-1)</x:f>
        <x:v>0</x:v>
      </x:c>
      <x:c r="Y139" s="14" t="n">
        <x:f>IF(A139="",1,IF(OR(D139&lt;=0,N139&lt;0,N139&gt;1,M139&lt;=as_of_date),1,0))</x:f>
        <x:v>0</x:v>
      </x:c>
      <x:c r="Z139" s="170" t="n">
        <x:f>IF(A139="","",VLOOKUP(E139,SP_WARF_Factors,2,FALSE))</x:f>
        <x:v>3610.11</x:v>
      </x:c>
      <x:c r="AA139" s="172" t="n">
        <x:f>IF(A139="","",D139*Z139)</x:f>
        <x:v>4267150020</x:v>
      </x:c>
      <x:c r="AB139" s="170" t="n">
        <x:f>IF(A139="","",D139*ABS(Z139-SPWARF))</x:f>
        <x:v>1454724851.276</x:v>
      </x:c>
    </x:row>
    <x:row r="140">
      <x:c r="A140" s="8" t="str">
        <x:v>SYN-LN-00133</x:v>
      </x:c>
      <x:c r="B140" s="8" t="str">
        <x:v>SYN-OB-0128</x:v>
      </x:c>
      <x:c r="C140" s="8" t="str">
        <x:v>Cedar Corp. 128</x:v>
      </x:c>
      <x:c r="D140" s="9" t="n">
        <x:v>1182000</x:v>
      </x:c>
      <x:c r="E140" s="8" t="str">
        <x:v>B</x:v>
      </x:c>
      <x:c r="F140" s="8" t="str">
        <x:v>Healthcare Equipment &amp; Supplies</x:v>
      </x:c>
      <x:c r="G140" s="8" t="str">
        <x:v>United States</x:v>
      </x:c>
      <x:c r="H140" s="8" t="str">
        <x:v>1st Lien</x:v>
      </x:c>
      <x:c r="I140" s="8" t="str">
        <x:v>Floating</x:v>
      </x:c>
      <x:c r="J140" s="8" t="n">
        <x:v>240</x:v>
      </x:c>
      <x:c r="K140" s="10"/>
      <x:c r="L140" s="8" t="n">
        <x:v>0</x:v>
      </x:c>
      <x:c r="M140" s="11" t="n">
        <x:v>48395</x:v>
      </x:c>
      <x:c r="N140" s="10" t="n">
        <x:v>0.37</x:v>
      </x:c>
      <x:c r="O140" s="12" t="n">
        <x:v>101.5</x:v>
      </x:c>
      <x:c r="P140" s="13" t="n">
        <x:v>4</x:v>
      </x:c>
      <x:c r="Q140" s="8" t="str">
        <x:v>USD</x:v>
      </x:c>
      <x:c r="R140" s="8" t="str">
        <x:v>SOFR</x:v>
      </x:c>
      <x:c r="S140" s="18" t="n">
        <x:f>IF(Portfolio_Par&gt;0,D140/Portfolio_Par,"")</x:f>
        <x:v>0.00394</x:v>
      </x:c>
      <x:c r="T140" s="19" t="n">
        <x:f>IF(A140="","",(M140-as_of_date)/365.25)</x:f>
        <x:v>5.494866529774128</x:v>
      </x:c>
      <x:c r="U140" s="20" t="n">
        <x:f>IF(I140="Floating",D140*J140,0)</x:f>
        <x:v>283680000</x:v>
      </x:c>
      <x:c r="V140" s="20" t="n">
        <x:f>IF(A140="","",D140*N140)</x:f>
        <x:v>437340</x:v>
      </x:c>
      <x:c r="W140" s="14" t="n">
        <x:f>IF(A140='Run Snapshot'!A140,0,1)+IF(B140='Run Snapshot'!B140,0,1)+IF(C140='Run Snapshot'!C140,0,1)+IF(D140='Run Snapshot'!D140,0,1)+IF(E140='Run Snapshot'!E140,0,1)+IF(F140='Run Snapshot'!F140,0,1)+IF(G140='Run Snapshot'!G140,0,1)+IF(H140='Run Snapshot'!H140,0,1)+IF(I140='Run Snapshot'!I140,0,1)+IF(J140='Run Snapshot'!J140,0,1)+IF(K140='Run Snapshot'!K140,0,1)+IF(L140='Run Snapshot'!L140,0,1)+IF(M140='Run Snapshot'!M140,0,1)+IF(N140='Run Snapshot'!N140,0,1)+IF(O140='Run Snapshot'!O140,0,1)+IF(P140='Run Snapshot'!P140,0,1)+IF(Q140='Run Snapshot'!Q140,0,1)+IF(R140='Run Snapshot'!R140,0,1)</x:f>
        <x:v>0</x:v>
      </x:c>
      <x:c r="X140" s="15" t="n">
        <x:f>IF(A140="",0,COUNTIF($A$8:$A$289,A140)-1)</x:f>
        <x:v>0</x:v>
      </x:c>
      <x:c r="Y140" s="14" t="n">
        <x:f>IF(A140="",1,IF(OR(D140&lt;=0,N140&lt;0,N140&gt;1,M140&lt;=as_of_date),1,0))</x:f>
        <x:v>0</x:v>
      </x:c>
      <x:c r="Z140" s="170" t="n">
        <x:f>IF(A140="","",VLOOKUP(E140,SP_WARF_Factors,2,FALSE))</x:f>
        <x:v>2859.5</x:v>
      </x:c>
      <x:c r="AA140" s="172" t="n">
        <x:f>IF(A140="","",D140*Z140)</x:f>
        <x:v>3379929000</x:v>
      </x:c>
      <x:c r="AB140" s="170" t="n">
        <x:f>IF(A140="","",D140*ABS(Z140-SPWARF))</x:f>
        <x:v>567503831.2759999</x:v>
      </x:c>
    </x:row>
    <x:row r="141">
      <x:c r="A141" s="8" t="str">
        <x:v>SYN-LN-00134</x:v>
      </x:c>
      <x:c r="B141" s="8" t="str">
        <x:v>SYN-OB-0129</x:v>
      </x:c>
      <x:c r="C141" s="8" t="str">
        <x:v>Cobalt Group 129</x:v>
      </x:c>
      <x:c r="D141" s="9" t="n">
        <x:v>1182000</x:v>
      </x:c>
      <x:c r="E141" s="8" t="str">
        <x:v>B+</x:v>
      </x:c>
      <x:c r="F141" s="8" t="str">
        <x:v>Industrial Conglomerates</x:v>
      </x:c>
      <x:c r="G141" s="8" t="str">
        <x:v>United States</x:v>
      </x:c>
      <x:c r="H141" s="8" t="str">
        <x:v>1st Lien</x:v>
      </x:c>
      <x:c r="I141" s="8" t="str">
        <x:v>Floating</x:v>
      </x:c>
      <x:c r="J141" s="8" t="n">
        <x:v>300</x:v>
      </x:c>
      <x:c r="K141" s="10"/>
      <x:c r="L141" s="8" t="n">
        <x:v>0</x:v>
      </x:c>
      <x:c r="M141" s="11" t="n">
        <x:v>48106</x:v>
      </x:c>
      <x:c r="N141" s="10" t="n">
        <x:v>0.545</x:v>
      </x:c>
      <x:c r="O141" s="12" t="n">
        <x:v>101.25</x:v>
      </x:c>
      <x:c r="P141" s="13" t="n">
        <x:v>4</x:v>
      </x:c>
      <x:c r="Q141" s="8" t="str">
        <x:v>USD</x:v>
      </x:c>
      <x:c r="R141" s="8" t="str">
        <x:v>SOFR</x:v>
      </x:c>
      <x:c r="S141" s="18" t="n">
        <x:f>IF(Portfolio_Par&gt;0,D141/Portfolio_Par,"")</x:f>
        <x:v>0.00394</x:v>
      </x:c>
      <x:c r="T141" s="19" t="n">
        <x:f>IF(A141="","",(M141-as_of_date)/365.25)</x:f>
        <x:v>4.70362765229295</x:v>
      </x:c>
      <x:c r="U141" s="20" t="n">
        <x:f>IF(I141="Floating",D141*J141,0)</x:f>
        <x:v>354600000</x:v>
      </x:c>
      <x:c r="V141" s="20" t="n">
        <x:f>IF(A141="","",D141*N141)</x:f>
        <x:v>644190</x:v>
      </x:c>
      <x:c r="W141" s="14" t="n">
        <x:f>IF(A141='Run Snapshot'!A141,0,1)+IF(B141='Run Snapshot'!B141,0,1)+IF(C141='Run Snapshot'!C141,0,1)+IF(D141='Run Snapshot'!D141,0,1)+IF(E141='Run Snapshot'!E141,0,1)+IF(F141='Run Snapshot'!F141,0,1)+IF(G141='Run Snapshot'!G141,0,1)+IF(H141='Run Snapshot'!H141,0,1)+IF(I141='Run Snapshot'!I141,0,1)+IF(J141='Run Snapshot'!J141,0,1)+IF(K141='Run Snapshot'!K141,0,1)+IF(L141='Run Snapshot'!L141,0,1)+IF(M141='Run Snapshot'!M141,0,1)+IF(N141='Run Snapshot'!N141,0,1)+IF(O141='Run Snapshot'!O141,0,1)+IF(P141='Run Snapshot'!P141,0,1)+IF(Q141='Run Snapshot'!Q141,0,1)+IF(R141='Run Snapshot'!R141,0,1)</x:f>
        <x:v>0</x:v>
      </x:c>
      <x:c r="X141" s="15" t="n">
        <x:f>IF(A141="",0,COUNTIF($A$8:$A$289,A141)-1)</x:f>
        <x:v>0</x:v>
      </x:c>
      <x:c r="Y141" s="14" t="n">
        <x:f>IF(A141="",1,IF(OR(D141&lt;=0,N141&lt;0,N141&gt;1,M141&lt;=as_of_date),1,0))</x:f>
        <x:v>0</x:v>
      </x:c>
      <x:c r="Z141" s="170" t="n">
        <x:f>IF(A141="","",VLOOKUP(E141,SP_WARF_Factors,2,FALSE))</x:f>
        <x:v>1982</x:v>
      </x:c>
      <x:c r="AA141" s="172" t="n">
        <x:f>IF(A141="","",D141*Z141)</x:f>
        <x:v>2342724000</x:v>
      </x:c>
      <x:c r="AB141" s="170" t="n">
        <x:f>IF(A141="","",D141*ABS(Z141-SPWARF))</x:f>
        <x:v>469701168.72400004</x:v>
      </x:c>
    </x:row>
    <x:row r="142">
      <x:c r="A142" s="8" t="str">
        <x:v>SYN-LN-00135</x:v>
      </x:c>
      <x:c r="B142" s="8" t="str">
        <x:v>SYN-OB-0130</x:v>
      </x:c>
      <x:c r="C142" s="8" t="str">
        <x:v>Copper LLC 130</x:v>
      </x:c>
      <x:c r="D142" s="9" t="n">
        <x:v>1182000</x:v>
      </x:c>
      <x:c r="E142" s="8" t="str">
        <x:v>B</x:v>
      </x:c>
      <x:c r="F142" s="8" t="str">
        <x:v>Chemicals</x:v>
      </x:c>
      <x:c r="G142" s="8" t="str">
        <x:v>United States</x:v>
      </x:c>
      <x:c r="H142" s="8" t="str">
        <x:v>1st Lien</x:v>
      </x:c>
      <x:c r="I142" s="8" t="str">
        <x:v>Floating</x:v>
      </x:c>
      <x:c r="J142" s="8" t="n">
        <x:v>265</x:v>
      </x:c>
      <x:c r="K142" s="10"/>
      <x:c r="L142" s="8" t="n">
        <x:v>0</x:v>
      </x:c>
      <x:c r="M142" s="11" t="n">
        <x:v>47863</x:v>
      </x:c>
      <x:c r="N142" s="10" t="n">
        <x:v>0.35</x:v>
      </x:c>
      <x:c r="O142" s="12" t="n">
        <x:v>96.625</x:v>
      </x:c>
      <x:c r="P142" s="13" t="n">
        <x:v>4</x:v>
      </x:c>
      <x:c r="Q142" s="8" t="str">
        <x:v>USD</x:v>
      </x:c>
      <x:c r="R142" s="8" t="str">
        <x:v>SOFR</x:v>
      </x:c>
      <x:c r="S142" s="18" t="n">
        <x:f>IF(Portfolio_Par&gt;0,D142/Portfolio_Par,"")</x:f>
        <x:v>0.00394</x:v>
      </x:c>
      <x:c r="T142" s="19" t="n">
        <x:f>IF(A142="","",(M142-as_of_date)/365.25)</x:f>
        <x:v>4.03832991101985</x:v>
      </x:c>
      <x:c r="U142" s="20" t="n">
        <x:f>IF(I142="Floating",D142*J142,0)</x:f>
        <x:v>313230000</x:v>
      </x:c>
      <x:c r="V142" s="20" t="n">
        <x:f>IF(A142="","",D142*N142)</x:f>
        <x:v>413700</x:v>
      </x:c>
      <x:c r="W142" s="14" t="n">
        <x:f>IF(A142='Run Snapshot'!A142,0,1)+IF(B142='Run Snapshot'!B142,0,1)+IF(C142='Run Snapshot'!C142,0,1)+IF(D142='Run Snapshot'!D142,0,1)+IF(E142='Run Snapshot'!E142,0,1)+IF(F142='Run Snapshot'!F142,0,1)+IF(G142='Run Snapshot'!G142,0,1)+IF(H142='Run Snapshot'!H142,0,1)+IF(I142='Run Snapshot'!I142,0,1)+IF(J142='Run Snapshot'!J142,0,1)+IF(K142='Run Snapshot'!K142,0,1)+IF(L142='Run Snapshot'!L142,0,1)+IF(M142='Run Snapshot'!M142,0,1)+IF(N142='Run Snapshot'!N142,0,1)+IF(O142='Run Snapshot'!O142,0,1)+IF(P142='Run Snapshot'!P142,0,1)+IF(Q142='Run Snapshot'!Q142,0,1)+IF(R142='Run Snapshot'!R142,0,1)</x:f>
        <x:v>0</x:v>
      </x:c>
      <x:c r="X142" s="15" t="n">
        <x:f>IF(A142="",0,COUNTIF($A$8:$A$289,A142)-1)</x:f>
        <x:v>0</x:v>
      </x:c>
      <x:c r="Y142" s="14" t="n">
        <x:f>IF(A142="",1,IF(OR(D142&lt;=0,N142&lt;0,N142&gt;1,M142&lt;=as_of_date),1,0))</x:f>
        <x:v>0</x:v>
      </x:c>
      <x:c r="Z142" s="170" t="n">
        <x:f>IF(A142="","",VLOOKUP(E142,SP_WARF_Factors,2,FALSE))</x:f>
        <x:v>2859.5</x:v>
      </x:c>
      <x:c r="AA142" s="172" t="n">
        <x:f>IF(A142="","",D142*Z142)</x:f>
        <x:v>3379929000</x:v>
      </x:c>
      <x:c r="AB142" s="170" t="n">
        <x:f>IF(A142="","",D142*ABS(Z142-SPWARF))</x:f>
        <x:v>567503831.2759999</x:v>
      </x:c>
    </x:row>
    <x:row r="143">
      <x:c r="A143" s="8" t="str">
        <x:v>SYN-LN-00136</x:v>
      </x:c>
      <x:c r="B143" s="8" t="str">
        <x:v>SYN-OB-0131</x:v>
      </x:c>
      <x:c r="C143" s="8" t="str">
        <x:v>Crest Holdings 131</x:v>
      </x:c>
      <x:c r="D143" s="9" t="n">
        <x:v>1182000</x:v>
      </x:c>
      <x:c r="E143" s="8" t="str">
        <x:v>B</x:v>
      </x:c>
      <x:c r="F143" s="8" t="str">
        <x:v>Chemicals</x:v>
      </x:c>
      <x:c r="G143" s="8" t="str">
        <x:v>United States</x:v>
      </x:c>
      <x:c r="H143" s="8" t="str">
        <x:v>1st Lien</x:v>
      </x:c>
      <x:c r="I143" s="8" t="str">
        <x:v>Floating</x:v>
      </x:c>
      <x:c r="J143" s="8" t="n">
        <x:v>295</x:v>
      </x:c>
      <x:c r="K143" s="10"/>
      <x:c r="L143" s="8" t="n">
        <x:v>0</x:v>
      </x:c>
      <x:c r="M143" s="11" t="n">
        <x:v>48425</x:v>
      </x:c>
      <x:c r="N143" s="10" t="n">
        <x:v>0.22</x:v>
      </x:c>
      <x:c r="O143" s="12" t="n">
        <x:v>96.125</x:v>
      </x:c>
      <x:c r="P143" s="13" t="n">
        <x:v>4</x:v>
      </x:c>
      <x:c r="Q143" s="8" t="str">
        <x:v>USD</x:v>
      </x:c>
      <x:c r="R143" s="8" t="str">
        <x:v>SOFR</x:v>
      </x:c>
      <x:c r="S143" s="18" t="n">
        <x:f>IF(Portfolio_Par&gt;0,D143/Portfolio_Par,"")</x:f>
        <x:v>0.00394</x:v>
      </x:c>
      <x:c r="T143" s="19" t="n">
        <x:f>IF(A143="","",(M143-as_of_date)/365.25)</x:f>
        <x:v>5.577002053388091</x:v>
      </x:c>
      <x:c r="U143" s="20" t="n">
        <x:f>IF(I143="Floating",D143*J143,0)</x:f>
        <x:v>348690000</x:v>
      </x:c>
      <x:c r="V143" s="20" t="n">
        <x:f>IF(A143="","",D143*N143)</x:f>
        <x:v>260040</x:v>
      </x:c>
      <x:c r="W143" s="14" t="n">
        <x:f>IF(A143='Run Snapshot'!A143,0,1)+IF(B143='Run Snapshot'!B143,0,1)+IF(C143='Run Snapshot'!C143,0,1)+IF(D143='Run Snapshot'!D143,0,1)+IF(E143='Run Snapshot'!E143,0,1)+IF(F143='Run Snapshot'!F143,0,1)+IF(G143='Run Snapshot'!G143,0,1)+IF(H143='Run Snapshot'!H143,0,1)+IF(I143='Run Snapshot'!I143,0,1)+IF(J143='Run Snapshot'!J143,0,1)+IF(K143='Run Snapshot'!K143,0,1)+IF(L143='Run Snapshot'!L143,0,1)+IF(M143='Run Snapshot'!M143,0,1)+IF(N143='Run Snapshot'!N143,0,1)+IF(O143='Run Snapshot'!O143,0,1)+IF(P143='Run Snapshot'!P143,0,1)+IF(Q143='Run Snapshot'!Q143,0,1)+IF(R143='Run Snapshot'!R143,0,1)</x:f>
        <x:v>0</x:v>
      </x:c>
      <x:c r="X143" s="15" t="n">
        <x:f>IF(A143="",0,COUNTIF($A$8:$A$289,A143)-1)</x:f>
        <x:v>0</x:v>
      </x:c>
      <x:c r="Y143" s="14" t="n">
        <x:f>IF(A143="",1,IF(OR(D143&lt;=0,N143&lt;0,N143&gt;1,M143&lt;=as_of_date),1,0))</x:f>
        <x:v>0</x:v>
      </x:c>
      <x:c r="Z143" s="170" t="n">
        <x:f>IF(A143="","",VLOOKUP(E143,SP_WARF_Factors,2,FALSE))</x:f>
        <x:v>2859.5</x:v>
      </x:c>
      <x:c r="AA143" s="172" t="n">
        <x:f>IF(A143="","",D143*Z143)</x:f>
        <x:v>3379929000</x:v>
      </x:c>
      <x:c r="AB143" s="170" t="n">
        <x:f>IF(A143="","",D143*ABS(Z143-SPWARF))</x:f>
        <x:v>567503831.2759999</x:v>
      </x:c>
    </x:row>
    <x:row r="144">
      <x:c r="A144" s="8" t="str">
        <x:v>SYN-LN-00137</x:v>
      </x:c>
      <x:c r="B144" s="8" t="str">
        <x:v>SYN-OB-0132</x:v>
      </x:c>
      <x:c r="C144" s="8" t="str">
        <x:v>Duneland Inc. 132</x:v>
      </x:c>
      <x:c r="D144" s="9" t="n">
        <x:v>1182000</x:v>
      </x:c>
      <x:c r="E144" s="8" t="str">
        <x:v>BB</x:v>
      </x:c>
      <x:c r="F144" s="8" t="str">
        <x:v>Commercial Services &amp; Supplies</x:v>
      </x:c>
      <x:c r="G144" s="8" t="str">
        <x:v>United States</x:v>
      </x:c>
      <x:c r="H144" s="8" t="str">
        <x:v>1st Lien</x:v>
      </x:c>
      <x:c r="I144" s="8" t="str">
        <x:v>Floating</x:v>
      </x:c>
      <x:c r="J144" s="8" t="n">
        <x:v>290</x:v>
      </x:c>
      <x:c r="K144" s="10"/>
      <x:c r="L144" s="8" t="n">
        <x:v>0</x:v>
      </x:c>
      <x:c r="M144" s="11" t="n">
        <x:v>48059</x:v>
      </x:c>
      <x:c r="N144" s="10" t="n">
        <x:v>0.505</x:v>
      </x:c>
      <x:c r="O144" s="12" t="n">
        <x:v>98.625</x:v>
      </x:c>
      <x:c r="P144" s="13" t="n">
        <x:v>4</x:v>
      </x:c>
      <x:c r="Q144" s="8" t="str">
        <x:v>USD</x:v>
      </x:c>
      <x:c r="R144" s="8" t="str">
        <x:v>SOFR</x:v>
      </x:c>
      <x:c r="S144" s="18" t="n">
        <x:f>IF(Portfolio_Par&gt;0,D144/Portfolio_Par,"")</x:f>
        <x:v>0.00394</x:v>
      </x:c>
      <x:c r="T144" s="19" t="n">
        <x:f>IF(A144="","",(M144-as_of_date)/365.25)</x:f>
        <x:v>4.574948665297741</x:v>
      </x:c>
      <x:c r="U144" s="20" t="n">
        <x:f>IF(I144="Floating",D144*J144,0)</x:f>
        <x:v>342780000</x:v>
      </x:c>
      <x:c r="V144" s="20" t="n">
        <x:f>IF(A144="","",D144*N144)</x:f>
        <x:v>596910</x:v>
      </x:c>
      <x:c r="W144" s="14" t="n">
        <x:f>IF(A144='Run Snapshot'!A144,0,1)+IF(B144='Run Snapshot'!B144,0,1)+IF(C144='Run Snapshot'!C144,0,1)+IF(D144='Run Snapshot'!D144,0,1)+IF(E144='Run Snapshot'!E144,0,1)+IF(F144='Run Snapshot'!F144,0,1)+IF(G144='Run Snapshot'!G144,0,1)+IF(H144='Run Snapshot'!H144,0,1)+IF(I144='Run Snapshot'!I144,0,1)+IF(J144='Run Snapshot'!J144,0,1)+IF(K144='Run Snapshot'!K144,0,1)+IF(L144='Run Snapshot'!L144,0,1)+IF(M144='Run Snapshot'!M144,0,1)+IF(N144='Run Snapshot'!N144,0,1)+IF(O144='Run Snapshot'!O144,0,1)+IF(P144='Run Snapshot'!P144,0,1)+IF(Q144='Run Snapshot'!Q144,0,1)+IF(R144='Run Snapshot'!R144,0,1)</x:f>
        <x:v>0</x:v>
      </x:c>
      <x:c r="X144" s="15" t="n">
        <x:f>IF(A144="",0,COUNTIF($A$8:$A$289,A144)-1)</x:f>
        <x:v>0</x:v>
      </x:c>
      <x:c r="Y144" s="14" t="n">
        <x:f>IF(A144="",1,IF(OR(D144&lt;=0,N144&lt;0,N144&gt;1,M144&lt;=as_of_date),1,0))</x:f>
        <x:v>0</x:v>
      </x:c>
      <x:c r="Z144" s="170" t="n">
        <x:f>IF(A144="","",VLOOKUP(E144,SP_WARF_Factors,2,FALSE))</x:f>
        <x:v>1233.63</x:v>
      </x:c>
      <x:c r="AA144" s="172" t="n">
        <x:f>IF(A144="","",D144*Z144)</x:f>
        <x:v>1458150660.0000002</x:v>
      </x:c>
      <x:c r="AB144" s="170" t="n">
        <x:f>IF(A144="","",D144*ABS(Z144-SPWARF))</x:f>
        <x:v>1354274508.724</x:v>
      </x:c>
    </x:row>
    <x:row r="145">
      <x:c r="A145" s="8" t="str">
        <x:v>SYN-LN-00138</x:v>
      </x:c>
      <x:c r="B145" s="8" t="str">
        <x:v>SYN-OB-0133</x:v>
      </x:c>
      <x:c r="C145" s="8" t="str">
        <x:v>Elmstone Corp. 133</x:v>
      </x:c>
      <x:c r="D145" s="9" t="n">
        <x:v>1182000</x:v>
      </x:c>
      <x:c r="E145" s="8" t="str">
        <x:v>B</x:v>
      </x:c>
      <x:c r="F145" s="8" t="str">
        <x:v>IT Services</x:v>
      </x:c>
      <x:c r="G145" s="8" t="str">
        <x:v>United States</x:v>
      </x:c>
      <x:c r="H145" s="8" t="str">
        <x:v>1st Lien</x:v>
      </x:c>
      <x:c r="I145" s="8" t="str">
        <x:v>Floating</x:v>
      </x:c>
      <x:c r="J145" s="8" t="n">
        <x:v>390</x:v>
      </x:c>
      <x:c r="K145" s="10"/>
      <x:c r="L145" s="8" t="n">
        <x:v>0</x:v>
      </x:c>
      <x:c r="M145" s="11" t="n">
        <x:v>48607</x:v>
      </x:c>
      <x:c r="N145" s="10" t="n">
        <x:v>0.485</x:v>
      </x:c>
      <x:c r="O145" s="12" t="n">
        <x:v>98.25</x:v>
      </x:c>
      <x:c r="P145" s="13" t="n">
        <x:v>4</x:v>
      </x:c>
      <x:c r="Q145" s="8" t="str">
        <x:v>USD</x:v>
      </x:c>
      <x:c r="R145" s="8" t="str">
        <x:v>SOFR</x:v>
      </x:c>
      <x:c r="S145" s="18" t="n">
        <x:f>IF(Portfolio_Par&gt;0,D145/Portfolio_Par,"")</x:f>
        <x:v>0.00394</x:v>
      </x:c>
      <x:c r="T145" s="19" t="n">
        <x:f>IF(A145="","",(M145-as_of_date)/365.25)</x:f>
        <x:v>6.075290896646133</x:v>
      </x:c>
      <x:c r="U145" s="20" t="n">
        <x:f>IF(I145="Floating",D145*J145,0)</x:f>
        <x:v>460980000</x:v>
      </x:c>
      <x:c r="V145" s="20" t="n">
        <x:f>IF(A145="","",D145*N145)</x:f>
        <x:v>573270</x:v>
      </x:c>
      <x:c r="W145" s="14" t="n">
        <x:f>IF(A145='Run Snapshot'!A145,0,1)+IF(B145='Run Snapshot'!B145,0,1)+IF(C145='Run Snapshot'!C145,0,1)+IF(D145='Run Snapshot'!D145,0,1)+IF(E145='Run Snapshot'!E145,0,1)+IF(F145='Run Snapshot'!F145,0,1)+IF(G145='Run Snapshot'!G145,0,1)+IF(H145='Run Snapshot'!H145,0,1)+IF(I145='Run Snapshot'!I145,0,1)+IF(J145='Run Snapshot'!J145,0,1)+IF(K145='Run Snapshot'!K145,0,1)+IF(L145='Run Snapshot'!L145,0,1)+IF(M145='Run Snapshot'!M145,0,1)+IF(N145='Run Snapshot'!N145,0,1)+IF(O145='Run Snapshot'!O145,0,1)+IF(P145='Run Snapshot'!P145,0,1)+IF(Q145='Run Snapshot'!Q145,0,1)+IF(R145='Run Snapshot'!R145,0,1)</x:f>
        <x:v>0</x:v>
      </x:c>
      <x:c r="X145" s="15" t="n">
        <x:f>IF(A145="",0,COUNTIF($A$8:$A$289,A145)-1)</x:f>
        <x:v>0</x:v>
      </x:c>
      <x:c r="Y145" s="14" t="n">
        <x:f>IF(A145="",1,IF(OR(D145&lt;=0,N145&lt;0,N145&gt;1,M145&lt;=as_of_date),1,0))</x:f>
        <x:v>0</x:v>
      </x:c>
      <x:c r="Z145" s="170" t="n">
        <x:f>IF(A145="","",VLOOKUP(E145,SP_WARF_Factors,2,FALSE))</x:f>
        <x:v>2859.5</x:v>
      </x:c>
      <x:c r="AA145" s="172" t="n">
        <x:f>IF(A145="","",D145*Z145)</x:f>
        <x:v>3379929000</x:v>
      </x:c>
      <x:c r="AB145" s="170" t="n">
        <x:f>IF(A145="","",D145*ABS(Z145-SPWARF))</x:f>
        <x:v>567503831.2759999</x:v>
      </x:c>
    </x:row>
    <x:row r="146">
      <x:c r="A146" s="8" t="str">
        <x:v>SYN-LN-00139</x:v>
      </x:c>
      <x:c r="B146" s="8" t="str">
        <x:v>SYN-OB-0134</x:v>
      </x:c>
      <x:c r="C146" s="8" t="str">
        <x:v>Evergreen Group 134</x:v>
      </x:c>
      <x:c r="D146" s="9" t="n">
        <x:v>1198000</x:v>
      </x:c>
      <x:c r="E146" s="8" t="str">
        <x:v>B</x:v>
      </x:c>
      <x:c r="F146" s="8" t="str">
        <x:v>Software</x:v>
      </x:c>
      <x:c r="G146" s="8" t="str">
        <x:v>United States</x:v>
      </x:c>
      <x:c r="H146" s="8" t="str">
        <x:v>1st Lien</x:v>
      </x:c>
      <x:c r="I146" s="8" t="str">
        <x:v>Floating</x:v>
      </x:c>
      <x:c r="J146" s="8" t="n">
        <x:v>400</x:v>
      </x:c>
      <x:c r="K146" s="10"/>
      <x:c r="L146" s="8" t="n">
        <x:v>0</x:v>
      </x:c>
      <x:c r="M146" s="11" t="n">
        <x:v>48515</x:v>
      </x:c>
      <x:c r="N146" s="10" t="n">
        <x:v>0.425</x:v>
      </x:c>
      <x:c r="O146" s="12" t="n">
        <x:v>101.5</x:v>
      </x:c>
      <x:c r="P146" s="13" t="n">
        <x:v>4</x:v>
      </x:c>
      <x:c r="Q146" s="8" t="str">
        <x:v>USD</x:v>
      </x:c>
      <x:c r="R146" s="8" t="str">
        <x:v>SOFR</x:v>
      </x:c>
      <x:c r="S146" s="18" t="n">
        <x:f>IF(Portfolio_Par&gt;0,D146/Portfolio_Par,"")</x:f>
        <x:v>0.003993333333333333</x:v>
      </x:c>
      <x:c r="T146" s="19" t="n">
        <x:f>IF(A146="","",(M146-as_of_date)/365.25)</x:f>
        <x:v>5.823408624229979</x:v>
      </x:c>
      <x:c r="U146" s="20" t="n">
        <x:f>IF(I146="Floating",D146*J146,0)</x:f>
        <x:v>479200000</x:v>
      </x:c>
      <x:c r="V146" s="20" t="n">
        <x:f>IF(A146="","",D146*N146)</x:f>
        <x:v>509150</x:v>
      </x:c>
      <x:c r="W146" s="14" t="n">
        <x:f>IF(A146='Run Snapshot'!A146,0,1)+IF(B146='Run Snapshot'!B146,0,1)+IF(C146='Run Snapshot'!C146,0,1)+IF(D146='Run Snapshot'!D146,0,1)+IF(E146='Run Snapshot'!E146,0,1)+IF(F146='Run Snapshot'!F146,0,1)+IF(G146='Run Snapshot'!G146,0,1)+IF(H146='Run Snapshot'!H146,0,1)+IF(I146='Run Snapshot'!I146,0,1)+IF(J146='Run Snapshot'!J146,0,1)+IF(K146='Run Snapshot'!K146,0,1)+IF(L146='Run Snapshot'!L146,0,1)+IF(M146='Run Snapshot'!M146,0,1)+IF(N146='Run Snapshot'!N146,0,1)+IF(O146='Run Snapshot'!O146,0,1)+IF(P146='Run Snapshot'!P146,0,1)+IF(Q146='Run Snapshot'!Q146,0,1)+IF(R146='Run Snapshot'!R146,0,1)</x:f>
        <x:v>0</x:v>
      </x:c>
      <x:c r="X146" s="15" t="n">
        <x:f>IF(A146="",0,COUNTIF($A$8:$A$289,A146)-1)</x:f>
        <x:v>0</x:v>
      </x:c>
      <x:c r="Y146" s="14" t="n">
        <x:f>IF(A146="",1,IF(OR(D146&lt;=0,N146&lt;0,N146&gt;1,M146&lt;=as_of_date),1,0))</x:f>
        <x:v>0</x:v>
      </x:c>
      <x:c r="Z146" s="170" t="n">
        <x:f>IF(A146="","",VLOOKUP(E146,SP_WARF_Factors,2,FALSE))</x:f>
        <x:v>2859.5</x:v>
      </x:c>
      <x:c r="AA146" s="172" t="n">
        <x:f>IF(A146="","",D146*Z146)</x:f>
        <x:v>3425681000</x:v>
      </x:c>
      <x:c r="AB146" s="170" t="n">
        <x:f>IF(A146="","",D146*ABS(Z146-SPWARF))</x:f>
        <x:v>575185778.2306666</x:v>
      </x:c>
    </x:row>
    <x:row r="147">
      <x:c r="A147" s="8" t="str">
        <x:v>SYN-LN-00140</x:v>
      </x:c>
      <x:c r="B147" s="8" t="str">
        <x:v>SYN-OB-0135</x:v>
      </x:c>
      <x:c r="C147" s="8" t="str">
        <x:v>Fairhaven LLC 135</x:v>
      </x:c>
      <x:c r="D147" s="9" t="n">
        <x:v>1182000</x:v>
      </x:c>
      <x:c r="E147" s="8" t="str">
        <x:v>B+</x:v>
      </x:c>
      <x:c r="F147" s="8" t="str">
        <x:v>Passenger airlines</x:v>
      </x:c>
      <x:c r="G147" s="8" t="str">
        <x:v>United States</x:v>
      </x:c>
      <x:c r="H147" s="8" t="str">
        <x:v>1st Lien</x:v>
      </x:c>
      <x:c r="I147" s="8" t="str">
        <x:v>Floating</x:v>
      </x:c>
      <x:c r="J147" s="8" t="n">
        <x:v>260</x:v>
      </x:c>
      <x:c r="K147" s="10"/>
      <x:c r="L147" s="8" t="n">
        <x:v>0</x:v>
      </x:c>
      <x:c r="M147" s="11" t="n">
        <x:v>47421</x:v>
      </x:c>
      <x:c r="N147" s="10" t="n">
        <x:v>0.54</x:v>
      </x:c>
      <x:c r="O147" s="12" t="n">
        <x:v>101.5</x:v>
      </x:c>
      <x:c r="P147" s="13" t="n">
        <x:v>4</x:v>
      </x:c>
      <x:c r="Q147" s="8" t="str">
        <x:v>USD</x:v>
      </x:c>
      <x:c r="R147" s="8" t="str">
        <x:v>SOFR</x:v>
      </x:c>
      <x:c r="S147" s="18" t="n">
        <x:f>IF(Portfolio_Par&gt;0,D147/Portfolio_Par,"")</x:f>
        <x:v>0.00394</x:v>
      </x:c>
      <x:c r="T147" s="19" t="n">
        <x:f>IF(A147="","",(M147-as_of_date)/365.25)</x:f>
        <x:v>2.8281998631074607</x:v>
      </x:c>
      <x:c r="U147" s="20" t="n">
        <x:f>IF(I147="Floating",D147*J147,0)</x:f>
        <x:v>307320000</x:v>
      </x:c>
      <x:c r="V147" s="20" t="n">
        <x:f>IF(A147="","",D147*N147)</x:f>
        <x:v>638280</x:v>
      </x:c>
      <x:c r="W147" s="14" t="n">
        <x:f>IF(A147='Run Snapshot'!A147,0,1)+IF(B147='Run Snapshot'!B147,0,1)+IF(C147='Run Snapshot'!C147,0,1)+IF(D147='Run Snapshot'!D147,0,1)+IF(E147='Run Snapshot'!E147,0,1)+IF(F147='Run Snapshot'!F147,0,1)+IF(G147='Run Snapshot'!G147,0,1)+IF(H147='Run Snapshot'!H147,0,1)+IF(I147='Run Snapshot'!I147,0,1)+IF(J147='Run Snapshot'!J147,0,1)+IF(K147='Run Snapshot'!K147,0,1)+IF(L147='Run Snapshot'!L147,0,1)+IF(M147='Run Snapshot'!M147,0,1)+IF(N147='Run Snapshot'!N147,0,1)+IF(O147='Run Snapshot'!O147,0,1)+IF(P147='Run Snapshot'!P147,0,1)+IF(Q147='Run Snapshot'!Q147,0,1)+IF(R147='Run Snapshot'!R147,0,1)</x:f>
        <x:v>0</x:v>
      </x:c>
      <x:c r="X147" s="15" t="n">
        <x:f>IF(A147="",0,COUNTIF($A$8:$A$289,A147)-1)</x:f>
        <x:v>0</x:v>
      </x:c>
      <x:c r="Y147" s="14" t="n">
        <x:f>IF(A147="",1,IF(OR(D147&lt;=0,N147&lt;0,N147&gt;1,M147&lt;=as_of_date),1,0))</x:f>
        <x:v>0</x:v>
      </x:c>
      <x:c r="Z147" s="170" t="n">
        <x:f>IF(A147="","",VLOOKUP(E147,SP_WARF_Factors,2,FALSE))</x:f>
        <x:v>1982</x:v>
      </x:c>
      <x:c r="AA147" s="172" t="n">
        <x:f>IF(A147="","",D147*Z147)</x:f>
        <x:v>2342724000</x:v>
      </x:c>
      <x:c r="AB147" s="170" t="n">
        <x:f>IF(A147="","",D147*ABS(Z147-SPWARF))</x:f>
        <x:v>469701168.72400004</x:v>
      </x:c>
    </x:row>
    <x:row r="148">
      <x:c r="A148" s="8" t="str">
        <x:v>SYN-LN-00141</x:v>
      </x:c>
      <x:c r="B148" s="8" t="str">
        <x:v>SYN-OB-0136</x:v>
      </x:c>
      <x:c r="C148" s="8" t="str">
        <x:v>Granite Holdings 136</x:v>
      </x:c>
      <x:c r="D148" s="9" t="n">
        <x:v>1182000</x:v>
      </x:c>
      <x:c r="E148" s="8" t="str">
        <x:v>B</x:v>
      </x:c>
      <x:c r="F148" s="8" t="str">
        <x:v>Aerospace &amp; Defense</x:v>
      </x:c>
      <x:c r="G148" s="8" t="str">
        <x:v>United States</x:v>
      </x:c>
      <x:c r="H148" s="8" t="str">
        <x:v>1st Lien</x:v>
      </x:c>
      <x:c r="I148" s="8" t="str">
        <x:v>Floating</x:v>
      </x:c>
      <x:c r="J148" s="8" t="n">
        <x:v>395</x:v>
      </x:c>
      <x:c r="K148" s="10"/>
      <x:c r="L148" s="8" t="n">
        <x:v>0</x:v>
      </x:c>
      <x:c r="M148" s="11" t="n">
        <x:v>47662</x:v>
      </x:c>
      <x:c r="N148" s="10" t="n">
        <x:v>0.395</x:v>
      </x:c>
      <x:c r="O148" s="12" t="n">
        <x:v>97.375</x:v>
      </x:c>
      <x:c r="P148" s="13" t="n">
        <x:v>4</x:v>
      </x:c>
      <x:c r="Q148" s="8" t="str">
        <x:v>USD</x:v>
      </x:c>
      <x:c r="R148" s="8" t="str">
        <x:v>SOFR</x:v>
      </x:c>
      <x:c r="S148" s="18" t="n">
        <x:f>IF(Portfolio_Par&gt;0,D148/Portfolio_Par,"")</x:f>
        <x:v>0.00394</x:v>
      </x:c>
      <x:c r="T148" s="19" t="n">
        <x:f>IF(A148="","",(M148-as_of_date)/365.25)</x:f>
        <x:v>3.488021902806297</x:v>
      </x:c>
      <x:c r="U148" s="20" t="n">
        <x:f>IF(I148="Floating",D148*J148,0)</x:f>
        <x:v>466890000</x:v>
      </x:c>
      <x:c r="V148" s="20" t="n">
        <x:f>IF(A148="","",D148*N148)</x:f>
        <x:v>466890</x:v>
      </x:c>
      <x:c r="W148" s="14" t="n">
        <x:f>IF(A148='Run Snapshot'!A148,0,1)+IF(B148='Run Snapshot'!B148,0,1)+IF(C148='Run Snapshot'!C148,0,1)+IF(D148='Run Snapshot'!D148,0,1)+IF(E148='Run Snapshot'!E148,0,1)+IF(F148='Run Snapshot'!F148,0,1)+IF(G148='Run Snapshot'!G148,0,1)+IF(H148='Run Snapshot'!H148,0,1)+IF(I148='Run Snapshot'!I148,0,1)+IF(J148='Run Snapshot'!J148,0,1)+IF(K148='Run Snapshot'!K148,0,1)+IF(L148='Run Snapshot'!L148,0,1)+IF(M148='Run Snapshot'!M148,0,1)+IF(N148='Run Snapshot'!N148,0,1)+IF(O148='Run Snapshot'!O148,0,1)+IF(P148='Run Snapshot'!P148,0,1)+IF(Q148='Run Snapshot'!Q148,0,1)+IF(R148='Run Snapshot'!R148,0,1)</x:f>
        <x:v>0</x:v>
      </x:c>
      <x:c r="X148" s="15" t="n">
        <x:f>IF(A148="",0,COUNTIF($A$8:$A$289,A148)-1)</x:f>
        <x:v>0</x:v>
      </x:c>
      <x:c r="Y148" s="14" t="n">
        <x:f>IF(A148="",1,IF(OR(D148&lt;=0,N148&lt;0,N148&gt;1,M148&lt;=as_of_date),1,0))</x:f>
        <x:v>0</x:v>
      </x:c>
      <x:c r="Z148" s="170" t="n">
        <x:f>IF(A148="","",VLOOKUP(E148,SP_WARF_Factors,2,FALSE))</x:f>
        <x:v>2859.5</x:v>
      </x:c>
      <x:c r="AA148" s="172" t="n">
        <x:f>IF(A148="","",D148*Z148)</x:f>
        <x:v>3379929000</x:v>
      </x:c>
      <x:c r="AB148" s="170" t="n">
        <x:f>IF(A148="","",D148*ABS(Z148-SPWARF))</x:f>
        <x:v>567503831.2759999</x:v>
      </x:c>
    </x:row>
    <x:row r="149">
      <x:c r="A149" s="8" t="str">
        <x:v>SYN-LN-00142</x:v>
      </x:c>
      <x:c r="B149" s="8" t="str">
        <x:v>SYN-OB-0137</x:v>
      </x:c>
      <x:c r="C149" s="8" t="str">
        <x:v>Harbor Inc. 137</x:v>
      </x:c>
      <x:c r="D149" s="9" t="n">
        <x:v>1182000</x:v>
      </x:c>
      <x:c r="E149" s="8" t="str">
        <x:v>BB-</x:v>
      </x:c>
      <x:c r="F149" s="8" t="str">
        <x:v>Hotels, Restaurants &amp; Leisure</x:v>
      </x:c>
      <x:c r="G149" s="8" t="str">
        <x:v>United States</x:v>
      </x:c>
      <x:c r="H149" s="8" t="str">
        <x:v>1st Lien</x:v>
      </x:c>
      <x:c r="I149" s="8" t="str">
        <x:v>Floating</x:v>
      </x:c>
      <x:c r="J149" s="8" t="n">
        <x:v>290</x:v>
      </x:c>
      <x:c r="K149" s="10"/>
      <x:c r="L149" s="8" t="n">
        <x:v>0</x:v>
      </x:c>
      <x:c r="M149" s="11" t="n">
        <x:v>48301</x:v>
      </x:c>
      <x:c r="N149" s="10" t="n">
        <x:v>0.47</x:v>
      </x:c>
      <x:c r="O149" s="12" t="n">
        <x:v>99.125</x:v>
      </x:c>
      <x:c r="P149" s="13" t="n">
        <x:v>4</x:v>
      </x:c>
      <x:c r="Q149" s="8" t="str">
        <x:v>USD</x:v>
      </x:c>
      <x:c r="R149" s="8" t="str">
        <x:v>SOFR</x:v>
      </x:c>
      <x:c r="S149" s="18" t="n">
        <x:f>IF(Portfolio_Par&gt;0,D149/Portfolio_Par,"")</x:f>
        <x:v>0.00394</x:v>
      </x:c>
      <x:c r="T149" s="19" t="n">
        <x:f>IF(A149="","",(M149-as_of_date)/365.25)</x:f>
        <x:v>5.23750855578371</x:v>
      </x:c>
      <x:c r="U149" s="20" t="n">
        <x:f>IF(I149="Floating",D149*J149,0)</x:f>
        <x:v>342780000</x:v>
      </x:c>
      <x:c r="V149" s="20" t="n">
        <x:f>IF(A149="","",D149*N149)</x:f>
        <x:v>555540</x:v>
      </x:c>
      <x:c r="W149" s="14" t="n">
        <x:f>IF(A149='Run Snapshot'!A149,0,1)+IF(B149='Run Snapshot'!B149,0,1)+IF(C149='Run Snapshot'!C149,0,1)+IF(D149='Run Snapshot'!D149,0,1)+IF(E149='Run Snapshot'!E149,0,1)+IF(F149='Run Snapshot'!F149,0,1)+IF(G149='Run Snapshot'!G149,0,1)+IF(H149='Run Snapshot'!H149,0,1)+IF(I149='Run Snapshot'!I149,0,1)+IF(J149='Run Snapshot'!J149,0,1)+IF(K149='Run Snapshot'!K149,0,1)+IF(L149='Run Snapshot'!L149,0,1)+IF(M149='Run Snapshot'!M149,0,1)+IF(N149='Run Snapshot'!N149,0,1)+IF(O149='Run Snapshot'!O149,0,1)+IF(P149='Run Snapshot'!P149,0,1)+IF(Q149='Run Snapshot'!Q149,0,1)+IF(R149='Run Snapshot'!R149,0,1)</x:f>
        <x:v>0</x:v>
      </x:c>
      <x:c r="X149" s="15" t="n">
        <x:f>IF(A149="",0,COUNTIF($A$8:$A$289,A149)-1)</x:f>
        <x:v>0</x:v>
      </x:c>
      <x:c r="Y149" s="14" t="n">
        <x:f>IF(A149="",1,IF(OR(D149&lt;=0,N149&lt;0,N149&gt;1,M149&lt;=as_of_date),1,0))</x:f>
        <x:v>0</x:v>
      </x:c>
      <x:c r="Z149" s="170" t="n">
        <x:f>IF(A149="","",VLOOKUP(E149,SP_WARF_Factors,2,FALSE))</x:f>
        <x:v>1565.44</x:v>
      </x:c>
      <x:c r="AA149" s="172" t="n">
        <x:f>IF(A149="","",D149*Z149)</x:f>
        <x:v>1850350080</x:v>
      </x:c>
      <x:c r="AB149" s="170" t="n">
        <x:f>IF(A149="","",D149*ABS(Z149-SPWARF))</x:f>
        <x:v>962075088.724</x:v>
      </x:c>
    </x:row>
    <x:row r="150">
      <x:c r="A150" s="8" t="str">
        <x:v>SYN-LN-00143</x:v>
      </x:c>
      <x:c r="B150" s="8" t="str">
        <x:v>SYN-OB-0138</x:v>
      </x:c>
      <x:c r="C150" s="8" t="str">
        <x:v>Hawthorne Corp. 138</x:v>
      </x:c>
      <x:c r="D150" s="9" t="n">
        <x:v>1182000</x:v>
      </x:c>
      <x:c r="E150" s="8" t="str">
        <x:v>B</x:v>
      </x:c>
      <x:c r="F150" s="8" t="str">
        <x:v>Auto Components</x:v>
      </x:c>
      <x:c r="G150" s="8" t="str">
        <x:v>United States</x:v>
      </x:c>
      <x:c r="H150" s="8" t="str">
        <x:v>1st Lien</x:v>
      </x:c>
      <x:c r="I150" s="8" t="str">
        <x:v>Floating</x:v>
      </x:c>
      <x:c r="J150" s="8" t="n">
        <x:v>290</x:v>
      </x:c>
      <x:c r="K150" s="10"/>
      <x:c r="L150" s="8" t="n">
        <x:v>0</x:v>
      </x:c>
      <x:c r="M150" s="11" t="n">
        <x:v>48456</x:v>
      </x:c>
      <x:c r="N150" s="10" t="n">
        <x:v>0.33</x:v>
      </x:c>
      <x:c r="O150" s="12" t="n">
        <x:v>100.875</x:v>
      </x:c>
      <x:c r="P150" s="13" t="n">
        <x:v>4</x:v>
      </x:c>
      <x:c r="Q150" s="8" t="str">
        <x:v>USD</x:v>
      </x:c>
      <x:c r="R150" s="8" t="str">
        <x:v>SOFR</x:v>
      </x:c>
      <x:c r="S150" s="18" t="n">
        <x:f>IF(Portfolio_Par&gt;0,D150/Portfolio_Par,"")</x:f>
        <x:v>0.00394</x:v>
      </x:c>
      <x:c r="T150" s="19" t="n">
        <x:f>IF(A150="","",(M150-as_of_date)/365.25)</x:f>
        <x:v>5.661875427789186</x:v>
      </x:c>
      <x:c r="U150" s="20" t="n">
        <x:f>IF(I150="Floating",D150*J150,0)</x:f>
        <x:v>342780000</x:v>
      </x:c>
      <x:c r="V150" s="20" t="n">
        <x:f>IF(A150="","",D150*N150)</x:f>
        <x:v>390060</x:v>
      </x:c>
      <x:c r="W150" s="14" t="n">
        <x:f>IF(A150='Run Snapshot'!A150,0,1)+IF(B150='Run Snapshot'!B150,0,1)+IF(C150='Run Snapshot'!C150,0,1)+IF(D150='Run Snapshot'!D150,0,1)+IF(E150='Run Snapshot'!E150,0,1)+IF(F150='Run Snapshot'!F150,0,1)+IF(G150='Run Snapshot'!G150,0,1)+IF(H150='Run Snapshot'!H150,0,1)+IF(I150='Run Snapshot'!I150,0,1)+IF(J150='Run Snapshot'!J150,0,1)+IF(K150='Run Snapshot'!K150,0,1)+IF(L150='Run Snapshot'!L150,0,1)+IF(M150='Run Snapshot'!M150,0,1)+IF(N150='Run Snapshot'!N150,0,1)+IF(O150='Run Snapshot'!O150,0,1)+IF(P150='Run Snapshot'!P150,0,1)+IF(Q150='Run Snapshot'!Q150,0,1)+IF(R150='Run Snapshot'!R150,0,1)</x:f>
        <x:v>0</x:v>
      </x:c>
      <x:c r="X150" s="15" t="n">
        <x:f>IF(A150="",0,COUNTIF($A$8:$A$289,A150)-1)</x:f>
        <x:v>0</x:v>
      </x:c>
      <x:c r="Y150" s="14" t="n">
        <x:f>IF(A150="",1,IF(OR(D150&lt;=0,N150&lt;0,N150&gt;1,M150&lt;=as_of_date),1,0))</x:f>
        <x:v>0</x:v>
      </x:c>
      <x:c r="Z150" s="170" t="n">
        <x:f>IF(A150="","",VLOOKUP(E150,SP_WARF_Factors,2,FALSE))</x:f>
        <x:v>2859.5</x:v>
      </x:c>
      <x:c r="AA150" s="172" t="n">
        <x:f>IF(A150="","",D150*Z150)</x:f>
        <x:v>3379929000</x:v>
      </x:c>
      <x:c r="AB150" s="170" t="n">
        <x:f>IF(A150="","",D150*ABS(Z150-SPWARF))</x:f>
        <x:v>567503831.2759999</x:v>
      </x:c>
    </x:row>
    <x:row r="151">
      <x:c r="A151" s="8" t="str">
        <x:v>SYN-LN-00144</x:v>
      </x:c>
      <x:c r="B151" s="8" t="str">
        <x:v>SYN-OB-0139</x:v>
      </x:c>
      <x:c r="C151" s="8" t="str">
        <x:v>Highland Group 139</x:v>
      </x:c>
      <x:c r="D151" s="9" t="n">
        <x:v>630000</x:v>
      </x:c>
      <x:c r="E151" s="8" t="str">
        <x:v>BB+</x:v>
      </x:c>
      <x:c r="F151" s="8" t="str">
        <x:v>Specialty Retail</x:v>
      </x:c>
      <x:c r="G151" s="8" t="str">
        <x:v>Netherlands</x:v>
      </x:c>
      <x:c r="H151" s="8" t="str">
        <x:v>1st Lien</x:v>
      </x:c>
      <x:c r="I151" s="8" t="str">
        <x:v>Floating</x:v>
      </x:c>
      <x:c r="J151" s="8" t="n">
        <x:v>165</x:v>
      </x:c>
      <x:c r="K151" s="10"/>
      <x:c r="L151" s="8" t="n">
        <x:v>0</x:v>
      </x:c>
      <x:c r="M151" s="11" t="n">
        <x:v>47907</x:v>
      </x:c>
      <x:c r="N151" s="10" t="n">
        <x:v>0.36</x:v>
      </x:c>
      <x:c r="O151" s="12" t="n">
        <x:v>100.375</x:v>
      </x:c>
      <x:c r="P151" s="13" t="n">
        <x:v>4</x:v>
      </x:c>
      <x:c r="Q151" s="8" t="str">
        <x:v>USD</x:v>
      </x:c>
      <x:c r="R151" s="8" t="str">
        <x:v>SOFR</x:v>
      </x:c>
      <x:c r="S151" s="18" t="n">
        <x:f>IF(Portfolio_Par&gt;0,D151/Portfolio_Par,"")</x:f>
        <x:v>0.0021</x:v>
      </x:c>
      <x:c r="T151" s="19" t="n">
        <x:f>IF(A151="","",(M151-as_of_date)/365.25)</x:f>
        <x:v>4.158795345653662</x:v>
      </x:c>
      <x:c r="U151" s="20" t="n">
        <x:f>IF(I151="Floating",D151*J151,0)</x:f>
        <x:v>103950000</x:v>
      </x:c>
      <x:c r="V151" s="20" t="n">
        <x:f>IF(A151="","",D151*N151)</x:f>
        <x:v>226800</x:v>
      </x:c>
      <x:c r="W151" s="14" t="n">
        <x:f>IF(A151='Run Snapshot'!A151,0,1)+IF(B151='Run Snapshot'!B151,0,1)+IF(C151='Run Snapshot'!C151,0,1)+IF(D151='Run Snapshot'!D151,0,1)+IF(E151='Run Snapshot'!E151,0,1)+IF(F151='Run Snapshot'!F151,0,1)+IF(G151='Run Snapshot'!G151,0,1)+IF(H151='Run Snapshot'!H151,0,1)+IF(I151='Run Snapshot'!I151,0,1)+IF(J151='Run Snapshot'!J151,0,1)+IF(K151='Run Snapshot'!K151,0,1)+IF(L151='Run Snapshot'!L151,0,1)+IF(M151='Run Snapshot'!M151,0,1)+IF(N151='Run Snapshot'!N151,0,1)+IF(O151='Run Snapshot'!O151,0,1)+IF(P151='Run Snapshot'!P151,0,1)+IF(Q151='Run Snapshot'!Q151,0,1)+IF(R151='Run Snapshot'!R151,0,1)</x:f>
        <x:v>0</x:v>
      </x:c>
      <x:c r="X151" s="15" t="n">
        <x:f>IF(A151="",0,COUNTIF($A$8:$A$289,A151)-1)</x:f>
        <x:v>0</x:v>
      </x:c>
      <x:c r="Y151" s="14" t="n">
        <x:f>IF(A151="",1,IF(OR(D151&lt;=0,N151&lt;0,N151&gt;1,M151&lt;=as_of_date),1,0))</x:f>
        <x:v>0</x:v>
      </x:c>
      <x:c r="Z151" s="170" t="n">
        <x:f>IF(A151="","",VLOOKUP(E151,SP_WARF_Factors,2,FALSE))</x:f>
        <x:v>784.92</x:v>
      </x:c>
      <x:c r="AA151" s="172" t="n">
        <x:f>IF(A151="","",D151*Z151)</x:f>
        <x:v>494499600</x:v>
      </x:c>
      <x:c r="AB151" s="170" t="n">
        <x:f>IF(A151="","",D151*ABS(Z151-SPWARF))</x:f>
        <x:v>1004508738.66</x:v>
      </x:c>
    </x:row>
    <x:row r="152">
      <x:c r="A152" s="8" t="str">
        <x:v>SYN-LN-00145</x:v>
      </x:c>
      <x:c r="B152" s="8" t="str">
        <x:v>SYN-OB-0140</x:v>
      </x:c>
      <x:c r="C152" s="8" t="str">
        <x:v>Ironwood LLC 140</x:v>
      </x:c>
      <x:c r="D152" s="9" t="n">
        <x:v>1182000</x:v>
      </x:c>
      <x:c r="E152" s="8" t="str">
        <x:v>B</x:v>
      </x:c>
      <x:c r="F152" s="8" t="str">
        <x:v>Healthcare Providers &amp; Services</x:v>
      </x:c>
      <x:c r="G152" s="8" t="str">
        <x:v>United States</x:v>
      </x:c>
      <x:c r="H152" s="8" t="str">
        <x:v>1st Lien</x:v>
      </x:c>
      <x:c r="I152" s="8" t="str">
        <x:v>Floating</x:v>
      </x:c>
      <x:c r="J152" s="8" t="n">
        <x:v>340</x:v>
      </x:c>
      <x:c r="K152" s="10"/>
      <x:c r="L152" s="8" t="n">
        <x:v>0</x:v>
      </x:c>
      <x:c r="M152" s="11" t="n">
        <x:v>48790</x:v>
      </x:c>
      <x:c r="N152" s="10" t="n">
        <x:v>0.365</x:v>
      </x:c>
      <x:c r="O152" s="12" t="n">
        <x:v>99.375</x:v>
      </x:c>
      <x:c r="P152" s="13" t="n">
        <x:v>4</x:v>
      </x:c>
      <x:c r="Q152" s="8" t="str">
        <x:v>USD</x:v>
      </x:c>
      <x:c r="R152" s="8" t="str">
        <x:v>SOFR</x:v>
      </x:c>
      <x:c r="S152" s="18" t="n">
        <x:f>IF(Portfolio_Par&gt;0,D152/Portfolio_Par,"")</x:f>
        <x:v>0.00394</x:v>
      </x:c>
      <x:c r="T152" s="19" t="n">
        <x:f>IF(A152="","",(M152-as_of_date)/365.25)</x:f>
        <x:v>6.576317590691307</x:v>
      </x:c>
      <x:c r="U152" s="20" t="n">
        <x:f>IF(I152="Floating",D152*J152,0)</x:f>
        <x:v>401880000</x:v>
      </x:c>
      <x:c r="V152" s="20" t="n">
        <x:f>IF(A152="","",D152*N152)</x:f>
        <x:v>431430</x:v>
      </x:c>
      <x:c r="W152" s="14" t="n">
        <x:f>IF(A152='Run Snapshot'!A152,0,1)+IF(B152='Run Snapshot'!B152,0,1)+IF(C152='Run Snapshot'!C152,0,1)+IF(D152='Run Snapshot'!D152,0,1)+IF(E152='Run Snapshot'!E152,0,1)+IF(F152='Run Snapshot'!F152,0,1)+IF(G152='Run Snapshot'!G152,0,1)+IF(H152='Run Snapshot'!H152,0,1)+IF(I152='Run Snapshot'!I152,0,1)+IF(J152='Run Snapshot'!J152,0,1)+IF(K152='Run Snapshot'!K152,0,1)+IF(L152='Run Snapshot'!L152,0,1)+IF(M152='Run Snapshot'!M152,0,1)+IF(N152='Run Snapshot'!N152,0,1)+IF(O152='Run Snapshot'!O152,0,1)+IF(P152='Run Snapshot'!P152,0,1)+IF(Q152='Run Snapshot'!Q152,0,1)+IF(R152='Run Snapshot'!R152,0,1)</x:f>
        <x:v>0</x:v>
      </x:c>
      <x:c r="X152" s="15" t="n">
        <x:f>IF(A152="",0,COUNTIF($A$8:$A$289,A152)-1)</x:f>
        <x:v>0</x:v>
      </x:c>
      <x:c r="Y152" s="14" t="n">
        <x:f>IF(A152="",1,IF(OR(D152&lt;=0,N152&lt;0,N152&gt;1,M152&lt;=as_of_date),1,0))</x:f>
        <x:v>0</x:v>
      </x:c>
      <x:c r="Z152" s="170" t="n">
        <x:f>IF(A152="","",VLOOKUP(E152,SP_WARF_Factors,2,FALSE))</x:f>
        <x:v>2859.5</x:v>
      </x:c>
      <x:c r="AA152" s="172" t="n">
        <x:f>IF(A152="","",D152*Z152)</x:f>
        <x:v>3379929000</x:v>
      </x:c>
      <x:c r="AB152" s="170" t="n">
        <x:f>IF(A152="","",D152*ABS(Z152-SPWARF))</x:f>
        <x:v>567503831.2759999</x:v>
      </x:c>
    </x:row>
    <x:row r="153">
      <x:c r="A153" s="8" t="str">
        <x:v>SYN-LN-00146</x:v>
      </x:c>
      <x:c r="B153" s="8" t="str">
        <x:v>SYN-OB-0141</x:v>
      </x:c>
      <x:c r="C153" s="8" t="str">
        <x:v>Juniper Holdings 141</x:v>
      </x:c>
      <x:c r="D153" s="9" t="n">
        <x:v>1182000</x:v>
      </x:c>
      <x:c r="E153" s="8" t="str">
        <x:v>B+</x:v>
      </x:c>
      <x:c r="F153" s="8" t="str">
        <x:v>Passenger airlines</x:v>
      </x:c>
      <x:c r="G153" s="8" t="str">
        <x:v>United States</x:v>
      </x:c>
      <x:c r="H153" s="8" t="str">
        <x:v>1st Lien</x:v>
      </x:c>
      <x:c r="I153" s="8" t="str">
        <x:v>Floating</x:v>
      </x:c>
      <x:c r="J153" s="8" t="n">
        <x:v>390</x:v>
      </x:c>
      <x:c r="K153" s="10"/>
      <x:c r="L153" s="8" t="n">
        <x:v>0</x:v>
      </x:c>
      <x:c r="M153" s="11" t="n">
        <x:v>47692</x:v>
      </x:c>
      <x:c r="N153" s="10" t="n">
        <x:v>0.49</x:v>
      </x:c>
      <x:c r="O153" s="12" t="n">
        <x:v>98.375</x:v>
      </x:c>
      <x:c r="P153" s="13" t="n">
        <x:v>4</x:v>
      </x:c>
      <x:c r="Q153" s="8" t="str">
        <x:v>USD</x:v>
      </x:c>
      <x:c r="R153" s="8" t="str">
        <x:v>SOFR</x:v>
      </x:c>
      <x:c r="S153" s="18" t="n">
        <x:f>IF(Portfolio_Par&gt;0,D153/Portfolio_Par,"")</x:f>
        <x:v>0.00394</x:v>
      </x:c>
      <x:c r="T153" s="19" t="n">
        <x:f>IF(A153="","",(M153-as_of_date)/365.25)</x:f>
        <x:v>3.57015742642026</x:v>
      </x:c>
      <x:c r="U153" s="20" t="n">
        <x:f>IF(I153="Floating",D153*J153,0)</x:f>
        <x:v>460980000</x:v>
      </x:c>
      <x:c r="V153" s="20" t="n">
        <x:f>IF(A153="","",D153*N153)</x:f>
        <x:v>579180</x:v>
      </x:c>
      <x:c r="W153" s="14" t="n">
        <x:f>IF(A153='Run Snapshot'!A153,0,1)+IF(B153='Run Snapshot'!B153,0,1)+IF(C153='Run Snapshot'!C153,0,1)+IF(D153='Run Snapshot'!D153,0,1)+IF(E153='Run Snapshot'!E153,0,1)+IF(F153='Run Snapshot'!F153,0,1)+IF(G153='Run Snapshot'!G153,0,1)+IF(H153='Run Snapshot'!H153,0,1)+IF(I153='Run Snapshot'!I153,0,1)+IF(J153='Run Snapshot'!J153,0,1)+IF(K153='Run Snapshot'!K153,0,1)+IF(L153='Run Snapshot'!L153,0,1)+IF(M153='Run Snapshot'!M153,0,1)+IF(N153='Run Snapshot'!N153,0,1)+IF(O153='Run Snapshot'!O153,0,1)+IF(P153='Run Snapshot'!P153,0,1)+IF(Q153='Run Snapshot'!Q153,0,1)+IF(R153='Run Snapshot'!R153,0,1)</x:f>
        <x:v>0</x:v>
      </x:c>
      <x:c r="X153" s="15" t="n">
        <x:f>IF(A153="",0,COUNTIF($A$8:$A$289,A153)-1)</x:f>
        <x:v>0</x:v>
      </x:c>
      <x:c r="Y153" s="14" t="n">
        <x:f>IF(A153="",1,IF(OR(D153&lt;=0,N153&lt;0,N153&gt;1,M153&lt;=as_of_date),1,0))</x:f>
        <x:v>0</x:v>
      </x:c>
      <x:c r="Z153" s="170" t="n">
        <x:f>IF(A153="","",VLOOKUP(E153,SP_WARF_Factors,2,FALSE))</x:f>
        <x:v>1982</x:v>
      </x:c>
      <x:c r="AA153" s="172" t="n">
        <x:f>IF(A153="","",D153*Z153)</x:f>
        <x:v>2342724000</x:v>
      </x:c>
      <x:c r="AB153" s="170" t="n">
        <x:f>IF(A153="","",D153*ABS(Z153-SPWARF))</x:f>
        <x:v>469701168.72400004</x:v>
      </x:c>
    </x:row>
    <x:row r="154">
      <x:c r="A154" s="8" t="str">
        <x:v>SYN-LN-00147</x:v>
      </x:c>
      <x:c r="B154" s="8" t="str">
        <x:v>SYN-OB-0142</x:v>
      </x:c>
      <x:c r="C154" s="8" t="str">
        <x:v>Keystone Inc. 142</x:v>
      </x:c>
      <x:c r="D154" s="9" t="n">
        <x:v>1182000</x:v>
      </x:c>
      <x:c r="E154" s="8" t="str">
        <x:v>B-</x:v>
      </x:c>
      <x:c r="F154" s="8" t="str">
        <x:v>Containers &amp; Packaging</x:v>
      </x:c>
      <x:c r="G154" s="8" t="str">
        <x:v>United States</x:v>
      </x:c>
      <x:c r="H154" s="8" t="str">
        <x:v>1st Lien</x:v>
      </x:c>
      <x:c r="I154" s="8" t="str">
        <x:v>Floating</x:v>
      </x:c>
      <x:c r="J154" s="8" t="n">
        <x:v>365</x:v>
      </x:c>
      <x:c r="K154" s="10"/>
      <x:c r="L154" s="8" t="n">
        <x:v>0</x:v>
      </x:c>
      <x:c r="M154" s="11" t="n">
        <x:v>47649</x:v>
      </x:c>
      <x:c r="N154" s="10" t="n">
        <x:v>0.44</x:v>
      </x:c>
      <x:c r="O154" s="12" t="n">
        <x:v>100.375</x:v>
      </x:c>
      <x:c r="P154" s="13" t="n">
        <x:v>4</x:v>
      </x:c>
      <x:c r="Q154" s="8" t="str">
        <x:v>USD</x:v>
      </x:c>
      <x:c r="R154" s="8" t="str">
        <x:v>SOFR</x:v>
      </x:c>
      <x:c r="S154" s="18" t="n">
        <x:f>IF(Portfolio_Par&gt;0,D154/Portfolio_Par,"")</x:f>
        <x:v>0.00394</x:v>
      </x:c>
      <x:c r="T154" s="19" t="n">
        <x:f>IF(A154="","",(M154-as_of_date)/365.25)</x:f>
        <x:v>3.4524298425735798</x:v>
      </x:c>
      <x:c r="U154" s="20" t="n">
        <x:f>IF(I154="Floating",D154*J154,0)</x:f>
        <x:v>431430000</x:v>
      </x:c>
      <x:c r="V154" s="20" t="n">
        <x:f>IF(A154="","",D154*N154)</x:f>
        <x:v>520080</x:v>
      </x:c>
      <x:c r="W154" s="14" t="n">
        <x:f>IF(A154='Run Snapshot'!A154,0,1)+IF(B154='Run Snapshot'!B154,0,1)+IF(C154='Run Snapshot'!C154,0,1)+IF(D154='Run Snapshot'!D154,0,1)+IF(E154='Run Snapshot'!E154,0,1)+IF(F154='Run Snapshot'!F154,0,1)+IF(G154='Run Snapshot'!G154,0,1)+IF(H154='Run Snapshot'!H154,0,1)+IF(I154='Run Snapshot'!I154,0,1)+IF(J154='Run Snapshot'!J154,0,1)+IF(K154='Run Snapshot'!K154,0,1)+IF(L154='Run Snapshot'!L154,0,1)+IF(M154='Run Snapshot'!M154,0,1)+IF(N154='Run Snapshot'!N154,0,1)+IF(O154='Run Snapshot'!O154,0,1)+IF(P154='Run Snapshot'!P154,0,1)+IF(Q154='Run Snapshot'!Q154,0,1)+IF(R154='Run Snapshot'!R154,0,1)</x:f>
        <x:v>0</x:v>
      </x:c>
      <x:c r="X154" s="15" t="n">
        <x:f>IF(A154="",0,COUNTIF($A$8:$A$289,A154)-1)</x:f>
        <x:v>0</x:v>
      </x:c>
      <x:c r="Y154" s="14" t="n">
        <x:f>IF(A154="",1,IF(OR(D154&lt;=0,N154&lt;0,N154&gt;1,M154&lt;=as_of_date),1,0))</x:f>
        <x:v>0</x:v>
      </x:c>
      <x:c r="Z154" s="170" t="n">
        <x:f>IF(A154="","",VLOOKUP(E154,SP_WARF_Factors,2,FALSE))</x:f>
        <x:v>3610.11</x:v>
      </x:c>
      <x:c r="AA154" s="172" t="n">
        <x:f>IF(A154="","",D154*Z154)</x:f>
        <x:v>4267150020</x:v>
      </x:c>
      <x:c r="AB154" s="170" t="n">
        <x:f>IF(A154="","",D154*ABS(Z154-SPWARF))</x:f>
        <x:v>1454724851.276</x:v>
      </x:c>
    </x:row>
    <x:row r="155">
      <x:c r="A155" s="8" t="str">
        <x:v>SYN-LN-00148</x:v>
      </x:c>
      <x:c r="B155" s="8" t="str">
        <x:v>SYN-OB-0143</x:v>
      </x:c>
      <x:c r="C155" s="8" t="str">
        <x:v>Lakeview Corp. 143</x:v>
      </x:c>
      <x:c r="D155" s="9" t="n">
        <x:v>630000</x:v>
      </x:c>
      <x:c r="E155" s="8" t="str">
        <x:v>BBB</x:v>
      </x:c>
      <x:c r="F155" s="8" t="str">
        <x:v>Software</x:v>
      </x:c>
      <x:c r="G155" s="8" t="str">
        <x:v>Austria</x:v>
      </x:c>
      <x:c r="H155" s="8" t="str">
        <x:v>1st Lien</x:v>
      </x:c>
      <x:c r="I155" s="8" t="str">
        <x:v>Floating</x:v>
      </x:c>
      <x:c r="J155" s="8" t="n">
        <x:v>215</x:v>
      </x:c>
      <x:c r="K155" s="10"/>
      <x:c r="L155" s="8" t="n">
        <x:v>50</x:v>
      </x:c>
      <x:c r="M155" s="11" t="n">
        <x:v>48319</x:v>
      </x:c>
      <x:c r="N155" s="10" t="n">
        <x:v>0.41</x:v>
      </x:c>
      <x:c r="O155" s="12" t="n">
        <x:v>101.125</x:v>
      </x:c>
      <x:c r="P155" s="13" t="n">
        <x:v>4</x:v>
      </x:c>
      <x:c r="Q155" s="8" t="str">
        <x:v>USD</x:v>
      </x:c>
      <x:c r="R155" s="8" t="str">
        <x:v>SOFR</x:v>
      </x:c>
      <x:c r="S155" s="18" t="n">
        <x:f>IF(Portfolio_Par&gt;0,D155/Portfolio_Par,"")</x:f>
        <x:v>0.0021</x:v>
      </x:c>
      <x:c r="T155" s="19" t="n">
        <x:f>IF(A155="","",(M155-as_of_date)/365.25)</x:f>
        <x:v>5.286789869952088</x:v>
      </x:c>
      <x:c r="U155" s="20" t="n">
        <x:f>IF(I155="Floating",D155*J155,0)</x:f>
        <x:v>135450000</x:v>
      </x:c>
      <x:c r="V155" s="20" t="n">
        <x:f>IF(A155="","",D155*N155)</x:f>
        <x:v>258299.99999999997</x:v>
      </x:c>
      <x:c r="W155" s="14" t="n">
        <x:f>IF(A155='Run Snapshot'!A155,0,1)+IF(B155='Run Snapshot'!B155,0,1)+IF(C155='Run Snapshot'!C155,0,1)+IF(D155='Run Snapshot'!D155,0,1)+IF(E155='Run Snapshot'!E155,0,1)+IF(F155='Run Snapshot'!F155,0,1)+IF(G155='Run Snapshot'!G155,0,1)+IF(H155='Run Snapshot'!H155,0,1)+IF(I155='Run Snapshot'!I155,0,1)+IF(J155='Run Snapshot'!J155,0,1)+IF(K155='Run Snapshot'!K155,0,1)+IF(L155='Run Snapshot'!L155,0,1)+IF(M155='Run Snapshot'!M155,0,1)+IF(N155='Run Snapshot'!N155,0,1)+IF(O155='Run Snapshot'!O155,0,1)+IF(P155='Run Snapshot'!P155,0,1)+IF(Q155='Run Snapshot'!Q155,0,1)+IF(R155='Run Snapshot'!R155,0,1)</x:f>
        <x:v>0</x:v>
      </x:c>
      <x:c r="X155" s="15" t="n">
        <x:f>IF(A155="",0,COUNTIF($A$8:$A$289,A155)-1)</x:f>
        <x:v>0</x:v>
      </x:c>
      <x:c r="Y155" s="14" t="n">
        <x:f>IF(A155="",1,IF(OR(D155&lt;=0,N155&lt;0,N155&gt;1,M155&lt;=as_of_date),1,0))</x:f>
        <x:v>0</x:v>
      </x:c>
      <x:c r="Z155" s="170" t="n">
        <x:f>IF(A155="","",VLOOKUP(E155,SP_WARF_Factors,2,FALSE))</x:f>
        <x:v>361.17</x:v>
      </x:c>
      <x:c r="AA155" s="172" t="n">
        <x:f>IF(A155="","",D155*Z155)</x:f>
        <x:v>227537100</x:v>
      </x:c>
      <x:c r="AB155" s="170" t="n">
        <x:f>IF(A155="","",D155*ABS(Z155-SPWARF))</x:f>
        <x:v>1271471238.66</x:v>
      </x:c>
    </x:row>
    <x:row r="156">
      <x:c r="A156" s="8" t="str">
        <x:v>SYN-LN-00149</x:v>
      </x:c>
      <x:c r="B156" s="8" t="str">
        <x:v>SYN-OB-0144</x:v>
      </x:c>
      <x:c r="C156" s="8" t="str">
        <x:v>Larkspur Group 144</x:v>
      </x:c>
      <x:c r="D156" s="9" t="n">
        <x:v>1182000</x:v>
      </x:c>
      <x:c r="E156" s="8" t="str">
        <x:v>B</x:v>
      </x:c>
      <x:c r="F156" s="8" t="str">
        <x:v>Diversified Consumer Services</x:v>
      </x:c>
      <x:c r="G156" s="8" t="str">
        <x:v>United States</x:v>
      </x:c>
      <x:c r="H156" s="8" t="str">
        <x:v>1st Lien</x:v>
      </x:c>
      <x:c r="I156" s="8" t="str">
        <x:v>Floating</x:v>
      </x:c>
      <x:c r="J156" s="8" t="n">
        <x:v>355</x:v>
      </x:c>
      <x:c r="K156" s="10"/>
      <x:c r="L156" s="8" t="n">
        <x:v>0</x:v>
      </x:c>
      <x:c r="M156" s="11" t="n">
        <x:v>48393</x:v>
      </x:c>
      <x:c r="N156" s="10" t="n">
        <x:v>0.335</x:v>
      </x:c>
      <x:c r="O156" s="12" t="n">
        <x:v>101.5</x:v>
      </x:c>
      <x:c r="P156" s="13" t="n">
        <x:v>4</x:v>
      </x:c>
      <x:c r="Q156" s="8" t="str">
        <x:v>USD</x:v>
      </x:c>
      <x:c r="R156" s="8" t="str">
        <x:v>SOFR</x:v>
      </x:c>
      <x:c r="S156" s="18" t="n">
        <x:f>IF(Portfolio_Par&gt;0,D156/Portfolio_Par,"")</x:f>
        <x:v>0.00394</x:v>
      </x:c>
      <x:c r="T156" s="19" t="n">
        <x:f>IF(A156="","",(M156-as_of_date)/365.25)</x:f>
        <x:v>5.489390828199863</x:v>
      </x:c>
      <x:c r="U156" s="20" t="n">
        <x:f>IF(I156="Floating",D156*J156,0)</x:f>
        <x:v>419610000</x:v>
      </x:c>
      <x:c r="V156" s="20" t="n">
        <x:f>IF(A156="","",D156*N156)</x:f>
        <x:v>395970</x:v>
      </x:c>
      <x:c r="W156" s="14" t="n">
        <x:f>IF(A156='Run Snapshot'!A156,0,1)+IF(B156='Run Snapshot'!B156,0,1)+IF(C156='Run Snapshot'!C156,0,1)+IF(D156='Run Snapshot'!D156,0,1)+IF(E156='Run Snapshot'!E156,0,1)+IF(F156='Run Snapshot'!F156,0,1)+IF(G156='Run Snapshot'!G156,0,1)+IF(H156='Run Snapshot'!H156,0,1)+IF(I156='Run Snapshot'!I156,0,1)+IF(J156='Run Snapshot'!J156,0,1)+IF(K156='Run Snapshot'!K156,0,1)+IF(L156='Run Snapshot'!L156,0,1)+IF(M156='Run Snapshot'!M156,0,1)+IF(N156='Run Snapshot'!N156,0,1)+IF(O156='Run Snapshot'!O156,0,1)+IF(P156='Run Snapshot'!P156,0,1)+IF(Q156='Run Snapshot'!Q156,0,1)+IF(R156='Run Snapshot'!R156,0,1)</x:f>
        <x:v>0</x:v>
      </x:c>
      <x:c r="X156" s="15" t="n">
        <x:f>IF(A156="",0,COUNTIF($A$8:$A$289,A156)-1)</x:f>
        <x:v>0</x:v>
      </x:c>
      <x:c r="Y156" s="14" t="n">
        <x:f>IF(A156="",1,IF(OR(D156&lt;=0,N156&lt;0,N156&gt;1,M156&lt;=as_of_date),1,0))</x:f>
        <x:v>0</x:v>
      </x:c>
      <x:c r="Z156" s="170" t="n">
        <x:f>IF(A156="","",VLOOKUP(E156,SP_WARF_Factors,2,FALSE))</x:f>
        <x:v>2859.5</x:v>
      </x:c>
      <x:c r="AA156" s="172" t="n">
        <x:f>IF(A156="","",D156*Z156)</x:f>
        <x:v>3379929000</x:v>
      </x:c>
      <x:c r="AB156" s="170" t="n">
        <x:f>IF(A156="","",D156*ABS(Z156-SPWARF))</x:f>
        <x:v>567503831.2759999</x:v>
      </x:c>
    </x:row>
    <x:row r="157">
      <x:c r="A157" s="8" t="str">
        <x:v>SYN-LN-00150</x:v>
      </x:c>
      <x:c r="B157" s="8" t="str">
        <x:v>SYN-OB-0145</x:v>
      </x:c>
      <x:c r="C157" s="8" t="str">
        <x:v>Maple LLC 145</x:v>
      </x:c>
      <x:c r="D157" s="9" t="n">
        <x:v>1182000</x:v>
      </x:c>
      <x:c r="E157" s="8" t="str">
        <x:v>B+</x:v>
      </x:c>
      <x:c r="F157" s="8" t="str">
        <x:v>Passenger airlines</x:v>
      </x:c>
      <x:c r="G157" s="8" t="str">
        <x:v>United States</x:v>
      </x:c>
      <x:c r="H157" s="8" t="str">
        <x:v>1st Lien</x:v>
      </x:c>
      <x:c r="I157" s="8" t="str">
        <x:v>Floating</x:v>
      </x:c>
      <x:c r="J157" s="8" t="n">
        <x:v>325</x:v>
      </x:c>
      <x:c r="K157" s="10"/>
      <x:c r="L157" s="8" t="n">
        <x:v>0</x:v>
      </x:c>
      <x:c r="M157" s="11" t="n">
        <x:v>48241</x:v>
      </x:c>
      <x:c r="N157" s="10" t="n">
        <x:v>0.38</x:v>
      </x:c>
      <x:c r="O157" s="12" t="n">
        <x:v>98.875</x:v>
      </x:c>
      <x:c r="P157" s="13" t="n">
        <x:v>4</x:v>
      </x:c>
      <x:c r="Q157" s="8" t="str">
        <x:v>USD</x:v>
      </x:c>
      <x:c r="R157" s="8" t="str">
        <x:v>SOFR</x:v>
      </x:c>
      <x:c r="S157" s="18" t="n">
        <x:f>IF(Portfolio_Par&gt;0,D157/Portfolio_Par,"")</x:f>
        <x:v>0.00394</x:v>
      </x:c>
      <x:c r="T157" s="19" t="n">
        <x:f>IF(A157="","",(M157-as_of_date)/365.25)</x:f>
        <x:v>5.073237508555784</x:v>
      </x:c>
      <x:c r="U157" s="20" t="n">
        <x:f>IF(I157="Floating",D157*J157,0)</x:f>
        <x:v>384150000</x:v>
      </x:c>
      <x:c r="V157" s="20" t="n">
        <x:f>IF(A157="","",D157*N157)</x:f>
        <x:v>449160</x:v>
      </x:c>
      <x:c r="W157" s="14" t="n">
        <x:f>IF(A157='Run Snapshot'!A157,0,1)+IF(B157='Run Snapshot'!B157,0,1)+IF(C157='Run Snapshot'!C157,0,1)+IF(D157='Run Snapshot'!D157,0,1)+IF(E157='Run Snapshot'!E157,0,1)+IF(F157='Run Snapshot'!F157,0,1)+IF(G157='Run Snapshot'!G157,0,1)+IF(H157='Run Snapshot'!H157,0,1)+IF(I157='Run Snapshot'!I157,0,1)+IF(J157='Run Snapshot'!J157,0,1)+IF(K157='Run Snapshot'!K157,0,1)+IF(L157='Run Snapshot'!L157,0,1)+IF(M157='Run Snapshot'!M157,0,1)+IF(N157='Run Snapshot'!N157,0,1)+IF(O157='Run Snapshot'!O157,0,1)+IF(P157='Run Snapshot'!P157,0,1)+IF(Q157='Run Snapshot'!Q157,0,1)+IF(R157='Run Snapshot'!R157,0,1)</x:f>
        <x:v>0</x:v>
      </x:c>
      <x:c r="X157" s="15" t="n">
        <x:f>IF(A157="",0,COUNTIF($A$8:$A$289,A157)-1)</x:f>
        <x:v>0</x:v>
      </x:c>
      <x:c r="Y157" s="14" t="n">
        <x:f>IF(A157="",1,IF(OR(D157&lt;=0,N157&lt;0,N157&gt;1,M157&lt;=as_of_date),1,0))</x:f>
        <x:v>0</x:v>
      </x:c>
      <x:c r="Z157" s="170" t="n">
        <x:f>IF(A157="","",VLOOKUP(E157,SP_WARF_Factors,2,FALSE))</x:f>
        <x:v>1982</x:v>
      </x:c>
      <x:c r="AA157" s="172" t="n">
        <x:f>IF(A157="","",D157*Z157)</x:f>
        <x:v>2342724000</x:v>
      </x:c>
      <x:c r="AB157" s="170" t="n">
        <x:f>IF(A157="","",D157*ABS(Z157-SPWARF))</x:f>
        <x:v>469701168.72400004</x:v>
      </x:c>
    </x:row>
    <x:row r="158">
      <x:c r="A158" s="8" t="str">
        <x:v>SYN-LN-00151</x:v>
      </x:c>
      <x:c r="B158" s="8" t="str">
        <x:v>SYN-OB-0146</x:v>
      </x:c>
      <x:c r="C158" s="8" t="str">
        <x:v>Meridian Holdings 146</x:v>
      </x:c>
      <x:c r="D158" s="9" t="n">
        <x:v>1189000</x:v>
      </x:c>
      <x:c r="E158" s="8" t="str">
        <x:v>B</x:v>
      </x:c>
      <x:c r="F158" s="8" t="str">
        <x:v>Software</x:v>
      </x:c>
      <x:c r="G158" s="8" t="str">
        <x:v>United States</x:v>
      </x:c>
      <x:c r="H158" s="8" t="str">
        <x:v>1st Lien</x:v>
      </x:c>
      <x:c r="I158" s="8" t="str">
        <x:v>Floating</x:v>
      </x:c>
      <x:c r="J158" s="8" t="n">
        <x:v>245</x:v>
      </x:c>
      <x:c r="K158" s="10"/>
      <x:c r="L158" s="8" t="n">
        <x:v>0</x:v>
      </x:c>
      <x:c r="M158" s="11" t="n">
        <x:v>47694</x:v>
      </x:c>
      <x:c r="N158" s="10" t="n">
        <x:v>0.41</x:v>
      </x:c>
      <x:c r="O158" s="12" t="n">
        <x:v>95.25</x:v>
      </x:c>
      <x:c r="P158" s="13" t="n">
        <x:v>4</x:v>
      </x:c>
      <x:c r="Q158" s="8" t="str">
        <x:v>USD</x:v>
      </x:c>
      <x:c r="R158" s="8" t="str">
        <x:v>SOFR</x:v>
      </x:c>
      <x:c r="S158" s="18" t="n">
        <x:f>IF(Portfolio_Par&gt;0,D158/Portfolio_Par,"")</x:f>
        <x:v>0.0039633333333333335</x:v>
      </x:c>
      <x:c r="T158" s="19" t="n">
        <x:f>IF(A158="","",(M158-as_of_date)/365.25)</x:f>
        <x:v>3.575633127994524</x:v>
      </x:c>
      <x:c r="U158" s="20" t="n">
        <x:f>IF(I158="Floating",D158*J158,0)</x:f>
        <x:v>291305000</x:v>
      </x:c>
      <x:c r="V158" s="20" t="n">
        <x:f>IF(A158="","",D158*N158)</x:f>
        <x:v>487490</x:v>
      </x:c>
      <x:c r="W158" s="14" t="n">
        <x:f>IF(A158='Run Snapshot'!A158,0,1)+IF(B158='Run Snapshot'!B158,0,1)+IF(C158='Run Snapshot'!C158,0,1)+IF(D158='Run Snapshot'!D158,0,1)+IF(E158='Run Snapshot'!E158,0,1)+IF(F158='Run Snapshot'!F158,0,1)+IF(G158='Run Snapshot'!G158,0,1)+IF(H158='Run Snapshot'!H158,0,1)+IF(I158='Run Snapshot'!I158,0,1)+IF(J158='Run Snapshot'!J158,0,1)+IF(K158='Run Snapshot'!K158,0,1)+IF(L158='Run Snapshot'!L158,0,1)+IF(M158='Run Snapshot'!M158,0,1)+IF(N158='Run Snapshot'!N158,0,1)+IF(O158='Run Snapshot'!O158,0,1)+IF(P158='Run Snapshot'!P158,0,1)+IF(Q158='Run Snapshot'!Q158,0,1)+IF(R158='Run Snapshot'!R158,0,1)</x:f>
        <x:v>0</x:v>
      </x:c>
      <x:c r="X158" s="15" t="n">
        <x:f>IF(A158="",0,COUNTIF($A$8:$A$289,A158)-1)</x:f>
        <x:v>0</x:v>
      </x:c>
      <x:c r="Y158" s="14" t="n">
        <x:f>IF(A158="",1,IF(OR(D158&lt;=0,N158&lt;0,N158&gt;1,M158&lt;=as_of_date),1,0))</x:f>
        <x:v>0</x:v>
      </x:c>
      <x:c r="Z158" s="170" t="n">
        <x:f>IF(A158="","",VLOOKUP(E158,SP_WARF_Factors,2,FALSE))</x:f>
        <x:v>2859.5</x:v>
      </x:c>
      <x:c r="AA158" s="172" t="n">
        <x:f>IF(A158="","",D158*Z158)</x:f>
        <x:v>3399945500</x:v>
      </x:c>
      <x:c r="AB158" s="170" t="n">
        <x:f>IF(A158="","",D158*ABS(Z158-SPWARF))</x:f>
        <x:v>570864683.0686666</x:v>
      </x:c>
    </x:row>
    <x:row r="159">
      <x:c r="A159" s="8" t="str">
        <x:v>SYN-LN-00152</x:v>
      </x:c>
      <x:c r="B159" s="8" t="str">
        <x:v>SYN-OB-0147</x:v>
      </x:c>
      <x:c r="C159" s="8" t="str">
        <x:v>Northfield Inc. 147</x:v>
      </x:c>
      <x:c r="D159" s="9" t="n">
        <x:v>1182000</x:v>
      </x:c>
      <x:c r="E159" s="8" t="str">
        <x:v>B</x:v>
      </x:c>
      <x:c r="F159" s="8" t="str">
        <x:v>Healthcare Providers &amp; Services</x:v>
      </x:c>
      <x:c r="G159" s="8" t="str">
        <x:v>United States</x:v>
      </x:c>
      <x:c r="H159" s="8" t="str">
        <x:v>1st Lien</x:v>
      </x:c>
      <x:c r="I159" s="8" t="str">
        <x:v>Floating</x:v>
      </x:c>
      <x:c r="J159" s="8" t="n">
        <x:v>195</x:v>
      </x:c>
      <x:c r="K159" s="10"/>
      <x:c r="L159" s="8" t="n">
        <x:v>0</x:v>
      </x:c>
      <x:c r="M159" s="11" t="n">
        <x:v>47953</x:v>
      </x:c>
      <x:c r="N159" s="10" t="n">
        <x:v>0.355</x:v>
      </x:c>
      <x:c r="O159" s="12" t="n">
        <x:v>99.875</x:v>
      </x:c>
      <x:c r="P159" s="13" t="n">
        <x:v>4</x:v>
      </x:c>
      <x:c r="Q159" s="8" t="str">
        <x:v>USD</x:v>
      </x:c>
      <x:c r="R159" s="8" t="str">
        <x:v>SOFR</x:v>
      </x:c>
      <x:c r="S159" s="18" t="n">
        <x:f>IF(Portfolio_Par&gt;0,D159/Portfolio_Par,"")</x:f>
        <x:v>0.00394</x:v>
      </x:c>
      <x:c r="T159" s="19" t="n">
        <x:f>IF(A159="","",(M159-as_of_date)/365.25)</x:f>
        <x:v>4.284736481861739</x:v>
      </x:c>
      <x:c r="U159" s="20" t="n">
        <x:f>IF(I159="Floating",D159*J159,0)</x:f>
        <x:v>230490000</x:v>
      </x:c>
      <x:c r="V159" s="20" t="n">
        <x:f>IF(A159="","",D159*N159)</x:f>
        <x:v>419610</x:v>
      </x:c>
      <x:c r="W159" s="14" t="n">
        <x:f>IF(A159='Run Snapshot'!A159,0,1)+IF(B159='Run Snapshot'!B159,0,1)+IF(C159='Run Snapshot'!C159,0,1)+IF(D159='Run Snapshot'!D159,0,1)+IF(E159='Run Snapshot'!E159,0,1)+IF(F159='Run Snapshot'!F159,0,1)+IF(G159='Run Snapshot'!G159,0,1)+IF(H159='Run Snapshot'!H159,0,1)+IF(I159='Run Snapshot'!I159,0,1)+IF(J159='Run Snapshot'!J159,0,1)+IF(K159='Run Snapshot'!K159,0,1)+IF(L159='Run Snapshot'!L159,0,1)+IF(M159='Run Snapshot'!M159,0,1)+IF(N159='Run Snapshot'!N159,0,1)+IF(O159='Run Snapshot'!O159,0,1)+IF(P159='Run Snapshot'!P159,0,1)+IF(Q159='Run Snapshot'!Q159,0,1)+IF(R159='Run Snapshot'!R159,0,1)</x:f>
        <x:v>0</x:v>
      </x:c>
      <x:c r="X159" s="15" t="n">
        <x:f>IF(A159="",0,COUNTIF($A$8:$A$289,A159)-1)</x:f>
        <x:v>0</x:v>
      </x:c>
      <x:c r="Y159" s="14" t="n">
        <x:f>IF(A159="",1,IF(OR(D159&lt;=0,N159&lt;0,N159&gt;1,M159&lt;=as_of_date),1,0))</x:f>
        <x:v>0</x:v>
      </x:c>
      <x:c r="Z159" s="170" t="n">
        <x:f>IF(A159="","",VLOOKUP(E159,SP_WARF_Factors,2,FALSE))</x:f>
        <x:v>2859.5</x:v>
      </x:c>
      <x:c r="AA159" s="172" t="n">
        <x:f>IF(A159="","",D159*Z159)</x:f>
        <x:v>3379929000</x:v>
      </x:c>
      <x:c r="AB159" s="170" t="n">
        <x:f>IF(A159="","",D159*ABS(Z159-SPWARF))</x:f>
        <x:v>567503831.2759999</x:v>
      </x:c>
    </x:row>
    <x:row r="160">
      <x:c r="A160" s="8" t="str">
        <x:v>SYN-LN-00153</x:v>
      </x:c>
      <x:c r="B160" s="8" t="str">
        <x:v>SYN-OB-0148</x:v>
      </x:c>
      <x:c r="C160" s="8" t="str">
        <x:v>Oakmont Corp. 148</x:v>
      </x:c>
      <x:c r="D160" s="9" t="n">
        <x:v>1182000</x:v>
      </x:c>
      <x:c r="E160" s="8" t="str">
        <x:v>B</x:v>
      </x:c>
      <x:c r="F160" s="8" t="str">
        <x:v>Financial services</x:v>
      </x:c>
      <x:c r="G160" s="8" t="str">
        <x:v>United States</x:v>
      </x:c>
      <x:c r="H160" s="8" t="str">
        <x:v>1st Lien</x:v>
      </x:c>
      <x:c r="I160" s="8" t="str">
        <x:v>Floating</x:v>
      </x:c>
      <x:c r="J160" s="8" t="n">
        <x:v>265</x:v>
      </x:c>
      <x:c r="K160" s="10"/>
      <x:c r="L160" s="8" t="n">
        <x:v>0</x:v>
      </x:c>
      <x:c r="M160" s="11" t="n">
        <x:v>48819</x:v>
      </x:c>
      <x:c r="N160" s="10" t="n">
        <x:v>0.34</x:v>
      </x:c>
      <x:c r="O160" s="12" t="n">
        <x:v>101.125</x:v>
      </x:c>
      <x:c r="P160" s="13" t="n">
        <x:v>4</x:v>
      </x:c>
      <x:c r="Q160" s="8" t="str">
        <x:v>USD</x:v>
      </x:c>
      <x:c r="R160" s="8" t="str">
        <x:v>SOFR</x:v>
      </x:c>
      <x:c r="S160" s="18" t="n">
        <x:f>IF(Portfolio_Par&gt;0,D160/Portfolio_Par,"")</x:f>
        <x:v>0.00394</x:v>
      </x:c>
      <x:c r="T160" s="19" t="n">
        <x:f>IF(A160="","",(M160-as_of_date)/365.25)</x:f>
        <x:v>6.655715263518139</x:v>
      </x:c>
      <x:c r="U160" s="20" t="n">
        <x:f>IF(I160="Floating",D160*J160,0)</x:f>
        <x:v>313230000</x:v>
      </x:c>
      <x:c r="V160" s="20" t="n">
        <x:f>IF(A160="","",D160*N160)</x:f>
        <x:v>401880</x:v>
      </x:c>
      <x:c r="W160" s="14" t="n">
        <x:f>IF(A160='Run Snapshot'!A160,0,1)+IF(B160='Run Snapshot'!B160,0,1)+IF(C160='Run Snapshot'!C160,0,1)+IF(D160='Run Snapshot'!D160,0,1)+IF(E160='Run Snapshot'!E160,0,1)+IF(F160='Run Snapshot'!F160,0,1)+IF(G160='Run Snapshot'!G160,0,1)+IF(H160='Run Snapshot'!H160,0,1)+IF(I160='Run Snapshot'!I160,0,1)+IF(J160='Run Snapshot'!J160,0,1)+IF(K160='Run Snapshot'!K160,0,1)+IF(L160='Run Snapshot'!L160,0,1)+IF(M160='Run Snapshot'!M160,0,1)+IF(N160='Run Snapshot'!N160,0,1)+IF(O160='Run Snapshot'!O160,0,1)+IF(P160='Run Snapshot'!P160,0,1)+IF(Q160='Run Snapshot'!Q160,0,1)+IF(R160='Run Snapshot'!R160,0,1)</x:f>
        <x:v>0</x:v>
      </x:c>
      <x:c r="X160" s="15" t="n">
        <x:f>IF(A160="",0,COUNTIF($A$8:$A$289,A160)-1)</x:f>
        <x:v>0</x:v>
      </x:c>
      <x:c r="Y160" s="14" t="n">
        <x:f>IF(A160="",1,IF(OR(D160&lt;=0,N160&lt;0,N160&gt;1,M160&lt;=as_of_date),1,0))</x:f>
        <x:v>0</x:v>
      </x:c>
      <x:c r="Z160" s="170" t="n">
        <x:f>IF(A160="","",VLOOKUP(E160,SP_WARF_Factors,2,FALSE))</x:f>
        <x:v>2859.5</x:v>
      </x:c>
      <x:c r="AA160" s="172" t="n">
        <x:f>IF(A160="","",D160*Z160)</x:f>
        <x:v>3379929000</x:v>
      </x:c>
      <x:c r="AB160" s="170" t="n">
        <x:f>IF(A160="","",D160*ABS(Z160-SPWARF))</x:f>
        <x:v>567503831.2759999</x:v>
      </x:c>
    </x:row>
    <x:row r="161">
      <x:c r="A161" s="8" t="str">
        <x:v>SYN-LN-00154</x:v>
      </x:c>
      <x:c r="B161" s="8" t="str">
        <x:v>SYN-OB-0149</x:v>
      </x:c>
      <x:c r="C161" s="8" t="str">
        <x:v>Orchard Group 149</x:v>
      </x:c>
      <x:c r="D161" s="9" t="n">
        <x:v>1182000</x:v>
      </x:c>
      <x:c r="E161" s="8" t="str">
        <x:v>B-</x:v>
      </x:c>
      <x:c r="F161" s="8" t="str">
        <x:v>Financial services</x:v>
      </x:c>
      <x:c r="G161" s="8" t="str">
        <x:v>United Kingdom</x:v>
      </x:c>
      <x:c r="H161" s="8" t="str">
        <x:v>1st Lien</x:v>
      </x:c>
      <x:c r="I161" s="8" t="str">
        <x:v>Floating</x:v>
      </x:c>
      <x:c r="J161" s="8" t="n">
        <x:v>355</x:v>
      </x:c>
      <x:c r="K161" s="10"/>
      <x:c r="L161" s="8" t="n">
        <x:v>0</x:v>
      </x:c>
      <x:c r="M161" s="11" t="n">
        <x:v>48044</x:v>
      </x:c>
      <x:c r="N161" s="10" t="n">
        <x:v>0.37</x:v>
      </x:c>
      <x:c r="O161" s="12" t="n">
        <x:v>98</x:v>
      </x:c>
      <x:c r="P161" s="13" t="n">
        <x:v>4</x:v>
      </x:c>
      <x:c r="Q161" s="8" t="str">
        <x:v>USD</x:v>
      </x:c>
      <x:c r="R161" s="8" t="str">
        <x:v>SOFR</x:v>
      </x:c>
      <x:c r="S161" s="18" t="n">
        <x:f>IF(Portfolio_Par&gt;0,D161/Portfolio_Par,"")</x:f>
        <x:v>0.00394</x:v>
      </x:c>
      <x:c r="T161" s="19" t="n">
        <x:f>IF(A161="","",(M161-as_of_date)/365.25)</x:f>
        <x:v>4.5338809034907595</x:v>
      </x:c>
      <x:c r="U161" s="20" t="n">
        <x:f>IF(I161="Floating",D161*J161,0)</x:f>
        <x:v>419610000</x:v>
      </x:c>
      <x:c r="V161" s="20" t="n">
        <x:f>IF(A161="","",D161*N161)</x:f>
        <x:v>437340</x:v>
      </x:c>
      <x:c r="W161" s="14" t="n">
        <x:f>IF(A161='Run Snapshot'!A161,0,1)+IF(B161='Run Snapshot'!B161,0,1)+IF(C161='Run Snapshot'!C161,0,1)+IF(D161='Run Snapshot'!D161,0,1)+IF(E161='Run Snapshot'!E161,0,1)+IF(F161='Run Snapshot'!F161,0,1)+IF(G161='Run Snapshot'!G161,0,1)+IF(H161='Run Snapshot'!H161,0,1)+IF(I161='Run Snapshot'!I161,0,1)+IF(J161='Run Snapshot'!J161,0,1)+IF(K161='Run Snapshot'!K161,0,1)+IF(L161='Run Snapshot'!L161,0,1)+IF(M161='Run Snapshot'!M161,0,1)+IF(N161='Run Snapshot'!N161,0,1)+IF(O161='Run Snapshot'!O161,0,1)+IF(P161='Run Snapshot'!P161,0,1)+IF(Q161='Run Snapshot'!Q161,0,1)+IF(R161='Run Snapshot'!R161,0,1)</x:f>
        <x:v>0</x:v>
      </x:c>
      <x:c r="X161" s="15" t="n">
        <x:f>IF(A161="",0,COUNTIF($A$8:$A$289,A161)-1)</x:f>
        <x:v>0</x:v>
      </x:c>
      <x:c r="Y161" s="14" t="n">
        <x:f>IF(A161="",1,IF(OR(D161&lt;=0,N161&lt;0,N161&gt;1,M161&lt;=as_of_date),1,0))</x:f>
        <x:v>0</x:v>
      </x:c>
      <x:c r="Z161" s="170" t="n">
        <x:f>IF(A161="","",VLOOKUP(E161,SP_WARF_Factors,2,FALSE))</x:f>
        <x:v>3610.11</x:v>
      </x:c>
      <x:c r="AA161" s="172" t="n">
        <x:f>IF(A161="","",D161*Z161)</x:f>
        <x:v>4267150020</x:v>
      </x:c>
      <x:c r="AB161" s="170" t="n">
        <x:f>IF(A161="","",D161*ABS(Z161-SPWARF))</x:f>
        <x:v>1454724851.276</x:v>
      </x:c>
    </x:row>
    <x:row r="162">
      <x:c r="A162" s="8" t="str">
        <x:v>SYN-LN-00155</x:v>
      </x:c>
      <x:c r="B162" s="8" t="str">
        <x:v>SYN-OB-0150</x:v>
      </x:c>
      <x:c r="C162" s="8" t="str">
        <x:v>Pinecrest LLC 150</x:v>
      </x:c>
      <x:c r="D162" s="9" t="n">
        <x:v>1182000</x:v>
      </x:c>
      <x:c r="E162" s="8" t="str">
        <x:v>BB-</x:v>
      </x:c>
      <x:c r="F162" s="8" t="str">
        <x:v>Professional Services</x:v>
      </x:c>
      <x:c r="G162" s="8" t="str">
        <x:v>United States</x:v>
      </x:c>
      <x:c r="H162" s="8" t="str">
        <x:v>1st Lien</x:v>
      </x:c>
      <x:c r="I162" s="8" t="str">
        <x:v>Floating</x:v>
      </x:c>
      <x:c r="J162" s="8" t="n">
        <x:v>315</x:v>
      </x:c>
      <x:c r="K162" s="10"/>
      <x:c r="L162" s="8" t="n">
        <x:v>0</x:v>
      </x:c>
      <x:c r="M162" s="11" t="n">
        <x:v>48898</x:v>
      </x:c>
      <x:c r="N162" s="10" t="n">
        <x:v>0.365</x:v>
      </x:c>
      <x:c r="O162" s="12" t="n">
        <x:v>98</x:v>
      </x:c>
      <x:c r="P162" s="13" t="n">
        <x:v>4</x:v>
      </x:c>
      <x:c r="Q162" s="8" t="str">
        <x:v>USD</x:v>
      </x:c>
      <x:c r="R162" s="8" t="str">
        <x:v>SOFR</x:v>
      </x:c>
      <x:c r="S162" s="18" t="n">
        <x:f>IF(Portfolio_Par&gt;0,D162/Portfolio_Par,"")</x:f>
        <x:v>0.00394</x:v>
      </x:c>
      <x:c r="T162" s="19" t="n">
        <x:f>IF(A162="","",(M162-as_of_date)/365.25)</x:f>
        <x:v>6.872005475701574</x:v>
      </x:c>
      <x:c r="U162" s="20" t="n">
        <x:f>IF(I162="Floating",D162*J162,0)</x:f>
        <x:v>372330000</x:v>
      </x:c>
      <x:c r="V162" s="20" t="n">
        <x:f>IF(A162="","",D162*N162)</x:f>
        <x:v>431430</x:v>
      </x:c>
      <x:c r="W162" s="14" t="n">
        <x:f>IF(A162='Run Snapshot'!A162,0,1)+IF(B162='Run Snapshot'!B162,0,1)+IF(C162='Run Snapshot'!C162,0,1)+IF(D162='Run Snapshot'!D162,0,1)+IF(E162='Run Snapshot'!E162,0,1)+IF(F162='Run Snapshot'!F162,0,1)+IF(G162='Run Snapshot'!G162,0,1)+IF(H162='Run Snapshot'!H162,0,1)+IF(I162='Run Snapshot'!I162,0,1)+IF(J162='Run Snapshot'!J162,0,1)+IF(K162='Run Snapshot'!K162,0,1)+IF(L162='Run Snapshot'!L162,0,1)+IF(M162='Run Snapshot'!M162,0,1)+IF(N162='Run Snapshot'!N162,0,1)+IF(O162='Run Snapshot'!O162,0,1)+IF(P162='Run Snapshot'!P162,0,1)+IF(Q162='Run Snapshot'!Q162,0,1)+IF(R162='Run Snapshot'!R162,0,1)</x:f>
        <x:v>0</x:v>
      </x:c>
      <x:c r="X162" s="15" t="n">
        <x:f>IF(A162="",0,COUNTIF($A$8:$A$289,A162)-1)</x:f>
        <x:v>0</x:v>
      </x:c>
      <x:c r="Y162" s="14" t="n">
        <x:f>IF(A162="",1,IF(OR(D162&lt;=0,N162&lt;0,N162&gt;1,M162&lt;=as_of_date),1,0))</x:f>
        <x:v>0</x:v>
      </x:c>
      <x:c r="Z162" s="170" t="n">
        <x:f>IF(A162="","",VLOOKUP(E162,SP_WARF_Factors,2,FALSE))</x:f>
        <x:v>1565.44</x:v>
      </x:c>
      <x:c r="AA162" s="172" t="n">
        <x:f>IF(A162="","",D162*Z162)</x:f>
        <x:v>1850350080</x:v>
      </x:c>
      <x:c r="AB162" s="170" t="n">
        <x:f>IF(A162="","",D162*ABS(Z162-SPWARF))</x:f>
        <x:v>962075088.724</x:v>
      </x:c>
    </x:row>
    <x:row r="163">
      <x:c r="A163" s="8" t="str">
        <x:v>SYN-LN-00156</x:v>
      </x:c>
      <x:c r="B163" s="8" t="str">
        <x:v>SYN-OB-0151</x:v>
      </x:c>
      <x:c r="C163" s="8" t="str">
        <x:v>Redwood Holdings 151</x:v>
      </x:c>
      <x:c r="D163" s="9" t="n">
        <x:v>1182000</x:v>
      </x:c>
      <x:c r="E163" s="8" t="str">
        <x:v>B</x:v>
      </x:c>
      <x:c r="F163" s="8" t="str">
        <x:v>Aerospace &amp; Defense</x:v>
      </x:c>
      <x:c r="G163" s="8" t="str">
        <x:v>United States</x:v>
      </x:c>
      <x:c r="H163" s="8" t="str">
        <x:v>1st Lien</x:v>
      </x:c>
      <x:c r="I163" s="8" t="str">
        <x:v>Floating</x:v>
      </x:c>
      <x:c r="J163" s="8" t="n">
        <x:v>225</x:v>
      </x:c>
      <x:c r="K163" s="10"/>
      <x:c r="L163" s="8" t="n">
        <x:v>0</x:v>
      </x:c>
      <x:c r="M163" s="11" t="n">
        <x:v>48423</x:v>
      </x:c>
      <x:c r="N163" s="10" t="n">
        <x:v>0.325</x:v>
      </x:c>
      <x:c r="O163" s="12" t="n">
        <x:v>96.75</x:v>
      </x:c>
      <x:c r="P163" s="13" t="n">
        <x:v>4</x:v>
      </x:c>
      <x:c r="Q163" s="8" t="str">
        <x:v>USD</x:v>
      </x:c>
      <x:c r="R163" s="8" t="str">
        <x:v>SOFR</x:v>
      </x:c>
      <x:c r="S163" s="18" t="n">
        <x:f>IF(Portfolio_Par&gt;0,D163/Portfolio_Par,"")</x:f>
        <x:v>0.00394</x:v>
      </x:c>
      <x:c r="T163" s="19" t="n">
        <x:f>IF(A163="","",(M163-as_of_date)/365.25)</x:f>
        <x:v>5.5715263518138265</x:v>
      </x:c>
      <x:c r="U163" s="20" t="n">
        <x:f>IF(I163="Floating",D163*J163,0)</x:f>
        <x:v>265950000</x:v>
      </x:c>
      <x:c r="V163" s="20" t="n">
        <x:f>IF(A163="","",D163*N163)</x:f>
        <x:v>384150</x:v>
      </x:c>
      <x:c r="W163" s="14" t="n">
        <x:f>IF(A163='Run Snapshot'!A163,0,1)+IF(B163='Run Snapshot'!B163,0,1)+IF(C163='Run Snapshot'!C163,0,1)+IF(D163='Run Snapshot'!D163,0,1)+IF(E163='Run Snapshot'!E163,0,1)+IF(F163='Run Snapshot'!F163,0,1)+IF(G163='Run Snapshot'!G163,0,1)+IF(H163='Run Snapshot'!H163,0,1)+IF(I163='Run Snapshot'!I163,0,1)+IF(J163='Run Snapshot'!J163,0,1)+IF(K163='Run Snapshot'!K163,0,1)+IF(L163='Run Snapshot'!L163,0,1)+IF(M163='Run Snapshot'!M163,0,1)+IF(N163='Run Snapshot'!N163,0,1)+IF(O163='Run Snapshot'!O163,0,1)+IF(P163='Run Snapshot'!P163,0,1)+IF(Q163='Run Snapshot'!Q163,0,1)+IF(R163='Run Snapshot'!R163,0,1)</x:f>
        <x:v>0</x:v>
      </x:c>
      <x:c r="X163" s="15" t="n">
        <x:f>IF(A163="",0,COUNTIF($A$8:$A$289,A163)-1)</x:f>
        <x:v>0</x:v>
      </x:c>
      <x:c r="Y163" s="14" t="n">
        <x:f>IF(A163="",1,IF(OR(D163&lt;=0,N163&lt;0,N163&gt;1,M163&lt;=as_of_date),1,0))</x:f>
        <x:v>0</x:v>
      </x:c>
      <x:c r="Z163" s="170" t="n">
        <x:f>IF(A163="","",VLOOKUP(E163,SP_WARF_Factors,2,FALSE))</x:f>
        <x:v>2859.5</x:v>
      </x:c>
      <x:c r="AA163" s="172" t="n">
        <x:f>IF(A163="","",D163*Z163)</x:f>
        <x:v>3379929000</x:v>
      </x:c>
      <x:c r="AB163" s="170" t="n">
        <x:f>IF(A163="","",D163*ABS(Z163-SPWARF))</x:f>
        <x:v>567503831.2759999</x:v>
      </x:c>
    </x:row>
    <x:row r="164">
      <x:c r="A164" s="8" t="str">
        <x:v>SYN-LN-00157</x:v>
      </x:c>
      <x:c r="B164" s="8" t="str">
        <x:v>SYN-OB-0152</x:v>
      </x:c>
      <x:c r="C164" s="8" t="str">
        <x:v>Riverton Inc. 152</x:v>
      </x:c>
      <x:c r="D164" s="9" t="n">
        <x:v>1182000</x:v>
      </x:c>
      <x:c r="E164" s="8" t="str">
        <x:v>BB</x:v>
      </x:c>
      <x:c r="F164" s="8" t="str">
        <x:v>Transportation Infrastructure</x:v>
      </x:c>
      <x:c r="G164" s="8" t="str">
        <x:v>United States</x:v>
      </x:c>
      <x:c r="H164" s="8" t="str">
        <x:v>1st Lien</x:v>
      </x:c>
      <x:c r="I164" s="8" t="str">
        <x:v>Floating</x:v>
      </x:c>
      <x:c r="J164" s="8" t="n">
        <x:v>195</x:v>
      </x:c>
      <x:c r="K164" s="10"/>
      <x:c r="L164" s="8" t="n">
        <x:v>0</x:v>
      </x:c>
      <x:c r="M164" s="11" t="n">
        <x:v>48272</x:v>
      </x:c>
      <x:c r="N164" s="10" t="n">
        <x:v>0.62</x:v>
      </x:c>
      <x:c r="O164" s="12" t="n">
        <x:v>97.75</x:v>
      </x:c>
      <x:c r="P164" s="13" t="n">
        <x:v>4</x:v>
      </x:c>
      <x:c r="Q164" s="8" t="str">
        <x:v>USD</x:v>
      </x:c>
      <x:c r="R164" s="8" t="str">
        <x:v>SOFR</x:v>
      </x:c>
      <x:c r="S164" s="18" t="n">
        <x:f>IF(Portfolio_Par&gt;0,D164/Portfolio_Par,"")</x:f>
        <x:v>0.00394</x:v>
      </x:c>
      <x:c r="T164" s="19" t="n">
        <x:f>IF(A164="","",(M164-as_of_date)/365.25)</x:f>
        <x:v>5.158110882956879</x:v>
      </x:c>
      <x:c r="U164" s="20" t="n">
        <x:f>IF(I164="Floating",D164*J164,0)</x:f>
        <x:v>230490000</x:v>
      </x:c>
      <x:c r="V164" s="20" t="n">
        <x:f>IF(A164="","",D164*N164)</x:f>
        <x:v>732840</x:v>
      </x:c>
      <x:c r="W164" s="14" t="n">
        <x:f>IF(A164='Run Snapshot'!A164,0,1)+IF(B164='Run Snapshot'!B164,0,1)+IF(C164='Run Snapshot'!C164,0,1)+IF(D164='Run Snapshot'!D164,0,1)+IF(E164='Run Snapshot'!E164,0,1)+IF(F164='Run Snapshot'!F164,0,1)+IF(G164='Run Snapshot'!G164,0,1)+IF(H164='Run Snapshot'!H164,0,1)+IF(I164='Run Snapshot'!I164,0,1)+IF(J164='Run Snapshot'!J164,0,1)+IF(K164='Run Snapshot'!K164,0,1)+IF(L164='Run Snapshot'!L164,0,1)+IF(M164='Run Snapshot'!M164,0,1)+IF(N164='Run Snapshot'!N164,0,1)+IF(O164='Run Snapshot'!O164,0,1)+IF(P164='Run Snapshot'!P164,0,1)+IF(Q164='Run Snapshot'!Q164,0,1)+IF(R164='Run Snapshot'!R164,0,1)</x:f>
        <x:v>0</x:v>
      </x:c>
      <x:c r="X164" s="15" t="n">
        <x:f>IF(A164="",0,COUNTIF($A$8:$A$289,A164)-1)</x:f>
        <x:v>0</x:v>
      </x:c>
      <x:c r="Y164" s="14" t="n">
        <x:f>IF(A164="",1,IF(OR(D164&lt;=0,N164&lt;0,N164&gt;1,M164&lt;=as_of_date),1,0))</x:f>
        <x:v>0</x:v>
      </x:c>
      <x:c r="Z164" s="170" t="n">
        <x:f>IF(A164="","",VLOOKUP(E164,SP_WARF_Factors,2,FALSE))</x:f>
        <x:v>1233.63</x:v>
      </x:c>
      <x:c r="AA164" s="172" t="n">
        <x:f>IF(A164="","",D164*Z164)</x:f>
        <x:v>1458150660.0000002</x:v>
      </x:c>
      <x:c r="AB164" s="170" t="n">
        <x:f>IF(A164="","",D164*ABS(Z164-SPWARF))</x:f>
        <x:v>1354274508.724</x:v>
      </x:c>
    </x:row>
    <x:row r="165">
      <x:c r="A165" s="8" t="str">
        <x:v>SYN-LN-00158</x:v>
      </x:c>
      <x:c r="B165" s="8" t="str">
        <x:v>SYN-OB-0153</x:v>
      </x:c>
      <x:c r="C165" s="8" t="str">
        <x:v>Silver Corp. 153</x:v>
      </x:c>
      <x:c r="D165" s="9" t="n">
        <x:v>1182000</x:v>
      </x:c>
      <x:c r="E165" s="8" t="str">
        <x:v>B</x:v>
      </x:c>
      <x:c r="F165" s="8" t="str">
        <x:v>Chemicals</x:v>
      </x:c>
      <x:c r="G165" s="8" t="str">
        <x:v>Netherlands</x:v>
      </x:c>
      <x:c r="H165" s="8" t="str">
        <x:v>1st Lien</x:v>
      </x:c>
      <x:c r="I165" s="8" t="str">
        <x:v>Floating</x:v>
      </x:c>
      <x:c r="J165" s="8" t="n">
        <x:v>335</x:v>
      </x:c>
      <x:c r="K165" s="10"/>
      <x:c r="L165" s="8" t="n">
        <x:v>0</x:v>
      </x:c>
      <x:c r="M165" s="11" t="n">
        <x:v>47998</x:v>
      </x:c>
      <x:c r="N165" s="10" t="n">
        <x:v>0.34</x:v>
      </x:c>
      <x:c r="O165" s="12" t="n">
        <x:v>101.5</x:v>
      </x:c>
      <x:c r="P165" s="13" t="n">
        <x:v>4</x:v>
      </x:c>
      <x:c r="Q165" s="8" t="str">
        <x:v>USD</x:v>
      </x:c>
      <x:c r="R165" s="8" t="str">
        <x:v>SOFR</x:v>
      </x:c>
      <x:c r="S165" s="18" t="n">
        <x:f>IF(Portfolio_Par&gt;0,D165/Portfolio_Par,"")</x:f>
        <x:v>0.00394</x:v>
      </x:c>
      <x:c r="T165" s="19" t="n">
        <x:f>IF(A165="","",(M165-as_of_date)/365.25)</x:f>
        <x:v>4.407939767282683</x:v>
      </x:c>
      <x:c r="U165" s="20" t="n">
        <x:f>IF(I165="Floating",D165*J165,0)</x:f>
        <x:v>395970000</x:v>
      </x:c>
      <x:c r="V165" s="20" t="n">
        <x:f>IF(A165="","",D165*N165)</x:f>
        <x:v>401880</x:v>
      </x:c>
      <x:c r="W165" s="14" t="n">
        <x:f>IF(A165='Run Snapshot'!A165,0,1)+IF(B165='Run Snapshot'!B165,0,1)+IF(C165='Run Snapshot'!C165,0,1)+IF(D165='Run Snapshot'!D165,0,1)+IF(E165='Run Snapshot'!E165,0,1)+IF(F165='Run Snapshot'!F165,0,1)+IF(G165='Run Snapshot'!G165,0,1)+IF(H165='Run Snapshot'!H165,0,1)+IF(I165='Run Snapshot'!I165,0,1)+IF(J165='Run Snapshot'!J165,0,1)+IF(K165='Run Snapshot'!K165,0,1)+IF(L165='Run Snapshot'!L165,0,1)+IF(M165='Run Snapshot'!M165,0,1)+IF(N165='Run Snapshot'!N165,0,1)+IF(O165='Run Snapshot'!O165,0,1)+IF(P165='Run Snapshot'!P165,0,1)+IF(Q165='Run Snapshot'!Q165,0,1)+IF(R165='Run Snapshot'!R165,0,1)</x:f>
        <x:v>0</x:v>
      </x:c>
      <x:c r="X165" s="15" t="n">
        <x:f>IF(A165="",0,COUNTIF($A$8:$A$289,A165)-1)</x:f>
        <x:v>0</x:v>
      </x:c>
      <x:c r="Y165" s="14" t="n">
        <x:f>IF(A165="",1,IF(OR(D165&lt;=0,N165&lt;0,N165&gt;1,M165&lt;=as_of_date),1,0))</x:f>
        <x:v>0</x:v>
      </x:c>
      <x:c r="Z165" s="170" t="n">
        <x:f>IF(A165="","",VLOOKUP(E165,SP_WARF_Factors,2,FALSE))</x:f>
        <x:v>2859.5</x:v>
      </x:c>
      <x:c r="AA165" s="172" t="n">
        <x:f>IF(A165="","",D165*Z165)</x:f>
        <x:v>3379929000</x:v>
      </x:c>
      <x:c r="AB165" s="170" t="n">
        <x:f>IF(A165="","",D165*ABS(Z165-SPWARF))</x:f>
        <x:v>567503831.2759999</x:v>
      </x:c>
    </x:row>
    <x:row r="166">
      <x:c r="A166" s="8" t="str">
        <x:v>SYN-LN-00159</x:v>
      </x:c>
      <x:c r="B166" s="8" t="str">
        <x:v>SYN-OB-0154</x:v>
      </x:c>
      <x:c r="C166" s="8" t="str">
        <x:v>Stonebridge Group 154</x:v>
      </x:c>
      <x:c r="D166" s="9" t="n">
        <x:v>1182000</x:v>
      </x:c>
      <x:c r="E166" s="8" t="str">
        <x:v>BB-</x:v>
      </x:c>
      <x:c r="F166" s="8" t="str">
        <x:v>Household Durables</x:v>
      </x:c>
      <x:c r="G166" s="8" t="str">
        <x:v>United States</x:v>
      </x:c>
      <x:c r="H166" s="8" t="str">
        <x:v>1st Lien</x:v>
      </x:c>
      <x:c r="I166" s="8" t="str">
        <x:v>Floating</x:v>
      </x:c>
      <x:c r="J166" s="8" t="n">
        <x:v>285</x:v>
      </x:c>
      <x:c r="K166" s="10"/>
      <x:c r="L166" s="8" t="n">
        <x:v>0</x:v>
      </x:c>
      <x:c r="M166" s="11" t="n">
        <x:v>48472</x:v>
      </x:c>
      <x:c r="N166" s="10" t="n">
        <x:v>0.485</x:v>
      </x:c>
      <x:c r="O166" s="12" t="n">
        <x:v>97.25</x:v>
      </x:c>
      <x:c r="P166" s="13" t="n">
        <x:v>4</x:v>
      </x:c>
      <x:c r="Q166" s="8" t="str">
        <x:v>USD</x:v>
      </x:c>
      <x:c r="R166" s="8" t="str">
        <x:v>SOFR</x:v>
      </x:c>
      <x:c r="S166" s="18" t="n">
        <x:f>IF(Portfolio_Par&gt;0,D166/Portfolio_Par,"")</x:f>
        <x:v>0.00394</x:v>
      </x:c>
      <x:c r="T166" s="19" t="n">
        <x:f>IF(A166="","",(M166-as_of_date)/365.25)</x:f>
        <x:v>5.705681040383299</x:v>
      </x:c>
      <x:c r="U166" s="20" t="n">
        <x:f>IF(I166="Floating",D166*J166,0)</x:f>
        <x:v>336870000</x:v>
      </x:c>
      <x:c r="V166" s="20" t="n">
        <x:f>IF(A166="","",D166*N166)</x:f>
        <x:v>573270</x:v>
      </x:c>
      <x:c r="W166" s="14" t="n">
        <x:f>IF(A166='Run Snapshot'!A166,0,1)+IF(B166='Run Snapshot'!B166,0,1)+IF(C166='Run Snapshot'!C166,0,1)+IF(D166='Run Snapshot'!D166,0,1)+IF(E166='Run Snapshot'!E166,0,1)+IF(F166='Run Snapshot'!F166,0,1)+IF(G166='Run Snapshot'!G166,0,1)+IF(H166='Run Snapshot'!H166,0,1)+IF(I166='Run Snapshot'!I166,0,1)+IF(J166='Run Snapshot'!J166,0,1)+IF(K166='Run Snapshot'!K166,0,1)+IF(L166='Run Snapshot'!L166,0,1)+IF(M166='Run Snapshot'!M166,0,1)+IF(N166='Run Snapshot'!N166,0,1)+IF(O166='Run Snapshot'!O166,0,1)+IF(P166='Run Snapshot'!P166,0,1)+IF(Q166='Run Snapshot'!Q166,0,1)+IF(R166='Run Snapshot'!R166,0,1)</x:f>
        <x:v>0</x:v>
      </x:c>
      <x:c r="X166" s="15" t="n">
        <x:f>IF(A166="",0,COUNTIF($A$8:$A$289,A166)-1)</x:f>
        <x:v>0</x:v>
      </x:c>
      <x:c r="Y166" s="14" t="n">
        <x:f>IF(A166="",1,IF(OR(D166&lt;=0,N166&lt;0,N166&gt;1,M166&lt;=as_of_date),1,0))</x:f>
        <x:v>0</x:v>
      </x:c>
      <x:c r="Z166" s="170" t="n">
        <x:f>IF(A166="","",VLOOKUP(E166,SP_WARF_Factors,2,FALSE))</x:f>
        <x:v>1565.44</x:v>
      </x:c>
      <x:c r="AA166" s="172" t="n">
        <x:f>IF(A166="","",D166*Z166)</x:f>
        <x:v>1850350080</x:v>
      </x:c>
      <x:c r="AB166" s="170" t="n">
        <x:f>IF(A166="","",D166*ABS(Z166-SPWARF))</x:f>
        <x:v>962075088.724</x:v>
      </x:c>
    </x:row>
    <x:row r="167">
      <x:c r="A167" s="8" t="str">
        <x:v>SYN-LN-00160</x:v>
      </x:c>
      <x:c r="B167" s="8" t="str">
        <x:v>SYN-OB-0155</x:v>
      </x:c>
      <x:c r="C167" s="8" t="str">
        <x:v>Summit LLC 155</x:v>
      </x:c>
      <x:c r="D167" s="9" t="n">
        <x:v>1182000</x:v>
      </x:c>
      <x:c r="E167" s="8" t="str">
        <x:v>B</x:v>
      </x:c>
      <x:c r="F167" s="8" t="str">
        <x:v>Healthcare Equipment &amp; Supplies</x:v>
      </x:c>
      <x:c r="G167" s="8" t="str">
        <x:v>United States</x:v>
      </x:c>
      <x:c r="H167" s="8" t="str">
        <x:v>1st Lien</x:v>
      </x:c>
      <x:c r="I167" s="8" t="str">
        <x:v>Floating</x:v>
      </x:c>
      <x:c r="J167" s="8" t="n">
        <x:v>240</x:v>
      </x:c>
      <x:c r="K167" s="10"/>
      <x:c r="L167" s="8" t="n">
        <x:v>0</x:v>
      </x:c>
      <x:c r="M167" s="11" t="n">
        <x:v>48517</x:v>
      </x:c>
      <x:c r="N167" s="10" t="n">
        <x:v>0.43</x:v>
      </x:c>
      <x:c r="O167" s="12" t="n">
        <x:v>101.5</x:v>
      </x:c>
      <x:c r="P167" s="13" t="n">
        <x:v>4</x:v>
      </x:c>
      <x:c r="Q167" s="8" t="str">
        <x:v>USD</x:v>
      </x:c>
      <x:c r="R167" s="8" t="str">
        <x:v>SOFR</x:v>
      </x:c>
      <x:c r="S167" s="18" t="n">
        <x:f>IF(Portfolio_Par&gt;0,D167/Portfolio_Par,"")</x:f>
        <x:v>0.00394</x:v>
      </x:c>
      <x:c r="T167" s="19" t="n">
        <x:f>IF(A167="","",(M167-as_of_date)/365.25)</x:f>
        <x:v>5.8288843258042435</x:v>
      </x:c>
      <x:c r="U167" s="20" t="n">
        <x:f>IF(I167="Floating",D167*J167,0)</x:f>
        <x:v>283680000</x:v>
      </x:c>
      <x:c r="V167" s="20" t="n">
        <x:f>IF(A167="","",D167*N167)</x:f>
        <x:v>508260</x:v>
      </x:c>
      <x:c r="W167" s="14" t="n">
        <x:f>IF(A167='Run Snapshot'!A167,0,1)+IF(B167='Run Snapshot'!B167,0,1)+IF(C167='Run Snapshot'!C167,0,1)+IF(D167='Run Snapshot'!D167,0,1)+IF(E167='Run Snapshot'!E167,0,1)+IF(F167='Run Snapshot'!F167,0,1)+IF(G167='Run Snapshot'!G167,0,1)+IF(H167='Run Snapshot'!H167,0,1)+IF(I167='Run Snapshot'!I167,0,1)+IF(J167='Run Snapshot'!J167,0,1)+IF(K167='Run Snapshot'!K167,0,1)+IF(L167='Run Snapshot'!L167,0,1)+IF(M167='Run Snapshot'!M167,0,1)+IF(N167='Run Snapshot'!N167,0,1)+IF(O167='Run Snapshot'!O167,0,1)+IF(P167='Run Snapshot'!P167,0,1)+IF(Q167='Run Snapshot'!Q167,0,1)+IF(R167='Run Snapshot'!R167,0,1)</x:f>
        <x:v>0</x:v>
      </x:c>
      <x:c r="X167" s="15" t="n">
        <x:f>IF(A167="",0,COUNTIF($A$8:$A$289,A167)-1)</x:f>
        <x:v>0</x:v>
      </x:c>
      <x:c r="Y167" s="14" t="n">
        <x:f>IF(A167="",1,IF(OR(D167&lt;=0,N167&lt;0,N167&gt;1,M167&lt;=as_of_date),1,0))</x:f>
        <x:v>0</x:v>
      </x:c>
      <x:c r="Z167" s="170" t="n">
        <x:f>IF(A167="","",VLOOKUP(E167,SP_WARF_Factors,2,FALSE))</x:f>
        <x:v>2859.5</x:v>
      </x:c>
      <x:c r="AA167" s="172" t="n">
        <x:f>IF(A167="","",D167*Z167)</x:f>
        <x:v>3379929000</x:v>
      </x:c>
      <x:c r="AB167" s="170" t="n">
        <x:f>IF(A167="","",D167*ABS(Z167-SPWARF))</x:f>
        <x:v>567503831.2759999</x:v>
      </x:c>
    </x:row>
    <x:row r="168">
      <x:c r="A168" s="8" t="str">
        <x:v>SYN-LN-00161</x:v>
      </x:c>
      <x:c r="B168" s="8" t="str">
        <x:v>SYN-OB-0156</x:v>
      </x:c>
      <x:c r="C168" s="8" t="str">
        <x:v>Timber Holdings 156</x:v>
      </x:c>
      <x:c r="D168" s="9" t="n">
        <x:v>1182000</x:v>
      </x:c>
      <x:c r="E168" s="8" t="str">
        <x:v>BB</x:v>
      </x:c>
      <x:c r="F168" s="8" t="str">
        <x:v>Machinery</x:v>
      </x:c>
      <x:c r="G168" s="8" t="str">
        <x:v>United States</x:v>
      </x:c>
      <x:c r="H168" s="8" t="str">
        <x:v>1st Lien</x:v>
      </x:c>
      <x:c r="I168" s="8" t="str">
        <x:v>Floating</x:v>
      </x:c>
      <x:c r="J168" s="8" t="n">
        <x:v>205</x:v>
      </x:c>
      <x:c r="K168" s="10"/>
      <x:c r="L168" s="8" t="n">
        <x:v>0</x:v>
      </x:c>
      <x:c r="M168" s="11" t="n">
        <x:v>47498</x:v>
      </x:c>
      <x:c r="N168" s="10" t="n">
        <x:v>0.525</x:v>
      </x:c>
      <x:c r="O168" s="12" t="n">
        <x:v>99.5</x:v>
      </x:c>
      <x:c r="P168" s="13" t="n">
        <x:v>4</x:v>
      </x:c>
      <x:c r="Q168" s="8" t="str">
        <x:v>USD</x:v>
      </x:c>
      <x:c r="R168" s="8" t="str">
        <x:v>SOFR</x:v>
      </x:c>
      <x:c r="S168" s="18" t="n">
        <x:f>IF(Portfolio_Par&gt;0,D168/Portfolio_Par,"")</x:f>
        <x:v>0.00394</x:v>
      </x:c>
      <x:c r="T168" s="19" t="n">
        <x:f>IF(A168="","",(M168-as_of_date)/365.25)</x:f>
        <x:v>3.0390143737166326</x:v>
      </x:c>
      <x:c r="U168" s="20" t="n">
        <x:f>IF(I168="Floating",D168*J168,0)</x:f>
        <x:v>242310000</x:v>
      </x:c>
      <x:c r="V168" s="20" t="n">
        <x:f>IF(A168="","",D168*N168)</x:f>
        <x:v>620550</x:v>
      </x:c>
      <x:c r="W168" s="14" t="n">
        <x:f>IF(A168='Run Snapshot'!A168,0,1)+IF(B168='Run Snapshot'!B168,0,1)+IF(C168='Run Snapshot'!C168,0,1)+IF(D168='Run Snapshot'!D168,0,1)+IF(E168='Run Snapshot'!E168,0,1)+IF(F168='Run Snapshot'!F168,0,1)+IF(G168='Run Snapshot'!G168,0,1)+IF(H168='Run Snapshot'!H168,0,1)+IF(I168='Run Snapshot'!I168,0,1)+IF(J168='Run Snapshot'!J168,0,1)+IF(K168='Run Snapshot'!K168,0,1)+IF(L168='Run Snapshot'!L168,0,1)+IF(M168='Run Snapshot'!M168,0,1)+IF(N168='Run Snapshot'!N168,0,1)+IF(O168='Run Snapshot'!O168,0,1)+IF(P168='Run Snapshot'!P168,0,1)+IF(Q168='Run Snapshot'!Q168,0,1)+IF(R168='Run Snapshot'!R168,0,1)</x:f>
        <x:v>0</x:v>
      </x:c>
      <x:c r="X168" s="15" t="n">
        <x:f>IF(A168="",0,COUNTIF($A$8:$A$289,A168)-1)</x:f>
        <x:v>0</x:v>
      </x:c>
      <x:c r="Y168" s="14" t="n">
        <x:f>IF(A168="",1,IF(OR(D168&lt;=0,N168&lt;0,N168&gt;1,M168&lt;=as_of_date),1,0))</x:f>
        <x:v>0</x:v>
      </x:c>
      <x:c r="Z168" s="170" t="n">
        <x:f>IF(A168="","",VLOOKUP(E168,SP_WARF_Factors,2,FALSE))</x:f>
        <x:v>1233.63</x:v>
      </x:c>
      <x:c r="AA168" s="172" t="n">
        <x:f>IF(A168="","",D168*Z168)</x:f>
        <x:v>1458150660.0000002</x:v>
      </x:c>
      <x:c r="AB168" s="170" t="n">
        <x:f>IF(A168="","",D168*ABS(Z168-SPWARF))</x:f>
        <x:v>1354274508.724</x:v>
      </x:c>
    </x:row>
    <x:row r="169">
      <x:c r="A169" s="8" t="str">
        <x:v>SYN-LN-00162</x:v>
      </x:c>
      <x:c r="B169" s="8" t="str">
        <x:v>SYN-OB-0157</x:v>
      </x:c>
      <x:c r="C169" s="8" t="str">
        <x:v>Westhaven Inc. 157</x:v>
      </x:c>
      <x:c r="D169" s="9" t="n">
        <x:v>1182000</x:v>
      </x:c>
      <x:c r="E169" s="8" t="str">
        <x:v>BB-</x:v>
      </x:c>
      <x:c r="F169" s="8" t="str">
        <x:v>Automobiles</x:v>
      </x:c>
      <x:c r="G169" s="8" t="str">
        <x:v>United States</x:v>
      </x:c>
      <x:c r="H169" s="8" t="str">
        <x:v>1st Lien</x:v>
      </x:c>
      <x:c r="I169" s="8" t="str">
        <x:v>Floating</x:v>
      </x:c>
      <x:c r="J169" s="8" t="n">
        <x:v>275</x:v>
      </x:c>
      <x:c r="K169" s="10"/>
      <x:c r="L169" s="8" t="n">
        <x:v>0</x:v>
      </x:c>
      <x:c r="M169" s="11" t="n">
        <x:v>48423</x:v>
      </x:c>
      <x:c r="N169" s="10" t="n">
        <x:v>0.225</x:v>
      </x:c>
      <x:c r="O169" s="12" t="n">
        <x:v>101.5</x:v>
      </x:c>
      <x:c r="P169" s="13" t="n">
        <x:v>4</x:v>
      </x:c>
      <x:c r="Q169" s="8" t="str">
        <x:v>USD</x:v>
      </x:c>
      <x:c r="R169" s="8" t="str">
        <x:v>SOFR</x:v>
      </x:c>
      <x:c r="S169" s="18" t="n">
        <x:f>IF(Portfolio_Par&gt;0,D169/Portfolio_Par,"")</x:f>
        <x:v>0.00394</x:v>
      </x:c>
      <x:c r="T169" s="19" t="n">
        <x:f>IF(A169="","",(M169-as_of_date)/365.25)</x:f>
        <x:v>5.5715263518138265</x:v>
      </x:c>
      <x:c r="U169" s="20" t="n">
        <x:f>IF(I169="Floating",D169*J169,0)</x:f>
        <x:v>325050000</x:v>
      </x:c>
      <x:c r="V169" s="20" t="n">
        <x:f>IF(A169="","",D169*N169)</x:f>
        <x:v>265950</x:v>
      </x:c>
      <x:c r="W169" s="14" t="n">
        <x:f>IF(A169='Run Snapshot'!A169,0,1)+IF(B169='Run Snapshot'!B169,0,1)+IF(C169='Run Snapshot'!C169,0,1)+IF(D169='Run Snapshot'!D169,0,1)+IF(E169='Run Snapshot'!E169,0,1)+IF(F169='Run Snapshot'!F169,0,1)+IF(G169='Run Snapshot'!G169,0,1)+IF(H169='Run Snapshot'!H169,0,1)+IF(I169='Run Snapshot'!I169,0,1)+IF(J169='Run Snapshot'!J169,0,1)+IF(K169='Run Snapshot'!K169,0,1)+IF(L169='Run Snapshot'!L169,0,1)+IF(M169='Run Snapshot'!M169,0,1)+IF(N169='Run Snapshot'!N169,0,1)+IF(O169='Run Snapshot'!O169,0,1)+IF(P169='Run Snapshot'!P169,0,1)+IF(Q169='Run Snapshot'!Q169,0,1)+IF(R169='Run Snapshot'!R169,0,1)</x:f>
        <x:v>0</x:v>
      </x:c>
      <x:c r="X169" s="15" t="n">
        <x:f>IF(A169="",0,COUNTIF($A$8:$A$289,A169)-1)</x:f>
        <x:v>0</x:v>
      </x:c>
      <x:c r="Y169" s="14" t="n">
        <x:f>IF(A169="",1,IF(OR(D169&lt;=0,N169&lt;0,N169&gt;1,M169&lt;=as_of_date),1,0))</x:f>
        <x:v>0</x:v>
      </x:c>
      <x:c r="Z169" s="170" t="n">
        <x:f>IF(A169="","",VLOOKUP(E169,SP_WARF_Factors,2,FALSE))</x:f>
        <x:v>1565.44</x:v>
      </x:c>
      <x:c r="AA169" s="172" t="n">
        <x:f>IF(A169="","",D169*Z169)</x:f>
        <x:v>1850350080</x:v>
      </x:c>
      <x:c r="AB169" s="170" t="n">
        <x:f>IF(A169="","",D169*ABS(Z169-SPWARF))</x:f>
        <x:v>962075088.724</x:v>
      </x:c>
    </x:row>
    <x:row r="170">
      <x:c r="A170" s="8" t="str">
        <x:v>SYN-LN-00163</x:v>
      </x:c>
      <x:c r="B170" s="8" t="str">
        <x:v>SYN-OB-0158</x:v>
      </x:c>
      <x:c r="C170" s="8" t="str">
        <x:v>Willow Corp. 158</x:v>
      </x:c>
      <x:c r="D170" s="9" t="n">
        <x:v>1182000</x:v>
      </x:c>
      <x:c r="E170" s="8" t="str">
        <x:v>BB</x:v>
      </x:c>
      <x:c r="F170" s="8" t="str">
        <x:v>Banks</x:v>
      </x:c>
      <x:c r="G170" s="8" t="str">
        <x:v>United States</x:v>
      </x:c>
      <x:c r="H170" s="8" t="str">
        <x:v>1st Lien</x:v>
      </x:c>
      <x:c r="I170" s="8" t="str">
        <x:v>Floating</x:v>
      </x:c>
      <x:c r="J170" s="8" t="n">
        <x:v>230</x:v>
      </x:c>
      <x:c r="K170" s="10"/>
      <x:c r="L170" s="8" t="n">
        <x:v>0</x:v>
      </x:c>
      <x:c r="M170" s="11" t="n">
        <x:v>47756</x:v>
      </x:c>
      <x:c r="N170" s="10" t="n">
        <x:v>0.475</x:v>
      </x:c>
      <x:c r="O170" s="12" t="n">
        <x:v>99.625</x:v>
      </x:c>
      <x:c r="P170" s="13" t="n">
        <x:v>4</x:v>
      </x:c>
      <x:c r="Q170" s="8" t="str">
        <x:v>USD</x:v>
      </x:c>
      <x:c r="R170" s="8" t="str">
        <x:v>SOFR</x:v>
      </x:c>
      <x:c r="S170" s="18" t="n">
        <x:f>IF(Portfolio_Par&gt;0,D170/Portfolio_Par,"")</x:f>
        <x:v>0.00394</x:v>
      </x:c>
      <x:c r="T170" s="19" t="n">
        <x:f>IF(A170="","",(M170-as_of_date)/365.25)</x:f>
        <x:v>3.7453798767967146</x:v>
      </x:c>
      <x:c r="U170" s="20" t="n">
        <x:f>IF(I170="Floating",D170*J170,0)</x:f>
        <x:v>271860000</x:v>
      </x:c>
      <x:c r="V170" s="20" t="n">
        <x:f>IF(A170="","",D170*N170)</x:f>
        <x:v>561450</x:v>
      </x:c>
      <x:c r="W170" s="14" t="n">
        <x:f>IF(A170='Run Snapshot'!A170,0,1)+IF(B170='Run Snapshot'!B170,0,1)+IF(C170='Run Snapshot'!C170,0,1)+IF(D170='Run Snapshot'!D170,0,1)+IF(E170='Run Snapshot'!E170,0,1)+IF(F170='Run Snapshot'!F170,0,1)+IF(G170='Run Snapshot'!G170,0,1)+IF(H170='Run Snapshot'!H170,0,1)+IF(I170='Run Snapshot'!I170,0,1)+IF(J170='Run Snapshot'!J170,0,1)+IF(K170='Run Snapshot'!K170,0,1)+IF(L170='Run Snapshot'!L170,0,1)+IF(M170='Run Snapshot'!M170,0,1)+IF(N170='Run Snapshot'!N170,0,1)+IF(O170='Run Snapshot'!O170,0,1)+IF(P170='Run Snapshot'!P170,0,1)+IF(Q170='Run Snapshot'!Q170,0,1)+IF(R170='Run Snapshot'!R170,0,1)</x:f>
        <x:v>0</x:v>
      </x:c>
      <x:c r="X170" s="15" t="n">
        <x:f>IF(A170="",0,COUNTIF($A$8:$A$289,A170)-1)</x:f>
        <x:v>0</x:v>
      </x:c>
      <x:c r="Y170" s="14" t="n">
        <x:f>IF(A170="",1,IF(OR(D170&lt;=0,N170&lt;0,N170&gt;1,M170&lt;=as_of_date),1,0))</x:f>
        <x:v>0</x:v>
      </x:c>
      <x:c r="Z170" s="170" t="n">
        <x:f>IF(A170="","",VLOOKUP(E170,SP_WARF_Factors,2,FALSE))</x:f>
        <x:v>1233.63</x:v>
      </x:c>
      <x:c r="AA170" s="172" t="n">
        <x:f>IF(A170="","",D170*Z170)</x:f>
        <x:v>1458150660.0000002</x:v>
      </x:c>
      <x:c r="AB170" s="170" t="n">
        <x:f>IF(A170="","",D170*ABS(Z170-SPWARF))</x:f>
        <x:v>1354274508.724</x:v>
      </x:c>
    </x:row>
    <x:row r="171">
      <x:c r="A171" s="8" t="str">
        <x:v>SYN-LN-00164</x:v>
      </x:c>
      <x:c r="B171" s="8" t="str">
        <x:v>SYN-OB-0159</x:v>
      </x:c>
      <x:c r="C171" s="8" t="str">
        <x:v>Windward Group 159</x:v>
      </x:c>
      <x:c r="D171" s="9" t="n">
        <x:v>1182000</x:v>
      </x:c>
      <x:c r="E171" s="8" t="str">
        <x:v>B</x:v>
      </x:c>
      <x:c r="F171" s="8" t="str">
        <x:v>Chemicals</x:v>
      </x:c>
      <x:c r="G171" s="8" t="str">
        <x:v>United States</x:v>
      </x:c>
      <x:c r="H171" s="8" t="str">
        <x:v>1st Lien</x:v>
      </x:c>
      <x:c r="I171" s="8" t="str">
        <x:v>Floating</x:v>
      </x:c>
      <x:c r="J171" s="8" t="n">
        <x:v>375</x:v>
      </x:c>
      <x:c r="K171" s="10"/>
      <x:c r="L171" s="8" t="n">
        <x:v>0</x:v>
      </x:c>
      <x:c r="M171" s="11" t="n">
        <x:v>48180</x:v>
      </x:c>
      <x:c r="N171" s="10" t="n">
        <x:v>0.345</x:v>
      </x:c>
      <x:c r="O171" s="12" t="n">
        <x:v>98.25</x:v>
      </x:c>
      <x:c r="P171" s="13" t="n">
        <x:v>4</x:v>
      </x:c>
      <x:c r="Q171" s="8" t="str">
        <x:v>USD</x:v>
      </x:c>
      <x:c r="R171" s="8" t="str">
        <x:v>SOFR</x:v>
      </x:c>
      <x:c r="S171" s="18" t="n">
        <x:f>IF(Portfolio_Par&gt;0,D171/Portfolio_Par,"")</x:f>
        <x:v>0.00394</x:v>
      </x:c>
      <x:c r="T171" s="19" t="n">
        <x:f>IF(A171="","",(M171-as_of_date)/365.25)</x:f>
        <x:v>4.906228610540725</x:v>
      </x:c>
      <x:c r="U171" s="20" t="n">
        <x:f>IF(I171="Floating",D171*J171,0)</x:f>
        <x:v>443250000</x:v>
      </x:c>
      <x:c r="V171" s="20" t="n">
        <x:f>IF(A171="","",D171*N171)</x:f>
        <x:v>407789.99999999994</x:v>
      </x:c>
      <x:c r="W171" s="14" t="n">
        <x:f>IF(A171='Run Snapshot'!A171,0,1)+IF(B171='Run Snapshot'!B171,0,1)+IF(C171='Run Snapshot'!C171,0,1)+IF(D171='Run Snapshot'!D171,0,1)+IF(E171='Run Snapshot'!E171,0,1)+IF(F171='Run Snapshot'!F171,0,1)+IF(G171='Run Snapshot'!G171,0,1)+IF(H171='Run Snapshot'!H171,0,1)+IF(I171='Run Snapshot'!I171,0,1)+IF(J171='Run Snapshot'!J171,0,1)+IF(K171='Run Snapshot'!K171,0,1)+IF(L171='Run Snapshot'!L171,0,1)+IF(M171='Run Snapshot'!M171,0,1)+IF(N171='Run Snapshot'!N171,0,1)+IF(O171='Run Snapshot'!O171,0,1)+IF(P171='Run Snapshot'!P171,0,1)+IF(Q171='Run Snapshot'!Q171,0,1)+IF(R171='Run Snapshot'!R171,0,1)</x:f>
        <x:v>0</x:v>
      </x:c>
      <x:c r="X171" s="15" t="n">
        <x:f>IF(A171="",0,COUNTIF($A$8:$A$289,A171)-1)</x:f>
        <x:v>0</x:v>
      </x:c>
      <x:c r="Y171" s="14" t="n">
        <x:f>IF(A171="",1,IF(OR(D171&lt;=0,N171&lt;0,N171&gt;1,M171&lt;=as_of_date),1,0))</x:f>
        <x:v>0</x:v>
      </x:c>
      <x:c r="Z171" s="170" t="n">
        <x:f>IF(A171="","",VLOOKUP(E171,SP_WARF_Factors,2,FALSE))</x:f>
        <x:v>2859.5</x:v>
      </x:c>
      <x:c r="AA171" s="172" t="n">
        <x:f>IF(A171="","",D171*Z171)</x:f>
        <x:v>3379929000</x:v>
      </x:c>
      <x:c r="AB171" s="170" t="n">
        <x:f>IF(A171="","",D171*ABS(Z171-SPWARF))</x:f>
        <x:v>567503831.2759999</x:v>
      </x:c>
    </x:row>
    <x:row r="172">
      <x:c r="A172" s="8" t="str">
        <x:v>SYN-LN-00165</x:v>
      </x:c>
      <x:c r="B172" s="8" t="str">
        <x:v>SYN-OB-0160</x:v>
      </x:c>
      <x:c r="C172" s="8" t="str">
        <x:v>Woodland LLC 160</x:v>
      </x:c>
      <x:c r="D172" s="9" t="n">
        <x:v>550000</x:v>
      </x:c>
      <x:c r="E172" s="8" t="str">
        <x:v>B</x:v>
      </x:c>
      <x:c r="F172" s="8" t="str">
        <x:v>Software</x:v>
      </x:c>
      <x:c r="G172" s="8" t="str">
        <x:v>United States</x:v>
      </x:c>
      <x:c r="H172" s="8" t="str">
        <x:v>1st Lien</x:v>
      </x:c>
      <x:c r="I172" s="8" t="str">
        <x:v>Floating</x:v>
      </x:c>
      <x:c r="J172" s="8" t="n">
        <x:v>230</x:v>
      </x:c>
      <x:c r="K172" s="10"/>
      <x:c r="L172" s="8" t="n">
        <x:v>50</x:v>
      </x:c>
      <x:c r="M172" s="11" t="n">
        <x:v>47692</x:v>
      </x:c>
      <x:c r="N172" s="10" t="n">
        <x:v>0.36</x:v>
      </x:c>
      <x:c r="O172" s="12" t="n">
        <x:v>96.5</x:v>
      </x:c>
      <x:c r="P172" s="13" t="n">
        <x:v>4</x:v>
      </x:c>
      <x:c r="Q172" s="8" t="str">
        <x:v>USD</x:v>
      </x:c>
      <x:c r="R172" s="8" t="str">
        <x:v>SOFR</x:v>
      </x:c>
      <x:c r="S172" s="18" t="n">
        <x:f>IF(Portfolio_Par&gt;0,D172/Portfolio_Par,"")</x:f>
        <x:v>0.0018333333333333333</x:v>
      </x:c>
      <x:c r="T172" s="19" t="n">
        <x:f>IF(A172="","",(M172-as_of_date)/365.25)</x:f>
        <x:v>3.57015742642026</x:v>
      </x:c>
      <x:c r="U172" s="20" t="n">
        <x:f>IF(I172="Floating",D172*J172,0)</x:f>
        <x:v>126500000</x:v>
      </x:c>
      <x:c r="V172" s="20" t="n">
        <x:f>IF(A172="","",D172*N172)</x:f>
        <x:v>198000</x:v>
      </x:c>
      <x:c r="W172" s="14" t="n">
        <x:f>IF(A172='Run Snapshot'!A172,0,1)+IF(B172='Run Snapshot'!B172,0,1)+IF(C172='Run Snapshot'!C172,0,1)+IF(D172='Run Snapshot'!D172,0,1)+IF(E172='Run Snapshot'!E172,0,1)+IF(F172='Run Snapshot'!F172,0,1)+IF(G172='Run Snapshot'!G172,0,1)+IF(H172='Run Snapshot'!H172,0,1)+IF(I172='Run Snapshot'!I172,0,1)+IF(J172='Run Snapshot'!J172,0,1)+IF(K172='Run Snapshot'!K172,0,1)+IF(L172='Run Snapshot'!L172,0,1)+IF(M172='Run Snapshot'!M172,0,1)+IF(N172='Run Snapshot'!N172,0,1)+IF(O172='Run Snapshot'!O172,0,1)+IF(P172='Run Snapshot'!P172,0,1)+IF(Q172='Run Snapshot'!Q172,0,1)+IF(R172='Run Snapshot'!R172,0,1)</x:f>
        <x:v>0</x:v>
      </x:c>
      <x:c r="X172" s="15" t="n">
        <x:f>IF(A172="",0,COUNTIF($A$8:$A$289,A172)-1)</x:f>
        <x:v>0</x:v>
      </x:c>
      <x:c r="Y172" s="14" t="n">
        <x:f>IF(A172="",1,IF(OR(D172&lt;=0,N172&lt;0,N172&gt;1,M172&lt;=as_of_date),1,0))</x:f>
        <x:v>0</x:v>
      </x:c>
      <x:c r="Z172" s="170" t="n">
        <x:f>IF(A172="","",VLOOKUP(E172,SP_WARF_Factors,2,FALSE))</x:f>
        <x:v>2859.5</x:v>
      </x:c>
      <x:c r="AA172" s="172" t="n">
        <x:f>IF(A172="","",D172*Z172)</x:f>
        <x:v>1572725000</x:v>
      </x:c>
      <x:c r="AB172" s="170" t="n">
        <x:f>IF(A172="","",D172*ABS(Z172-SPWARF))</x:f>
        <x:v>264066926.56666663</x:v>
      </x:c>
    </x:row>
    <x:row r="173">
      <x:c r="A173" s="8" t="str">
        <x:v>SYN-LN-00166</x:v>
      </x:c>
      <x:c r="B173" s="8" t="str">
        <x:v>SYN-OB-0160</x:v>
      </x:c>
      <x:c r="C173" s="8" t="str">
        <x:v>Woodland LLC 160</x:v>
      </x:c>
      <x:c r="D173" s="9" t="n">
        <x:v>665000</x:v>
      </x:c>
      <x:c r="E173" s="8" t="str">
        <x:v>B</x:v>
      </x:c>
      <x:c r="F173" s="8" t="str">
        <x:v>Software</x:v>
      </x:c>
      <x:c r="G173" s="8" t="str">
        <x:v>United States</x:v>
      </x:c>
      <x:c r="H173" s="8" t="str">
        <x:v>1st Lien</x:v>
      </x:c>
      <x:c r="I173" s="8" t="str">
        <x:v>Floating</x:v>
      </x:c>
      <x:c r="J173" s="8" t="n">
        <x:v>240</x:v>
      </x:c>
      <x:c r="K173" s="10"/>
      <x:c r="L173" s="8" t="n">
        <x:v>0</x:v>
      </x:c>
      <x:c r="M173" s="11" t="n">
        <x:v>47756</x:v>
      </x:c>
      <x:c r="N173" s="10" t="n">
        <x:v>0.36</x:v>
      </x:c>
      <x:c r="O173" s="12" t="n">
        <x:v>96.625</x:v>
      </x:c>
      <x:c r="P173" s="13" t="n">
        <x:v>4</x:v>
      </x:c>
      <x:c r="Q173" s="8" t="str">
        <x:v>USD</x:v>
      </x:c>
      <x:c r="R173" s="8" t="str">
        <x:v>SOFR</x:v>
      </x:c>
      <x:c r="S173" s="18" t="n">
        <x:f>IF(Portfolio_Par&gt;0,D173/Portfolio_Par,"")</x:f>
        <x:v>0.0022166666666666667</x:v>
      </x:c>
      <x:c r="T173" s="19" t="n">
        <x:f>IF(A173="","",(M173-as_of_date)/365.25)</x:f>
        <x:v>3.7453798767967146</x:v>
      </x:c>
      <x:c r="U173" s="20" t="n">
        <x:f>IF(I173="Floating",D173*J173,0)</x:f>
        <x:v>159600000</x:v>
      </x:c>
      <x:c r="V173" s="20" t="n">
        <x:f>IF(A173="","",D173*N173)</x:f>
        <x:v>239400</x:v>
      </x:c>
      <x:c r="W173" s="14" t="n">
        <x:f>IF(A173='Run Snapshot'!A173,0,1)+IF(B173='Run Snapshot'!B173,0,1)+IF(C173='Run Snapshot'!C173,0,1)+IF(D173='Run Snapshot'!D173,0,1)+IF(E173='Run Snapshot'!E173,0,1)+IF(F173='Run Snapshot'!F173,0,1)+IF(G173='Run Snapshot'!G173,0,1)+IF(H173='Run Snapshot'!H173,0,1)+IF(I173='Run Snapshot'!I173,0,1)+IF(J173='Run Snapshot'!J173,0,1)+IF(K173='Run Snapshot'!K173,0,1)+IF(L173='Run Snapshot'!L173,0,1)+IF(M173='Run Snapshot'!M173,0,1)+IF(N173='Run Snapshot'!N173,0,1)+IF(O173='Run Snapshot'!O173,0,1)+IF(P173='Run Snapshot'!P173,0,1)+IF(Q173='Run Snapshot'!Q173,0,1)+IF(R173='Run Snapshot'!R173,0,1)</x:f>
        <x:v>0</x:v>
      </x:c>
      <x:c r="X173" s="15" t="n">
        <x:f>IF(A173="",0,COUNTIF($A$8:$A$289,A173)-1)</x:f>
        <x:v>0</x:v>
      </x:c>
      <x:c r="Y173" s="14" t="n">
        <x:f>IF(A173="",1,IF(OR(D173&lt;=0,N173&lt;0,N173&gt;1,M173&lt;=as_of_date),1,0))</x:f>
        <x:v>0</x:v>
      </x:c>
      <x:c r="Z173" s="170" t="n">
        <x:f>IF(A173="","",VLOOKUP(E173,SP_WARF_Factors,2,FALSE))</x:f>
        <x:v>2859.5</x:v>
      </x:c>
      <x:c r="AA173" s="172" t="n">
        <x:f>IF(A173="","",D173*Z173)</x:f>
        <x:v>1901567500</x:v>
      </x:c>
      <x:c r="AB173" s="170" t="n">
        <x:f>IF(A173="","",D173*ABS(Z173-SPWARF))</x:f>
        <x:v>319280920.3033333</x:v>
      </x:c>
    </x:row>
    <x:row r="174">
      <x:c r="A174" s="8" t="str">
        <x:v>SYN-LN-00167</x:v>
      </x:c>
      <x:c r="B174" s="8" t="str">
        <x:v>SYN-OB-0161</x:v>
      </x:c>
      <x:c r="C174" s="8" t="str">
        <x:v>Alder Holdings 161</x:v>
      </x:c>
      <x:c r="D174" s="9" t="n">
        <x:v>1182000</x:v>
      </x:c>
      <x:c r="E174" s="8" t="str">
        <x:v>B</x:v>
      </x:c>
      <x:c r="F174" s="8" t="str">
        <x:v>IT Services</x:v>
      </x:c>
      <x:c r="G174" s="8" t="str">
        <x:v>United States</x:v>
      </x:c>
      <x:c r="H174" s="8" t="str">
        <x:v>1st Lien</x:v>
      </x:c>
      <x:c r="I174" s="8" t="str">
        <x:v>Floating</x:v>
      </x:c>
      <x:c r="J174" s="8" t="n">
        <x:v>250</x:v>
      </x:c>
      <x:c r="K174" s="10"/>
      <x:c r="L174" s="8" t="n">
        <x:v>0</x:v>
      </x:c>
      <x:c r="M174" s="11" t="n">
        <x:v>48057</x:v>
      </x:c>
      <x:c r="N174" s="10" t="n">
        <x:v>0.23</x:v>
      </x:c>
      <x:c r="O174" s="12" t="n">
        <x:v>100.125</x:v>
      </x:c>
      <x:c r="P174" s="13" t="n">
        <x:v>4</x:v>
      </x:c>
      <x:c r="Q174" s="8" t="str">
        <x:v>USD</x:v>
      </x:c>
      <x:c r="R174" s="8" t="str">
        <x:v>SOFR</x:v>
      </x:c>
      <x:c r="S174" s="18" t="n">
        <x:f>IF(Portfolio_Par&gt;0,D174/Portfolio_Par,"")</x:f>
        <x:v>0.00394</x:v>
      </x:c>
      <x:c r="T174" s="19" t="n">
        <x:f>IF(A174="","",(M174-as_of_date)/365.25)</x:f>
        <x:v>4.569472963723477</x:v>
      </x:c>
      <x:c r="U174" s="20" t="n">
        <x:f>IF(I174="Floating",D174*J174,0)</x:f>
        <x:v>295500000</x:v>
      </x:c>
      <x:c r="V174" s="20" t="n">
        <x:f>IF(A174="","",D174*N174)</x:f>
        <x:v>271860</x:v>
      </x:c>
      <x:c r="W174" s="14" t="n">
        <x:f>IF(A174='Run Snapshot'!A174,0,1)+IF(B174='Run Snapshot'!B174,0,1)+IF(C174='Run Snapshot'!C174,0,1)+IF(D174='Run Snapshot'!D174,0,1)+IF(E174='Run Snapshot'!E174,0,1)+IF(F174='Run Snapshot'!F174,0,1)+IF(G174='Run Snapshot'!G174,0,1)+IF(H174='Run Snapshot'!H174,0,1)+IF(I174='Run Snapshot'!I174,0,1)+IF(J174='Run Snapshot'!J174,0,1)+IF(K174='Run Snapshot'!K174,0,1)+IF(L174='Run Snapshot'!L174,0,1)+IF(M174='Run Snapshot'!M174,0,1)+IF(N174='Run Snapshot'!N174,0,1)+IF(O174='Run Snapshot'!O174,0,1)+IF(P174='Run Snapshot'!P174,0,1)+IF(Q174='Run Snapshot'!Q174,0,1)+IF(R174='Run Snapshot'!R174,0,1)</x:f>
        <x:v>0</x:v>
      </x:c>
      <x:c r="X174" s="15" t="n">
        <x:f>IF(A174="",0,COUNTIF($A$8:$A$289,A174)-1)</x:f>
        <x:v>0</x:v>
      </x:c>
      <x:c r="Y174" s="14" t="n">
        <x:f>IF(A174="",1,IF(OR(D174&lt;=0,N174&lt;0,N174&gt;1,M174&lt;=as_of_date),1,0))</x:f>
        <x:v>0</x:v>
      </x:c>
      <x:c r="Z174" s="170" t="n">
        <x:f>IF(A174="","",VLOOKUP(E174,SP_WARF_Factors,2,FALSE))</x:f>
        <x:v>2859.5</x:v>
      </x:c>
      <x:c r="AA174" s="172" t="n">
        <x:f>IF(A174="","",D174*Z174)</x:f>
        <x:v>3379929000</x:v>
      </x:c>
      <x:c r="AB174" s="170" t="n">
        <x:f>IF(A174="","",D174*ABS(Z174-SPWARF))</x:f>
        <x:v>567503831.2759999</x:v>
      </x:c>
    </x:row>
    <x:row r="175">
      <x:c r="A175" s="8" t="str">
        <x:v>SYN-LN-00168</x:v>
      </x:c>
      <x:c r="B175" s="8" t="str">
        <x:v>SYN-OB-0162</x:v>
      </x:c>
      <x:c r="C175" s="8" t="str">
        <x:v>Amber Inc. 162</x:v>
      </x:c>
      <x:c r="D175" s="9" t="n">
        <x:v>630000</x:v>
      </x:c>
      <x:c r="E175" s="8" t="str">
        <x:v>BB-</x:v>
      </x:c>
      <x:c r="F175" s="8" t="str">
        <x:v>Ground transportation</x:v>
      </x:c>
      <x:c r="G175" s="8" t="str">
        <x:v>Luxembourg</x:v>
      </x:c>
      <x:c r="H175" s="8" t="str">
        <x:v>1st Lien</x:v>
      </x:c>
      <x:c r="I175" s="8" t="str">
        <x:v>Fixed</x:v>
      </x:c>
      <x:c r="J175" s="8"/>
      <x:c r="K175" s="10" t="n">
        <x:v>0.046</x:v>
      </x:c>
      <x:c r="L175" s="8"/>
      <x:c r="M175" s="11" t="n">
        <x:v>48546</x:v>
      </x:c>
      <x:c r="N175" s="10" t="n">
        <x:v>0.5</x:v>
      </x:c>
      <x:c r="O175" s="12" t="n">
        <x:v>98.5</x:v>
      </x:c>
      <x:c r="P175" s="13" t="n">
        <x:v>2</x:v>
      </x:c>
      <x:c r="Q175" s="8" t="str">
        <x:v>USD</x:v>
      </x:c>
      <x:c r="R175" s="8"/>
      <x:c r="S175" s="18" t="n">
        <x:f>IF(Portfolio_Par&gt;0,D175/Portfolio_Par,"")</x:f>
        <x:v>0.0021</x:v>
      </x:c>
      <x:c r="T175" s="19" t="n">
        <x:f>IF(A175="","",(M175-as_of_date)/365.25)</x:f>
        <x:v>5.908281998631074</x:v>
      </x:c>
      <x:c r="U175" s="20" t="n">
        <x:f>IF(I175="Floating",D175*J175,0)</x:f>
        <x:v>0</x:v>
      </x:c>
      <x:c r="V175" s="20" t="n">
        <x:f>IF(A175="","",D175*N175)</x:f>
        <x:v>315000</x:v>
      </x:c>
      <x:c r="W175" s="14" t="n">
        <x:f>IF(A175='Run Snapshot'!A175,0,1)+IF(B175='Run Snapshot'!B175,0,1)+IF(C175='Run Snapshot'!C175,0,1)+IF(D175='Run Snapshot'!D175,0,1)+IF(E175='Run Snapshot'!E175,0,1)+IF(F175='Run Snapshot'!F175,0,1)+IF(G175='Run Snapshot'!G175,0,1)+IF(H175='Run Snapshot'!H175,0,1)+IF(I175='Run Snapshot'!I175,0,1)+IF(J175='Run Snapshot'!J175,0,1)+IF(K175='Run Snapshot'!K175,0,1)+IF(L175='Run Snapshot'!L175,0,1)+IF(M175='Run Snapshot'!M175,0,1)+IF(N175='Run Snapshot'!N175,0,1)+IF(O175='Run Snapshot'!O175,0,1)+IF(P175='Run Snapshot'!P175,0,1)+IF(Q175='Run Snapshot'!Q175,0,1)+IF(R175='Run Snapshot'!R175,0,1)</x:f>
        <x:v>0</x:v>
      </x:c>
      <x:c r="X175" s="15" t="n">
        <x:f>IF(A175="",0,COUNTIF($A$8:$A$289,A175)-1)</x:f>
        <x:v>0</x:v>
      </x:c>
      <x:c r="Y175" s="14" t="n">
        <x:f>IF(A175="",1,IF(OR(D175&lt;=0,N175&lt;0,N175&gt;1,M175&lt;=as_of_date),1,0))</x:f>
        <x:v>0</x:v>
      </x:c>
      <x:c r="Z175" s="170" t="n">
        <x:f>IF(A175="","",VLOOKUP(E175,SP_WARF_Factors,2,FALSE))</x:f>
        <x:v>1565.44</x:v>
      </x:c>
      <x:c r="AA175" s="172" t="n">
        <x:f>IF(A175="","",D175*Z175)</x:f>
        <x:v>986227200</x:v>
      </x:c>
      <x:c r="AB175" s="170" t="n">
        <x:f>IF(A175="","",D175*ABS(Z175-SPWARF))</x:f>
        <x:v>512781138.65999997</x:v>
      </x:c>
    </x:row>
    <x:row r="176">
      <x:c r="A176" s="8" t="str">
        <x:v>SYN-LN-00169</x:v>
      </x:c>
      <x:c r="B176" s="8" t="str">
        <x:v>SYN-OB-0163</x:v>
      </x:c>
      <x:c r="C176" s="8" t="str">
        <x:v>Arbor Corp. 163</x:v>
      </x:c>
      <x:c r="D176" s="9" t="n">
        <x:v>660000</x:v>
      </x:c>
      <x:c r="E176" s="8" t="str">
        <x:v>B+</x:v>
      </x:c>
      <x:c r="F176" s="8" t="str">
        <x:v>Capital Markets</x:v>
      </x:c>
      <x:c r="G176" s="8" t="str">
        <x:v>United States</x:v>
      </x:c>
      <x:c r="H176" s="8" t="str">
        <x:v>1st Lien</x:v>
      </x:c>
      <x:c r="I176" s="8" t="str">
        <x:v>Floating</x:v>
      </x:c>
      <x:c r="J176" s="8" t="n">
        <x:v>345</x:v>
      </x:c>
      <x:c r="K176" s="10"/>
      <x:c r="L176" s="8" t="n">
        <x:v>0</x:v>
      </x:c>
      <x:c r="M176" s="11" t="n">
        <x:v>48441</x:v>
      </x:c>
      <x:c r="N176" s="10" t="n">
        <x:v>0.385</x:v>
      </x:c>
      <x:c r="O176" s="12" t="n">
        <x:v>101.5</x:v>
      </x:c>
      <x:c r="P176" s="13" t="n">
        <x:v>4</x:v>
      </x:c>
      <x:c r="Q176" s="8" t="str">
        <x:v>USD</x:v>
      </x:c>
      <x:c r="R176" s="8" t="str">
        <x:v>SOFR</x:v>
      </x:c>
      <x:c r="S176" s="18" t="n">
        <x:f>IF(Portfolio_Par&gt;0,D176/Portfolio_Par,"")</x:f>
        <x:v>0.0022</x:v>
      </x:c>
      <x:c r="T176" s="19" t="n">
        <x:f>IF(A176="","",(M176-as_of_date)/365.25)</x:f>
        <x:v>5.620807665982204</x:v>
      </x:c>
      <x:c r="U176" s="20" t="n">
        <x:f>IF(I176="Floating",D176*J176,0)</x:f>
        <x:v>227700000</x:v>
      </x:c>
      <x:c r="V176" s="20" t="n">
        <x:f>IF(A176="","",D176*N176)</x:f>
        <x:v>254100</x:v>
      </x:c>
      <x:c r="W176" s="14" t="n">
        <x:f>IF(A176='Run Snapshot'!A176,0,1)+IF(B176='Run Snapshot'!B176,0,1)+IF(C176='Run Snapshot'!C176,0,1)+IF(D176='Run Snapshot'!D176,0,1)+IF(E176='Run Snapshot'!E176,0,1)+IF(F176='Run Snapshot'!F176,0,1)+IF(G176='Run Snapshot'!G176,0,1)+IF(H176='Run Snapshot'!H176,0,1)+IF(I176='Run Snapshot'!I176,0,1)+IF(J176='Run Snapshot'!J176,0,1)+IF(K176='Run Snapshot'!K176,0,1)+IF(L176='Run Snapshot'!L176,0,1)+IF(M176='Run Snapshot'!M176,0,1)+IF(N176='Run Snapshot'!N176,0,1)+IF(O176='Run Snapshot'!O176,0,1)+IF(P176='Run Snapshot'!P176,0,1)+IF(Q176='Run Snapshot'!Q176,0,1)+IF(R176='Run Snapshot'!R176,0,1)</x:f>
        <x:v>0</x:v>
      </x:c>
      <x:c r="X176" s="15" t="n">
        <x:f>IF(A176="",0,COUNTIF($A$8:$A$289,A176)-1)</x:f>
        <x:v>0</x:v>
      </x:c>
      <x:c r="Y176" s="14" t="n">
        <x:f>IF(A176="",1,IF(OR(D176&lt;=0,N176&lt;0,N176&gt;1,M176&lt;=as_of_date),1,0))</x:f>
        <x:v>0</x:v>
      </x:c>
      <x:c r="Z176" s="170" t="n">
        <x:f>IF(A176="","",VLOOKUP(E176,SP_WARF_Factors,2,FALSE))</x:f>
        <x:v>1982</x:v>
      </x:c>
      <x:c r="AA176" s="172" t="n">
        <x:f>IF(A176="","",D176*Z176)</x:f>
        <x:v>1308120000</x:v>
      </x:c>
      <x:c r="AB176" s="170" t="n">
        <x:f>IF(A176="","",D176*ABS(Z176-SPWARF))</x:f>
        <x:v>262269688.12000003</x:v>
      </x:c>
    </x:row>
    <x:row r="177">
      <x:c r="A177" s="8" t="str">
        <x:v>SYN-LN-00170</x:v>
      </x:c>
      <x:c r="B177" s="8" t="str">
        <x:v>SYN-OB-0163</x:v>
      </x:c>
      <x:c r="C177" s="8" t="str">
        <x:v>Arbor Corp. 163</x:v>
      </x:c>
      <x:c r="D177" s="9" t="n">
        <x:v>522000</x:v>
      </x:c>
      <x:c r="E177" s="8" t="str">
        <x:v>B+</x:v>
      </x:c>
      <x:c r="F177" s="8" t="str">
        <x:v>Capital Markets</x:v>
      </x:c>
      <x:c r="G177" s="8" t="str">
        <x:v>United States</x:v>
      </x:c>
      <x:c r="H177" s="8" t="str">
        <x:v>1st Lien</x:v>
      </x:c>
      <x:c r="I177" s="8" t="str">
        <x:v>Floating</x:v>
      </x:c>
      <x:c r="J177" s="8" t="n">
        <x:v>355</x:v>
      </x:c>
      <x:c r="K177" s="10"/>
      <x:c r="L177" s="8" t="n">
        <x:v>75</x:v>
      </x:c>
      <x:c r="M177" s="11" t="n">
        <x:v>48517</x:v>
      </x:c>
      <x:c r="N177" s="10" t="n">
        <x:v>0.385</x:v>
      </x:c>
      <x:c r="O177" s="12" t="n">
        <x:v>101.625</x:v>
      </x:c>
      <x:c r="P177" s="13" t="n">
        <x:v>4</x:v>
      </x:c>
      <x:c r="Q177" s="8" t="str">
        <x:v>USD</x:v>
      </x:c>
      <x:c r="R177" s="8" t="str">
        <x:v>SOFR</x:v>
      </x:c>
      <x:c r="S177" s="18" t="n">
        <x:f>IF(Portfolio_Par&gt;0,D177/Portfolio_Par,"")</x:f>
        <x:v>0.00174</x:v>
      </x:c>
      <x:c r="T177" s="19" t="n">
        <x:f>IF(A177="","",(M177-as_of_date)/365.25)</x:f>
        <x:v>5.8288843258042435</x:v>
      </x:c>
      <x:c r="U177" s="20" t="n">
        <x:f>IF(I177="Floating",D177*J177,0)</x:f>
        <x:v>185310000</x:v>
      </x:c>
      <x:c r="V177" s="20" t="n">
        <x:f>IF(A177="","",D177*N177)</x:f>
        <x:v>200970</x:v>
      </x:c>
      <x:c r="W177" s="14" t="n">
        <x:f>IF(A177='Run Snapshot'!A177,0,1)+IF(B177='Run Snapshot'!B177,0,1)+IF(C177='Run Snapshot'!C177,0,1)+IF(D177='Run Snapshot'!D177,0,1)+IF(E177='Run Snapshot'!E177,0,1)+IF(F177='Run Snapshot'!F177,0,1)+IF(G177='Run Snapshot'!G177,0,1)+IF(H177='Run Snapshot'!H177,0,1)+IF(I177='Run Snapshot'!I177,0,1)+IF(J177='Run Snapshot'!J177,0,1)+IF(K177='Run Snapshot'!K177,0,1)+IF(L177='Run Snapshot'!L177,0,1)+IF(M177='Run Snapshot'!M177,0,1)+IF(N177='Run Snapshot'!N177,0,1)+IF(O177='Run Snapshot'!O177,0,1)+IF(P177='Run Snapshot'!P177,0,1)+IF(Q177='Run Snapshot'!Q177,0,1)+IF(R177='Run Snapshot'!R177,0,1)</x:f>
        <x:v>0</x:v>
      </x:c>
      <x:c r="X177" s="15" t="n">
        <x:f>IF(A177="",0,COUNTIF($A$8:$A$289,A177)-1)</x:f>
        <x:v>0</x:v>
      </x:c>
      <x:c r="Y177" s="14" t="n">
        <x:f>IF(A177="",1,IF(OR(D177&lt;=0,N177&lt;0,N177&gt;1,M177&lt;=as_of_date),1,0))</x:f>
        <x:v>0</x:v>
      </x:c>
      <x:c r="Z177" s="170" t="n">
        <x:f>IF(A177="","",VLOOKUP(E177,SP_WARF_Factors,2,FALSE))</x:f>
        <x:v>1982</x:v>
      </x:c>
      <x:c r="AA177" s="172" t="n">
        <x:f>IF(A177="","",D177*Z177)</x:f>
        <x:v>1034604000</x:v>
      </x:c>
      <x:c r="AB177" s="170" t="n">
        <x:f>IF(A177="","",D177*ABS(Z177-SPWARF))</x:f>
        <x:v>207431480.60400003</x:v>
      </x:c>
    </x:row>
    <x:row r="178">
      <x:c r="A178" s="8" t="str">
        <x:v>SYN-LN-00171</x:v>
      </x:c>
      <x:c r="B178" s="8" t="str">
        <x:v>SYN-OB-0164</x:v>
      </x:c>
      <x:c r="C178" s="8" t="str">
        <x:v>Atlas Group 164</x:v>
      </x:c>
      <x:c r="D178" s="9" t="n">
        <x:v>1182000</x:v>
      </x:c>
      <x:c r="E178" s="8" t="str">
        <x:v>B-</x:v>
      </x:c>
      <x:c r="F178" s="8" t="str">
        <x:v>Transportation Infrastructure</x:v>
      </x:c>
      <x:c r="G178" s="8" t="str">
        <x:v>United States</x:v>
      </x:c>
      <x:c r="H178" s="8" t="str">
        <x:v>1st Lien</x:v>
      </x:c>
      <x:c r="I178" s="8" t="str">
        <x:v>Floating</x:v>
      </x:c>
      <x:c r="J178" s="8" t="n">
        <x:v>375</x:v>
      </x:c>
      <x:c r="K178" s="10"/>
      <x:c r="L178" s="8" t="n">
        <x:v>0</x:v>
      </x:c>
      <x:c r="M178" s="11" t="n">
        <x:v>47937</x:v>
      </x:c>
      <x:c r="N178" s="10" t="n">
        <x:v>0.505</x:v>
      </x:c>
      <x:c r="O178" s="12" t="n">
        <x:v>98.375</x:v>
      </x:c>
      <x:c r="P178" s="13" t="n">
        <x:v>4</x:v>
      </x:c>
      <x:c r="Q178" s="8" t="str">
        <x:v>USD</x:v>
      </x:c>
      <x:c r="R178" s="8" t="str">
        <x:v>SOFR</x:v>
      </x:c>
      <x:c r="S178" s="18" t="n">
        <x:f>IF(Portfolio_Par&gt;0,D178/Portfolio_Par,"")</x:f>
        <x:v>0.00394</x:v>
      </x:c>
      <x:c r="T178" s="19" t="n">
        <x:f>IF(A178="","",(M178-as_of_date)/365.25)</x:f>
        <x:v>4.240930869267625</x:v>
      </x:c>
      <x:c r="U178" s="20" t="n">
        <x:f>IF(I178="Floating",D178*J178,0)</x:f>
        <x:v>443250000</x:v>
      </x:c>
      <x:c r="V178" s="20" t="n">
        <x:f>IF(A178="","",D178*N178)</x:f>
        <x:v>596910</x:v>
      </x:c>
      <x:c r="W178" s="14" t="n">
        <x:f>IF(A178='Run Snapshot'!A178,0,1)+IF(B178='Run Snapshot'!B178,0,1)+IF(C178='Run Snapshot'!C178,0,1)+IF(D178='Run Snapshot'!D178,0,1)+IF(E178='Run Snapshot'!E178,0,1)+IF(F178='Run Snapshot'!F178,0,1)+IF(G178='Run Snapshot'!G178,0,1)+IF(H178='Run Snapshot'!H178,0,1)+IF(I178='Run Snapshot'!I178,0,1)+IF(J178='Run Snapshot'!J178,0,1)+IF(K178='Run Snapshot'!K178,0,1)+IF(L178='Run Snapshot'!L178,0,1)+IF(M178='Run Snapshot'!M178,0,1)+IF(N178='Run Snapshot'!N178,0,1)+IF(O178='Run Snapshot'!O178,0,1)+IF(P178='Run Snapshot'!P178,0,1)+IF(Q178='Run Snapshot'!Q178,0,1)+IF(R178='Run Snapshot'!R178,0,1)</x:f>
        <x:v>0</x:v>
      </x:c>
      <x:c r="X178" s="15" t="n">
        <x:f>IF(A178="",0,COUNTIF($A$8:$A$289,A178)-1)</x:f>
        <x:v>0</x:v>
      </x:c>
      <x:c r="Y178" s="14" t="n">
        <x:f>IF(A178="",1,IF(OR(D178&lt;=0,N178&lt;0,N178&gt;1,M178&lt;=as_of_date),1,0))</x:f>
        <x:v>0</x:v>
      </x:c>
      <x:c r="Z178" s="170" t="n">
        <x:f>IF(A178="","",VLOOKUP(E178,SP_WARF_Factors,2,FALSE))</x:f>
        <x:v>3610.11</x:v>
      </x:c>
      <x:c r="AA178" s="172" t="n">
        <x:f>IF(A178="","",D178*Z178)</x:f>
        <x:v>4267150020</x:v>
      </x:c>
      <x:c r="AB178" s="170" t="n">
        <x:f>IF(A178="","",D178*ABS(Z178-SPWARF))</x:f>
        <x:v>1454724851.276</x:v>
      </x:c>
    </x:row>
    <x:row r="179">
      <x:c r="A179" s="8" t="str">
        <x:v>SYN-LN-00172</x:v>
      </x:c>
      <x:c r="B179" s="8" t="str">
        <x:v>SYN-OB-0165</x:v>
      </x:c>
      <x:c r="C179" s="8" t="str">
        <x:v>Beacon LLC 165</x:v>
      </x:c>
      <x:c r="D179" s="9" t="n">
        <x:v>1182000</x:v>
      </x:c>
      <x:c r="E179" s="8" t="str">
        <x:v>B-</x:v>
      </x:c>
      <x:c r="F179" s="8" t="str">
        <x:v>Financial services</x:v>
      </x:c>
      <x:c r="G179" s="8" t="str">
        <x:v>United States</x:v>
      </x:c>
      <x:c r="H179" s="8" t="str">
        <x:v>1st Lien</x:v>
      </x:c>
      <x:c r="I179" s="8" t="str">
        <x:v>Floating</x:v>
      </x:c>
      <x:c r="J179" s="8" t="n">
        <x:v>415</x:v>
      </x:c>
      <x:c r="K179" s="10"/>
      <x:c r="L179" s="8" t="n">
        <x:v>0</x:v>
      </x:c>
      <x:c r="M179" s="11" t="n">
        <x:v>48149</x:v>
      </x:c>
      <x:c r="N179" s="10" t="n">
        <x:v>0.405</x:v>
      </x:c>
      <x:c r="O179" s="12" t="n">
        <x:v>101.5</x:v>
      </x:c>
      <x:c r="P179" s="13" t="n">
        <x:v>4</x:v>
      </x:c>
      <x:c r="Q179" s="8" t="str">
        <x:v>USD</x:v>
      </x:c>
      <x:c r="R179" s="8" t="str">
        <x:v>SOFR</x:v>
      </x:c>
      <x:c r="S179" s="18" t="n">
        <x:f>IF(Portfolio_Par&gt;0,D179/Portfolio_Par,"")</x:f>
        <x:v>0.00394</x:v>
      </x:c>
      <x:c r="T179" s="19" t="n">
        <x:f>IF(A179="","",(M179-as_of_date)/365.25)</x:f>
        <x:v>4.82135523613963</x:v>
      </x:c>
      <x:c r="U179" s="20" t="n">
        <x:f>IF(I179="Floating",D179*J179,0)</x:f>
        <x:v>490530000</x:v>
      </x:c>
      <x:c r="V179" s="20" t="n">
        <x:f>IF(A179="","",D179*N179)</x:f>
        <x:v>478710.00000000006</x:v>
      </x:c>
      <x:c r="W179" s="14" t="n">
        <x:f>IF(A179='Run Snapshot'!A179,0,1)+IF(B179='Run Snapshot'!B179,0,1)+IF(C179='Run Snapshot'!C179,0,1)+IF(D179='Run Snapshot'!D179,0,1)+IF(E179='Run Snapshot'!E179,0,1)+IF(F179='Run Snapshot'!F179,0,1)+IF(G179='Run Snapshot'!G179,0,1)+IF(H179='Run Snapshot'!H179,0,1)+IF(I179='Run Snapshot'!I179,0,1)+IF(J179='Run Snapshot'!J179,0,1)+IF(K179='Run Snapshot'!K179,0,1)+IF(L179='Run Snapshot'!L179,0,1)+IF(M179='Run Snapshot'!M179,0,1)+IF(N179='Run Snapshot'!N179,0,1)+IF(O179='Run Snapshot'!O179,0,1)+IF(P179='Run Snapshot'!P179,0,1)+IF(Q179='Run Snapshot'!Q179,0,1)+IF(R179='Run Snapshot'!R179,0,1)</x:f>
        <x:v>0</x:v>
      </x:c>
      <x:c r="X179" s="15" t="n">
        <x:f>IF(A179="",0,COUNTIF($A$8:$A$289,A179)-1)</x:f>
        <x:v>0</x:v>
      </x:c>
      <x:c r="Y179" s="14" t="n">
        <x:f>IF(A179="",1,IF(OR(D179&lt;=0,N179&lt;0,N179&gt;1,M179&lt;=as_of_date),1,0))</x:f>
        <x:v>0</x:v>
      </x:c>
      <x:c r="Z179" s="170" t="n">
        <x:f>IF(A179="","",VLOOKUP(E179,SP_WARF_Factors,2,FALSE))</x:f>
        <x:v>3610.11</x:v>
      </x:c>
      <x:c r="AA179" s="172" t="n">
        <x:f>IF(A179="","",D179*Z179)</x:f>
        <x:v>4267150020</x:v>
      </x:c>
      <x:c r="AB179" s="170" t="n">
        <x:f>IF(A179="","",D179*ABS(Z179-SPWARF))</x:f>
        <x:v>1454724851.276</x:v>
      </x:c>
    </x:row>
    <x:row r="180">
      <x:c r="A180" s="8" t="str">
        <x:v>SYN-LN-00173</x:v>
      </x:c>
      <x:c r="B180" s="8" t="str">
        <x:v>SYN-OB-0166</x:v>
      </x:c>
      <x:c r="C180" s="8" t="str">
        <x:v>Bluewater Holdings 166</x:v>
      </x:c>
      <x:c r="D180" s="9" t="n">
        <x:v>1207000</x:v>
      </x:c>
      <x:c r="E180" s="8" t="str">
        <x:v>B</x:v>
      </x:c>
      <x:c r="F180" s="8" t="str">
        <x:v>Software</x:v>
      </x:c>
      <x:c r="G180" s="8" t="str">
        <x:v>United States</x:v>
      </x:c>
      <x:c r="H180" s="8" t="str">
        <x:v>1st Lien</x:v>
      </x:c>
      <x:c r="I180" s="8" t="str">
        <x:v>Floating</x:v>
      </x:c>
      <x:c r="J180" s="8" t="n">
        <x:v>345</x:v>
      </x:c>
      <x:c r="K180" s="10"/>
      <x:c r="L180" s="8" t="n">
        <x:v>0</x:v>
      </x:c>
      <x:c r="M180" s="11" t="n">
        <x:v>47983</x:v>
      </x:c>
      <x:c r="N180" s="10" t="n">
        <x:v>0.45</x:v>
      </x:c>
      <x:c r="O180" s="12" t="n">
        <x:v>100.875</x:v>
      </x:c>
      <x:c r="P180" s="13" t="n">
        <x:v>4</x:v>
      </x:c>
      <x:c r="Q180" s="8" t="str">
        <x:v>USD</x:v>
      </x:c>
      <x:c r="R180" s="8" t="str">
        <x:v>SOFR</x:v>
      </x:c>
      <x:c r="S180" s="18" t="n">
        <x:f>IF(Portfolio_Par&gt;0,D180/Portfolio_Par,"")</x:f>
        <x:v>0.004023333333333334</x:v>
      </x:c>
      <x:c r="T180" s="19" t="n">
        <x:f>IF(A180="","",(M180-as_of_date)/365.25)</x:f>
        <x:v>4.3668720054757015</x:v>
      </x:c>
      <x:c r="U180" s="20" t="n">
        <x:f>IF(I180="Floating",D180*J180,0)</x:f>
        <x:v>416415000</x:v>
      </x:c>
      <x:c r="V180" s="20" t="n">
        <x:f>IF(A180="","",D180*N180)</x:f>
        <x:v>543150</x:v>
      </x:c>
      <x:c r="W180" s="14" t="n">
        <x:f>IF(A180='Run Snapshot'!A180,0,1)+IF(B180='Run Snapshot'!B180,0,1)+IF(C180='Run Snapshot'!C180,0,1)+IF(D180='Run Snapshot'!D180,0,1)+IF(E180='Run Snapshot'!E180,0,1)+IF(F180='Run Snapshot'!F180,0,1)+IF(G180='Run Snapshot'!G180,0,1)+IF(H180='Run Snapshot'!H180,0,1)+IF(I180='Run Snapshot'!I180,0,1)+IF(J180='Run Snapshot'!J180,0,1)+IF(K180='Run Snapshot'!K180,0,1)+IF(L180='Run Snapshot'!L180,0,1)+IF(M180='Run Snapshot'!M180,0,1)+IF(N180='Run Snapshot'!N180,0,1)+IF(O180='Run Snapshot'!O180,0,1)+IF(P180='Run Snapshot'!P180,0,1)+IF(Q180='Run Snapshot'!Q180,0,1)+IF(R180='Run Snapshot'!R180,0,1)</x:f>
        <x:v>0</x:v>
      </x:c>
      <x:c r="X180" s="15" t="n">
        <x:f>IF(A180="",0,COUNTIF($A$8:$A$289,A180)-1)</x:f>
        <x:v>0</x:v>
      </x:c>
      <x:c r="Y180" s="14" t="n">
        <x:f>IF(A180="",1,IF(OR(D180&lt;=0,N180&lt;0,N180&gt;1,M180&lt;=as_of_date),1,0))</x:f>
        <x:v>0</x:v>
      </x:c>
      <x:c r="Z180" s="170" t="n">
        <x:f>IF(A180="","",VLOOKUP(E180,SP_WARF_Factors,2,FALSE))</x:f>
        <x:v>2859.5</x:v>
      </x:c>
      <x:c r="AA180" s="172" t="n">
        <x:f>IF(A180="","",D180*Z180)</x:f>
        <x:v>3451416500</x:v>
      </x:c>
      <x:c r="AB180" s="170" t="n">
        <x:f>IF(A180="","",D180*ABS(Z180-SPWARF))</x:f>
        <x:v>579506873.3926666</x:v>
      </x:c>
    </x:row>
    <x:row r="181">
      <x:c r="A181" s="8" t="str">
        <x:v>SYN-LN-00174</x:v>
      </x:c>
      <x:c r="B181" s="8" t="str">
        <x:v>SYN-OB-0167</x:v>
      </x:c>
      <x:c r="C181" s="8" t="str">
        <x:v>Bracken Inc. 167</x:v>
      </x:c>
      <x:c r="D181" s="9" t="n">
        <x:v>1182000</x:v>
      </x:c>
      <x:c r="E181" s="8" t="str">
        <x:v>B-</x:v>
      </x:c>
      <x:c r="F181" s="8" t="str">
        <x:v>Technology Hardware, Storage &amp; Peripherals</x:v>
      </x:c>
      <x:c r="G181" s="8" t="str">
        <x:v>United States</x:v>
      </x:c>
      <x:c r="H181" s="8" t="str">
        <x:v>1st Lien</x:v>
      </x:c>
      <x:c r="I181" s="8" t="str">
        <x:v>Floating</x:v>
      </x:c>
      <x:c r="J181" s="8" t="n">
        <x:v>100</x:v>
      </x:c>
      <x:c r="K181" s="10"/>
      <x:c r="L181" s="8" t="n">
        <x:v>0</x:v>
      </x:c>
      <x:c r="M181" s="11" t="n">
        <x:v>48197</x:v>
      </x:c>
      <x:c r="N181" s="10" t="n">
        <x:v>0.285</x:v>
      </x:c>
      <x:c r="O181" s="12" t="n">
        <x:v>97.875</x:v>
      </x:c>
      <x:c r="P181" s="13" t="n">
        <x:v>4</x:v>
      </x:c>
      <x:c r="Q181" s="8" t="str">
        <x:v>USD</x:v>
      </x:c>
      <x:c r="R181" s="8" t="str">
        <x:v>SOFR</x:v>
      </x:c>
      <x:c r="S181" s="18" t="n">
        <x:f>IF(Portfolio_Par&gt;0,D181/Portfolio_Par,"")</x:f>
        <x:v>0.00394</x:v>
      </x:c>
      <x:c r="T181" s="19" t="n">
        <x:f>IF(A181="","",(M181-as_of_date)/365.25)</x:f>
        <x:v>4.952772073921971</x:v>
      </x:c>
      <x:c r="U181" s="20" t="n">
        <x:f>IF(I181="Floating",D181*J181,0)</x:f>
        <x:v>118200000</x:v>
      </x:c>
      <x:c r="V181" s="20" t="n">
        <x:f>IF(A181="","",D181*N181)</x:f>
        <x:v>336870</x:v>
      </x:c>
      <x:c r="W181" s="14" t="n">
        <x:f>IF(A181='Run Snapshot'!A181,0,1)+IF(B181='Run Snapshot'!B181,0,1)+IF(C181='Run Snapshot'!C181,0,1)+IF(D181='Run Snapshot'!D181,0,1)+IF(E181='Run Snapshot'!E181,0,1)+IF(F181='Run Snapshot'!F181,0,1)+IF(G181='Run Snapshot'!G181,0,1)+IF(H181='Run Snapshot'!H181,0,1)+IF(I181='Run Snapshot'!I181,0,1)+IF(J181='Run Snapshot'!J181,0,1)+IF(K181='Run Snapshot'!K181,0,1)+IF(L181='Run Snapshot'!L181,0,1)+IF(M181='Run Snapshot'!M181,0,1)+IF(N181='Run Snapshot'!N181,0,1)+IF(O181='Run Snapshot'!O181,0,1)+IF(P181='Run Snapshot'!P181,0,1)+IF(Q181='Run Snapshot'!Q181,0,1)+IF(R181='Run Snapshot'!R181,0,1)</x:f>
        <x:v>0</x:v>
      </x:c>
      <x:c r="X181" s="15" t="n">
        <x:f>IF(A181="",0,COUNTIF($A$8:$A$289,A181)-1)</x:f>
        <x:v>0</x:v>
      </x:c>
      <x:c r="Y181" s="14" t="n">
        <x:f>IF(A181="",1,IF(OR(D181&lt;=0,N181&lt;0,N181&gt;1,M181&lt;=as_of_date),1,0))</x:f>
        <x:v>0</x:v>
      </x:c>
      <x:c r="Z181" s="170" t="n">
        <x:f>IF(A181="","",VLOOKUP(E181,SP_WARF_Factors,2,FALSE))</x:f>
        <x:v>3610.11</x:v>
      </x:c>
      <x:c r="AA181" s="172" t="n">
        <x:f>IF(A181="","",D181*Z181)</x:f>
        <x:v>4267150020</x:v>
      </x:c>
      <x:c r="AB181" s="170" t="n">
        <x:f>IF(A181="","",D181*ABS(Z181-SPWARF))</x:f>
        <x:v>1454724851.276</x:v>
      </x:c>
    </x:row>
    <x:row r="182">
      <x:c r="A182" s="8" t="str">
        <x:v>SYN-LN-00175</x:v>
      </x:c>
      <x:c r="B182" s="8" t="str">
        <x:v>SYN-OB-0168</x:v>
      </x:c>
      <x:c r="C182" s="8" t="str">
        <x:v>Cedar Corp. 168</x:v>
      </x:c>
      <x:c r="D182" s="9" t="n">
        <x:v>1182000</x:v>
      </x:c>
      <x:c r="E182" s="8" t="str">
        <x:v>B+</x:v>
      </x:c>
      <x:c r="F182" s="8" t="str">
        <x:v>Media</x:v>
      </x:c>
      <x:c r="G182" s="8" t="str">
        <x:v>United States</x:v>
      </x:c>
      <x:c r="H182" s="8" t="str">
        <x:v>1st Lien</x:v>
      </x:c>
      <x:c r="I182" s="8" t="str">
        <x:v>Floating</x:v>
      </x:c>
      <x:c r="J182" s="8" t="n">
        <x:v>205</x:v>
      </x:c>
      <x:c r="K182" s="10"/>
      <x:c r="L182" s="8" t="n">
        <x:v>0</x:v>
      </x:c>
      <x:c r="M182" s="11" t="n">
        <x:v>48775</x:v>
      </x:c>
      <x:c r="N182" s="10" t="n">
        <x:v>0.455</x:v>
      </x:c>
      <x:c r="O182" s="12" t="n">
        <x:v>99.625</x:v>
      </x:c>
      <x:c r="P182" s="13" t="n">
        <x:v>4</x:v>
      </x:c>
      <x:c r="Q182" s="8" t="str">
        <x:v>USD</x:v>
      </x:c>
      <x:c r="R182" s="8" t="str">
        <x:v>SOFR</x:v>
      </x:c>
      <x:c r="S182" s="18" t="n">
        <x:f>IF(Portfolio_Par&gt;0,D182/Portfolio_Par,"")</x:f>
        <x:v>0.00394</x:v>
      </x:c>
      <x:c r="T182" s="19" t="n">
        <x:f>IF(A182="","",(M182-as_of_date)/365.25)</x:f>
        <x:v>6.535249828884326</x:v>
      </x:c>
      <x:c r="U182" s="20" t="n">
        <x:f>IF(I182="Floating",D182*J182,0)</x:f>
        <x:v>242310000</x:v>
      </x:c>
      <x:c r="V182" s="20" t="n">
        <x:f>IF(A182="","",D182*N182)</x:f>
        <x:v>537810</x:v>
      </x:c>
      <x:c r="W182" s="14" t="n">
        <x:f>IF(A182='Run Snapshot'!A182,0,1)+IF(B182='Run Snapshot'!B182,0,1)+IF(C182='Run Snapshot'!C182,0,1)+IF(D182='Run Snapshot'!D182,0,1)+IF(E182='Run Snapshot'!E182,0,1)+IF(F182='Run Snapshot'!F182,0,1)+IF(G182='Run Snapshot'!G182,0,1)+IF(H182='Run Snapshot'!H182,0,1)+IF(I182='Run Snapshot'!I182,0,1)+IF(J182='Run Snapshot'!J182,0,1)+IF(K182='Run Snapshot'!K182,0,1)+IF(L182='Run Snapshot'!L182,0,1)+IF(M182='Run Snapshot'!M182,0,1)+IF(N182='Run Snapshot'!N182,0,1)+IF(O182='Run Snapshot'!O182,0,1)+IF(P182='Run Snapshot'!P182,0,1)+IF(Q182='Run Snapshot'!Q182,0,1)+IF(R182='Run Snapshot'!R182,0,1)</x:f>
        <x:v>0</x:v>
      </x:c>
      <x:c r="X182" s="15" t="n">
        <x:f>IF(A182="",0,COUNTIF($A$8:$A$289,A182)-1)</x:f>
        <x:v>0</x:v>
      </x:c>
      <x:c r="Y182" s="14" t="n">
        <x:f>IF(A182="",1,IF(OR(D182&lt;=0,N182&lt;0,N182&gt;1,M182&lt;=as_of_date),1,0))</x:f>
        <x:v>0</x:v>
      </x:c>
      <x:c r="Z182" s="170" t="n">
        <x:f>IF(A182="","",VLOOKUP(E182,SP_WARF_Factors,2,FALSE))</x:f>
        <x:v>1982</x:v>
      </x:c>
      <x:c r="AA182" s="172" t="n">
        <x:f>IF(A182="","",D182*Z182)</x:f>
        <x:v>2342724000</x:v>
      </x:c>
      <x:c r="AB182" s="170" t="n">
        <x:f>IF(A182="","",D182*ABS(Z182-SPWARF))</x:f>
        <x:v>469701168.72400004</x:v>
      </x:c>
    </x:row>
    <x:row r="183">
      <x:c r="A183" s="8" t="str">
        <x:v>SYN-LN-00176</x:v>
      </x:c>
      <x:c r="B183" s="8" t="str">
        <x:v>SYN-OB-0169</x:v>
      </x:c>
      <x:c r="C183" s="8" t="str">
        <x:v>Cobalt Group 169</x:v>
      </x:c>
      <x:c r="D183" s="9" t="n">
        <x:v>1182000</x:v>
      </x:c>
      <x:c r="E183" s="8" t="str">
        <x:v>B</x:v>
      </x:c>
      <x:c r="F183" s="8" t="str">
        <x:v>Chemicals</x:v>
      </x:c>
      <x:c r="G183" s="8" t="str">
        <x:v>United States</x:v>
      </x:c>
      <x:c r="H183" s="8" t="str">
        <x:v>1st Lien</x:v>
      </x:c>
      <x:c r="I183" s="8" t="str">
        <x:v>Floating</x:v>
      </x:c>
      <x:c r="J183" s="8" t="n">
        <x:v>250</x:v>
      </x:c>
      <x:c r="K183" s="10"/>
      <x:c r="L183" s="8" t="n">
        <x:v>0</x:v>
      </x:c>
      <x:c r="M183" s="11" t="n">
        <x:v>48515</x:v>
      </x:c>
      <x:c r="N183" s="10" t="n">
        <x:v>0.31</x:v>
      </x:c>
      <x:c r="O183" s="12" t="n">
        <x:v>96.125</x:v>
      </x:c>
      <x:c r="P183" s="13" t="n">
        <x:v>4</x:v>
      </x:c>
      <x:c r="Q183" s="8" t="str">
        <x:v>USD</x:v>
      </x:c>
      <x:c r="R183" s="8" t="str">
        <x:v>SOFR</x:v>
      </x:c>
      <x:c r="S183" s="18" t="n">
        <x:f>IF(Portfolio_Par&gt;0,D183/Portfolio_Par,"")</x:f>
        <x:v>0.00394</x:v>
      </x:c>
      <x:c r="T183" s="19" t="n">
        <x:f>IF(A183="","",(M183-as_of_date)/365.25)</x:f>
        <x:v>5.823408624229979</x:v>
      </x:c>
      <x:c r="U183" s="20" t="n">
        <x:f>IF(I183="Floating",D183*J183,0)</x:f>
        <x:v>295500000</x:v>
      </x:c>
      <x:c r="V183" s="20" t="n">
        <x:f>IF(A183="","",D183*N183)</x:f>
        <x:v>366420</x:v>
      </x:c>
      <x:c r="W183" s="14" t="n">
        <x:f>IF(A183='Run Snapshot'!A183,0,1)+IF(B183='Run Snapshot'!B183,0,1)+IF(C183='Run Snapshot'!C183,0,1)+IF(D183='Run Snapshot'!D183,0,1)+IF(E183='Run Snapshot'!E183,0,1)+IF(F183='Run Snapshot'!F183,0,1)+IF(G183='Run Snapshot'!G183,0,1)+IF(H183='Run Snapshot'!H183,0,1)+IF(I183='Run Snapshot'!I183,0,1)+IF(J183='Run Snapshot'!J183,0,1)+IF(K183='Run Snapshot'!K183,0,1)+IF(L183='Run Snapshot'!L183,0,1)+IF(M183='Run Snapshot'!M183,0,1)+IF(N183='Run Snapshot'!N183,0,1)+IF(O183='Run Snapshot'!O183,0,1)+IF(P183='Run Snapshot'!P183,0,1)+IF(Q183='Run Snapshot'!Q183,0,1)+IF(R183='Run Snapshot'!R183,0,1)</x:f>
        <x:v>0</x:v>
      </x:c>
      <x:c r="X183" s="15" t="n">
        <x:f>IF(A183="",0,COUNTIF($A$8:$A$289,A183)-1)</x:f>
        <x:v>0</x:v>
      </x:c>
      <x:c r="Y183" s="14" t="n">
        <x:f>IF(A183="",1,IF(OR(D183&lt;=0,N183&lt;0,N183&gt;1,M183&lt;=as_of_date),1,0))</x:f>
        <x:v>0</x:v>
      </x:c>
      <x:c r="Z183" s="170" t="n">
        <x:f>IF(A183="","",VLOOKUP(E183,SP_WARF_Factors,2,FALSE))</x:f>
        <x:v>2859.5</x:v>
      </x:c>
      <x:c r="AA183" s="172" t="n">
        <x:f>IF(A183="","",D183*Z183)</x:f>
        <x:v>3379929000</x:v>
      </x:c>
      <x:c r="AB183" s="170" t="n">
        <x:f>IF(A183="","",D183*ABS(Z183-SPWARF))</x:f>
        <x:v>567503831.2759999</x:v>
      </x:c>
    </x:row>
    <x:row r="184">
      <x:c r="A184" s="8" t="str">
        <x:v>SYN-LN-00177</x:v>
      </x:c>
      <x:c r="B184" s="8" t="str">
        <x:v>SYN-OB-0170</x:v>
      </x:c>
      <x:c r="C184" s="8" t="str">
        <x:v>Copper LLC 170</x:v>
      </x:c>
      <x:c r="D184" s="9" t="n">
        <x:v>1182000</x:v>
      </x:c>
      <x:c r="E184" s="8" t="str">
        <x:v>B+</x:v>
      </x:c>
      <x:c r="F184" s="8" t="str">
        <x:v>Media</x:v>
      </x:c>
      <x:c r="G184" s="8" t="str">
        <x:v>United States</x:v>
      </x:c>
      <x:c r="H184" s="8" t="str">
        <x:v>1st Lien</x:v>
      </x:c>
      <x:c r="I184" s="8" t="str">
        <x:v>Floating</x:v>
      </x:c>
      <x:c r="J184" s="8" t="n">
        <x:v>315</x:v>
      </x:c>
      <x:c r="K184" s="10"/>
      <x:c r="L184" s="8" t="n">
        <x:v>0</x:v>
      </x:c>
      <x:c r="M184" s="11" t="n">
        <x:v>47662</x:v>
      </x:c>
      <x:c r="N184" s="10" t="n">
        <x:v>0.39</x:v>
      </x:c>
      <x:c r="O184" s="12" t="n">
        <x:v>99.875</x:v>
      </x:c>
      <x:c r="P184" s="13" t="n">
        <x:v>4</x:v>
      </x:c>
      <x:c r="Q184" s="8" t="str">
        <x:v>USD</x:v>
      </x:c>
      <x:c r="R184" s="8" t="str">
        <x:v>SOFR</x:v>
      </x:c>
      <x:c r="S184" s="18" t="n">
        <x:f>IF(Portfolio_Par&gt;0,D184/Portfolio_Par,"")</x:f>
        <x:v>0.00394</x:v>
      </x:c>
      <x:c r="T184" s="19" t="n">
        <x:f>IF(A184="","",(M184-as_of_date)/365.25)</x:f>
        <x:v>3.488021902806297</x:v>
      </x:c>
      <x:c r="U184" s="20" t="n">
        <x:f>IF(I184="Floating",D184*J184,0)</x:f>
        <x:v>372330000</x:v>
      </x:c>
      <x:c r="V184" s="20" t="n">
        <x:f>IF(A184="","",D184*N184)</x:f>
        <x:v>460980</x:v>
      </x:c>
      <x:c r="W184" s="14" t="n">
        <x:f>IF(A184='Run Snapshot'!A184,0,1)+IF(B184='Run Snapshot'!B184,0,1)+IF(C184='Run Snapshot'!C184,0,1)+IF(D184='Run Snapshot'!D184,0,1)+IF(E184='Run Snapshot'!E184,0,1)+IF(F184='Run Snapshot'!F184,0,1)+IF(G184='Run Snapshot'!G184,0,1)+IF(H184='Run Snapshot'!H184,0,1)+IF(I184='Run Snapshot'!I184,0,1)+IF(J184='Run Snapshot'!J184,0,1)+IF(K184='Run Snapshot'!K184,0,1)+IF(L184='Run Snapshot'!L184,0,1)+IF(M184='Run Snapshot'!M184,0,1)+IF(N184='Run Snapshot'!N184,0,1)+IF(O184='Run Snapshot'!O184,0,1)+IF(P184='Run Snapshot'!P184,0,1)+IF(Q184='Run Snapshot'!Q184,0,1)+IF(R184='Run Snapshot'!R184,0,1)</x:f>
        <x:v>0</x:v>
      </x:c>
      <x:c r="X184" s="15" t="n">
        <x:f>IF(A184="",0,COUNTIF($A$8:$A$289,A184)-1)</x:f>
        <x:v>0</x:v>
      </x:c>
      <x:c r="Y184" s="14" t="n">
        <x:f>IF(A184="",1,IF(OR(D184&lt;=0,N184&lt;0,N184&gt;1,M184&lt;=as_of_date),1,0))</x:f>
        <x:v>0</x:v>
      </x:c>
      <x:c r="Z184" s="170" t="n">
        <x:f>IF(A184="","",VLOOKUP(E184,SP_WARF_Factors,2,FALSE))</x:f>
        <x:v>1982</x:v>
      </x:c>
      <x:c r="AA184" s="172" t="n">
        <x:f>IF(A184="","",D184*Z184)</x:f>
        <x:v>2342724000</x:v>
      </x:c>
      <x:c r="AB184" s="170" t="n">
        <x:f>IF(A184="","",D184*ABS(Z184-SPWARF))</x:f>
        <x:v>469701168.72400004</x:v>
      </x:c>
    </x:row>
    <x:row r="185">
      <x:c r="A185" s="8" t="str">
        <x:v>SYN-LN-00178</x:v>
      </x:c>
      <x:c r="B185" s="8" t="str">
        <x:v>SYN-OB-0171</x:v>
      </x:c>
      <x:c r="C185" s="8" t="str">
        <x:v>Crest Holdings 171</x:v>
      </x:c>
      <x:c r="D185" s="9" t="n">
        <x:v>1182000</x:v>
      </x:c>
      <x:c r="E185" s="8" t="str">
        <x:v>BB</x:v>
      </x:c>
      <x:c r="F185" s="8" t="str">
        <x:v>Household Products</x:v>
      </x:c>
      <x:c r="G185" s="8" t="str">
        <x:v>United States</x:v>
      </x:c>
      <x:c r="H185" s="8" t="str">
        <x:v>1st Lien</x:v>
      </x:c>
      <x:c r="I185" s="8" t="str">
        <x:v>Floating</x:v>
      </x:c>
      <x:c r="J185" s="8" t="n">
        <x:v>245</x:v>
      </x:c>
      <x:c r="K185" s="10"/>
      <x:c r="L185" s="8" t="n">
        <x:v>0</x:v>
      </x:c>
      <x:c r="M185" s="11" t="n">
        <x:v>48197</x:v>
      </x:c>
      <x:c r="N185" s="10" t="n">
        <x:v>0.415</x:v>
      </x:c>
      <x:c r="O185" s="12" t="n">
        <x:v>99.625</x:v>
      </x:c>
      <x:c r="P185" s="13" t="n">
        <x:v>4</x:v>
      </x:c>
      <x:c r="Q185" s="8" t="str">
        <x:v>USD</x:v>
      </x:c>
      <x:c r="R185" s="8" t="str">
        <x:v>SOFR</x:v>
      </x:c>
      <x:c r="S185" s="18" t="n">
        <x:f>IF(Portfolio_Par&gt;0,D185/Portfolio_Par,"")</x:f>
        <x:v>0.00394</x:v>
      </x:c>
      <x:c r="T185" s="19" t="n">
        <x:f>IF(A185="","",(M185-as_of_date)/365.25)</x:f>
        <x:v>4.952772073921971</x:v>
      </x:c>
      <x:c r="U185" s="20" t="n">
        <x:f>IF(I185="Floating",D185*J185,0)</x:f>
        <x:v>289590000</x:v>
      </x:c>
      <x:c r="V185" s="20" t="n">
        <x:f>IF(A185="","",D185*N185)</x:f>
        <x:v>490530</x:v>
      </x:c>
      <x:c r="W185" s="14" t="n">
        <x:f>IF(A185='Run Snapshot'!A185,0,1)+IF(B185='Run Snapshot'!B185,0,1)+IF(C185='Run Snapshot'!C185,0,1)+IF(D185='Run Snapshot'!D185,0,1)+IF(E185='Run Snapshot'!E185,0,1)+IF(F185='Run Snapshot'!F185,0,1)+IF(G185='Run Snapshot'!G185,0,1)+IF(H185='Run Snapshot'!H185,0,1)+IF(I185='Run Snapshot'!I185,0,1)+IF(J185='Run Snapshot'!J185,0,1)+IF(K185='Run Snapshot'!K185,0,1)+IF(L185='Run Snapshot'!L185,0,1)+IF(M185='Run Snapshot'!M185,0,1)+IF(N185='Run Snapshot'!N185,0,1)+IF(O185='Run Snapshot'!O185,0,1)+IF(P185='Run Snapshot'!P185,0,1)+IF(Q185='Run Snapshot'!Q185,0,1)+IF(R185='Run Snapshot'!R185,0,1)</x:f>
        <x:v>0</x:v>
      </x:c>
      <x:c r="X185" s="15" t="n">
        <x:f>IF(A185="",0,COUNTIF($A$8:$A$289,A185)-1)</x:f>
        <x:v>0</x:v>
      </x:c>
      <x:c r="Y185" s="14" t="n">
        <x:f>IF(A185="",1,IF(OR(D185&lt;=0,N185&lt;0,N185&gt;1,M185&lt;=as_of_date),1,0))</x:f>
        <x:v>0</x:v>
      </x:c>
      <x:c r="Z185" s="170" t="n">
        <x:f>IF(A185="","",VLOOKUP(E185,SP_WARF_Factors,2,FALSE))</x:f>
        <x:v>1233.63</x:v>
      </x:c>
      <x:c r="AA185" s="172" t="n">
        <x:f>IF(A185="","",D185*Z185)</x:f>
        <x:v>1458150660.0000002</x:v>
      </x:c>
      <x:c r="AB185" s="170" t="n">
        <x:f>IF(A185="","",D185*ABS(Z185-SPWARF))</x:f>
        <x:v>1354274508.724</x:v>
      </x:c>
    </x:row>
    <x:row r="186">
      <x:c r="A186" s="8" t="str">
        <x:v>SYN-LN-00179</x:v>
      </x:c>
      <x:c r="B186" s="8" t="str">
        <x:v>SYN-OB-0172</x:v>
      </x:c>
      <x:c r="C186" s="8" t="str">
        <x:v>Duneland Inc. 172</x:v>
      </x:c>
      <x:c r="D186" s="9" t="n">
        <x:v>1182000</x:v>
      </x:c>
      <x:c r="E186" s="8" t="str">
        <x:v>B-</x:v>
      </x:c>
      <x:c r="F186" s="8" t="str">
        <x:v>Machinery</x:v>
      </x:c>
      <x:c r="G186" s="8" t="str">
        <x:v>United States</x:v>
      </x:c>
      <x:c r="H186" s="8" t="str">
        <x:v>1st Lien</x:v>
      </x:c>
      <x:c r="I186" s="8" t="str">
        <x:v>Floating</x:v>
      </x:c>
      <x:c r="J186" s="8" t="n">
        <x:v>395</x:v>
      </x:c>
      <x:c r="K186" s="10"/>
      <x:c r="L186" s="8" t="n">
        <x:v>0</x:v>
      </x:c>
      <x:c r="M186" s="11" t="n">
        <x:v>47692</x:v>
      </x:c>
      <x:c r="N186" s="10" t="n">
        <x:v>0.335</x:v>
      </x:c>
      <x:c r="O186" s="12" t="n">
        <x:v>98.75</x:v>
      </x:c>
      <x:c r="P186" s="13" t="n">
        <x:v>4</x:v>
      </x:c>
      <x:c r="Q186" s="8" t="str">
        <x:v>USD</x:v>
      </x:c>
      <x:c r="R186" s="8" t="str">
        <x:v>SOFR</x:v>
      </x:c>
      <x:c r="S186" s="18" t="n">
        <x:f>IF(Portfolio_Par&gt;0,D186/Portfolio_Par,"")</x:f>
        <x:v>0.00394</x:v>
      </x:c>
      <x:c r="T186" s="19" t="n">
        <x:f>IF(A186="","",(M186-as_of_date)/365.25)</x:f>
        <x:v>3.57015742642026</x:v>
      </x:c>
      <x:c r="U186" s="20" t="n">
        <x:f>IF(I186="Floating",D186*J186,0)</x:f>
        <x:v>466890000</x:v>
      </x:c>
      <x:c r="V186" s="20" t="n">
        <x:f>IF(A186="","",D186*N186)</x:f>
        <x:v>395970</x:v>
      </x:c>
      <x:c r="W186" s="14" t="n">
        <x:f>IF(A186='Run Snapshot'!A186,0,1)+IF(B186='Run Snapshot'!B186,0,1)+IF(C186='Run Snapshot'!C186,0,1)+IF(D186='Run Snapshot'!D186,0,1)+IF(E186='Run Snapshot'!E186,0,1)+IF(F186='Run Snapshot'!F186,0,1)+IF(G186='Run Snapshot'!G186,0,1)+IF(H186='Run Snapshot'!H186,0,1)+IF(I186='Run Snapshot'!I186,0,1)+IF(J186='Run Snapshot'!J186,0,1)+IF(K186='Run Snapshot'!K186,0,1)+IF(L186='Run Snapshot'!L186,0,1)+IF(M186='Run Snapshot'!M186,0,1)+IF(N186='Run Snapshot'!N186,0,1)+IF(O186='Run Snapshot'!O186,0,1)+IF(P186='Run Snapshot'!P186,0,1)+IF(Q186='Run Snapshot'!Q186,0,1)+IF(R186='Run Snapshot'!R186,0,1)</x:f>
        <x:v>0</x:v>
      </x:c>
      <x:c r="X186" s="15" t="n">
        <x:f>IF(A186="",0,COUNTIF($A$8:$A$289,A186)-1)</x:f>
        <x:v>0</x:v>
      </x:c>
      <x:c r="Y186" s="14" t="n">
        <x:f>IF(A186="",1,IF(OR(D186&lt;=0,N186&lt;0,N186&gt;1,M186&lt;=as_of_date),1,0))</x:f>
        <x:v>0</x:v>
      </x:c>
      <x:c r="Z186" s="170" t="n">
        <x:f>IF(A186="","",VLOOKUP(E186,SP_WARF_Factors,2,FALSE))</x:f>
        <x:v>3610.11</x:v>
      </x:c>
      <x:c r="AA186" s="172" t="n">
        <x:f>IF(A186="","",D186*Z186)</x:f>
        <x:v>4267150020</x:v>
      </x:c>
      <x:c r="AB186" s="170" t="n">
        <x:f>IF(A186="","",D186*ABS(Z186-SPWARF))</x:f>
        <x:v>1454724851.276</x:v>
      </x:c>
    </x:row>
    <x:row r="187">
      <x:c r="A187" s="8" t="str">
        <x:v>SYN-LN-00180</x:v>
      </x:c>
      <x:c r="B187" s="8" t="str">
        <x:v>SYN-OB-0173</x:v>
      </x:c>
      <x:c r="C187" s="8" t="str">
        <x:v>Elmstone Corp. 173</x:v>
      </x:c>
      <x:c r="D187" s="9" t="n">
        <x:v>630000</x:v>
      </x:c>
      <x:c r="E187" s="8" t="str">
        <x:v>BBB+</x:v>
      </x:c>
      <x:c r="F187" s="8" t="str">
        <x:v>Auto Components</x:v>
      </x:c>
      <x:c r="G187" s="8" t="str">
        <x:v>United Kingdom</x:v>
      </x:c>
      <x:c r="H187" s="8" t="str">
        <x:v>1st Lien</x:v>
      </x:c>
      <x:c r="I187" s="8" t="str">
        <x:v>Fixed</x:v>
      </x:c>
      <x:c r="J187" s="8"/>
      <x:c r="K187" s="10" t="n">
        <x:v>0.04225</x:v>
      </x:c>
      <x:c r="L187" s="8"/>
      <x:c r="M187" s="11" t="n">
        <x:v>48393</x:v>
      </x:c>
      <x:c r="N187" s="10" t="n">
        <x:v>0.435</x:v>
      </x:c>
      <x:c r="O187" s="12" t="n">
        <x:v>97.125</x:v>
      </x:c>
      <x:c r="P187" s="13" t="n">
        <x:v>2</x:v>
      </x:c>
      <x:c r="Q187" s="8" t="str">
        <x:v>USD</x:v>
      </x:c>
      <x:c r="R187" s="8"/>
      <x:c r="S187" s="18" t="n">
        <x:f>IF(Portfolio_Par&gt;0,D187/Portfolio_Par,"")</x:f>
        <x:v>0.0021</x:v>
      </x:c>
      <x:c r="T187" s="19" t="n">
        <x:f>IF(A187="","",(M187-as_of_date)/365.25)</x:f>
        <x:v>5.489390828199863</x:v>
      </x:c>
      <x:c r="U187" s="20" t="n">
        <x:f>IF(I187="Floating",D187*J187,0)</x:f>
        <x:v>0</x:v>
      </x:c>
      <x:c r="V187" s="20" t="n">
        <x:f>IF(A187="","",D187*N187)</x:f>
        <x:v>274050</x:v>
      </x:c>
      <x:c r="W187" s="14" t="n">
        <x:f>IF(A187='Run Snapshot'!A187,0,1)+IF(B187='Run Snapshot'!B187,0,1)+IF(C187='Run Snapshot'!C187,0,1)+IF(D187='Run Snapshot'!D187,0,1)+IF(E187='Run Snapshot'!E187,0,1)+IF(F187='Run Snapshot'!F187,0,1)+IF(G187='Run Snapshot'!G187,0,1)+IF(H187='Run Snapshot'!H187,0,1)+IF(I187='Run Snapshot'!I187,0,1)+IF(J187='Run Snapshot'!J187,0,1)+IF(K187='Run Snapshot'!K187,0,1)+IF(L187='Run Snapshot'!L187,0,1)+IF(M187='Run Snapshot'!M187,0,1)+IF(N187='Run Snapshot'!N187,0,1)+IF(O187='Run Snapshot'!O187,0,1)+IF(P187='Run Snapshot'!P187,0,1)+IF(Q187='Run Snapshot'!Q187,0,1)+IF(R187='Run Snapshot'!R187,0,1)</x:f>
        <x:v>0</x:v>
      </x:c>
      <x:c r="X187" s="15" t="n">
        <x:f>IF(A187="",0,COUNTIF($A$8:$A$289,A187)-1)</x:f>
        <x:v>0</x:v>
      </x:c>
      <x:c r="Y187" s="14" t="n">
        <x:f>IF(A187="",1,IF(OR(D187&lt;=0,N187&lt;0,N187&gt;1,M187&lt;=as_of_date),1,0))</x:f>
        <x:v>0</x:v>
      </x:c>
      <x:c r="Z187" s="170" t="n">
        <x:f>IF(A187="","",VLOOKUP(E187,SP_WARF_Factors,2,FALSE))</x:f>
        <x:v>271.01</x:v>
      </x:c>
      <x:c r="AA187" s="172" t="n">
        <x:f>IF(A187="","",D187*Z187)</x:f>
        <x:v>170736300</x:v>
      </x:c>
      <x:c r="AB187" s="170" t="n">
        <x:f>IF(A187="","",D187*ABS(Z187-SPWARF))</x:f>
        <x:v>1328272038.6599998</x:v>
      </x:c>
    </x:row>
    <x:row r="188">
      <x:c r="A188" s="8" t="str">
        <x:v>SYN-LN-00181</x:v>
      </x:c>
      <x:c r="B188" s="8" t="str">
        <x:v>SYN-OB-0174</x:v>
      </x:c>
      <x:c r="C188" s="8" t="str">
        <x:v>Evergreen Group 174</x:v>
      </x:c>
      <x:c r="D188" s="9" t="n">
        <x:v>1211000</x:v>
      </x:c>
      <x:c r="E188" s="8" t="str">
        <x:v>B</x:v>
      </x:c>
      <x:c r="F188" s="8" t="str">
        <x:v>Healthcare Providers &amp; Services</x:v>
      </x:c>
      <x:c r="G188" s="8" t="str">
        <x:v>United States</x:v>
      </x:c>
      <x:c r="H188" s="8" t="str">
        <x:v>1st Lien</x:v>
      </x:c>
      <x:c r="I188" s="8" t="str">
        <x:v>Floating</x:v>
      </x:c>
      <x:c r="J188" s="8" t="n">
        <x:v>285</x:v>
      </x:c>
      <x:c r="K188" s="10"/>
      <x:c r="L188" s="8" t="n">
        <x:v>0</x:v>
      </x:c>
      <x:c r="M188" s="11" t="n">
        <x:v>47511</x:v>
      </x:c>
      <x:c r="N188" s="10" t="n">
        <x:v>0.475</x:v>
      </x:c>
      <x:c r="O188" s="12" t="n">
        <x:v>100.75</x:v>
      </x:c>
      <x:c r="P188" s="13" t="n">
        <x:v>4</x:v>
      </x:c>
      <x:c r="Q188" s="8" t="str">
        <x:v>USD</x:v>
      </x:c>
      <x:c r="R188" s="8" t="str">
        <x:v>SOFR</x:v>
      </x:c>
      <x:c r="S188" s="18" t="n">
        <x:f>IF(Portfolio_Par&gt;0,D188/Portfolio_Par,"")</x:f>
        <x:v>0.004036666666666667</x:v>
      </x:c>
      <x:c r="T188" s="19" t="n">
        <x:f>IF(A188="","",(M188-as_of_date)/365.25)</x:f>
        <x:v>3.07460643394935</x:v>
      </x:c>
      <x:c r="U188" s="20" t="n">
        <x:f>IF(I188="Floating",D188*J188,0)</x:f>
        <x:v>345135000</x:v>
      </x:c>
      <x:c r="V188" s="20" t="n">
        <x:f>IF(A188="","",D188*N188)</x:f>
        <x:v>575225</x:v>
      </x:c>
      <x:c r="W188" s="14" t="n">
        <x:f>IF(A188='Run Snapshot'!A188,0,1)+IF(B188='Run Snapshot'!B188,0,1)+IF(C188='Run Snapshot'!C188,0,1)+IF(D188='Run Snapshot'!D188,0,1)+IF(E188='Run Snapshot'!E188,0,1)+IF(F188='Run Snapshot'!F188,0,1)+IF(G188='Run Snapshot'!G188,0,1)+IF(H188='Run Snapshot'!H188,0,1)+IF(I188='Run Snapshot'!I188,0,1)+IF(J188='Run Snapshot'!J188,0,1)+IF(K188='Run Snapshot'!K188,0,1)+IF(L188='Run Snapshot'!L188,0,1)+IF(M188='Run Snapshot'!M188,0,1)+IF(N188='Run Snapshot'!N188,0,1)+IF(O188='Run Snapshot'!O188,0,1)+IF(P188='Run Snapshot'!P188,0,1)+IF(Q188='Run Snapshot'!Q188,0,1)+IF(R188='Run Snapshot'!R188,0,1)</x:f>
        <x:v>0</x:v>
      </x:c>
      <x:c r="X188" s="15" t="n">
        <x:f>IF(A188="",0,COUNTIF($A$8:$A$289,A188)-1)</x:f>
        <x:v>0</x:v>
      </x:c>
      <x:c r="Y188" s="14" t="n">
        <x:f>IF(A188="",1,IF(OR(D188&lt;=0,N188&lt;0,N188&gt;1,M188&lt;=as_of_date),1,0))</x:f>
        <x:v>0</x:v>
      </x:c>
      <x:c r="Z188" s="170" t="n">
        <x:f>IF(A188="","",VLOOKUP(E188,SP_WARF_Factors,2,FALSE))</x:f>
        <x:v>2859.5</x:v>
      </x:c>
      <x:c r="AA188" s="172" t="n">
        <x:f>IF(A188="","",D188*Z188)</x:f>
        <x:v>3462854500</x:v>
      </x:c>
      <x:c r="AB188" s="170" t="n">
        <x:f>IF(A188="","",D188*ABS(Z188-SPWARF))</x:f>
        <x:v>581427360.1313332</x:v>
      </x:c>
    </x:row>
    <x:row r="189">
      <x:c r="A189" s="8" t="str">
        <x:v>SYN-LN-00182</x:v>
      </x:c>
      <x:c r="B189" s="8" t="str">
        <x:v>SYN-OB-0175</x:v>
      </x:c>
      <x:c r="C189" s="8" t="str">
        <x:v>Fairhaven LLC 175</x:v>
      </x:c>
      <x:c r="D189" s="9" t="n">
        <x:v>1182000</x:v>
      </x:c>
      <x:c r="E189" s="8" t="str">
        <x:v>B+</x:v>
      </x:c>
      <x:c r="F189" s="8" t="str">
        <x:v>Professional Services</x:v>
      </x:c>
      <x:c r="G189" s="8" t="str">
        <x:v>United States</x:v>
      </x:c>
      <x:c r="H189" s="8" t="str">
        <x:v>1st Lien</x:v>
      </x:c>
      <x:c r="I189" s="8" t="str">
        <x:v>Floating</x:v>
      </x:c>
      <x:c r="J189" s="8" t="n">
        <x:v>275</x:v>
      </x:c>
      <x:c r="K189" s="10"/>
      <x:c r="L189" s="8" t="n">
        <x:v>0</x:v>
      </x:c>
      <x:c r="M189" s="11" t="n">
        <x:v>48301</x:v>
      </x:c>
      <x:c r="N189" s="10" t="n">
        <x:v>0.355</x:v>
      </x:c>
      <x:c r="O189" s="12" t="n">
        <x:v>101.5</x:v>
      </x:c>
      <x:c r="P189" s="13" t="n">
        <x:v>4</x:v>
      </x:c>
      <x:c r="Q189" s="8" t="str">
        <x:v>USD</x:v>
      </x:c>
      <x:c r="R189" s="8" t="str">
        <x:v>SOFR</x:v>
      </x:c>
      <x:c r="S189" s="18" t="n">
        <x:f>IF(Portfolio_Par&gt;0,D189/Portfolio_Par,"")</x:f>
        <x:v>0.00394</x:v>
      </x:c>
      <x:c r="T189" s="19" t="n">
        <x:f>IF(A189="","",(M189-as_of_date)/365.25)</x:f>
        <x:v>5.23750855578371</x:v>
      </x:c>
      <x:c r="U189" s="20" t="n">
        <x:f>IF(I189="Floating",D189*J189,0)</x:f>
        <x:v>325050000</x:v>
      </x:c>
      <x:c r="V189" s="20" t="n">
        <x:f>IF(A189="","",D189*N189)</x:f>
        <x:v>419610</x:v>
      </x:c>
      <x:c r="W189" s="14" t="n">
        <x:f>IF(A189='Run Snapshot'!A189,0,1)+IF(B189='Run Snapshot'!B189,0,1)+IF(C189='Run Snapshot'!C189,0,1)+IF(D189='Run Snapshot'!D189,0,1)+IF(E189='Run Snapshot'!E189,0,1)+IF(F189='Run Snapshot'!F189,0,1)+IF(G189='Run Snapshot'!G189,0,1)+IF(H189='Run Snapshot'!H189,0,1)+IF(I189='Run Snapshot'!I189,0,1)+IF(J189='Run Snapshot'!J189,0,1)+IF(K189='Run Snapshot'!K189,0,1)+IF(L189='Run Snapshot'!L189,0,1)+IF(M189='Run Snapshot'!M189,0,1)+IF(N189='Run Snapshot'!N189,0,1)+IF(O189='Run Snapshot'!O189,0,1)+IF(P189='Run Snapshot'!P189,0,1)+IF(Q189='Run Snapshot'!Q189,0,1)+IF(R189='Run Snapshot'!R189,0,1)</x:f>
        <x:v>0</x:v>
      </x:c>
      <x:c r="X189" s="15" t="n">
        <x:f>IF(A189="",0,COUNTIF($A$8:$A$289,A189)-1)</x:f>
        <x:v>0</x:v>
      </x:c>
      <x:c r="Y189" s="14" t="n">
        <x:f>IF(A189="",1,IF(OR(D189&lt;=0,N189&lt;0,N189&gt;1,M189&lt;=as_of_date),1,0))</x:f>
        <x:v>0</x:v>
      </x:c>
      <x:c r="Z189" s="170" t="n">
        <x:f>IF(A189="","",VLOOKUP(E189,SP_WARF_Factors,2,FALSE))</x:f>
        <x:v>1982</x:v>
      </x:c>
      <x:c r="AA189" s="172" t="n">
        <x:f>IF(A189="","",D189*Z189)</x:f>
        <x:v>2342724000</x:v>
      </x:c>
      <x:c r="AB189" s="170" t="n">
        <x:f>IF(A189="","",D189*ABS(Z189-SPWARF))</x:f>
        <x:v>469701168.72400004</x:v>
      </x:c>
    </x:row>
    <x:row r="190">
      <x:c r="A190" s="8" t="str">
        <x:v>SYN-LN-00183</x:v>
      </x:c>
      <x:c r="B190" s="8" t="str">
        <x:v>SYN-OB-0176</x:v>
      </x:c>
      <x:c r="C190" s="8" t="str">
        <x:v>Granite Holdings 176</x:v>
      </x:c>
      <x:c r="D190" s="9" t="n">
        <x:v>1182000</x:v>
      </x:c>
      <x:c r="E190" s="8" t="str">
        <x:v>B+</x:v>
      </x:c>
      <x:c r="F190" s="8" t="str">
        <x:v>Electric Utilities</x:v>
      </x:c>
      <x:c r="G190" s="8" t="str">
        <x:v>United States</x:v>
      </x:c>
      <x:c r="H190" s="8" t="str">
        <x:v>1st Lien</x:v>
      </x:c>
      <x:c r="I190" s="8" t="str">
        <x:v>Floating</x:v>
      </x:c>
      <x:c r="J190" s="8" t="n">
        <x:v>260</x:v>
      </x:c>
      <x:c r="K190" s="10"/>
      <x:c r="L190" s="8" t="n">
        <x:v>0</x:v>
      </x:c>
      <x:c r="M190" s="11" t="n">
        <x:v>48136</x:v>
      </x:c>
      <x:c r="N190" s="10" t="n">
        <x:v>0.54</x:v>
      </x:c>
      <x:c r="O190" s="12" t="n">
        <x:v>100.875</x:v>
      </x:c>
      <x:c r="P190" s="13" t="n">
        <x:v>4</x:v>
      </x:c>
      <x:c r="Q190" s="8" t="str">
        <x:v>USD</x:v>
      </x:c>
      <x:c r="R190" s="8" t="str">
        <x:v>SOFR</x:v>
      </x:c>
      <x:c r="S190" s="18" t="n">
        <x:f>IF(Portfolio_Par&gt;0,D190/Portfolio_Par,"")</x:f>
        <x:v>0.00394</x:v>
      </x:c>
      <x:c r="T190" s="19" t="n">
        <x:f>IF(A190="","",(M190-as_of_date)/365.25)</x:f>
        <x:v>4.785763175906913</x:v>
      </x:c>
      <x:c r="U190" s="20" t="n">
        <x:f>IF(I190="Floating",D190*J190,0)</x:f>
        <x:v>307320000</x:v>
      </x:c>
      <x:c r="V190" s="20" t="n">
        <x:f>IF(A190="","",D190*N190)</x:f>
        <x:v>638280</x:v>
      </x:c>
      <x:c r="W190" s="14" t="n">
        <x:f>IF(A190='Run Snapshot'!A190,0,1)+IF(B190='Run Snapshot'!B190,0,1)+IF(C190='Run Snapshot'!C190,0,1)+IF(D190='Run Snapshot'!D190,0,1)+IF(E190='Run Snapshot'!E190,0,1)+IF(F190='Run Snapshot'!F190,0,1)+IF(G190='Run Snapshot'!G190,0,1)+IF(H190='Run Snapshot'!H190,0,1)+IF(I190='Run Snapshot'!I190,0,1)+IF(J190='Run Snapshot'!J190,0,1)+IF(K190='Run Snapshot'!K190,0,1)+IF(L190='Run Snapshot'!L190,0,1)+IF(M190='Run Snapshot'!M190,0,1)+IF(N190='Run Snapshot'!N190,0,1)+IF(O190='Run Snapshot'!O190,0,1)+IF(P190='Run Snapshot'!P190,0,1)+IF(Q190='Run Snapshot'!Q190,0,1)+IF(R190='Run Snapshot'!R190,0,1)</x:f>
        <x:v>0</x:v>
      </x:c>
      <x:c r="X190" s="15" t="n">
        <x:f>IF(A190="",0,COUNTIF($A$8:$A$289,A190)-1)</x:f>
        <x:v>0</x:v>
      </x:c>
      <x:c r="Y190" s="14" t="n">
        <x:f>IF(A190="",1,IF(OR(D190&lt;=0,N190&lt;0,N190&gt;1,M190&lt;=as_of_date),1,0))</x:f>
        <x:v>0</x:v>
      </x:c>
      <x:c r="Z190" s="170" t="n">
        <x:f>IF(A190="","",VLOOKUP(E190,SP_WARF_Factors,2,FALSE))</x:f>
        <x:v>1982</x:v>
      </x:c>
      <x:c r="AA190" s="172" t="n">
        <x:f>IF(A190="","",D190*Z190)</x:f>
        <x:v>2342724000</x:v>
      </x:c>
      <x:c r="AB190" s="170" t="n">
        <x:f>IF(A190="","",D190*ABS(Z190-SPWARF))</x:f>
        <x:v>469701168.72400004</x:v>
      </x:c>
    </x:row>
    <x:row r="191">
      <x:c r="A191" s="8" t="str">
        <x:v>SYN-LN-00184</x:v>
      </x:c>
      <x:c r="B191" s="8" t="str">
        <x:v>SYN-OB-0177</x:v>
      </x:c>
      <x:c r="C191" s="8" t="str">
        <x:v>Harbor Inc. 177</x:v>
      </x:c>
      <x:c r="D191" s="9" t="n">
        <x:v>1182000</x:v>
      </x:c>
      <x:c r="E191" s="8" t="str">
        <x:v>BB-</x:v>
      </x:c>
      <x:c r="F191" s="8" t="str">
        <x:v>Food Products</x:v>
      </x:c>
      <x:c r="G191" s="8" t="str">
        <x:v>United States</x:v>
      </x:c>
      <x:c r="H191" s="8" t="str">
        <x:v>1st Lien</x:v>
      </x:c>
      <x:c r="I191" s="8" t="str">
        <x:v>Floating</x:v>
      </x:c>
      <x:c r="J191" s="8" t="n">
        <x:v>245</x:v>
      </x:c>
      <x:c r="K191" s="10"/>
      <x:c r="L191" s="8" t="n">
        <x:v>0</x:v>
      </x:c>
      <x:c r="M191" s="11" t="n">
        <x:v>47907</x:v>
      </x:c>
      <x:c r="N191" s="10" t="n">
        <x:v>0.395</x:v>
      </x:c>
      <x:c r="O191" s="12" t="n">
        <x:v>101.5</x:v>
      </x:c>
      <x:c r="P191" s="13" t="n">
        <x:v>4</x:v>
      </x:c>
      <x:c r="Q191" s="8" t="str">
        <x:v>USD</x:v>
      </x:c>
      <x:c r="R191" s="8" t="str">
        <x:v>SOFR</x:v>
      </x:c>
      <x:c r="S191" s="18" t="n">
        <x:f>IF(Portfolio_Par&gt;0,D191/Portfolio_Par,"")</x:f>
        <x:v>0.00394</x:v>
      </x:c>
      <x:c r="T191" s="19" t="n">
        <x:f>IF(A191="","",(M191-as_of_date)/365.25)</x:f>
        <x:v>4.158795345653662</x:v>
      </x:c>
      <x:c r="U191" s="20" t="n">
        <x:f>IF(I191="Floating",D191*J191,0)</x:f>
        <x:v>289590000</x:v>
      </x:c>
      <x:c r="V191" s="20" t="n">
        <x:f>IF(A191="","",D191*N191)</x:f>
        <x:v>466890</x:v>
      </x:c>
      <x:c r="W191" s="14" t="n">
        <x:f>IF(A191='Run Snapshot'!A191,0,1)+IF(B191='Run Snapshot'!B191,0,1)+IF(C191='Run Snapshot'!C191,0,1)+IF(D191='Run Snapshot'!D191,0,1)+IF(E191='Run Snapshot'!E191,0,1)+IF(F191='Run Snapshot'!F191,0,1)+IF(G191='Run Snapshot'!G191,0,1)+IF(H191='Run Snapshot'!H191,0,1)+IF(I191='Run Snapshot'!I191,0,1)+IF(J191='Run Snapshot'!J191,0,1)+IF(K191='Run Snapshot'!K191,0,1)+IF(L191='Run Snapshot'!L191,0,1)+IF(M191='Run Snapshot'!M191,0,1)+IF(N191='Run Snapshot'!N191,0,1)+IF(O191='Run Snapshot'!O191,0,1)+IF(P191='Run Snapshot'!P191,0,1)+IF(Q191='Run Snapshot'!Q191,0,1)+IF(R191='Run Snapshot'!R191,0,1)</x:f>
        <x:v>0</x:v>
      </x:c>
      <x:c r="X191" s="15" t="n">
        <x:f>IF(A191="",0,COUNTIF($A$8:$A$289,A191)-1)</x:f>
        <x:v>0</x:v>
      </x:c>
      <x:c r="Y191" s="14" t="n">
        <x:f>IF(A191="",1,IF(OR(D191&lt;=0,N191&lt;0,N191&gt;1,M191&lt;=as_of_date),1,0))</x:f>
        <x:v>0</x:v>
      </x:c>
      <x:c r="Z191" s="170" t="n">
        <x:f>IF(A191="","",VLOOKUP(E191,SP_WARF_Factors,2,FALSE))</x:f>
        <x:v>1565.44</x:v>
      </x:c>
      <x:c r="AA191" s="172" t="n">
        <x:f>IF(A191="","",D191*Z191)</x:f>
        <x:v>1850350080</x:v>
      </x:c>
      <x:c r="AB191" s="170" t="n">
        <x:f>IF(A191="","",D191*ABS(Z191-SPWARF))</x:f>
        <x:v>962075088.724</x:v>
      </x:c>
    </x:row>
    <x:row r="192">
      <x:c r="A192" s="8" t="str">
        <x:v>SYN-LN-00185</x:v>
      </x:c>
      <x:c r="B192" s="8" t="str">
        <x:v>SYN-OB-0178</x:v>
      </x:c>
      <x:c r="C192" s="8" t="str">
        <x:v>Hawthorne Corp. 178</x:v>
      </x:c>
      <x:c r="D192" s="9" t="n">
        <x:v>630000</x:v>
      </x:c>
      <x:c r="E192" s="8" t="str">
        <x:v>BBB-</x:v>
      </x:c>
      <x:c r="F192" s="8" t="str">
        <x:v>Consumer Finance</x:v>
      </x:c>
      <x:c r="G192" s="8" t="str">
        <x:v>Canada</x:v>
      </x:c>
      <x:c r="H192" s="8" t="str">
        <x:v>1st Lien</x:v>
      </x:c>
      <x:c r="I192" s="8" t="str">
        <x:v>Fixed</x:v>
      </x:c>
      <x:c r="J192" s="8"/>
      <x:c r="K192" s="10" t="n">
        <x:v>0.045375</x:v>
      </x:c>
      <x:c r="L192" s="8"/>
      <x:c r="M192" s="11" t="n">
        <x:v>48638</x:v>
      </x:c>
      <x:c r="N192" s="10" t="n">
        <x:v>0.395</x:v>
      </x:c>
      <x:c r="O192" s="12" t="n">
        <x:v>96.875</x:v>
      </x:c>
      <x:c r="P192" s="13" t="n">
        <x:v>2</x:v>
      </x:c>
      <x:c r="Q192" s="8" t="str">
        <x:v>USD</x:v>
      </x:c>
      <x:c r="R192" s="8"/>
      <x:c r="S192" s="18" t="n">
        <x:f>IF(Portfolio_Par&gt;0,D192/Portfolio_Par,"")</x:f>
        <x:v>0.0021</x:v>
      </x:c>
      <x:c r="T192" s="19" t="n">
        <x:f>IF(A192="","",(M192-as_of_date)/365.25)</x:f>
        <x:v>6.160164271047228</x:v>
      </x:c>
      <x:c r="U192" s="20" t="n">
        <x:f>IF(I192="Floating",D192*J192,0)</x:f>
        <x:v>0</x:v>
      </x:c>
      <x:c r="V192" s="20" t="n">
        <x:f>IF(A192="","",D192*N192)</x:f>
        <x:v>248850</x:v>
      </x:c>
      <x:c r="W192" s="14" t="n">
        <x:f>IF(A192='Run Snapshot'!A192,0,1)+IF(B192='Run Snapshot'!B192,0,1)+IF(C192='Run Snapshot'!C192,0,1)+IF(D192='Run Snapshot'!D192,0,1)+IF(E192='Run Snapshot'!E192,0,1)+IF(F192='Run Snapshot'!F192,0,1)+IF(G192='Run Snapshot'!G192,0,1)+IF(H192='Run Snapshot'!H192,0,1)+IF(I192='Run Snapshot'!I192,0,1)+IF(J192='Run Snapshot'!J192,0,1)+IF(K192='Run Snapshot'!K192,0,1)+IF(L192='Run Snapshot'!L192,0,1)+IF(M192='Run Snapshot'!M192,0,1)+IF(N192='Run Snapshot'!N192,0,1)+IF(O192='Run Snapshot'!O192,0,1)+IF(P192='Run Snapshot'!P192,0,1)+IF(Q192='Run Snapshot'!Q192,0,1)+IF(R192='Run Snapshot'!R192,0,1)</x:f>
        <x:v>0</x:v>
      </x:c>
      <x:c r="X192" s="15" t="n">
        <x:f>IF(A192="",0,COUNTIF($A$8:$A$289,A192)-1)</x:f>
        <x:v>0</x:v>
      </x:c>
      <x:c r="Y192" s="14" t="n">
        <x:f>IF(A192="",1,IF(OR(D192&lt;=0,N192&lt;0,N192&gt;1,M192&lt;=as_of_date),1,0))</x:f>
        <x:v>0</x:v>
      </x:c>
      <x:c r="Z192" s="170" t="n">
        <x:f>IF(A192="","",VLOOKUP(E192,SP_WARF_Factors,2,FALSE))</x:f>
        <x:v>540.42</x:v>
      </x:c>
      <x:c r="AA192" s="172" t="n">
        <x:f>IF(A192="","",D192*Z192)</x:f>
        <x:v>340464600</x:v>
      </x:c>
      <x:c r="AB192" s="170" t="n">
        <x:f>IF(A192="","",D192*ABS(Z192-SPWARF))</x:f>
        <x:v>1158543738.66</x:v>
      </x:c>
    </x:row>
    <x:row r="193">
      <x:c r="A193" s="8" t="str">
        <x:v>SYN-LN-00186</x:v>
      </x:c>
      <x:c r="B193" s="8" t="str">
        <x:v>SYN-OB-0179</x:v>
      </x:c>
      <x:c r="C193" s="8" t="str">
        <x:v>Highland Group 179</x:v>
      </x:c>
      <x:c r="D193" s="9" t="n">
        <x:v>1182000</x:v>
      </x:c>
      <x:c r="E193" s="8" t="str">
        <x:v>B+</x:v>
      </x:c>
      <x:c r="F193" s="8" t="str">
        <x:v>Electric Utilities</x:v>
      </x:c>
      <x:c r="G193" s="8" t="str">
        <x:v>United States</x:v>
      </x:c>
      <x:c r="H193" s="8" t="str">
        <x:v>1st Lien</x:v>
      </x:c>
      <x:c r="I193" s="8" t="str">
        <x:v>Floating</x:v>
      </x:c>
      <x:c r="J193" s="8" t="n">
        <x:v>265</x:v>
      </x:c>
      <x:c r="K193" s="10"/>
      <x:c r="L193" s="8" t="n">
        <x:v>0</x:v>
      </x:c>
      <x:c r="M193" s="11" t="n">
        <x:v>48075</x:v>
      </x:c>
      <x:c r="N193" s="10" t="n">
        <x:v>0.525</x:v>
      </x:c>
      <x:c r="O193" s="12" t="n">
        <x:v>99.875</x:v>
      </x:c>
      <x:c r="P193" s="13" t="n">
        <x:v>4</x:v>
      </x:c>
      <x:c r="Q193" s="8" t="str">
        <x:v>USD</x:v>
      </x:c>
      <x:c r="R193" s="8" t="str">
        <x:v>SOFR</x:v>
      </x:c>
      <x:c r="S193" s="18" t="n">
        <x:f>IF(Portfolio_Par&gt;0,D193/Portfolio_Par,"")</x:f>
        <x:v>0.00394</x:v>
      </x:c>
      <x:c r="T193" s="19" t="n">
        <x:f>IF(A193="","",(M193-as_of_date)/365.25)</x:f>
        <x:v>4.618754277891855</x:v>
      </x:c>
      <x:c r="U193" s="20" t="n">
        <x:f>IF(I193="Floating",D193*J193,0)</x:f>
        <x:v>313230000</x:v>
      </x:c>
      <x:c r="V193" s="20" t="n">
        <x:f>IF(A193="","",D193*N193)</x:f>
        <x:v>620550</x:v>
      </x:c>
      <x:c r="W193" s="14" t="n">
        <x:f>IF(A193='Run Snapshot'!A193,0,1)+IF(B193='Run Snapshot'!B193,0,1)+IF(C193='Run Snapshot'!C193,0,1)+IF(D193='Run Snapshot'!D193,0,1)+IF(E193='Run Snapshot'!E193,0,1)+IF(F193='Run Snapshot'!F193,0,1)+IF(G193='Run Snapshot'!G193,0,1)+IF(H193='Run Snapshot'!H193,0,1)+IF(I193='Run Snapshot'!I193,0,1)+IF(J193='Run Snapshot'!J193,0,1)+IF(K193='Run Snapshot'!K193,0,1)+IF(L193='Run Snapshot'!L193,0,1)+IF(M193='Run Snapshot'!M193,0,1)+IF(N193='Run Snapshot'!N193,0,1)+IF(O193='Run Snapshot'!O193,0,1)+IF(P193='Run Snapshot'!P193,0,1)+IF(Q193='Run Snapshot'!Q193,0,1)+IF(R193='Run Snapshot'!R193,0,1)</x:f>
        <x:v>0</x:v>
      </x:c>
      <x:c r="X193" s="15" t="n">
        <x:f>IF(A193="",0,COUNTIF($A$8:$A$289,A193)-1)</x:f>
        <x:v>0</x:v>
      </x:c>
      <x:c r="Y193" s="14" t="n">
        <x:f>IF(A193="",1,IF(OR(D193&lt;=0,N193&lt;0,N193&gt;1,M193&lt;=as_of_date),1,0))</x:f>
        <x:v>0</x:v>
      </x:c>
      <x:c r="Z193" s="170" t="n">
        <x:f>IF(A193="","",VLOOKUP(E193,SP_WARF_Factors,2,FALSE))</x:f>
        <x:v>1982</x:v>
      </x:c>
      <x:c r="AA193" s="172" t="n">
        <x:f>IF(A193="","",D193*Z193)</x:f>
        <x:v>2342724000</x:v>
      </x:c>
      <x:c r="AB193" s="170" t="n">
        <x:f>IF(A193="","",D193*ABS(Z193-SPWARF))</x:f>
        <x:v>469701168.72400004</x:v>
      </x:c>
    </x:row>
    <x:row r="194">
      <x:c r="A194" s="8" t="str">
        <x:v>SYN-LN-00187</x:v>
      </x:c>
      <x:c r="B194" s="8" t="str">
        <x:v>SYN-OB-0180</x:v>
      </x:c>
      <x:c r="C194" s="8" t="str">
        <x:v>Ironwood LLC 180</x:v>
      </x:c>
      <x:c r="D194" s="9" t="n">
        <x:v>1182000</x:v>
      </x:c>
      <x:c r="E194" s="8" t="str">
        <x:v>B</x:v>
      </x:c>
      <x:c r="F194" s="8" t="str">
        <x:v>Building Products</x:v>
      </x:c>
      <x:c r="G194" s="8" t="str">
        <x:v>United States</x:v>
      </x:c>
      <x:c r="H194" s="8" t="str">
        <x:v>1st Lien</x:v>
      </x:c>
      <x:c r="I194" s="8" t="str">
        <x:v>Floating</x:v>
      </x:c>
      <x:c r="J194" s="8" t="n">
        <x:v>395</x:v>
      </x:c>
      <x:c r="K194" s="10"/>
      <x:c r="L194" s="8" t="n">
        <x:v>0</x:v>
      </x:c>
      <x:c r="M194" s="11" t="n">
        <x:v>48136</x:v>
      </x:c>
      <x:c r="N194" s="10" t="n">
        <x:v>0.475</x:v>
      </x:c>
      <x:c r="O194" s="12" t="n">
        <x:v>101.5</x:v>
      </x:c>
      <x:c r="P194" s="13" t="n">
        <x:v>4</x:v>
      </x:c>
      <x:c r="Q194" s="8" t="str">
        <x:v>USD</x:v>
      </x:c>
      <x:c r="R194" s="8" t="str">
        <x:v>SOFR</x:v>
      </x:c>
      <x:c r="S194" s="18" t="n">
        <x:f>IF(Portfolio_Par&gt;0,D194/Portfolio_Par,"")</x:f>
        <x:v>0.00394</x:v>
      </x:c>
      <x:c r="T194" s="19" t="n">
        <x:f>IF(A194="","",(M194-as_of_date)/365.25)</x:f>
        <x:v>4.785763175906913</x:v>
      </x:c>
      <x:c r="U194" s="20" t="n">
        <x:f>IF(I194="Floating",D194*J194,0)</x:f>
        <x:v>466890000</x:v>
      </x:c>
      <x:c r="V194" s="20" t="n">
        <x:f>IF(A194="","",D194*N194)</x:f>
        <x:v>561450</x:v>
      </x:c>
      <x:c r="W194" s="14" t="n">
        <x:f>IF(A194='Run Snapshot'!A194,0,1)+IF(B194='Run Snapshot'!B194,0,1)+IF(C194='Run Snapshot'!C194,0,1)+IF(D194='Run Snapshot'!D194,0,1)+IF(E194='Run Snapshot'!E194,0,1)+IF(F194='Run Snapshot'!F194,0,1)+IF(G194='Run Snapshot'!G194,0,1)+IF(H194='Run Snapshot'!H194,0,1)+IF(I194='Run Snapshot'!I194,0,1)+IF(J194='Run Snapshot'!J194,0,1)+IF(K194='Run Snapshot'!K194,0,1)+IF(L194='Run Snapshot'!L194,0,1)+IF(M194='Run Snapshot'!M194,0,1)+IF(N194='Run Snapshot'!N194,0,1)+IF(O194='Run Snapshot'!O194,0,1)+IF(P194='Run Snapshot'!P194,0,1)+IF(Q194='Run Snapshot'!Q194,0,1)+IF(R194='Run Snapshot'!R194,0,1)</x:f>
        <x:v>0</x:v>
      </x:c>
      <x:c r="X194" s="15" t="n">
        <x:f>IF(A194="",0,COUNTIF($A$8:$A$289,A194)-1)</x:f>
        <x:v>0</x:v>
      </x:c>
      <x:c r="Y194" s="14" t="n">
        <x:f>IF(A194="",1,IF(OR(D194&lt;=0,N194&lt;0,N194&gt;1,M194&lt;=as_of_date),1,0))</x:f>
        <x:v>0</x:v>
      </x:c>
      <x:c r="Z194" s="170" t="n">
        <x:f>IF(A194="","",VLOOKUP(E194,SP_WARF_Factors,2,FALSE))</x:f>
        <x:v>2859.5</x:v>
      </x:c>
      <x:c r="AA194" s="172" t="n">
        <x:f>IF(A194="","",D194*Z194)</x:f>
        <x:v>3379929000</x:v>
      </x:c>
      <x:c r="AB194" s="170" t="n">
        <x:f>IF(A194="","",D194*ABS(Z194-SPWARF))</x:f>
        <x:v>567503831.2759999</x:v>
      </x:c>
    </x:row>
    <x:row r="195">
      <x:c r="A195" s="8" t="str">
        <x:v>SYN-LN-00188</x:v>
      </x:c>
      <x:c r="B195" s="8" t="str">
        <x:v>SYN-OB-0181</x:v>
      </x:c>
      <x:c r="C195" s="8" t="str">
        <x:v>Juniper Holdings 181</x:v>
      </x:c>
      <x:c r="D195" s="9" t="n">
        <x:v>1182000</x:v>
      </x:c>
      <x:c r="E195" s="8" t="str">
        <x:v>BB-</x:v>
      </x:c>
      <x:c r="F195" s="8" t="str">
        <x:v>Hotels, Restaurants &amp; Leisure</x:v>
      </x:c>
      <x:c r="G195" s="8" t="str">
        <x:v>United States</x:v>
      </x:c>
      <x:c r="H195" s="8" t="str">
        <x:v>1st Lien</x:v>
      </x:c>
      <x:c r="I195" s="8" t="str">
        <x:v>Floating</x:v>
      </x:c>
      <x:c r="J195" s="8" t="n">
        <x:v>245</x:v>
      </x:c>
      <x:c r="K195" s="10"/>
      <x:c r="L195" s="8" t="n">
        <x:v>0</x:v>
      </x:c>
      <x:c r="M195" s="11" t="n">
        <x:v>48850</x:v>
      </x:c>
      <x:c r="N195" s="10" t="n">
        <x:v>0.475</x:v>
      </x:c>
      <x:c r="O195" s="12" t="n">
        <x:v>101.5</x:v>
      </x:c>
      <x:c r="P195" s="13" t="n">
        <x:v>4</x:v>
      </x:c>
      <x:c r="Q195" s="8" t="str">
        <x:v>USD</x:v>
      </x:c>
      <x:c r="R195" s="8" t="str">
        <x:v>SOFR</x:v>
      </x:c>
      <x:c r="S195" s="18" t="n">
        <x:f>IF(Portfolio_Par&gt;0,D195/Portfolio_Par,"")</x:f>
        <x:v>0.00394</x:v>
      </x:c>
      <x:c r="T195" s="19" t="n">
        <x:f>IF(A195="","",(M195-as_of_date)/365.25)</x:f>
        <x:v>6.740588637919234</x:v>
      </x:c>
      <x:c r="U195" s="20" t="n">
        <x:f>IF(I195="Floating",D195*J195,0)</x:f>
        <x:v>289590000</x:v>
      </x:c>
      <x:c r="V195" s="20" t="n">
        <x:f>IF(A195="","",D195*N195)</x:f>
        <x:v>561450</x:v>
      </x:c>
      <x:c r="W195" s="14" t="n">
        <x:f>IF(A195='Run Snapshot'!A195,0,1)+IF(B195='Run Snapshot'!B195,0,1)+IF(C195='Run Snapshot'!C195,0,1)+IF(D195='Run Snapshot'!D195,0,1)+IF(E195='Run Snapshot'!E195,0,1)+IF(F195='Run Snapshot'!F195,0,1)+IF(G195='Run Snapshot'!G195,0,1)+IF(H195='Run Snapshot'!H195,0,1)+IF(I195='Run Snapshot'!I195,0,1)+IF(J195='Run Snapshot'!J195,0,1)+IF(K195='Run Snapshot'!K195,0,1)+IF(L195='Run Snapshot'!L195,0,1)+IF(M195='Run Snapshot'!M195,0,1)+IF(N195='Run Snapshot'!N195,0,1)+IF(O195='Run Snapshot'!O195,0,1)+IF(P195='Run Snapshot'!P195,0,1)+IF(Q195='Run Snapshot'!Q195,0,1)+IF(R195='Run Snapshot'!R195,0,1)</x:f>
        <x:v>0</x:v>
      </x:c>
      <x:c r="X195" s="15" t="n">
        <x:f>IF(A195="",0,COUNTIF($A$8:$A$289,A195)-1)</x:f>
        <x:v>0</x:v>
      </x:c>
      <x:c r="Y195" s="14" t="n">
        <x:f>IF(A195="",1,IF(OR(D195&lt;=0,N195&lt;0,N195&gt;1,M195&lt;=as_of_date),1,0))</x:f>
        <x:v>0</x:v>
      </x:c>
      <x:c r="Z195" s="170" t="n">
        <x:f>IF(A195="","",VLOOKUP(E195,SP_WARF_Factors,2,FALSE))</x:f>
        <x:v>1565.44</x:v>
      </x:c>
      <x:c r="AA195" s="172" t="n">
        <x:f>IF(A195="","",D195*Z195)</x:f>
        <x:v>1850350080</x:v>
      </x:c>
      <x:c r="AB195" s="170" t="n">
        <x:f>IF(A195="","",D195*ABS(Z195-SPWARF))</x:f>
        <x:v>962075088.724</x:v>
      </x:c>
    </x:row>
    <x:row r="196">
      <x:c r="A196" s="8" t="str">
        <x:v>SYN-LN-00189</x:v>
      </x:c>
      <x:c r="B196" s="8" t="str">
        <x:v>SYN-OB-0182</x:v>
      </x:c>
      <x:c r="C196" s="8" t="str">
        <x:v>Keystone Inc. 182</x:v>
      </x:c>
      <x:c r="D196" s="9" t="n">
        <x:v>1182000</x:v>
      </x:c>
      <x:c r="E196" s="8" t="str">
        <x:v>B-</x:v>
      </x:c>
      <x:c r="F196" s="8" t="str">
        <x:v>Energy Equipment &amp; Services</x:v>
      </x:c>
      <x:c r="G196" s="8" t="str">
        <x:v>United States</x:v>
      </x:c>
      <x:c r="H196" s="8" t="str">
        <x:v>1st Lien</x:v>
      </x:c>
      <x:c r="I196" s="8" t="str">
        <x:v>Floating</x:v>
      </x:c>
      <x:c r="J196" s="8" t="n">
        <x:v>420</x:v>
      </x:c>
      <x:c r="K196" s="10"/>
      <x:c r="L196" s="8" t="n">
        <x:v>0</x:v>
      </x:c>
      <x:c r="M196" s="11" t="n">
        <x:v>47148</x:v>
      </x:c>
      <x:c r="N196" s="10" t="n">
        <x:v>0.475</x:v>
      </x:c>
      <x:c r="O196" s="12" t="n">
        <x:v>97.5</x:v>
      </x:c>
      <x:c r="P196" s="13" t="n">
        <x:v>4</x:v>
      </x:c>
      <x:c r="Q196" s="8" t="str">
        <x:v>USD</x:v>
      </x:c>
      <x:c r="R196" s="8" t="str">
        <x:v>SOFR</x:v>
      </x:c>
      <x:c r="S196" s="18" t="n">
        <x:f>IF(Portfolio_Par&gt;0,D196/Portfolio_Par,"")</x:f>
        <x:v>0.00394</x:v>
      </x:c>
      <x:c r="T196" s="19" t="n">
        <x:f>IF(A196="","",(M196-as_of_date)/365.25)</x:f>
        <x:v>2.080766598220397</x:v>
      </x:c>
      <x:c r="U196" s="20" t="n">
        <x:f>IF(I196="Floating",D196*J196,0)</x:f>
        <x:v>496440000</x:v>
      </x:c>
      <x:c r="V196" s="20" t="n">
        <x:f>IF(A196="","",D196*N196)</x:f>
        <x:v>561450</x:v>
      </x:c>
      <x:c r="W196" s="14" t="n">
        <x:f>IF(A196='Run Snapshot'!A196,0,1)+IF(B196='Run Snapshot'!B196,0,1)+IF(C196='Run Snapshot'!C196,0,1)+IF(D196='Run Snapshot'!D196,0,1)+IF(E196='Run Snapshot'!E196,0,1)+IF(F196='Run Snapshot'!F196,0,1)+IF(G196='Run Snapshot'!G196,0,1)+IF(H196='Run Snapshot'!H196,0,1)+IF(I196='Run Snapshot'!I196,0,1)+IF(J196='Run Snapshot'!J196,0,1)+IF(K196='Run Snapshot'!K196,0,1)+IF(L196='Run Snapshot'!L196,0,1)+IF(M196='Run Snapshot'!M196,0,1)+IF(N196='Run Snapshot'!N196,0,1)+IF(O196='Run Snapshot'!O196,0,1)+IF(P196='Run Snapshot'!P196,0,1)+IF(Q196='Run Snapshot'!Q196,0,1)+IF(R196='Run Snapshot'!R196,0,1)</x:f>
        <x:v>0</x:v>
      </x:c>
      <x:c r="X196" s="15" t="n">
        <x:f>IF(A196="",0,COUNTIF($A$8:$A$289,A196)-1)</x:f>
        <x:v>0</x:v>
      </x:c>
      <x:c r="Y196" s="14" t="n">
        <x:f>IF(A196="",1,IF(OR(D196&lt;=0,N196&lt;0,N196&gt;1,M196&lt;=as_of_date),1,0))</x:f>
        <x:v>0</x:v>
      </x:c>
      <x:c r="Z196" s="170" t="n">
        <x:f>IF(A196="","",VLOOKUP(E196,SP_WARF_Factors,2,FALSE))</x:f>
        <x:v>3610.11</x:v>
      </x:c>
      <x:c r="AA196" s="172" t="n">
        <x:f>IF(A196="","",D196*Z196)</x:f>
        <x:v>4267150020</x:v>
      </x:c>
      <x:c r="AB196" s="170" t="n">
        <x:f>IF(A196="","",D196*ABS(Z196-SPWARF))</x:f>
        <x:v>1454724851.276</x:v>
      </x:c>
    </x:row>
    <x:row r="197">
      <x:c r="A197" s="8" t="str">
        <x:v>SYN-LN-00190</x:v>
      </x:c>
      <x:c r="B197" s="8" t="str">
        <x:v>SYN-OB-0183</x:v>
      </x:c>
      <x:c r="C197" s="8" t="str">
        <x:v>Lakeview Corp. 183</x:v>
      </x:c>
      <x:c r="D197" s="9" t="n">
        <x:v>1182000</x:v>
      </x:c>
      <x:c r="E197" s="8" t="str">
        <x:v>B</x:v>
      </x:c>
      <x:c r="F197" s="8" t="str">
        <x:v>Chemicals</x:v>
      </x:c>
      <x:c r="G197" s="8" t="str">
        <x:v>United States</x:v>
      </x:c>
      <x:c r="H197" s="8" t="str">
        <x:v>1st Lien</x:v>
      </x:c>
      <x:c r="I197" s="8" t="str">
        <x:v>Floating</x:v>
      </x:c>
      <x:c r="J197" s="8" t="n">
        <x:v>280</x:v>
      </x:c>
      <x:c r="K197" s="10"/>
      <x:c r="L197" s="8" t="n">
        <x:v>0</x:v>
      </x:c>
      <x:c r="M197" s="11" t="n">
        <x:v>48272</x:v>
      </x:c>
      <x:c r="N197" s="10" t="n">
        <x:v>0.25</x:v>
      </x:c>
      <x:c r="O197" s="12" t="n">
        <x:v>94.375</x:v>
      </x:c>
      <x:c r="P197" s="13" t="n">
        <x:v>4</x:v>
      </x:c>
      <x:c r="Q197" s="8" t="str">
        <x:v>USD</x:v>
      </x:c>
      <x:c r="R197" s="8" t="str">
        <x:v>SOFR</x:v>
      </x:c>
      <x:c r="S197" s="18" t="n">
        <x:f>IF(Portfolio_Par&gt;0,D197/Portfolio_Par,"")</x:f>
        <x:v>0.00394</x:v>
      </x:c>
      <x:c r="T197" s="19" t="n">
        <x:f>IF(A197="","",(M197-as_of_date)/365.25)</x:f>
        <x:v>5.158110882956879</x:v>
      </x:c>
      <x:c r="U197" s="20" t="n">
        <x:f>IF(I197="Floating",D197*J197,0)</x:f>
        <x:v>330960000</x:v>
      </x:c>
      <x:c r="V197" s="20" t="n">
        <x:f>IF(A197="","",D197*N197)</x:f>
        <x:v>295500</x:v>
      </x:c>
      <x:c r="W197" s="14" t="n">
        <x:f>IF(A197='Run Snapshot'!A197,0,1)+IF(B197='Run Snapshot'!B197,0,1)+IF(C197='Run Snapshot'!C197,0,1)+IF(D197='Run Snapshot'!D197,0,1)+IF(E197='Run Snapshot'!E197,0,1)+IF(F197='Run Snapshot'!F197,0,1)+IF(G197='Run Snapshot'!G197,0,1)+IF(H197='Run Snapshot'!H197,0,1)+IF(I197='Run Snapshot'!I197,0,1)+IF(J197='Run Snapshot'!J197,0,1)+IF(K197='Run Snapshot'!K197,0,1)+IF(L197='Run Snapshot'!L197,0,1)+IF(M197='Run Snapshot'!M197,0,1)+IF(N197='Run Snapshot'!N197,0,1)+IF(O197='Run Snapshot'!O197,0,1)+IF(P197='Run Snapshot'!P197,0,1)+IF(Q197='Run Snapshot'!Q197,0,1)+IF(R197='Run Snapshot'!R197,0,1)</x:f>
        <x:v>0</x:v>
      </x:c>
      <x:c r="X197" s="15" t="n">
        <x:f>IF(A197="",0,COUNTIF($A$8:$A$289,A197)-1)</x:f>
        <x:v>0</x:v>
      </x:c>
      <x:c r="Y197" s="14" t="n">
        <x:f>IF(A197="",1,IF(OR(D197&lt;=0,N197&lt;0,N197&gt;1,M197&lt;=as_of_date),1,0))</x:f>
        <x:v>0</x:v>
      </x:c>
      <x:c r="Z197" s="170" t="n">
        <x:f>IF(A197="","",VLOOKUP(E197,SP_WARF_Factors,2,FALSE))</x:f>
        <x:v>2859.5</x:v>
      </x:c>
      <x:c r="AA197" s="172" t="n">
        <x:f>IF(A197="","",D197*Z197)</x:f>
        <x:v>3379929000</x:v>
      </x:c>
      <x:c r="AB197" s="170" t="n">
        <x:f>IF(A197="","",D197*ABS(Z197-SPWARF))</x:f>
        <x:v>567503831.2759999</x:v>
      </x:c>
    </x:row>
    <x:row r="198">
      <x:c r="A198" s="8" t="str">
        <x:v>SYN-LN-00191</x:v>
      </x:c>
      <x:c r="B198" s="8" t="str">
        <x:v>SYN-OB-0184</x:v>
      </x:c>
      <x:c r="C198" s="8" t="str">
        <x:v>Larkspur Group 184</x:v>
      </x:c>
      <x:c r="D198" s="9" t="n">
        <x:v>1182000</x:v>
      </x:c>
      <x:c r="E198" s="8" t="str">
        <x:v>B-</x:v>
      </x:c>
      <x:c r="F198" s="8" t="str">
        <x:v>Healthcare Providers &amp; Services</x:v>
      </x:c>
      <x:c r="G198" s="8" t="str">
        <x:v>United States</x:v>
      </x:c>
      <x:c r="H198" s="8" t="str">
        <x:v>1st Lien</x:v>
      </x:c>
      <x:c r="I198" s="8" t="str">
        <x:v>Floating</x:v>
      </x:c>
      <x:c r="J198" s="8" t="n">
        <x:v>330</x:v>
      </x:c>
      <x:c r="K198" s="10"/>
      <x:c r="L198" s="8" t="n">
        <x:v>0</x:v>
      </x:c>
      <x:c r="M198" s="11" t="n">
        <x:v>47450</x:v>
      </x:c>
      <x:c r="N198" s="10" t="n">
        <x:v>0.38</x:v>
      </x:c>
      <x:c r="O198" s="12" t="n">
        <x:v>95.5</x:v>
      </x:c>
      <x:c r="P198" s="13" t="n">
        <x:v>4</x:v>
      </x:c>
      <x:c r="Q198" s="8" t="str">
        <x:v>USD</x:v>
      </x:c>
      <x:c r="R198" s="8" t="str">
        <x:v>SOFR</x:v>
      </x:c>
      <x:c r="S198" s="18" t="n">
        <x:f>IF(Portfolio_Par&gt;0,D198/Portfolio_Par,"")</x:f>
        <x:v>0.00394</x:v>
      </x:c>
      <x:c r="T198" s="19" t="n">
        <x:f>IF(A198="","",(M198-as_of_date)/365.25)</x:f>
        <x:v>2.9075975359342916</x:v>
      </x:c>
      <x:c r="U198" s="20" t="n">
        <x:f>IF(I198="Floating",D198*J198,0)</x:f>
        <x:v>390060000</x:v>
      </x:c>
      <x:c r="V198" s="20" t="n">
        <x:f>IF(A198="","",D198*N198)</x:f>
        <x:v>449160</x:v>
      </x:c>
      <x:c r="W198" s="14" t="n">
        <x:f>IF(A198='Run Snapshot'!A198,0,1)+IF(B198='Run Snapshot'!B198,0,1)+IF(C198='Run Snapshot'!C198,0,1)+IF(D198='Run Snapshot'!D198,0,1)+IF(E198='Run Snapshot'!E198,0,1)+IF(F198='Run Snapshot'!F198,0,1)+IF(G198='Run Snapshot'!G198,0,1)+IF(H198='Run Snapshot'!H198,0,1)+IF(I198='Run Snapshot'!I198,0,1)+IF(J198='Run Snapshot'!J198,0,1)+IF(K198='Run Snapshot'!K198,0,1)+IF(L198='Run Snapshot'!L198,0,1)+IF(M198='Run Snapshot'!M198,0,1)+IF(N198='Run Snapshot'!N198,0,1)+IF(O198='Run Snapshot'!O198,0,1)+IF(P198='Run Snapshot'!P198,0,1)+IF(Q198='Run Snapshot'!Q198,0,1)+IF(R198='Run Snapshot'!R198,0,1)</x:f>
        <x:v>0</x:v>
      </x:c>
      <x:c r="X198" s="15" t="n">
        <x:f>IF(A198="",0,COUNTIF($A$8:$A$289,A198)-1)</x:f>
        <x:v>0</x:v>
      </x:c>
      <x:c r="Y198" s="14" t="n">
        <x:f>IF(A198="",1,IF(OR(D198&lt;=0,N198&lt;0,N198&gt;1,M198&lt;=as_of_date),1,0))</x:f>
        <x:v>0</x:v>
      </x:c>
      <x:c r="Z198" s="170" t="n">
        <x:f>IF(A198="","",VLOOKUP(E198,SP_WARF_Factors,2,FALSE))</x:f>
        <x:v>3610.11</x:v>
      </x:c>
      <x:c r="AA198" s="172" t="n">
        <x:f>IF(A198="","",D198*Z198)</x:f>
        <x:v>4267150020</x:v>
      </x:c>
      <x:c r="AB198" s="170" t="n">
        <x:f>IF(A198="","",D198*ABS(Z198-SPWARF))</x:f>
        <x:v>1454724851.276</x:v>
      </x:c>
    </x:row>
    <x:row r="199">
      <x:c r="A199" s="8" t="str">
        <x:v>SYN-LN-00192</x:v>
      </x:c>
      <x:c r="B199" s="8" t="str">
        <x:v>SYN-OB-0185</x:v>
      </x:c>
      <x:c r="C199" s="8" t="str">
        <x:v>Maple LLC 185</x:v>
      </x:c>
      <x:c r="D199" s="9" t="n">
        <x:v>630000</x:v>
      </x:c>
      <x:c r="E199" s="8" t="str">
        <x:v>BB+</x:v>
      </x:c>
      <x:c r="F199" s="8" t="str">
        <x:v>Consumer Finance</x:v>
      </x:c>
      <x:c r="G199" s="8" t="str">
        <x:v>United Kingdom</x:v>
      </x:c>
      <x:c r="H199" s="8" t="str">
        <x:v>1st Lien</x:v>
      </x:c>
      <x:c r="I199" s="8" t="str">
        <x:v>Floating</x:v>
      </x:c>
      <x:c r="J199" s="8" t="n">
        <x:v>215</x:v>
      </x:c>
      <x:c r="K199" s="10"/>
      <x:c r="L199" s="8" t="n">
        <x:v>0</x:v>
      </x:c>
      <x:c r="M199" s="11" t="n">
        <x:v>47953</x:v>
      </x:c>
      <x:c r="N199" s="10" t="n">
        <x:v>0.45</x:v>
      </x:c>
      <x:c r="O199" s="12" t="n">
        <x:v>100.25</x:v>
      </x:c>
      <x:c r="P199" s="13" t="n">
        <x:v>4</x:v>
      </x:c>
      <x:c r="Q199" s="8" t="str">
        <x:v>USD</x:v>
      </x:c>
      <x:c r="R199" s="8" t="str">
        <x:v>SOFR</x:v>
      </x:c>
      <x:c r="S199" s="18" t="n">
        <x:f>IF(Portfolio_Par&gt;0,D199/Portfolio_Par,"")</x:f>
        <x:v>0.0021</x:v>
      </x:c>
      <x:c r="T199" s="19" t="n">
        <x:f>IF(A199="","",(M199-as_of_date)/365.25)</x:f>
        <x:v>4.284736481861739</x:v>
      </x:c>
      <x:c r="U199" s="20" t="n">
        <x:f>IF(I199="Floating",D199*J199,0)</x:f>
        <x:v>135450000</x:v>
      </x:c>
      <x:c r="V199" s="20" t="n">
        <x:f>IF(A199="","",D199*N199)</x:f>
        <x:v>283500</x:v>
      </x:c>
      <x:c r="W199" s="14" t="n">
        <x:f>IF(A199='Run Snapshot'!A199,0,1)+IF(B199='Run Snapshot'!B199,0,1)+IF(C199='Run Snapshot'!C199,0,1)+IF(D199='Run Snapshot'!D199,0,1)+IF(E199='Run Snapshot'!E199,0,1)+IF(F199='Run Snapshot'!F199,0,1)+IF(G199='Run Snapshot'!G199,0,1)+IF(H199='Run Snapshot'!H199,0,1)+IF(I199='Run Snapshot'!I199,0,1)+IF(J199='Run Snapshot'!J199,0,1)+IF(K199='Run Snapshot'!K199,0,1)+IF(L199='Run Snapshot'!L199,0,1)+IF(M199='Run Snapshot'!M199,0,1)+IF(N199='Run Snapshot'!N199,0,1)+IF(O199='Run Snapshot'!O199,0,1)+IF(P199='Run Snapshot'!P199,0,1)+IF(Q199='Run Snapshot'!Q199,0,1)+IF(R199='Run Snapshot'!R199,0,1)</x:f>
        <x:v>0</x:v>
      </x:c>
      <x:c r="X199" s="15" t="n">
        <x:f>IF(A199="",0,COUNTIF($A$8:$A$289,A199)-1)</x:f>
        <x:v>0</x:v>
      </x:c>
      <x:c r="Y199" s="14" t="n">
        <x:f>IF(A199="",1,IF(OR(D199&lt;=0,N199&lt;0,N199&gt;1,M199&lt;=as_of_date),1,0))</x:f>
        <x:v>0</x:v>
      </x:c>
      <x:c r="Z199" s="170" t="n">
        <x:f>IF(A199="","",VLOOKUP(E199,SP_WARF_Factors,2,FALSE))</x:f>
        <x:v>784.92</x:v>
      </x:c>
      <x:c r="AA199" s="172" t="n">
        <x:f>IF(A199="","",D199*Z199)</x:f>
        <x:v>494499600</x:v>
      </x:c>
      <x:c r="AB199" s="170" t="n">
        <x:f>IF(A199="","",D199*ABS(Z199-SPWARF))</x:f>
        <x:v>1004508738.66</x:v>
      </x:c>
    </x:row>
    <x:row r="200">
      <x:c r="A200" s="8" t="str">
        <x:v>SYN-LN-00193</x:v>
      </x:c>
      <x:c r="B200" s="8" t="str">
        <x:v>SYN-OB-0186</x:v>
      </x:c>
      <x:c r="C200" s="8" t="str">
        <x:v>Meridian Holdings 186</x:v>
      </x:c>
      <x:c r="D200" s="9" t="n">
        <x:v>1193000</x:v>
      </x:c>
      <x:c r="E200" s="8" t="str">
        <x:v>B</x:v>
      </x:c>
      <x:c r="F200" s="8" t="str">
        <x:v>Healthcare Providers &amp; Services</x:v>
      </x:c>
      <x:c r="G200" s="8" t="str">
        <x:v>United States</x:v>
      </x:c>
      <x:c r="H200" s="8" t="str">
        <x:v>1st Lien</x:v>
      </x:c>
      <x:c r="I200" s="8" t="str">
        <x:v>Floating</x:v>
      </x:c>
      <x:c r="J200" s="8" t="n">
        <x:v>300</x:v>
      </x:c>
      <x:c r="K200" s="10"/>
      <x:c r="L200" s="8" t="n">
        <x:v>0</x:v>
      </x:c>
      <x:c r="M200" s="11" t="n">
        <x:v>48666</x:v>
      </x:c>
      <x:c r="N200" s="10" t="n">
        <x:v>0.34</x:v>
      </x:c>
      <x:c r="O200" s="12" t="n">
        <x:v>97.25</x:v>
      </x:c>
      <x:c r="P200" s="13" t="n">
        <x:v>4</x:v>
      </x:c>
      <x:c r="Q200" s="8" t="str">
        <x:v>USD</x:v>
      </x:c>
      <x:c r="R200" s="8" t="str">
        <x:v>SOFR</x:v>
      </x:c>
      <x:c r="S200" s="18" t="n">
        <x:f>IF(Portfolio_Par&gt;0,D200/Portfolio_Par,"")</x:f>
        <x:v>0.0039766666666666665</x:v>
      </x:c>
      <x:c r="T200" s="19" t="n">
        <x:f>IF(A200="","",(M200-as_of_date)/365.25)</x:f>
        <x:v>6.236824093086927</x:v>
      </x:c>
      <x:c r="U200" s="20" t="n">
        <x:f>IF(I200="Floating",D200*J200,0)</x:f>
        <x:v>357900000</x:v>
      </x:c>
      <x:c r="V200" s="20" t="n">
        <x:f>IF(A200="","",D200*N200)</x:f>
        <x:v>405620.00000000006</x:v>
      </x:c>
      <x:c r="W200" s="14" t="n">
        <x:f>IF(A200='Run Snapshot'!A200,0,1)+IF(B200='Run Snapshot'!B200,0,1)+IF(C200='Run Snapshot'!C200,0,1)+IF(D200='Run Snapshot'!D200,0,1)+IF(E200='Run Snapshot'!E200,0,1)+IF(F200='Run Snapshot'!F200,0,1)+IF(G200='Run Snapshot'!G200,0,1)+IF(H200='Run Snapshot'!H200,0,1)+IF(I200='Run Snapshot'!I200,0,1)+IF(J200='Run Snapshot'!J200,0,1)+IF(K200='Run Snapshot'!K200,0,1)+IF(L200='Run Snapshot'!L200,0,1)+IF(M200='Run Snapshot'!M200,0,1)+IF(N200='Run Snapshot'!N200,0,1)+IF(O200='Run Snapshot'!O200,0,1)+IF(P200='Run Snapshot'!P200,0,1)+IF(Q200='Run Snapshot'!Q200,0,1)+IF(R200='Run Snapshot'!R200,0,1)</x:f>
        <x:v>0</x:v>
      </x:c>
      <x:c r="X200" s="15" t="n">
        <x:f>IF(A200="",0,COUNTIF($A$8:$A$289,A200)-1)</x:f>
        <x:v>0</x:v>
      </x:c>
      <x:c r="Y200" s="14" t="n">
        <x:f>IF(A200="",1,IF(OR(D200&lt;=0,N200&lt;0,N200&gt;1,M200&lt;=as_of_date),1,0))</x:f>
        <x:v>0</x:v>
      </x:c>
      <x:c r="Z200" s="170" t="n">
        <x:f>IF(A200="","",VLOOKUP(E200,SP_WARF_Factors,2,FALSE))</x:f>
        <x:v>2859.5</x:v>
      </x:c>
      <x:c r="AA200" s="172" t="n">
        <x:f>IF(A200="","",D200*Z200)</x:f>
        <x:v>3411383500</x:v>
      </x:c>
      <x:c r="AB200" s="170" t="n">
        <x:f>IF(A200="","",D200*ABS(Z200-SPWARF))</x:f>
        <x:v>572785169.8073332</x:v>
      </x:c>
    </x:row>
    <x:row r="201">
      <x:c r="A201" s="8" t="str">
        <x:v>SYN-LN-00194</x:v>
      </x:c>
      <x:c r="B201" s="8" t="str">
        <x:v>SYN-OB-0187</x:v>
      </x:c>
      <x:c r="C201" s="8" t="str">
        <x:v>Northfield Inc. 187</x:v>
      </x:c>
      <x:c r="D201" s="9" t="n">
        <x:v>1182000</x:v>
      </x:c>
      <x:c r="E201" s="8" t="str">
        <x:v>B</x:v>
      </x:c>
      <x:c r="F201" s="8" t="str">
        <x:v>Healthcare Providers &amp; Services</x:v>
      </x:c>
      <x:c r="G201" s="8" t="str">
        <x:v>United States</x:v>
      </x:c>
      <x:c r="H201" s="8" t="str">
        <x:v>1st Lien</x:v>
      </x:c>
      <x:c r="I201" s="8" t="str">
        <x:v>Floating</x:v>
      </x:c>
      <x:c r="J201" s="8" t="n">
        <x:v>315</x:v>
      </x:c>
      <x:c r="K201" s="10"/>
      <x:c r="L201" s="8" t="n">
        <x:v>0</x:v>
      </x:c>
      <x:c r="M201" s="11" t="n">
        <x:v>48517</x:v>
      </x:c>
      <x:c r="N201" s="10" t="n">
        <x:v>0.385</x:v>
      </x:c>
      <x:c r="O201" s="12" t="n">
        <x:v>100.25</x:v>
      </x:c>
      <x:c r="P201" s="13" t="n">
        <x:v>4</x:v>
      </x:c>
      <x:c r="Q201" s="8" t="str">
        <x:v>USD</x:v>
      </x:c>
      <x:c r="R201" s="8" t="str">
        <x:v>SOFR</x:v>
      </x:c>
      <x:c r="S201" s="18" t="n">
        <x:f>IF(Portfolio_Par&gt;0,D201/Portfolio_Par,"")</x:f>
        <x:v>0.00394</x:v>
      </x:c>
      <x:c r="T201" s="19" t="n">
        <x:f>IF(A201="","",(M201-as_of_date)/365.25)</x:f>
        <x:v>5.8288843258042435</x:v>
      </x:c>
      <x:c r="U201" s="20" t="n">
        <x:f>IF(I201="Floating",D201*J201,0)</x:f>
        <x:v>372330000</x:v>
      </x:c>
      <x:c r="V201" s="20" t="n">
        <x:f>IF(A201="","",D201*N201)</x:f>
        <x:v>455070</x:v>
      </x:c>
      <x:c r="W201" s="14" t="n">
        <x:f>IF(A201='Run Snapshot'!A201,0,1)+IF(B201='Run Snapshot'!B201,0,1)+IF(C201='Run Snapshot'!C201,0,1)+IF(D201='Run Snapshot'!D201,0,1)+IF(E201='Run Snapshot'!E201,0,1)+IF(F201='Run Snapshot'!F201,0,1)+IF(G201='Run Snapshot'!G201,0,1)+IF(H201='Run Snapshot'!H201,0,1)+IF(I201='Run Snapshot'!I201,0,1)+IF(J201='Run Snapshot'!J201,0,1)+IF(K201='Run Snapshot'!K201,0,1)+IF(L201='Run Snapshot'!L201,0,1)+IF(M201='Run Snapshot'!M201,0,1)+IF(N201='Run Snapshot'!N201,0,1)+IF(O201='Run Snapshot'!O201,0,1)+IF(P201='Run Snapshot'!P201,0,1)+IF(Q201='Run Snapshot'!Q201,0,1)+IF(R201='Run Snapshot'!R201,0,1)</x:f>
        <x:v>0</x:v>
      </x:c>
      <x:c r="X201" s="15" t="n">
        <x:f>IF(A201="",0,COUNTIF($A$8:$A$289,A201)-1)</x:f>
        <x:v>0</x:v>
      </x:c>
      <x:c r="Y201" s="14" t="n">
        <x:f>IF(A201="",1,IF(OR(D201&lt;=0,N201&lt;0,N201&gt;1,M201&lt;=as_of_date),1,0))</x:f>
        <x:v>0</x:v>
      </x:c>
      <x:c r="Z201" s="170" t="n">
        <x:f>IF(A201="","",VLOOKUP(E201,SP_WARF_Factors,2,FALSE))</x:f>
        <x:v>2859.5</x:v>
      </x:c>
      <x:c r="AA201" s="172" t="n">
        <x:f>IF(A201="","",D201*Z201)</x:f>
        <x:v>3379929000</x:v>
      </x:c>
      <x:c r="AB201" s="170" t="n">
        <x:f>IF(A201="","",D201*ABS(Z201-SPWARF))</x:f>
        <x:v>567503831.2759999</x:v>
      </x:c>
    </x:row>
    <x:row r="202">
      <x:c r="A202" s="8" t="str">
        <x:v>SYN-LN-00195</x:v>
      </x:c>
      <x:c r="B202" s="8" t="str">
        <x:v>SYN-OB-0188</x:v>
      </x:c>
      <x:c r="C202" s="8" t="str">
        <x:v>Oakmont Corp. 188</x:v>
      </x:c>
      <x:c r="D202" s="9" t="n">
        <x:v>1182000</x:v>
      </x:c>
      <x:c r="E202" s="8" t="str">
        <x:v>B</x:v>
      </x:c>
      <x:c r="F202" s="8" t="str">
        <x:v>Capital Markets</x:v>
      </x:c>
      <x:c r="G202" s="8" t="str">
        <x:v>United States</x:v>
      </x:c>
      <x:c r="H202" s="8" t="str">
        <x:v>1st Lien</x:v>
      </x:c>
      <x:c r="I202" s="8" t="str">
        <x:v>Floating</x:v>
      </x:c>
      <x:c r="J202" s="8" t="n">
        <x:v>365</x:v>
      </x:c>
      <x:c r="K202" s="10"/>
      <x:c r="L202" s="8" t="n">
        <x:v>0</x:v>
      </x:c>
      <x:c r="M202" s="11" t="n">
        <x:v>49003</x:v>
      </x:c>
      <x:c r="N202" s="10" t="n">
        <x:v>0.395</x:v>
      </x:c>
      <x:c r="O202" s="12" t="n">
        <x:v>98.25</x:v>
      </x:c>
      <x:c r="P202" s="13" t="n">
        <x:v>4</x:v>
      </x:c>
      <x:c r="Q202" s="8" t="str">
        <x:v>USD</x:v>
      </x:c>
      <x:c r="R202" s="8" t="str">
        <x:v>SOFR</x:v>
      </x:c>
      <x:c r="S202" s="18" t="n">
        <x:f>IF(Portfolio_Par&gt;0,D202/Portfolio_Par,"")</x:f>
        <x:v>0.00394</x:v>
      </x:c>
      <x:c r="T202" s="19" t="n">
        <x:f>IF(A202="","",(M202-as_of_date)/365.25)</x:f>
        <x:v>7.1594798083504445</x:v>
      </x:c>
      <x:c r="U202" s="20" t="n">
        <x:f>IF(I202="Floating",D202*J202,0)</x:f>
        <x:v>431430000</x:v>
      </x:c>
      <x:c r="V202" s="20" t="n">
        <x:f>IF(A202="","",D202*N202)</x:f>
        <x:v>466890</x:v>
      </x:c>
      <x:c r="W202" s="14" t="n">
        <x:f>IF(A202='Run Snapshot'!A202,0,1)+IF(B202='Run Snapshot'!B202,0,1)+IF(C202='Run Snapshot'!C202,0,1)+IF(D202='Run Snapshot'!D202,0,1)+IF(E202='Run Snapshot'!E202,0,1)+IF(F202='Run Snapshot'!F202,0,1)+IF(G202='Run Snapshot'!G202,0,1)+IF(H202='Run Snapshot'!H202,0,1)+IF(I202='Run Snapshot'!I202,0,1)+IF(J202='Run Snapshot'!J202,0,1)+IF(K202='Run Snapshot'!K202,0,1)+IF(L202='Run Snapshot'!L202,0,1)+IF(M202='Run Snapshot'!M202,0,1)+IF(N202='Run Snapshot'!N202,0,1)+IF(O202='Run Snapshot'!O202,0,1)+IF(P202='Run Snapshot'!P202,0,1)+IF(Q202='Run Snapshot'!Q202,0,1)+IF(R202='Run Snapshot'!R202,0,1)</x:f>
        <x:v>0</x:v>
      </x:c>
      <x:c r="X202" s="15" t="n">
        <x:f>IF(A202="",0,COUNTIF($A$8:$A$289,A202)-1)</x:f>
        <x:v>0</x:v>
      </x:c>
      <x:c r="Y202" s="14" t="n">
        <x:f>IF(A202="",1,IF(OR(D202&lt;=0,N202&lt;0,N202&gt;1,M202&lt;=as_of_date),1,0))</x:f>
        <x:v>0</x:v>
      </x:c>
      <x:c r="Z202" s="170" t="n">
        <x:f>IF(A202="","",VLOOKUP(E202,SP_WARF_Factors,2,FALSE))</x:f>
        <x:v>2859.5</x:v>
      </x:c>
      <x:c r="AA202" s="172" t="n">
        <x:f>IF(A202="","",D202*Z202)</x:f>
        <x:v>3379929000</x:v>
      </x:c>
      <x:c r="AB202" s="170" t="n">
        <x:f>IF(A202="","",D202*ABS(Z202-SPWARF))</x:f>
        <x:v>567503831.2759999</x:v>
      </x:c>
    </x:row>
    <x:row r="203">
      <x:c r="A203" s="8" t="str">
        <x:v>SYN-LN-00196</x:v>
      </x:c>
      <x:c r="B203" s="8" t="str">
        <x:v>SYN-OB-0189</x:v>
      </x:c>
      <x:c r="C203" s="8" t="str">
        <x:v>Orchard Group 189</x:v>
      </x:c>
      <x:c r="D203" s="9" t="n">
        <x:v>660000</x:v>
      </x:c>
      <x:c r="E203" s="8" t="str">
        <x:v>B+</x:v>
      </x:c>
      <x:c r="F203" s="8" t="str">
        <x:v>Media</x:v>
      </x:c>
      <x:c r="G203" s="8" t="str">
        <x:v>United States</x:v>
      </x:c>
      <x:c r="H203" s="8" t="str">
        <x:v>1st Lien</x:v>
      </x:c>
      <x:c r="I203" s="8" t="str">
        <x:v>Floating</x:v>
      </x:c>
      <x:c r="J203" s="8" t="n">
        <x:v>435</x:v>
      </x:c>
      <x:c r="K203" s="10"/>
      <x:c r="L203" s="8" t="n">
        <x:v>50</x:v>
      </x:c>
      <x:c r="M203" s="11" t="n">
        <x:v>49232</x:v>
      </x:c>
      <x:c r="N203" s="10" t="n">
        <x:v>0.515</x:v>
      </x:c>
      <x:c r="O203" s="12" t="n">
        <x:v>100.25</x:v>
      </x:c>
      <x:c r="P203" s="13" t="n">
        <x:v>4</x:v>
      </x:c>
      <x:c r="Q203" s="8" t="str">
        <x:v>USD</x:v>
      </x:c>
      <x:c r="R203" s="8" t="str">
        <x:v>SOFR</x:v>
      </x:c>
      <x:c r="S203" s="18" t="n">
        <x:f>IF(Portfolio_Par&gt;0,D203/Portfolio_Par,"")</x:f>
        <x:v>0.0022</x:v>
      </x:c>
      <x:c r="T203" s="19" t="n">
        <x:f>IF(A203="","",(M203-as_of_date)/365.25)</x:f>
        <x:v>7.786447638603696</x:v>
      </x:c>
      <x:c r="U203" s="20" t="n">
        <x:f>IF(I203="Floating",D203*J203,0)</x:f>
        <x:v>287100000</x:v>
      </x:c>
      <x:c r="V203" s="20" t="n">
        <x:f>IF(A203="","",D203*N203)</x:f>
        <x:v>339900</x:v>
      </x:c>
      <x:c r="W203" s="14" t="n">
        <x:f>IF(A203='Run Snapshot'!A203,0,1)+IF(B203='Run Snapshot'!B203,0,1)+IF(C203='Run Snapshot'!C203,0,1)+IF(D203='Run Snapshot'!D203,0,1)+IF(E203='Run Snapshot'!E203,0,1)+IF(F203='Run Snapshot'!F203,0,1)+IF(G203='Run Snapshot'!G203,0,1)+IF(H203='Run Snapshot'!H203,0,1)+IF(I203='Run Snapshot'!I203,0,1)+IF(J203='Run Snapshot'!J203,0,1)+IF(K203='Run Snapshot'!K203,0,1)+IF(L203='Run Snapshot'!L203,0,1)+IF(M203='Run Snapshot'!M203,0,1)+IF(N203='Run Snapshot'!N203,0,1)+IF(O203='Run Snapshot'!O203,0,1)+IF(P203='Run Snapshot'!P203,0,1)+IF(Q203='Run Snapshot'!Q203,0,1)+IF(R203='Run Snapshot'!R203,0,1)</x:f>
        <x:v>0</x:v>
      </x:c>
      <x:c r="X203" s="15" t="n">
        <x:f>IF(A203="",0,COUNTIF($A$8:$A$289,A203)-1)</x:f>
        <x:v>0</x:v>
      </x:c>
      <x:c r="Y203" s="14" t="n">
        <x:f>IF(A203="",1,IF(OR(D203&lt;=0,N203&lt;0,N203&gt;1,M203&lt;=as_of_date),1,0))</x:f>
        <x:v>0</x:v>
      </x:c>
      <x:c r="Z203" s="170" t="n">
        <x:f>IF(A203="","",VLOOKUP(E203,SP_WARF_Factors,2,FALSE))</x:f>
        <x:v>1982</x:v>
      </x:c>
      <x:c r="AA203" s="172" t="n">
        <x:f>IF(A203="","",D203*Z203)</x:f>
        <x:v>1308120000</x:v>
      </x:c>
      <x:c r="AB203" s="170" t="n">
        <x:f>IF(A203="","",D203*ABS(Z203-SPWARF))</x:f>
        <x:v>262269688.12000003</x:v>
      </x:c>
    </x:row>
    <x:row r="204">
      <x:c r="A204" s="8" t="str">
        <x:v>SYN-LN-00197</x:v>
      </x:c>
      <x:c r="B204" s="8" t="str">
        <x:v>SYN-OB-0189</x:v>
      </x:c>
      <x:c r="C204" s="8" t="str">
        <x:v>Orchard Group 189</x:v>
      </x:c>
      <x:c r="D204" s="9" t="n">
        <x:v>522000</x:v>
      </x:c>
      <x:c r="E204" s="8" t="str">
        <x:v>B+</x:v>
      </x:c>
      <x:c r="F204" s="8" t="str">
        <x:v>Media</x:v>
      </x:c>
      <x:c r="G204" s="8" t="str">
        <x:v>United States</x:v>
      </x:c>
      <x:c r="H204" s="8" t="str">
        <x:v>1st Lien</x:v>
      </x:c>
      <x:c r="I204" s="8" t="str">
        <x:v>Floating</x:v>
      </x:c>
      <x:c r="J204" s="8" t="n">
        <x:v>445</x:v>
      </x:c>
      <x:c r="K204" s="10"/>
      <x:c r="L204" s="8" t="n">
        <x:v>50</x:v>
      </x:c>
      <x:c r="M204" s="11" t="n">
        <x:v>49293</x:v>
      </x:c>
      <x:c r="N204" s="10" t="n">
        <x:v>0.515</x:v>
      </x:c>
      <x:c r="O204" s="12" t="n">
        <x:v>100.375</x:v>
      </x:c>
      <x:c r="P204" s="13" t="n">
        <x:v>4</x:v>
      </x:c>
      <x:c r="Q204" s="8" t="str">
        <x:v>USD</x:v>
      </x:c>
      <x:c r="R204" s="8" t="str">
        <x:v>SOFR</x:v>
      </x:c>
      <x:c r="S204" s="18" t="n">
        <x:f>IF(Portfolio_Par&gt;0,D204/Portfolio_Par,"")</x:f>
        <x:v>0.00174</x:v>
      </x:c>
      <x:c r="T204" s="19" t="n">
        <x:f>IF(A204="","",(M204-as_of_date)/365.25)</x:f>
        <x:v>7.953456536618754</x:v>
      </x:c>
      <x:c r="U204" s="20" t="n">
        <x:f>IF(I204="Floating",D204*J204,0)</x:f>
        <x:v>232290000</x:v>
      </x:c>
      <x:c r="V204" s="20" t="n">
        <x:f>IF(A204="","",D204*N204)</x:f>
        <x:v>268830</x:v>
      </x:c>
      <x:c r="W204" s="14" t="n">
        <x:f>IF(A204='Run Snapshot'!A204,0,1)+IF(B204='Run Snapshot'!B204,0,1)+IF(C204='Run Snapshot'!C204,0,1)+IF(D204='Run Snapshot'!D204,0,1)+IF(E204='Run Snapshot'!E204,0,1)+IF(F204='Run Snapshot'!F204,0,1)+IF(G204='Run Snapshot'!G204,0,1)+IF(H204='Run Snapshot'!H204,0,1)+IF(I204='Run Snapshot'!I204,0,1)+IF(J204='Run Snapshot'!J204,0,1)+IF(K204='Run Snapshot'!K204,0,1)+IF(L204='Run Snapshot'!L204,0,1)+IF(M204='Run Snapshot'!M204,0,1)+IF(N204='Run Snapshot'!N204,0,1)+IF(O204='Run Snapshot'!O204,0,1)+IF(P204='Run Snapshot'!P204,0,1)+IF(Q204='Run Snapshot'!Q204,0,1)+IF(R204='Run Snapshot'!R204,0,1)</x:f>
        <x:v>0</x:v>
      </x:c>
      <x:c r="X204" s="15" t="n">
        <x:f>IF(A204="",0,COUNTIF($A$8:$A$289,A204)-1)</x:f>
        <x:v>0</x:v>
      </x:c>
      <x:c r="Y204" s="14" t="n">
        <x:f>IF(A204="",1,IF(OR(D204&lt;=0,N204&lt;0,N204&gt;1,M204&lt;=as_of_date),1,0))</x:f>
        <x:v>0</x:v>
      </x:c>
      <x:c r="Z204" s="170" t="n">
        <x:f>IF(A204="","",VLOOKUP(E204,SP_WARF_Factors,2,FALSE))</x:f>
        <x:v>1982</x:v>
      </x:c>
      <x:c r="AA204" s="172" t="n">
        <x:f>IF(A204="","",D204*Z204)</x:f>
        <x:v>1034604000</x:v>
      </x:c>
      <x:c r="AB204" s="170" t="n">
        <x:f>IF(A204="","",D204*ABS(Z204-SPWARF))</x:f>
        <x:v>207431480.60400003</x:v>
      </x:c>
    </x:row>
    <x:row r="205">
      <x:c r="A205" s="8" t="str">
        <x:v>SYN-LN-00198</x:v>
      </x:c>
      <x:c r="B205" s="8" t="str">
        <x:v>SYN-OB-0190</x:v>
      </x:c>
      <x:c r="C205" s="8" t="str">
        <x:v>Pinecrest LLC 190</x:v>
      </x:c>
      <x:c r="D205" s="9" t="n">
        <x:v>1182000</x:v>
      </x:c>
      <x:c r="E205" s="8" t="str">
        <x:v>BB-</x:v>
      </x:c>
      <x:c r="F205" s="8" t="str">
        <x:v>Industrial Conglomerates</x:v>
      </x:c>
      <x:c r="G205" s="8" t="str">
        <x:v>United States</x:v>
      </x:c>
      <x:c r="H205" s="8" t="str">
        <x:v>1st Lien</x:v>
      </x:c>
      <x:c r="I205" s="8" t="str">
        <x:v>Floating</x:v>
      </x:c>
      <x:c r="J205" s="8" t="n">
        <x:v>250</x:v>
      </x:c>
      <x:c r="K205" s="10"/>
      <x:c r="L205" s="8" t="n">
        <x:v>0</x:v>
      </x:c>
      <x:c r="M205" s="11" t="n">
        <x:v>48210</x:v>
      </x:c>
      <x:c r="N205" s="10" t="n">
        <x:v>0.505</x:v>
      </x:c>
      <x:c r="O205" s="12" t="n">
        <x:v>101.5</x:v>
      </x:c>
      <x:c r="P205" s="13" t="n">
        <x:v>4</x:v>
      </x:c>
      <x:c r="Q205" s="8" t="str">
        <x:v>USD</x:v>
      </x:c>
      <x:c r="R205" s="8" t="str">
        <x:v>SOFR</x:v>
      </x:c>
      <x:c r="S205" s="18" t="n">
        <x:f>IF(Portfolio_Par&gt;0,D205/Portfolio_Par,"")</x:f>
        <x:v>0.00394</x:v>
      </x:c>
      <x:c r="T205" s="19" t="n">
        <x:f>IF(A205="","",(M205-as_of_date)/365.25)</x:f>
        <x:v>4.988364134154689</x:v>
      </x:c>
      <x:c r="U205" s="20" t="n">
        <x:f>IF(I205="Floating",D205*J205,0)</x:f>
        <x:v>295500000</x:v>
      </x:c>
      <x:c r="V205" s="20" t="n">
        <x:f>IF(A205="","",D205*N205)</x:f>
        <x:v>596910</x:v>
      </x:c>
      <x:c r="W205" s="14" t="n">
        <x:f>IF(A205='Run Snapshot'!A205,0,1)+IF(B205='Run Snapshot'!B205,0,1)+IF(C205='Run Snapshot'!C205,0,1)+IF(D205='Run Snapshot'!D205,0,1)+IF(E205='Run Snapshot'!E205,0,1)+IF(F205='Run Snapshot'!F205,0,1)+IF(G205='Run Snapshot'!G205,0,1)+IF(H205='Run Snapshot'!H205,0,1)+IF(I205='Run Snapshot'!I205,0,1)+IF(J205='Run Snapshot'!J205,0,1)+IF(K205='Run Snapshot'!K205,0,1)+IF(L205='Run Snapshot'!L205,0,1)+IF(M205='Run Snapshot'!M205,0,1)+IF(N205='Run Snapshot'!N205,0,1)+IF(O205='Run Snapshot'!O205,0,1)+IF(P205='Run Snapshot'!P205,0,1)+IF(Q205='Run Snapshot'!Q205,0,1)+IF(R205='Run Snapshot'!R205,0,1)</x:f>
        <x:v>0</x:v>
      </x:c>
      <x:c r="X205" s="15" t="n">
        <x:f>IF(A205="",0,COUNTIF($A$8:$A$289,A205)-1)</x:f>
        <x:v>0</x:v>
      </x:c>
      <x:c r="Y205" s="14" t="n">
        <x:f>IF(A205="",1,IF(OR(D205&lt;=0,N205&lt;0,N205&gt;1,M205&lt;=as_of_date),1,0))</x:f>
        <x:v>0</x:v>
      </x:c>
      <x:c r="Z205" s="170" t="n">
        <x:f>IF(A205="","",VLOOKUP(E205,SP_WARF_Factors,2,FALSE))</x:f>
        <x:v>1565.44</x:v>
      </x:c>
      <x:c r="AA205" s="172" t="n">
        <x:f>IF(A205="","",D205*Z205)</x:f>
        <x:v>1850350080</x:v>
      </x:c>
      <x:c r="AB205" s="170" t="n">
        <x:f>IF(A205="","",D205*ABS(Z205-SPWARF))</x:f>
        <x:v>962075088.724</x:v>
      </x:c>
    </x:row>
    <x:row r="206">
      <x:c r="A206" s="8" t="str">
        <x:v>SYN-LN-00199</x:v>
      </x:c>
      <x:c r="B206" s="8" t="str">
        <x:v>SYN-OB-0191</x:v>
      </x:c>
      <x:c r="C206" s="8" t="str">
        <x:v>Redwood Holdings 191</x:v>
      </x:c>
      <x:c r="D206" s="9" t="n">
        <x:v>1182000</x:v>
      </x:c>
      <x:c r="E206" s="8" t="str">
        <x:v>B-</x:v>
      </x:c>
      <x:c r="F206" s="8" t="str">
        <x:v>Technology Hardware, Storage &amp; Peripherals</x:v>
      </x:c>
      <x:c r="G206" s="8" t="str">
        <x:v>United States</x:v>
      </x:c>
      <x:c r="H206" s="8" t="str">
        <x:v>1st Lien</x:v>
      </x:c>
      <x:c r="I206" s="8" t="str">
        <x:v>Floating</x:v>
      </x:c>
      <x:c r="J206" s="8" t="n">
        <x:v>415</x:v>
      </x:c>
      <x:c r="K206" s="10"/>
      <x:c r="L206" s="8" t="n">
        <x:v>0</x:v>
      </x:c>
      <x:c r="M206" s="11" t="n">
        <x:v>48272</x:v>
      </x:c>
      <x:c r="N206" s="10" t="n">
        <x:v>0.49</x:v>
      </x:c>
      <x:c r="O206" s="12" t="n">
        <x:v>101.5</x:v>
      </x:c>
      <x:c r="P206" s="13" t="n">
        <x:v>4</x:v>
      </x:c>
      <x:c r="Q206" s="8" t="str">
        <x:v>USD</x:v>
      </x:c>
      <x:c r="R206" s="8" t="str">
        <x:v>SOFR</x:v>
      </x:c>
      <x:c r="S206" s="18" t="n">
        <x:f>IF(Portfolio_Par&gt;0,D206/Portfolio_Par,"")</x:f>
        <x:v>0.00394</x:v>
      </x:c>
      <x:c r="T206" s="19" t="n">
        <x:f>IF(A206="","",(M206-as_of_date)/365.25)</x:f>
        <x:v>5.158110882956879</x:v>
      </x:c>
      <x:c r="U206" s="20" t="n">
        <x:f>IF(I206="Floating",D206*J206,0)</x:f>
        <x:v>490530000</x:v>
      </x:c>
      <x:c r="V206" s="20" t="n">
        <x:f>IF(A206="","",D206*N206)</x:f>
        <x:v>579180</x:v>
      </x:c>
      <x:c r="W206" s="14" t="n">
        <x:f>IF(A206='Run Snapshot'!A206,0,1)+IF(B206='Run Snapshot'!B206,0,1)+IF(C206='Run Snapshot'!C206,0,1)+IF(D206='Run Snapshot'!D206,0,1)+IF(E206='Run Snapshot'!E206,0,1)+IF(F206='Run Snapshot'!F206,0,1)+IF(G206='Run Snapshot'!G206,0,1)+IF(H206='Run Snapshot'!H206,0,1)+IF(I206='Run Snapshot'!I206,0,1)+IF(J206='Run Snapshot'!J206,0,1)+IF(K206='Run Snapshot'!K206,0,1)+IF(L206='Run Snapshot'!L206,0,1)+IF(M206='Run Snapshot'!M206,0,1)+IF(N206='Run Snapshot'!N206,0,1)+IF(O206='Run Snapshot'!O206,0,1)+IF(P206='Run Snapshot'!P206,0,1)+IF(Q206='Run Snapshot'!Q206,0,1)+IF(R206='Run Snapshot'!R206,0,1)</x:f>
        <x:v>0</x:v>
      </x:c>
      <x:c r="X206" s="15" t="n">
        <x:f>IF(A206="",0,COUNTIF($A$8:$A$289,A206)-1)</x:f>
        <x:v>0</x:v>
      </x:c>
      <x:c r="Y206" s="14" t="n">
        <x:f>IF(A206="",1,IF(OR(D206&lt;=0,N206&lt;0,N206&gt;1,M206&lt;=as_of_date),1,0))</x:f>
        <x:v>0</x:v>
      </x:c>
      <x:c r="Z206" s="170" t="n">
        <x:f>IF(A206="","",VLOOKUP(E206,SP_WARF_Factors,2,FALSE))</x:f>
        <x:v>3610.11</x:v>
      </x:c>
      <x:c r="AA206" s="172" t="n">
        <x:f>IF(A206="","",D206*Z206)</x:f>
        <x:v>4267150020</x:v>
      </x:c>
      <x:c r="AB206" s="170" t="n">
        <x:f>IF(A206="","",D206*ABS(Z206-SPWARF))</x:f>
        <x:v>1454724851.276</x:v>
      </x:c>
    </x:row>
    <x:row r="207">
      <x:c r="A207" s="8" t="str">
        <x:v>SYN-LN-00200</x:v>
      </x:c>
      <x:c r="B207" s="8" t="str">
        <x:v>SYN-OB-0192</x:v>
      </x:c>
      <x:c r="C207" s="8" t="str">
        <x:v>Riverton Inc. 192</x:v>
      </x:c>
      <x:c r="D207" s="9" t="n">
        <x:v>1182000</x:v>
      </x:c>
      <x:c r="E207" s="8" t="str">
        <x:v>B+</x:v>
      </x:c>
      <x:c r="F207" s="8" t="str">
        <x:v>Insurance</x:v>
      </x:c>
      <x:c r="G207" s="8" t="str">
        <x:v>United States</x:v>
      </x:c>
      <x:c r="H207" s="8" t="str">
        <x:v>1st Lien</x:v>
      </x:c>
      <x:c r="I207" s="8" t="str">
        <x:v>Floating</x:v>
      </x:c>
      <x:c r="J207" s="8" t="n">
        <x:v>250</x:v>
      </x:c>
      <x:c r="K207" s="10"/>
      <x:c r="L207" s="8" t="n">
        <x:v>0</x:v>
      </x:c>
      <x:c r="M207" s="11" t="n">
        <x:v>47266</x:v>
      </x:c>
      <x:c r="N207" s="10" t="n">
        <x:v>0.425</x:v>
      </x:c>
      <x:c r="O207" s="12" t="n">
        <x:v>101.5</x:v>
      </x:c>
      <x:c r="P207" s="13" t="n">
        <x:v>4</x:v>
      </x:c>
      <x:c r="Q207" s="8" t="str">
        <x:v>USD</x:v>
      </x:c>
      <x:c r="R207" s="8" t="str">
        <x:v>SOFR</x:v>
      </x:c>
      <x:c r="S207" s="18" t="n">
        <x:f>IF(Portfolio_Par&gt;0,D207/Portfolio_Par,"")</x:f>
        <x:v>0.00394</x:v>
      </x:c>
      <x:c r="T207" s="19" t="n">
        <x:f>IF(A207="","",(M207-as_of_date)/365.25)</x:f>
        <x:v>2.403832991101985</x:v>
      </x:c>
      <x:c r="U207" s="20" t="n">
        <x:f>IF(I207="Floating",D207*J207,0)</x:f>
        <x:v>295500000</x:v>
      </x:c>
      <x:c r="V207" s="20" t="n">
        <x:f>IF(A207="","",D207*N207)</x:f>
        <x:v>502350</x:v>
      </x:c>
      <x:c r="W207" s="14" t="n">
        <x:f>IF(A207='Run Snapshot'!A207,0,1)+IF(B207='Run Snapshot'!B207,0,1)+IF(C207='Run Snapshot'!C207,0,1)+IF(D207='Run Snapshot'!D207,0,1)+IF(E207='Run Snapshot'!E207,0,1)+IF(F207='Run Snapshot'!F207,0,1)+IF(G207='Run Snapshot'!G207,0,1)+IF(H207='Run Snapshot'!H207,0,1)+IF(I207='Run Snapshot'!I207,0,1)+IF(J207='Run Snapshot'!J207,0,1)+IF(K207='Run Snapshot'!K207,0,1)+IF(L207='Run Snapshot'!L207,0,1)+IF(M207='Run Snapshot'!M207,0,1)+IF(N207='Run Snapshot'!N207,0,1)+IF(O207='Run Snapshot'!O207,0,1)+IF(P207='Run Snapshot'!P207,0,1)+IF(Q207='Run Snapshot'!Q207,0,1)+IF(R207='Run Snapshot'!R207,0,1)</x:f>
        <x:v>0</x:v>
      </x:c>
      <x:c r="X207" s="15" t="n">
        <x:f>IF(A207="",0,COUNTIF($A$8:$A$289,A207)-1)</x:f>
        <x:v>0</x:v>
      </x:c>
      <x:c r="Y207" s="14" t="n">
        <x:f>IF(A207="",1,IF(OR(D207&lt;=0,N207&lt;0,N207&gt;1,M207&lt;=as_of_date),1,0))</x:f>
        <x:v>0</x:v>
      </x:c>
      <x:c r="Z207" s="170" t="n">
        <x:f>IF(A207="","",VLOOKUP(E207,SP_WARF_Factors,2,FALSE))</x:f>
        <x:v>1982</x:v>
      </x:c>
      <x:c r="AA207" s="172" t="n">
        <x:f>IF(A207="","",D207*Z207)</x:f>
        <x:v>2342724000</x:v>
      </x:c>
      <x:c r="AB207" s="170" t="n">
        <x:f>IF(A207="","",D207*ABS(Z207-SPWARF))</x:f>
        <x:v>469701168.72400004</x:v>
      </x:c>
    </x:row>
    <x:row r="208">
      <x:c r="A208" s="8" t="str">
        <x:v>SYN-LN-00201</x:v>
      </x:c>
      <x:c r="B208" s="8" t="str">
        <x:v>SYN-OB-0193</x:v>
      </x:c>
      <x:c r="C208" s="8" t="str">
        <x:v>Silver Corp. 193</x:v>
      </x:c>
      <x:c r="D208" s="9" t="n">
        <x:v>1182000</x:v>
      </x:c>
      <x:c r="E208" s="8" t="str">
        <x:v>B-</x:v>
      </x:c>
      <x:c r="F208" s="8" t="str">
        <x:v>Software</x:v>
      </x:c>
      <x:c r="G208" s="8" t="str">
        <x:v>United States</x:v>
      </x:c>
      <x:c r="H208" s="8" t="str">
        <x:v>1st Lien</x:v>
      </x:c>
      <x:c r="I208" s="8" t="str">
        <x:v>Floating</x:v>
      </x:c>
      <x:c r="J208" s="8" t="n">
        <x:v>390</x:v>
      </x:c>
      <x:c r="K208" s="10"/>
      <x:c r="L208" s="8" t="n">
        <x:v>0</x:v>
      </x:c>
      <x:c r="M208" s="11" t="n">
        <x:v>48578</x:v>
      </x:c>
      <x:c r="N208" s="10" t="n">
        <x:v>0.49</x:v>
      </x:c>
      <x:c r="O208" s="12" t="n">
        <x:v>101.5</x:v>
      </x:c>
      <x:c r="P208" s="13" t="n">
        <x:v>4</x:v>
      </x:c>
      <x:c r="Q208" s="8" t="str">
        <x:v>USD</x:v>
      </x:c>
      <x:c r="R208" s="8" t="str">
        <x:v>SOFR</x:v>
      </x:c>
      <x:c r="S208" s="18" t="n">
        <x:f>IF(Portfolio_Par&gt;0,D208/Portfolio_Par,"")</x:f>
        <x:v>0.00394</x:v>
      </x:c>
      <x:c r="T208" s="19" t="n">
        <x:f>IF(A208="","",(M208-as_of_date)/365.25)</x:f>
        <x:v>5.9958932238193015</x:v>
      </x:c>
      <x:c r="U208" s="20" t="n">
        <x:f>IF(I208="Floating",D208*J208,0)</x:f>
        <x:v>460980000</x:v>
      </x:c>
      <x:c r="V208" s="20" t="n">
        <x:f>IF(A208="","",D208*N208)</x:f>
        <x:v>579180</x:v>
      </x:c>
      <x:c r="W208" s="14" t="n">
        <x:f>IF(A208='Run Snapshot'!A208,0,1)+IF(B208='Run Snapshot'!B208,0,1)+IF(C208='Run Snapshot'!C208,0,1)+IF(D208='Run Snapshot'!D208,0,1)+IF(E208='Run Snapshot'!E208,0,1)+IF(F208='Run Snapshot'!F208,0,1)+IF(G208='Run Snapshot'!G208,0,1)+IF(H208='Run Snapshot'!H208,0,1)+IF(I208='Run Snapshot'!I208,0,1)+IF(J208='Run Snapshot'!J208,0,1)+IF(K208='Run Snapshot'!K208,0,1)+IF(L208='Run Snapshot'!L208,0,1)+IF(M208='Run Snapshot'!M208,0,1)+IF(N208='Run Snapshot'!N208,0,1)+IF(O208='Run Snapshot'!O208,0,1)+IF(P208='Run Snapshot'!P208,0,1)+IF(Q208='Run Snapshot'!Q208,0,1)+IF(R208='Run Snapshot'!R208,0,1)</x:f>
        <x:v>0</x:v>
      </x:c>
      <x:c r="X208" s="15" t="n">
        <x:f>IF(A208="",0,COUNTIF($A$8:$A$289,A208)-1)</x:f>
        <x:v>0</x:v>
      </x:c>
      <x:c r="Y208" s="14" t="n">
        <x:f>IF(A208="",1,IF(OR(D208&lt;=0,N208&lt;0,N208&gt;1,M208&lt;=as_of_date),1,0))</x:f>
        <x:v>0</x:v>
      </x:c>
      <x:c r="Z208" s="170" t="n">
        <x:f>IF(A208="","",VLOOKUP(E208,SP_WARF_Factors,2,FALSE))</x:f>
        <x:v>3610.11</x:v>
      </x:c>
      <x:c r="AA208" s="172" t="n">
        <x:f>IF(A208="","",D208*Z208)</x:f>
        <x:v>4267150020</x:v>
      </x:c>
      <x:c r="AB208" s="170" t="n">
        <x:f>IF(A208="","",D208*ABS(Z208-SPWARF))</x:f>
        <x:v>1454724851.276</x:v>
      </x:c>
    </x:row>
    <x:row r="209">
      <x:c r="A209" s="8" t="str">
        <x:v>SYN-LN-00202</x:v>
      </x:c>
      <x:c r="B209" s="8" t="str">
        <x:v>SYN-OB-0194</x:v>
      </x:c>
      <x:c r="C209" s="8" t="str">
        <x:v>Stonebridge Group 194</x:v>
      </x:c>
      <x:c r="D209" s="9" t="n">
        <x:v>1182000</x:v>
      </x:c>
      <x:c r="E209" s="8" t="str">
        <x:v>BB-</x:v>
      </x:c>
      <x:c r="F209" s="8" t="str">
        <x:v>Oil, Gas &amp; Consumable Fuels</x:v>
      </x:c>
      <x:c r="G209" s="8" t="str">
        <x:v>United States</x:v>
      </x:c>
      <x:c r="H209" s="8" t="str">
        <x:v>1st Lien</x:v>
      </x:c>
      <x:c r="I209" s="8" t="str">
        <x:v>Floating</x:v>
      </x:c>
      <x:c r="J209" s="8" t="n">
        <x:v>310</x:v>
      </x:c>
      <x:c r="K209" s="10"/>
      <x:c r="L209" s="8" t="n">
        <x:v>0</x:v>
      </x:c>
      <x:c r="M209" s="11" t="n">
        <x:v>48362</x:v>
      </x:c>
      <x:c r="N209" s="10" t="n">
        <x:v>0.21</x:v>
      </x:c>
      <x:c r="O209" s="12" t="n">
        <x:v>101.5</x:v>
      </x:c>
      <x:c r="P209" s="13" t="n">
        <x:v>4</x:v>
      </x:c>
      <x:c r="Q209" s="8" t="str">
        <x:v>USD</x:v>
      </x:c>
      <x:c r="R209" s="8" t="str">
        <x:v>SOFR</x:v>
      </x:c>
      <x:c r="S209" s="18" t="n">
        <x:f>IF(Portfolio_Par&gt;0,D209/Portfolio_Par,"")</x:f>
        <x:v>0.00394</x:v>
      </x:c>
      <x:c r="T209" s="19" t="n">
        <x:f>IF(A209="","",(M209-as_of_date)/365.25)</x:f>
        <x:v>5.404517453798768</x:v>
      </x:c>
      <x:c r="U209" s="20" t="n">
        <x:f>IF(I209="Floating",D209*J209,0)</x:f>
        <x:v>366420000</x:v>
      </x:c>
      <x:c r="V209" s="20" t="n">
        <x:f>IF(A209="","",D209*N209)</x:f>
        <x:v>248220</x:v>
      </x:c>
      <x:c r="W209" s="14" t="n">
        <x:f>IF(A209='Run Snapshot'!A209,0,1)+IF(B209='Run Snapshot'!B209,0,1)+IF(C209='Run Snapshot'!C209,0,1)+IF(D209='Run Snapshot'!D209,0,1)+IF(E209='Run Snapshot'!E209,0,1)+IF(F209='Run Snapshot'!F209,0,1)+IF(G209='Run Snapshot'!G209,0,1)+IF(H209='Run Snapshot'!H209,0,1)+IF(I209='Run Snapshot'!I209,0,1)+IF(J209='Run Snapshot'!J209,0,1)+IF(K209='Run Snapshot'!K209,0,1)+IF(L209='Run Snapshot'!L209,0,1)+IF(M209='Run Snapshot'!M209,0,1)+IF(N209='Run Snapshot'!N209,0,1)+IF(O209='Run Snapshot'!O209,0,1)+IF(P209='Run Snapshot'!P209,0,1)+IF(Q209='Run Snapshot'!Q209,0,1)+IF(R209='Run Snapshot'!R209,0,1)</x:f>
        <x:v>0</x:v>
      </x:c>
      <x:c r="X209" s="15" t="n">
        <x:f>IF(A209="",0,COUNTIF($A$8:$A$289,A209)-1)</x:f>
        <x:v>0</x:v>
      </x:c>
      <x:c r="Y209" s="14" t="n">
        <x:f>IF(A209="",1,IF(OR(D209&lt;=0,N209&lt;0,N209&gt;1,M209&lt;=as_of_date),1,0))</x:f>
        <x:v>0</x:v>
      </x:c>
      <x:c r="Z209" s="170" t="n">
        <x:f>IF(A209="","",VLOOKUP(E209,SP_WARF_Factors,2,FALSE))</x:f>
        <x:v>1565.44</x:v>
      </x:c>
      <x:c r="AA209" s="172" t="n">
        <x:f>IF(A209="","",D209*Z209)</x:f>
        <x:v>1850350080</x:v>
      </x:c>
      <x:c r="AB209" s="170" t="n">
        <x:f>IF(A209="","",D209*ABS(Z209-SPWARF))</x:f>
        <x:v>962075088.724</x:v>
      </x:c>
    </x:row>
    <x:row r="210">
      <x:c r="A210" s="8" t="str">
        <x:v>SYN-LN-00203</x:v>
      </x:c>
      <x:c r="B210" s="8" t="str">
        <x:v>SYN-OB-0195</x:v>
      </x:c>
      <x:c r="C210" s="8" t="str">
        <x:v>Summit LLC 195</x:v>
      </x:c>
      <x:c r="D210" s="9" t="n">
        <x:v>1182000</x:v>
      </x:c>
      <x:c r="E210" s="8" t="str">
        <x:v>B-</x:v>
      </x:c>
      <x:c r="F210" s="8" t="str">
        <x:v>Containers &amp; Packaging</x:v>
      </x:c>
      <x:c r="G210" s="8" t="str">
        <x:v>United States</x:v>
      </x:c>
      <x:c r="H210" s="8" t="str">
        <x:v>1st Lien</x:v>
      </x:c>
      <x:c r="I210" s="8" t="str">
        <x:v>Floating</x:v>
      </x:c>
      <x:c r="J210" s="8" t="n">
        <x:v>495</x:v>
      </x:c>
      <x:c r="K210" s="10"/>
      <x:c r="L210" s="8" t="n">
        <x:v>0</x:v>
      </x:c>
      <x:c r="M210" s="11" t="n">
        <x:v>47358</x:v>
      </x:c>
      <x:c r="N210" s="10" t="n">
        <x:v>0.53</x:v>
      </x:c>
      <x:c r="O210" s="12" t="n">
        <x:v>101.5</x:v>
      </x:c>
      <x:c r="P210" s="13" t="n">
        <x:v>4</x:v>
      </x:c>
      <x:c r="Q210" s="8" t="str">
        <x:v>USD</x:v>
      </x:c>
      <x:c r="R210" s="8" t="str">
        <x:v>SOFR</x:v>
      </x:c>
      <x:c r="S210" s="18" t="n">
        <x:f>IF(Portfolio_Par&gt;0,D210/Portfolio_Par,"")</x:f>
        <x:v>0.00394</x:v>
      </x:c>
      <x:c r="T210" s="19" t="n">
        <x:f>IF(A210="","",(M210-as_of_date)/365.25)</x:f>
        <x:v>2.6557152635181382</x:v>
      </x:c>
      <x:c r="U210" s="20" t="n">
        <x:f>IF(I210="Floating",D210*J210,0)</x:f>
        <x:v>585090000</x:v>
      </x:c>
      <x:c r="V210" s="20" t="n">
        <x:f>IF(A210="","",D210*N210)</x:f>
        <x:v>626460</x:v>
      </x:c>
      <x:c r="W210" s="14" t="n">
        <x:f>IF(A210='Run Snapshot'!A210,0,1)+IF(B210='Run Snapshot'!B210,0,1)+IF(C210='Run Snapshot'!C210,0,1)+IF(D210='Run Snapshot'!D210,0,1)+IF(E210='Run Snapshot'!E210,0,1)+IF(F210='Run Snapshot'!F210,0,1)+IF(G210='Run Snapshot'!G210,0,1)+IF(H210='Run Snapshot'!H210,0,1)+IF(I210='Run Snapshot'!I210,0,1)+IF(J210='Run Snapshot'!J210,0,1)+IF(K210='Run Snapshot'!K210,0,1)+IF(L210='Run Snapshot'!L210,0,1)+IF(M210='Run Snapshot'!M210,0,1)+IF(N210='Run Snapshot'!N210,0,1)+IF(O210='Run Snapshot'!O210,0,1)+IF(P210='Run Snapshot'!P210,0,1)+IF(Q210='Run Snapshot'!Q210,0,1)+IF(R210='Run Snapshot'!R210,0,1)</x:f>
        <x:v>0</x:v>
      </x:c>
      <x:c r="X210" s="15" t="n">
        <x:f>IF(A210="",0,COUNTIF($A$8:$A$289,A210)-1)</x:f>
        <x:v>0</x:v>
      </x:c>
      <x:c r="Y210" s="14" t="n">
        <x:f>IF(A210="",1,IF(OR(D210&lt;=0,N210&lt;0,N210&gt;1,M210&lt;=as_of_date),1,0))</x:f>
        <x:v>0</x:v>
      </x:c>
      <x:c r="Z210" s="170" t="n">
        <x:f>IF(A210="","",VLOOKUP(E210,SP_WARF_Factors,2,FALSE))</x:f>
        <x:v>3610.11</x:v>
      </x:c>
      <x:c r="AA210" s="172" t="n">
        <x:f>IF(A210="","",D210*Z210)</x:f>
        <x:v>4267150020</x:v>
      </x:c>
      <x:c r="AB210" s="170" t="n">
        <x:f>IF(A210="","",D210*ABS(Z210-SPWARF))</x:f>
        <x:v>1454724851.276</x:v>
      </x:c>
    </x:row>
    <x:row r="211">
      <x:c r="A211" s="8" t="str">
        <x:v>SYN-LN-00204</x:v>
      </x:c>
      <x:c r="B211" s="8" t="str">
        <x:v>SYN-OB-0196</x:v>
      </x:c>
      <x:c r="C211" s="8" t="str">
        <x:v>Timber Holdings 196</x:v>
      </x:c>
      <x:c r="D211" s="9" t="n">
        <x:v>1182000</x:v>
      </x:c>
      <x:c r="E211" s="8" t="str">
        <x:v>B-</x:v>
      </x:c>
      <x:c r="F211" s="8" t="str">
        <x:v>Technology Hardware, Storage &amp; Peripherals</x:v>
      </x:c>
      <x:c r="G211" s="8" t="str">
        <x:v>United States</x:v>
      </x:c>
      <x:c r="H211" s="8" t="str">
        <x:v>1st Lien</x:v>
      </x:c>
      <x:c r="I211" s="8" t="str">
        <x:v>Floating</x:v>
      </x:c>
      <x:c r="J211" s="8" t="n">
        <x:v>365</x:v>
      </x:c>
      <x:c r="K211" s="10"/>
      <x:c r="L211" s="8" t="n">
        <x:v>0</x:v>
      </x:c>
      <x:c r="M211" s="11" t="n">
        <x:v>48423</x:v>
      </x:c>
      <x:c r="N211" s="10" t="n">
        <x:v>0.485</x:v>
      </x:c>
      <x:c r="O211" s="12" t="n">
        <x:v>96.625</x:v>
      </x:c>
      <x:c r="P211" s="13" t="n">
        <x:v>4</x:v>
      </x:c>
      <x:c r="Q211" s="8" t="str">
        <x:v>USD</x:v>
      </x:c>
      <x:c r="R211" s="8" t="str">
        <x:v>SOFR</x:v>
      </x:c>
      <x:c r="S211" s="18" t="n">
        <x:f>IF(Portfolio_Par&gt;0,D211/Portfolio_Par,"")</x:f>
        <x:v>0.00394</x:v>
      </x:c>
      <x:c r="T211" s="19" t="n">
        <x:f>IF(A211="","",(M211-as_of_date)/365.25)</x:f>
        <x:v>5.5715263518138265</x:v>
      </x:c>
      <x:c r="U211" s="20" t="n">
        <x:f>IF(I211="Floating",D211*J211,0)</x:f>
        <x:v>431430000</x:v>
      </x:c>
      <x:c r="V211" s="20" t="n">
        <x:f>IF(A211="","",D211*N211)</x:f>
        <x:v>573270</x:v>
      </x:c>
      <x:c r="W211" s="14" t="n">
        <x:f>IF(A211='Run Snapshot'!A211,0,1)+IF(B211='Run Snapshot'!B211,0,1)+IF(C211='Run Snapshot'!C211,0,1)+IF(D211='Run Snapshot'!D211,0,1)+IF(E211='Run Snapshot'!E211,0,1)+IF(F211='Run Snapshot'!F211,0,1)+IF(G211='Run Snapshot'!G211,0,1)+IF(H211='Run Snapshot'!H211,0,1)+IF(I211='Run Snapshot'!I211,0,1)+IF(J211='Run Snapshot'!J211,0,1)+IF(K211='Run Snapshot'!K211,0,1)+IF(L211='Run Snapshot'!L211,0,1)+IF(M211='Run Snapshot'!M211,0,1)+IF(N211='Run Snapshot'!N211,0,1)+IF(O211='Run Snapshot'!O211,0,1)+IF(P211='Run Snapshot'!P211,0,1)+IF(Q211='Run Snapshot'!Q211,0,1)+IF(R211='Run Snapshot'!R211,0,1)</x:f>
        <x:v>0</x:v>
      </x:c>
      <x:c r="X211" s="15" t="n">
        <x:f>IF(A211="",0,COUNTIF($A$8:$A$289,A211)-1)</x:f>
        <x:v>0</x:v>
      </x:c>
      <x:c r="Y211" s="14" t="n">
        <x:f>IF(A211="",1,IF(OR(D211&lt;=0,N211&lt;0,N211&gt;1,M211&lt;=as_of_date),1,0))</x:f>
        <x:v>0</x:v>
      </x:c>
      <x:c r="Z211" s="170" t="n">
        <x:f>IF(A211="","",VLOOKUP(E211,SP_WARF_Factors,2,FALSE))</x:f>
        <x:v>3610.11</x:v>
      </x:c>
      <x:c r="AA211" s="172" t="n">
        <x:f>IF(A211="","",D211*Z211)</x:f>
        <x:v>4267150020</x:v>
      </x:c>
      <x:c r="AB211" s="170" t="n">
        <x:f>IF(A211="","",D211*ABS(Z211-SPWARF))</x:f>
        <x:v>1454724851.276</x:v>
      </x:c>
    </x:row>
    <x:row r="212">
      <x:c r="A212" s="8" t="str">
        <x:v>SYN-LN-00205</x:v>
      </x:c>
      <x:c r="B212" s="8" t="str">
        <x:v>SYN-OB-0197</x:v>
      </x:c>
      <x:c r="C212" s="8" t="str">
        <x:v>Westhaven Inc. 197</x:v>
      </x:c>
      <x:c r="D212" s="9" t="n">
        <x:v>1182000</x:v>
      </x:c>
      <x:c r="E212" s="8" t="str">
        <x:v>B</x:v>
      </x:c>
      <x:c r="F212" s="8" t="str">
        <x:v>Healthcare Equipment &amp; Supplies</x:v>
      </x:c>
      <x:c r="G212" s="8" t="str">
        <x:v>United States</x:v>
      </x:c>
      <x:c r="H212" s="8" t="str">
        <x:v>1st Lien</x:v>
      </x:c>
      <x:c r="I212" s="8" t="str">
        <x:v>Floating</x:v>
      </x:c>
      <x:c r="J212" s="8" t="n">
        <x:v>290</x:v>
      </x:c>
      <x:c r="K212" s="10"/>
      <x:c r="L212" s="8" t="n">
        <x:v>0</x:v>
      </x:c>
      <x:c r="M212" s="11" t="n">
        <x:v>48502</x:v>
      </x:c>
      <x:c r="N212" s="10" t="n">
        <x:v>0.225</x:v>
      </x:c>
      <x:c r="O212" s="12" t="n">
        <x:v>96.75</x:v>
      </x:c>
      <x:c r="P212" s="13" t="n">
        <x:v>4</x:v>
      </x:c>
      <x:c r="Q212" s="8" t="str">
        <x:v>USD</x:v>
      </x:c>
      <x:c r="R212" s="8" t="str">
        <x:v>SOFR</x:v>
      </x:c>
      <x:c r="S212" s="18" t="n">
        <x:f>IF(Portfolio_Par&gt;0,D212/Portfolio_Par,"")</x:f>
        <x:v>0.00394</x:v>
      </x:c>
      <x:c r="T212" s="19" t="n">
        <x:f>IF(A212="","",(M212-as_of_date)/365.25)</x:f>
        <x:v>5.7878165639972625</x:v>
      </x:c>
      <x:c r="U212" s="20" t="n">
        <x:f>IF(I212="Floating",D212*J212,0)</x:f>
        <x:v>342780000</x:v>
      </x:c>
      <x:c r="V212" s="20" t="n">
        <x:f>IF(A212="","",D212*N212)</x:f>
        <x:v>265950</x:v>
      </x:c>
      <x:c r="W212" s="14" t="n">
        <x:f>IF(A212='Run Snapshot'!A212,0,1)+IF(B212='Run Snapshot'!B212,0,1)+IF(C212='Run Snapshot'!C212,0,1)+IF(D212='Run Snapshot'!D212,0,1)+IF(E212='Run Snapshot'!E212,0,1)+IF(F212='Run Snapshot'!F212,0,1)+IF(G212='Run Snapshot'!G212,0,1)+IF(H212='Run Snapshot'!H212,0,1)+IF(I212='Run Snapshot'!I212,0,1)+IF(J212='Run Snapshot'!J212,0,1)+IF(K212='Run Snapshot'!K212,0,1)+IF(L212='Run Snapshot'!L212,0,1)+IF(M212='Run Snapshot'!M212,0,1)+IF(N212='Run Snapshot'!N212,0,1)+IF(O212='Run Snapshot'!O212,0,1)+IF(P212='Run Snapshot'!P212,0,1)+IF(Q212='Run Snapshot'!Q212,0,1)+IF(R212='Run Snapshot'!R212,0,1)</x:f>
        <x:v>0</x:v>
      </x:c>
      <x:c r="X212" s="15" t="n">
        <x:f>IF(A212="",0,COUNTIF($A$8:$A$289,A212)-1)</x:f>
        <x:v>0</x:v>
      </x:c>
      <x:c r="Y212" s="14" t="n">
        <x:f>IF(A212="",1,IF(OR(D212&lt;=0,N212&lt;0,N212&gt;1,M212&lt;=as_of_date),1,0))</x:f>
        <x:v>0</x:v>
      </x:c>
      <x:c r="Z212" s="170" t="n">
        <x:f>IF(A212="","",VLOOKUP(E212,SP_WARF_Factors,2,FALSE))</x:f>
        <x:v>2859.5</x:v>
      </x:c>
      <x:c r="AA212" s="172" t="n">
        <x:f>IF(A212="","",D212*Z212)</x:f>
        <x:v>3379929000</x:v>
      </x:c>
      <x:c r="AB212" s="170" t="n">
        <x:f>IF(A212="","",D212*ABS(Z212-SPWARF))</x:f>
        <x:v>567503831.2759999</x:v>
      </x:c>
    </x:row>
    <x:row r="213">
      <x:c r="A213" s="8" t="str">
        <x:v>SYN-LN-00206</x:v>
      </x:c>
      <x:c r="B213" s="8" t="str">
        <x:v>SYN-OB-0198</x:v>
      </x:c>
      <x:c r="C213" s="8" t="str">
        <x:v>Willow Corp. 198</x:v>
      </x:c>
      <x:c r="D213" s="9" t="n">
        <x:v>1182000</x:v>
      </x:c>
      <x:c r="E213" s="8" t="str">
        <x:v>B-</x:v>
      </x:c>
      <x:c r="F213" s="8" t="str">
        <x:v>Machinery</x:v>
      </x:c>
      <x:c r="G213" s="8" t="str">
        <x:v>United States</x:v>
      </x:c>
      <x:c r="H213" s="8" t="str">
        <x:v>1st Lien</x:v>
      </x:c>
      <x:c r="I213" s="8" t="str">
        <x:v>Floating</x:v>
      </x:c>
      <x:c r="J213" s="8" t="n">
        <x:v>475</x:v>
      </x:c>
      <x:c r="K213" s="10"/>
      <x:c r="L213" s="8" t="n">
        <x:v>0</x:v>
      </x:c>
      <x:c r="M213" s="11" t="n">
        <x:v>48852</x:v>
      </x:c>
      <x:c r="N213" s="10" t="n">
        <x:v>0.445</x:v>
      </x:c>
      <x:c r="O213" s="12" t="n">
        <x:v>101.5</x:v>
      </x:c>
      <x:c r="P213" s="13" t="n">
        <x:v>4</x:v>
      </x:c>
      <x:c r="Q213" s="8" t="str">
        <x:v>USD</x:v>
      </x:c>
      <x:c r="R213" s="8" t="str">
        <x:v>SOFR</x:v>
      </x:c>
      <x:c r="S213" s="18" t="n">
        <x:f>IF(Portfolio_Par&gt;0,D213/Portfolio_Par,"")</x:f>
        <x:v>0.00394</x:v>
      </x:c>
      <x:c r="T213" s="19" t="n">
        <x:f>IF(A213="","",(M213-as_of_date)/365.25)</x:f>
        <x:v>6.746064339493498</x:v>
      </x:c>
      <x:c r="U213" s="20" t="n">
        <x:f>IF(I213="Floating",D213*J213,0)</x:f>
        <x:v>561450000</x:v>
      </x:c>
      <x:c r="V213" s="20" t="n">
        <x:f>IF(A213="","",D213*N213)</x:f>
        <x:v>525990</x:v>
      </x:c>
      <x:c r="W213" s="14" t="n">
        <x:f>IF(A213='Run Snapshot'!A213,0,1)+IF(B213='Run Snapshot'!B213,0,1)+IF(C213='Run Snapshot'!C213,0,1)+IF(D213='Run Snapshot'!D213,0,1)+IF(E213='Run Snapshot'!E213,0,1)+IF(F213='Run Snapshot'!F213,0,1)+IF(G213='Run Snapshot'!G213,0,1)+IF(H213='Run Snapshot'!H213,0,1)+IF(I213='Run Snapshot'!I213,0,1)+IF(J213='Run Snapshot'!J213,0,1)+IF(K213='Run Snapshot'!K213,0,1)+IF(L213='Run Snapshot'!L213,0,1)+IF(M213='Run Snapshot'!M213,0,1)+IF(N213='Run Snapshot'!N213,0,1)+IF(O213='Run Snapshot'!O213,0,1)+IF(P213='Run Snapshot'!P213,0,1)+IF(Q213='Run Snapshot'!Q213,0,1)+IF(R213='Run Snapshot'!R213,0,1)</x:f>
        <x:v>0</x:v>
      </x:c>
      <x:c r="X213" s="15" t="n">
        <x:f>IF(A213="",0,COUNTIF($A$8:$A$289,A213)-1)</x:f>
        <x:v>0</x:v>
      </x:c>
      <x:c r="Y213" s="14" t="n">
        <x:f>IF(A213="",1,IF(OR(D213&lt;=0,N213&lt;0,N213&gt;1,M213&lt;=as_of_date),1,0))</x:f>
        <x:v>0</x:v>
      </x:c>
      <x:c r="Z213" s="170" t="n">
        <x:f>IF(A213="","",VLOOKUP(E213,SP_WARF_Factors,2,FALSE))</x:f>
        <x:v>3610.11</x:v>
      </x:c>
      <x:c r="AA213" s="172" t="n">
        <x:f>IF(A213="","",D213*Z213)</x:f>
        <x:v>4267150020</x:v>
      </x:c>
      <x:c r="AB213" s="170" t="n">
        <x:f>IF(A213="","",D213*ABS(Z213-SPWARF))</x:f>
        <x:v>1454724851.276</x:v>
      </x:c>
    </x:row>
    <x:row r="214">
      <x:c r="A214" s="8" t="str">
        <x:v>SYN-LN-00207</x:v>
      </x:c>
      <x:c r="B214" s="8" t="str">
        <x:v>SYN-OB-0199</x:v>
      </x:c>
      <x:c r="C214" s="8" t="str">
        <x:v>Windward Group 199</x:v>
      </x:c>
      <x:c r="D214" s="9" t="n">
        <x:v>1182000</x:v>
      </x:c>
      <x:c r="E214" s="8" t="str">
        <x:v>BB</x:v>
      </x:c>
      <x:c r="F214" s="8" t="str">
        <x:v>Electric Utilities</x:v>
      </x:c>
      <x:c r="G214" s="8" t="str">
        <x:v>United States</x:v>
      </x:c>
      <x:c r="H214" s="8" t="str">
        <x:v>1st Lien</x:v>
      </x:c>
      <x:c r="I214" s="8" t="str">
        <x:v>Floating</x:v>
      </x:c>
      <x:c r="J214" s="8" t="n">
        <x:v>145</x:v>
      </x:c>
      <x:c r="K214" s="10"/>
      <x:c r="L214" s="8" t="n">
        <x:v>0</x:v>
      </x:c>
      <x:c r="M214" s="11" t="n">
        <x:v>47996</x:v>
      </x:c>
      <x:c r="N214" s="10" t="n">
        <x:v>0.525</x:v>
      </x:c>
      <x:c r="O214" s="12" t="n">
        <x:v>98.875</x:v>
      </x:c>
      <x:c r="P214" s="13" t="n">
        <x:v>4</x:v>
      </x:c>
      <x:c r="Q214" s="8" t="str">
        <x:v>USD</x:v>
      </x:c>
      <x:c r="R214" s="8" t="str">
        <x:v>SOFR</x:v>
      </x:c>
      <x:c r="S214" s="18" t="n">
        <x:f>IF(Portfolio_Par&gt;0,D214/Portfolio_Par,"")</x:f>
        <x:v>0.00394</x:v>
      </x:c>
      <x:c r="T214" s="19" t="n">
        <x:f>IF(A214="","",(M214-as_of_date)/365.25)</x:f>
        <x:v>4.402464065708419</x:v>
      </x:c>
      <x:c r="U214" s="20" t="n">
        <x:f>IF(I214="Floating",D214*J214,0)</x:f>
        <x:v>171390000</x:v>
      </x:c>
      <x:c r="V214" s="20" t="n">
        <x:f>IF(A214="","",D214*N214)</x:f>
        <x:v>620550</x:v>
      </x:c>
      <x:c r="W214" s="14" t="n">
        <x:f>IF(A214='Run Snapshot'!A214,0,1)+IF(B214='Run Snapshot'!B214,0,1)+IF(C214='Run Snapshot'!C214,0,1)+IF(D214='Run Snapshot'!D214,0,1)+IF(E214='Run Snapshot'!E214,0,1)+IF(F214='Run Snapshot'!F214,0,1)+IF(G214='Run Snapshot'!G214,0,1)+IF(H214='Run Snapshot'!H214,0,1)+IF(I214='Run Snapshot'!I214,0,1)+IF(J214='Run Snapshot'!J214,0,1)+IF(K214='Run Snapshot'!K214,0,1)+IF(L214='Run Snapshot'!L214,0,1)+IF(M214='Run Snapshot'!M214,0,1)+IF(N214='Run Snapshot'!N214,0,1)+IF(O214='Run Snapshot'!O214,0,1)+IF(P214='Run Snapshot'!P214,0,1)+IF(Q214='Run Snapshot'!Q214,0,1)+IF(R214='Run Snapshot'!R214,0,1)</x:f>
        <x:v>0</x:v>
      </x:c>
      <x:c r="X214" s="15" t="n">
        <x:f>IF(A214="",0,COUNTIF($A$8:$A$289,A214)-1)</x:f>
        <x:v>0</x:v>
      </x:c>
      <x:c r="Y214" s="14" t="n">
        <x:f>IF(A214="",1,IF(OR(D214&lt;=0,N214&lt;0,N214&gt;1,M214&lt;=as_of_date),1,0))</x:f>
        <x:v>0</x:v>
      </x:c>
      <x:c r="Z214" s="170" t="n">
        <x:f>IF(A214="","",VLOOKUP(E214,SP_WARF_Factors,2,FALSE))</x:f>
        <x:v>1233.63</x:v>
      </x:c>
      <x:c r="AA214" s="172" t="n">
        <x:f>IF(A214="","",D214*Z214)</x:f>
        <x:v>1458150660.0000002</x:v>
      </x:c>
      <x:c r="AB214" s="170" t="n">
        <x:f>IF(A214="","",D214*ABS(Z214-SPWARF))</x:f>
        <x:v>1354274508.724</x:v>
      </x:c>
    </x:row>
    <x:row r="215">
      <x:c r="A215" s="8" t="str">
        <x:v>SYN-LN-00208</x:v>
      </x:c>
      <x:c r="B215" s="8" t="str">
        <x:v>SYN-OB-0200</x:v>
      </x:c>
      <x:c r="C215" s="8" t="str">
        <x:v>Woodland LLC 200</x:v>
      </x:c>
      <x:c r="D215" s="9" t="n">
        <x:v>630000</x:v>
      </x:c>
      <x:c r="E215" s="8" t="str">
        <x:v>B</x:v>
      </x:c>
      <x:c r="F215" s="8" t="str">
        <x:v>Food Products</x:v>
      </x:c>
      <x:c r="G215" s="8" t="str">
        <x:v>Germany</x:v>
      </x:c>
      <x:c r="H215" s="8" t="str">
        <x:v>Sr Secured</x:v>
      </x:c>
      <x:c r="I215" s="8" t="str">
        <x:v>Fixed</x:v>
      </x:c>
      <x:c r="J215" s="8"/>
      <x:c r="K215" s="10" t="n">
        <x:v>0.033625</x:v>
      </x:c>
      <x:c r="L215" s="8"/>
      <x:c r="M215" s="11" t="n">
        <x:v>49064</x:v>
      </x:c>
      <x:c r="N215" s="10" t="n">
        <x:v>0.37</x:v>
      </x:c>
      <x:c r="O215" s="12" t="n">
        <x:v>99.25</x:v>
      </x:c>
      <x:c r="P215" s="13" t="n">
        <x:v>2</x:v>
      </x:c>
      <x:c r="Q215" s="8" t="str">
        <x:v>USD</x:v>
      </x:c>
      <x:c r="R215" s="8"/>
      <x:c r="S215" s="18" t="n">
        <x:f>IF(Portfolio_Par&gt;0,D215/Portfolio_Par,"")</x:f>
        <x:v>0.0021</x:v>
      </x:c>
      <x:c r="T215" s="19" t="n">
        <x:f>IF(A215="","",(M215-as_of_date)/365.25)</x:f>
        <x:v>7.326488706365503</x:v>
      </x:c>
      <x:c r="U215" s="20" t="n">
        <x:f>IF(I215="Floating",D215*J215,0)</x:f>
        <x:v>0</x:v>
      </x:c>
      <x:c r="V215" s="20" t="n">
        <x:f>IF(A215="","",D215*N215)</x:f>
        <x:v>233100</x:v>
      </x:c>
      <x:c r="W215" s="14" t="n">
        <x:f>IF(A215='Run Snapshot'!A215,0,1)+IF(B215='Run Snapshot'!B215,0,1)+IF(C215='Run Snapshot'!C215,0,1)+IF(D215='Run Snapshot'!D215,0,1)+IF(E215='Run Snapshot'!E215,0,1)+IF(F215='Run Snapshot'!F215,0,1)+IF(G215='Run Snapshot'!G215,0,1)+IF(H215='Run Snapshot'!H215,0,1)+IF(I215='Run Snapshot'!I215,0,1)+IF(J215='Run Snapshot'!J215,0,1)+IF(K215='Run Snapshot'!K215,0,1)+IF(L215='Run Snapshot'!L215,0,1)+IF(M215='Run Snapshot'!M215,0,1)+IF(N215='Run Snapshot'!N215,0,1)+IF(O215='Run Snapshot'!O215,0,1)+IF(P215='Run Snapshot'!P215,0,1)+IF(Q215='Run Snapshot'!Q215,0,1)+IF(R215='Run Snapshot'!R215,0,1)</x:f>
        <x:v>0</x:v>
      </x:c>
      <x:c r="X215" s="15" t="n">
        <x:f>IF(A215="",0,COUNTIF($A$8:$A$289,A215)-1)</x:f>
        <x:v>0</x:v>
      </x:c>
      <x:c r="Y215" s="14" t="n">
        <x:f>IF(A215="",1,IF(OR(D215&lt;=0,N215&lt;0,N215&gt;1,M215&lt;=as_of_date),1,0))</x:f>
        <x:v>0</x:v>
      </x:c>
      <x:c r="Z215" s="170" t="n">
        <x:f>IF(A215="","",VLOOKUP(E215,SP_WARF_Factors,2,FALSE))</x:f>
        <x:v>2859.5</x:v>
      </x:c>
      <x:c r="AA215" s="172" t="n">
        <x:f>IF(A215="","",D215*Z215)</x:f>
        <x:v>1801485000</x:v>
      </x:c>
      <x:c r="AB215" s="170" t="n">
        <x:f>IF(A215="","",D215*ABS(Z215-SPWARF))</x:f>
        <x:v>302476661.34</x:v>
      </x:c>
    </x:row>
    <x:row r="216">
      <x:c r="A216" s="8" t="str">
        <x:v>SYN-LN-00209</x:v>
      </x:c>
      <x:c r="B216" s="8" t="str">
        <x:v>SYN-OB-0201</x:v>
      </x:c>
      <x:c r="C216" s="8" t="str">
        <x:v>Alder Holdings 201</x:v>
      </x:c>
      <x:c r="D216" s="9" t="n">
        <x:v>1182000</x:v>
      </x:c>
      <x:c r="E216" s="8" t="str">
        <x:v>B</x:v>
      </x:c>
      <x:c r="F216" s="8" t="str">
        <x:v>Industrial Conglomerates</x:v>
      </x:c>
      <x:c r="G216" s="8" t="str">
        <x:v>United States</x:v>
      </x:c>
      <x:c r="H216" s="8" t="str">
        <x:v>1st Lien</x:v>
      </x:c>
      <x:c r="I216" s="8" t="str">
        <x:v>Floating</x:v>
      </x:c>
      <x:c r="J216" s="8" t="n">
        <x:v>335</x:v>
      </x:c>
      <x:c r="K216" s="10"/>
      <x:c r="L216" s="8" t="n">
        <x:v>0</x:v>
      </x:c>
      <x:c r="M216" s="11" t="n">
        <x:v>49110</x:v>
      </x:c>
      <x:c r="N216" s="10" t="n">
        <x:v>0.35</x:v>
      </x:c>
      <x:c r="O216" s="12" t="n">
        <x:v>97.625</x:v>
      </x:c>
      <x:c r="P216" s="13" t="n">
        <x:v>4</x:v>
      </x:c>
      <x:c r="Q216" s="8" t="str">
        <x:v>USD</x:v>
      </x:c>
      <x:c r="R216" s="8" t="str">
        <x:v>SOFR</x:v>
      </x:c>
      <x:c r="S216" s="18" t="n">
        <x:f>IF(Portfolio_Par&gt;0,D216/Portfolio_Par,"")</x:f>
        <x:v>0.00394</x:v>
      </x:c>
      <x:c r="T216" s="19" t="n">
        <x:f>IF(A216="","",(M216-as_of_date)/365.25)</x:f>
        <x:v>7.452429842573579</x:v>
      </x:c>
      <x:c r="U216" s="20" t="n">
        <x:f>IF(I216="Floating",D216*J216,0)</x:f>
        <x:v>395970000</x:v>
      </x:c>
      <x:c r="V216" s="20" t="n">
        <x:f>IF(A216="","",D216*N216)</x:f>
        <x:v>413700</x:v>
      </x:c>
      <x:c r="W216" s="14" t="n">
        <x:f>IF(A216='Run Snapshot'!A216,0,1)+IF(B216='Run Snapshot'!B216,0,1)+IF(C216='Run Snapshot'!C216,0,1)+IF(D216='Run Snapshot'!D216,0,1)+IF(E216='Run Snapshot'!E216,0,1)+IF(F216='Run Snapshot'!F216,0,1)+IF(G216='Run Snapshot'!G216,0,1)+IF(H216='Run Snapshot'!H216,0,1)+IF(I216='Run Snapshot'!I216,0,1)+IF(J216='Run Snapshot'!J216,0,1)+IF(K216='Run Snapshot'!K216,0,1)+IF(L216='Run Snapshot'!L216,0,1)+IF(M216='Run Snapshot'!M216,0,1)+IF(N216='Run Snapshot'!N216,0,1)+IF(O216='Run Snapshot'!O216,0,1)+IF(P216='Run Snapshot'!P216,0,1)+IF(Q216='Run Snapshot'!Q216,0,1)+IF(R216='Run Snapshot'!R216,0,1)</x:f>
        <x:v>0</x:v>
      </x:c>
      <x:c r="X216" s="15" t="n">
        <x:f>IF(A216="",0,COUNTIF($A$8:$A$289,A216)-1)</x:f>
        <x:v>0</x:v>
      </x:c>
      <x:c r="Y216" s="14" t="n">
        <x:f>IF(A216="",1,IF(OR(D216&lt;=0,N216&lt;0,N216&gt;1,M216&lt;=as_of_date),1,0))</x:f>
        <x:v>0</x:v>
      </x:c>
      <x:c r="Z216" s="170" t="n">
        <x:f>IF(A216="","",VLOOKUP(E216,SP_WARF_Factors,2,FALSE))</x:f>
        <x:v>2859.5</x:v>
      </x:c>
      <x:c r="AA216" s="172" t="n">
        <x:f>IF(A216="","",D216*Z216)</x:f>
        <x:v>3379929000</x:v>
      </x:c>
      <x:c r="AB216" s="170" t="n">
        <x:f>IF(A216="","",D216*ABS(Z216-SPWARF))</x:f>
        <x:v>567503831.2759999</x:v>
      </x:c>
    </x:row>
    <x:row r="217">
      <x:c r="A217" s="8" t="str">
        <x:v>SYN-LN-00210</x:v>
      </x:c>
      <x:c r="B217" s="8" t="str">
        <x:v>SYN-OB-0202</x:v>
      </x:c>
      <x:c r="C217" s="8" t="str">
        <x:v>Amber Inc. 202</x:v>
      </x:c>
      <x:c r="D217" s="9" t="n">
        <x:v>630000</x:v>
      </x:c>
      <x:c r="E217" s="8" t="str">
        <x:v>BB</x:v>
      </x:c>
      <x:c r="F217" s="8" t="str">
        <x:v>Food Products</x:v>
      </x:c>
      <x:c r="G217" s="8" t="str">
        <x:v>Canada</x:v>
      </x:c>
      <x:c r="H217" s="8" t="str">
        <x:v>1st Lien</x:v>
      </x:c>
      <x:c r="I217" s="8" t="str">
        <x:v>Fixed</x:v>
      </x:c>
      <x:c r="J217" s="8"/>
      <x:c r="K217" s="10" t="n">
        <x:v>0.033625</x:v>
      </x:c>
      <x:c r="L217" s="8"/>
      <x:c r="M217" s="11" t="n">
        <x:v>47329</x:v>
      </x:c>
      <x:c r="N217" s="10" t="n">
        <x:v>0.355</x:v>
      </x:c>
      <x:c r="O217" s="12" t="n">
        <x:v>98.875</x:v>
      </x:c>
      <x:c r="P217" s="13" t="n">
        <x:v>2</x:v>
      </x:c>
      <x:c r="Q217" s="8" t="str">
        <x:v>USD</x:v>
      </x:c>
      <x:c r="R217" s="8"/>
      <x:c r="S217" s="18" t="n">
        <x:f>IF(Portfolio_Par&gt;0,D217/Portfolio_Par,"")</x:f>
        <x:v>0.0021</x:v>
      </x:c>
      <x:c r="T217" s="19" t="n">
        <x:f>IF(A217="","",(M217-as_of_date)/365.25)</x:f>
        <x:v>2.5763175906913074</x:v>
      </x:c>
      <x:c r="U217" s="20" t="n">
        <x:f>IF(I217="Floating",D217*J217,0)</x:f>
        <x:v>0</x:v>
      </x:c>
      <x:c r="V217" s="20" t="n">
        <x:f>IF(A217="","",D217*N217)</x:f>
        <x:v>223650</x:v>
      </x:c>
      <x:c r="W217" s="14" t="n">
        <x:f>IF(A217='Run Snapshot'!A217,0,1)+IF(B217='Run Snapshot'!B217,0,1)+IF(C217='Run Snapshot'!C217,0,1)+IF(D217='Run Snapshot'!D217,0,1)+IF(E217='Run Snapshot'!E217,0,1)+IF(F217='Run Snapshot'!F217,0,1)+IF(G217='Run Snapshot'!G217,0,1)+IF(H217='Run Snapshot'!H217,0,1)+IF(I217='Run Snapshot'!I217,0,1)+IF(J217='Run Snapshot'!J217,0,1)+IF(K217='Run Snapshot'!K217,0,1)+IF(L217='Run Snapshot'!L217,0,1)+IF(M217='Run Snapshot'!M217,0,1)+IF(N217='Run Snapshot'!N217,0,1)+IF(O217='Run Snapshot'!O217,0,1)+IF(P217='Run Snapshot'!P217,0,1)+IF(Q217='Run Snapshot'!Q217,0,1)+IF(R217='Run Snapshot'!R217,0,1)</x:f>
        <x:v>0</x:v>
      </x:c>
      <x:c r="X217" s="15" t="n">
        <x:f>IF(A217="",0,COUNTIF($A$8:$A$289,A217)-1)</x:f>
        <x:v>0</x:v>
      </x:c>
      <x:c r="Y217" s="14" t="n">
        <x:f>IF(A217="",1,IF(OR(D217&lt;=0,N217&lt;0,N217&gt;1,M217&lt;=as_of_date),1,0))</x:f>
        <x:v>0</x:v>
      </x:c>
      <x:c r="Z217" s="170" t="n">
        <x:f>IF(A217="","",VLOOKUP(E217,SP_WARF_Factors,2,FALSE))</x:f>
        <x:v>1233.63</x:v>
      </x:c>
      <x:c r="AA217" s="172" t="n">
        <x:f>IF(A217="","",D217*Z217)</x:f>
        <x:v>777186900.0000001</x:v>
      </x:c>
      <x:c r="AB217" s="170" t="n">
        <x:f>IF(A217="","",D217*ABS(Z217-SPWARF))</x:f>
        <x:v>721821438.66</x:v>
      </x:c>
    </x:row>
    <x:row r="218">
      <x:c r="A218" s="8" t="str">
        <x:v>SYN-LN-00211</x:v>
      </x:c>
      <x:c r="B218" s="8" t="str">
        <x:v>SYN-OB-0203</x:v>
      </x:c>
      <x:c r="C218" s="8" t="str">
        <x:v>Arbor Corp. 203</x:v>
      </x:c>
      <x:c r="D218" s="9" t="n">
        <x:v>1182000</x:v>
      </x:c>
      <x:c r="E218" s="8" t="str">
        <x:v>B</x:v>
      </x:c>
      <x:c r="F218" s="8" t="str">
        <x:v>Building Products</x:v>
      </x:c>
      <x:c r="G218" s="8" t="str">
        <x:v>United States</x:v>
      </x:c>
      <x:c r="H218" s="8" t="str">
        <x:v>1st Lien</x:v>
      </x:c>
      <x:c r="I218" s="8" t="str">
        <x:v>Floating</x:v>
      </x:c>
      <x:c r="J218" s="8" t="n">
        <x:v>230</x:v>
      </x:c>
      <x:c r="K218" s="10"/>
      <x:c r="L218" s="8" t="n">
        <x:v>0</x:v>
      </x:c>
      <x:c r="M218" s="11" t="n">
        <x:v>48319</x:v>
      </x:c>
      <x:c r="N218" s="10" t="n">
        <x:v>0.335</x:v>
      </x:c>
      <x:c r="O218" s="12" t="n">
        <x:v>100.5</x:v>
      </x:c>
      <x:c r="P218" s="13" t="n">
        <x:v>4</x:v>
      </x:c>
      <x:c r="Q218" s="8" t="str">
        <x:v>USD</x:v>
      </x:c>
      <x:c r="R218" s="8" t="str">
        <x:v>SOFR</x:v>
      </x:c>
      <x:c r="S218" s="18" t="n">
        <x:f>IF(Portfolio_Par&gt;0,D218/Portfolio_Par,"")</x:f>
        <x:v>0.00394</x:v>
      </x:c>
      <x:c r="T218" s="19" t="n">
        <x:f>IF(A218="","",(M218-as_of_date)/365.25)</x:f>
        <x:v>5.286789869952088</x:v>
      </x:c>
      <x:c r="U218" s="20" t="n">
        <x:f>IF(I218="Floating",D218*J218,0)</x:f>
        <x:v>271860000</x:v>
      </x:c>
      <x:c r="V218" s="20" t="n">
        <x:f>IF(A218="","",D218*N218)</x:f>
        <x:v>395970</x:v>
      </x:c>
      <x:c r="W218" s="14" t="n">
        <x:f>IF(A218='Run Snapshot'!A218,0,1)+IF(B218='Run Snapshot'!B218,0,1)+IF(C218='Run Snapshot'!C218,0,1)+IF(D218='Run Snapshot'!D218,0,1)+IF(E218='Run Snapshot'!E218,0,1)+IF(F218='Run Snapshot'!F218,0,1)+IF(G218='Run Snapshot'!G218,0,1)+IF(H218='Run Snapshot'!H218,0,1)+IF(I218='Run Snapshot'!I218,0,1)+IF(J218='Run Snapshot'!J218,0,1)+IF(K218='Run Snapshot'!K218,0,1)+IF(L218='Run Snapshot'!L218,0,1)+IF(M218='Run Snapshot'!M218,0,1)+IF(N218='Run Snapshot'!N218,0,1)+IF(O218='Run Snapshot'!O218,0,1)+IF(P218='Run Snapshot'!P218,0,1)+IF(Q218='Run Snapshot'!Q218,0,1)+IF(R218='Run Snapshot'!R218,0,1)</x:f>
        <x:v>0</x:v>
      </x:c>
      <x:c r="X218" s="15" t="n">
        <x:f>IF(A218="",0,COUNTIF($A$8:$A$289,A218)-1)</x:f>
        <x:v>0</x:v>
      </x:c>
      <x:c r="Y218" s="14" t="n">
        <x:f>IF(A218="",1,IF(OR(D218&lt;=0,N218&lt;0,N218&gt;1,M218&lt;=as_of_date),1,0))</x:f>
        <x:v>0</x:v>
      </x:c>
      <x:c r="Z218" s="170" t="n">
        <x:f>IF(A218="","",VLOOKUP(E218,SP_WARF_Factors,2,FALSE))</x:f>
        <x:v>2859.5</x:v>
      </x:c>
      <x:c r="AA218" s="172" t="n">
        <x:f>IF(A218="","",D218*Z218)</x:f>
        <x:v>3379929000</x:v>
      </x:c>
      <x:c r="AB218" s="170" t="n">
        <x:f>IF(A218="","",D218*ABS(Z218-SPWARF))</x:f>
        <x:v>567503831.2759999</x:v>
      </x:c>
    </x:row>
    <x:row r="219">
      <x:c r="A219" s="8" t="str">
        <x:v>SYN-LN-00212</x:v>
      </x:c>
      <x:c r="B219" s="8" t="str">
        <x:v>SYN-OB-0204</x:v>
      </x:c>
      <x:c r="C219" s="8" t="str">
        <x:v>Atlas Group 204</x:v>
      </x:c>
      <x:c r="D219" s="9" t="n">
        <x:v>1182000</x:v>
      </x:c>
      <x:c r="E219" s="8" t="str">
        <x:v>BB</x:v>
      </x:c>
      <x:c r="F219" s="8" t="str">
        <x:v>Construction Materials</x:v>
      </x:c>
      <x:c r="G219" s="8" t="str">
        <x:v>United States</x:v>
      </x:c>
      <x:c r="H219" s="8" t="str">
        <x:v>1st Lien</x:v>
      </x:c>
      <x:c r="I219" s="8" t="str">
        <x:v>Floating</x:v>
      </x:c>
      <x:c r="J219" s="8" t="n">
        <x:v>310</x:v>
      </x:c>
      <x:c r="K219" s="10"/>
      <x:c r="L219" s="8" t="n">
        <x:v>0</x:v>
      </x:c>
      <x:c r="M219" s="11" t="n">
        <x:v>49247</x:v>
      </x:c>
      <x:c r="N219" s="10" t="n">
        <x:v>0.37</x:v>
      </x:c>
      <x:c r="O219" s="12" t="n">
        <x:v>101.25</x:v>
      </x:c>
      <x:c r="P219" s="13" t="n">
        <x:v>4</x:v>
      </x:c>
      <x:c r="Q219" s="8" t="str">
        <x:v>USD</x:v>
      </x:c>
      <x:c r="R219" s="8" t="str">
        <x:v>SOFR</x:v>
      </x:c>
      <x:c r="S219" s="18" t="n">
        <x:f>IF(Portfolio_Par&gt;0,D219/Portfolio_Par,"")</x:f>
        <x:v>0.00394</x:v>
      </x:c>
      <x:c r="T219" s="19" t="n">
        <x:f>IF(A219="","",(M219-as_of_date)/365.25)</x:f>
        <x:v>7.827515400410678</x:v>
      </x:c>
      <x:c r="U219" s="20" t="n">
        <x:f>IF(I219="Floating",D219*J219,0)</x:f>
        <x:v>366420000</x:v>
      </x:c>
      <x:c r="V219" s="20" t="n">
        <x:f>IF(A219="","",D219*N219)</x:f>
        <x:v>437340</x:v>
      </x:c>
      <x:c r="W219" s="14" t="n">
        <x:f>IF(A219='Run Snapshot'!A219,0,1)+IF(B219='Run Snapshot'!B219,0,1)+IF(C219='Run Snapshot'!C219,0,1)+IF(D219='Run Snapshot'!D219,0,1)+IF(E219='Run Snapshot'!E219,0,1)+IF(F219='Run Snapshot'!F219,0,1)+IF(G219='Run Snapshot'!G219,0,1)+IF(H219='Run Snapshot'!H219,0,1)+IF(I219='Run Snapshot'!I219,0,1)+IF(J219='Run Snapshot'!J219,0,1)+IF(K219='Run Snapshot'!K219,0,1)+IF(L219='Run Snapshot'!L219,0,1)+IF(M219='Run Snapshot'!M219,0,1)+IF(N219='Run Snapshot'!N219,0,1)+IF(O219='Run Snapshot'!O219,0,1)+IF(P219='Run Snapshot'!P219,0,1)+IF(Q219='Run Snapshot'!Q219,0,1)+IF(R219='Run Snapshot'!R219,0,1)</x:f>
        <x:v>0</x:v>
      </x:c>
      <x:c r="X219" s="15" t="n">
        <x:f>IF(A219="",0,COUNTIF($A$8:$A$289,A219)-1)</x:f>
        <x:v>0</x:v>
      </x:c>
      <x:c r="Y219" s="14" t="n">
        <x:f>IF(A219="",1,IF(OR(D219&lt;=0,N219&lt;0,N219&gt;1,M219&lt;=as_of_date),1,0))</x:f>
        <x:v>0</x:v>
      </x:c>
      <x:c r="Z219" s="170" t="n">
        <x:f>IF(A219="","",VLOOKUP(E219,SP_WARF_Factors,2,FALSE))</x:f>
        <x:v>1233.63</x:v>
      </x:c>
      <x:c r="AA219" s="172" t="n">
        <x:f>IF(A219="","",D219*Z219)</x:f>
        <x:v>1458150660.0000002</x:v>
      </x:c>
      <x:c r="AB219" s="170" t="n">
        <x:f>IF(A219="","",D219*ABS(Z219-SPWARF))</x:f>
        <x:v>1354274508.724</x:v>
      </x:c>
    </x:row>
    <x:row r="220">
      <x:c r="A220" s="8" t="str">
        <x:v>SYN-LN-00213</x:v>
      </x:c>
      <x:c r="B220" s="8" t="str">
        <x:v>SYN-OB-0205</x:v>
      </x:c>
      <x:c r="C220" s="8" t="str">
        <x:v>Beacon LLC 205</x:v>
      </x:c>
      <x:c r="D220" s="9" t="n">
        <x:v>630000</x:v>
      </x:c>
      <x:c r="E220" s="8" t="str">
        <x:v>B-</x:v>
      </x:c>
      <x:c r="F220" s="8" t="str">
        <x:v>Textiles, Apparel &amp; Luxury Goods</x:v>
      </x:c>
      <x:c r="G220" s="8" t="str">
        <x:v>Canada</x:v>
      </x:c>
      <x:c r="H220" s="8" t="str">
        <x:v>1st Lien</x:v>
      </x:c>
      <x:c r="I220" s="8" t="str">
        <x:v>Floating</x:v>
      </x:c>
      <x:c r="J220" s="8" t="n">
        <x:v>280</x:v>
      </x:c>
      <x:c r="K220" s="10"/>
      <x:c r="L220" s="8" t="n">
        <x:v>50</x:v>
      </x:c>
      <x:c r="M220" s="11" t="n">
        <x:v>47692</x:v>
      </x:c>
      <x:c r="N220" s="10" t="n">
        <x:v>0.35</x:v>
      </x:c>
      <x:c r="O220" s="12" t="n">
        <x:v>99.375</x:v>
      </x:c>
      <x:c r="P220" s="13" t="n">
        <x:v>4</x:v>
      </x:c>
      <x:c r="Q220" s="8" t="str">
        <x:v>USD</x:v>
      </x:c>
      <x:c r="R220" s="8" t="str">
        <x:v>SOFR</x:v>
      </x:c>
      <x:c r="S220" s="18" t="n">
        <x:f>IF(Portfolio_Par&gt;0,D220/Portfolio_Par,"")</x:f>
        <x:v>0.0021</x:v>
      </x:c>
      <x:c r="T220" s="19" t="n">
        <x:f>IF(A220="","",(M220-as_of_date)/365.25)</x:f>
        <x:v>3.57015742642026</x:v>
      </x:c>
      <x:c r="U220" s="20" t="n">
        <x:f>IF(I220="Floating",D220*J220,0)</x:f>
        <x:v>176400000</x:v>
      </x:c>
      <x:c r="V220" s="20" t="n">
        <x:f>IF(A220="","",D220*N220)</x:f>
        <x:v>220500</x:v>
      </x:c>
      <x:c r="W220" s="14" t="n">
        <x:f>IF(A220='Run Snapshot'!A220,0,1)+IF(B220='Run Snapshot'!B220,0,1)+IF(C220='Run Snapshot'!C220,0,1)+IF(D220='Run Snapshot'!D220,0,1)+IF(E220='Run Snapshot'!E220,0,1)+IF(F220='Run Snapshot'!F220,0,1)+IF(G220='Run Snapshot'!G220,0,1)+IF(H220='Run Snapshot'!H220,0,1)+IF(I220='Run Snapshot'!I220,0,1)+IF(J220='Run Snapshot'!J220,0,1)+IF(K220='Run Snapshot'!K220,0,1)+IF(L220='Run Snapshot'!L220,0,1)+IF(M220='Run Snapshot'!M220,0,1)+IF(N220='Run Snapshot'!N220,0,1)+IF(O220='Run Snapshot'!O220,0,1)+IF(P220='Run Snapshot'!P220,0,1)+IF(Q220='Run Snapshot'!Q220,0,1)+IF(R220='Run Snapshot'!R220,0,1)</x:f>
        <x:v>0</x:v>
      </x:c>
      <x:c r="X220" s="15" t="n">
        <x:f>IF(A220="",0,COUNTIF($A$8:$A$289,A220)-1)</x:f>
        <x:v>0</x:v>
      </x:c>
      <x:c r="Y220" s="14" t="n">
        <x:f>IF(A220="",1,IF(OR(D220&lt;=0,N220&lt;0,N220&gt;1,M220&lt;=as_of_date),1,0))</x:f>
        <x:v>0</x:v>
      </x:c>
      <x:c r="Z220" s="170" t="n">
        <x:f>IF(A220="","",VLOOKUP(E220,SP_WARF_Factors,2,FALSE))</x:f>
        <x:v>3610.11</x:v>
      </x:c>
      <x:c r="AA220" s="172" t="n">
        <x:f>IF(A220="","",D220*Z220)</x:f>
        <x:v>2274369300</x:v>
      </x:c>
      <x:c r="AB220" s="170" t="n">
        <x:f>IF(A220="","",D220*ABS(Z220-SPWARF))</x:f>
        <x:v>775360961.34</x:v>
      </x:c>
    </x:row>
    <x:row r="221">
      <x:c r="A221" s="8" t="str">
        <x:v>SYN-LN-00214</x:v>
      </x:c>
      <x:c r="B221" s="8" t="str">
        <x:v>SYN-OB-0206</x:v>
      </x:c>
      <x:c r="C221" s="8" t="str">
        <x:v>Bluewater Holdings 206</x:v>
      </x:c>
      <x:c r="D221" s="9" t="n">
        <x:v>1182000</x:v>
      </x:c>
      <x:c r="E221" s="8" t="str">
        <x:v>B</x:v>
      </x:c>
      <x:c r="F221" s="8" t="str">
        <x:v>Aerospace &amp; Defense</x:v>
      </x:c>
      <x:c r="G221" s="8" t="str">
        <x:v>Luxembourg</x:v>
      </x:c>
      <x:c r="H221" s="8" t="str">
        <x:v>1st Lien</x:v>
      </x:c>
      <x:c r="I221" s="8" t="str">
        <x:v>Floating</x:v>
      </x:c>
      <x:c r="J221" s="8" t="n">
        <x:v>235</x:v>
      </x:c>
      <x:c r="K221" s="10"/>
      <x:c r="L221" s="8" t="n">
        <x:v>0</x:v>
      </x:c>
      <x:c r="M221" s="11" t="n">
        <x:v>48301</x:v>
      </x:c>
      <x:c r="N221" s="10" t="n">
        <x:v>0.325</x:v>
      </x:c>
      <x:c r="O221" s="12" t="n">
        <x:v>100.125</x:v>
      </x:c>
      <x:c r="P221" s="13" t="n">
        <x:v>4</x:v>
      </x:c>
      <x:c r="Q221" s="8" t="str">
        <x:v>USD</x:v>
      </x:c>
      <x:c r="R221" s="8" t="str">
        <x:v>SOFR</x:v>
      </x:c>
      <x:c r="S221" s="18" t="n">
        <x:f>IF(Portfolio_Par&gt;0,D221/Portfolio_Par,"")</x:f>
        <x:v>0.00394</x:v>
      </x:c>
      <x:c r="T221" s="19" t="n">
        <x:f>IF(A221="","",(M221-as_of_date)/365.25)</x:f>
        <x:v>5.23750855578371</x:v>
      </x:c>
      <x:c r="U221" s="20" t="n">
        <x:f>IF(I221="Floating",D221*J221,0)</x:f>
        <x:v>277770000</x:v>
      </x:c>
      <x:c r="V221" s="20" t="n">
        <x:f>IF(A221="","",D221*N221)</x:f>
        <x:v>384150</x:v>
      </x:c>
      <x:c r="W221" s="14" t="n">
        <x:f>IF(A221='Run Snapshot'!A221,0,1)+IF(B221='Run Snapshot'!B221,0,1)+IF(C221='Run Snapshot'!C221,0,1)+IF(D221='Run Snapshot'!D221,0,1)+IF(E221='Run Snapshot'!E221,0,1)+IF(F221='Run Snapshot'!F221,0,1)+IF(G221='Run Snapshot'!G221,0,1)+IF(H221='Run Snapshot'!H221,0,1)+IF(I221='Run Snapshot'!I221,0,1)+IF(J221='Run Snapshot'!J221,0,1)+IF(K221='Run Snapshot'!K221,0,1)+IF(L221='Run Snapshot'!L221,0,1)+IF(M221='Run Snapshot'!M221,0,1)+IF(N221='Run Snapshot'!N221,0,1)+IF(O221='Run Snapshot'!O221,0,1)+IF(P221='Run Snapshot'!P221,0,1)+IF(Q221='Run Snapshot'!Q221,0,1)+IF(R221='Run Snapshot'!R221,0,1)</x:f>
        <x:v>0</x:v>
      </x:c>
      <x:c r="X221" s="15" t="n">
        <x:f>IF(A221="",0,COUNTIF($A$8:$A$289,A221)-1)</x:f>
        <x:v>0</x:v>
      </x:c>
      <x:c r="Y221" s="14" t="n">
        <x:f>IF(A221="",1,IF(OR(D221&lt;=0,N221&lt;0,N221&gt;1,M221&lt;=as_of_date),1,0))</x:f>
        <x:v>0</x:v>
      </x:c>
      <x:c r="Z221" s="170" t="n">
        <x:f>IF(A221="","",VLOOKUP(E221,SP_WARF_Factors,2,FALSE))</x:f>
        <x:v>2859.5</x:v>
      </x:c>
      <x:c r="AA221" s="172" t="n">
        <x:f>IF(A221="","",D221*Z221)</x:f>
        <x:v>3379929000</x:v>
      </x:c>
      <x:c r="AB221" s="170" t="n">
        <x:f>IF(A221="","",D221*ABS(Z221-SPWARF))</x:f>
        <x:v>567503831.2759999</x:v>
      </x:c>
    </x:row>
    <x:row r="222">
      <x:c r="A222" s="8" t="str">
        <x:v>SYN-LN-00215</x:v>
      </x:c>
      <x:c r="B222" s="8" t="str">
        <x:v>SYN-OB-0207</x:v>
      </x:c>
      <x:c r="C222" s="8" t="str">
        <x:v>Bracken Inc. 207</x:v>
      </x:c>
      <x:c r="D222" s="9" t="n">
        <x:v>1182000</x:v>
      </x:c>
      <x:c r="E222" s="8" t="str">
        <x:v>BB+</x:v>
      </x:c>
      <x:c r="F222" s="8" t="str">
        <x:v>Broadline retail</x:v>
      </x:c>
      <x:c r="G222" s="8" t="str">
        <x:v>United States</x:v>
      </x:c>
      <x:c r="H222" s="8" t="str">
        <x:v>1st Lien</x:v>
      </x:c>
      <x:c r="I222" s="8" t="str">
        <x:v>Floating</x:v>
      </x:c>
      <x:c r="J222" s="8" t="n">
        <x:v>205</x:v>
      </x:c>
      <x:c r="K222" s="10"/>
      <x:c r="L222" s="8" t="n">
        <x:v>0</x:v>
      </x:c>
      <x:c r="M222" s="11" t="n">
        <x:v>48425</x:v>
      </x:c>
      <x:c r="N222" s="10" t="n">
        <x:v>0.2</x:v>
      </x:c>
      <x:c r="O222" s="12" t="n">
        <x:v>99.5</x:v>
      </x:c>
      <x:c r="P222" s="13" t="n">
        <x:v>4</x:v>
      </x:c>
      <x:c r="Q222" s="8" t="str">
        <x:v>USD</x:v>
      </x:c>
      <x:c r="R222" s="8" t="str">
        <x:v>SOFR</x:v>
      </x:c>
      <x:c r="S222" s="18" t="n">
        <x:f>IF(Portfolio_Par&gt;0,D222/Portfolio_Par,"")</x:f>
        <x:v>0.00394</x:v>
      </x:c>
      <x:c r="T222" s="19" t="n">
        <x:f>IF(A222="","",(M222-as_of_date)/365.25)</x:f>
        <x:v>5.577002053388091</x:v>
      </x:c>
      <x:c r="U222" s="20" t="n">
        <x:f>IF(I222="Floating",D222*J222,0)</x:f>
        <x:v>242310000</x:v>
      </x:c>
      <x:c r="V222" s="20" t="n">
        <x:f>IF(A222="","",D222*N222)</x:f>
        <x:v>236400</x:v>
      </x:c>
      <x:c r="W222" s="14" t="n">
        <x:f>IF(A222='Run Snapshot'!A222,0,1)+IF(B222='Run Snapshot'!B222,0,1)+IF(C222='Run Snapshot'!C222,0,1)+IF(D222='Run Snapshot'!D222,0,1)+IF(E222='Run Snapshot'!E222,0,1)+IF(F222='Run Snapshot'!F222,0,1)+IF(G222='Run Snapshot'!G222,0,1)+IF(H222='Run Snapshot'!H222,0,1)+IF(I222='Run Snapshot'!I222,0,1)+IF(J222='Run Snapshot'!J222,0,1)+IF(K222='Run Snapshot'!K222,0,1)+IF(L222='Run Snapshot'!L222,0,1)+IF(M222='Run Snapshot'!M222,0,1)+IF(N222='Run Snapshot'!N222,0,1)+IF(O222='Run Snapshot'!O222,0,1)+IF(P222='Run Snapshot'!P222,0,1)+IF(Q222='Run Snapshot'!Q222,0,1)+IF(R222='Run Snapshot'!R222,0,1)</x:f>
        <x:v>0</x:v>
      </x:c>
      <x:c r="X222" s="15" t="n">
        <x:f>IF(A222="",0,COUNTIF($A$8:$A$289,A222)-1)</x:f>
        <x:v>0</x:v>
      </x:c>
      <x:c r="Y222" s="14" t="n">
        <x:f>IF(A222="",1,IF(OR(D222&lt;=0,N222&lt;0,N222&gt;1,M222&lt;=as_of_date),1,0))</x:f>
        <x:v>0</x:v>
      </x:c>
      <x:c r="Z222" s="170" t="n">
        <x:f>IF(A222="","",VLOOKUP(E222,SP_WARF_Factors,2,FALSE))</x:f>
        <x:v>784.92</x:v>
      </x:c>
      <x:c r="AA222" s="172" t="n">
        <x:f>IF(A222="","",D222*Z222)</x:f>
        <x:v>927775440</x:v>
      </x:c>
      <x:c r="AB222" s="170" t="n">
        <x:f>IF(A222="","",D222*ABS(Z222-SPWARF))</x:f>
        <x:v>1884649728.724</x:v>
      </x:c>
    </x:row>
    <x:row r="223">
      <x:c r="A223" s="8" t="str">
        <x:v>SYN-LN-00216</x:v>
      </x:c>
      <x:c r="B223" s="8" t="str">
        <x:v>SYN-OB-0208</x:v>
      </x:c>
      <x:c r="C223" s="8" t="str">
        <x:v>Cedar Corp. 208</x:v>
      </x:c>
      <x:c r="D223" s="9" t="n">
        <x:v>630000</x:v>
      </x:c>
      <x:c r="E223" s="8" t="str">
        <x:v>B+</x:v>
      </x:c>
      <x:c r="F223" s="8" t="str">
        <x:v>Hotels, Restaurants &amp; Leisure</x:v>
      </x:c>
      <x:c r="G223" s="8" t="str">
        <x:v>Luxembourg</x:v>
      </x:c>
      <x:c r="H223" s="8" t="str">
        <x:v>Senior</x:v>
      </x:c>
      <x:c r="I223" s="8" t="str">
        <x:v>Floating</x:v>
      </x:c>
      <x:c r="J223" s="8" t="n">
        <x:v>225</x:v>
      </x:c>
      <x:c r="K223" s="10"/>
      <x:c r="L223" s="8" t="n">
        <x:v>0</x:v>
      </x:c>
      <x:c r="M223" s="11" t="n">
        <x:v>47966</x:v>
      </x:c>
      <x:c r="N223" s="10" t="n">
        <x:v>0.46</x:v>
      </x:c>
      <x:c r="O223" s="12" t="n">
        <x:v>97.875</x:v>
      </x:c>
      <x:c r="P223" s="13" t="n">
        <x:v>4</x:v>
      </x:c>
      <x:c r="Q223" s="8" t="str">
        <x:v>USD</x:v>
      </x:c>
      <x:c r="R223" s="8" t="str">
        <x:v>SOFR</x:v>
      </x:c>
      <x:c r="S223" s="18" t="n">
        <x:f>IF(Portfolio_Par&gt;0,D223/Portfolio_Par,"")</x:f>
        <x:v>0.0021</x:v>
      </x:c>
      <x:c r="T223" s="19" t="n">
        <x:f>IF(A223="","",(M223-as_of_date)/365.25)</x:f>
        <x:v>4.3203285420944555</x:v>
      </x:c>
      <x:c r="U223" s="20" t="n">
        <x:f>IF(I223="Floating",D223*J223,0)</x:f>
        <x:v>141750000</x:v>
      </x:c>
      <x:c r="V223" s="20" t="n">
        <x:f>IF(A223="","",D223*N223)</x:f>
        <x:v>289800</x:v>
      </x:c>
      <x:c r="W223" s="14" t="n">
        <x:f>IF(A223='Run Snapshot'!A223,0,1)+IF(B223='Run Snapshot'!B223,0,1)+IF(C223='Run Snapshot'!C223,0,1)+IF(D223='Run Snapshot'!D223,0,1)+IF(E223='Run Snapshot'!E223,0,1)+IF(F223='Run Snapshot'!F223,0,1)+IF(G223='Run Snapshot'!G223,0,1)+IF(H223='Run Snapshot'!H223,0,1)+IF(I223='Run Snapshot'!I223,0,1)+IF(J223='Run Snapshot'!J223,0,1)+IF(K223='Run Snapshot'!K223,0,1)+IF(L223='Run Snapshot'!L223,0,1)+IF(M223='Run Snapshot'!M223,0,1)+IF(N223='Run Snapshot'!N223,0,1)+IF(O223='Run Snapshot'!O223,0,1)+IF(P223='Run Snapshot'!P223,0,1)+IF(Q223='Run Snapshot'!Q223,0,1)+IF(R223='Run Snapshot'!R223,0,1)</x:f>
        <x:v>0</x:v>
      </x:c>
      <x:c r="X223" s="15" t="n">
        <x:f>IF(A223="",0,COUNTIF($A$8:$A$289,A223)-1)</x:f>
        <x:v>0</x:v>
      </x:c>
      <x:c r="Y223" s="14" t="n">
        <x:f>IF(A223="",1,IF(OR(D223&lt;=0,N223&lt;0,N223&gt;1,M223&lt;=as_of_date),1,0))</x:f>
        <x:v>0</x:v>
      </x:c>
      <x:c r="Z223" s="170" t="n">
        <x:f>IF(A223="","",VLOOKUP(E223,SP_WARF_Factors,2,FALSE))</x:f>
        <x:v>1982</x:v>
      </x:c>
      <x:c r="AA223" s="172" t="n">
        <x:f>IF(A223="","",D223*Z223)</x:f>
        <x:v>1248660000</x:v>
      </x:c>
      <x:c r="AB223" s="170" t="n">
        <x:f>IF(A223="","",D223*ABS(Z223-SPWARF))</x:f>
        <x:v>250348338.66000003</x:v>
      </x:c>
    </x:row>
    <x:row r="224">
      <x:c r="A224" s="8" t="str">
        <x:v>SYN-LN-00217</x:v>
      </x:c>
      <x:c r="B224" s="8" t="str">
        <x:v>SYN-OB-0209</x:v>
      </x:c>
      <x:c r="C224" s="8" t="str">
        <x:v>Cobalt Group 209</x:v>
      </x:c>
      <x:c r="D224" s="9" t="n">
        <x:v>1182000</x:v>
      </x:c>
      <x:c r="E224" s="8" t="str">
        <x:v>B+</x:v>
      </x:c>
      <x:c r="F224" s="8" t="str">
        <x:v>Aerospace &amp; Defense</x:v>
      </x:c>
      <x:c r="G224" s="8" t="str">
        <x:v>United States</x:v>
      </x:c>
      <x:c r="H224" s="8" t="str">
        <x:v>1st Lien</x:v>
      </x:c>
      <x:c r="I224" s="8" t="str">
        <x:v>Floating</x:v>
      </x:c>
      <x:c r="J224" s="8" t="n">
        <x:v>275</x:v>
      </x:c>
      <x:c r="K224" s="10"/>
      <x:c r="L224" s="8" t="n">
        <x:v>0</x:v>
      </x:c>
      <x:c r="M224" s="11" t="n">
        <x:v>48546</x:v>
      </x:c>
      <x:c r="N224" s="10" t="n">
        <x:v>0.53</x:v>
      </x:c>
      <x:c r="O224" s="12" t="n">
        <x:v>99.5</x:v>
      </x:c>
      <x:c r="P224" s="13" t="n">
        <x:v>4</x:v>
      </x:c>
      <x:c r="Q224" s="8" t="str">
        <x:v>USD</x:v>
      </x:c>
      <x:c r="R224" s="8" t="str">
        <x:v>SOFR</x:v>
      </x:c>
      <x:c r="S224" s="18" t="n">
        <x:f>IF(Portfolio_Par&gt;0,D224/Portfolio_Par,"")</x:f>
        <x:v>0.00394</x:v>
      </x:c>
      <x:c r="T224" s="19" t="n">
        <x:f>IF(A224="","",(M224-as_of_date)/365.25)</x:f>
        <x:v>5.908281998631074</x:v>
      </x:c>
      <x:c r="U224" s="20" t="n">
        <x:f>IF(I224="Floating",D224*J224,0)</x:f>
        <x:v>325050000</x:v>
      </x:c>
      <x:c r="V224" s="20" t="n">
        <x:f>IF(A224="","",D224*N224)</x:f>
        <x:v>626460</x:v>
      </x:c>
      <x:c r="W224" s="14" t="n">
        <x:f>IF(A224='Run Snapshot'!A224,0,1)+IF(B224='Run Snapshot'!B224,0,1)+IF(C224='Run Snapshot'!C224,0,1)+IF(D224='Run Snapshot'!D224,0,1)+IF(E224='Run Snapshot'!E224,0,1)+IF(F224='Run Snapshot'!F224,0,1)+IF(G224='Run Snapshot'!G224,0,1)+IF(H224='Run Snapshot'!H224,0,1)+IF(I224='Run Snapshot'!I224,0,1)+IF(J224='Run Snapshot'!J224,0,1)+IF(K224='Run Snapshot'!K224,0,1)+IF(L224='Run Snapshot'!L224,0,1)+IF(M224='Run Snapshot'!M224,0,1)+IF(N224='Run Snapshot'!N224,0,1)+IF(O224='Run Snapshot'!O224,0,1)+IF(P224='Run Snapshot'!P224,0,1)+IF(Q224='Run Snapshot'!Q224,0,1)+IF(R224='Run Snapshot'!R224,0,1)</x:f>
        <x:v>0</x:v>
      </x:c>
      <x:c r="X224" s="15" t="n">
        <x:f>IF(A224="",0,COUNTIF($A$8:$A$289,A224)-1)</x:f>
        <x:v>0</x:v>
      </x:c>
      <x:c r="Y224" s="14" t="n">
        <x:f>IF(A224="",1,IF(OR(D224&lt;=0,N224&lt;0,N224&gt;1,M224&lt;=as_of_date),1,0))</x:f>
        <x:v>0</x:v>
      </x:c>
      <x:c r="Z224" s="170" t="n">
        <x:f>IF(A224="","",VLOOKUP(E224,SP_WARF_Factors,2,FALSE))</x:f>
        <x:v>1982</x:v>
      </x:c>
      <x:c r="AA224" s="172" t="n">
        <x:f>IF(A224="","",D224*Z224)</x:f>
        <x:v>2342724000</x:v>
      </x:c>
      <x:c r="AB224" s="170" t="n">
        <x:f>IF(A224="","",D224*ABS(Z224-SPWARF))</x:f>
        <x:v>469701168.72400004</x:v>
      </x:c>
    </x:row>
    <x:row r="225">
      <x:c r="A225" s="8" t="str">
        <x:v>SYN-LN-00218</x:v>
      </x:c>
      <x:c r="B225" s="8" t="str">
        <x:v>SYN-OB-0210</x:v>
      </x:c>
      <x:c r="C225" s="8" t="str">
        <x:v>Copper LLC 210</x:v>
      </x:c>
      <x:c r="D225" s="9" t="n">
        <x:v>1182000</x:v>
      </x:c>
      <x:c r="E225" s="8" t="str">
        <x:v>BB+</x:v>
      </x:c>
      <x:c r="F225" s="8" t="str">
        <x:v>Capital Markets</x:v>
      </x:c>
      <x:c r="G225" s="8" t="str">
        <x:v>United States</x:v>
      </x:c>
      <x:c r="H225" s="8" t="str">
        <x:v>1st Lien</x:v>
      </x:c>
      <x:c r="I225" s="8" t="str">
        <x:v>Floating</x:v>
      </x:c>
      <x:c r="J225" s="8" t="n">
        <x:v>275</x:v>
      </x:c>
      <x:c r="K225" s="10"/>
      <x:c r="L225" s="8" t="n">
        <x:v>0</x:v>
      </x:c>
      <x:c r="M225" s="11" t="n">
        <x:v>48684</x:v>
      </x:c>
      <x:c r="N225" s="10" t="n">
        <x:v>0.555</x:v>
      </x:c>
      <x:c r="O225" s="12" t="n">
        <x:v>100.375</x:v>
      </x:c>
      <x:c r="P225" s="13" t="n">
        <x:v>4</x:v>
      </x:c>
      <x:c r="Q225" s="8" t="str">
        <x:v>USD</x:v>
      </x:c>
      <x:c r="R225" s="8" t="str">
        <x:v>SOFR</x:v>
      </x:c>
      <x:c r="S225" s="18" t="n">
        <x:f>IF(Portfolio_Par&gt;0,D225/Portfolio_Par,"")</x:f>
        <x:v>0.00394</x:v>
      </x:c>
      <x:c r="T225" s="19" t="n">
        <x:f>IF(A225="","",(M225-as_of_date)/365.25)</x:f>
        <x:v>6.286105407255304</x:v>
      </x:c>
      <x:c r="U225" s="20" t="n">
        <x:f>IF(I225="Floating",D225*J225,0)</x:f>
        <x:v>325050000</x:v>
      </x:c>
      <x:c r="V225" s="20" t="n">
        <x:f>IF(A225="","",D225*N225)</x:f>
        <x:v>656010</x:v>
      </x:c>
      <x:c r="W225" s="14" t="n">
        <x:f>IF(A225='Run Snapshot'!A225,0,1)+IF(B225='Run Snapshot'!B225,0,1)+IF(C225='Run Snapshot'!C225,0,1)+IF(D225='Run Snapshot'!D225,0,1)+IF(E225='Run Snapshot'!E225,0,1)+IF(F225='Run Snapshot'!F225,0,1)+IF(G225='Run Snapshot'!G225,0,1)+IF(H225='Run Snapshot'!H225,0,1)+IF(I225='Run Snapshot'!I225,0,1)+IF(J225='Run Snapshot'!J225,0,1)+IF(K225='Run Snapshot'!K225,0,1)+IF(L225='Run Snapshot'!L225,0,1)+IF(M225='Run Snapshot'!M225,0,1)+IF(N225='Run Snapshot'!N225,0,1)+IF(O225='Run Snapshot'!O225,0,1)+IF(P225='Run Snapshot'!P225,0,1)+IF(Q225='Run Snapshot'!Q225,0,1)+IF(R225='Run Snapshot'!R225,0,1)</x:f>
        <x:v>0</x:v>
      </x:c>
      <x:c r="X225" s="15" t="n">
        <x:f>IF(A225="",0,COUNTIF($A$8:$A$289,A225)-1)</x:f>
        <x:v>0</x:v>
      </x:c>
      <x:c r="Y225" s="14" t="n">
        <x:f>IF(A225="",1,IF(OR(D225&lt;=0,N225&lt;0,N225&gt;1,M225&lt;=as_of_date),1,0))</x:f>
        <x:v>0</x:v>
      </x:c>
      <x:c r="Z225" s="170" t="n">
        <x:f>IF(A225="","",VLOOKUP(E225,SP_WARF_Factors,2,FALSE))</x:f>
        <x:v>784.92</x:v>
      </x:c>
      <x:c r="AA225" s="172" t="n">
        <x:f>IF(A225="","",D225*Z225)</x:f>
        <x:v>927775440</x:v>
      </x:c>
      <x:c r="AB225" s="170" t="n">
        <x:f>IF(A225="","",D225*ABS(Z225-SPWARF))</x:f>
        <x:v>1884649728.724</x:v>
      </x:c>
    </x:row>
    <x:row r="226">
      <x:c r="A226" s="8" t="str">
        <x:v>SYN-LN-00219</x:v>
      </x:c>
      <x:c r="B226" s="8" t="str">
        <x:v>SYN-OB-0211</x:v>
      </x:c>
      <x:c r="C226" s="8" t="str">
        <x:v>Crest Holdings 211</x:v>
      </x:c>
      <x:c r="D226" s="9" t="n">
        <x:v>1182000</x:v>
      </x:c>
      <x:c r="E226" s="8" t="str">
        <x:v>B-</x:v>
      </x:c>
      <x:c r="F226" s="8" t="str">
        <x:v>Distributors</x:v>
      </x:c>
      <x:c r="G226" s="8" t="str">
        <x:v>United States</x:v>
      </x:c>
      <x:c r="H226" s="8" t="str">
        <x:v>1st Lien</x:v>
      </x:c>
      <x:c r="I226" s="8" t="str">
        <x:v>Floating</x:v>
      </x:c>
      <x:c r="J226" s="8" t="n">
        <x:v>215</x:v>
      </x:c>
      <x:c r="K226" s="10"/>
      <x:c r="L226" s="8" t="n">
        <x:v>0</x:v>
      </x:c>
      <x:c r="M226" s="11" t="n">
        <x:v>47815</x:v>
      </x:c>
      <x:c r="N226" s="10" t="n">
        <x:v>0.345</x:v>
      </x:c>
      <x:c r="O226" s="12" t="n">
        <x:v>101.5</x:v>
      </x:c>
      <x:c r="P226" s="13" t="n">
        <x:v>4</x:v>
      </x:c>
      <x:c r="Q226" s="8" t="str">
        <x:v>USD</x:v>
      </x:c>
      <x:c r="R226" s="8" t="str">
        <x:v>SOFR</x:v>
      </x:c>
      <x:c r="S226" s="18" t="n">
        <x:f>IF(Portfolio_Par&gt;0,D226/Portfolio_Par,"")</x:f>
        <x:v>0.00394</x:v>
      </x:c>
      <x:c r="T226" s="19" t="n">
        <x:f>IF(A226="","",(M226-as_of_date)/365.25)</x:f>
        <x:v>3.9069130732375084</x:v>
      </x:c>
      <x:c r="U226" s="20" t="n">
        <x:f>IF(I226="Floating",D226*J226,0)</x:f>
        <x:v>254130000</x:v>
      </x:c>
      <x:c r="V226" s="20" t="n">
        <x:f>IF(A226="","",D226*N226)</x:f>
        <x:v>407789.99999999994</x:v>
      </x:c>
      <x:c r="W226" s="14" t="n">
        <x:f>IF(A226='Run Snapshot'!A226,0,1)+IF(B226='Run Snapshot'!B226,0,1)+IF(C226='Run Snapshot'!C226,0,1)+IF(D226='Run Snapshot'!D226,0,1)+IF(E226='Run Snapshot'!E226,0,1)+IF(F226='Run Snapshot'!F226,0,1)+IF(G226='Run Snapshot'!G226,0,1)+IF(H226='Run Snapshot'!H226,0,1)+IF(I226='Run Snapshot'!I226,0,1)+IF(J226='Run Snapshot'!J226,0,1)+IF(K226='Run Snapshot'!K226,0,1)+IF(L226='Run Snapshot'!L226,0,1)+IF(M226='Run Snapshot'!M226,0,1)+IF(N226='Run Snapshot'!N226,0,1)+IF(O226='Run Snapshot'!O226,0,1)+IF(P226='Run Snapshot'!P226,0,1)+IF(Q226='Run Snapshot'!Q226,0,1)+IF(R226='Run Snapshot'!R226,0,1)</x:f>
        <x:v>0</x:v>
      </x:c>
      <x:c r="X226" s="15" t="n">
        <x:f>IF(A226="",0,COUNTIF($A$8:$A$289,A226)-1)</x:f>
        <x:v>0</x:v>
      </x:c>
      <x:c r="Y226" s="14" t="n">
        <x:f>IF(A226="",1,IF(OR(D226&lt;=0,N226&lt;0,N226&gt;1,M226&lt;=as_of_date),1,0))</x:f>
        <x:v>0</x:v>
      </x:c>
      <x:c r="Z226" s="170" t="n">
        <x:f>IF(A226="","",VLOOKUP(E226,SP_WARF_Factors,2,FALSE))</x:f>
        <x:v>3610.11</x:v>
      </x:c>
      <x:c r="AA226" s="172" t="n">
        <x:f>IF(A226="","",D226*Z226)</x:f>
        <x:v>4267150020</x:v>
      </x:c>
      <x:c r="AB226" s="170" t="n">
        <x:f>IF(A226="","",D226*ABS(Z226-SPWARF))</x:f>
        <x:v>1454724851.276</x:v>
      </x:c>
    </x:row>
    <x:row r="227">
      <x:c r="A227" s="8" t="str">
        <x:v>SYN-LN-00220</x:v>
      </x:c>
      <x:c r="B227" s="8" t="str">
        <x:v>SYN-OB-0212</x:v>
      </x:c>
      <x:c r="C227" s="8" t="str">
        <x:v>Duneland Inc. 212</x:v>
      </x:c>
      <x:c r="D227" s="9" t="n">
        <x:v>1182000</x:v>
      </x:c>
      <x:c r="E227" s="8" t="str">
        <x:v>B-</x:v>
      </x:c>
      <x:c r="F227" s="8" t="str">
        <x:v>Software</x:v>
      </x:c>
      <x:c r="G227" s="8" t="str">
        <x:v>United States</x:v>
      </x:c>
      <x:c r="H227" s="8" t="str">
        <x:v>1st Lien</x:v>
      </x:c>
      <x:c r="I227" s="8" t="str">
        <x:v>Floating</x:v>
      </x:c>
      <x:c r="J227" s="8" t="n">
        <x:v>380</x:v>
      </x:c>
      <x:c r="K227" s="10"/>
      <x:c r="L227" s="8" t="n">
        <x:v>0</x:v>
      </x:c>
      <x:c r="M227" s="11" t="n">
        <x:v>48151</x:v>
      </x:c>
      <x:c r="N227" s="10" t="n">
        <x:v>0.485</x:v>
      </x:c>
      <x:c r="O227" s="12" t="n">
        <x:v>99.875</x:v>
      </x:c>
      <x:c r="P227" s="13" t="n">
        <x:v>4</x:v>
      </x:c>
      <x:c r="Q227" s="8" t="str">
        <x:v>USD</x:v>
      </x:c>
      <x:c r="R227" s="8" t="str">
        <x:v>SOFR</x:v>
      </x:c>
      <x:c r="S227" s="18" t="n">
        <x:f>IF(Portfolio_Par&gt;0,D227/Portfolio_Par,"")</x:f>
        <x:v>0.00394</x:v>
      </x:c>
      <x:c r="T227" s="19" t="n">
        <x:f>IF(A227="","",(M227-as_of_date)/365.25)</x:f>
        <x:v>4.826830937713894</x:v>
      </x:c>
      <x:c r="U227" s="20" t="n">
        <x:f>IF(I227="Floating",D227*J227,0)</x:f>
        <x:v>449160000</x:v>
      </x:c>
      <x:c r="V227" s="20" t="n">
        <x:f>IF(A227="","",D227*N227)</x:f>
        <x:v>573270</x:v>
      </x:c>
      <x:c r="W227" s="14" t="n">
        <x:f>IF(A227='Run Snapshot'!A227,0,1)+IF(B227='Run Snapshot'!B227,0,1)+IF(C227='Run Snapshot'!C227,0,1)+IF(D227='Run Snapshot'!D227,0,1)+IF(E227='Run Snapshot'!E227,0,1)+IF(F227='Run Snapshot'!F227,0,1)+IF(G227='Run Snapshot'!G227,0,1)+IF(H227='Run Snapshot'!H227,0,1)+IF(I227='Run Snapshot'!I227,0,1)+IF(J227='Run Snapshot'!J227,0,1)+IF(K227='Run Snapshot'!K227,0,1)+IF(L227='Run Snapshot'!L227,0,1)+IF(M227='Run Snapshot'!M227,0,1)+IF(N227='Run Snapshot'!N227,0,1)+IF(O227='Run Snapshot'!O227,0,1)+IF(P227='Run Snapshot'!P227,0,1)+IF(Q227='Run Snapshot'!Q227,0,1)+IF(R227='Run Snapshot'!R227,0,1)</x:f>
        <x:v>0</x:v>
      </x:c>
      <x:c r="X227" s="15" t="n">
        <x:f>IF(A227="",0,COUNTIF($A$8:$A$289,A227)-1)</x:f>
        <x:v>0</x:v>
      </x:c>
      <x:c r="Y227" s="14" t="n">
        <x:f>IF(A227="",1,IF(OR(D227&lt;=0,N227&lt;0,N227&gt;1,M227&lt;=as_of_date),1,0))</x:f>
        <x:v>0</x:v>
      </x:c>
      <x:c r="Z227" s="170" t="n">
        <x:f>IF(A227="","",VLOOKUP(E227,SP_WARF_Factors,2,FALSE))</x:f>
        <x:v>3610.11</x:v>
      </x:c>
      <x:c r="AA227" s="172" t="n">
        <x:f>IF(A227="","",D227*Z227)</x:f>
        <x:v>4267150020</x:v>
      </x:c>
      <x:c r="AB227" s="170" t="n">
        <x:f>IF(A227="","",D227*ABS(Z227-SPWARF))</x:f>
        <x:v>1454724851.276</x:v>
      </x:c>
    </x:row>
    <x:row r="228">
      <x:c r="A228" s="8" t="str">
        <x:v>SYN-LN-00221</x:v>
      </x:c>
      <x:c r="B228" s="8" t="str">
        <x:v>SYN-OB-0213</x:v>
      </x:c>
      <x:c r="C228" s="8" t="str">
        <x:v>Elmstone Corp. 213</x:v>
      </x:c>
      <x:c r="D228" s="9" t="n">
        <x:v>630000</x:v>
      </x:c>
      <x:c r="E228" s="8" t="str">
        <x:v>BBB+</x:v>
      </x:c>
      <x:c r="F228" s="8" t="str">
        <x:v>Passenger airlines</x:v>
      </x:c>
      <x:c r="G228" s="8" t="str">
        <x:v>Canada</x:v>
      </x:c>
      <x:c r="H228" s="8" t="str">
        <x:v>1st Lien</x:v>
      </x:c>
      <x:c r="I228" s="8" t="str">
        <x:v>Floating</x:v>
      </x:c>
      <x:c r="J228" s="8" t="n">
        <x:v>335</x:v>
      </x:c>
      <x:c r="K228" s="10"/>
      <x:c r="L228" s="8" t="n">
        <x:v>50</x:v>
      </x:c>
      <x:c r="M228" s="11" t="n">
        <x:v>47692</x:v>
      </x:c>
      <x:c r="N228" s="10" t="n">
        <x:v>0.405</x:v>
      </x:c>
      <x:c r="O228" s="12" t="n">
        <x:v>98.25</x:v>
      </x:c>
      <x:c r="P228" s="13" t="n">
        <x:v>4</x:v>
      </x:c>
      <x:c r="Q228" s="8" t="str">
        <x:v>USD</x:v>
      </x:c>
      <x:c r="R228" s="8" t="str">
        <x:v>SOFR</x:v>
      </x:c>
      <x:c r="S228" s="18" t="n">
        <x:f>IF(Portfolio_Par&gt;0,D228/Portfolio_Par,"")</x:f>
        <x:v>0.0021</x:v>
      </x:c>
      <x:c r="T228" s="19" t="n">
        <x:f>IF(A228="","",(M228-as_of_date)/365.25)</x:f>
        <x:v>3.57015742642026</x:v>
      </x:c>
      <x:c r="U228" s="20" t="n">
        <x:f>IF(I228="Floating",D228*J228,0)</x:f>
        <x:v>211050000</x:v>
      </x:c>
      <x:c r="V228" s="20" t="n">
        <x:f>IF(A228="","",D228*N228)</x:f>
        <x:v>255150.00000000003</x:v>
      </x:c>
      <x:c r="W228" s="14" t="n">
        <x:f>IF(A228='Run Snapshot'!A228,0,1)+IF(B228='Run Snapshot'!B228,0,1)+IF(C228='Run Snapshot'!C228,0,1)+IF(D228='Run Snapshot'!D228,0,1)+IF(E228='Run Snapshot'!E228,0,1)+IF(F228='Run Snapshot'!F228,0,1)+IF(G228='Run Snapshot'!G228,0,1)+IF(H228='Run Snapshot'!H228,0,1)+IF(I228='Run Snapshot'!I228,0,1)+IF(J228='Run Snapshot'!J228,0,1)+IF(K228='Run Snapshot'!K228,0,1)+IF(L228='Run Snapshot'!L228,0,1)+IF(M228='Run Snapshot'!M228,0,1)+IF(N228='Run Snapshot'!N228,0,1)+IF(O228='Run Snapshot'!O228,0,1)+IF(P228='Run Snapshot'!P228,0,1)+IF(Q228='Run Snapshot'!Q228,0,1)+IF(R228='Run Snapshot'!R228,0,1)</x:f>
        <x:v>0</x:v>
      </x:c>
      <x:c r="X228" s="15" t="n">
        <x:f>IF(A228="",0,COUNTIF($A$8:$A$289,A228)-1)</x:f>
        <x:v>0</x:v>
      </x:c>
      <x:c r="Y228" s="14" t="n">
        <x:f>IF(A228="",1,IF(OR(D228&lt;=0,N228&lt;0,N228&gt;1,M228&lt;=as_of_date),1,0))</x:f>
        <x:v>0</x:v>
      </x:c>
      <x:c r="Z228" s="170" t="n">
        <x:f>IF(A228="","",VLOOKUP(E228,SP_WARF_Factors,2,FALSE))</x:f>
        <x:v>271.01</x:v>
      </x:c>
      <x:c r="AA228" s="172" t="n">
        <x:f>IF(A228="","",D228*Z228)</x:f>
        <x:v>170736300</x:v>
      </x:c>
      <x:c r="AB228" s="170" t="n">
        <x:f>IF(A228="","",D228*ABS(Z228-SPWARF))</x:f>
        <x:v>1328272038.6599998</x:v>
      </x:c>
    </x:row>
    <x:row r="229">
      <x:c r="A229" s="8" t="str">
        <x:v>SYN-LN-00222</x:v>
      </x:c>
      <x:c r="B229" s="8" t="str">
        <x:v>SYN-OB-0214</x:v>
      </x:c>
      <x:c r="C229" s="8" t="str">
        <x:v>Evergreen Group 214</x:v>
      </x:c>
      <x:c r="D229" s="9" t="n">
        <x:v>1182000</x:v>
      </x:c>
      <x:c r="E229" s="8" t="str">
        <x:v>BB-</x:v>
      </x:c>
      <x:c r="F229" s="8" t="str">
        <x:v>Food Products</x:v>
      </x:c>
      <x:c r="G229" s="8" t="str">
        <x:v>United States</x:v>
      </x:c>
      <x:c r="H229" s="8" t="str">
        <x:v>1st Lien</x:v>
      </x:c>
      <x:c r="I229" s="8" t="str">
        <x:v>Floating</x:v>
      </x:c>
      <x:c r="J229" s="8" t="n">
        <x:v>115</x:v>
      </x:c>
      <x:c r="K229" s="10"/>
      <x:c r="L229" s="8" t="n">
        <x:v>0</x:v>
      </x:c>
      <x:c r="M229" s="11" t="n">
        <x:v>48533</x:v>
      </x:c>
      <x:c r="N229" s="10" t="n">
        <x:v>0.43</x:v>
      </x:c>
      <x:c r="O229" s="12" t="n">
        <x:v>101.5</x:v>
      </x:c>
      <x:c r="P229" s="13" t="n">
        <x:v>4</x:v>
      </x:c>
      <x:c r="Q229" s="8" t="str">
        <x:v>USD</x:v>
      </x:c>
      <x:c r="R229" s="8" t="str">
        <x:v>SOFR</x:v>
      </x:c>
      <x:c r="S229" s="18" t="n">
        <x:f>IF(Portfolio_Par&gt;0,D229/Portfolio_Par,"")</x:f>
        <x:v>0.00394</x:v>
      </x:c>
      <x:c r="T229" s="19" t="n">
        <x:f>IF(A229="","",(M229-as_of_date)/365.25)</x:f>
        <x:v>5.8726899383983575</x:v>
      </x:c>
      <x:c r="U229" s="20" t="n">
        <x:f>IF(I229="Floating",D229*J229,0)</x:f>
        <x:v>135930000</x:v>
      </x:c>
      <x:c r="V229" s="20" t="n">
        <x:f>IF(A229="","",D229*N229)</x:f>
        <x:v>508260</x:v>
      </x:c>
      <x:c r="W229" s="14" t="n">
        <x:f>IF(A229='Run Snapshot'!A229,0,1)+IF(B229='Run Snapshot'!B229,0,1)+IF(C229='Run Snapshot'!C229,0,1)+IF(D229='Run Snapshot'!D229,0,1)+IF(E229='Run Snapshot'!E229,0,1)+IF(F229='Run Snapshot'!F229,0,1)+IF(G229='Run Snapshot'!G229,0,1)+IF(H229='Run Snapshot'!H229,0,1)+IF(I229='Run Snapshot'!I229,0,1)+IF(J229='Run Snapshot'!J229,0,1)+IF(K229='Run Snapshot'!K229,0,1)+IF(L229='Run Snapshot'!L229,0,1)+IF(M229='Run Snapshot'!M229,0,1)+IF(N229='Run Snapshot'!N229,0,1)+IF(O229='Run Snapshot'!O229,0,1)+IF(P229='Run Snapshot'!P229,0,1)+IF(Q229='Run Snapshot'!Q229,0,1)+IF(R229='Run Snapshot'!R229,0,1)</x:f>
        <x:v>0</x:v>
      </x:c>
      <x:c r="X229" s="15" t="n">
        <x:f>IF(A229="",0,COUNTIF($A$8:$A$289,A229)-1)</x:f>
        <x:v>0</x:v>
      </x:c>
      <x:c r="Y229" s="14" t="n">
        <x:f>IF(A229="",1,IF(OR(D229&lt;=0,N229&lt;0,N229&gt;1,M229&lt;=as_of_date),1,0))</x:f>
        <x:v>0</x:v>
      </x:c>
      <x:c r="Z229" s="170" t="n">
        <x:f>IF(A229="","",VLOOKUP(E229,SP_WARF_Factors,2,FALSE))</x:f>
        <x:v>1565.44</x:v>
      </x:c>
      <x:c r="AA229" s="172" t="n">
        <x:f>IF(A229="","",D229*Z229)</x:f>
        <x:v>1850350080</x:v>
      </x:c>
      <x:c r="AB229" s="170" t="n">
        <x:f>IF(A229="","",D229*ABS(Z229-SPWARF))</x:f>
        <x:v>962075088.724</x:v>
      </x:c>
    </x:row>
    <x:row r="230">
      <x:c r="A230" s="8" t="str">
        <x:v>SYN-LN-00223</x:v>
      </x:c>
      <x:c r="B230" s="8" t="str">
        <x:v>SYN-OB-0215</x:v>
      </x:c>
      <x:c r="C230" s="8" t="str">
        <x:v>Fairhaven LLC 215</x:v>
      </x:c>
      <x:c r="D230" s="9" t="n">
        <x:v>1182000</x:v>
      </x:c>
      <x:c r="E230" s="8" t="str">
        <x:v>B</x:v>
      </x:c>
      <x:c r="F230" s="8" t="str">
        <x:v>Diversified Consumer Services</x:v>
      </x:c>
      <x:c r="G230" s="8" t="str">
        <x:v>United States</x:v>
      </x:c>
      <x:c r="H230" s="8" t="str">
        <x:v>1st Lien</x:v>
      </x:c>
      <x:c r="I230" s="8" t="str">
        <x:v>Floating</x:v>
      </x:c>
      <x:c r="J230" s="8" t="n">
        <x:v>290</x:v>
      </x:c>
      <x:c r="K230" s="10"/>
      <x:c r="L230" s="8" t="n">
        <x:v>0</x:v>
      </x:c>
      <x:c r="M230" s="11" t="n">
        <x:v>48487</x:v>
      </x:c>
      <x:c r="N230" s="10" t="n">
        <x:v>0.325</x:v>
      </x:c>
      <x:c r="O230" s="12" t="n">
        <x:v>95.625</x:v>
      </x:c>
      <x:c r="P230" s="13" t="n">
        <x:v>4</x:v>
      </x:c>
      <x:c r="Q230" s="8" t="str">
        <x:v>USD</x:v>
      </x:c>
      <x:c r="R230" s="8" t="str">
        <x:v>SOFR</x:v>
      </x:c>
      <x:c r="S230" s="18" t="n">
        <x:f>IF(Portfolio_Par&gt;0,D230/Portfolio_Par,"")</x:f>
        <x:v>0.00394</x:v>
      </x:c>
      <x:c r="T230" s="19" t="n">
        <x:f>IF(A230="","",(M230-as_of_date)/365.25)</x:f>
        <x:v>5.746748802190281</x:v>
      </x:c>
      <x:c r="U230" s="20" t="n">
        <x:f>IF(I230="Floating",D230*J230,0)</x:f>
        <x:v>342780000</x:v>
      </x:c>
      <x:c r="V230" s="20" t="n">
        <x:f>IF(A230="","",D230*N230)</x:f>
        <x:v>384150</x:v>
      </x:c>
      <x:c r="W230" s="14" t="n">
        <x:f>IF(A230='Run Snapshot'!A230,0,1)+IF(B230='Run Snapshot'!B230,0,1)+IF(C230='Run Snapshot'!C230,0,1)+IF(D230='Run Snapshot'!D230,0,1)+IF(E230='Run Snapshot'!E230,0,1)+IF(F230='Run Snapshot'!F230,0,1)+IF(G230='Run Snapshot'!G230,0,1)+IF(H230='Run Snapshot'!H230,0,1)+IF(I230='Run Snapshot'!I230,0,1)+IF(J230='Run Snapshot'!J230,0,1)+IF(K230='Run Snapshot'!K230,0,1)+IF(L230='Run Snapshot'!L230,0,1)+IF(M230='Run Snapshot'!M230,0,1)+IF(N230='Run Snapshot'!N230,0,1)+IF(O230='Run Snapshot'!O230,0,1)+IF(P230='Run Snapshot'!P230,0,1)+IF(Q230='Run Snapshot'!Q230,0,1)+IF(R230='Run Snapshot'!R230,0,1)</x:f>
        <x:v>0</x:v>
      </x:c>
      <x:c r="X230" s="15" t="n">
        <x:f>IF(A230="",0,COUNTIF($A$8:$A$289,A230)-1)</x:f>
        <x:v>0</x:v>
      </x:c>
      <x:c r="Y230" s="14" t="n">
        <x:f>IF(A230="",1,IF(OR(D230&lt;=0,N230&lt;0,N230&gt;1,M230&lt;=as_of_date),1,0))</x:f>
        <x:v>0</x:v>
      </x:c>
      <x:c r="Z230" s="170" t="n">
        <x:f>IF(A230="","",VLOOKUP(E230,SP_WARF_Factors,2,FALSE))</x:f>
        <x:v>2859.5</x:v>
      </x:c>
      <x:c r="AA230" s="172" t="n">
        <x:f>IF(A230="","",D230*Z230)</x:f>
        <x:v>3379929000</x:v>
      </x:c>
      <x:c r="AB230" s="170" t="n">
        <x:f>IF(A230="","",D230*ABS(Z230-SPWARF))</x:f>
        <x:v>567503831.2759999</x:v>
      </x:c>
    </x:row>
    <x:row r="231">
      <x:c r="A231" s="8" t="str">
        <x:v>SYN-LN-00224</x:v>
      </x:c>
      <x:c r="B231" s="8" t="str">
        <x:v>SYN-OB-0216</x:v>
      </x:c>
      <x:c r="C231" s="8" t="str">
        <x:v>Granite Holdings 216</x:v>
      </x:c>
      <x:c r="D231" s="9" t="n">
        <x:v>1182000</x:v>
      </x:c>
      <x:c r="E231" s="8" t="str">
        <x:v>BB-</x:v>
      </x:c>
      <x:c r="F231" s="8" t="str">
        <x:v>Oil, Gas &amp; Consumable Fuels</x:v>
      </x:c>
      <x:c r="G231" s="8" t="str">
        <x:v>United States</x:v>
      </x:c>
      <x:c r="H231" s="8" t="str">
        <x:v>1st Lien</x:v>
      </x:c>
      <x:c r="I231" s="8" t="str">
        <x:v>Floating</x:v>
      </x:c>
      <x:c r="J231" s="8" t="n">
        <x:v>310</x:v>
      </x:c>
      <x:c r="K231" s="10"/>
      <x:c r="L231" s="8" t="n">
        <x:v>0</x:v>
      </x:c>
      <x:c r="M231" s="11" t="n">
        <x:v>48638</x:v>
      </x:c>
      <x:c r="N231" s="10" t="n">
        <x:v>0.46</x:v>
      </x:c>
      <x:c r="O231" s="12" t="n">
        <x:v>101.5</x:v>
      </x:c>
      <x:c r="P231" s="13" t="n">
        <x:v>4</x:v>
      </x:c>
      <x:c r="Q231" s="8" t="str">
        <x:v>USD</x:v>
      </x:c>
      <x:c r="R231" s="8" t="str">
        <x:v>SOFR</x:v>
      </x:c>
      <x:c r="S231" s="18" t="n">
        <x:f>IF(Portfolio_Par&gt;0,D231/Portfolio_Par,"")</x:f>
        <x:v>0.00394</x:v>
      </x:c>
      <x:c r="T231" s="19" t="n">
        <x:f>IF(A231="","",(M231-as_of_date)/365.25)</x:f>
        <x:v>6.160164271047228</x:v>
      </x:c>
      <x:c r="U231" s="20" t="n">
        <x:f>IF(I231="Floating",D231*J231,0)</x:f>
        <x:v>366420000</x:v>
      </x:c>
      <x:c r="V231" s="20" t="n">
        <x:f>IF(A231="","",D231*N231)</x:f>
        <x:v>543720</x:v>
      </x:c>
      <x:c r="W231" s="14" t="n">
        <x:f>IF(A231='Run Snapshot'!A231,0,1)+IF(B231='Run Snapshot'!B231,0,1)+IF(C231='Run Snapshot'!C231,0,1)+IF(D231='Run Snapshot'!D231,0,1)+IF(E231='Run Snapshot'!E231,0,1)+IF(F231='Run Snapshot'!F231,0,1)+IF(G231='Run Snapshot'!G231,0,1)+IF(H231='Run Snapshot'!H231,0,1)+IF(I231='Run Snapshot'!I231,0,1)+IF(J231='Run Snapshot'!J231,0,1)+IF(K231='Run Snapshot'!K231,0,1)+IF(L231='Run Snapshot'!L231,0,1)+IF(M231='Run Snapshot'!M231,0,1)+IF(N231='Run Snapshot'!N231,0,1)+IF(O231='Run Snapshot'!O231,0,1)+IF(P231='Run Snapshot'!P231,0,1)+IF(Q231='Run Snapshot'!Q231,0,1)+IF(R231='Run Snapshot'!R231,0,1)</x:f>
        <x:v>0</x:v>
      </x:c>
      <x:c r="X231" s="15" t="n">
        <x:f>IF(A231="",0,COUNTIF($A$8:$A$289,A231)-1)</x:f>
        <x:v>0</x:v>
      </x:c>
      <x:c r="Y231" s="14" t="n">
        <x:f>IF(A231="",1,IF(OR(D231&lt;=0,N231&lt;0,N231&gt;1,M231&lt;=as_of_date),1,0))</x:f>
        <x:v>0</x:v>
      </x:c>
      <x:c r="Z231" s="170" t="n">
        <x:f>IF(A231="","",VLOOKUP(E231,SP_WARF_Factors,2,FALSE))</x:f>
        <x:v>1565.44</x:v>
      </x:c>
      <x:c r="AA231" s="172" t="n">
        <x:f>IF(A231="","",D231*Z231)</x:f>
        <x:v>1850350080</x:v>
      </x:c>
      <x:c r="AB231" s="170" t="n">
        <x:f>IF(A231="","",D231*ABS(Z231-SPWARF))</x:f>
        <x:v>962075088.724</x:v>
      </x:c>
    </x:row>
    <x:row r="232">
      <x:c r="A232" s="8" t="str">
        <x:v>SYN-LN-00225</x:v>
      </x:c>
      <x:c r="B232" s="8" t="str">
        <x:v>SYN-OB-0217</x:v>
      </x:c>
      <x:c r="C232" s="8" t="str">
        <x:v>Harbor Inc. 217</x:v>
      </x:c>
      <x:c r="D232" s="9" t="n">
        <x:v>1182000</x:v>
      </x:c>
      <x:c r="E232" s="8" t="str">
        <x:v>B</x:v>
      </x:c>
      <x:c r="F232" s="8" t="str">
        <x:v>Capital Markets</x:v>
      </x:c>
      <x:c r="G232" s="8" t="str">
        <x:v>United States</x:v>
      </x:c>
      <x:c r="H232" s="8" t="str">
        <x:v>1st Lien</x:v>
      </x:c>
      <x:c r="I232" s="8" t="str">
        <x:v>Floating</x:v>
      </x:c>
      <x:c r="J232" s="8" t="n">
        <x:v>245</x:v>
      </x:c>
      <x:c r="K232" s="10"/>
      <x:c r="L232" s="8" t="n">
        <x:v>0</x:v>
      </x:c>
      <x:c r="M232" s="11" t="n">
        <x:v>48775</x:v>
      </x:c>
      <x:c r="N232" s="10" t="n">
        <x:v>0.33</x:v>
      </x:c>
      <x:c r="O232" s="12" t="n">
        <x:v>101.5</x:v>
      </x:c>
      <x:c r="P232" s="13" t="n">
        <x:v>4</x:v>
      </x:c>
      <x:c r="Q232" s="8" t="str">
        <x:v>USD</x:v>
      </x:c>
      <x:c r="R232" s="8" t="str">
        <x:v>SOFR</x:v>
      </x:c>
      <x:c r="S232" s="18" t="n">
        <x:f>IF(Portfolio_Par&gt;0,D232/Portfolio_Par,"")</x:f>
        <x:v>0.00394</x:v>
      </x:c>
      <x:c r="T232" s="19" t="n">
        <x:f>IF(A232="","",(M232-as_of_date)/365.25)</x:f>
        <x:v>6.535249828884326</x:v>
      </x:c>
      <x:c r="U232" s="20" t="n">
        <x:f>IF(I232="Floating",D232*J232,0)</x:f>
        <x:v>289590000</x:v>
      </x:c>
      <x:c r="V232" s="20" t="n">
        <x:f>IF(A232="","",D232*N232)</x:f>
        <x:v>390060</x:v>
      </x:c>
      <x:c r="W232" s="14" t="n">
        <x:f>IF(A232='Run Snapshot'!A232,0,1)+IF(B232='Run Snapshot'!B232,0,1)+IF(C232='Run Snapshot'!C232,0,1)+IF(D232='Run Snapshot'!D232,0,1)+IF(E232='Run Snapshot'!E232,0,1)+IF(F232='Run Snapshot'!F232,0,1)+IF(G232='Run Snapshot'!G232,0,1)+IF(H232='Run Snapshot'!H232,0,1)+IF(I232='Run Snapshot'!I232,0,1)+IF(J232='Run Snapshot'!J232,0,1)+IF(K232='Run Snapshot'!K232,0,1)+IF(L232='Run Snapshot'!L232,0,1)+IF(M232='Run Snapshot'!M232,0,1)+IF(N232='Run Snapshot'!N232,0,1)+IF(O232='Run Snapshot'!O232,0,1)+IF(P232='Run Snapshot'!P232,0,1)+IF(Q232='Run Snapshot'!Q232,0,1)+IF(R232='Run Snapshot'!R232,0,1)</x:f>
        <x:v>0</x:v>
      </x:c>
      <x:c r="X232" s="15" t="n">
        <x:f>IF(A232="",0,COUNTIF($A$8:$A$289,A232)-1)</x:f>
        <x:v>0</x:v>
      </x:c>
      <x:c r="Y232" s="14" t="n">
        <x:f>IF(A232="",1,IF(OR(D232&lt;=0,N232&lt;0,N232&gt;1,M232&lt;=as_of_date),1,0))</x:f>
        <x:v>0</x:v>
      </x:c>
      <x:c r="Z232" s="170" t="n">
        <x:f>IF(A232="","",VLOOKUP(E232,SP_WARF_Factors,2,FALSE))</x:f>
        <x:v>2859.5</x:v>
      </x:c>
      <x:c r="AA232" s="172" t="n">
        <x:f>IF(A232="","",D232*Z232)</x:f>
        <x:v>3379929000</x:v>
      </x:c>
      <x:c r="AB232" s="170" t="n">
        <x:f>IF(A232="","",D232*ABS(Z232-SPWARF))</x:f>
        <x:v>567503831.2759999</x:v>
      </x:c>
    </x:row>
    <x:row r="233">
      <x:c r="A233" s="8" t="str">
        <x:v>SYN-LN-00226</x:v>
      </x:c>
      <x:c r="B233" s="8" t="str">
        <x:v>SYN-OB-0218</x:v>
      </x:c>
      <x:c r="C233" s="8" t="str">
        <x:v>Hawthorne Corp. 218</x:v>
      </x:c>
      <x:c r="D233" s="9" t="n">
        <x:v>1182000</x:v>
      </x:c>
      <x:c r="E233" s="8" t="str">
        <x:v>B</x:v>
      </x:c>
      <x:c r="F233" s="8" t="str">
        <x:v>Healthcare Equipment &amp; Supplies</x:v>
      </x:c>
      <x:c r="G233" s="8" t="str">
        <x:v>United States</x:v>
      </x:c>
      <x:c r="H233" s="8" t="str">
        <x:v>1st Lien</x:v>
      </x:c>
      <x:c r="I233" s="8" t="str">
        <x:v>Floating</x:v>
      </x:c>
      <x:c r="J233" s="8" t="n">
        <x:v>160</x:v>
      </x:c>
      <x:c r="K233" s="10"/>
      <x:c r="L233" s="8" t="n">
        <x:v>0</x:v>
      </x:c>
      <x:c r="M233" s="11" t="n">
        <x:v>48423</x:v>
      </x:c>
      <x:c r="N233" s="10" t="n">
        <x:v>0.395</x:v>
      </x:c>
      <x:c r="O233" s="12" t="n">
        <x:v>100.875</x:v>
      </x:c>
      <x:c r="P233" s="13" t="n">
        <x:v>4</x:v>
      </x:c>
      <x:c r="Q233" s="8" t="str">
        <x:v>USD</x:v>
      </x:c>
      <x:c r="R233" s="8" t="str">
        <x:v>SOFR</x:v>
      </x:c>
      <x:c r="S233" s="18" t="n">
        <x:f>IF(Portfolio_Par&gt;0,D233/Portfolio_Par,"")</x:f>
        <x:v>0.00394</x:v>
      </x:c>
      <x:c r="T233" s="19" t="n">
        <x:f>IF(A233="","",(M233-as_of_date)/365.25)</x:f>
        <x:v>5.5715263518138265</x:v>
      </x:c>
      <x:c r="U233" s="20" t="n">
        <x:f>IF(I233="Floating",D233*J233,0)</x:f>
        <x:v>189120000</x:v>
      </x:c>
      <x:c r="V233" s="20" t="n">
        <x:f>IF(A233="","",D233*N233)</x:f>
        <x:v>466890</x:v>
      </x:c>
      <x:c r="W233" s="14" t="n">
        <x:f>IF(A233='Run Snapshot'!A233,0,1)+IF(B233='Run Snapshot'!B233,0,1)+IF(C233='Run Snapshot'!C233,0,1)+IF(D233='Run Snapshot'!D233,0,1)+IF(E233='Run Snapshot'!E233,0,1)+IF(F233='Run Snapshot'!F233,0,1)+IF(G233='Run Snapshot'!G233,0,1)+IF(H233='Run Snapshot'!H233,0,1)+IF(I233='Run Snapshot'!I233,0,1)+IF(J233='Run Snapshot'!J233,0,1)+IF(K233='Run Snapshot'!K233,0,1)+IF(L233='Run Snapshot'!L233,0,1)+IF(M233='Run Snapshot'!M233,0,1)+IF(N233='Run Snapshot'!N233,0,1)+IF(O233='Run Snapshot'!O233,0,1)+IF(P233='Run Snapshot'!P233,0,1)+IF(Q233='Run Snapshot'!Q233,0,1)+IF(R233='Run Snapshot'!R233,0,1)</x:f>
        <x:v>0</x:v>
      </x:c>
      <x:c r="X233" s="15" t="n">
        <x:f>IF(A233="",0,COUNTIF($A$8:$A$289,A233)-1)</x:f>
        <x:v>0</x:v>
      </x:c>
      <x:c r="Y233" s="14" t="n">
        <x:f>IF(A233="",1,IF(OR(D233&lt;=0,N233&lt;0,N233&gt;1,M233&lt;=as_of_date),1,0))</x:f>
        <x:v>0</x:v>
      </x:c>
      <x:c r="Z233" s="170" t="n">
        <x:f>IF(A233="","",VLOOKUP(E233,SP_WARF_Factors,2,FALSE))</x:f>
        <x:v>2859.5</x:v>
      </x:c>
      <x:c r="AA233" s="172" t="n">
        <x:f>IF(A233="","",D233*Z233)</x:f>
        <x:v>3379929000</x:v>
      </x:c>
      <x:c r="AB233" s="170" t="n">
        <x:f>IF(A233="","",D233*ABS(Z233-SPWARF))</x:f>
        <x:v>567503831.2759999</x:v>
      </x:c>
    </x:row>
    <x:row r="234">
      <x:c r="A234" s="8" t="str">
        <x:v>SYN-LN-00227</x:v>
      </x:c>
      <x:c r="B234" s="8" t="str">
        <x:v>SYN-OB-0219</x:v>
      </x:c>
      <x:c r="C234" s="8" t="str">
        <x:v>Highland Group 219</x:v>
      </x:c>
      <x:c r="D234" s="9" t="n">
        <x:v>1182000</x:v>
      </x:c>
      <x:c r="E234" s="8" t="str">
        <x:v>B+</x:v>
      </x:c>
      <x:c r="F234" s="8" t="str">
        <x:v>Electric Utilities</x:v>
      </x:c>
      <x:c r="G234" s="8" t="str">
        <x:v>United States</x:v>
      </x:c>
      <x:c r="H234" s="8" t="str">
        <x:v>1st Lien</x:v>
      </x:c>
      <x:c r="I234" s="8" t="str">
        <x:v>Floating</x:v>
      </x:c>
      <x:c r="J234" s="8" t="n">
        <x:v>150</x:v>
      </x:c>
      <x:c r="K234" s="10"/>
      <x:c r="L234" s="8" t="n">
        <x:v>0</x:v>
      </x:c>
      <x:c r="M234" s="11" t="n">
        <x:v>48515</x:v>
      </x:c>
      <x:c r="N234" s="10" t="n">
        <x:v>0.41</x:v>
      </x:c>
      <x:c r="O234" s="12" t="n">
        <x:v>100</x:v>
      </x:c>
      <x:c r="P234" s="13" t="n">
        <x:v>4</x:v>
      </x:c>
      <x:c r="Q234" s="8" t="str">
        <x:v>USD</x:v>
      </x:c>
      <x:c r="R234" s="8" t="str">
        <x:v>SOFR</x:v>
      </x:c>
      <x:c r="S234" s="18" t="n">
        <x:f>IF(Portfolio_Par&gt;0,D234/Portfolio_Par,"")</x:f>
        <x:v>0.00394</x:v>
      </x:c>
      <x:c r="T234" s="19" t="n">
        <x:f>IF(A234="","",(M234-as_of_date)/365.25)</x:f>
        <x:v>5.823408624229979</x:v>
      </x:c>
      <x:c r="U234" s="20" t="n">
        <x:f>IF(I234="Floating",D234*J234,0)</x:f>
        <x:v>177300000</x:v>
      </x:c>
      <x:c r="V234" s="20" t="n">
        <x:f>IF(A234="","",D234*N234)</x:f>
        <x:v>484620</x:v>
      </x:c>
      <x:c r="W234" s="14" t="n">
        <x:f>IF(A234='Run Snapshot'!A234,0,1)+IF(B234='Run Snapshot'!B234,0,1)+IF(C234='Run Snapshot'!C234,0,1)+IF(D234='Run Snapshot'!D234,0,1)+IF(E234='Run Snapshot'!E234,0,1)+IF(F234='Run Snapshot'!F234,0,1)+IF(G234='Run Snapshot'!G234,0,1)+IF(H234='Run Snapshot'!H234,0,1)+IF(I234='Run Snapshot'!I234,0,1)+IF(J234='Run Snapshot'!J234,0,1)+IF(K234='Run Snapshot'!K234,0,1)+IF(L234='Run Snapshot'!L234,0,1)+IF(M234='Run Snapshot'!M234,0,1)+IF(N234='Run Snapshot'!N234,0,1)+IF(O234='Run Snapshot'!O234,0,1)+IF(P234='Run Snapshot'!P234,0,1)+IF(Q234='Run Snapshot'!Q234,0,1)+IF(R234='Run Snapshot'!R234,0,1)</x:f>
        <x:v>0</x:v>
      </x:c>
      <x:c r="X234" s="15" t="n">
        <x:f>IF(A234="",0,COUNTIF($A$8:$A$289,A234)-1)</x:f>
        <x:v>0</x:v>
      </x:c>
      <x:c r="Y234" s="14" t="n">
        <x:f>IF(A234="",1,IF(OR(D234&lt;=0,N234&lt;0,N234&gt;1,M234&lt;=as_of_date),1,0))</x:f>
        <x:v>0</x:v>
      </x:c>
      <x:c r="Z234" s="170" t="n">
        <x:f>IF(A234="","",VLOOKUP(E234,SP_WARF_Factors,2,FALSE))</x:f>
        <x:v>1982</x:v>
      </x:c>
      <x:c r="AA234" s="172" t="n">
        <x:f>IF(A234="","",D234*Z234)</x:f>
        <x:v>2342724000</x:v>
      </x:c>
      <x:c r="AB234" s="170" t="n">
        <x:f>IF(A234="","",D234*ABS(Z234-SPWARF))</x:f>
        <x:v>469701168.72400004</x:v>
      </x:c>
    </x:row>
    <x:row r="235">
      <x:c r="A235" s="8" t="str">
        <x:v>SYN-LN-00228</x:v>
      </x:c>
      <x:c r="B235" s="8" t="str">
        <x:v>SYN-OB-0220</x:v>
      </x:c>
      <x:c r="C235" s="8" t="str">
        <x:v>Ironwood LLC 220</x:v>
      </x:c>
      <x:c r="D235" s="9" t="n">
        <x:v>1182000</x:v>
      </x:c>
      <x:c r="E235" s="8" t="str">
        <x:v>B-</x:v>
      </x:c>
      <x:c r="F235" s="8" t="str">
        <x:v>Containers &amp; Packaging</x:v>
      </x:c>
      <x:c r="G235" s="8" t="str">
        <x:v>United States</x:v>
      </x:c>
      <x:c r="H235" s="8" t="str">
        <x:v>1st Lien</x:v>
      </x:c>
      <x:c r="I235" s="8" t="str">
        <x:v>Floating</x:v>
      </x:c>
      <x:c r="J235" s="8" t="n">
        <x:v>315</x:v>
      </x:c>
      <x:c r="K235" s="10"/>
      <x:c r="L235" s="8" t="n">
        <x:v>0</x:v>
      </x:c>
      <x:c r="M235" s="11" t="n">
        <x:v>47832</x:v>
      </x:c>
      <x:c r="N235" s="10" t="n">
        <x:v>0.37</x:v>
      </x:c>
      <x:c r="O235" s="12" t="n">
        <x:v>95.875</x:v>
      </x:c>
      <x:c r="P235" s="13" t="n">
        <x:v>4</x:v>
      </x:c>
      <x:c r="Q235" s="8" t="str">
        <x:v>USD</x:v>
      </x:c>
      <x:c r="R235" s="8" t="str">
        <x:v>SOFR</x:v>
      </x:c>
      <x:c r="S235" s="18" t="n">
        <x:f>IF(Portfolio_Par&gt;0,D235/Portfolio_Par,"")</x:f>
        <x:v>0.00394</x:v>
      </x:c>
      <x:c r="T235" s="19" t="n">
        <x:f>IF(A235="","",(M235-as_of_date)/365.25)</x:f>
        <x:v>3.9534565366187544</x:v>
      </x:c>
      <x:c r="U235" s="20" t="n">
        <x:f>IF(I235="Floating",D235*J235,0)</x:f>
        <x:v>372330000</x:v>
      </x:c>
      <x:c r="V235" s="20" t="n">
        <x:f>IF(A235="","",D235*N235)</x:f>
        <x:v>437340</x:v>
      </x:c>
      <x:c r="W235" s="14" t="n">
        <x:f>IF(A235='Run Snapshot'!A235,0,1)+IF(B235='Run Snapshot'!B235,0,1)+IF(C235='Run Snapshot'!C235,0,1)+IF(D235='Run Snapshot'!D235,0,1)+IF(E235='Run Snapshot'!E235,0,1)+IF(F235='Run Snapshot'!F235,0,1)+IF(G235='Run Snapshot'!G235,0,1)+IF(H235='Run Snapshot'!H235,0,1)+IF(I235='Run Snapshot'!I235,0,1)+IF(J235='Run Snapshot'!J235,0,1)+IF(K235='Run Snapshot'!K235,0,1)+IF(L235='Run Snapshot'!L235,0,1)+IF(M235='Run Snapshot'!M235,0,1)+IF(N235='Run Snapshot'!N235,0,1)+IF(O235='Run Snapshot'!O235,0,1)+IF(P235='Run Snapshot'!P235,0,1)+IF(Q235='Run Snapshot'!Q235,0,1)+IF(R235='Run Snapshot'!R235,0,1)</x:f>
        <x:v>0</x:v>
      </x:c>
      <x:c r="X235" s="15" t="n">
        <x:f>IF(A235="",0,COUNTIF($A$8:$A$289,A235)-1)</x:f>
        <x:v>0</x:v>
      </x:c>
      <x:c r="Y235" s="14" t="n">
        <x:f>IF(A235="",1,IF(OR(D235&lt;=0,N235&lt;0,N235&gt;1,M235&lt;=as_of_date),1,0))</x:f>
        <x:v>0</x:v>
      </x:c>
      <x:c r="Z235" s="170" t="n">
        <x:f>IF(A235="","",VLOOKUP(E235,SP_WARF_Factors,2,FALSE))</x:f>
        <x:v>3610.11</x:v>
      </x:c>
      <x:c r="AA235" s="172" t="n">
        <x:f>IF(A235="","",D235*Z235)</x:f>
        <x:v>4267150020</x:v>
      </x:c>
      <x:c r="AB235" s="170" t="n">
        <x:f>IF(A235="","",D235*ABS(Z235-SPWARF))</x:f>
        <x:v>1454724851.276</x:v>
      </x:c>
    </x:row>
    <x:row r="236">
      <x:c r="A236" s="8" t="str">
        <x:v>SYN-LN-00229</x:v>
      </x:c>
      <x:c r="B236" s="8" t="str">
        <x:v>SYN-OB-0221</x:v>
      </x:c>
      <x:c r="C236" s="8" t="str">
        <x:v>Juniper Holdings 221</x:v>
      </x:c>
      <x:c r="D236" s="9" t="n">
        <x:v>1182000</x:v>
      </x:c>
      <x:c r="E236" s="8" t="str">
        <x:v>B-</x:v>
      </x:c>
      <x:c r="F236" s="8" t="str">
        <x:v>Transportation Infrastructure</x:v>
      </x:c>
      <x:c r="G236" s="8" t="str">
        <x:v>United States</x:v>
      </x:c>
      <x:c r="H236" s="8" t="str">
        <x:v>1st Lien</x:v>
      </x:c>
      <x:c r="I236" s="8" t="str">
        <x:v>Floating</x:v>
      </x:c>
      <x:c r="J236" s="8" t="n">
        <x:v>295</x:v>
      </x:c>
      <x:c r="K236" s="10"/>
      <x:c r="L236" s="8" t="n">
        <x:v>0</x:v>
      </x:c>
      <x:c r="M236" s="11" t="n">
        <x:v>47998</x:v>
      </x:c>
      <x:c r="N236" s="10" t="n">
        <x:v>0.565</x:v>
      </x:c>
      <x:c r="O236" s="12" t="n">
        <x:v>97.5</x:v>
      </x:c>
      <x:c r="P236" s="13" t="n">
        <x:v>4</x:v>
      </x:c>
      <x:c r="Q236" s="8" t="str">
        <x:v>USD</x:v>
      </x:c>
      <x:c r="R236" s="8" t="str">
        <x:v>SOFR</x:v>
      </x:c>
      <x:c r="S236" s="18" t="n">
        <x:f>IF(Portfolio_Par&gt;0,D236/Portfolio_Par,"")</x:f>
        <x:v>0.00394</x:v>
      </x:c>
      <x:c r="T236" s="19" t="n">
        <x:f>IF(A236="","",(M236-as_of_date)/365.25)</x:f>
        <x:v>4.407939767282683</x:v>
      </x:c>
      <x:c r="U236" s="20" t="n">
        <x:f>IF(I236="Floating",D236*J236,0)</x:f>
        <x:v>348690000</x:v>
      </x:c>
      <x:c r="V236" s="20" t="n">
        <x:f>IF(A236="","",D236*N236)</x:f>
        <x:v>667829.9999999999</x:v>
      </x:c>
      <x:c r="W236" s="14" t="n">
        <x:f>IF(A236='Run Snapshot'!A236,0,1)+IF(B236='Run Snapshot'!B236,0,1)+IF(C236='Run Snapshot'!C236,0,1)+IF(D236='Run Snapshot'!D236,0,1)+IF(E236='Run Snapshot'!E236,0,1)+IF(F236='Run Snapshot'!F236,0,1)+IF(G236='Run Snapshot'!G236,0,1)+IF(H236='Run Snapshot'!H236,0,1)+IF(I236='Run Snapshot'!I236,0,1)+IF(J236='Run Snapshot'!J236,0,1)+IF(K236='Run Snapshot'!K236,0,1)+IF(L236='Run Snapshot'!L236,0,1)+IF(M236='Run Snapshot'!M236,0,1)+IF(N236='Run Snapshot'!N236,0,1)+IF(O236='Run Snapshot'!O236,0,1)+IF(P236='Run Snapshot'!P236,0,1)+IF(Q236='Run Snapshot'!Q236,0,1)+IF(R236='Run Snapshot'!R236,0,1)</x:f>
        <x:v>0</x:v>
      </x:c>
      <x:c r="X236" s="15" t="n">
        <x:f>IF(A236="",0,COUNTIF($A$8:$A$289,A236)-1)</x:f>
        <x:v>0</x:v>
      </x:c>
      <x:c r="Y236" s="14" t="n">
        <x:f>IF(A236="",1,IF(OR(D236&lt;=0,N236&lt;0,N236&gt;1,M236&lt;=as_of_date),1,0))</x:f>
        <x:v>0</x:v>
      </x:c>
      <x:c r="Z236" s="170" t="n">
        <x:f>IF(A236="","",VLOOKUP(E236,SP_WARF_Factors,2,FALSE))</x:f>
        <x:v>3610.11</x:v>
      </x:c>
      <x:c r="AA236" s="172" t="n">
        <x:f>IF(A236="","",D236*Z236)</x:f>
        <x:v>4267150020</x:v>
      </x:c>
      <x:c r="AB236" s="170" t="n">
        <x:f>IF(A236="","",D236*ABS(Z236-SPWARF))</x:f>
        <x:v>1454724851.276</x:v>
      </x:c>
    </x:row>
    <x:row r="237">
      <x:c r="A237" s="8" t="str">
        <x:v>SYN-LN-00230</x:v>
      </x:c>
      <x:c r="B237" s="8" t="str">
        <x:v>SYN-OB-0222</x:v>
      </x:c>
      <x:c r="C237" s="8" t="str">
        <x:v>Keystone Inc. 222</x:v>
      </x:c>
      <x:c r="D237" s="9" t="n">
        <x:v>1182000</x:v>
      </x:c>
      <x:c r="E237" s="8" t="str">
        <x:v>BB</x:v>
      </x:c>
      <x:c r="F237" s="8" t="str">
        <x:v>Leisure Products</x:v>
      </x:c>
      <x:c r="G237" s="8" t="str">
        <x:v>United Kingdom</x:v>
      </x:c>
      <x:c r="H237" s="8" t="str">
        <x:v>1st Lien</x:v>
      </x:c>
      <x:c r="I237" s="8" t="str">
        <x:v>Floating</x:v>
      </x:c>
      <x:c r="J237" s="8" t="n">
        <x:v>150</x:v>
      </x:c>
      <x:c r="K237" s="10"/>
      <x:c r="L237" s="8" t="n">
        <x:v>0</x:v>
      </x:c>
      <x:c r="M237" s="11" t="n">
        <x:v>49003</x:v>
      </x:c>
      <x:c r="N237" s="10" t="n">
        <x:v>0.215</x:v>
      </x:c>
      <x:c r="O237" s="12" t="n">
        <x:v>99.125</x:v>
      </x:c>
      <x:c r="P237" s="13" t="n">
        <x:v>4</x:v>
      </x:c>
      <x:c r="Q237" s="8" t="str">
        <x:v>USD</x:v>
      </x:c>
      <x:c r="R237" s="8" t="str">
        <x:v>SOFR</x:v>
      </x:c>
      <x:c r="S237" s="18" t="n">
        <x:f>IF(Portfolio_Par&gt;0,D237/Portfolio_Par,"")</x:f>
        <x:v>0.00394</x:v>
      </x:c>
      <x:c r="T237" s="19" t="n">
        <x:f>IF(A237="","",(M237-as_of_date)/365.25)</x:f>
        <x:v>7.1594798083504445</x:v>
      </x:c>
      <x:c r="U237" s="20" t="n">
        <x:f>IF(I237="Floating",D237*J237,0)</x:f>
        <x:v>177300000</x:v>
      </x:c>
      <x:c r="V237" s="20" t="n">
        <x:f>IF(A237="","",D237*N237)</x:f>
        <x:v>254130</x:v>
      </x:c>
      <x:c r="W237" s="14" t="n">
        <x:f>IF(A237='Run Snapshot'!A237,0,1)+IF(B237='Run Snapshot'!B237,0,1)+IF(C237='Run Snapshot'!C237,0,1)+IF(D237='Run Snapshot'!D237,0,1)+IF(E237='Run Snapshot'!E237,0,1)+IF(F237='Run Snapshot'!F237,0,1)+IF(G237='Run Snapshot'!G237,0,1)+IF(H237='Run Snapshot'!H237,0,1)+IF(I237='Run Snapshot'!I237,0,1)+IF(J237='Run Snapshot'!J237,0,1)+IF(K237='Run Snapshot'!K237,0,1)+IF(L237='Run Snapshot'!L237,0,1)+IF(M237='Run Snapshot'!M237,0,1)+IF(N237='Run Snapshot'!N237,0,1)+IF(O237='Run Snapshot'!O237,0,1)+IF(P237='Run Snapshot'!P237,0,1)+IF(Q237='Run Snapshot'!Q237,0,1)+IF(R237='Run Snapshot'!R237,0,1)</x:f>
        <x:v>0</x:v>
      </x:c>
      <x:c r="X237" s="15" t="n">
        <x:f>IF(A237="",0,COUNTIF($A$8:$A$289,A237)-1)</x:f>
        <x:v>0</x:v>
      </x:c>
      <x:c r="Y237" s="14" t="n">
        <x:f>IF(A237="",1,IF(OR(D237&lt;=0,N237&lt;0,N237&gt;1,M237&lt;=as_of_date),1,0))</x:f>
        <x:v>0</x:v>
      </x:c>
      <x:c r="Z237" s="170" t="n">
        <x:f>IF(A237="","",VLOOKUP(E237,SP_WARF_Factors,2,FALSE))</x:f>
        <x:v>1233.63</x:v>
      </x:c>
      <x:c r="AA237" s="172" t="n">
        <x:f>IF(A237="","",D237*Z237)</x:f>
        <x:v>1458150660.0000002</x:v>
      </x:c>
      <x:c r="AB237" s="170" t="n">
        <x:f>IF(A237="","",D237*ABS(Z237-SPWARF))</x:f>
        <x:v>1354274508.724</x:v>
      </x:c>
    </x:row>
    <x:row r="238">
      <x:c r="A238" s="8" t="str">
        <x:v>SYN-LN-00231</x:v>
      </x:c>
      <x:c r="B238" s="8" t="str">
        <x:v>SYN-OB-0223</x:v>
      </x:c>
      <x:c r="C238" s="8" t="str">
        <x:v>Lakeview Corp. 223</x:v>
      </x:c>
      <x:c r="D238" s="9" t="n">
        <x:v>1182000</x:v>
      </x:c>
      <x:c r="E238" s="8" t="str">
        <x:v>B-</x:v>
      </x:c>
      <x:c r="F238" s="8" t="str">
        <x:v>Healthcare Providers &amp; Services</x:v>
      </x:c>
      <x:c r="G238" s="8" t="str">
        <x:v>United States</x:v>
      </x:c>
      <x:c r="H238" s="8" t="str">
        <x:v>1st Lien</x:v>
      </x:c>
      <x:c r="I238" s="8" t="str">
        <x:v>Floating</x:v>
      </x:c>
      <x:c r="J238" s="8" t="n">
        <x:v>405</x:v>
      </x:c>
      <x:c r="K238" s="10"/>
      <x:c r="L238" s="8" t="n">
        <x:v>0</x:v>
      </x:c>
      <x:c r="M238" s="11" t="n">
        <x:v>48666</x:v>
      </x:c>
      <x:c r="N238" s="10" t="n">
        <x:v>0.305</x:v>
      </x:c>
      <x:c r="O238" s="12" t="n">
        <x:v>98.375</x:v>
      </x:c>
      <x:c r="P238" s="13" t="n">
        <x:v>4</x:v>
      </x:c>
      <x:c r="Q238" s="8" t="str">
        <x:v>USD</x:v>
      </x:c>
      <x:c r="R238" s="8" t="str">
        <x:v>SOFR</x:v>
      </x:c>
      <x:c r="S238" s="18" t="n">
        <x:f>IF(Portfolio_Par&gt;0,D238/Portfolio_Par,"")</x:f>
        <x:v>0.00394</x:v>
      </x:c>
      <x:c r="T238" s="19" t="n">
        <x:f>IF(A238="","",(M238-as_of_date)/365.25)</x:f>
        <x:v>6.236824093086927</x:v>
      </x:c>
      <x:c r="U238" s="20" t="n">
        <x:f>IF(I238="Floating",D238*J238,0)</x:f>
        <x:v>478710000</x:v>
      </x:c>
      <x:c r="V238" s="20" t="n">
        <x:f>IF(A238="","",D238*N238)</x:f>
        <x:v>360510</x:v>
      </x:c>
      <x:c r="W238" s="14" t="n">
        <x:f>IF(A238='Run Snapshot'!A238,0,1)+IF(B238='Run Snapshot'!B238,0,1)+IF(C238='Run Snapshot'!C238,0,1)+IF(D238='Run Snapshot'!D238,0,1)+IF(E238='Run Snapshot'!E238,0,1)+IF(F238='Run Snapshot'!F238,0,1)+IF(G238='Run Snapshot'!G238,0,1)+IF(H238='Run Snapshot'!H238,0,1)+IF(I238='Run Snapshot'!I238,0,1)+IF(J238='Run Snapshot'!J238,0,1)+IF(K238='Run Snapshot'!K238,0,1)+IF(L238='Run Snapshot'!L238,0,1)+IF(M238='Run Snapshot'!M238,0,1)+IF(N238='Run Snapshot'!N238,0,1)+IF(O238='Run Snapshot'!O238,0,1)+IF(P238='Run Snapshot'!P238,0,1)+IF(Q238='Run Snapshot'!Q238,0,1)+IF(R238='Run Snapshot'!R238,0,1)</x:f>
        <x:v>0</x:v>
      </x:c>
      <x:c r="X238" s="15" t="n">
        <x:f>IF(A238="",0,COUNTIF($A$8:$A$289,A238)-1)</x:f>
        <x:v>0</x:v>
      </x:c>
      <x:c r="Y238" s="14" t="n">
        <x:f>IF(A238="",1,IF(OR(D238&lt;=0,N238&lt;0,N238&gt;1,M238&lt;=as_of_date),1,0))</x:f>
        <x:v>0</x:v>
      </x:c>
      <x:c r="Z238" s="170" t="n">
        <x:f>IF(A238="","",VLOOKUP(E238,SP_WARF_Factors,2,FALSE))</x:f>
        <x:v>3610.11</x:v>
      </x:c>
      <x:c r="AA238" s="172" t="n">
        <x:f>IF(A238="","",D238*Z238)</x:f>
        <x:v>4267150020</x:v>
      </x:c>
      <x:c r="AB238" s="170" t="n">
        <x:f>IF(A238="","",D238*ABS(Z238-SPWARF))</x:f>
        <x:v>1454724851.276</x:v>
      </x:c>
    </x:row>
    <x:row r="239">
      <x:c r="A239" s="8" t="str">
        <x:v>SYN-LN-00232</x:v>
      </x:c>
      <x:c r="B239" s="8" t="str">
        <x:v>SYN-OB-0224</x:v>
      </x:c>
      <x:c r="C239" s="8" t="str">
        <x:v>Larkspur Group 224</x:v>
      </x:c>
      <x:c r="D239" s="9" t="n">
        <x:v>650000</x:v>
      </x:c>
      <x:c r="E239" s="8" t="str">
        <x:v>BB-</x:v>
      </x:c>
      <x:c r="F239" s="8" t="str">
        <x:v>Automobiles</x:v>
      </x:c>
      <x:c r="G239" s="8" t="str">
        <x:v>United States</x:v>
      </x:c>
      <x:c r="H239" s="8" t="str">
        <x:v>1st Lien</x:v>
      </x:c>
      <x:c r="I239" s="8" t="str">
        <x:v>Floating</x:v>
      </x:c>
      <x:c r="J239" s="8" t="n">
        <x:v>215</x:v>
      </x:c>
      <x:c r="K239" s="10"/>
      <x:c r="L239" s="8" t="n">
        <x:v>0</x:v>
      </x:c>
      <x:c r="M239" s="11" t="n">
        <x:v>48533</x:v>
      </x:c>
      <x:c r="N239" s="10" t="n">
        <x:v>0.635</x:v>
      </x:c>
      <x:c r="O239" s="12" t="n">
        <x:v>96.875</x:v>
      </x:c>
      <x:c r="P239" s="13" t="n">
        <x:v>4</x:v>
      </x:c>
      <x:c r="Q239" s="8" t="str">
        <x:v>USD</x:v>
      </x:c>
      <x:c r="R239" s="8" t="str">
        <x:v>SOFR</x:v>
      </x:c>
      <x:c r="S239" s="18" t="n">
        <x:f>IF(Portfolio_Par&gt;0,D239/Portfolio_Par,"")</x:f>
        <x:v>0.0021666666666666666</x:v>
      </x:c>
      <x:c r="T239" s="19" t="n">
        <x:f>IF(A239="","",(M239-as_of_date)/365.25)</x:f>
        <x:v>5.8726899383983575</x:v>
      </x:c>
      <x:c r="U239" s="20" t="n">
        <x:f>IF(I239="Floating",D239*J239,0)</x:f>
        <x:v>139750000</x:v>
      </x:c>
      <x:c r="V239" s="20" t="n">
        <x:f>IF(A239="","",D239*N239)</x:f>
        <x:v>412750</x:v>
      </x:c>
      <x:c r="W239" s="14" t="n">
        <x:f>IF(A239='Run Snapshot'!A239,0,1)+IF(B239='Run Snapshot'!B239,0,1)+IF(C239='Run Snapshot'!C239,0,1)+IF(D239='Run Snapshot'!D239,0,1)+IF(E239='Run Snapshot'!E239,0,1)+IF(F239='Run Snapshot'!F239,0,1)+IF(G239='Run Snapshot'!G239,0,1)+IF(H239='Run Snapshot'!H239,0,1)+IF(I239='Run Snapshot'!I239,0,1)+IF(J239='Run Snapshot'!J239,0,1)+IF(K239='Run Snapshot'!K239,0,1)+IF(L239='Run Snapshot'!L239,0,1)+IF(M239='Run Snapshot'!M239,0,1)+IF(N239='Run Snapshot'!N239,0,1)+IF(O239='Run Snapshot'!O239,0,1)+IF(P239='Run Snapshot'!P239,0,1)+IF(Q239='Run Snapshot'!Q239,0,1)+IF(R239='Run Snapshot'!R239,0,1)</x:f>
        <x:v>0</x:v>
      </x:c>
      <x:c r="X239" s="15" t="n">
        <x:f>IF(A239="",0,COUNTIF($A$8:$A$289,A239)-1)</x:f>
        <x:v>0</x:v>
      </x:c>
      <x:c r="Y239" s="14" t="n">
        <x:f>IF(A239="",1,IF(OR(D239&lt;=0,N239&lt;0,N239&gt;1,M239&lt;=as_of_date),1,0))</x:f>
        <x:v>0</x:v>
      </x:c>
      <x:c r="Z239" s="170" t="n">
        <x:f>IF(A239="","",VLOOKUP(E239,SP_WARF_Factors,2,FALSE))</x:f>
        <x:v>1565.44</x:v>
      </x:c>
      <x:c r="AA239" s="172" t="n">
        <x:f>IF(A239="","",D239*Z239)</x:f>
        <x:v>1017536000</x:v>
      </x:c>
      <x:c r="AB239" s="170" t="n">
        <x:f>IF(A239="","",D239*ABS(Z239-SPWARF))</x:f>
        <x:v>529059904.96666664</x:v>
      </x:c>
    </x:row>
    <x:row r="240">
      <x:c r="A240" s="8" t="str">
        <x:v>SYN-LN-00233</x:v>
      </x:c>
      <x:c r="B240" s="8" t="str">
        <x:v>SYN-OB-0224</x:v>
      </x:c>
      <x:c r="C240" s="8" t="str">
        <x:v>Larkspur Group 224</x:v>
      </x:c>
      <x:c r="D240" s="9" t="n">
        <x:v>532000</x:v>
      </x:c>
      <x:c r="E240" s="8" t="str">
        <x:v>BB-</x:v>
      </x:c>
      <x:c r="F240" s="8" t="str">
        <x:v>Automobiles</x:v>
      </x:c>
      <x:c r="G240" s="8" t="str">
        <x:v>United States</x:v>
      </x:c>
      <x:c r="H240" s="8" t="str">
        <x:v>1st Lien</x:v>
      </x:c>
      <x:c r="I240" s="8" t="str">
        <x:v>Floating</x:v>
      </x:c>
      <x:c r="J240" s="8" t="n">
        <x:v>225</x:v>
      </x:c>
      <x:c r="K240" s="10"/>
      <x:c r="L240" s="8" t="n">
        <x:v>75</x:v>
      </x:c>
      <x:c r="M240" s="11" t="n">
        <x:v>48607</x:v>
      </x:c>
      <x:c r="N240" s="10" t="n">
        <x:v>0.635</x:v>
      </x:c>
      <x:c r="O240" s="12" t="n">
        <x:v>97</x:v>
      </x:c>
      <x:c r="P240" s="13" t="n">
        <x:v>4</x:v>
      </x:c>
      <x:c r="Q240" s="8" t="str">
        <x:v>USD</x:v>
      </x:c>
      <x:c r="R240" s="8" t="str">
        <x:v>SOFR</x:v>
      </x:c>
      <x:c r="S240" s="18" t="n">
        <x:f>IF(Portfolio_Par&gt;0,D240/Portfolio_Par,"")</x:f>
        <x:v>0.0017733333333333334</x:v>
      </x:c>
      <x:c r="T240" s="19" t="n">
        <x:f>IF(A240="","",(M240-as_of_date)/365.25)</x:f>
        <x:v>6.075290896646133</x:v>
      </x:c>
      <x:c r="U240" s="20" t="n">
        <x:f>IF(I240="Floating",D240*J240,0)</x:f>
        <x:v>119700000</x:v>
      </x:c>
      <x:c r="V240" s="20" t="n">
        <x:f>IF(A240="","",D240*N240)</x:f>
        <x:v>337820</x:v>
      </x:c>
      <x:c r="W240" s="14" t="n">
        <x:f>IF(A240='Run Snapshot'!A240,0,1)+IF(B240='Run Snapshot'!B240,0,1)+IF(C240='Run Snapshot'!C240,0,1)+IF(D240='Run Snapshot'!D240,0,1)+IF(E240='Run Snapshot'!E240,0,1)+IF(F240='Run Snapshot'!F240,0,1)+IF(G240='Run Snapshot'!G240,0,1)+IF(H240='Run Snapshot'!H240,0,1)+IF(I240='Run Snapshot'!I240,0,1)+IF(J240='Run Snapshot'!J240,0,1)+IF(K240='Run Snapshot'!K240,0,1)+IF(L240='Run Snapshot'!L240,0,1)+IF(M240='Run Snapshot'!M240,0,1)+IF(N240='Run Snapshot'!N240,0,1)+IF(O240='Run Snapshot'!O240,0,1)+IF(P240='Run Snapshot'!P240,0,1)+IF(Q240='Run Snapshot'!Q240,0,1)+IF(R240='Run Snapshot'!R240,0,1)</x:f>
        <x:v>0</x:v>
      </x:c>
      <x:c r="X240" s="15" t="n">
        <x:f>IF(A240="",0,COUNTIF($A$8:$A$289,A240)-1)</x:f>
        <x:v>0</x:v>
      </x:c>
      <x:c r="Y240" s="14" t="n">
        <x:f>IF(A240="",1,IF(OR(D240&lt;=0,N240&lt;0,N240&gt;1,M240&lt;=as_of_date),1,0))</x:f>
        <x:v>0</x:v>
      </x:c>
      <x:c r="Z240" s="170" t="n">
        <x:f>IF(A240="","",VLOOKUP(E240,SP_WARF_Factors,2,FALSE))</x:f>
        <x:v>1565.44</x:v>
      </x:c>
      <x:c r="AA240" s="172" t="n">
        <x:f>IF(A240="","",D240*Z240)</x:f>
        <x:v>832814080</x:v>
      </x:c>
      <x:c r="AB240" s="170" t="n">
        <x:f>IF(A240="","",D240*ABS(Z240-SPWARF))</x:f>
        <x:v>433015183.75733334</x:v>
      </x:c>
    </x:row>
    <x:row r="241">
      <x:c r="A241" s="8" t="str">
        <x:v>SYN-LN-00234</x:v>
      </x:c>
      <x:c r="B241" s="8" t="str">
        <x:v>SYN-OB-0225</x:v>
      </x:c>
      <x:c r="C241" s="8" t="str">
        <x:v>Maple LLC 225</x:v>
      </x:c>
      <x:c r="D241" s="9" t="n">
        <x:v>1182000</x:v>
      </x:c>
      <x:c r="E241" s="8" t="str">
        <x:v>BB-</x:v>
      </x:c>
      <x:c r="F241" s="8" t="str">
        <x:v>Communications Equipment</x:v>
      </x:c>
      <x:c r="G241" s="8" t="str">
        <x:v>United Kingdom</x:v>
      </x:c>
      <x:c r="H241" s="8" t="str">
        <x:v>1st Lien</x:v>
      </x:c>
      <x:c r="I241" s="8" t="str">
        <x:v>Floating</x:v>
      </x:c>
      <x:c r="J241" s="8" t="n">
        <x:v>275</x:v>
      </x:c>
      <x:c r="K241" s="10"/>
      <x:c r="L241" s="8" t="n">
        <x:v>0</x:v>
      </x:c>
      <x:c r="M241" s="11" t="n">
        <x:v>48454</x:v>
      </x:c>
      <x:c r="N241" s="10" t="n">
        <x:v>0.545</x:v>
      </x:c>
      <x:c r="O241" s="12" t="n">
        <x:v>99.375</x:v>
      </x:c>
      <x:c r="P241" s="13" t="n">
        <x:v>4</x:v>
      </x:c>
      <x:c r="Q241" s="8" t="str">
        <x:v>USD</x:v>
      </x:c>
      <x:c r="R241" s="8" t="str">
        <x:v>SOFR</x:v>
      </x:c>
      <x:c r="S241" s="18" t="n">
        <x:f>IF(Portfolio_Par&gt;0,D241/Portfolio_Par,"")</x:f>
        <x:v>0.00394</x:v>
      </x:c>
      <x:c r="T241" s="19" t="n">
        <x:f>IF(A241="","",(M241-as_of_date)/365.25)</x:f>
        <x:v>5.6563997262149215</x:v>
      </x:c>
      <x:c r="U241" s="20" t="n">
        <x:f>IF(I241="Floating",D241*J241,0)</x:f>
        <x:v>325050000</x:v>
      </x:c>
      <x:c r="V241" s="20" t="n">
        <x:f>IF(A241="","",D241*N241)</x:f>
        <x:v>644190</x:v>
      </x:c>
      <x:c r="W241" s="14" t="n">
        <x:f>IF(A241='Run Snapshot'!A241,0,1)+IF(B241='Run Snapshot'!B241,0,1)+IF(C241='Run Snapshot'!C241,0,1)+IF(D241='Run Snapshot'!D241,0,1)+IF(E241='Run Snapshot'!E241,0,1)+IF(F241='Run Snapshot'!F241,0,1)+IF(G241='Run Snapshot'!G241,0,1)+IF(H241='Run Snapshot'!H241,0,1)+IF(I241='Run Snapshot'!I241,0,1)+IF(J241='Run Snapshot'!J241,0,1)+IF(K241='Run Snapshot'!K241,0,1)+IF(L241='Run Snapshot'!L241,0,1)+IF(M241='Run Snapshot'!M241,0,1)+IF(N241='Run Snapshot'!N241,0,1)+IF(O241='Run Snapshot'!O241,0,1)+IF(P241='Run Snapshot'!P241,0,1)+IF(Q241='Run Snapshot'!Q241,0,1)+IF(R241='Run Snapshot'!R241,0,1)</x:f>
        <x:v>0</x:v>
      </x:c>
      <x:c r="X241" s="15" t="n">
        <x:f>IF(A241="",0,COUNTIF($A$8:$A$289,A241)-1)</x:f>
        <x:v>0</x:v>
      </x:c>
      <x:c r="Y241" s="14" t="n">
        <x:f>IF(A241="",1,IF(OR(D241&lt;=0,N241&lt;0,N241&gt;1,M241&lt;=as_of_date),1,0))</x:f>
        <x:v>0</x:v>
      </x:c>
      <x:c r="Z241" s="170" t="n">
        <x:f>IF(A241="","",VLOOKUP(E241,SP_WARF_Factors,2,FALSE))</x:f>
        <x:v>1565.44</x:v>
      </x:c>
      <x:c r="AA241" s="172" t="n">
        <x:f>IF(A241="","",D241*Z241)</x:f>
        <x:v>1850350080</x:v>
      </x:c>
      <x:c r="AB241" s="170" t="n">
        <x:f>IF(A241="","",D241*ABS(Z241-SPWARF))</x:f>
        <x:v>962075088.724</x:v>
      </x:c>
    </x:row>
    <x:row r="242">
      <x:c r="A242" s="8" t="str">
        <x:v>SYN-LN-00235</x:v>
      </x:c>
      <x:c r="B242" s="8" t="str">
        <x:v>SYN-OB-0226</x:v>
      </x:c>
      <x:c r="C242" s="8" t="str">
        <x:v>Meridian Holdings 226</x:v>
      </x:c>
      <x:c r="D242" s="9" t="n">
        <x:v>1182000</x:v>
      </x:c>
      <x:c r="E242" s="8" t="str">
        <x:v>B</x:v>
      </x:c>
      <x:c r="F242" s="8" t="str">
        <x:v>Aerospace &amp; Defense</x:v>
      </x:c>
      <x:c r="G242" s="8" t="str">
        <x:v>United States</x:v>
      </x:c>
      <x:c r="H242" s="8" t="str">
        <x:v>1st Lien</x:v>
      </x:c>
      <x:c r="I242" s="8" t="str">
        <x:v>Floating</x:v>
      </x:c>
      <x:c r="J242" s="8" t="n">
        <x:v>380</x:v>
      </x:c>
      <x:c r="K242" s="10"/>
      <x:c r="L242" s="8" t="n">
        <x:v>0</x:v>
      </x:c>
      <x:c r="M242" s="11" t="n">
        <x:v>47815</x:v>
      </x:c>
      <x:c r="N242" s="10" t="n">
        <x:v>0.315</x:v>
      </x:c>
      <x:c r="O242" s="12" t="n">
        <x:v>100.75</x:v>
      </x:c>
      <x:c r="P242" s="13" t="n">
        <x:v>4</x:v>
      </x:c>
      <x:c r="Q242" s="8" t="str">
        <x:v>USD</x:v>
      </x:c>
      <x:c r="R242" s="8" t="str">
        <x:v>SOFR</x:v>
      </x:c>
      <x:c r="S242" s="18" t="n">
        <x:f>IF(Portfolio_Par&gt;0,D242/Portfolio_Par,"")</x:f>
        <x:v>0.00394</x:v>
      </x:c>
      <x:c r="T242" s="19" t="n">
        <x:f>IF(A242="","",(M242-as_of_date)/365.25)</x:f>
        <x:v>3.9069130732375084</x:v>
      </x:c>
      <x:c r="U242" s="20" t="n">
        <x:f>IF(I242="Floating",D242*J242,0)</x:f>
        <x:v>449160000</x:v>
      </x:c>
      <x:c r="V242" s="20" t="n">
        <x:f>IF(A242="","",D242*N242)</x:f>
        <x:v>372330</x:v>
      </x:c>
      <x:c r="W242" s="14" t="n">
        <x:f>IF(A242='Run Snapshot'!A242,0,1)+IF(B242='Run Snapshot'!B242,0,1)+IF(C242='Run Snapshot'!C242,0,1)+IF(D242='Run Snapshot'!D242,0,1)+IF(E242='Run Snapshot'!E242,0,1)+IF(F242='Run Snapshot'!F242,0,1)+IF(G242='Run Snapshot'!G242,0,1)+IF(H242='Run Snapshot'!H242,0,1)+IF(I242='Run Snapshot'!I242,0,1)+IF(J242='Run Snapshot'!J242,0,1)+IF(K242='Run Snapshot'!K242,0,1)+IF(L242='Run Snapshot'!L242,0,1)+IF(M242='Run Snapshot'!M242,0,1)+IF(N242='Run Snapshot'!N242,0,1)+IF(O242='Run Snapshot'!O242,0,1)+IF(P242='Run Snapshot'!P242,0,1)+IF(Q242='Run Snapshot'!Q242,0,1)+IF(R242='Run Snapshot'!R242,0,1)</x:f>
        <x:v>0</x:v>
      </x:c>
      <x:c r="X242" s="15" t="n">
        <x:f>IF(A242="",0,COUNTIF($A$8:$A$289,A242)-1)</x:f>
        <x:v>0</x:v>
      </x:c>
      <x:c r="Y242" s="14" t="n">
        <x:f>IF(A242="",1,IF(OR(D242&lt;=0,N242&lt;0,N242&gt;1,M242&lt;=as_of_date),1,0))</x:f>
        <x:v>0</x:v>
      </x:c>
      <x:c r="Z242" s="170" t="n">
        <x:f>IF(A242="","",VLOOKUP(E242,SP_WARF_Factors,2,FALSE))</x:f>
        <x:v>2859.5</x:v>
      </x:c>
      <x:c r="AA242" s="172" t="n">
        <x:f>IF(A242="","",D242*Z242)</x:f>
        <x:v>3379929000</x:v>
      </x:c>
      <x:c r="AB242" s="170" t="n">
        <x:f>IF(A242="","",D242*ABS(Z242-SPWARF))</x:f>
        <x:v>567503831.2759999</x:v>
      </x:c>
    </x:row>
    <x:row r="243">
      <x:c r="A243" s="8" t="str">
        <x:v>SYN-LN-00236</x:v>
      </x:c>
      <x:c r="B243" s="8" t="str">
        <x:v>SYN-OB-0227</x:v>
      </x:c>
      <x:c r="C243" s="8" t="str">
        <x:v>Northfield Inc. 227</x:v>
      </x:c>
      <x:c r="D243" s="9" t="n">
        <x:v>1182000</x:v>
      </x:c>
      <x:c r="E243" s="8" t="str">
        <x:v>BB+</x:v>
      </x:c>
      <x:c r="F243" s="8" t="str">
        <x:v>Broadline retail</x:v>
      </x:c>
      <x:c r="G243" s="8" t="str">
        <x:v>United States</x:v>
      </x:c>
      <x:c r="H243" s="8" t="str">
        <x:v>1st Lien</x:v>
      </x:c>
      <x:c r="I243" s="8" t="str">
        <x:v>Floating</x:v>
      </x:c>
      <x:c r="J243" s="8" t="n">
        <x:v>215</x:v>
      </x:c>
      <x:c r="K243" s="10"/>
      <x:c r="L243" s="8" t="n">
        <x:v>0</x:v>
      </x:c>
      <x:c r="M243" s="11" t="n">
        <x:v>48517</x:v>
      </x:c>
      <x:c r="N243" s="10" t="n">
        <x:v>0.325</x:v>
      </x:c>
      <x:c r="O243" s="12" t="n">
        <x:v>99</x:v>
      </x:c>
      <x:c r="P243" s="13" t="n">
        <x:v>4</x:v>
      </x:c>
      <x:c r="Q243" s="8" t="str">
        <x:v>USD</x:v>
      </x:c>
      <x:c r="R243" s="8" t="str">
        <x:v>SOFR</x:v>
      </x:c>
      <x:c r="S243" s="18" t="n">
        <x:f>IF(Portfolio_Par&gt;0,D243/Portfolio_Par,"")</x:f>
        <x:v>0.00394</x:v>
      </x:c>
      <x:c r="T243" s="19" t="n">
        <x:f>IF(A243="","",(M243-as_of_date)/365.25)</x:f>
        <x:v>5.8288843258042435</x:v>
      </x:c>
      <x:c r="U243" s="20" t="n">
        <x:f>IF(I243="Floating",D243*J243,0)</x:f>
        <x:v>254130000</x:v>
      </x:c>
      <x:c r="V243" s="20" t="n">
        <x:f>IF(A243="","",D243*N243)</x:f>
        <x:v>384150</x:v>
      </x:c>
      <x:c r="W243" s="14" t="n">
        <x:f>IF(A243='Run Snapshot'!A243,0,1)+IF(B243='Run Snapshot'!B243,0,1)+IF(C243='Run Snapshot'!C243,0,1)+IF(D243='Run Snapshot'!D243,0,1)+IF(E243='Run Snapshot'!E243,0,1)+IF(F243='Run Snapshot'!F243,0,1)+IF(G243='Run Snapshot'!G243,0,1)+IF(H243='Run Snapshot'!H243,0,1)+IF(I243='Run Snapshot'!I243,0,1)+IF(J243='Run Snapshot'!J243,0,1)+IF(K243='Run Snapshot'!K243,0,1)+IF(L243='Run Snapshot'!L243,0,1)+IF(M243='Run Snapshot'!M243,0,1)+IF(N243='Run Snapshot'!N243,0,1)+IF(O243='Run Snapshot'!O243,0,1)+IF(P243='Run Snapshot'!P243,0,1)+IF(Q243='Run Snapshot'!Q243,0,1)+IF(R243='Run Snapshot'!R243,0,1)</x:f>
        <x:v>0</x:v>
      </x:c>
      <x:c r="X243" s="15" t="n">
        <x:f>IF(A243="",0,COUNTIF($A$8:$A$289,A243)-1)</x:f>
        <x:v>0</x:v>
      </x:c>
      <x:c r="Y243" s="14" t="n">
        <x:f>IF(A243="",1,IF(OR(D243&lt;=0,N243&lt;0,N243&gt;1,M243&lt;=as_of_date),1,0))</x:f>
        <x:v>0</x:v>
      </x:c>
      <x:c r="Z243" s="170" t="n">
        <x:f>IF(A243="","",VLOOKUP(E243,SP_WARF_Factors,2,FALSE))</x:f>
        <x:v>784.92</x:v>
      </x:c>
      <x:c r="AA243" s="172" t="n">
        <x:f>IF(A243="","",D243*Z243)</x:f>
        <x:v>927775440</x:v>
      </x:c>
      <x:c r="AB243" s="170" t="n">
        <x:f>IF(A243="","",D243*ABS(Z243-SPWARF))</x:f>
        <x:v>1884649728.724</x:v>
      </x:c>
    </x:row>
    <x:row r="244">
      <x:c r="A244" s="8" t="str">
        <x:v>SYN-LN-00237</x:v>
      </x:c>
      <x:c r="B244" s="8" t="str">
        <x:v>SYN-OB-0228</x:v>
      </x:c>
      <x:c r="C244" s="8" t="str">
        <x:v>Oakmont Corp. 228</x:v>
      </x:c>
      <x:c r="D244" s="9" t="n">
        <x:v>1182000</x:v>
      </x:c>
      <x:c r="E244" s="8" t="str">
        <x:v>BB-</x:v>
      </x:c>
      <x:c r="F244" s="8" t="str">
        <x:v>Ground transportation</x:v>
      </x:c>
      <x:c r="G244" s="8" t="str">
        <x:v>United States</x:v>
      </x:c>
      <x:c r="H244" s="8" t="str">
        <x:v>1st Lien</x:v>
      </x:c>
      <x:c r="I244" s="8" t="str">
        <x:v>Floating</x:v>
      </x:c>
      <x:c r="J244" s="8" t="n">
        <x:v>230</x:v>
      </x:c>
      <x:c r="K244" s="10"/>
      <x:c r="L244" s="8" t="n">
        <x:v>0</x:v>
      </x:c>
      <x:c r="M244" s="11" t="n">
        <x:v>48941</x:v>
      </x:c>
      <x:c r="N244" s="10" t="n">
        <x:v>0.275</x:v>
      </x:c>
      <x:c r="O244" s="12" t="n">
        <x:v>93</x:v>
      </x:c>
      <x:c r="P244" s="13" t="n">
        <x:v>4</x:v>
      </x:c>
      <x:c r="Q244" s="8" t="str">
        <x:v>USD</x:v>
      </x:c>
      <x:c r="R244" s="8" t="str">
        <x:v>SOFR</x:v>
      </x:c>
      <x:c r="S244" s="18" t="n">
        <x:f>IF(Portfolio_Par&gt;0,D244/Portfolio_Par,"")</x:f>
        <x:v>0.00394</x:v>
      </x:c>
      <x:c r="T244" s="19" t="n">
        <x:f>IF(A244="","",(M244-as_of_date)/365.25)</x:f>
        <x:v>6.9897330595482545</x:v>
      </x:c>
      <x:c r="U244" s="20" t="n">
        <x:f>IF(I244="Floating",D244*J244,0)</x:f>
        <x:v>271860000</x:v>
      </x:c>
      <x:c r="V244" s="20" t="n">
        <x:f>IF(A244="","",D244*N244)</x:f>
        <x:v>325050</x:v>
      </x:c>
      <x:c r="W244" s="14" t="n">
        <x:f>IF(A244='Run Snapshot'!A244,0,1)+IF(B244='Run Snapshot'!B244,0,1)+IF(C244='Run Snapshot'!C244,0,1)+IF(D244='Run Snapshot'!D244,0,1)+IF(E244='Run Snapshot'!E244,0,1)+IF(F244='Run Snapshot'!F244,0,1)+IF(G244='Run Snapshot'!G244,0,1)+IF(H244='Run Snapshot'!H244,0,1)+IF(I244='Run Snapshot'!I244,0,1)+IF(J244='Run Snapshot'!J244,0,1)+IF(K244='Run Snapshot'!K244,0,1)+IF(L244='Run Snapshot'!L244,0,1)+IF(M244='Run Snapshot'!M244,0,1)+IF(N244='Run Snapshot'!N244,0,1)+IF(O244='Run Snapshot'!O244,0,1)+IF(P244='Run Snapshot'!P244,0,1)+IF(Q244='Run Snapshot'!Q244,0,1)+IF(R244='Run Snapshot'!R244,0,1)</x:f>
        <x:v>0</x:v>
      </x:c>
      <x:c r="X244" s="15" t="n">
        <x:f>IF(A244="",0,COUNTIF($A$8:$A$289,A244)-1)</x:f>
        <x:v>0</x:v>
      </x:c>
      <x:c r="Y244" s="14" t="n">
        <x:f>IF(A244="",1,IF(OR(D244&lt;=0,N244&lt;0,N244&gt;1,M244&lt;=as_of_date),1,0))</x:f>
        <x:v>0</x:v>
      </x:c>
      <x:c r="Z244" s="170" t="n">
        <x:f>IF(A244="","",VLOOKUP(E244,SP_WARF_Factors,2,FALSE))</x:f>
        <x:v>1565.44</x:v>
      </x:c>
      <x:c r="AA244" s="172" t="n">
        <x:f>IF(A244="","",D244*Z244)</x:f>
        <x:v>1850350080</x:v>
      </x:c>
      <x:c r="AB244" s="170" t="n">
        <x:f>IF(A244="","",D244*ABS(Z244-SPWARF))</x:f>
        <x:v>962075088.724</x:v>
      </x:c>
    </x:row>
    <x:row r="245">
      <x:c r="A245" s="8" t="str">
        <x:v>SYN-LN-00238</x:v>
      </x:c>
      <x:c r="B245" s="8" t="str">
        <x:v>SYN-OB-0229</x:v>
      </x:c>
      <x:c r="C245" s="8" t="str">
        <x:v>Orchard Group 229</x:v>
      </x:c>
      <x:c r="D245" s="9" t="n">
        <x:v>1182000</x:v>
      </x:c>
      <x:c r="E245" s="8" t="str">
        <x:v>B+</x:v>
      </x:c>
      <x:c r="F245" s="8" t="str">
        <x:v>Ground transportation</x:v>
      </x:c>
      <x:c r="G245" s="8" t="str">
        <x:v>United States</x:v>
      </x:c>
      <x:c r="H245" s="8" t="str">
        <x:v>1st Lien</x:v>
      </x:c>
      <x:c r="I245" s="8" t="str">
        <x:v>Floating</x:v>
      </x:c>
      <x:c r="J245" s="8" t="n">
        <x:v>275</x:v>
      </x:c>
      <x:c r="K245" s="10"/>
      <x:c r="L245" s="8" t="n">
        <x:v>0</x:v>
      </x:c>
      <x:c r="M245" s="11" t="n">
        <x:v>48607</x:v>
      </x:c>
      <x:c r="N245" s="10" t="n">
        <x:v>0.335</x:v>
      </x:c>
      <x:c r="O245" s="12" t="n">
        <x:v>100.5</x:v>
      </x:c>
      <x:c r="P245" s="13" t="n">
        <x:v>4</x:v>
      </x:c>
      <x:c r="Q245" s="8" t="str">
        <x:v>USD</x:v>
      </x:c>
      <x:c r="R245" s="8" t="str">
        <x:v>SOFR</x:v>
      </x:c>
      <x:c r="S245" s="18" t="n">
        <x:f>IF(Portfolio_Par&gt;0,D245/Portfolio_Par,"")</x:f>
        <x:v>0.00394</x:v>
      </x:c>
      <x:c r="T245" s="19" t="n">
        <x:f>IF(A245="","",(M245-as_of_date)/365.25)</x:f>
        <x:v>6.075290896646133</x:v>
      </x:c>
      <x:c r="U245" s="20" t="n">
        <x:f>IF(I245="Floating",D245*J245,0)</x:f>
        <x:v>325050000</x:v>
      </x:c>
      <x:c r="V245" s="20" t="n">
        <x:f>IF(A245="","",D245*N245)</x:f>
        <x:v>395970</x:v>
      </x:c>
      <x:c r="W245" s="14" t="n">
        <x:f>IF(A245='Run Snapshot'!A245,0,1)+IF(B245='Run Snapshot'!B245,0,1)+IF(C245='Run Snapshot'!C245,0,1)+IF(D245='Run Snapshot'!D245,0,1)+IF(E245='Run Snapshot'!E245,0,1)+IF(F245='Run Snapshot'!F245,0,1)+IF(G245='Run Snapshot'!G245,0,1)+IF(H245='Run Snapshot'!H245,0,1)+IF(I245='Run Snapshot'!I245,0,1)+IF(J245='Run Snapshot'!J245,0,1)+IF(K245='Run Snapshot'!K245,0,1)+IF(L245='Run Snapshot'!L245,0,1)+IF(M245='Run Snapshot'!M245,0,1)+IF(N245='Run Snapshot'!N245,0,1)+IF(O245='Run Snapshot'!O245,0,1)+IF(P245='Run Snapshot'!P245,0,1)+IF(Q245='Run Snapshot'!Q245,0,1)+IF(R245='Run Snapshot'!R245,0,1)</x:f>
        <x:v>0</x:v>
      </x:c>
      <x:c r="X245" s="15" t="n">
        <x:f>IF(A245="",0,COUNTIF($A$8:$A$289,A245)-1)</x:f>
        <x:v>0</x:v>
      </x:c>
      <x:c r="Y245" s="14" t="n">
        <x:f>IF(A245="",1,IF(OR(D245&lt;=0,N245&lt;0,N245&gt;1,M245&lt;=as_of_date),1,0))</x:f>
        <x:v>0</x:v>
      </x:c>
      <x:c r="Z245" s="170" t="n">
        <x:f>IF(A245="","",VLOOKUP(E245,SP_WARF_Factors,2,FALSE))</x:f>
        <x:v>1982</x:v>
      </x:c>
      <x:c r="AA245" s="172" t="n">
        <x:f>IF(A245="","",D245*Z245)</x:f>
        <x:v>2342724000</x:v>
      </x:c>
      <x:c r="AB245" s="170" t="n">
        <x:f>IF(A245="","",D245*ABS(Z245-SPWARF))</x:f>
        <x:v>469701168.72400004</x:v>
      </x:c>
    </x:row>
    <x:row r="246">
      <x:c r="A246" s="8" t="str">
        <x:v>SYN-LN-00239</x:v>
      </x:c>
      <x:c r="B246" s="8" t="str">
        <x:v>SYN-OB-0230</x:v>
      </x:c>
      <x:c r="C246" s="8" t="str">
        <x:v>Pinecrest LLC 230</x:v>
      </x:c>
      <x:c r="D246" s="9" t="n">
        <x:v>630000</x:v>
      </x:c>
      <x:c r="E246" s="8" t="str">
        <x:v>BBB-</x:v>
      </x:c>
      <x:c r="F246" s="8" t="str">
        <x:v>Oil, Gas &amp; Consumable Fuels</x:v>
      </x:c>
      <x:c r="G246" s="8" t="str">
        <x:v>Ireland</x:v>
      </x:c>
      <x:c r="H246" s="8" t="str">
        <x:v>1st Lien</x:v>
      </x:c>
      <x:c r="I246" s="8" t="str">
        <x:v>Floating</x:v>
      </x:c>
      <x:c r="J246" s="8" t="n">
        <x:v>255</x:v>
      </x:c>
      <x:c r="K246" s="10"/>
      <x:c r="L246" s="8" t="n">
        <x:v>50</x:v>
      </x:c>
      <x:c r="M246" s="11" t="n">
        <x:v>48837</x:v>
      </x:c>
      <x:c r="N246" s="10" t="n">
        <x:v>0.375</x:v>
      </x:c>
      <x:c r="O246" s="12" t="n">
        <x:v>101.5</x:v>
      </x:c>
      <x:c r="P246" s="13" t="n">
        <x:v>4</x:v>
      </x:c>
      <x:c r="Q246" s="8" t="str">
        <x:v>USD</x:v>
      </x:c>
      <x:c r="R246" s="8" t="str">
        <x:v>SOFR</x:v>
      </x:c>
      <x:c r="S246" s="18" t="n">
        <x:f>IF(Portfolio_Par&gt;0,D246/Portfolio_Par,"")</x:f>
        <x:v>0.0021</x:v>
      </x:c>
      <x:c r="T246" s="19" t="n">
        <x:f>IF(A246="","",(M246-as_of_date)/365.25)</x:f>
        <x:v>6.704996577686516</x:v>
      </x:c>
      <x:c r="U246" s="20" t="n">
        <x:f>IF(I246="Floating",D246*J246,0)</x:f>
        <x:v>160650000</x:v>
      </x:c>
      <x:c r="V246" s="20" t="n">
        <x:f>IF(A246="","",D246*N246)</x:f>
        <x:v>236250</x:v>
      </x:c>
      <x:c r="W246" s="14" t="n">
        <x:f>IF(A246='Run Snapshot'!A246,0,1)+IF(B246='Run Snapshot'!B246,0,1)+IF(C246='Run Snapshot'!C246,0,1)+IF(D246='Run Snapshot'!D246,0,1)+IF(E246='Run Snapshot'!E246,0,1)+IF(F246='Run Snapshot'!F246,0,1)+IF(G246='Run Snapshot'!G246,0,1)+IF(H246='Run Snapshot'!H246,0,1)+IF(I246='Run Snapshot'!I246,0,1)+IF(J246='Run Snapshot'!J246,0,1)+IF(K246='Run Snapshot'!K246,0,1)+IF(L246='Run Snapshot'!L246,0,1)+IF(M246='Run Snapshot'!M246,0,1)+IF(N246='Run Snapshot'!N246,0,1)+IF(O246='Run Snapshot'!O246,0,1)+IF(P246='Run Snapshot'!P246,0,1)+IF(Q246='Run Snapshot'!Q246,0,1)+IF(R246='Run Snapshot'!R246,0,1)</x:f>
        <x:v>0</x:v>
      </x:c>
      <x:c r="X246" s="15" t="n">
        <x:f>IF(A246="",0,COUNTIF($A$8:$A$289,A246)-1)</x:f>
        <x:v>0</x:v>
      </x:c>
      <x:c r="Y246" s="14" t="n">
        <x:f>IF(A246="",1,IF(OR(D246&lt;=0,N246&lt;0,N246&gt;1,M246&lt;=as_of_date),1,0))</x:f>
        <x:v>0</x:v>
      </x:c>
      <x:c r="Z246" s="170" t="n">
        <x:f>IF(A246="","",VLOOKUP(E246,SP_WARF_Factors,2,FALSE))</x:f>
        <x:v>540.42</x:v>
      </x:c>
      <x:c r="AA246" s="172" t="n">
        <x:f>IF(A246="","",D246*Z246)</x:f>
        <x:v>340464600</x:v>
      </x:c>
      <x:c r="AB246" s="170" t="n">
        <x:f>IF(A246="","",D246*ABS(Z246-SPWARF))</x:f>
        <x:v>1158543738.66</x:v>
      </x:c>
    </x:row>
    <x:row r="247">
      <x:c r="A247" s="8" t="str">
        <x:v>SYN-LN-00240</x:v>
      </x:c>
      <x:c r="B247" s="8" t="str">
        <x:v>SYN-OB-0231</x:v>
      </x:c>
      <x:c r="C247" s="8" t="str">
        <x:v>Redwood Holdings 231</x:v>
      </x:c>
      <x:c r="D247" s="9" t="n">
        <x:v>1182000</x:v>
      </x:c>
      <x:c r="E247" s="8" t="str">
        <x:v>B</x:v>
      </x:c>
      <x:c r="F247" s="8" t="str">
        <x:v>Food Products</x:v>
      </x:c>
      <x:c r="G247" s="8" t="str">
        <x:v>United States</x:v>
      </x:c>
      <x:c r="H247" s="8" t="str">
        <x:v>1st Lien</x:v>
      </x:c>
      <x:c r="I247" s="8" t="str">
        <x:v>Floating</x:v>
      </x:c>
      <x:c r="J247" s="8" t="n">
        <x:v>300</x:v>
      </x:c>
      <x:c r="K247" s="10"/>
      <x:c r="L247" s="8" t="n">
        <x:v>0</x:v>
      </x:c>
      <x:c r="M247" s="11" t="n">
        <x:v>48472</x:v>
      </x:c>
      <x:c r="N247" s="10" t="n">
        <x:v>0.275</x:v>
      </x:c>
      <x:c r="O247" s="12" t="n">
        <x:v>98.375</x:v>
      </x:c>
      <x:c r="P247" s="13" t="n">
        <x:v>4</x:v>
      </x:c>
      <x:c r="Q247" s="8" t="str">
        <x:v>USD</x:v>
      </x:c>
      <x:c r="R247" s="8" t="str">
        <x:v>SOFR</x:v>
      </x:c>
      <x:c r="S247" s="18" t="n">
        <x:f>IF(Portfolio_Par&gt;0,D247/Portfolio_Par,"")</x:f>
        <x:v>0.00394</x:v>
      </x:c>
      <x:c r="T247" s="19" t="n">
        <x:f>IF(A247="","",(M247-as_of_date)/365.25)</x:f>
        <x:v>5.705681040383299</x:v>
      </x:c>
      <x:c r="U247" s="20" t="n">
        <x:f>IF(I247="Floating",D247*J247,0)</x:f>
        <x:v>354600000</x:v>
      </x:c>
      <x:c r="V247" s="20" t="n">
        <x:f>IF(A247="","",D247*N247)</x:f>
        <x:v>325050</x:v>
      </x:c>
      <x:c r="W247" s="14" t="n">
        <x:f>IF(A247='Run Snapshot'!A247,0,1)+IF(B247='Run Snapshot'!B247,0,1)+IF(C247='Run Snapshot'!C247,0,1)+IF(D247='Run Snapshot'!D247,0,1)+IF(E247='Run Snapshot'!E247,0,1)+IF(F247='Run Snapshot'!F247,0,1)+IF(G247='Run Snapshot'!G247,0,1)+IF(H247='Run Snapshot'!H247,0,1)+IF(I247='Run Snapshot'!I247,0,1)+IF(J247='Run Snapshot'!J247,0,1)+IF(K247='Run Snapshot'!K247,0,1)+IF(L247='Run Snapshot'!L247,0,1)+IF(M247='Run Snapshot'!M247,0,1)+IF(N247='Run Snapshot'!N247,0,1)+IF(O247='Run Snapshot'!O247,0,1)+IF(P247='Run Snapshot'!P247,0,1)+IF(Q247='Run Snapshot'!Q247,0,1)+IF(R247='Run Snapshot'!R247,0,1)</x:f>
        <x:v>0</x:v>
      </x:c>
      <x:c r="X247" s="15" t="n">
        <x:f>IF(A247="",0,COUNTIF($A$8:$A$289,A247)-1)</x:f>
        <x:v>0</x:v>
      </x:c>
      <x:c r="Y247" s="14" t="n">
        <x:f>IF(A247="",1,IF(OR(D247&lt;=0,N247&lt;0,N247&gt;1,M247&lt;=as_of_date),1,0))</x:f>
        <x:v>0</x:v>
      </x:c>
      <x:c r="Z247" s="170" t="n">
        <x:f>IF(A247="","",VLOOKUP(E247,SP_WARF_Factors,2,FALSE))</x:f>
        <x:v>2859.5</x:v>
      </x:c>
      <x:c r="AA247" s="172" t="n">
        <x:f>IF(A247="","",D247*Z247)</x:f>
        <x:v>3379929000</x:v>
      </x:c>
      <x:c r="AB247" s="170" t="n">
        <x:f>IF(A247="","",D247*ABS(Z247-SPWARF))</x:f>
        <x:v>567503831.2759999</x:v>
      </x:c>
    </x:row>
    <x:row r="248">
      <x:c r="A248" s="8" t="str">
        <x:v>SYN-LN-00241</x:v>
      </x:c>
      <x:c r="B248" s="8" t="str">
        <x:v>SYN-OB-0232</x:v>
      </x:c>
      <x:c r="C248" s="8" t="str">
        <x:v>Riverton Inc. 232</x:v>
      </x:c>
      <x:c r="D248" s="9" t="n">
        <x:v>1182000</x:v>
      </x:c>
      <x:c r="E248" s="8" t="str">
        <x:v>B</x:v>
      </x:c>
      <x:c r="F248" s="8" t="str">
        <x:v>Auto Components</x:v>
      </x:c>
      <x:c r="G248" s="8" t="str">
        <x:v>United States</x:v>
      </x:c>
      <x:c r="H248" s="8" t="str">
        <x:v>1st Lien</x:v>
      </x:c>
      <x:c r="I248" s="8" t="str">
        <x:v>Floating</x:v>
      </x:c>
      <x:c r="J248" s="8" t="n">
        <x:v>270</x:v>
      </x:c>
      <x:c r="K248" s="10"/>
      <x:c r="L248" s="8" t="n">
        <x:v>0</x:v>
      </x:c>
      <x:c r="M248" s="11" t="n">
        <x:v>48898</x:v>
      </x:c>
      <x:c r="N248" s="10" t="n">
        <x:v>0.415</x:v>
      </x:c>
      <x:c r="O248" s="12" t="n">
        <x:v>101.375</x:v>
      </x:c>
      <x:c r="P248" s="13" t="n">
        <x:v>4</x:v>
      </x:c>
      <x:c r="Q248" s="8" t="str">
        <x:v>USD</x:v>
      </x:c>
      <x:c r="R248" s="8" t="str">
        <x:v>SOFR</x:v>
      </x:c>
      <x:c r="S248" s="18" t="n">
        <x:f>IF(Portfolio_Par&gt;0,D248/Portfolio_Par,"")</x:f>
        <x:v>0.00394</x:v>
      </x:c>
      <x:c r="T248" s="19" t="n">
        <x:f>IF(A248="","",(M248-as_of_date)/365.25)</x:f>
        <x:v>6.872005475701574</x:v>
      </x:c>
      <x:c r="U248" s="20" t="n">
        <x:f>IF(I248="Floating",D248*J248,0)</x:f>
        <x:v>319140000</x:v>
      </x:c>
      <x:c r="V248" s="20" t="n">
        <x:f>IF(A248="","",D248*N248)</x:f>
        <x:v>490530</x:v>
      </x:c>
      <x:c r="W248" s="14" t="n">
        <x:f>IF(A248='Run Snapshot'!A248,0,1)+IF(B248='Run Snapshot'!B248,0,1)+IF(C248='Run Snapshot'!C248,0,1)+IF(D248='Run Snapshot'!D248,0,1)+IF(E248='Run Snapshot'!E248,0,1)+IF(F248='Run Snapshot'!F248,0,1)+IF(G248='Run Snapshot'!G248,0,1)+IF(H248='Run Snapshot'!H248,0,1)+IF(I248='Run Snapshot'!I248,0,1)+IF(J248='Run Snapshot'!J248,0,1)+IF(K248='Run Snapshot'!K248,0,1)+IF(L248='Run Snapshot'!L248,0,1)+IF(M248='Run Snapshot'!M248,0,1)+IF(N248='Run Snapshot'!N248,0,1)+IF(O248='Run Snapshot'!O248,0,1)+IF(P248='Run Snapshot'!P248,0,1)+IF(Q248='Run Snapshot'!Q248,0,1)+IF(R248='Run Snapshot'!R248,0,1)</x:f>
        <x:v>0</x:v>
      </x:c>
      <x:c r="X248" s="15" t="n">
        <x:f>IF(A248="",0,COUNTIF($A$8:$A$289,A248)-1)</x:f>
        <x:v>0</x:v>
      </x:c>
      <x:c r="Y248" s="14" t="n">
        <x:f>IF(A248="",1,IF(OR(D248&lt;=0,N248&lt;0,N248&gt;1,M248&lt;=as_of_date),1,0))</x:f>
        <x:v>0</x:v>
      </x:c>
      <x:c r="Z248" s="170" t="n">
        <x:f>IF(A248="","",VLOOKUP(E248,SP_WARF_Factors,2,FALSE))</x:f>
        <x:v>2859.5</x:v>
      </x:c>
      <x:c r="AA248" s="172" t="n">
        <x:f>IF(A248="","",D248*Z248)</x:f>
        <x:v>3379929000</x:v>
      </x:c>
      <x:c r="AB248" s="170" t="n">
        <x:f>IF(A248="","",D248*ABS(Z248-SPWARF))</x:f>
        <x:v>567503831.2759999</x:v>
      </x:c>
    </x:row>
    <x:row r="249">
      <x:c r="A249" s="8" t="str">
        <x:v>SYN-LN-00242</x:v>
      </x:c>
      <x:c r="B249" s="8" t="str">
        <x:v>SYN-OB-0233</x:v>
      </x:c>
      <x:c r="C249" s="8" t="str">
        <x:v>Silver Corp. 233</x:v>
      </x:c>
      <x:c r="D249" s="9" t="n">
        <x:v>1185000</x:v>
      </x:c>
      <x:c r="E249" s="8" t="str">
        <x:v>B</x:v>
      </x:c>
      <x:c r="F249" s="8" t="str">
        <x:v>Healthcare Providers &amp; Services</x:v>
      </x:c>
      <x:c r="G249" s="8" t="str">
        <x:v>United States</x:v>
      </x:c>
      <x:c r="H249" s="8" t="str">
        <x:v>1st Lien</x:v>
      </x:c>
      <x:c r="I249" s="8" t="str">
        <x:v>Floating</x:v>
      </x:c>
      <x:c r="J249" s="8" t="n">
        <x:v>195</x:v>
      </x:c>
      <x:c r="K249" s="10"/>
      <x:c r="L249" s="8" t="n">
        <x:v>0</x:v>
      </x:c>
      <x:c r="M249" s="11" t="n">
        <x:v>48228</x:v>
      </x:c>
      <x:c r="N249" s="10" t="n">
        <x:v>0.375</x:v>
      </x:c>
      <x:c r="O249" s="12" t="n">
        <x:v>98.5</x:v>
      </x:c>
      <x:c r="P249" s="13" t="n">
        <x:v>4</x:v>
      </x:c>
      <x:c r="Q249" s="8" t="str">
        <x:v>USD</x:v>
      </x:c>
      <x:c r="R249" s="8" t="str">
        <x:v>SOFR</x:v>
      </x:c>
      <x:c r="S249" s="18" t="n">
        <x:f>IF(Portfolio_Par&gt;0,D249/Portfolio_Par,"")</x:f>
        <x:v>0.00395</x:v>
      </x:c>
      <x:c r="T249" s="19" t="n">
        <x:f>IF(A249="","",(M249-as_of_date)/365.25)</x:f>
        <x:v>5.037645448323066</x:v>
      </x:c>
      <x:c r="U249" s="20" t="n">
        <x:f>IF(I249="Floating",D249*J249,0)</x:f>
        <x:v>231075000</x:v>
      </x:c>
      <x:c r="V249" s="20" t="n">
        <x:f>IF(A249="","",D249*N249)</x:f>
        <x:v>444375</x:v>
      </x:c>
      <x:c r="W249" s="14" t="n">
        <x:f>IF(A249='Run Snapshot'!A249,0,1)+IF(B249='Run Snapshot'!B249,0,1)+IF(C249='Run Snapshot'!C249,0,1)+IF(D249='Run Snapshot'!D249,0,1)+IF(E249='Run Snapshot'!E249,0,1)+IF(F249='Run Snapshot'!F249,0,1)+IF(G249='Run Snapshot'!G249,0,1)+IF(H249='Run Snapshot'!H249,0,1)+IF(I249='Run Snapshot'!I249,0,1)+IF(J249='Run Snapshot'!J249,0,1)+IF(K249='Run Snapshot'!K249,0,1)+IF(L249='Run Snapshot'!L249,0,1)+IF(M249='Run Snapshot'!M249,0,1)+IF(N249='Run Snapshot'!N249,0,1)+IF(O249='Run Snapshot'!O249,0,1)+IF(P249='Run Snapshot'!P249,0,1)+IF(Q249='Run Snapshot'!Q249,0,1)+IF(R249='Run Snapshot'!R249,0,1)</x:f>
        <x:v>0</x:v>
      </x:c>
      <x:c r="X249" s="15" t="n">
        <x:f>IF(A249="",0,COUNTIF($A$8:$A$289,A249)-1)</x:f>
        <x:v>0</x:v>
      </x:c>
      <x:c r="Y249" s="14" t="n">
        <x:f>IF(A249="",1,IF(OR(D249&lt;=0,N249&lt;0,N249&gt;1,M249&lt;=as_of_date),1,0))</x:f>
        <x:v>0</x:v>
      </x:c>
      <x:c r="Z249" s="170" t="n">
        <x:f>IF(A249="","",VLOOKUP(E249,SP_WARF_Factors,2,FALSE))</x:f>
        <x:v>2859.5</x:v>
      </x:c>
      <x:c r="AA249" s="172" t="n">
        <x:f>IF(A249="","",D249*Z249)</x:f>
        <x:v>3388507500</x:v>
      </x:c>
      <x:c r="AB249" s="170" t="n">
        <x:f>IF(A249="","",D249*ABS(Z249-SPWARF))</x:f>
        <x:v>568944196.3299999</x:v>
      </x:c>
    </x:row>
    <x:row r="250">
      <x:c r="A250" s="8" t="str">
        <x:v>SYN-LN-00243</x:v>
      </x:c>
      <x:c r="B250" s="8" t="str">
        <x:v>SYN-OB-0234</x:v>
      </x:c>
      <x:c r="C250" s="8" t="str">
        <x:v>Stonebridge Group 234</x:v>
      </x:c>
      <x:c r="D250" s="9" t="n">
        <x:v>1182000</x:v>
      </x:c>
      <x:c r="E250" s="8" t="str">
        <x:v>B-</x:v>
      </x:c>
      <x:c r="F250" s="8" t="str">
        <x:v>Machinery</x:v>
      </x:c>
      <x:c r="G250" s="8" t="str">
        <x:v>United States</x:v>
      </x:c>
      <x:c r="H250" s="8" t="str">
        <x:v>1st Lien</x:v>
      </x:c>
      <x:c r="I250" s="8" t="str">
        <x:v>Floating</x:v>
      </x:c>
      <x:c r="J250" s="8" t="n">
        <x:v>280</x:v>
      </x:c>
      <x:c r="K250" s="10"/>
      <x:c r="L250" s="8" t="n">
        <x:v>0</x:v>
      </x:c>
      <x:c r="M250" s="11" t="n">
        <x:v>47966</x:v>
      </x:c>
      <x:c r="N250" s="10" t="n">
        <x:v>0.315</x:v>
      </x:c>
      <x:c r="O250" s="12" t="n">
        <x:v>98</x:v>
      </x:c>
      <x:c r="P250" s="13" t="n">
        <x:v>4</x:v>
      </x:c>
      <x:c r="Q250" s="8" t="str">
        <x:v>USD</x:v>
      </x:c>
      <x:c r="R250" s="8" t="str">
        <x:v>SOFR</x:v>
      </x:c>
      <x:c r="S250" s="18" t="n">
        <x:f>IF(Portfolio_Par&gt;0,D250/Portfolio_Par,"")</x:f>
        <x:v>0.00394</x:v>
      </x:c>
      <x:c r="T250" s="19" t="n">
        <x:f>IF(A250="","",(M250-as_of_date)/365.25)</x:f>
        <x:v>4.3203285420944555</x:v>
      </x:c>
      <x:c r="U250" s="20" t="n">
        <x:f>IF(I250="Floating",D250*J250,0)</x:f>
        <x:v>330960000</x:v>
      </x:c>
      <x:c r="V250" s="20" t="n">
        <x:f>IF(A250="","",D250*N250)</x:f>
        <x:v>372330</x:v>
      </x:c>
      <x:c r="W250" s="14" t="n">
        <x:f>IF(A250='Run Snapshot'!A250,0,1)+IF(B250='Run Snapshot'!B250,0,1)+IF(C250='Run Snapshot'!C250,0,1)+IF(D250='Run Snapshot'!D250,0,1)+IF(E250='Run Snapshot'!E250,0,1)+IF(F250='Run Snapshot'!F250,0,1)+IF(G250='Run Snapshot'!G250,0,1)+IF(H250='Run Snapshot'!H250,0,1)+IF(I250='Run Snapshot'!I250,0,1)+IF(J250='Run Snapshot'!J250,0,1)+IF(K250='Run Snapshot'!K250,0,1)+IF(L250='Run Snapshot'!L250,0,1)+IF(M250='Run Snapshot'!M250,0,1)+IF(N250='Run Snapshot'!N250,0,1)+IF(O250='Run Snapshot'!O250,0,1)+IF(P250='Run Snapshot'!P250,0,1)+IF(Q250='Run Snapshot'!Q250,0,1)+IF(R250='Run Snapshot'!R250,0,1)</x:f>
        <x:v>0</x:v>
      </x:c>
      <x:c r="X250" s="15" t="n">
        <x:f>IF(A250="",0,COUNTIF($A$8:$A$289,A250)-1)</x:f>
        <x:v>0</x:v>
      </x:c>
      <x:c r="Y250" s="14" t="n">
        <x:f>IF(A250="",1,IF(OR(D250&lt;=0,N250&lt;0,N250&gt;1,M250&lt;=as_of_date),1,0))</x:f>
        <x:v>0</x:v>
      </x:c>
      <x:c r="Z250" s="170" t="n">
        <x:f>IF(A250="","",VLOOKUP(E250,SP_WARF_Factors,2,FALSE))</x:f>
        <x:v>3610.11</x:v>
      </x:c>
      <x:c r="AA250" s="172" t="n">
        <x:f>IF(A250="","",D250*Z250)</x:f>
        <x:v>4267150020</x:v>
      </x:c>
      <x:c r="AB250" s="170" t="n">
        <x:f>IF(A250="","",D250*ABS(Z250-SPWARF))</x:f>
        <x:v>1454724851.276</x:v>
      </x:c>
    </x:row>
    <x:row r="251">
      <x:c r="A251" s="8" t="str">
        <x:v>SYN-LN-00244</x:v>
      </x:c>
      <x:c r="B251" s="8" t="str">
        <x:v>SYN-OB-0235</x:v>
      </x:c>
      <x:c r="C251" s="8" t="str">
        <x:v>Summit LLC 235</x:v>
      </x:c>
      <x:c r="D251" s="9" t="n">
        <x:v>1182000</x:v>
      </x:c>
      <x:c r="E251" s="8" t="str">
        <x:v>B-</x:v>
      </x:c>
      <x:c r="F251" s="8" t="str">
        <x:v>Software</x:v>
      </x:c>
      <x:c r="G251" s="8" t="str">
        <x:v>United States</x:v>
      </x:c>
      <x:c r="H251" s="8" t="str">
        <x:v>1st Lien</x:v>
      </x:c>
      <x:c r="I251" s="8" t="str">
        <x:v>Floating</x:v>
      </x:c>
      <x:c r="J251" s="8" t="n">
        <x:v>275</x:v>
      </x:c>
      <x:c r="K251" s="10"/>
      <x:c r="L251" s="8" t="n">
        <x:v>0</x:v>
      </x:c>
      <x:c r="M251" s="11" t="n">
        <x:v>47618</x:v>
      </x:c>
      <x:c r="N251" s="10" t="n">
        <x:v>0.41</x:v>
      </x:c>
      <x:c r="O251" s="12" t="n">
        <x:v>99.375</x:v>
      </x:c>
      <x:c r="P251" s="13" t="n">
        <x:v>4</x:v>
      </x:c>
      <x:c r="Q251" s="8" t="str">
        <x:v>USD</x:v>
      </x:c>
      <x:c r="R251" s="8" t="str">
        <x:v>SOFR</x:v>
      </x:c>
      <x:c r="S251" s="18" t="n">
        <x:f>IF(Portfolio_Par&gt;0,D251/Portfolio_Par,"")</x:f>
        <x:v>0.00394</x:v>
      </x:c>
      <x:c r="T251" s="19" t="n">
        <x:f>IF(A251="","",(M251-as_of_date)/365.25)</x:f>
        <x:v>3.3675564681724848</x:v>
      </x:c>
      <x:c r="U251" s="20" t="n">
        <x:f>IF(I251="Floating",D251*J251,0)</x:f>
        <x:v>325050000</x:v>
      </x:c>
      <x:c r="V251" s="20" t="n">
        <x:f>IF(A251="","",D251*N251)</x:f>
        <x:v>484620</x:v>
      </x:c>
      <x:c r="W251" s="14" t="n">
        <x:f>IF(A251='Run Snapshot'!A251,0,1)+IF(B251='Run Snapshot'!B251,0,1)+IF(C251='Run Snapshot'!C251,0,1)+IF(D251='Run Snapshot'!D251,0,1)+IF(E251='Run Snapshot'!E251,0,1)+IF(F251='Run Snapshot'!F251,0,1)+IF(G251='Run Snapshot'!G251,0,1)+IF(H251='Run Snapshot'!H251,0,1)+IF(I251='Run Snapshot'!I251,0,1)+IF(J251='Run Snapshot'!J251,0,1)+IF(K251='Run Snapshot'!K251,0,1)+IF(L251='Run Snapshot'!L251,0,1)+IF(M251='Run Snapshot'!M251,0,1)+IF(N251='Run Snapshot'!N251,0,1)+IF(O251='Run Snapshot'!O251,0,1)+IF(P251='Run Snapshot'!P251,0,1)+IF(Q251='Run Snapshot'!Q251,0,1)+IF(R251='Run Snapshot'!R251,0,1)</x:f>
        <x:v>0</x:v>
      </x:c>
      <x:c r="X251" s="15" t="n">
        <x:f>IF(A251="",0,COUNTIF($A$8:$A$289,A251)-1)</x:f>
        <x:v>0</x:v>
      </x:c>
      <x:c r="Y251" s="14" t="n">
        <x:f>IF(A251="",1,IF(OR(D251&lt;=0,N251&lt;0,N251&gt;1,M251&lt;=as_of_date),1,0))</x:f>
        <x:v>0</x:v>
      </x:c>
      <x:c r="Z251" s="170" t="n">
        <x:f>IF(A251="","",VLOOKUP(E251,SP_WARF_Factors,2,FALSE))</x:f>
        <x:v>3610.11</x:v>
      </x:c>
      <x:c r="AA251" s="172" t="n">
        <x:f>IF(A251="","",D251*Z251)</x:f>
        <x:v>4267150020</x:v>
      </x:c>
      <x:c r="AB251" s="170" t="n">
        <x:f>IF(A251="","",D251*ABS(Z251-SPWARF))</x:f>
        <x:v>1454724851.276</x:v>
      </x:c>
    </x:row>
    <x:row r="252">
      <x:c r="A252" s="8" t="str">
        <x:v>SYN-LN-00245</x:v>
      </x:c>
      <x:c r="B252" s="8" t="str">
        <x:v>SYN-OB-0236</x:v>
      </x:c>
      <x:c r="C252" s="8" t="str">
        <x:v>Timber Holdings 236</x:v>
      </x:c>
      <x:c r="D252" s="9" t="n">
        <x:v>1182000</x:v>
      </x:c>
      <x:c r="E252" s="8" t="str">
        <x:v>BB+</x:v>
      </x:c>
      <x:c r="F252" s="8" t="str">
        <x:v>Transportation Infrastructure</x:v>
      </x:c>
      <x:c r="G252" s="8" t="str">
        <x:v>United States</x:v>
      </x:c>
      <x:c r="H252" s="8" t="str">
        <x:v>1st Lien</x:v>
      </x:c>
      <x:c r="I252" s="8" t="str">
        <x:v>Floating</x:v>
      </x:c>
      <x:c r="J252" s="8" t="n">
        <x:v>180</x:v>
      </x:c>
      <x:c r="K252" s="10"/>
      <x:c r="L252" s="8" t="n">
        <x:v>0</x:v>
      </x:c>
      <x:c r="M252" s="11" t="n">
        <x:v>48106</x:v>
      </x:c>
      <x:c r="N252" s="10" t="n">
        <x:v>0.435</x:v>
      </x:c>
      <x:c r="O252" s="12" t="n">
        <x:v>99.375</x:v>
      </x:c>
      <x:c r="P252" s="13" t="n">
        <x:v>4</x:v>
      </x:c>
      <x:c r="Q252" s="8" t="str">
        <x:v>USD</x:v>
      </x:c>
      <x:c r="R252" s="8" t="str">
        <x:v>SOFR</x:v>
      </x:c>
      <x:c r="S252" s="18" t="n">
        <x:f>IF(Portfolio_Par&gt;0,D252/Portfolio_Par,"")</x:f>
        <x:v>0.00394</x:v>
      </x:c>
      <x:c r="T252" s="19" t="n">
        <x:f>IF(A252="","",(M252-as_of_date)/365.25)</x:f>
        <x:v>4.70362765229295</x:v>
      </x:c>
      <x:c r="U252" s="20" t="n">
        <x:f>IF(I252="Floating",D252*J252,0)</x:f>
        <x:v>212760000</x:v>
      </x:c>
      <x:c r="V252" s="20" t="n">
        <x:f>IF(A252="","",D252*N252)</x:f>
        <x:v>514170</x:v>
      </x:c>
      <x:c r="W252" s="14" t="n">
        <x:f>IF(A252='Run Snapshot'!A252,0,1)+IF(B252='Run Snapshot'!B252,0,1)+IF(C252='Run Snapshot'!C252,0,1)+IF(D252='Run Snapshot'!D252,0,1)+IF(E252='Run Snapshot'!E252,0,1)+IF(F252='Run Snapshot'!F252,0,1)+IF(G252='Run Snapshot'!G252,0,1)+IF(H252='Run Snapshot'!H252,0,1)+IF(I252='Run Snapshot'!I252,0,1)+IF(J252='Run Snapshot'!J252,0,1)+IF(K252='Run Snapshot'!K252,0,1)+IF(L252='Run Snapshot'!L252,0,1)+IF(M252='Run Snapshot'!M252,0,1)+IF(N252='Run Snapshot'!N252,0,1)+IF(O252='Run Snapshot'!O252,0,1)+IF(P252='Run Snapshot'!P252,0,1)+IF(Q252='Run Snapshot'!Q252,0,1)+IF(R252='Run Snapshot'!R252,0,1)</x:f>
        <x:v>0</x:v>
      </x:c>
      <x:c r="X252" s="15" t="n">
        <x:f>IF(A252="",0,COUNTIF($A$8:$A$289,A252)-1)</x:f>
        <x:v>0</x:v>
      </x:c>
      <x:c r="Y252" s="14" t="n">
        <x:f>IF(A252="",1,IF(OR(D252&lt;=0,N252&lt;0,N252&gt;1,M252&lt;=as_of_date),1,0))</x:f>
        <x:v>0</x:v>
      </x:c>
      <x:c r="Z252" s="170" t="n">
        <x:f>IF(A252="","",VLOOKUP(E252,SP_WARF_Factors,2,FALSE))</x:f>
        <x:v>784.92</x:v>
      </x:c>
      <x:c r="AA252" s="172" t="n">
        <x:f>IF(A252="","",D252*Z252)</x:f>
        <x:v>927775440</x:v>
      </x:c>
      <x:c r="AB252" s="170" t="n">
        <x:f>IF(A252="","",D252*ABS(Z252-SPWARF))</x:f>
        <x:v>1884649728.724</x:v>
      </x:c>
    </x:row>
    <x:row r="253">
      <x:c r="A253" s="8" t="str">
        <x:v>SYN-LN-00246</x:v>
      </x:c>
      <x:c r="B253" s="8" t="str">
        <x:v>SYN-OB-0237</x:v>
      </x:c>
      <x:c r="C253" s="8" t="str">
        <x:v>Westhaven Inc. 237</x:v>
      </x:c>
      <x:c r="D253" s="9" t="n">
        <x:v>1182000</x:v>
      </x:c>
      <x:c r="E253" s="8" t="str">
        <x:v>B</x:v>
      </x:c>
      <x:c r="F253" s="8" t="str">
        <x:v>Healthcare Providers &amp; Services</x:v>
      </x:c>
      <x:c r="G253" s="8" t="str">
        <x:v>United States</x:v>
      </x:c>
      <x:c r="H253" s="8" t="str">
        <x:v>1st Lien</x:v>
      </x:c>
      <x:c r="I253" s="8" t="str">
        <x:v>Floating</x:v>
      </x:c>
      <x:c r="J253" s="8" t="n">
        <x:v>390</x:v>
      </x:c>
      <x:c r="K253" s="10"/>
      <x:c r="L253" s="8" t="n">
        <x:v>0</x:v>
      </x:c>
      <x:c r="M253" s="11" t="n">
        <x:v>48684</x:v>
      </x:c>
      <x:c r="N253" s="10" t="n">
        <x:v>0.36</x:v>
      </x:c>
      <x:c r="O253" s="12" t="n">
        <x:v>99.125</x:v>
      </x:c>
      <x:c r="P253" s="13" t="n">
        <x:v>4</x:v>
      </x:c>
      <x:c r="Q253" s="8" t="str">
        <x:v>USD</x:v>
      </x:c>
      <x:c r="R253" s="8" t="str">
        <x:v>SOFR</x:v>
      </x:c>
      <x:c r="S253" s="18" t="n">
        <x:f>IF(Portfolio_Par&gt;0,D253/Portfolio_Par,"")</x:f>
        <x:v>0.00394</x:v>
      </x:c>
      <x:c r="T253" s="19" t="n">
        <x:f>IF(A253="","",(M253-as_of_date)/365.25)</x:f>
        <x:v>6.286105407255304</x:v>
      </x:c>
      <x:c r="U253" s="20" t="n">
        <x:f>IF(I253="Floating",D253*J253,0)</x:f>
        <x:v>460980000</x:v>
      </x:c>
      <x:c r="V253" s="20" t="n">
        <x:f>IF(A253="","",D253*N253)</x:f>
        <x:v>425520</x:v>
      </x:c>
      <x:c r="W253" s="14" t="n">
        <x:f>IF(A253='Run Snapshot'!A253,0,1)+IF(B253='Run Snapshot'!B253,0,1)+IF(C253='Run Snapshot'!C253,0,1)+IF(D253='Run Snapshot'!D253,0,1)+IF(E253='Run Snapshot'!E253,0,1)+IF(F253='Run Snapshot'!F253,0,1)+IF(G253='Run Snapshot'!G253,0,1)+IF(H253='Run Snapshot'!H253,0,1)+IF(I253='Run Snapshot'!I253,0,1)+IF(J253='Run Snapshot'!J253,0,1)+IF(K253='Run Snapshot'!K253,0,1)+IF(L253='Run Snapshot'!L253,0,1)+IF(M253='Run Snapshot'!M253,0,1)+IF(N253='Run Snapshot'!N253,0,1)+IF(O253='Run Snapshot'!O253,0,1)+IF(P253='Run Snapshot'!P253,0,1)+IF(Q253='Run Snapshot'!Q253,0,1)+IF(R253='Run Snapshot'!R253,0,1)</x:f>
        <x:v>0</x:v>
      </x:c>
      <x:c r="X253" s="15" t="n">
        <x:f>IF(A253="",0,COUNTIF($A$8:$A$289,A253)-1)</x:f>
        <x:v>0</x:v>
      </x:c>
      <x:c r="Y253" s="14" t="n">
        <x:f>IF(A253="",1,IF(OR(D253&lt;=0,N253&lt;0,N253&gt;1,M253&lt;=as_of_date),1,0))</x:f>
        <x:v>0</x:v>
      </x:c>
      <x:c r="Z253" s="170" t="n">
        <x:f>IF(A253="","",VLOOKUP(E253,SP_WARF_Factors,2,FALSE))</x:f>
        <x:v>2859.5</x:v>
      </x:c>
      <x:c r="AA253" s="172" t="n">
        <x:f>IF(A253="","",D253*Z253)</x:f>
        <x:v>3379929000</x:v>
      </x:c>
      <x:c r="AB253" s="170" t="n">
        <x:f>IF(A253="","",D253*ABS(Z253-SPWARF))</x:f>
        <x:v>567503831.2759999</x:v>
      </x:c>
    </x:row>
    <x:row r="254">
      <x:c r="A254" s="8" t="str">
        <x:v>SYN-LN-00247</x:v>
      </x:c>
      <x:c r="B254" s="8" t="str">
        <x:v>SYN-OB-0238</x:v>
      </x:c>
      <x:c r="C254" s="8" t="str">
        <x:v>Willow Corp. 238</x:v>
      </x:c>
      <x:c r="D254" s="9" t="n">
        <x:v>1182000</x:v>
      </x:c>
      <x:c r="E254" s="8" t="str">
        <x:v>B</x:v>
      </x:c>
      <x:c r="F254" s="8" t="str">
        <x:v>Chemicals</x:v>
      </x:c>
      <x:c r="G254" s="8" t="str">
        <x:v>United States</x:v>
      </x:c>
      <x:c r="H254" s="8" t="str">
        <x:v>1st Lien</x:v>
      </x:c>
      <x:c r="I254" s="8" t="str">
        <x:v>Floating</x:v>
      </x:c>
      <x:c r="J254" s="8" t="n">
        <x:v>310</x:v>
      </x:c>
      <x:c r="K254" s="10"/>
      <x:c r="L254" s="8" t="n">
        <x:v>0</x:v>
      </x:c>
      <x:c r="M254" s="11" t="n">
        <x:v>47968</x:v>
      </x:c>
      <x:c r="N254" s="10" t="n">
        <x:v>0.405</x:v>
      </x:c>
      <x:c r="O254" s="12" t="n">
        <x:v>100.75</x:v>
      </x:c>
      <x:c r="P254" s="13" t="n">
        <x:v>4</x:v>
      </x:c>
      <x:c r="Q254" s="8" t="str">
        <x:v>USD</x:v>
      </x:c>
      <x:c r="R254" s="8" t="str">
        <x:v>SOFR</x:v>
      </x:c>
      <x:c r="S254" s="18" t="n">
        <x:f>IF(Portfolio_Par&gt;0,D254/Portfolio_Par,"")</x:f>
        <x:v>0.00394</x:v>
      </x:c>
      <x:c r="T254" s="19" t="n">
        <x:f>IF(A254="","",(M254-as_of_date)/365.25)</x:f>
        <x:v>4.32580424366872</x:v>
      </x:c>
      <x:c r="U254" s="20" t="n">
        <x:f>IF(I254="Floating",D254*J254,0)</x:f>
        <x:v>366420000</x:v>
      </x:c>
      <x:c r="V254" s="20" t="n">
        <x:f>IF(A254="","",D254*N254)</x:f>
        <x:v>478710.00000000006</x:v>
      </x:c>
      <x:c r="W254" s="14" t="n">
        <x:f>IF(A254='Run Snapshot'!A254,0,1)+IF(B254='Run Snapshot'!B254,0,1)+IF(C254='Run Snapshot'!C254,0,1)+IF(D254='Run Snapshot'!D254,0,1)+IF(E254='Run Snapshot'!E254,0,1)+IF(F254='Run Snapshot'!F254,0,1)+IF(G254='Run Snapshot'!G254,0,1)+IF(H254='Run Snapshot'!H254,0,1)+IF(I254='Run Snapshot'!I254,0,1)+IF(J254='Run Snapshot'!J254,0,1)+IF(K254='Run Snapshot'!K254,0,1)+IF(L254='Run Snapshot'!L254,0,1)+IF(M254='Run Snapshot'!M254,0,1)+IF(N254='Run Snapshot'!N254,0,1)+IF(O254='Run Snapshot'!O254,0,1)+IF(P254='Run Snapshot'!P254,0,1)+IF(Q254='Run Snapshot'!Q254,0,1)+IF(R254='Run Snapshot'!R254,0,1)</x:f>
        <x:v>0</x:v>
      </x:c>
      <x:c r="X254" s="15" t="n">
        <x:f>IF(A254="",0,COUNTIF($A$8:$A$289,A254)-1)</x:f>
        <x:v>0</x:v>
      </x:c>
      <x:c r="Y254" s="14" t="n">
        <x:f>IF(A254="",1,IF(OR(D254&lt;=0,N254&lt;0,N254&gt;1,M254&lt;=as_of_date),1,0))</x:f>
        <x:v>0</x:v>
      </x:c>
      <x:c r="Z254" s="170" t="n">
        <x:f>IF(A254="","",VLOOKUP(E254,SP_WARF_Factors,2,FALSE))</x:f>
        <x:v>2859.5</x:v>
      </x:c>
      <x:c r="AA254" s="172" t="n">
        <x:f>IF(A254="","",D254*Z254)</x:f>
        <x:v>3379929000</x:v>
      </x:c>
      <x:c r="AB254" s="170" t="n">
        <x:f>IF(A254="","",D254*ABS(Z254-SPWARF))</x:f>
        <x:v>567503831.2759999</x:v>
      </x:c>
    </x:row>
    <x:row r="255">
      <x:c r="A255" s="8" t="str">
        <x:v>SYN-LN-00248</x:v>
      </x:c>
      <x:c r="B255" s="8" t="str">
        <x:v>SYN-OB-0239</x:v>
      </x:c>
      <x:c r="C255" s="8" t="str">
        <x:v>Windward Group 239</x:v>
      </x:c>
      <x:c r="D255" s="9" t="n">
        <x:v>1182000</x:v>
      </x:c>
      <x:c r="E255" s="8" t="str">
        <x:v>B-</x:v>
      </x:c>
      <x:c r="F255" s="8" t="str">
        <x:v>Software</x:v>
      </x:c>
      <x:c r="G255" s="8" t="str">
        <x:v>United States</x:v>
      </x:c>
      <x:c r="H255" s="8" t="str">
        <x:v>1st Lien</x:v>
      </x:c>
      <x:c r="I255" s="8" t="str">
        <x:v>Floating</x:v>
      </x:c>
      <x:c r="J255" s="8" t="n">
        <x:v>385</x:v>
      </x:c>
      <x:c r="K255" s="10"/>
      <x:c r="L255" s="8" t="n">
        <x:v>0</x:v>
      </x:c>
      <x:c r="M255" s="11" t="n">
        <x:v>48850</x:v>
      </x:c>
      <x:c r="N255" s="10" t="n">
        <x:v>0.49</x:v>
      </x:c>
      <x:c r="O255" s="12" t="n">
        <x:v>100.375</x:v>
      </x:c>
      <x:c r="P255" s="13" t="n">
        <x:v>4</x:v>
      </x:c>
      <x:c r="Q255" s="8" t="str">
        <x:v>USD</x:v>
      </x:c>
      <x:c r="R255" s="8" t="str">
        <x:v>SOFR</x:v>
      </x:c>
      <x:c r="S255" s="18" t="n">
        <x:f>IF(Portfolio_Par&gt;0,D255/Portfolio_Par,"")</x:f>
        <x:v>0.00394</x:v>
      </x:c>
      <x:c r="T255" s="19" t="n">
        <x:f>IF(A255="","",(M255-as_of_date)/365.25)</x:f>
        <x:v>6.740588637919234</x:v>
      </x:c>
      <x:c r="U255" s="20" t="n">
        <x:f>IF(I255="Floating",D255*J255,0)</x:f>
        <x:v>455070000</x:v>
      </x:c>
      <x:c r="V255" s="20" t="n">
        <x:f>IF(A255="","",D255*N255)</x:f>
        <x:v>579180</x:v>
      </x:c>
      <x:c r="W255" s="14" t="n">
        <x:f>IF(A255='Run Snapshot'!A255,0,1)+IF(B255='Run Snapshot'!B255,0,1)+IF(C255='Run Snapshot'!C255,0,1)+IF(D255='Run Snapshot'!D255,0,1)+IF(E255='Run Snapshot'!E255,0,1)+IF(F255='Run Snapshot'!F255,0,1)+IF(G255='Run Snapshot'!G255,0,1)+IF(H255='Run Snapshot'!H255,0,1)+IF(I255='Run Snapshot'!I255,0,1)+IF(J255='Run Snapshot'!J255,0,1)+IF(K255='Run Snapshot'!K255,0,1)+IF(L255='Run Snapshot'!L255,0,1)+IF(M255='Run Snapshot'!M255,0,1)+IF(N255='Run Snapshot'!N255,0,1)+IF(O255='Run Snapshot'!O255,0,1)+IF(P255='Run Snapshot'!P255,0,1)+IF(Q255='Run Snapshot'!Q255,0,1)+IF(R255='Run Snapshot'!R255,0,1)</x:f>
        <x:v>0</x:v>
      </x:c>
      <x:c r="X255" s="15" t="n">
        <x:f>IF(A255="",0,COUNTIF($A$8:$A$289,A255)-1)</x:f>
        <x:v>0</x:v>
      </x:c>
      <x:c r="Y255" s="14" t="n">
        <x:f>IF(A255="",1,IF(OR(D255&lt;=0,N255&lt;0,N255&gt;1,M255&lt;=as_of_date),1,0))</x:f>
        <x:v>0</x:v>
      </x:c>
      <x:c r="Z255" s="170" t="n">
        <x:f>IF(A255="","",VLOOKUP(E255,SP_WARF_Factors,2,FALSE))</x:f>
        <x:v>3610.11</x:v>
      </x:c>
      <x:c r="AA255" s="172" t="n">
        <x:f>IF(A255="","",D255*Z255)</x:f>
        <x:v>4267150020</x:v>
      </x:c>
      <x:c r="AB255" s="170" t="n">
        <x:f>IF(A255="","",D255*ABS(Z255-SPWARF))</x:f>
        <x:v>1454724851.276</x:v>
      </x:c>
    </x:row>
    <x:row r="256">
      <x:c r="A256" s="8" t="str">
        <x:v>SYN-LN-00249</x:v>
      </x:c>
      <x:c r="B256" s="8" t="str">
        <x:v>SYN-OB-0240</x:v>
      </x:c>
      <x:c r="C256" s="8" t="str">
        <x:v>Woodland LLC 240</x:v>
      </x:c>
      <x:c r="D256" s="9" t="n">
        <x:v>1182000</x:v>
      </x:c>
      <x:c r="E256" s="8" t="str">
        <x:v>B-</x:v>
      </x:c>
      <x:c r="F256" s="8" t="str">
        <x:v>Software</x:v>
      </x:c>
      <x:c r="G256" s="8" t="str">
        <x:v>United States</x:v>
      </x:c>
      <x:c r="H256" s="8" t="str">
        <x:v>1st Lien</x:v>
      </x:c>
      <x:c r="I256" s="8" t="str">
        <x:v>Floating</x:v>
      </x:c>
      <x:c r="J256" s="8" t="n">
        <x:v>330</x:v>
      </x:c>
      <x:c r="K256" s="10"/>
      <x:c r="L256" s="8" t="n">
        <x:v>0</x:v>
      </x:c>
      <x:c r="M256" s="11" t="n">
        <x:v>47542</x:v>
      </x:c>
      <x:c r="N256" s="10" t="n">
        <x:v>0.375</x:v>
      </x:c>
      <x:c r="O256" s="12" t="n">
        <x:v>97.75</x:v>
      </x:c>
      <x:c r="P256" s="13" t="n">
        <x:v>4</x:v>
      </x:c>
      <x:c r="Q256" s="8" t="str">
        <x:v>USD</x:v>
      </x:c>
      <x:c r="R256" s="8" t="str">
        <x:v>SOFR</x:v>
      </x:c>
      <x:c r="S256" s="18" t="n">
        <x:f>IF(Portfolio_Par&gt;0,D256/Portfolio_Par,"")</x:f>
        <x:v>0.00394</x:v>
      </x:c>
      <x:c r="T256" s="19" t="n">
        <x:f>IF(A256="","",(M256-as_of_date)/365.25)</x:f>
        <x:v>3.159479808350445</x:v>
      </x:c>
      <x:c r="U256" s="20" t="n">
        <x:f>IF(I256="Floating",D256*J256,0)</x:f>
        <x:v>390060000</x:v>
      </x:c>
      <x:c r="V256" s="20" t="n">
        <x:f>IF(A256="","",D256*N256)</x:f>
        <x:v>443250</x:v>
      </x:c>
      <x:c r="W256" s="14" t="n">
        <x:f>IF(A256='Run Snapshot'!A256,0,1)+IF(B256='Run Snapshot'!B256,0,1)+IF(C256='Run Snapshot'!C256,0,1)+IF(D256='Run Snapshot'!D256,0,1)+IF(E256='Run Snapshot'!E256,0,1)+IF(F256='Run Snapshot'!F256,0,1)+IF(G256='Run Snapshot'!G256,0,1)+IF(H256='Run Snapshot'!H256,0,1)+IF(I256='Run Snapshot'!I256,0,1)+IF(J256='Run Snapshot'!J256,0,1)+IF(K256='Run Snapshot'!K256,0,1)+IF(L256='Run Snapshot'!L256,0,1)+IF(M256='Run Snapshot'!M256,0,1)+IF(N256='Run Snapshot'!N256,0,1)+IF(O256='Run Snapshot'!O256,0,1)+IF(P256='Run Snapshot'!P256,0,1)+IF(Q256='Run Snapshot'!Q256,0,1)+IF(R256='Run Snapshot'!R256,0,1)</x:f>
        <x:v>0</x:v>
      </x:c>
      <x:c r="X256" s="15" t="n">
        <x:f>IF(A256="",0,COUNTIF($A$8:$A$289,A256)-1)</x:f>
        <x:v>0</x:v>
      </x:c>
      <x:c r="Y256" s="14" t="n">
        <x:f>IF(A256="",1,IF(OR(D256&lt;=0,N256&lt;0,N256&gt;1,M256&lt;=as_of_date),1,0))</x:f>
        <x:v>0</x:v>
      </x:c>
      <x:c r="Z256" s="170" t="n">
        <x:f>IF(A256="","",VLOOKUP(E256,SP_WARF_Factors,2,FALSE))</x:f>
        <x:v>3610.11</x:v>
      </x:c>
      <x:c r="AA256" s="172" t="n">
        <x:f>IF(A256="","",D256*Z256)</x:f>
        <x:v>4267150020</x:v>
      </x:c>
      <x:c r="AB256" s="170" t="n">
        <x:f>IF(A256="","",D256*ABS(Z256-SPWARF))</x:f>
        <x:v>1454724851.276</x:v>
      </x:c>
    </x:row>
    <x:row r="257">
      <x:c r="A257" s="8" t="str">
        <x:v>SYN-LN-00250</x:v>
      </x:c>
      <x:c r="B257" s="8" t="str">
        <x:v>SYN-OB-0241</x:v>
      </x:c>
      <x:c r="C257" s="8" t="str">
        <x:v>Alder Holdings 241</x:v>
      </x:c>
      <x:c r="D257" s="9" t="n">
        <x:v>1182000</x:v>
      </x:c>
      <x:c r="E257" s="8" t="str">
        <x:v>B-</x:v>
      </x:c>
      <x:c r="F257" s="8" t="str">
        <x:v>Software</x:v>
      </x:c>
      <x:c r="G257" s="8" t="str">
        <x:v>United States</x:v>
      </x:c>
      <x:c r="H257" s="8" t="str">
        <x:v>1st Lien</x:v>
      </x:c>
      <x:c r="I257" s="8" t="str">
        <x:v>Floating</x:v>
      </x:c>
      <x:c r="J257" s="8" t="n">
        <x:v>345</x:v>
      </x:c>
      <x:c r="K257" s="10"/>
      <x:c r="L257" s="8" t="n">
        <x:v>0</x:v>
      </x:c>
      <x:c r="M257" s="11" t="n">
        <x:v>47847</x:v>
      </x:c>
      <x:c r="N257" s="10" t="n">
        <x:v>0.42</x:v>
      </x:c>
      <x:c r="O257" s="12" t="n">
        <x:v>101.5</x:v>
      </x:c>
      <x:c r="P257" s="13" t="n">
        <x:v>4</x:v>
      </x:c>
      <x:c r="Q257" s="8" t="str">
        <x:v>USD</x:v>
      </x:c>
      <x:c r="R257" s="8" t="str">
        <x:v>SOFR</x:v>
      </x:c>
      <x:c r="S257" s="18" t="n">
        <x:f>IF(Portfolio_Par&gt;0,D257/Portfolio_Par,"")</x:f>
        <x:v>0.00394</x:v>
      </x:c>
      <x:c r="T257" s="19" t="n">
        <x:f>IF(A257="","",(M257-as_of_date)/365.25)</x:f>
        <x:v>3.994524298425736</x:v>
      </x:c>
      <x:c r="U257" s="20" t="n">
        <x:f>IF(I257="Floating",D257*J257,0)</x:f>
        <x:v>407790000</x:v>
      </x:c>
      <x:c r="V257" s="20" t="n">
        <x:f>IF(A257="","",D257*N257)</x:f>
        <x:v>496440</x:v>
      </x:c>
      <x:c r="W257" s="14" t="n">
        <x:f>IF(A257='Run Snapshot'!A257,0,1)+IF(B257='Run Snapshot'!B257,0,1)+IF(C257='Run Snapshot'!C257,0,1)+IF(D257='Run Snapshot'!D257,0,1)+IF(E257='Run Snapshot'!E257,0,1)+IF(F257='Run Snapshot'!F257,0,1)+IF(G257='Run Snapshot'!G257,0,1)+IF(H257='Run Snapshot'!H257,0,1)+IF(I257='Run Snapshot'!I257,0,1)+IF(J257='Run Snapshot'!J257,0,1)+IF(K257='Run Snapshot'!K257,0,1)+IF(L257='Run Snapshot'!L257,0,1)+IF(M257='Run Snapshot'!M257,0,1)+IF(N257='Run Snapshot'!N257,0,1)+IF(O257='Run Snapshot'!O257,0,1)+IF(P257='Run Snapshot'!P257,0,1)+IF(Q257='Run Snapshot'!Q257,0,1)+IF(R257='Run Snapshot'!R257,0,1)</x:f>
        <x:v>0</x:v>
      </x:c>
      <x:c r="X257" s="15" t="n">
        <x:f>IF(A257="",0,COUNTIF($A$8:$A$289,A257)-1)</x:f>
        <x:v>0</x:v>
      </x:c>
      <x:c r="Y257" s="14" t="n">
        <x:f>IF(A257="",1,IF(OR(D257&lt;=0,N257&lt;0,N257&gt;1,M257&lt;=as_of_date),1,0))</x:f>
        <x:v>0</x:v>
      </x:c>
      <x:c r="Z257" s="170" t="n">
        <x:f>IF(A257="","",VLOOKUP(E257,SP_WARF_Factors,2,FALSE))</x:f>
        <x:v>3610.11</x:v>
      </x:c>
      <x:c r="AA257" s="172" t="n">
        <x:f>IF(A257="","",D257*Z257)</x:f>
        <x:v>4267150020</x:v>
      </x:c>
      <x:c r="AB257" s="170" t="n">
        <x:f>IF(A257="","",D257*ABS(Z257-SPWARF))</x:f>
        <x:v>1454724851.276</x:v>
      </x:c>
    </x:row>
    <x:row r="258">
      <x:c r="A258" s="8" t="str">
        <x:v>SYN-LN-00251</x:v>
      </x:c>
      <x:c r="B258" s="8" t="str">
        <x:v>SYN-OB-0242</x:v>
      </x:c>
      <x:c r="C258" s="8" t="str">
        <x:v>Amber Inc. 242</x:v>
      </x:c>
      <x:c r="D258" s="9" t="n">
        <x:v>1182000</x:v>
      </x:c>
      <x:c r="E258" s="8" t="str">
        <x:v>B+</x:v>
      </x:c>
      <x:c r="F258" s="8" t="str">
        <x:v>Media</x:v>
      </x:c>
      <x:c r="G258" s="8" t="str">
        <x:v>United States</x:v>
      </x:c>
      <x:c r="H258" s="8" t="str">
        <x:v>1st Lien</x:v>
      </x:c>
      <x:c r="I258" s="8" t="str">
        <x:v>Floating</x:v>
      </x:c>
      <x:c r="J258" s="8" t="n">
        <x:v>280</x:v>
      </x:c>
      <x:c r="K258" s="10"/>
      <x:c r="L258" s="8" t="n">
        <x:v>0</x:v>
      </x:c>
      <x:c r="M258" s="11" t="n">
        <x:v>48288</x:v>
      </x:c>
      <x:c r="N258" s="10" t="n">
        <x:v>0.31</x:v>
      </x:c>
      <x:c r="O258" s="12" t="n">
        <x:v>99</x:v>
      </x:c>
      <x:c r="P258" s="13" t="n">
        <x:v>4</x:v>
      </x:c>
      <x:c r="Q258" s="8" t="str">
        <x:v>USD</x:v>
      </x:c>
      <x:c r="R258" s="8" t="str">
        <x:v>SOFR</x:v>
      </x:c>
      <x:c r="S258" s="18" t="n">
        <x:f>IF(Portfolio_Par&gt;0,D258/Portfolio_Par,"")</x:f>
        <x:v>0.00394</x:v>
      </x:c>
      <x:c r="T258" s="19" t="n">
        <x:f>IF(A258="","",(M258-as_of_date)/365.25)</x:f>
        <x:v>5.201916495550993</x:v>
      </x:c>
      <x:c r="U258" s="20" t="n">
        <x:f>IF(I258="Floating",D258*J258,0)</x:f>
        <x:v>330960000</x:v>
      </x:c>
      <x:c r="V258" s="20" t="n">
        <x:f>IF(A258="","",D258*N258)</x:f>
        <x:v>366420</x:v>
      </x:c>
      <x:c r="W258" s="14" t="n">
        <x:f>IF(A258='Run Snapshot'!A258,0,1)+IF(B258='Run Snapshot'!B258,0,1)+IF(C258='Run Snapshot'!C258,0,1)+IF(D258='Run Snapshot'!D258,0,1)+IF(E258='Run Snapshot'!E258,0,1)+IF(F258='Run Snapshot'!F258,0,1)+IF(G258='Run Snapshot'!G258,0,1)+IF(H258='Run Snapshot'!H258,0,1)+IF(I258='Run Snapshot'!I258,0,1)+IF(J258='Run Snapshot'!J258,0,1)+IF(K258='Run Snapshot'!K258,0,1)+IF(L258='Run Snapshot'!L258,0,1)+IF(M258='Run Snapshot'!M258,0,1)+IF(N258='Run Snapshot'!N258,0,1)+IF(O258='Run Snapshot'!O258,0,1)+IF(P258='Run Snapshot'!P258,0,1)+IF(Q258='Run Snapshot'!Q258,0,1)+IF(R258='Run Snapshot'!R258,0,1)</x:f>
        <x:v>0</x:v>
      </x:c>
      <x:c r="X258" s="15" t="n">
        <x:f>IF(A258="",0,COUNTIF($A$8:$A$289,A258)-1)</x:f>
        <x:v>0</x:v>
      </x:c>
      <x:c r="Y258" s="14" t="n">
        <x:f>IF(A258="",1,IF(OR(D258&lt;=0,N258&lt;0,N258&gt;1,M258&lt;=as_of_date),1,0))</x:f>
        <x:v>0</x:v>
      </x:c>
      <x:c r="Z258" s="170" t="n">
        <x:f>IF(A258="","",VLOOKUP(E258,SP_WARF_Factors,2,FALSE))</x:f>
        <x:v>1982</x:v>
      </x:c>
      <x:c r="AA258" s="172" t="n">
        <x:f>IF(A258="","",D258*Z258)</x:f>
        <x:v>2342724000</x:v>
      </x:c>
      <x:c r="AB258" s="170" t="n">
        <x:f>IF(A258="","",D258*ABS(Z258-SPWARF))</x:f>
        <x:v>469701168.72400004</x:v>
      </x:c>
    </x:row>
    <x:row r="259">
      <x:c r="A259" s="8" t="str">
        <x:v>SYN-LN-00252</x:v>
      </x:c>
      <x:c r="B259" s="8" t="str">
        <x:v>SYN-OB-0243</x:v>
      </x:c>
      <x:c r="C259" s="8" t="str">
        <x:v>Arbor Corp. 243</x:v>
      </x:c>
      <x:c r="D259" s="9" t="n">
        <x:v>1202000</x:v>
      </x:c>
      <x:c r="E259" s="8" t="str">
        <x:v>B</x:v>
      </x:c>
      <x:c r="F259" s="8" t="str">
        <x:v>Healthcare Providers &amp; Services</x:v>
      </x:c>
      <x:c r="G259" s="8" t="str">
        <x:v>United States</x:v>
      </x:c>
      <x:c r="H259" s="8" t="str">
        <x:v>1st Lien</x:v>
      </x:c>
      <x:c r="I259" s="8" t="str">
        <x:v>Floating</x:v>
      </x:c>
      <x:c r="J259" s="8" t="n">
        <x:v>395</x:v>
      </x:c>
      <x:c r="K259" s="10"/>
      <x:c r="L259" s="8" t="n">
        <x:v>0</x:v>
      </x:c>
      <x:c r="M259" s="11" t="n">
        <x:v>48819</x:v>
      </x:c>
      <x:c r="N259" s="10" t="n">
        <x:v>0.385</x:v>
      </x:c>
      <x:c r="O259" s="12" t="n">
        <x:v>100.125</x:v>
      </x:c>
      <x:c r="P259" s="13" t="n">
        <x:v>4</x:v>
      </x:c>
      <x:c r="Q259" s="8" t="str">
        <x:v>USD</x:v>
      </x:c>
      <x:c r="R259" s="8" t="str">
        <x:v>SOFR</x:v>
      </x:c>
      <x:c r="S259" s="18" t="n">
        <x:f>IF(Portfolio_Par&gt;0,D259/Portfolio_Par,"")</x:f>
        <x:v>0.004006666666666667</x:v>
      </x:c>
      <x:c r="T259" s="19" t="n">
        <x:f>IF(A259="","",(M259-as_of_date)/365.25)</x:f>
        <x:v>6.655715263518139</x:v>
      </x:c>
      <x:c r="U259" s="20" t="n">
        <x:f>IF(I259="Floating",D259*J259,0)</x:f>
        <x:v>474790000</x:v>
      </x:c>
      <x:c r="V259" s="20" t="n">
        <x:f>IF(A259="","",D259*N259)</x:f>
        <x:v>462770</x:v>
      </x:c>
      <x:c r="W259" s="14" t="n">
        <x:f>IF(A259='Run Snapshot'!A259,0,1)+IF(B259='Run Snapshot'!B259,0,1)+IF(C259='Run Snapshot'!C259,0,1)+IF(D259='Run Snapshot'!D259,0,1)+IF(E259='Run Snapshot'!E259,0,1)+IF(F259='Run Snapshot'!F259,0,1)+IF(G259='Run Snapshot'!G259,0,1)+IF(H259='Run Snapshot'!H259,0,1)+IF(I259='Run Snapshot'!I259,0,1)+IF(J259='Run Snapshot'!J259,0,1)+IF(K259='Run Snapshot'!K259,0,1)+IF(L259='Run Snapshot'!L259,0,1)+IF(M259='Run Snapshot'!M259,0,1)+IF(N259='Run Snapshot'!N259,0,1)+IF(O259='Run Snapshot'!O259,0,1)+IF(P259='Run Snapshot'!P259,0,1)+IF(Q259='Run Snapshot'!Q259,0,1)+IF(R259='Run Snapshot'!R259,0,1)</x:f>
        <x:v>0</x:v>
      </x:c>
      <x:c r="X259" s="15" t="n">
        <x:f>IF(A259="",0,COUNTIF($A$8:$A$289,A259)-1)</x:f>
        <x:v>0</x:v>
      </x:c>
      <x:c r="Y259" s="14" t="n">
        <x:f>IF(A259="",1,IF(OR(D259&lt;=0,N259&lt;0,N259&gt;1,M259&lt;=as_of_date),1,0))</x:f>
        <x:v>0</x:v>
      </x:c>
      <x:c r="Z259" s="170" t="n">
        <x:f>IF(A259="","",VLOOKUP(E259,SP_WARF_Factors,2,FALSE))</x:f>
        <x:v>2859.5</x:v>
      </x:c>
      <x:c r="AA259" s="172" t="n">
        <x:f>IF(A259="","",D259*Z259)</x:f>
        <x:v>3437119000</x:v>
      </x:c>
      <x:c r="AB259" s="170" t="n">
        <x:f>IF(A259="","",D259*ABS(Z259-SPWARF))</x:f>
        <x:v>577106264.9693333</x:v>
      </x:c>
    </x:row>
    <x:row r="260">
      <x:c r="A260" s="8" t="str">
        <x:v>SYN-LN-00253</x:v>
      </x:c>
      <x:c r="B260" s="8" t="str">
        <x:v>SYN-OB-0244</x:v>
      </x:c>
      <x:c r="C260" s="8" t="str">
        <x:v>Atlas Group 244</x:v>
      </x:c>
      <x:c r="D260" s="9" t="n">
        <x:v>1182000</x:v>
      </x:c>
      <x:c r="E260" s="8" t="str">
        <x:v>B</x:v>
      </x:c>
      <x:c r="F260" s="8" t="str">
        <x:v>Healthcare Providers &amp; Services</x:v>
      </x:c>
      <x:c r="G260" s="8" t="str">
        <x:v>United States</x:v>
      </x:c>
      <x:c r="H260" s="8" t="str">
        <x:v>1st Lien</x:v>
      </x:c>
      <x:c r="I260" s="8" t="str">
        <x:v>Floating</x:v>
      </x:c>
      <x:c r="J260" s="8" t="n">
        <x:v>215</x:v>
      </x:c>
      <x:c r="K260" s="10"/>
      <x:c r="L260" s="8" t="n">
        <x:v>0</x:v>
      </x:c>
      <x:c r="M260" s="11" t="n">
        <x:v>48197</x:v>
      </x:c>
      <x:c r="N260" s="10" t="n">
        <x:v>0.265</x:v>
      </x:c>
      <x:c r="O260" s="12" t="n">
        <x:v>100.875</x:v>
      </x:c>
      <x:c r="P260" s="13" t="n">
        <x:v>4</x:v>
      </x:c>
      <x:c r="Q260" s="8" t="str">
        <x:v>USD</x:v>
      </x:c>
      <x:c r="R260" s="8" t="str">
        <x:v>SOFR</x:v>
      </x:c>
      <x:c r="S260" s="18" t="n">
        <x:f>IF(Portfolio_Par&gt;0,D260/Portfolio_Par,"")</x:f>
        <x:v>0.00394</x:v>
      </x:c>
      <x:c r="T260" s="19" t="n">
        <x:f>IF(A260="","",(M260-as_of_date)/365.25)</x:f>
        <x:v>4.952772073921971</x:v>
      </x:c>
      <x:c r="U260" s="20" t="n">
        <x:f>IF(I260="Floating",D260*J260,0)</x:f>
        <x:v>254130000</x:v>
      </x:c>
      <x:c r="V260" s="20" t="n">
        <x:f>IF(A260="","",D260*N260)</x:f>
        <x:v>313230</x:v>
      </x:c>
      <x:c r="W260" s="14" t="n">
        <x:f>IF(A260='Run Snapshot'!A260,0,1)+IF(B260='Run Snapshot'!B260,0,1)+IF(C260='Run Snapshot'!C260,0,1)+IF(D260='Run Snapshot'!D260,0,1)+IF(E260='Run Snapshot'!E260,0,1)+IF(F260='Run Snapshot'!F260,0,1)+IF(G260='Run Snapshot'!G260,0,1)+IF(H260='Run Snapshot'!H260,0,1)+IF(I260='Run Snapshot'!I260,0,1)+IF(J260='Run Snapshot'!J260,0,1)+IF(K260='Run Snapshot'!K260,0,1)+IF(L260='Run Snapshot'!L260,0,1)+IF(M260='Run Snapshot'!M260,0,1)+IF(N260='Run Snapshot'!N260,0,1)+IF(O260='Run Snapshot'!O260,0,1)+IF(P260='Run Snapshot'!P260,0,1)+IF(Q260='Run Snapshot'!Q260,0,1)+IF(R260='Run Snapshot'!R260,0,1)</x:f>
        <x:v>0</x:v>
      </x:c>
      <x:c r="X260" s="15" t="n">
        <x:f>IF(A260="",0,COUNTIF($A$8:$A$289,A260)-1)</x:f>
        <x:v>0</x:v>
      </x:c>
      <x:c r="Y260" s="14" t="n">
        <x:f>IF(A260="",1,IF(OR(D260&lt;=0,N260&lt;0,N260&gt;1,M260&lt;=as_of_date),1,0))</x:f>
        <x:v>0</x:v>
      </x:c>
      <x:c r="Z260" s="170" t="n">
        <x:f>IF(A260="","",VLOOKUP(E260,SP_WARF_Factors,2,FALSE))</x:f>
        <x:v>2859.5</x:v>
      </x:c>
      <x:c r="AA260" s="172" t="n">
        <x:f>IF(A260="","",D260*Z260)</x:f>
        <x:v>3379929000</x:v>
      </x:c>
      <x:c r="AB260" s="170" t="n">
        <x:f>IF(A260="","",D260*ABS(Z260-SPWARF))</x:f>
        <x:v>567503831.2759999</x:v>
      </x:c>
    </x:row>
    <x:row r="261">
      <x:c r="A261" s="8" t="str">
        <x:v>SYN-LN-00254</x:v>
      </x:c>
      <x:c r="B261" s="8" t="str">
        <x:v>SYN-OB-0245</x:v>
      </x:c>
      <x:c r="C261" s="8" t="str">
        <x:v>Beacon LLC 245</x:v>
      </x:c>
      <x:c r="D261" s="9" t="n">
        <x:v>630000</x:v>
      </x:c>
      <x:c r="E261" s="8" t="str">
        <x:v>B-</x:v>
      </x:c>
      <x:c r="F261" s="8" t="str">
        <x:v>Diversified Telecommunication Services</x:v>
      </x:c>
      <x:c r="G261" s="8" t="str">
        <x:v>Switzerland</x:v>
      </x:c>
      <x:c r="H261" s="8" t="str">
        <x:v>1st Lien</x:v>
      </x:c>
      <x:c r="I261" s="8" t="str">
        <x:v>Fixed</x:v>
      </x:c>
      <x:c r="J261" s="8"/>
      <x:c r="K261" s="10" t="n">
        <x:v>0.033625</x:v>
      </x:c>
      <x:c r="L261" s="8"/>
      <x:c r="M261" s="11" t="n">
        <x:v>47966</x:v>
      </x:c>
      <x:c r="N261" s="10" t="n">
        <x:v>0.4</x:v>
      </x:c>
      <x:c r="O261" s="12" t="n">
        <x:v>100.5</x:v>
      </x:c>
      <x:c r="P261" s="13" t="n">
        <x:v>2</x:v>
      </x:c>
      <x:c r="Q261" s="8" t="str">
        <x:v>USD</x:v>
      </x:c>
      <x:c r="R261" s="8"/>
      <x:c r="S261" s="18" t="n">
        <x:f>IF(Portfolio_Par&gt;0,D261/Portfolio_Par,"")</x:f>
        <x:v>0.0021</x:v>
      </x:c>
      <x:c r="T261" s="19" t="n">
        <x:f>IF(A261="","",(M261-as_of_date)/365.25)</x:f>
        <x:v>4.3203285420944555</x:v>
      </x:c>
      <x:c r="U261" s="20" t="n">
        <x:f>IF(I261="Floating",D261*J261,0)</x:f>
        <x:v>0</x:v>
      </x:c>
      <x:c r="V261" s="20" t="n">
        <x:f>IF(A261="","",D261*N261)</x:f>
        <x:v>252000</x:v>
      </x:c>
      <x:c r="W261" s="14" t="n">
        <x:f>IF(A261='Run Snapshot'!A261,0,1)+IF(B261='Run Snapshot'!B261,0,1)+IF(C261='Run Snapshot'!C261,0,1)+IF(D261='Run Snapshot'!D261,0,1)+IF(E261='Run Snapshot'!E261,0,1)+IF(F261='Run Snapshot'!F261,0,1)+IF(G261='Run Snapshot'!G261,0,1)+IF(H261='Run Snapshot'!H261,0,1)+IF(I261='Run Snapshot'!I261,0,1)+IF(J261='Run Snapshot'!J261,0,1)+IF(K261='Run Snapshot'!K261,0,1)+IF(L261='Run Snapshot'!L261,0,1)+IF(M261='Run Snapshot'!M261,0,1)+IF(N261='Run Snapshot'!N261,0,1)+IF(O261='Run Snapshot'!O261,0,1)+IF(P261='Run Snapshot'!P261,0,1)+IF(Q261='Run Snapshot'!Q261,0,1)+IF(R261='Run Snapshot'!R261,0,1)</x:f>
        <x:v>0</x:v>
      </x:c>
      <x:c r="X261" s="15" t="n">
        <x:f>IF(A261="",0,COUNTIF($A$8:$A$289,A261)-1)</x:f>
        <x:v>0</x:v>
      </x:c>
      <x:c r="Y261" s="14" t="n">
        <x:f>IF(A261="",1,IF(OR(D261&lt;=0,N261&lt;0,N261&gt;1,M261&lt;=as_of_date),1,0))</x:f>
        <x:v>0</x:v>
      </x:c>
      <x:c r="Z261" s="170" t="n">
        <x:f>IF(A261="","",VLOOKUP(E261,SP_WARF_Factors,2,FALSE))</x:f>
        <x:v>3610.11</x:v>
      </x:c>
      <x:c r="AA261" s="172" t="n">
        <x:f>IF(A261="","",D261*Z261)</x:f>
        <x:v>2274369300</x:v>
      </x:c>
      <x:c r="AB261" s="170" t="n">
        <x:f>IF(A261="","",D261*ABS(Z261-SPWARF))</x:f>
        <x:v>775360961.34</x:v>
      </x:c>
    </x:row>
    <x:row r="262">
      <x:c r="A262" s="8" t="str">
        <x:v>SYN-LN-00255</x:v>
      </x:c>
      <x:c r="B262" s="8" t="str">
        <x:v>SYN-OB-0246</x:v>
      </x:c>
      <x:c r="C262" s="8" t="str">
        <x:v>Bluewater Holdings 246</x:v>
      </x:c>
      <x:c r="D262" s="9" t="n">
        <x:v>1182000</x:v>
      </x:c>
      <x:c r="E262" s="8" t="str">
        <x:v>BB</x:v>
      </x:c>
      <x:c r="F262" s="8" t="str">
        <x:v>Trading Companies &amp; Distributors</x:v>
      </x:c>
      <x:c r="G262" s="8" t="str">
        <x:v>United States</x:v>
      </x:c>
      <x:c r="H262" s="8" t="str">
        <x:v>1st Lien</x:v>
      </x:c>
      <x:c r="I262" s="8" t="str">
        <x:v>Floating</x:v>
      </x:c>
      <x:c r="J262" s="8" t="n">
        <x:v>310</x:v>
      </x:c>
      <x:c r="K262" s="10"/>
      <x:c r="L262" s="8" t="n">
        <x:v>0</x:v>
      </x:c>
      <x:c r="M262" s="11" t="n">
        <x:v>48485</x:v>
      </x:c>
      <x:c r="N262" s="10" t="n">
        <x:v>0.485</x:v>
      </x:c>
      <x:c r="O262" s="12" t="n">
        <x:v>101.5</x:v>
      </x:c>
      <x:c r="P262" s="13" t="n">
        <x:v>4</x:v>
      </x:c>
      <x:c r="Q262" s="8" t="str">
        <x:v>USD</x:v>
      </x:c>
      <x:c r="R262" s="8" t="str">
        <x:v>SOFR</x:v>
      </x:c>
      <x:c r="S262" s="18" t="n">
        <x:f>IF(Portfolio_Par&gt;0,D262/Portfolio_Par,"")</x:f>
        <x:v>0.00394</x:v>
      </x:c>
      <x:c r="T262" s="19" t="n">
        <x:f>IF(A262="","",(M262-as_of_date)/365.25)</x:f>
        <x:v>5.7412731006160165</x:v>
      </x:c>
      <x:c r="U262" s="20" t="n">
        <x:f>IF(I262="Floating",D262*J262,0)</x:f>
        <x:v>366420000</x:v>
      </x:c>
      <x:c r="V262" s="20" t="n">
        <x:f>IF(A262="","",D262*N262)</x:f>
        <x:v>573270</x:v>
      </x:c>
      <x:c r="W262" s="14" t="n">
        <x:f>IF(A262='Run Snapshot'!A262,0,1)+IF(B262='Run Snapshot'!B262,0,1)+IF(C262='Run Snapshot'!C262,0,1)+IF(D262='Run Snapshot'!D262,0,1)+IF(E262='Run Snapshot'!E262,0,1)+IF(F262='Run Snapshot'!F262,0,1)+IF(G262='Run Snapshot'!G262,0,1)+IF(H262='Run Snapshot'!H262,0,1)+IF(I262='Run Snapshot'!I262,0,1)+IF(J262='Run Snapshot'!J262,0,1)+IF(K262='Run Snapshot'!K262,0,1)+IF(L262='Run Snapshot'!L262,0,1)+IF(M262='Run Snapshot'!M262,0,1)+IF(N262='Run Snapshot'!N262,0,1)+IF(O262='Run Snapshot'!O262,0,1)+IF(P262='Run Snapshot'!P262,0,1)+IF(Q262='Run Snapshot'!Q262,0,1)+IF(R262='Run Snapshot'!R262,0,1)</x:f>
        <x:v>0</x:v>
      </x:c>
      <x:c r="X262" s="15" t="n">
        <x:f>IF(A262="",0,COUNTIF($A$8:$A$289,A262)-1)</x:f>
        <x:v>0</x:v>
      </x:c>
      <x:c r="Y262" s="14" t="n">
        <x:f>IF(A262="",1,IF(OR(D262&lt;=0,N262&lt;0,N262&gt;1,M262&lt;=as_of_date),1,0))</x:f>
        <x:v>0</x:v>
      </x:c>
      <x:c r="Z262" s="170" t="n">
        <x:f>IF(A262="","",VLOOKUP(E262,SP_WARF_Factors,2,FALSE))</x:f>
        <x:v>1233.63</x:v>
      </x:c>
      <x:c r="AA262" s="172" t="n">
        <x:f>IF(A262="","",D262*Z262)</x:f>
        <x:v>1458150660.0000002</x:v>
      </x:c>
      <x:c r="AB262" s="170" t="n">
        <x:f>IF(A262="","",D262*ABS(Z262-SPWARF))</x:f>
        <x:v>1354274508.724</x:v>
      </x:c>
    </x:row>
    <x:row r="263">
      <x:c r="A263" s="8" t="str">
        <x:v>SYN-LN-00256</x:v>
      </x:c>
      <x:c r="B263" s="8" t="str">
        <x:v>SYN-OB-0247</x:v>
      </x:c>
      <x:c r="C263" s="8" t="str">
        <x:v>Bracken Inc. 247</x:v>
      </x:c>
      <x:c r="D263" s="9" t="n">
        <x:v>1182000</x:v>
      </x:c>
      <x:c r="E263" s="8" t="str">
        <x:v>B</x:v>
      </x:c>
      <x:c r="F263" s="8" t="str">
        <x:v>Aerospace &amp; Defense</x:v>
      </x:c>
      <x:c r="G263" s="8" t="str">
        <x:v>United States</x:v>
      </x:c>
      <x:c r="H263" s="8" t="str">
        <x:v>1st Lien</x:v>
      </x:c>
      <x:c r="I263" s="8" t="str">
        <x:v>Floating</x:v>
      </x:c>
      <x:c r="J263" s="8" t="n">
        <x:v>395</x:v>
      </x:c>
      <x:c r="K263" s="10"/>
      <x:c r="L263" s="8" t="n">
        <x:v>0</x:v>
      </x:c>
      <x:c r="M263" s="11" t="n">
        <x:v>47601</x:v>
      </x:c>
      <x:c r="N263" s="10" t="n">
        <x:v>0.42</x:v>
      </x:c>
      <x:c r="O263" s="12" t="n">
        <x:v>100.25</x:v>
      </x:c>
      <x:c r="P263" s="13" t="n">
        <x:v>4</x:v>
      </x:c>
      <x:c r="Q263" s="8" t="str">
        <x:v>USD</x:v>
      </x:c>
      <x:c r="R263" s="8" t="str">
        <x:v>SOFR</x:v>
      </x:c>
      <x:c r="S263" s="18" t="n">
        <x:f>IF(Portfolio_Par&gt;0,D263/Portfolio_Par,"")</x:f>
        <x:v>0.00394</x:v>
      </x:c>
      <x:c r="T263" s="19" t="n">
        <x:f>IF(A263="","",(M263-as_of_date)/365.25)</x:f>
        <x:v>3.3210130047912387</x:v>
      </x:c>
      <x:c r="U263" s="20" t="n">
        <x:f>IF(I263="Floating",D263*J263,0)</x:f>
        <x:v>466890000</x:v>
      </x:c>
      <x:c r="V263" s="20" t="n">
        <x:f>IF(A263="","",D263*N263)</x:f>
        <x:v>496440</x:v>
      </x:c>
      <x:c r="W263" s="14" t="n">
        <x:f>IF(A263='Run Snapshot'!A263,0,1)+IF(B263='Run Snapshot'!B263,0,1)+IF(C263='Run Snapshot'!C263,0,1)+IF(D263='Run Snapshot'!D263,0,1)+IF(E263='Run Snapshot'!E263,0,1)+IF(F263='Run Snapshot'!F263,0,1)+IF(G263='Run Snapshot'!G263,0,1)+IF(H263='Run Snapshot'!H263,0,1)+IF(I263='Run Snapshot'!I263,0,1)+IF(J263='Run Snapshot'!J263,0,1)+IF(K263='Run Snapshot'!K263,0,1)+IF(L263='Run Snapshot'!L263,0,1)+IF(M263='Run Snapshot'!M263,0,1)+IF(N263='Run Snapshot'!N263,0,1)+IF(O263='Run Snapshot'!O263,0,1)+IF(P263='Run Snapshot'!P263,0,1)+IF(Q263='Run Snapshot'!Q263,0,1)+IF(R263='Run Snapshot'!R263,0,1)</x:f>
        <x:v>0</x:v>
      </x:c>
      <x:c r="X263" s="15" t="n">
        <x:f>IF(A263="",0,COUNTIF($A$8:$A$289,A263)-1)</x:f>
        <x:v>0</x:v>
      </x:c>
      <x:c r="Y263" s="14" t="n">
        <x:f>IF(A263="",1,IF(OR(D263&lt;=0,N263&lt;0,N263&gt;1,M263&lt;=as_of_date),1,0))</x:f>
        <x:v>0</x:v>
      </x:c>
      <x:c r="Z263" s="170" t="n">
        <x:f>IF(A263="","",VLOOKUP(E263,SP_WARF_Factors,2,FALSE))</x:f>
        <x:v>2859.5</x:v>
      </x:c>
      <x:c r="AA263" s="172" t="n">
        <x:f>IF(A263="","",D263*Z263)</x:f>
        <x:v>3379929000</x:v>
      </x:c>
      <x:c r="AB263" s="170" t="n">
        <x:f>IF(A263="","",D263*ABS(Z263-SPWARF))</x:f>
        <x:v>567503831.2759999</x:v>
      </x:c>
    </x:row>
    <x:row r="264">
      <x:c r="A264" s="8" t="str">
        <x:v>SYN-LN-00257</x:v>
      </x:c>
      <x:c r="B264" s="8" t="str">
        <x:v>SYN-OB-0248</x:v>
      </x:c>
      <x:c r="C264" s="8" t="str">
        <x:v>Cedar Corp. 248</x:v>
      </x:c>
      <x:c r="D264" s="9" t="n">
        <x:v>630000</x:v>
      </x:c>
      <x:c r="E264" s="8" t="str">
        <x:v>BB-</x:v>
      </x:c>
      <x:c r="F264" s="8" t="str">
        <x:v>Beverages</x:v>
      </x:c>
      <x:c r="G264" s="8" t="str">
        <x:v>Germany</x:v>
      </x:c>
      <x:c r="H264" s="8" t="str">
        <x:v>1st Lien</x:v>
      </x:c>
      <x:c r="I264" s="8" t="str">
        <x:v>Floating</x:v>
      </x:c>
      <x:c r="J264" s="8" t="n">
        <x:v>235</x:v>
      </x:c>
      <x:c r="K264" s="10"/>
      <x:c r="L264" s="8" t="n">
        <x:v>0</x:v>
      </x:c>
      <x:c r="M264" s="11" t="n">
        <x:v>48666</x:v>
      </x:c>
      <x:c r="N264" s="10" t="n">
        <x:v>0.57</x:v>
      </x:c>
      <x:c r="O264" s="12" t="n">
        <x:v>100.625</x:v>
      </x:c>
      <x:c r="P264" s="13" t="n">
        <x:v>4</x:v>
      </x:c>
      <x:c r="Q264" s="8" t="str">
        <x:v>USD</x:v>
      </x:c>
      <x:c r="R264" s="8" t="str">
        <x:v>SOFR</x:v>
      </x:c>
      <x:c r="S264" s="18" t="n">
        <x:f>IF(Portfolio_Par&gt;0,D264/Portfolio_Par,"")</x:f>
        <x:v>0.0021</x:v>
      </x:c>
      <x:c r="T264" s="19" t="n">
        <x:f>IF(A264="","",(M264-as_of_date)/365.25)</x:f>
        <x:v>6.236824093086927</x:v>
      </x:c>
      <x:c r="U264" s="20" t="n">
        <x:f>IF(I264="Floating",D264*J264,0)</x:f>
        <x:v>148050000</x:v>
      </x:c>
      <x:c r="V264" s="20" t="n">
        <x:f>IF(A264="","",D264*N264)</x:f>
        <x:v>359099.99999999994</x:v>
      </x:c>
      <x:c r="W264" s="14" t="n">
        <x:f>IF(A264='Run Snapshot'!A264,0,1)+IF(B264='Run Snapshot'!B264,0,1)+IF(C264='Run Snapshot'!C264,0,1)+IF(D264='Run Snapshot'!D264,0,1)+IF(E264='Run Snapshot'!E264,0,1)+IF(F264='Run Snapshot'!F264,0,1)+IF(G264='Run Snapshot'!G264,0,1)+IF(H264='Run Snapshot'!H264,0,1)+IF(I264='Run Snapshot'!I264,0,1)+IF(J264='Run Snapshot'!J264,0,1)+IF(K264='Run Snapshot'!K264,0,1)+IF(L264='Run Snapshot'!L264,0,1)+IF(M264='Run Snapshot'!M264,0,1)+IF(N264='Run Snapshot'!N264,0,1)+IF(O264='Run Snapshot'!O264,0,1)+IF(P264='Run Snapshot'!P264,0,1)+IF(Q264='Run Snapshot'!Q264,0,1)+IF(R264='Run Snapshot'!R264,0,1)</x:f>
        <x:v>0</x:v>
      </x:c>
      <x:c r="X264" s="15" t="n">
        <x:f>IF(A264="",0,COUNTIF($A$8:$A$289,A264)-1)</x:f>
        <x:v>0</x:v>
      </x:c>
      <x:c r="Y264" s="14" t="n">
        <x:f>IF(A264="",1,IF(OR(D264&lt;=0,N264&lt;0,N264&gt;1,M264&lt;=as_of_date),1,0))</x:f>
        <x:v>0</x:v>
      </x:c>
      <x:c r="Z264" s="170" t="n">
        <x:f>IF(A264="","",VLOOKUP(E264,SP_WARF_Factors,2,FALSE))</x:f>
        <x:v>1565.44</x:v>
      </x:c>
      <x:c r="AA264" s="172" t="n">
        <x:f>IF(A264="","",D264*Z264)</x:f>
        <x:v>986227200</x:v>
      </x:c>
      <x:c r="AB264" s="170" t="n">
        <x:f>IF(A264="","",D264*ABS(Z264-SPWARF))</x:f>
        <x:v>512781138.65999997</x:v>
      </x:c>
    </x:row>
    <x:row r="265">
      <x:c r="A265" s="8" t="str">
        <x:v>SYN-LN-00258</x:v>
      </x:c>
      <x:c r="B265" s="8" t="str">
        <x:v>SYN-OB-0249</x:v>
      </x:c>
      <x:c r="C265" s="8" t="str">
        <x:v>Cobalt Group 249</x:v>
      </x:c>
      <x:c r="D265" s="9" t="n">
        <x:v>1182000</x:v>
      </x:c>
      <x:c r="E265" s="8" t="str">
        <x:v>BB-</x:v>
      </x:c>
      <x:c r="F265" s="8" t="str">
        <x:v>Hotels, Restaurants &amp; Leisure</x:v>
      </x:c>
      <x:c r="G265" s="8" t="str">
        <x:v>United States</x:v>
      </x:c>
      <x:c r="H265" s="8" t="str">
        <x:v>1st Lien</x:v>
      </x:c>
      <x:c r="I265" s="8" t="str">
        <x:v>Floating</x:v>
      </x:c>
      <x:c r="J265" s="8" t="n">
        <x:v>290</x:v>
      </x:c>
      <x:c r="K265" s="10"/>
      <x:c r="L265" s="8" t="n">
        <x:v>0</x:v>
      </x:c>
      <x:c r="M265" s="11" t="n">
        <x:v>48913</x:v>
      </x:c>
      <x:c r="N265" s="10" t="n">
        <x:v>0.45</x:v>
      </x:c>
      <x:c r="O265" s="12" t="n">
        <x:v>96.875</x:v>
      </x:c>
      <x:c r="P265" s="13" t="n">
        <x:v>4</x:v>
      </x:c>
      <x:c r="Q265" s="8" t="str">
        <x:v>USD</x:v>
      </x:c>
      <x:c r="R265" s="8" t="str">
        <x:v>SOFR</x:v>
      </x:c>
      <x:c r="S265" s="18" t="n">
        <x:f>IF(Portfolio_Par&gt;0,D265/Portfolio_Par,"")</x:f>
        <x:v>0.00394</x:v>
      </x:c>
      <x:c r="T265" s="19" t="n">
        <x:f>IF(A265="","",(M265-as_of_date)/365.25)</x:f>
        <x:v>6.913073237508556</x:v>
      </x:c>
      <x:c r="U265" s="20" t="n">
        <x:f>IF(I265="Floating",D265*J265,0)</x:f>
        <x:v>342780000</x:v>
      </x:c>
      <x:c r="V265" s="20" t="n">
        <x:f>IF(A265="","",D265*N265)</x:f>
        <x:v>531900</x:v>
      </x:c>
      <x:c r="W265" s="14" t="n">
        <x:f>IF(A265='Run Snapshot'!A265,0,1)+IF(B265='Run Snapshot'!B265,0,1)+IF(C265='Run Snapshot'!C265,0,1)+IF(D265='Run Snapshot'!D265,0,1)+IF(E265='Run Snapshot'!E265,0,1)+IF(F265='Run Snapshot'!F265,0,1)+IF(G265='Run Snapshot'!G265,0,1)+IF(H265='Run Snapshot'!H265,0,1)+IF(I265='Run Snapshot'!I265,0,1)+IF(J265='Run Snapshot'!J265,0,1)+IF(K265='Run Snapshot'!K265,0,1)+IF(L265='Run Snapshot'!L265,0,1)+IF(M265='Run Snapshot'!M265,0,1)+IF(N265='Run Snapshot'!N265,0,1)+IF(O265='Run Snapshot'!O265,0,1)+IF(P265='Run Snapshot'!P265,0,1)+IF(Q265='Run Snapshot'!Q265,0,1)+IF(R265='Run Snapshot'!R265,0,1)</x:f>
        <x:v>0</x:v>
      </x:c>
      <x:c r="X265" s="15" t="n">
        <x:f>IF(A265="",0,COUNTIF($A$8:$A$289,A265)-1)</x:f>
        <x:v>0</x:v>
      </x:c>
      <x:c r="Y265" s="14" t="n">
        <x:f>IF(A265="",1,IF(OR(D265&lt;=0,N265&lt;0,N265&gt;1,M265&lt;=as_of_date),1,0))</x:f>
        <x:v>0</x:v>
      </x:c>
      <x:c r="Z265" s="170" t="n">
        <x:f>IF(A265="","",VLOOKUP(E265,SP_WARF_Factors,2,FALSE))</x:f>
        <x:v>1565.44</x:v>
      </x:c>
      <x:c r="AA265" s="172" t="n">
        <x:f>IF(A265="","",D265*Z265)</x:f>
        <x:v>1850350080</x:v>
      </x:c>
      <x:c r="AB265" s="170" t="n">
        <x:f>IF(A265="","",D265*ABS(Z265-SPWARF))</x:f>
        <x:v>962075088.724</x:v>
      </x:c>
    </x:row>
    <x:row r="266">
      <x:c r="A266" s="8" t="str">
        <x:v>SYN-LN-00259</x:v>
      </x:c>
      <x:c r="B266" s="8" t="str">
        <x:v>SYN-OB-0250</x:v>
      </x:c>
      <x:c r="C266" s="8" t="str">
        <x:v>Copper LLC 250</x:v>
      </x:c>
      <x:c r="D266" s="9" t="n">
        <x:v>1182000</x:v>
      </x:c>
      <x:c r="E266" s="8" t="str">
        <x:v>B+</x:v>
      </x:c>
      <x:c r="F266" s="8" t="str">
        <x:v>Independent Power and Renewable Electricity Producers</x:v>
      </x:c>
      <x:c r="G266" s="8" t="str">
        <x:v>United States</x:v>
      </x:c>
      <x:c r="H266" s="8" t="str">
        <x:v>1st Lien</x:v>
      </x:c>
      <x:c r="I266" s="8" t="str">
        <x:v>Floating</x:v>
      </x:c>
      <x:c r="J266" s="8" t="n">
        <x:v>275</x:v>
      </x:c>
      <x:c r="K266" s="10"/>
      <x:c r="L266" s="8" t="n">
        <x:v>0</x:v>
      </x:c>
      <x:c r="M266" s="11" t="n">
        <x:v>49003</x:v>
      </x:c>
      <x:c r="N266" s="10" t="n">
        <x:v>0.2</x:v>
      </x:c>
      <x:c r="O266" s="12" t="n">
        <x:v>100.875</x:v>
      </x:c>
      <x:c r="P266" s="13" t="n">
        <x:v>4</x:v>
      </x:c>
      <x:c r="Q266" s="8" t="str">
        <x:v>USD</x:v>
      </x:c>
      <x:c r="R266" s="8" t="str">
        <x:v>SOFR</x:v>
      </x:c>
      <x:c r="S266" s="18" t="n">
        <x:f>IF(Portfolio_Par&gt;0,D266/Portfolio_Par,"")</x:f>
        <x:v>0.00394</x:v>
      </x:c>
      <x:c r="T266" s="19" t="n">
        <x:f>IF(A266="","",(M266-as_of_date)/365.25)</x:f>
        <x:v>7.1594798083504445</x:v>
      </x:c>
      <x:c r="U266" s="20" t="n">
        <x:f>IF(I266="Floating",D266*J266,0)</x:f>
        <x:v>325050000</x:v>
      </x:c>
      <x:c r="V266" s="20" t="n">
        <x:f>IF(A266="","",D266*N266)</x:f>
        <x:v>236400</x:v>
      </x:c>
      <x:c r="W266" s="14" t="n">
        <x:f>IF(A266='Run Snapshot'!A266,0,1)+IF(B266='Run Snapshot'!B266,0,1)+IF(C266='Run Snapshot'!C266,0,1)+IF(D266='Run Snapshot'!D266,0,1)+IF(E266='Run Snapshot'!E266,0,1)+IF(F266='Run Snapshot'!F266,0,1)+IF(G266='Run Snapshot'!G266,0,1)+IF(H266='Run Snapshot'!H266,0,1)+IF(I266='Run Snapshot'!I266,0,1)+IF(J266='Run Snapshot'!J266,0,1)+IF(K266='Run Snapshot'!K266,0,1)+IF(L266='Run Snapshot'!L266,0,1)+IF(M266='Run Snapshot'!M266,0,1)+IF(N266='Run Snapshot'!N266,0,1)+IF(O266='Run Snapshot'!O266,0,1)+IF(P266='Run Snapshot'!P266,0,1)+IF(Q266='Run Snapshot'!Q266,0,1)+IF(R266='Run Snapshot'!R266,0,1)</x:f>
        <x:v>0</x:v>
      </x:c>
      <x:c r="X266" s="15" t="n">
        <x:f>IF(A266="",0,COUNTIF($A$8:$A$289,A266)-1)</x:f>
        <x:v>0</x:v>
      </x:c>
      <x:c r="Y266" s="14" t="n">
        <x:f>IF(A266="",1,IF(OR(D266&lt;=0,N266&lt;0,N266&gt;1,M266&lt;=as_of_date),1,0))</x:f>
        <x:v>0</x:v>
      </x:c>
      <x:c r="Z266" s="170" t="n">
        <x:f>IF(A266="","",VLOOKUP(E266,SP_WARF_Factors,2,FALSE))</x:f>
        <x:v>1982</x:v>
      </x:c>
      <x:c r="AA266" s="172" t="n">
        <x:f>IF(A266="","",D266*Z266)</x:f>
        <x:v>2342724000</x:v>
      </x:c>
      <x:c r="AB266" s="170" t="n">
        <x:f>IF(A266="","",D266*ABS(Z266-SPWARF))</x:f>
        <x:v>469701168.72400004</x:v>
      </x:c>
    </x:row>
    <x:row r="267">
      <x:c r="A267" s="8" t="str">
        <x:v>SYN-LN-00260</x:v>
      </x:c>
      <x:c r="B267" s="8" t="str">
        <x:v>SYN-OB-0251</x:v>
      </x:c>
      <x:c r="C267" s="8" t="str">
        <x:v>Crest Holdings 251</x:v>
      </x:c>
      <x:c r="D267" s="9" t="n">
        <x:v>630000</x:v>
      </x:c>
      <x:c r="E267" s="8" t="str">
        <x:v>BB</x:v>
      </x:c>
      <x:c r="F267" s="8" t="str">
        <x:v>Construction Materials</x:v>
      </x:c>
      <x:c r="G267" s="8" t="str">
        <x:v>Australia</x:v>
      </x:c>
      <x:c r="H267" s="8" t="str">
        <x:v>1st Lien</x:v>
      </x:c>
      <x:c r="I267" s="8" t="str">
        <x:v>Floating</x:v>
      </x:c>
      <x:c r="J267" s="8" t="n">
        <x:v>215</x:v>
      </x:c>
      <x:c r="K267" s="10"/>
      <x:c r="L267" s="8" t="n">
        <x:v>0</x:v>
      </x:c>
      <x:c r="M267" s="11" t="n">
        <x:v>48423</x:v>
      </x:c>
      <x:c r="N267" s="10" t="n">
        <x:v>0.485</x:v>
      </x:c>
      <x:c r="O267" s="12" t="n">
        <x:v>101.375</x:v>
      </x:c>
      <x:c r="P267" s="13" t="n">
        <x:v>4</x:v>
      </x:c>
      <x:c r="Q267" s="8" t="str">
        <x:v>USD</x:v>
      </x:c>
      <x:c r="R267" s="8" t="str">
        <x:v>SOFR</x:v>
      </x:c>
      <x:c r="S267" s="18" t="n">
        <x:f>IF(Portfolio_Par&gt;0,D267/Portfolio_Par,"")</x:f>
        <x:v>0.0021</x:v>
      </x:c>
      <x:c r="T267" s="19" t="n">
        <x:f>IF(A267="","",(M267-as_of_date)/365.25)</x:f>
        <x:v>5.5715263518138265</x:v>
      </x:c>
      <x:c r="U267" s="20" t="n">
        <x:f>IF(I267="Floating",D267*J267,0)</x:f>
        <x:v>135450000</x:v>
      </x:c>
      <x:c r="V267" s="20" t="n">
        <x:f>IF(A267="","",D267*N267)</x:f>
        <x:v>305550</x:v>
      </x:c>
      <x:c r="W267" s="14" t="n">
        <x:f>IF(A267='Run Snapshot'!A267,0,1)+IF(B267='Run Snapshot'!B267,0,1)+IF(C267='Run Snapshot'!C267,0,1)+IF(D267='Run Snapshot'!D267,0,1)+IF(E267='Run Snapshot'!E267,0,1)+IF(F267='Run Snapshot'!F267,0,1)+IF(G267='Run Snapshot'!G267,0,1)+IF(H267='Run Snapshot'!H267,0,1)+IF(I267='Run Snapshot'!I267,0,1)+IF(J267='Run Snapshot'!J267,0,1)+IF(K267='Run Snapshot'!K267,0,1)+IF(L267='Run Snapshot'!L267,0,1)+IF(M267='Run Snapshot'!M267,0,1)+IF(N267='Run Snapshot'!N267,0,1)+IF(O267='Run Snapshot'!O267,0,1)+IF(P267='Run Snapshot'!P267,0,1)+IF(Q267='Run Snapshot'!Q267,0,1)+IF(R267='Run Snapshot'!R267,0,1)</x:f>
        <x:v>0</x:v>
      </x:c>
      <x:c r="X267" s="15" t="n">
        <x:f>IF(A267="",0,COUNTIF($A$8:$A$289,A267)-1)</x:f>
        <x:v>0</x:v>
      </x:c>
      <x:c r="Y267" s="14" t="n">
        <x:f>IF(A267="",1,IF(OR(D267&lt;=0,N267&lt;0,N267&gt;1,M267&lt;=as_of_date),1,0))</x:f>
        <x:v>0</x:v>
      </x:c>
      <x:c r="Z267" s="170" t="n">
        <x:f>IF(A267="","",VLOOKUP(E267,SP_WARF_Factors,2,FALSE))</x:f>
        <x:v>1233.63</x:v>
      </x:c>
      <x:c r="AA267" s="172" t="n">
        <x:f>IF(A267="","",D267*Z267)</x:f>
        <x:v>777186900.0000001</x:v>
      </x:c>
      <x:c r="AB267" s="170" t="n">
        <x:f>IF(A267="","",D267*ABS(Z267-SPWARF))</x:f>
        <x:v>721821438.66</x:v>
      </x:c>
    </x:row>
    <x:row r="268">
      <x:c r="A268" s="8" t="str">
        <x:v>SYN-LN-00261</x:v>
      </x:c>
      <x:c r="B268" s="8" t="str">
        <x:v>SYN-OB-0252</x:v>
      </x:c>
      <x:c r="C268" s="8" t="str">
        <x:v>Duneland Inc. 252</x:v>
      </x:c>
      <x:c r="D268" s="9" t="n">
        <x:v>1182000</x:v>
      </x:c>
      <x:c r="E268" s="8" t="str">
        <x:v>BB-</x:v>
      </x:c>
      <x:c r="F268" s="8" t="str">
        <x:v>Oil, Gas &amp; Consumable Fuels</x:v>
      </x:c>
      <x:c r="G268" s="8" t="str">
        <x:v>United States</x:v>
      </x:c>
      <x:c r="H268" s="8" t="str">
        <x:v>1st Lien</x:v>
      </x:c>
      <x:c r="I268" s="8" t="str">
        <x:v>Floating</x:v>
      </x:c>
      <x:c r="J268" s="8" t="n">
        <x:v>200</x:v>
      </x:c>
      <x:c r="K268" s="10"/>
      <x:c r="L268" s="8" t="n">
        <x:v>0</x:v>
      </x:c>
      <x:c r="M268" s="11" t="n">
        <x:v>47832</x:v>
      </x:c>
      <x:c r="N268" s="10" t="n">
        <x:v>0.235</x:v>
      </x:c>
      <x:c r="O268" s="12" t="n">
        <x:v>101.5</x:v>
      </x:c>
      <x:c r="P268" s="13" t="n">
        <x:v>4</x:v>
      </x:c>
      <x:c r="Q268" s="8" t="str">
        <x:v>USD</x:v>
      </x:c>
      <x:c r="R268" s="8" t="str">
        <x:v>SOFR</x:v>
      </x:c>
      <x:c r="S268" s="18" t="n">
        <x:f>IF(Portfolio_Par&gt;0,D268/Portfolio_Par,"")</x:f>
        <x:v>0.00394</x:v>
      </x:c>
      <x:c r="T268" s="19" t="n">
        <x:f>IF(A268="","",(M268-as_of_date)/365.25)</x:f>
        <x:v>3.9534565366187544</x:v>
      </x:c>
      <x:c r="U268" s="20" t="n">
        <x:f>IF(I268="Floating",D268*J268,0)</x:f>
        <x:v>236400000</x:v>
      </x:c>
      <x:c r="V268" s="20" t="n">
        <x:f>IF(A268="","",D268*N268)</x:f>
        <x:v>277770</x:v>
      </x:c>
      <x:c r="W268" s="14" t="n">
        <x:f>IF(A268='Run Snapshot'!A268,0,1)+IF(B268='Run Snapshot'!B268,0,1)+IF(C268='Run Snapshot'!C268,0,1)+IF(D268='Run Snapshot'!D268,0,1)+IF(E268='Run Snapshot'!E268,0,1)+IF(F268='Run Snapshot'!F268,0,1)+IF(G268='Run Snapshot'!G268,0,1)+IF(H268='Run Snapshot'!H268,0,1)+IF(I268='Run Snapshot'!I268,0,1)+IF(J268='Run Snapshot'!J268,0,1)+IF(K268='Run Snapshot'!K268,0,1)+IF(L268='Run Snapshot'!L268,0,1)+IF(M268='Run Snapshot'!M268,0,1)+IF(N268='Run Snapshot'!N268,0,1)+IF(O268='Run Snapshot'!O268,0,1)+IF(P268='Run Snapshot'!P268,0,1)+IF(Q268='Run Snapshot'!Q268,0,1)+IF(R268='Run Snapshot'!R268,0,1)</x:f>
        <x:v>0</x:v>
      </x:c>
      <x:c r="X268" s="15" t="n">
        <x:f>IF(A268="",0,COUNTIF($A$8:$A$289,A268)-1)</x:f>
        <x:v>0</x:v>
      </x:c>
      <x:c r="Y268" s="14" t="n">
        <x:f>IF(A268="",1,IF(OR(D268&lt;=0,N268&lt;0,N268&gt;1,M268&lt;=as_of_date),1,0))</x:f>
        <x:v>0</x:v>
      </x:c>
      <x:c r="Z268" s="170" t="n">
        <x:f>IF(A268="","",VLOOKUP(E268,SP_WARF_Factors,2,FALSE))</x:f>
        <x:v>1565.44</x:v>
      </x:c>
      <x:c r="AA268" s="172" t="n">
        <x:f>IF(A268="","",D268*Z268)</x:f>
        <x:v>1850350080</x:v>
      </x:c>
      <x:c r="AB268" s="170" t="n">
        <x:f>IF(A268="","",D268*ABS(Z268-SPWARF))</x:f>
        <x:v>962075088.724</x:v>
      </x:c>
    </x:row>
    <x:row r="269">
      <x:c r="A269" s="8" t="str">
        <x:v>SYN-LN-00262</x:v>
      </x:c>
      <x:c r="B269" s="8" t="str">
        <x:v>SYN-OB-0253</x:v>
      </x:c>
      <x:c r="C269" s="8" t="str">
        <x:v>Elmstone Corp. 253</x:v>
      </x:c>
      <x:c r="D269" s="9" t="n">
        <x:v>1182000</x:v>
      </x:c>
      <x:c r="E269" s="8" t="str">
        <x:v>BB</x:v>
      </x:c>
      <x:c r="F269" s="8" t="str">
        <x:v>Commercial Services &amp; Supplies</x:v>
      </x:c>
      <x:c r="G269" s="8" t="str">
        <x:v>United States</x:v>
      </x:c>
      <x:c r="H269" s="8" t="str">
        <x:v>1st Lien</x:v>
      </x:c>
      <x:c r="I269" s="8" t="str">
        <x:v>Floating</x:v>
      </x:c>
      <x:c r="J269" s="8" t="n">
        <x:v>310</x:v>
      </x:c>
      <x:c r="K269" s="10"/>
      <x:c r="L269" s="8" t="n">
        <x:v>0</x:v>
      </x:c>
      <x:c r="M269" s="11" t="n">
        <x:v>48136</x:v>
      </x:c>
      <x:c r="N269" s="10" t="n">
        <x:v>0.41</x:v>
      </x:c>
      <x:c r="O269" s="12" t="n">
        <x:v>101.5</x:v>
      </x:c>
      <x:c r="P269" s="13" t="n">
        <x:v>4</x:v>
      </x:c>
      <x:c r="Q269" s="8" t="str">
        <x:v>USD</x:v>
      </x:c>
      <x:c r="R269" s="8" t="str">
        <x:v>SOFR</x:v>
      </x:c>
      <x:c r="S269" s="18" t="n">
        <x:f>IF(Portfolio_Par&gt;0,D269/Portfolio_Par,"")</x:f>
        <x:v>0.00394</x:v>
      </x:c>
      <x:c r="T269" s="19" t="n">
        <x:f>IF(A269="","",(M269-as_of_date)/365.25)</x:f>
        <x:v>4.785763175906913</x:v>
      </x:c>
      <x:c r="U269" s="20" t="n">
        <x:f>IF(I269="Floating",D269*J269,0)</x:f>
        <x:v>366420000</x:v>
      </x:c>
      <x:c r="V269" s="20" t="n">
        <x:f>IF(A269="","",D269*N269)</x:f>
        <x:v>484620</x:v>
      </x:c>
      <x:c r="W269" s="14" t="n">
        <x:f>IF(A269='Run Snapshot'!A269,0,1)+IF(B269='Run Snapshot'!B269,0,1)+IF(C269='Run Snapshot'!C269,0,1)+IF(D269='Run Snapshot'!D269,0,1)+IF(E269='Run Snapshot'!E269,0,1)+IF(F269='Run Snapshot'!F269,0,1)+IF(G269='Run Snapshot'!G269,0,1)+IF(H269='Run Snapshot'!H269,0,1)+IF(I269='Run Snapshot'!I269,0,1)+IF(J269='Run Snapshot'!J269,0,1)+IF(K269='Run Snapshot'!K269,0,1)+IF(L269='Run Snapshot'!L269,0,1)+IF(M269='Run Snapshot'!M269,0,1)+IF(N269='Run Snapshot'!N269,0,1)+IF(O269='Run Snapshot'!O269,0,1)+IF(P269='Run Snapshot'!P269,0,1)+IF(Q269='Run Snapshot'!Q269,0,1)+IF(R269='Run Snapshot'!R269,0,1)</x:f>
        <x:v>0</x:v>
      </x:c>
      <x:c r="X269" s="15" t="n">
        <x:f>IF(A269="",0,COUNTIF($A$8:$A$289,A269)-1)</x:f>
        <x:v>0</x:v>
      </x:c>
      <x:c r="Y269" s="14" t="n">
        <x:f>IF(A269="",1,IF(OR(D269&lt;=0,N269&lt;0,N269&gt;1,M269&lt;=as_of_date),1,0))</x:f>
        <x:v>0</x:v>
      </x:c>
      <x:c r="Z269" s="170" t="n">
        <x:f>IF(A269="","",VLOOKUP(E269,SP_WARF_Factors,2,FALSE))</x:f>
        <x:v>1233.63</x:v>
      </x:c>
      <x:c r="AA269" s="172" t="n">
        <x:f>IF(A269="","",D269*Z269)</x:f>
        <x:v>1458150660.0000002</x:v>
      </x:c>
      <x:c r="AB269" s="170" t="n">
        <x:f>IF(A269="","",D269*ABS(Z269-SPWARF))</x:f>
        <x:v>1354274508.724</x:v>
      </x:c>
    </x:row>
    <x:row r="270">
      <x:c r="A270" s="8" t="str">
        <x:v>SYN-LN-00263</x:v>
      </x:c>
      <x:c r="B270" s="8" t="str">
        <x:v>SYN-OB-0254</x:v>
      </x:c>
      <x:c r="C270" s="8" t="str">
        <x:v>Evergreen Group 254</x:v>
      </x:c>
      <x:c r="D270" s="9" t="n">
        <x:v>1182000</x:v>
      </x:c>
      <x:c r="E270" s="8" t="str">
        <x:v>B</x:v>
      </x:c>
      <x:c r="F270" s="8" t="str">
        <x:v>Software</x:v>
      </x:c>
      <x:c r="G270" s="8" t="str">
        <x:v>United States</x:v>
      </x:c>
      <x:c r="H270" s="8" t="str">
        <x:v>1st Lien</x:v>
      </x:c>
      <x:c r="I270" s="8" t="str">
        <x:v>Floating</x:v>
      </x:c>
      <x:c r="J270" s="8" t="n">
        <x:v>160</x:v>
      </x:c>
      <x:c r="K270" s="10"/>
      <x:c r="L270" s="8" t="n">
        <x:v>0</x:v>
      </x:c>
      <x:c r="M270" s="11" t="n">
        <x:v>48088</x:v>
      </x:c>
      <x:c r="N270" s="10" t="n">
        <x:v>0.325</x:v>
      </x:c>
      <x:c r="O270" s="12" t="n">
        <x:v>96.875</x:v>
      </x:c>
      <x:c r="P270" s="13" t="n">
        <x:v>4</x:v>
      </x:c>
      <x:c r="Q270" s="8" t="str">
        <x:v>USD</x:v>
      </x:c>
      <x:c r="R270" s="8" t="str">
        <x:v>SOFR</x:v>
      </x:c>
      <x:c r="S270" s="18" t="n">
        <x:f>IF(Portfolio_Par&gt;0,D270/Portfolio_Par,"")</x:f>
        <x:v>0.00394</x:v>
      </x:c>
      <x:c r="T270" s="19" t="n">
        <x:f>IF(A270="","",(M270-as_of_date)/365.25)</x:f>
        <x:v>4.654346338124572</x:v>
      </x:c>
      <x:c r="U270" s="20" t="n">
        <x:f>IF(I270="Floating",D270*J270,0)</x:f>
        <x:v>189120000</x:v>
      </x:c>
      <x:c r="V270" s="20" t="n">
        <x:f>IF(A270="","",D270*N270)</x:f>
        <x:v>384150</x:v>
      </x:c>
      <x:c r="W270" s="14" t="n">
        <x:f>IF(A270='Run Snapshot'!A270,0,1)+IF(B270='Run Snapshot'!B270,0,1)+IF(C270='Run Snapshot'!C270,0,1)+IF(D270='Run Snapshot'!D270,0,1)+IF(E270='Run Snapshot'!E270,0,1)+IF(F270='Run Snapshot'!F270,0,1)+IF(G270='Run Snapshot'!G270,0,1)+IF(H270='Run Snapshot'!H270,0,1)+IF(I270='Run Snapshot'!I270,0,1)+IF(J270='Run Snapshot'!J270,0,1)+IF(K270='Run Snapshot'!K270,0,1)+IF(L270='Run Snapshot'!L270,0,1)+IF(M270='Run Snapshot'!M270,0,1)+IF(N270='Run Snapshot'!N270,0,1)+IF(O270='Run Snapshot'!O270,0,1)+IF(P270='Run Snapshot'!P270,0,1)+IF(Q270='Run Snapshot'!Q270,0,1)+IF(R270='Run Snapshot'!R270,0,1)</x:f>
        <x:v>0</x:v>
      </x:c>
      <x:c r="X270" s="15" t="n">
        <x:f>IF(A270="",0,COUNTIF($A$8:$A$289,A270)-1)</x:f>
        <x:v>0</x:v>
      </x:c>
      <x:c r="Y270" s="14" t="n">
        <x:f>IF(A270="",1,IF(OR(D270&lt;=0,N270&lt;0,N270&gt;1,M270&lt;=as_of_date),1,0))</x:f>
        <x:v>0</x:v>
      </x:c>
      <x:c r="Z270" s="170" t="n">
        <x:f>IF(A270="","",VLOOKUP(E270,SP_WARF_Factors,2,FALSE))</x:f>
        <x:v>2859.5</x:v>
      </x:c>
      <x:c r="AA270" s="172" t="n">
        <x:f>IF(A270="","",D270*Z270)</x:f>
        <x:v>3379929000</x:v>
      </x:c>
      <x:c r="AB270" s="170" t="n">
        <x:f>IF(A270="","",D270*ABS(Z270-SPWARF))</x:f>
        <x:v>567503831.2759999</x:v>
      </x:c>
    </x:row>
    <x:row r="271">
      <x:c r="A271" s="8" t="str">
        <x:v>SYN-LN-00264</x:v>
      </x:c>
      <x:c r="B271" s="8" t="str">
        <x:v>SYN-OB-0255</x:v>
      </x:c>
      <x:c r="C271" s="8" t="str">
        <x:v>Fairhaven LLC 255</x:v>
      </x:c>
      <x:c r="D271" s="9" t="n">
        <x:v>1182000</x:v>
      </x:c>
      <x:c r="E271" s="8" t="str">
        <x:v>B+</x:v>
      </x:c>
      <x:c r="F271" s="8" t="str">
        <x:v>Insurance</x:v>
      </x:c>
      <x:c r="G271" s="8" t="str">
        <x:v>United States</x:v>
      </x:c>
      <x:c r="H271" s="8" t="str">
        <x:v>1st Lien</x:v>
      </x:c>
      <x:c r="I271" s="8" t="str">
        <x:v>Floating</x:v>
      </x:c>
      <x:c r="J271" s="8" t="n">
        <x:v>325</x:v>
      </x:c>
      <x:c r="K271" s="10"/>
      <x:c r="L271" s="8" t="n">
        <x:v>0</x:v>
      </x:c>
      <x:c r="M271" s="11" t="n">
        <x:v>48548</x:v>
      </x:c>
      <x:c r="N271" s="10" t="n">
        <x:v>0.665</x:v>
      </x:c>
      <x:c r="O271" s="12" t="n">
        <x:v>101.5</x:v>
      </x:c>
      <x:c r="P271" s="13" t="n">
        <x:v>4</x:v>
      </x:c>
      <x:c r="Q271" s="8" t="str">
        <x:v>USD</x:v>
      </x:c>
      <x:c r="R271" s="8" t="str">
        <x:v>SOFR</x:v>
      </x:c>
      <x:c r="S271" s="18" t="n">
        <x:f>IF(Portfolio_Par&gt;0,D271/Portfolio_Par,"")</x:f>
        <x:v>0.00394</x:v>
      </x:c>
      <x:c r="T271" s="19" t="n">
        <x:f>IF(A271="","",(M271-as_of_date)/365.25)</x:f>
        <x:v>5.9137577002053385</x:v>
      </x:c>
      <x:c r="U271" s="20" t="n">
        <x:f>IF(I271="Floating",D271*J271,0)</x:f>
        <x:v>384150000</x:v>
      </x:c>
      <x:c r="V271" s="20" t="n">
        <x:f>IF(A271="","",D271*N271)</x:f>
        <x:v>786030</x:v>
      </x:c>
      <x:c r="W271" s="14" t="n">
        <x:f>IF(A271='Run Snapshot'!A271,0,1)+IF(B271='Run Snapshot'!B271,0,1)+IF(C271='Run Snapshot'!C271,0,1)+IF(D271='Run Snapshot'!D271,0,1)+IF(E271='Run Snapshot'!E271,0,1)+IF(F271='Run Snapshot'!F271,0,1)+IF(G271='Run Snapshot'!G271,0,1)+IF(H271='Run Snapshot'!H271,0,1)+IF(I271='Run Snapshot'!I271,0,1)+IF(J271='Run Snapshot'!J271,0,1)+IF(K271='Run Snapshot'!K271,0,1)+IF(L271='Run Snapshot'!L271,0,1)+IF(M271='Run Snapshot'!M271,0,1)+IF(N271='Run Snapshot'!N271,0,1)+IF(O271='Run Snapshot'!O271,0,1)+IF(P271='Run Snapshot'!P271,0,1)+IF(Q271='Run Snapshot'!Q271,0,1)+IF(R271='Run Snapshot'!R271,0,1)</x:f>
        <x:v>0</x:v>
      </x:c>
      <x:c r="X271" s="15" t="n">
        <x:f>IF(A271="",0,COUNTIF($A$8:$A$289,A271)-1)</x:f>
        <x:v>0</x:v>
      </x:c>
      <x:c r="Y271" s="14" t="n">
        <x:f>IF(A271="",1,IF(OR(D271&lt;=0,N271&lt;0,N271&gt;1,M271&lt;=as_of_date),1,0))</x:f>
        <x:v>0</x:v>
      </x:c>
      <x:c r="Z271" s="170" t="n">
        <x:f>IF(A271="","",VLOOKUP(E271,SP_WARF_Factors,2,FALSE))</x:f>
        <x:v>1982</x:v>
      </x:c>
      <x:c r="AA271" s="172" t="n">
        <x:f>IF(A271="","",D271*Z271)</x:f>
        <x:v>2342724000</x:v>
      </x:c>
      <x:c r="AB271" s="170" t="n">
        <x:f>IF(A271="","",D271*ABS(Z271-SPWARF))</x:f>
        <x:v>469701168.72400004</x:v>
      </x:c>
    </x:row>
    <x:row r="272">
      <x:c r="A272" s="8" t="str">
        <x:v>SYN-LN-00265</x:v>
      </x:c>
      <x:c r="B272" s="8" t="str">
        <x:v>SYN-OB-0256</x:v>
      </x:c>
      <x:c r="C272" s="8" t="str">
        <x:v>Granite Holdings 256</x:v>
      </x:c>
      <x:c r="D272" s="9" t="n">
        <x:v>1182000</x:v>
      </x:c>
      <x:c r="E272" s="8" t="str">
        <x:v>B+</x:v>
      </x:c>
      <x:c r="F272" s="8" t="str">
        <x:v>Industrial Conglomerates</x:v>
      </x:c>
      <x:c r="G272" s="8" t="str">
        <x:v>United States</x:v>
      </x:c>
      <x:c r="H272" s="8" t="str">
        <x:v>1st Lien</x:v>
      </x:c>
      <x:c r="I272" s="8" t="str">
        <x:v>Floating</x:v>
      </x:c>
      <x:c r="J272" s="8" t="n">
        <x:v>315</x:v>
      </x:c>
      <x:c r="K272" s="10"/>
      <x:c r="L272" s="8" t="n">
        <x:v>0</x:v>
      </x:c>
      <x:c r="M272" s="11" t="n">
        <x:v>48576</x:v>
      </x:c>
      <x:c r="N272" s="10" t="n">
        <x:v>0.29</x:v>
      </x:c>
      <x:c r="O272" s="12" t="n">
        <x:v>99.25</x:v>
      </x:c>
      <x:c r="P272" s="13" t="n">
        <x:v>4</x:v>
      </x:c>
      <x:c r="Q272" s="8" t="str">
        <x:v>USD</x:v>
      </x:c>
      <x:c r="R272" s="8" t="str">
        <x:v>SOFR</x:v>
      </x:c>
      <x:c r="S272" s="18" t="n">
        <x:f>IF(Portfolio_Par&gt;0,D272/Portfolio_Par,"")</x:f>
        <x:v>0.00394</x:v>
      </x:c>
      <x:c r="T272" s="19" t="n">
        <x:f>IF(A272="","",(M272-as_of_date)/365.25)</x:f>
        <x:v>5.990417522245037</x:v>
      </x:c>
      <x:c r="U272" s="20" t="n">
        <x:f>IF(I272="Floating",D272*J272,0)</x:f>
        <x:v>372330000</x:v>
      </x:c>
      <x:c r="V272" s="20" t="n">
        <x:f>IF(A272="","",D272*N272)</x:f>
        <x:v>342780</x:v>
      </x:c>
      <x:c r="W272" s="14" t="n">
        <x:f>IF(A272='Run Snapshot'!A272,0,1)+IF(B272='Run Snapshot'!B272,0,1)+IF(C272='Run Snapshot'!C272,0,1)+IF(D272='Run Snapshot'!D272,0,1)+IF(E272='Run Snapshot'!E272,0,1)+IF(F272='Run Snapshot'!F272,0,1)+IF(G272='Run Snapshot'!G272,0,1)+IF(H272='Run Snapshot'!H272,0,1)+IF(I272='Run Snapshot'!I272,0,1)+IF(J272='Run Snapshot'!J272,0,1)+IF(K272='Run Snapshot'!K272,0,1)+IF(L272='Run Snapshot'!L272,0,1)+IF(M272='Run Snapshot'!M272,0,1)+IF(N272='Run Snapshot'!N272,0,1)+IF(O272='Run Snapshot'!O272,0,1)+IF(P272='Run Snapshot'!P272,0,1)+IF(Q272='Run Snapshot'!Q272,0,1)+IF(R272='Run Snapshot'!R272,0,1)</x:f>
        <x:v>0</x:v>
      </x:c>
      <x:c r="X272" s="15" t="n">
        <x:f>IF(A272="",0,COUNTIF($A$8:$A$289,A272)-1)</x:f>
        <x:v>0</x:v>
      </x:c>
      <x:c r="Y272" s="14" t="n">
        <x:f>IF(A272="",1,IF(OR(D272&lt;=0,N272&lt;0,N272&gt;1,M272&lt;=as_of_date),1,0))</x:f>
        <x:v>0</x:v>
      </x:c>
      <x:c r="Z272" s="170" t="n">
        <x:f>IF(A272="","",VLOOKUP(E272,SP_WARF_Factors,2,FALSE))</x:f>
        <x:v>1982</x:v>
      </x:c>
      <x:c r="AA272" s="172" t="n">
        <x:f>IF(A272="","",D272*Z272)</x:f>
        <x:v>2342724000</x:v>
      </x:c>
      <x:c r="AB272" s="170" t="n">
        <x:f>IF(A272="","",D272*ABS(Z272-SPWARF))</x:f>
        <x:v>469701168.72400004</x:v>
      </x:c>
    </x:row>
    <x:row r="273">
      <x:c r="A273" s="8" t="str">
        <x:v>SYN-LN-00266</x:v>
      </x:c>
      <x:c r="B273" s="8" t="str">
        <x:v>SYN-OB-0257</x:v>
      </x:c>
      <x:c r="C273" s="8" t="str">
        <x:v>Harbor Inc. 257</x:v>
      </x:c>
      <x:c r="D273" s="9" t="n">
        <x:v>1182000</x:v>
      </x:c>
      <x:c r="E273" s="8" t="str">
        <x:v>B+</x:v>
      </x:c>
      <x:c r="F273" s="8" t="str">
        <x:v>Insurance</x:v>
      </x:c>
      <x:c r="G273" s="8" t="str">
        <x:v>United States</x:v>
      </x:c>
      <x:c r="H273" s="8" t="str">
        <x:v>1st Lien</x:v>
      </x:c>
      <x:c r="I273" s="8" t="str">
        <x:v>Floating</x:v>
      </x:c>
      <x:c r="J273" s="8" t="n">
        <x:v>225</x:v>
      </x:c>
      <x:c r="K273" s="10"/>
      <x:c r="L273" s="8" t="n">
        <x:v>0</x:v>
      </x:c>
      <x:c r="M273" s="11" t="n">
        <x:v>47983</x:v>
      </x:c>
      <x:c r="N273" s="10" t="n">
        <x:v>0.435</x:v>
      </x:c>
      <x:c r="O273" s="12" t="n">
        <x:v>99.875</x:v>
      </x:c>
      <x:c r="P273" s="13" t="n">
        <x:v>4</x:v>
      </x:c>
      <x:c r="Q273" s="8" t="str">
        <x:v>USD</x:v>
      </x:c>
      <x:c r="R273" s="8" t="str">
        <x:v>SOFR</x:v>
      </x:c>
      <x:c r="S273" s="18" t="n">
        <x:f>IF(Portfolio_Par&gt;0,D273/Portfolio_Par,"")</x:f>
        <x:v>0.00394</x:v>
      </x:c>
      <x:c r="T273" s="19" t="n">
        <x:f>IF(A273="","",(M273-as_of_date)/365.25)</x:f>
        <x:v>4.3668720054757015</x:v>
      </x:c>
      <x:c r="U273" s="20" t="n">
        <x:f>IF(I273="Floating",D273*J273,0)</x:f>
        <x:v>265950000</x:v>
      </x:c>
      <x:c r="V273" s="20" t="n">
        <x:f>IF(A273="","",D273*N273)</x:f>
        <x:v>514170</x:v>
      </x:c>
      <x:c r="W273" s="14" t="n">
        <x:f>IF(A273='Run Snapshot'!A273,0,1)+IF(B273='Run Snapshot'!B273,0,1)+IF(C273='Run Snapshot'!C273,0,1)+IF(D273='Run Snapshot'!D273,0,1)+IF(E273='Run Snapshot'!E273,0,1)+IF(F273='Run Snapshot'!F273,0,1)+IF(G273='Run Snapshot'!G273,0,1)+IF(H273='Run Snapshot'!H273,0,1)+IF(I273='Run Snapshot'!I273,0,1)+IF(J273='Run Snapshot'!J273,0,1)+IF(K273='Run Snapshot'!K273,0,1)+IF(L273='Run Snapshot'!L273,0,1)+IF(M273='Run Snapshot'!M273,0,1)+IF(N273='Run Snapshot'!N273,0,1)+IF(O273='Run Snapshot'!O273,0,1)+IF(P273='Run Snapshot'!P273,0,1)+IF(Q273='Run Snapshot'!Q273,0,1)+IF(R273='Run Snapshot'!R273,0,1)</x:f>
        <x:v>0</x:v>
      </x:c>
      <x:c r="X273" s="15" t="n">
        <x:f>IF(A273="",0,COUNTIF($A$8:$A$289,A273)-1)</x:f>
        <x:v>0</x:v>
      </x:c>
      <x:c r="Y273" s="14" t="n">
        <x:f>IF(A273="",1,IF(OR(D273&lt;=0,N273&lt;0,N273&gt;1,M273&lt;=as_of_date),1,0))</x:f>
        <x:v>0</x:v>
      </x:c>
      <x:c r="Z273" s="170" t="n">
        <x:f>IF(A273="","",VLOOKUP(E273,SP_WARF_Factors,2,FALSE))</x:f>
        <x:v>1982</x:v>
      </x:c>
      <x:c r="AA273" s="172" t="n">
        <x:f>IF(A273="","",D273*Z273)</x:f>
        <x:v>2342724000</x:v>
      </x:c>
      <x:c r="AB273" s="170" t="n">
        <x:f>IF(A273="","",D273*ABS(Z273-SPWARF))</x:f>
        <x:v>469701168.72400004</x:v>
      </x:c>
    </x:row>
    <x:row r="274">
      <x:c r="A274" s="8" t="str">
        <x:v>SYN-LN-00267</x:v>
      </x:c>
      <x:c r="B274" s="8" t="str">
        <x:v>SYN-OB-0258</x:v>
      </x:c>
      <x:c r="C274" s="8" t="str">
        <x:v>Hawthorne Corp. 258</x:v>
      </x:c>
      <x:c r="D274" s="9" t="n">
        <x:v>1182000</x:v>
      </x:c>
      <x:c r="E274" s="8" t="str">
        <x:v>B+</x:v>
      </x:c>
      <x:c r="F274" s="8" t="str">
        <x:v>Insurance</x:v>
      </x:c>
      <x:c r="G274" s="8" t="str">
        <x:v>United States</x:v>
      </x:c>
      <x:c r="H274" s="8" t="str">
        <x:v>1st Lien</x:v>
      </x:c>
      <x:c r="I274" s="8" t="str">
        <x:v>Floating</x:v>
      </x:c>
      <x:c r="J274" s="8" t="n">
        <x:v>340</x:v>
      </x:c>
      <x:c r="K274" s="10"/>
      <x:c r="L274" s="8" t="n">
        <x:v>0</x:v>
      </x:c>
      <x:c r="M274" s="11" t="n">
        <x:v>49125</x:v>
      </x:c>
      <x:c r="N274" s="10" t="n">
        <x:v>0.455</x:v>
      </x:c>
      <x:c r="O274" s="12" t="n">
        <x:v>97.5</x:v>
      </x:c>
      <x:c r="P274" s="13" t="n">
        <x:v>4</x:v>
      </x:c>
      <x:c r="Q274" s="8" t="str">
        <x:v>USD</x:v>
      </x:c>
      <x:c r="R274" s="8" t="str">
        <x:v>SOFR</x:v>
      </x:c>
      <x:c r="S274" s="18" t="n">
        <x:f>IF(Portfolio_Par&gt;0,D274/Portfolio_Par,"")</x:f>
        <x:v>0.00394</x:v>
      </x:c>
      <x:c r="T274" s="19" t="n">
        <x:f>IF(A274="","",(M274-as_of_date)/365.25)</x:f>
        <x:v>7.493497604380561</x:v>
      </x:c>
      <x:c r="U274" s="20" t="n">
        <x:f>IF(I274="Floating",D274*J274,0)</x:f>
        <x:v>401880000</x:v>
      </x:c>
      <x:c r="V274" s="20" t="n">
        <x:f>IF(A274="","",D274*N274)</x:f>
        <x:v>537810</x:v>
      </x:c>
      <x:c r="W274" s="14" t="n">
        <x:f>IF(A274='Run Snapshot'!A274,0,1)+IF(B274='Run Snapshot'!B274,0,1)+IF(C274='Run Snapshot'!C274,0,1)+IF(D274='Run Snapshot'!D274,0,1)+IF(E274='Run Snapshot'!E274,0,1)+IF(F274='Run Snapshot'!F274,0,1)+IF(G274='Run Snapshot'!G274,0,1)+IF(H274='Run Snapshot'!H274,0,1)+IF(I274='Run Snapshot'!I274,0,1)+IF(J274='Run Snapshot'!J274,0,1)+IF(K274='Run Snapshot'!K274,0,1)+IF(L274='Run Snapshot'!L274,0,1)+IF(M274='Run Snapshot'!M274,0,1)+IF(N274='Run Snapshot'!N274,0,1)+IF(O274='Run Snapshot'!O274,0,1)+IF(P274='Run Snapshot'!P274,0,1)+IF(Q274='Run Snapshot'!Q274,0,1)+IF(R274='Run Snapshot'!R274,0,1)</x:f>
        <x:v>0</x:v>
      </x:c>
      <x:c r="X274" s="15" t="n">
        <x:f>IF(A274="",0,COUNTIF($A$8:$A$289,A274)-1)</x:f>
        <x:v>0</x:v>
      </x:c>
      <x:c r="Y274" s="14" t="n">
        <x:f>IF(A274="",1,IF(OR(D274&lt;=0,N274&lt;0,N274&gt;1,M274&lt;=as_of_date),1,0))</x:f>
        <x:v>0</x:v>
      </x:c>
      <x:c r="Z274" s="170" t="n">
        <x:f>IF(A274="","",VLOOKUP(E274,SP_WARF_Factors,2,FALSE))</x:f>
        <x:v>1982</x:v>
      </x:c>
      <x:c r="AA274" s="172" t="n">
        <x:f>IF(A274="","",D274*Z274)</x:f>
        <x:v>2342724000</x:v>
      </x:c>
      <x:c r="AB274" s="170" t="n">
        <x:f>IF(A274="","",D274*ABS(Z274-SPWARF))</x:f>
        <x:v>469701168.72400004</x:v>
      </x:c>
    </x:row>
    <x:row r="275">
      <x:c r="A275" s="8" t="str">
        <x:v>SYN-LN-00268</x:v>
      </x:c>
      <x:c r="B275" s="8" t="str">
        <x:v>SYN-OB-0259</x:v>
      </x:c>
      <x:c r="C275" s="8" t="str">
        <x:v>Highland Group 259</x:v>
      </x:c>
      <x:c r="D275" s="9" t="n">
        <x:v>710000</x:v>
      </x:c>
      <x:c r="E275" s="8" t="str">
        <x:v>B-</x:v>
      </x:c>
      <x:c r="F275" s="8" t="str">
        <x:v>Containers &amp; Packaging</x:v>
      </x:c>
      <x:c r="G275" s="8" t="str">
        <x:v>United States</x:v>
      </x:c>
      <x:c r="H275" s="8" t="str">
        <x:v>1st Lien</x:v>
      </x:c>
      <x:c r="I275" s="8" t="str">
        <x:v>Floating</x:v>
      </x:c>
      <x:c r="J275" s="8" t="n">
        <x:v>210</x:v>
      </x:c>
      <x:c r="K275" s="10"/>
      <x:c r="L275" s="8" t="n">
        <x:v>50</x:v>
      </x:c>
      <x:c r="M275" s="11" t="n">
        <x:v>49567</x:v>
      </x:c>
      <x:c r="N275" s="10" t="n">
        <x:v>0.34</x:v>
      </x:c>
      <x:c r="O275" s="12" t="n">
        <x:v>99</x:v>
      </x:c>
      <x:c r="P275" s="13" t="n">
        <x:v>4</x:v>
      </x:c>
      <x:c r="Q275" s="8" t="str">
        <x:v>USD</x:v>
      </x:c>
      <x:c r="R275" s="8" t="str">
        <x:v>SOFR</x:v>
      </x:c>
      <x:c r="S275" s="18" t="n">
        <x:f>IF(Portfolio_Par&gt;0,D275/Portfolio_Par,"")</x:f>
        <x:v>0.0023666666666666667</x:v>
      </x:c>
      <x:c r="T275" s="19" t="n">
        <x:f>IF(A275="","",(M275-as_of_date)/365.25)</x:f>
        <x:v>8.70362765229295</x:v>
      </x:c>
      <x:c r="U275" s="20" t="n">
        <x:f>IF(I275="Floating",D275*J275,0)</x:f>
        <x:v>149100000</x:v>
      </x:c>
      <x:c r="V275" s="20" t="n">
        <x:f>IF(A275="","",D275*N275)</x:f>
        <x:v>241400.00000000003</x:v>
      </x:c>
      <x:c r="W275" s="14" t="n">
        <x:f>IF(A275='Run Snapshot'!A275,0,1)+IF(B275='Run Snapshot'!B275,0,1)+IF(C275='Run Snapshot'!C275,0,1)+IF(D275='Run Snapshot'!D275,0,1)+IF(E275='Run Snapshot'!E275,0,1)+IF(F275='Run Snapshot'!F275,0,1)+IF(G275='Run Snapshot'!G275,0,1)+IF(H275='Run Snapshot'!H275,0,1)+IF(I275='Run Snapshot'!I275,0,1)+IF(J275='Run Snapshot'!J275,0,1)+IF(K275='Run Snapshot'!K275,0,1)+IF(L275='Run Snapshot'!L275,0,1)+IF(M275='Run Snapshot'!M275,0,1)+IF(N275='Run Snapshot'!N275,0,1)+IF(O275='Run Snapshot'!O275,0,1)+IF(P275='Run Snapshot'!P275,0,1)+IF(Q275='Run Snapshot'!Q275,0,1)+IF(R275='Run Snapshot'!R275,0,1)</x:f>
        <x:v>0</x:v>
      </x:c>
      <x:c r="X275" s="15" t="n">
        <x:f>IF(A275="",0,COUNTIF($A$8:$A$289,A275)-1)</x:f>
        <x:v>0</x:v>
      </x:c>
      <x:c r="Y275" s="14" t="n">
        <x:f>IF(A275="",1,IF(OR(D275&lt;=0,N275&lt;0,N275&gt;1,M275&lt;=as_of_date),1,0))</x:f>
        <x:v>0</x:v>
      </x:c>
      <x:c r="Z275" s="170" t="n">
        <x:f>IF(A275="","",VLOOKUP(E275,SP_WARF_Factors,2,FALSE))</x:f>
        <x:v>3610.11</x:v>
      </x:c>
      <x:c r="AA275" s="172" t="n">
        <x:f>IF(A275="","",D275*Z275)</x:f>
        <x:v>2563178100</x:v>
      </x:c>
      <x:c r="AB275" s="170" t="n">
        <x:f>IF(A275="","",D275*ABS(Z275-SPWARF))</x:f>
        <x:v>873819496.1133333</x:v>
      </x:c>
    </x:row>
    <x:row r="276">
      <x:c r="A276" s="8" t="str">
        <x:v>SYN-LN-00269</x:v>
      </x:c>
      <x:c r="B276" s="8" t="str">
        <x:v>SYN-OB-0259</x:v>
      </x:c>
      <x:c r="C276" s="8" t="str">
        <x:v>Highland Group 259</x:v>
      </x:c>
      <x:c r="D276" s="9" t="n">
        <x:v>472000</x:v>
      </x:c>
      <x:c r="E276" s="8" t="str">
        <x:v>B-</x:v>
      </x:c>
      <x:c r="F276" s="8" t="str">
        <x:v>Containers &amp; Packaging</x:v>
      </x:c>
      <x:c r="G276" s="8" t="str">
        <x:v>United States</x:v>
      </x:c>
      <x:c r="H276" s="8" t="str">
        <x:v>1st Lien</x:v>
      </x:c>
      <x:c r="I276" s="8" t="str">
        <x:v>Floating</x:v>
      </x:c>
      <x:c r="J276" s="8" t="n">
        <x:v>220</x:v>
      </x:c>
      <x:c r="K276" s="10"/>
      <x:c r="L276" s="8" t="n">
        <x:v>0</x:v>
      </x:c>
      <x:c r="M276" s="11" t="n">
        <x:v>49643</x:v>
      </x:c>
      <x:c r="N276" s="10" t="n">
        <x:v>0.34</x:v>
      </x:c>
      <x:c r="O276" s="12" t="n">
        <x:v>99.125</x:v>
      </x:c>
      <x:c r="P276" s="13" t="n">
        <x:v>4</x:v>
      </x:c>
      <x:c r="Q276" s="8" t="str">
        <x:v>USD</x:v>
      </x:c>
      <x:c r="R276" s="8" t="str">
        <x:v>SOFR</x:v>
      </x:c>
      <x:c r="S276" s="18" t="n">
        <x:f>IF(Portfolio_Par&gt;0,D276/Portfolio_Par,"")</x:f>
        <x:v>0.0015733333333333333</x:v>
      </x:c>
      <x:c r="T276" s="19" t="n">
        <x:f>IF(A276="","",(M276-as_of_date)/365.25)</x:f>
        <x:v>8.91170431211499</x:v>
      </x:c>
      <x:c r="U276" s="20" t="n">
        <x:f>IF(I276="Floating",D276*J276,0)</x:f>
        <x:v>103840000</x:v>
      </x:c>
      <x:c r="V276" s="20" t="n">
        <x:f>IF(A276="","",D276*N276)</x:f>
        <x:v>160480</x:v>
      </x:c>
      <x:c r="W276" s="14" t="n">
        <x:f>IF(A276='Run Snapshot'!A276,0,1)+IF(B276='Run Snapshot'!B276,0,1)+IF(C276='Run Snapshot'!C276,0,1)+IF(D276='Run Snapshot'!D276,0,1)+IF(E276='Run Snapshot'!E276,0,1)+IF(F276='Run Snapshot'!F276,0,1)+IF(G276='Run Snapshot'!G276,0,1)+IF(H276='Run Snapshot'!H276,0,1)+IF(I276='Run Snapshot'!I276,0,1)+IF(J276='Run Snapshot'!J276,0,1)+IF(K276='Run Snapshot'!K276,0,1)+IF(L276='Run Snapshot'!L276,0,1)+IF(M276='Run Snapshot'!M276,0,1)+IF(N276='Run Snapshot'!N276,0,1)+IF(O276='Run Snapshot'!O276,0,1)+IF(P276='Run Snapshot'!P276,0,1)+IF(Q276='Run Snapshot'!Q276,0,1)+IF(R276='Run Snapshot'!R276,0,1)</x:f>
        <x:v>0</x:v>
      </x:c>
      <x:c r="X276" s="15" t="n">
        <x:f>IF(A276="",0,COUNTIF($A$8:$A$289,A276)-1)</x:f>
        <x:v>0</x:v>
      </x:c>
      <x:c r="Y276" s="14" t="n">
        <x:f>IF(A276="",1,IF(OR(D276&lt;=0,N276&lt;0,N276&gt;1,M276&lt;=as_of_date),1,0))</x:f>
        <x:v>0</x:v>
      </x:c>
      <x:c r="Z276" s="170" t="n">
        <x:f>IF(A276="","",VLOOKUP(E276,SP_WARF_Factors,2,FALSE))</x:f>
        <x:v>3610.11</x:v>
      </x:c>
      <x:c r="AA276" s="172" t="n">
        <x:f>IF(A276="","",D276*Z276)</x:f>
        <x:v>1703971920</x:v>
      </x:c>
      <x:c r="AB276" s="170" t="n">
        <x:f>IF(A276="","",D276*ABS(Z276-SPWARF))</x:f>
        <x:v>580905355.1626667</x:v>
      </x:c>
    </x:row>
    <x:row r="277">
      <x:c r="A277" s="8" t="str">
        <x:v>SYN-LN-00270</x:v>
      </x:c>
      <x:c r="B277" s="8" t="str">
        <x:v>SYN-OB-0260</x:v>
      </x:c>
      <x:c r="C277" s="8" t="str">
        <x:v>Ironwood LLC 260</x:v>
      </x:c>
      <x:c r="D277" s="9" t="n">
        <x:v>1182000</x:v>
      </x:c>
      <x:c r="E277" s="8" t="str">
        <x:v>B-</x:v>
      </x:c>
      <x:c r="F277" s="8" t="str">
        <x:v>Containers &amp; Packaging</x:v>
      </x:c>
      <x:c r="G277" s="8" t="str">
        <x:v>United States</x:v>
      </x:c>
      <x:c r="H277" s="8" t="str">
        <x:v>1st Lien</x:v>
      </x:c>
      <x:c r="I277" s="8" t="str">
        <x:v>Floating</x:v>
      </x:c>
      <x:c r="J277" s="8" t="n">
        <x:v>355</x:v>
      </x:c>
      <x:c r="K277" s="10"/>
      <x:c r="L277" s="8" t="n">
        <x:v>0</x:v>
      </x:c>
      <x:c r="M277" s="11" t="n">
        <x:v>48533</x:v>
      </x:c>
      <x:c r="N277" s="10" t="n">
        <x:v>0.375</x:v>
      </x:c>
      <x:c r="O277" s="12" t="n">
        <x:v>98.5</x:v>
      </x:c>
      <x:c r="P277" s="13" t="n">
        <x:v>4</x:v>
      </x:c>
      <x:c r="Q277" s="8" t="str">
        <x:v>USD</x:v>
      </x:c>
      <x:c r="R277" s="8" t="str">
        <x:v>SOFR</x:v>
      </x:c>
      <x:c r="S277" s="18" t="n">
        <x:f>IF(Portfolio_Par&gt;0,D277/Portfolio_Par,"")</x:f>
        <x:v>0.00394</x:v>
      </x:c>
      <x:c r="T277" s="19" t="n">
        <x:f>IF(A277="","",(M277-as_of_date)/365.25)</x:f>
        <x:v>5.8726899383983575</x:v>
      </x:c>
      <x:c r="U277" s="20" t="n">
        <x:f>IF(I277="Floating",D277*J277,0)</x:f>
        <x:v>419610000</x:v>
      </x:c>
      <x:c r="V277" s="20" t="n">
        <x:f>IF(A277="","",D277*N277)</x:f>
        <x:v>443250</x:v>
      </x:c>
      <x:c r="W277" s="14" t="n">
        <x:f>IF(A277='Run Snapshot'!A277,0,1)+IF(B277='Run Snapshot'!B277,0,1)+IF(C277='Run Snapshot'!C277,0,1)+IF(D277='Run Snapshot'!D277,0,1)+IF(E277='Run Snapshot'!E277,0,1)+IF(F277='Run Snapshot'!F277,0,1)+IF(G277='Run Snapshot'!G277,0,1)+IF(H277='Run Snapshot'!H277,0,1)+IF(I277='Run Snapshot'!I277,0,1)+IF(J277='Run Snapshot'!J277,0,1)+IF(K277='Run Snapshot'!K277,0,1)+IF(L277='Run Snapshot'!L277,0,1)+IF(M277='Run Snapshot'!M277,0,1)+IF(N277='Run Snapshot'!N277,0,1)+IF(O277='Run Snapshot'!O277,0,1)+IF(P277='Run Snapshot'!P277,0,1)+IF(Q277='Run Snapshot'!Q277,0,1)+IF(R277='Run Snapshot'!R277,0,1)</x:f>
        <x:v>0</x:v>
      </x:c>
      <x:c r="X277" s="15" t="n">
        <x:f>IF(A277="",0,COUNTIF($A$8:$A$289,A277)-1)</x:f>
        <x:v>0</x:v>
      </x:c>
      <x:c r="Y277" s="14" t="n">
        <x:f>IF(A277="",1,IF(OR(D277&lt;=0,N277&lt;0,N277&gt;1,M277&lt;=as_of_date),1,0))</x:f>
        <x:v>0</x:v>
      </x:c>
      <x:c r="Z277" s="170" t="n">
        <x:f>IF(A277="","",VLOOKUP(E277,SP_WARF_Factors,2,FALSE))</x:f>
        <x:v>3610.11</x:v>
      </x:c>
      <x:c r="AA277" s="172" t="n">
        <x:f>IF(A277="","",D277*Z277)</x:f>
        <x:v>4267150020</x:v>
      </x:c>
      <x:c r="AB277" s="170" t="n">
        <x:f>IF(A277="","",D277*ABS(Z277-SPWARF))</x:f>
        <x:v>1454724851.276</x:v>
      </x:c>
    </x:row>
    <x:row r="278">
      <x:c r="A278" s="8" t="str">
        <x:v>SYN-LN-00271</x:v>
      </x:c>
      <x:c r="B278" s="8" t="str">
        <x:v>SYN-OB-0261</x:v>
      </x:c>
      <x:c r="C278" s="8" t="str">
        <x:v>Juniper Holdings 261</x:v>
      </x:c>
      <x:c r="D278" s="9" t="n">
        <x:v>1182000</x:v>
      </x:c>
      <x:c r="E278" s="8" t="str">
        <x:v>BB-</x:v>
      </x:c>
      <x:c r="F278" s="8" t="str">
        <x:v>Food Products</x:v>
      </x:c>
      <x:c r="G278" s="8" t="str">
        <x:v>United States</x:v>
      </x:c>
      <x:c r="H278" s="8" t="str">
        <x:v>1st Lien</x:v>
      </x:c>
      <x:c r="I278" s="8" t="str">
        <x:v>Floating</x:v>
      </x:c>
      <x:c r="J278" s="8" t="n">
        <x:v>300</x:v>
      </x:c>
      <x:c r="K278" s="10"/>
      <x:c r="L278" s="8" t="n">
        <x:v>0</x:v>
      </x:c>
      <x:c r="M278" s="11" t="n">
        <x:v>48515</x:v>
      </x:c>
      <x:c r="N278" s="10" t="n">
        <x:v>0.535</x:v>
      </x:c>
      <x:c r="O278" s="12" t="n">
        <x:v>99</x:v>
      </x:c>
      <x:c r="P278" s="13" t="n">
        <x:v>4</x:v>
      </x:c>
      <x:c r="Q278" s="8" t="str">
        <x:v>USD</x:v>
      </x:c>
      <x:c r="R278" s="8" t="str">
        <x:v>SOFR</x:v>
      </x:c>
      <x:c r="S278" s="18" t="n">
        <x:f>IF(Portfolio_Par&gt;0,D278/Portfolio_Par,"")</x:f>
        <x:v>0.00394</x:v>
      </x:c>
      <x:c r="T278" s="19" t="n">
        <x:f>IF(A278="","",(M278-as_of_date)/365.25)</x:f>
        <x:v>5.823408624229979</x:v>
      </x:c>
      <x:c r="U278" s="20" t="n">
        <x:f>IF(I278="Floating",D278*J278,0)</x:f>
        <x:v>354600000</x:v>
      </x:c>
      <x:c r="V278" s="20" t="n">
        <x:f>IF(A278="","",D278*N278)</x:f>
        <x:v>632370</x:v>
      </x:c>
      <x:c r="W278" s="14" t="n">
        <x:f>IF(A278='Run Snapshot'!A278,0,1)+IF(B278='Run Snapshot'!B278,0,1)+IF(C278='Run Snapshot'!C278,0,1)+IF(D278='Run Snapshot'!D278,0,1)+IF(E278='Run Snapshot'!E278,0,1)+IF(F278='Run Snapshot'!F278,0,1)+IF(G278='Run Snapshot'!G278,0,1)+IF(H278='Run Snapshot'!H278,0,1)+IF(I278='Run Snapshot'!I278,0,1)+IF(J278='Run Snapshot'!J278,0,1)+IF(K278='Run Snapshot'!K278,0,1)+IF(L278='Run Snapshot'!L278,0,1)+IF(M278='Run Snapshot'!M278,0,1)+IF(N278='Run Snapshot'!N278,0,1)+IF(O278='Run Snapshot'!O278,0,1)+IF(P278='Run Snapshot'!P278,0,1)+IF(Q278='Run Snapshot'!Q278,0,1)+IF(R278='Run Snapshot'!R278,0,1)</x:f>
        <x:v>0</x:v>
      </x:c>
      <x:c r="X278" s="15" t="n">
        <x:f>IF(A278="",0,COUNTIF($A$8:$A$289,A278)-1)</x:f>
        <x:v>0</x:v>
      </x:c>
      <x:c r="Y278" s="14" t="n">
        <x:f>IF(A278="",1,IF(OR(D278&lt;=0,N278&lt;0,N278&gt;1,M278&lt;=as_of_date),1,0))</x:f>
        <x:v>0</x:v>
      </x:c>
      <x:c r="Z278" s="170" t="n">
        <x:f>IF(A278="","",VLOOKUP(E278,SP_WARF_Factors,2,FALSE))</x:f>
        <x:v>1565.44</x:v>
      </x:c>
      <x:c r="AA278" s="172" t="n">
        <x:f>IF(A278="","",D278*Z278)</x:f>
        <x:v>1850350080</x:v>
      </x:c>
      <x:c r="AB278" s="170" t="n">
        <x:f>IF(A278="","",D278*ABS(Z278-SPWARF))</x:f>
        <x:v>962075088.724</x:v>
      </x:c>
    </x:row>
    <x:row r="279">
      <x:c r="A279" s="8" t="str">
        <x:v>SYN-LN-00272</x:v>
      </x:c>
      <x:c r="B279" s="8" t="str">
        <x:v>SYN-OB-0262</x:v>
      </x:c>
      <x:c r="C279" s="8" t="str">
        <x:v>Keystone Inc. 262</x:v>
      </x:c>
      <x:c r="D279" s="9" t="n">
        <x:v>1182000</x:v>
      </x:c>
      <x:c r="E279" s="8" t="str">
        <x:v>B-</x:v>
      </x:c>
      <x:c r="F279" s="8" t="str">
        <x:v>Healthcare Providers &amp; Services</x:v>
      </x:c>
      <x:c r="G279" s="8" t="str">
        <x:v>United States</x:v>
      </x:c>
      <x:c r="H279" s="8" t="str">
        <x:v>1st Lien</x:v>
      </x:c>
      <x:c r="I279" s="8" t="str">
        <x:v>Floating</x:v>
      </x:c>
      <x:c r="J279" s="8" t="n">
        <x:v>325</x:v>
      </x:c>
      <x:c r="K279" s="10"/>
      <x:c r="L279" s="8" t="n">
        <x:v>0</x:v>
      </x:c>
      <x:c r="M279" s="11" t="n">
        <x:v>48167</x:v>
      </x:c>
      <x:c r="N279" s="10" t="n">
        <x:v>0.54</x:v>
      </x:c>
      <x:c r="O279" s="12" t="n">
        <x:v>101.5</x:v>
      </x:c>
      <x:c r="P279" s="13" t="n">
        <x:v>4</x:v>
      </x:c>
      <x:c r="Q279" s="8" t="str">
        <x:v>USD</x:v>
      </x:c>
      <x:c r="R279" s="8" t="str">
        <x:v>SOFR</x:v>
      </x:c>
      <x:c r="S279" s="18" t="n">
        <x:f>IF(Portfolio_Par&gt;0,D279/Portfolio_Par,"")</x:f>
        <x:v>0.00394</x:v>
      </x:c>
      <x:c r="T279" s="19" t="n">
        <x:f>IF(A279="","",(M279-as_of_date)/365.25)</x:f>
        <x:v>4.870636550308008</x:v>
      </x:c>
      <x:c r="U279" s="20" t="n">
        <x:f>IF(I279="Floating",D279*J279,0)</x:f>
        <x:v>384150000</x:v>
      </x:c>
      <x:c r="V279" s="20" t="n">
        <x:f>IF(A279="","",D279*N279)</x:f>
        <x:v>638280</x:v>
      </x:c>
      <x:c r="W279" s="14" t="n">
        <x:f>IF(A279='Run Snapshot'!A279,0,1)+IF(B279='Run Snapshot'!B279,0,1)+IF(C279='Run Snapshot'!C279,0,1)+IF(D279='Run Snapshot'!D279,0,1)+IF(E279='Run Snapshot'!E279,0,1)+IF(F279='Run Snapshot'!F279,0,1)+IF(G279='Run Snapshot'!G279,0,1)+IF(H279='Run Snapshot'!H279,0,1)+IF(I279='Run Snapshot'!I279,0,1)+IF(J279='Run Snapshot'!J279,0,1)+IF(K279='Run Snapshot'!K279,0,1)+IF(L279='Run Snapshot'!L279,0,1)+IF(M279='Run Snapshot'!M279,0,1)+IF(N279='Run Snapshot'!N279,0,1)+IF(O279='Run Snapshot'!O279,0,1)+IF(P279='Run Snapshot'!P279,0,1)+IF(Q279='Run Snapshot'!Q279,0,1)+IF(R279='Run Snapshot'!R279,0,1)</x:f>
        <x:v>0</x:v>
      </x:c>
      <x:c r="X279" s="15" t="n">
        <x:f>IF(A279="",0,COUNTIF($A$8:$A$289,A279)-1)</x:f>
        <x:v>0</x:v>
      </x:c>
      <x:c r="Y279" s="14" t="n">
        <x:f>IF(A279="",1,IF(OR(D279&lt;=0,N279&lt;0,N279&gt;1,M279&lt;=as_of_date),1,0))</x:f>
        <x:v>0</x:v>
      </x:c>
      <x:c r="Z279" s="170" t="n">
        <x:f>IF(A279="","",VLOOKUP(E279,SP_WARF_Factors,2,FALSE))</x:f>
        <x:v>3610.11</x:v>
      </x:c>
      <x:c r="AA279" s="172" t="n">
        <x:f>IF(A279="","",D279*Z279)</x:f>
        <x:v>4267150020</x:v>
      </x:c>
      <x:c r="AB279" s="170" t="n">
        <x:f>IF(A279="","",D279*ABS(Z279-SPWARF))</x:f>
        <x:v>1454724851.276</x:v>
      </x:c>
    </x:row>
    <x:row r="280">
      <x:c r="A280" s="8" t="str">
        <x:v>SYN-LN-00273</x:v>
      </x:c>
      <x:c r="B280" s="8" t="str">
        <x:v>SYN-OB-0263</x:v>
      </x:c>
      <x:c r="C280" s="8" t="str">
        <x:v>Lakeview Corp. 263</x:v>
      </x:c>
      <x:c r="D280" s="9" t="n">
        <x:v>630000</x:v>
      </x:c>
      <x:c r="E280" s="8" t="str">
        <x:v>BBB+</x:v>
      </x:c>
      <x:c r="F280" s="8" t="str">
        <x:v>Passenger airlines</x:v>
      </x:c>
      <x:c r="G280" s="8" t="str">
        <x:v>Luxembourg</x:v>
      </x:c>
      <x:c r="H280" s="8" t="str">
        <x:v>1st Lien</x:v>
      </x:c>
      <x:c r="I280" s="8" t="str">
        <x:v>Fixed</x:v>
      </x:c>
      <x:c r="J280" s="8"/>
      <x:c r="K280" s="10" t="n">
        <x:v>0.041875</x:v>
      </x:c>
      <x:c r="L280" s="8"/>
      <x:c r="M280" s="11" t="n">
        <x:v>48057</x:v>
      </x:c>
      <x:c r="N280" s="10" t="n">
        <x:v>0.27</x:v>
      </x:c>
      <x:c r="O280" s="12" t="n">
        <x:v>88.125</x:v>
      </x:c>
      <x:c r="P280" s="13" t="n">
        <x:v>2</x:v>
      </x:c>
      <x:c r="Q280" s="8" t="str">
        <x:v>USD</x:v>
      </x:c>
      <x:c r="R280" s="8"/>
      <x:c r="S280" s="18" t="n">
        <x:f>IF(Portfolio_Par&gt;0,D280/Portfolio_Par,"")</x:f>
        <x:v>0.0021</x:v>
      </x:c>
      <x:c r="T280" s="19" t="n">
        <x:f>IF(A280="","",(M280-as_of_date)/365.25)</x:f>
        <x:v>4.569472963723477</x:v>
      </x:c>
      <x:c r="U280" s="20" t="n">
        <x:f>IF(I280="Floating",D280*J280,0)</x:f>
        <x:v>0</x:v>
      </x:c>
      <x:c r="V280" s="20" t="n">
        <x:f>IF(A280="","",D280*N280)</x:f>
        <x:v>170100</x:v>
      </x:c>
      <x:c r="W280" s="14" t="n">
        <x:f>IF(A280='Run Snapshot'!A280,0,1)+IF(B280='Run Snapshot'!B280,0,1)+IF(C280='Run Snapshot'!C280,0,1)+IF(D280='Run Snapshot'!D280,0,1)+IF(E280='Run Snapshot'!E280,0,1)+IF(F280='Run Snapshot'!F280,0,1)+IF(G280='Run Snapshot'!G280,0,1)+IF(H280='Run Snapshot'!H280,0,1)+IF(I280='Run Snapshot'!I280,0,1)+IF(J280='Run Snapshot'!J280,0,1)+IF(K280='Run Snapshot'!K280,0,1)+IF(L280='Run Snapshot'!L280,0,1)+IF(M280='Run Snapshot'!M280,0,1)+IF(N280='Run Snapshot'!N280,0,1)+IF(O280='Run Snapshot'!O280,0,1)+IF(P280='Run Snapshot'!P280,0,1)+IF(Q280='Run Snapshot'!Q280,0,1)+IF(R280='Run Snapshot'!R280,0,1)</x:f>
        <x:v>0</x:v>
      </x:c>
      <x:c r="X280" s="15" t="n">
        <x:f>IF(A280="",0,COUNTIF($A$8:$A$289,A280)-1)</x:f>
        <x:v>0</x:v>
      </x:c>
      <x:c r="Y280" s="14" t="n">
        <x:f>IF(A280="",1,IF(OR(D280&lt;=0,N280&lt;0,N280&gt;1,M280&lt;=as_of_date),1,0))</x:f>
        <x:v>0</x:v>
      </x:c>
      <x:c r="Z280" s="170" t="n">
        <x:f>IF(A280="","",VLOOKUP(E280,SP_WARF_Factors,2,FALSE))</x:f>
        <x:v>271.01</x:v>
      </x:c>
      <x:c r="AA280" s="172" t="n">
        <x:f>IF(A280="","",D280*Z280)</x:f>
        <x:v>170736300</x:v>
      </x:c>
      <x:c r="AB280" s="170" t="n">
        <x:f>IF(A280="","",D280*ABS(Z280-SPWARF))</x:f>
        <x:v>1328272038.6599998</x:v>
      </x:c>
    </x:row>
    <x:row r="281">
      <x:c r="A281" s="8" t="str">
        <x:v>SYN-LN-00274</x:v>
      </x:c>
      <x:c r="B281" s="8" t="str">
        <x:v>SYN-OB-0264</x:v>
      </x:c>
      <x:c r="C281" s="8" t="str">
        <x:v>Larkspur Group 264</x:v>
      </x:c>
      <x:c r="D281" s="9" t="n">
        <x:v>1182000</x:v>
      </x:c>
      <x:c r="E281" s="8" t="str">
        <x:v>B</x:v>
      </x:c>
      <x:c r="F281" s="8" t="str">
        <x:v>Diversified Consumer Services</x:v>
      </x:c>
      <x:c r="G281" s="8" t="str">
        <x:v>United States</x:v>
      </x:c>
      <x:c r="H281" s="8" t="str">
        <x:v>1st Lien</x:v>
      </x:c>
      <x:c r="I281" s="8" t="str">
        <x:v>Floating</x:v>
      </x:c>
      <x:c r="J281" s="8" t="n">
        <x:v>290</x:v>
      </x:c>
      <x:c r="K281" s="10"/>
      <x:c r="L281" s="8" t="n">
        <x:v>0</x:v>
      </x:c>
      <x:c r="M281" s="11" t="n">
        <x:v>48362</x:v>
      </x:c>
      <x:c r="N281" s="10" t="n">
        <x:v>0.375</x:v>
      </x:c>
      <x:c r="O281" s="12" t="n">
        <x:v>99.5</x:v>
      </x:c>
      <x:c r="P281" s="13" t="n">
        <x:v>4</x:v>
      </x:c>
      <x:c r="Q281" s="8" t="str">
        <x:v>USD</x:v>
      </x:c>
      <x:c r="R281" s="8" t="str">
        <x:v>SOFR</x:v>
      </x:c>
      <x:c r="S281" s="18" t="n">
        <x:f>IF(Portfolio_Par&gt;0,D281/Portfolio_Par,"")</x:f>
        <x:v>0.00394</x:v>
      </x:c>
      <x:c r="T281" s="19" t="n">
        <x:f>IF(A281="","",(M281-as_of_date)/365.25)</x:f>
        <x:v>5.404517453798768</x:v>
      </x:c>
      <x:c r="U281" s="20" t="n">
        <x:f>IF(I281="Floating",D281*J281,0)</x:f>
        <x:v>342780000</x:v>
      </x:c>
      <x:c r="V281" s="20" t="n">
        <x:f>IF(A281="","",D281*N281)</x:f>
        <x:v>443250</x:v>
      </x:c>
      <x:c r="W281" s="14" t="n">
        <x:f>IF(A281='Run Snapshot'!A281,0,1)+IF(B281='Run Snapshot'!B281,0,1)+IF(C281='Run Snapshot'!C281,0,1)+IF(D281='Run Snapshot'!D281,0,1)+IF(E281='Run Snapshot'!E281,0,1)+IF(F281='Run Snapshot'!F281,0,1)+IF(G281='Run Snapshot'!G281,0,1)+IF(H281='Run Snapshot'!H281,0,1)+IF(I281='Run Snapshot'!I281,0,1)+IF(J281='Run Snapshot'!J281,0,1)+IF(K281='Run Snapshot'!K281,0,1)+IF(L281='Run Snapshot'!L281,0,1)+IF(M281='Run Snapshot'!M281,0,1)+IF(N281='Run Snapshot'!N281,0,1)+IF(O281='Run Snapshot'!O281,0,1)+IF(P281='Run Snapshot'!P281,0,1)+IF(Q281='Run Snapshot'!Q281,0,1)+IF(R281='Run Snapshot'!R281,0,1)</x:f>
        <x:v>0</x:v>
      </x:c>
      <x:c r="X281" s="15" t="n">
        <x:f>IF(A281="",0,COUNTIF($A$8:$A$289,A281)-1)</x:f>
        <x:v>0</x:v>
      </x:c>
      <x:c r="Y281" s="14" t="n">
        <x:f>IF(A281="",1,IF(OR(D281&lt;=0,N281&lt;0,N281&gt;1,M281&lt;=as_of_date),1,0))</x:f>
        <x:v>0</x:v>
      </x:c>
      <x:c r="Z281" s="170" t="n">
        <x:f>IF(A281="","",VLOOKUP(E281,SP_WARF_Factors,2,FALSE))</x:f>
        <x:v>2859.5</x:v>
      </x:c>
      <x:c r="AA281" s="172" t="n">
        <x:f>IF(A281="","",D281*Z281)</x:f>
        <x:v>3379929000</x:v>
      </x:c>
      <x:c r="AB281" s="170" t="n">
        <x:f>IF(A281="","",D281*ABS(Z281-SPWARF))</x:f>
        <x:v>567503831.2759999</x:v>
      </x:c>
    </x:row>
    <x:row r="282">
      <x:c r="A282" s="8" t="str">
        <x:v>SYN-LN-00275</x:v>
      </x:c>
      <x:c r="B282" s="8" t="str">
        <x:v>SYN-OB-0265</x:v>
      </x:c>
      <x:c r="C282" s="8" t="str">
        <x:v>Maple LLC 265</x:v>
      </x:c>
      <x:c r="D282" s="9" t="n">
        <x:v>1182000</x:v>
      </x:c>
      <x:c r="E282" s="8" t="str">
        <x:v>B-</x:v>
      </x:c>
      <x:c r="F282" s="8" t="str">
        <x:v>Communications Equipment</x:v>
      </x:c>
      <x:c r="G282" s="8" t="str">
        <x:v>United Kingdom</x:v>
      </x:c>
      <x:c r="H282" s="8" t="str">
        <x:v>1st Lien</x:v>
      </x:c>
      <x:c r="I282" s="8" t="str">
        <x:v>Floating</x:v>
      </x:c>
      <x:c r="J282" s="8" t="n">
        <x:v>440</x:v>
      </x:c>
      <x:c r="K282" s="10"/>
      <x:c r="L282" s="8" t="n">
        <x:v>0</x:v>
      </x:c>
      <x:c r="M282" s="11" t="n">
        <x:v>47223</x:v>
      </x:c>
      <x:c r="N282" s="10" t="n">
        <x:v>0.45</x:v>
      </x:c>
      <x:c r="O282" s="12" t="n">
        <x:v>99.75</x:v>
      </x:c>
      <x:c r="P282" s="13" t="n">
        <x:v>4</x:v>
      </x:c>
      <x:c r="Q282" s="8" t="str">
        <x:v>USD</x:v>
      </x:c>
      <x:c r="R282" s="8" t="str">
        <x:v>SOFR</x:v>
      </x:c>
      <x:c r="S282" s="18" t="n">
        <x:f>IF(Portfolio_Par&gt;0,D282/Portfolio_Par,"")</x:f>
        <x:v>0.00394</x:v>
      </x:c>
      <x:c r="T282" s="19" t="n">
        <x:f>IF(A282="","",(M282-as_of_date)/365.25)</x:f>
        <x:v>2.2861054072553046</x:v>
      </x:c>
      <x:c r="U282" s="20" t="n">
        <x:f>IF(I282="Floating",D282*J282,0)</x:f>
        <x:v>520080000</x:v>
      </x:c>
      <x:c r="V282" s="20" t="n">
        <x:f>IF(A282="","",D282*N282)</x:f>
        <x:v>531900</x:v>
      </x:c>
      <x:c r="W282" s="14" t="n">
        <x:f>IF(A282='Run Snapshot'!A282,0,1)+IF(B282='Run Snapshot'!B282,0,1)+IF(C282='Run Snapshot'!C282,0,1)+IF(D282='Run Snapshot'!D282,0,1)+IF(E282='Run Snapshot'!E282,0,1)+IF(F282='Run Snapshot'!F282,0,1)+IF(G282='Run Snapshot'!G282,0,1)+IF(H282='Run Snapshot'!H282,0,1)+IF(I282='Run Snapshot'!I282,0,1)+IF(J282='Run Snapshot'!J282,0,1)+IF(K282='Run Snapshot'!K282,0,1)+IF(L282='Run Snapshot'!L282,0,1)+IF(M282='Run Snapshot'!M282,0,1)+IF(N282='Run Snapshot'!N282,0,1)+IF(O282='Run Snapshot'!O282,0,1)+IF(P282='Run Snapshot'!P282,0,1)+IF(Q282='Run Snapshot'!Q282,0,1)+IF(R282='Run Snapshot'!R282,0,1)</x:f>
        <x:v>0</x:v>
      </x:c>
      <x:c r="X282" s="15" t="n">
        <x:f>IF(A282="",0,COUNTIF($A$8:$A$289,A282)-1)</x:f>
        <x:v>0</x:v>
      </x:c>
      <x:c r="Y282" s="14" t="n">
        <x:f>IF(A282="",1,IF(OR(D282&lt;=0,N282&lt;0,N282&gt;1,M282&lt;=as_of_date),1,0))</x:f>
        <x:v>0</x:v>
      </x:c>
      <x:c r="Z282" s="170" t="n">
        <x:f>IF(A282="","",VLOOKUP(E282,SP_WARF_Factors,2,FALSE))</x:f>
        <x:v>3610.11</x:v>
      </x:c>
      <x:c r="AA282" s="172" t="n">
        <x:f>IF(A282="","",D282*Z282)</x:f>
        <x:v>4267150020</x:v>
      </x:c>
      <x:c r="AB282" s="170" t="n">
        <x:f>IF(A282="","",D282*ABS(Z282-SPWARF))</x:f>
        <x:v>1454724851.276</x:v>
      </x:c>
    </x:row>
    <x:row r="283">
      <x:c r="A283" s="8" t="str">
        <x:v>SYN-LN-00276</x:v>
      </x:c>
      <x:c r="B283" s="8" t="str">
        <x:v>SYN-OB-0266</x:v>
      </x:c>
      <x:c r="C283" s="8" t="str">
        <x:v>Meridian Holdings 266</x:v>
      </x:c>
      <x:c r="D283" s="9" t="n">
        <x:v>1182000</x:v>
      </x:c>
      <x:c r="E283" s="8" t="str">
        <x:v>BB</x:v>
      </x:c>
      <x:c r="F283" s="8" t="str">
        <x:v>Construction Materials</x:v>
      </x:c>
      <x:c r="G283" s="8" t="str">
        <x:v>United States</x:v>
      </x:c>
      <x:c r="H283" s="8" t="str">
        <x:v>1st Lien</x:v>
      </x:c>
      <x:c r="I283" s="8" t="str">
        <x:v>Floating</x:v>
      </x:c>
      <x:c r="J283" s="8" t="n">
        <x:v>230</x:v>
      </x:c>
      <x:c r="K283" s="10"/>
      <x:c r="L283" s="8" t="n">
        <x:v>0</x:v>
      </x:c>
      <x:c r="M283" s="11" t="n">
        <x:v>47754</x:v>
      </x:c>
      <x:c r="N283" s="10" t="n">
        <x:v>0.335</x:v>
      </x:c>
      <x:c r="O283" s="12" t="n">
        <x:v>100</x:v>
      </x:c>
      <x:c r="P283" s="13" t="n">
        <x:v>4</x:v>
      </x:c>
      <x:c r="Q283" s="8" t="str">
        <x:v>USD</x:v>
      </x:c>
      <x:c r="R283" s="8" t="str">
        <x:v>SOFR</x:v>
      </x:c>
      <x:c r="S283" s="18" t="n">
        <x:f>IF(Portfolio_Par&gt;0,D283/Portfolio_Par,"")</x:f>
        <x:v>0.00394</x:v>
      </x:c>
      <x:c r="T283" s="19" t="n">
        <x:f>IF(A283="","",(M283-as_of_date)/365.25)</x:f>
        <x:v>3.7399041752224504</x:v>
      </x:c>
      <x:c r="U283" s="20" t="n">
        <x:f>IF(I283="Floating",D283*J283,0)</x:f>
        <x:v>271860000</x:v>
      </x:c>
      <x:c r="V283" s="20" t="n">
        <x:f>IF(A283="","",D283*N283)</x:f>
        <x:v>395970</x:v>
      </x:c>
      <x:c r="W283" s="14" t="n">
        <x:f>IF(A283='Run Snapshot'!A283,0,1)+IF(B283='Run Snapshot'!B283,0,1)+IF(C283='Run Snapshot'!C283,0,1)+IF(D283='Run Snapshot'!D283,0,1)+IF(E283='Run Snapshot'!E283,0,1)+IF(F283='Run Snapshot'!F283,0,1)+IF(G283='Run Snapshot'!G283,0,1)+IF(H283='Run Snapshot'!H283,0,1)+IF(I283='Run Snapshot'!I283,0,1)+IF(J283='Run Snapshot'!J283,0,1)+IF(K283='Run Snapshot'!K283,0,1)+IF(L283='Run Snapshot'!L283,0,1)+IF(M283='Run Snapshot'!M283,0,1)+IF(N283='Run Snapshot'!N283,0,1)+IF(O283='Run Snapshot'!O283,0,1)+IF(P283='Run Snapshot'!P283,0,1)+IF(Q283='Run Snapshot'!Q283,0,1)+IF(R283='Run Snapshot'!R283,0,1)</x:f>
        <x:v>0</x:v>
      </x:c>
      <x:c r="X283" s="15" t="n">
        <x:f>IF(A283="",0,COUNTIF($A$8:$A$289,A283)-1)</x:f>
        <x:v>0</x:v>
      </x:c>
      <x:c r="Y283" s="14" t="n">
        <x:f>IF(A283="",1,IF(OR(D283&lt;=0,N283&lt;0,N283&gt;1,M283&lt;=as_of_date),1,0))</x:f>
        <x:v>0</x:v>
      </x:c>
      <x:c r="Z283" s="170" t="n">
        <x:f>IF(A283="","",VLOOKUP(E283,SP_WARF_Factors,2,FALSE))</x:f>
        <x:v>1233.63</x:v>
      </x:c>
      <x:c r="AA283" s="172" t="n">
        <x:f>IF(A283="","",D283*Z283)</x:f>
        <x:v>1458150660.0000002</x:v>
      </x:c>
      <x:c r="AB283" s="170" t="n">
        <x:f>IF(A283="","",D283*ABS(Z283-SPWARF))</x:f>
        <x:v>1354274508.724</x:v>
      </x:c>
    </x:row>
    <x:row r="284">
      <x:c r="A284" s="8" t="str">
        <x:v>SYN-LN-00277</x:v>
      </x:c>
      <x:c r="B284" s="8" t="str">
        <x:v>SYN-OB-0267</x:v>
      </x:c>
      <x:c r="C284" s="8" t="str">
        <x:v>Northfield Inc. 267</x:v>
      </x:c>
      <x:c r="D284" s="9" t="n">
        <x:v>790000</x:v>
      </x:c>
      <x:c r="E284" s="8" t="str">
        <x:v>BB-</x:v>
      </x:c>
      <x:c r="F284" s="8" t="str">
        <x:v>Food Products</x:v>
      </x:c>
      <x:c r="G284" s="8" t="str">
        <x:v>United States</x:v>
      </x:c>
      <x:c r="H284" s="8" t="str">
        <x:v>1st Lien</x:v>
      </x:c>
      <x:c r="I284" s="8" t="str">
        <x:v>Floating</x:v>
      </x:c>
      <x:c r="J284" s="8" t="n">
        <x:v>135</x:v>
      </x:c>
      <x:c r="K284" s="10"/>
      <x:c r="L284" s="8" t="n">
        <x:v>0</x:v>
      </x:c>
      <x:c r="M284" s="11" t="n">
        <x:v>48653</x:v>
      </x:c>
      <x:c r="N284" s="10" t="n">
        <x:v>0.375</x:v>
      </x:c>
      <x:c r="O284" s="12" t="n">
        <x:v>99.5</x:v>
      </x:c>
      <x:c r="P284" s="13" t="n">
        <x:v>4</x:v>
      </x:c>
      <x:c r="Q284" s="8" t="str">
        <x:v>USD</x:v>
      </x:c>
      <x:c r="R284" s="8" t="str">
        <x:v>SOFR</x:v>
      </x:c>
      <x:c r="S284" s="18" t="n">
        <x:f>IF(Portfolio_Par&gt;0,D284/Portfolio_Par,"")</x:f>
        <x:v>0.0026333333333333334</x:v>
      </x:c>
      <x:c r="T284" s="19" t="n">
        <x:f>IF(A284="","",(M284-as_of_date)/365.25)</x:f>
        <x:v>6.201232032854209</x:v>
      </x:c>
      <x:c r="U284" s="20" t="n">
        <x:f>IF(I284="Floating",D284*J284,0)</x:f>
        <x:v>106650000</x:v>
      </x:c>
      <x:c r="V284" s="20" t="n">
        <x:f>IF(A284="","",D284*N284)</x:f>
        <x:v>296250</x:v>
      </x:c>
      <x:c r="W284" s="14" t="n">
        <x:f>IF(A284='Run Snapshot'!A284,0,1)+IF(B284='Run Snapshot'!B284,0,1)+IF(C284='Run Snapshot'!C284,0,1)+IF(D284='Run Snapshot'!D284,0,1)+IF(E284='Run Snapshot'!E284,0,1)+IF(F284='Run Snapshot'!F284,0,1)+IF(G284='Run Snapshot'!G284,0,1)+IF(H284='Run Snapshot'!H284,0,1)+IF(I284='Run Snapshot'!I284,0,1)+IF(J284='Run Snapshot'!J284,0,1)+IF(K284='Run Snapshot'!K284,0,1)+IF(L284='Run Snapshot'!L284,0,1)+IF(M284='Run Snapshot'!M284,0,1)+IF(N284='Run Snapshot'!N284,0,1)+IF(O284='Run Snapshot'!O284,0,1)+IF(P284='Run Snapshot'!P284,0,1)+IF(Q284='Run Snapshot'!Q284,0,1)+IF(R284='Run Snapshot'!R284,0,1)</x:f>
        <x:v>0</x:v>
      </x:c>
      <x:c r="X284" s="15" t="n">
        <x:f>IF(A284="",0,COUNTIF($A$8:$A$289,A284)-1)</x:f>
        <x:v>0</x:v>
      </x:c>
      <x:c r="Y284" s="14" t="n">
        <x:f>IF(A284="",1,IF(OR(D284&lt;=0,N284&lt;0,N284&gt;1,M284&lt;=as_of_date),1,0))</x:f>
        <x:v>0</x:v>
      </x:c>
      <x:c r="Z284" s="170" t="n">
        <x:f>IF(A284="","",VLOOKUP(E284,SP_WARF_Factors,2,FALSE))</x:f>
        <x:v>1565.44</x:v>
      </x:c>
      <x:c r="AA284" s="172" t="n">
        <x:f>IF(A284="","",D284*Z284)</x:f>
        <x:v>1236697600</x:v>
      </x:c>
      <x:c r="AB284" s="170" t="n">
        <x:f>IF(A284="","",D284*ABS(Z284-SPWARF))</x:f>
        <x:v>643011269.1133333</x:v>
      </x:c>
    </x:row>
    <x:row r="285">
      <x:c r="A285" s="8" t="str">
        <x:v>SYN-LN-00278</x:v>
      </x:c>
      <x:c r="B285" s="8" t="str">
        <x:v>SYN-OB-0267</x:v>
      </x:c>
      <x:c r="C285" s="8" t="str">
        <x:v>Northfield Inc. 267</x:v>
      </x:c>
      <x:c r="D285" s="9" t="n">
        <x:v>392000</x:v>
      </x:c>
      <x:c r="E285" s="8" t="str">
        <x:v>BB-</x:v>
      </x:c>
      <x:c r="F285" s="8" t="str">
        <x:v>Food Products</x:v>
      </x:c>
      <x:c r="G285" s="8" t="str">
        <x:v>United States</x:v>
      </x:c>
      <x:c r="H285" s="8" t="str">
        <x:v>1st Lien</x:v>
      </x:c>
      <x:c r="I285" s="8" t="str">
        <x:v>Floating</x:v>
      </x:c>
      <x:c r="J285" s="8" t="n">
        <x:v>145</x:v>
      </x:c>
      <x:c r="K285" s="10"/>
      <x:c r="L285" s="8" t="n">
        <x:v>50</x:v>
      </x:c>
      <x:c r="M285" s="11" t="n">
        <x:v>48714</x:v>
      </x:c>
      <x:c r="N285" s="10" t="n">
        <x:v>0.375</x:v>
      </x:c>
      <x:c r="O285" s="12" t="n">
        <x:v>99.625</x:v>
      </x:c>
      <x:c r="P285" s="13" t="n">
        <x:v>4</x:v>
      </x:c>
      <x:c r="Q285" s="8" t="str">
        <x:v>USD</x:v>
      </x:c>
      <x:c r="R285" s="8" t="str">
        <x:v>SOFR</x:v>
      </x:c>
      <x:c r="S285" s="18" t="n">
        <x:f>IF(Portfolio_Par&gt;0,D285/Portfolio_Par,"")</x:f>
        <x:v>0.0013066666666666667</x:v>
      </x:c>
      <x:c r="T285" s="19" t="n">
        <x:f>IF(A285="","",(M285-as_of_date)/365.25)</x:f>
        <x:v>6.368240930869268</x:v>
      </x:c>
      <x:c r="U285" s="20" t="n">
        <x:f>IF(I285="Floating",D285*J285,0)</x:f>
        <x:v>56840000</x:v>
      </x:c>
      <x:c r="V285" s="20" t="n">
        <x:f>IF(A285="","",D285*N285)</x:f>
        <x:v>147000</x:v>
      </x:c>
      <x:c r="W285" s="14" t="n">
        <x:f>IF(A285='Run Snapshot'!A285,0,1)+IF(B285='Run Snapshot'!B285,0,1)+IF(C285='Run Snapshot'!C285,0,1)+IF(D285='Run Snapshot'!D285,0,1)+IF(E285='Run Snapshot'!E285,0,1)+IF(F285='Run Snapshot'!F285,0,1)+IF(G285='Run Snapshot'!G285,0,1)+IF(H285='Run Snapshot'!H285,0,1)+IF(I285='Run Snapshot'!I285,0,1)+IF(J285='Run Snapshot'!J285,0,1)+IF(K285='Run Snapshot'!K285,0,1)+IF(L285='Run Snapshot'!L285,0,1)+IF(M285='Run Snapshot'!M285,0,1)+IF(N285='Run Snapshot'!N285,0,1)+IF(O285='Run Snapshot'!O285,0,1)+IF(P285='Run Snapshot'!P285,0,1)+IF(Q285='Run Snapshot'!Q285,0,1)+IF(R285='Run Snapshot'!R285,0,1)</x:f>
        <x:v>0</x:v>
      </x:c>
      <x:c r="X285" s="15" t="n">
        <x:f>IF(A285="",0,COUNTIF($A$8:$A$289,A285)-1)</x:f>
        <x:v>0</x:v>
      </x:c>
      <x:c r="Y285" s="14" t="n">
        <x:f>IF(A285="",1,IF(OR(D285&lt;=0,N285&lt;0,N285&gt;1,M285&lt;=as_of_date),1,0))</x:f>
        <x:v>0</x:v>
      </x:c>
      <x:c r="Z285" s="170" t="n">
        <x:f>IF(A285="","",VLOOKUP(E285,SP_WARF_Factors,2,FALSE))</x:f>
        <x:v>1565.44</x:v>
      </x:c>
      <x:c r="AA285" s="172" t="n">
        <x:f>IF(A285="","",D285*Z285)</x:f>
        <x:v>613652480</x:v>
      </x:c>
      <x:c r="AB285" s="170" t="n">
        <x:f>IF(A285="","",D285*ABS(Z285-SPWARF))</x:f>
        <x:v>319063819.61066663</x:v>
      </x:c>
    </x:row>
    <x:row r="286">
      <x:c r="A286" s="8" t="str">
        <x:v>SYN-LN-00279</x:v>
      </x:c>
      <x:c r="B286" s="8" t="str">
        <x:v>SYN-OB-0268</x:v>
      </x:c>
      <x:c r="C286" s="8" t="str">
        <x:v>Oakmont Corp. 268</x:v>
      </x:c>
      <x:c r="D286" s="9" t="n">
        <x:v>780000</x:v>
      </x:c>
      <x:c r="E286" s="8" t="str">
        <x:v>BB-</x:v>
      </x:c>
      <x:c r="F286" s="8" t="str">
        <x:v>Food Products</x:v>
      </x:c>
      <x:c r="G286" s="8" t="str">
        <x:v>United States</x:v>
      </x:c>
      <x:c r="H286" s="8" t="str">
        <x:v>1st Lien</x:v>
      </x:c>
      <x:c r="I286" s="8" t="str">
        <x:v>Floating</x:v>
      </x:c>
      <x:c r="J286" s="8" t="n">
        <x:v>295</x:v>
      </x:c>
      <x:c r="K286" s="10"/>
      <x:c r="L286" s="8" t="n">
        <x:v>0</x:v>
      </x:c>
      <x:c r="M286" s="11" t="n">
        <x:v>48607</x:v>
      </x:c>
      <x:c r="N286" s="10" t="n">
        <x:v>0.47</x:v>
      </x:c>
      <x:c r="O286" s="12" t="n">
        <x:v>101.5</x:v>
      </x:c>
      <x:c r="P286" s="13" t="n">
        <x:v>4</x:v>
      </x:c>
      <x:c r="Q286" s="8" t="str">
        <x:v>USD</x:v>
      </x:c>
      <x:c r="R286" s="8" t="str">
        <x:v>SOFR</x:v>
      </x:c>
      <x:c r="S286" s="18" t="n">
        <x:f>IF(Portfolio_Par&gt;0,D286/Portfolio_Par,"")</x:f>
        <x:v>0.0026</x:v>
      </x:c>
      <x:c r="T286" s="19" t="n">
        <x:f>IF(A286="","",(M286-as_of_date)/365.25)</x:f>
        <x:v>6.075290896646133</x:v>
      </x:c>
      <x:c r="U286" s="20" t="n">
        <x:f>IF(I286="Floating",D286*J286,0)</x:f>
        <x:v>230100000</x:v>
      </x:c>
      <x:c r="V286" s="20" t="n">
        <x:f>IF(A286="","",D286*N286)</x:f>
        <x:v>366600</x:v>
      </x:c>
      <x:c r="W286" s="14" t="n">
        <x:f>IF(A286='Run Snapshot'!A286,0,1)+IF(B286='Run Snapshot'!B286,0,1)+IF(C286='Run Snapshot'!C286,0,1)+IF(D286='Run Snapshot'!D286,0,1)+IF(E286='Run Snapshot'!E286,0,1)+IF(F286='Run Snapshot'!F286,0,1)+IF(G286='Run Snapshot'!G286,0,1)+IF(H286='Run Snapshot'!H286,0,1)+IF(I286='Run Snapshot'!I286,0,1)+IF(J286='Run Snapshot'!J286,0,1)+IF(K286='Run Snapshot'!K286,0,1)+IF(L286='Run Snapshot'!L286,0,1)+IF(M286='Run Snapshot'!M286,0,1)+IF(N286='Run Snapshot'!N286,0,1)+IF(O286='Run Snapshot'!O286,0,1)+IF(P286='Run Snapshot'!P286,0,1)+IF(Q286='Run Snapshot'!Q286,0,1)+IF(R286='Run Snapshot'!R286,0,1)</x:f>
        <x:v>0</x:v>
      </x:c>
      <x:c r="X286" s="15" t="n">
        <x:f>IF(A286="",0,COUNTIF($A$8:$A$289,A286)-1)</x:f>
        <x:v>0</x:v>
      </x:c>
      <x:c r="Y286" s="14" t="n">
        <x:f>IF(A286="",1,IF(OR(D286&lt;=0,N286&lt;0,N286&gt;1,M286&lt;=as_of_date),1,0))</x:f>
        <x:v>0</x:v>
      </x:c>
      <x:c r="Z286" s="170" t="n">
        <x:f>IF(A286="","",VLOOKUP(E286,SP_WARF_Factors,2,FALSE))</x:f>
        <x:v>1565.44</x:v>
      </x:c>
      <x:c r="AA286" s="172" t="n">
        <x:f>IF(A286="","",D286*Z286)</x:f>
        <x:v>1221043200</x:v>
      </x:c>
      <x:c r="AB286" s="170" t="n">
        <x:f>IF(A286="","",D286*ABS(Z286-SPWARF))</x:f>
        <x:v>634871885.96</x:v>
      </x:c>
    </x:row>
    <x:row r="287">
      <x:c r="A287" s="8" t="str">
        <x:v>SYN-LN-00280</x:v>
      </x:c>
      <x:c r="B287" s="8" t="str">
        <x:v>SYN-OB-0268</x:v>
      </x:c>
      <x:c r="C287" s="8" t="str">
        <x:v>Oakmont Corp. 268</x:v>
      </x:c>
      <x:c r="D287" s="9" t="n">
        <x:v>402000</x:v>
      </x:c>
      <x:c r="E287" s="8" t="str">
        <x:v>BB-</x:v>
      </x:c>
      <x:c r="F287" s="8" t="str">
        <x:v>Food Products</x:v>
      </x:c>
      <x:c r="G287" s="8" t="str">
        <x:v>United States</x:v>
      </x:c>
      <x:c r="H287" s="8" t="str">
        <x:v>1st Lien</x:v>
      </x:c>
      <x:c r="I287" s="8" t="str">
        <x:v>Floating</x:v>
      </x:c>
      <x:c r="J287" s="8" t="n">
        <x:v>305</x:v>
      </x:c>
      <x:c r="K287" s="10"/>
      <x:c r="L287" s="8" t="n">
        <x:v>75</x:v>
      </x:c>
      <x:c r="M287" s="11" t="n">
        <x:v>48653</x:v>
      </x:c>
      <x:c r="N287" s="10" t="n">
        <x:v>0.47</x:v>
      </x:c>
      <x:c r="O287" s="12" t="n">
        <x:v>101.625</x:v>
      </x:c>
      <x:c r="P287" s="13" t="n">
        <x:v>4</x:v>
      </x:c>
      <x:c r="Q287" s="8" t="str">
        <x:v>USD</x:v>
      </x:c>
      <x:c r="R287" s="8" t="str">
        <x:v>SOFR</x:v>
      </x:c>
      <x:c r="S287" s="18" t="n">
        <x:f>IF(Portfolio_Par&gt;0,D287/Portfolio_Par,"")</x:f>
        <x:v>0.00134</x:v>
      </x:c>
      <x:c r="T287" s="19" t="n">
        <x:f>IF(A287="","",(M287-as_of_date)/365.25)</x:f>
        <x:v>6.201232032854209</x:v>
      </x:c>
      <x:c r="U287" s="20" t="n">
        <x:f>IF(I287="Floating",D287*J287,0)</x:f>
        <x:v>122610000</x:v>
      </x:c>
      <x:c r="V287" s="20" t="n">
        <x:f>IF(A287="","",D287*N287)</x:f>
        <x:v>188940</x:v>
      </x:c>
      <x:c r="W287" s="14" t="n">
        <x:f>IF(A287='Run Snapshot'!A287,0,1)+IF(B287='Run Snapshot'!B287,0,1)+IF(C287='Run Snapshot'!C287,0,1)+IF(D287='Run Snapshot'!D287,0,1)+IF(E287='Run Snapshot'!E287,0,1)+IF(F287='Run Snapshot'!F287,0,1)+IF(G287='Run Snapshot'!G287,0,1)+IF(H287='Run Snapshot'!H287,0,1)+IF(I287='Run Snapshot'!I287,0,1)+IF(J287='Run Snapshot'!J287,0,1)+IF(K287='Run Snapshot'!K287,0,1)+IF(L287='Run Snapshot'!L287,0,1)+IF(M287='Run Snapshot'!M287,0,1)+IF(N287='Run Snapshot'!N287,0,1)+IF(O287='Run Snapshot'!O287,0,1)+IF(P287='Run Snapshot'!P287,0,1)+IF(Q287='Run Snapshot'!Q287,0,1)+IF(R287='Run Snapshot'!R287,0,1)</x:f>
        <x:v>0</x:v>
      </x:c>
      <x:c r="X287" s="15" t="n">
        <x:f>IF(A287="",0,COUNTIF($A$8:$A$289,A287)-1)</x:f>
        <x:v>0</x:v>
      </x:c>
      <x:c r="Y287" s="14" t="n">
        <x:f>IF(A287="",1,IF(OR(D287&lt;=0,N287&lt;0,N287&gt;1,M287&lt;=as_of_date),1,0))</x:f>
        <x:v>0</x:v>
      </x:c>
      <x:c r="Z287" s="170" t="n">
        <x:f>IF(A287="","",VLOOKUP(E287,SP_WARF_Factors,2,FALSE))</x:f>
        <x:v>1565.44</x:v>
      </x:c>
      <x:c r="AA287" s="172" t="n">
        <x:f>IF(A287="","",D287*Z287)</x:f>
        <x:v>629306880</x:v>
      </x:c>
      <x:c r="AB287" s="170" t="n">
        <x:f>IF(A287="","",D287*ABS(Z287-SPWARF))</x:f>
        <x:v>327203202.764</x:v>
      </x:c>
    </x:row>
    <x:row r="288">
      <x:c r="A288" s="8" t="str">
        <x:v>SYN-LN-00281</x:v>
      </x:c>
      <x:c r="B288" s="8" t="str">
        <x:v>SYN-OB-0269</x:v>
      </x:c>
      <x:c r="C288" s="8" t="str">
        <x:v>Orchard Group 269</x:v>
      </x:c>
      <x:c r="D288" s="9" t="n">
        <x:v>1182000</x:v>
      </x:c>
      <x:c r="E288" s="8" t="str">
        <x:v>BB-</x:v>
      </x:c>
      <x:c r="F288" s="8" t="str">
        <x:v>Household Durables</x:v>
      </x:c>
      <x:c r="G288" s="8" t="str">
        <x:v>United States</x:v>
      </x:c>
      <x:c r="H288" s="8" t="str">
        <x:v>1st Lien</x:v>
      </x:c>
      <x:c r="I288" s="8" t="str">
        <x:v>Floating</x:v>
      </x:c>
      <x:c r="J288" s="8" t="n">
        <x:v>280</x:v>
      </x:c>
      <x:c r="K288" s="10"/>
      <x:c r="L288" s="8" t="n">
        <x:v>0</x:v>
      </x:c>
      <x:c r="M288" s="11" t="n">
        <x:v>47968</x:v>
      </x:c>
      <x:c r="N288" s="10" t="n">
        <x:v>0.475</x:v>
      </x:c>
      <x:c r="O288" s="12" t="n">
        <x:v>100.375</x:v>
      </x:c>
      <x:c r="P288" s="13" t="n">
        <x:v>4</x:v>
      </x:c>
      <x:c r="Q288" s="8" t="str">
        <x:v>USD</x:v>
      </x:c>
      <x:c r="R288" s="8" t="str">
        <x:v>SOFR</x:v>
      </x:c>
      <x:c r="S288" s="18" t="n">
        <x:f>IF(Portfolio_Par&gt;0,D288/Portfolio_Par,"")</x:f>
        <x:v>0.00394</x:v>
      </x:c>
      <x:c r="T288" s="19" t="n">
        <x:f>IF(A288="","",(M288-as_of_date)/365.25)</x:f>
        <x:v>4.32580424366872</x:v>
      </x:c>
      <x:c r="U288" s="20" t="n">
        <x:f>IF(I288="Floating",D288*J288,0)</x:f>
        <x:v>330960000</x:v>
      </x:c>
      <x:c r="V288" s="20" t="n">
        <x:f>IF(A288="","",D288*N288)</x:f>
        <x:v>561450</x:v>
      </x:c>
      <x:c r="W288" s="14" t="n">
        <x:f>IF(A288='Run Snapshot'!A288,0,1)+IF(B288='Run Snapshot'!B288,0,1)+IF(C288='Run Snapshot'!C288,0,1)+IF(D288='Run Snapshot'!D288,0,1)+IF(E288='Run Snapshot'!E288,0,1)+IF(F288='Run Snapshot'!F288,0,1)+IF(G288='Run Snapshot'!G288,0,1)+IF(H288='Run Snapshot'!H288,0,1)+IF(I288='Run Snapshot'!I288,0,1)+IF(J288='Run Snapshot'!J288,0,1)+IF(K288='Run Snapshot'!K288,0,1)+IF(L288='Run Snapshot'!L288,0,1)+IF(M288='Run Snapshot'!M288,0,1)+IF(N288='Run Snapshot'!N288,0,1)+IF(O288='Run Snapshot'!O288,0,1)+IF(P288='Run Snapshot'!P288,0,1)+IF(Q288='Run Snapshot'!Q288,0,1)+IF(R288='Run Snapshot'!R288,0,1)</x:f>
        <x:v>0</x:v>
      </x:c>
      <x:c r="X288" s="15" t="n">
        <x:f>IF(A288="",0,COUNTIF($A$8:$A$289,A288)-1)</x:f>
        <x:v>0</x:v>
      </x:c>
      <x:c r="Y288" s="14" t="n">
        <x:f>IF(A288="",1,IF(OR(D288&lt;=0,N288&lt;0,N288&gt;1,M288&lt;=as_of_date),1,0))</x:f>
        <x:v>0</x:v>
      </x:c>
      <x:c r="Z288" s="170" t="n">
        <x:f>IF(A288="","",VLOOKUP(E288,SP_WARF_Factors,2,FALSE))</x:f>
        <x:v>1565.44</x:v>
      </x:c>
      <x:c r="AA288" s="172" t="n">
        <x:f>IF(A288="","",D288*Z288)</x:f>
        <x:v>1850350080</x:v>
      </x:c>
      <x:c r="AB288" s="170" t="n">
        <x:f>IF(A288="","",D288*ABS(Z288-SPWARF))</x:f>
        <x:v>962075088.724</x:v>
      </x:c>
    </x:row>
    <x:row r="289">
      <x:c r="A289" s="8" t="str">
        <x:v>SYN-LN-00282</x:v>
      </x:c>
      <x:c r="B289" s="8" t="str">
        <x:v>SYN-OB-0270</x:v>
      </x:c>
      <x:c r="C289" s="8" t="str">
        <x:v>Pinecrest LLC 270</x:v>
      </x:c>
      <x:c r="D289" s="9" t="n">
        <x:v>1182000</x:v>
      </x:c>
      <x:c r="E289" s="8" t="str">
        <x:v>B-</x:v>
      </x:c>
      <x:c r="F289" s="8" t="str">
        <x:v>Pharmaceuticals</x:v>
      </x:c>
      <x:c r="G289" s="8" t="str">
        <x:v>Luxembourg</x:v>
      </x:c>
      <x:c r="H289" s="8" t="str">
        <x:v>1st Lien</x:v>
      </x:c>
      <x:c r="I289" s="8" t="str">
        <x:v>Floating</x:v>
      </x:c>
      <x:c r="J289" s="8" t="n">
        <x:v>435</x:v>
      </x:c>
      <x:c r="K289" s="10"/>
      <x:c r="L289" s="8" t="n">
        <x:v>0</x:v>
      </x:c>
      <x:c r="M289" s="11" t="n">
        <x:v>47314</x:v>
      </x:c>
      <x:c r="N289" s="10" t="n">
        <x:v>0.435</x:v>
      </x:c>
      <x:c r="O289" s="12" t="n">
        <x:v>100.375</x:v>
      </x:c>
      <x:c r="P289" s="13" t="n">
        <x:v>4</x:v>
      </x:c>
      <x:c r="Q289" s="8" t="str">
        <x:v>USD</x:v>
      </x:c>
      <x:c r="R289" s="8" t="str">
        <x:v>SOFR</x:v>
      </x:c>
      <x:c r="S289" s="18" t="n">
        <x:f>IF(Portfolio_Par&gt;0,D289/Portfolio_Par,"")</x:f>
        <x:v>0.00394</x:v>
      </x:c>
      <x:c r="T289" s="19" t="n">
        <x:f>IF(A289="","",(M289-as_of_date)/365.25)</x:f>
        <x:v>2.535249828884326</x:v>
      </x:c>
      <x:c r="U289" s="20" t="n">
        <x:f>IF(I289="Floating",D289*J289,0)</x:f>
        <x:v>514170000</x:v>
      </x:c>
      <x:c r="V289" s="20" t="n">
        <x:f>IF(A289="","",D289*N289)</x:f>
        <x:v>514170</x:v>
      </x:c>
      <x:c r="W289" s="14" t="n">
        <x:f>IF(A289='Run Snapshot'!A289,0,1)+IF(B289='Run Snapshot'!B289,0,1)+IF(C289='Run Snapshot'!C289,0,1)+IF(D289='Run Snapshot'!D289,0,1)+IF(E289='Run Snapshot'!E289,0,1)+IF(F289='Run Snapshot'!F289,0,1)+IF(G289='Run Snapshot'!G289,0,1)+IF(H289='Run Snapshot'!H289,0,1)+IF(I289='Run Snapshot'!I289,0,1)+IF(J289='Run Snapshot'!J289,0,1)+IF(K289='Run Snapshot'!K289,0,1)+IF(L289='Run Snapshot'!L289,0,1)+IF(M289='Run Snapshot'!M289,0,1)+IF(N289='Run Snapshot'!N289,0,1)+IF(O289='Run Snapshot'!O289,0,1)+IF(P289='Run Snapshot'!P289,0,1)+IF(Q289='Run Snapshot'!Q289,0,1)+IF(R289='Run Snapshot'!R289,0,1)</x:f>
        <x:v>0</x:v>
      </x:c>
      <x:c r="X289" s="15" t="n">
        <x:f>IF(A289="",0,COUNTIF($A$8:$A$289,A289)-1)</x:f>
        <x:v>0</x:v>
      </x:c>
      <x:c r="Y289" s="14" t="n">
        <x:f>IF(A289="",1,IF(OR(D289&lt;=0,N289&lt;0,N289&gt;1,M289&lt;=as_of_date),1,0))</x:f>
        <x:v>0</x:v>
      </x:c>
      <x:c r="Z289" s="170" t="n">
        <x:f>IF(A289="","",VLOOKUP(E289,SP_WARF_Factors,2,FALSE))</x:f>
        <x:v>3610.11</x:v>
      </x:c>
      <x:c r="AA289" s="172" t="n">
        <x:f>IF(A289="","",D289*Z289)</x:f>
        <x:v>4267150020</x:v>
      </x:c>
      <x:c r="AB289" s="170" t="n">
        <x:f>IF(A289="","",D289*ABS(Z289-SPWARF))</x:f>
        <x:v>1454724851.276</x:v>
      </x:c>
    </x:row>
  </x:sheetData>
  <x:pageMargins left="0.7" right="0.7" top="0.75" bottom="0.75" header="0.3" footer="0.3"/>
  <x:tableParts count="1">
    <x:tablePart xmlns:r="http://schemas.openxmlformats.org/officeDocument/2006/relationships" r:id="R428a23a1e14d4d50"/>
  </x:tableParts>
</x:worksheet>
</file>

<file path=xl/worksheets/sheet5.xml><?xml version="1.0" encoding="utf-8"?>
<x:worksheet xmlns:x="http://schemas.openxmlformats.org/spreadsheetml/2006/main">
  <x:sheetPr>
    <x:tabColor rgb="FFD6A43A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52" hidden="0" customWidth="1"/>
    <x:col min="4" max="4" width="24" hidden="0" customWidth="1"/>
    <x:col min="5" max="5" width="24" hidden="0" customWidth="1"/>
    <x:col min="6" max="6" width="17" hidden="0" customWidth="1"/>
    <x:col min="7" max="7" width="12" hidden="0" customWidth="1"/>
    <x:col min="8" max="8" width="71" hidden="0" customWidth="1"/>
  </x:cols>
  <x:sheetData>
    <x:row r="1">
      <x:c r="A1" s="23"/>
      <x:c r="B1" s="23"/>
      <x:c r="C1" s="113" t="str">
        <x:v>Shared deal inputs</x:v>
      </x:c>
      <x:c r="D1" s="23"/>
      <x:c r="E1" s="23"/>
      <x:c r="F1" s="23"/>
      <x:c r="G1" s="23"/>
      <x:c r="H1" s="23"/>
    </x:row>
    <x:row r="2">
      <x:c r="A2" s="23"/>
      <x:c r="B2" s="23"/>
      <x:c r="C2" s="24" t="str">
        <x:v>Assumptions</x:v>
      </x:c>
      <x:c r="D2" s="25"/>
      <x:c r="E2" s="25"/>
      <x:c r="F2" s="25"/>
      <x:c r="G2" s="25"/>
      <x:c r="H2" s="25"/>
    </x:row>
    <x:row r="3" ht="22" customHeight="1">
      <x:c r="A3" s="23"/>
      <x:c r="B3" s="23"/>
      <x:c r="C3" s="26" t="str">
        <x:v>Blue / amber = editable; grey = value used in the last Python run</x:v>
      </x:c>
      <x:c r="D3" s="23"/>
      <x:c r="E3" s="23"/>
      <x:c r="F3" s="23"/>
      <x:c r="G3" s="23"/>
      <x:c r="H3" s="23"/>
    </x:row>
    <x:row r="4">
      <x:c r="A4" s="23"/>
      <x:c r="B4" s="23"/>
      <x:c r="C4" s="23"/>
      <x:c r="D4" s="23"/>
      <x:c r="E4" s="23"/>
      <x:c r="F4" s="23"/>
      <x:c r="G4" s="23"/>
      <x:c r="H4" s="23"/>
    </x:row>
    <x:row r="5">
      <x:c r="A5" s="23"/>
      <x:c r="B5" s="23"/>
      <x:c r="C5" s="23"/>
      <x:c r="D5" s="23"/>
      <x:c r="E5" s="23"/>
      <x:c r="F5" s="23"/>
      <x:c r="G5" s="23"/>
      <x:c r="H5" s="23"/>
    </x:row>
    <x:row r="6">
      <x:c r="A6" s="23"/>
      <x:c r="B6" s="23"/>
      <x:c r="C6" s="23"/>
      <x:c r="D6" s="23"/>
      <x:c r="E6" s="23"/>
      <x:c r="F6" s="23"/>
      <x:c r="G6" s="23"/>
      <x:c r="H6" s="23"/>
    </x:row>
    <x:row r="7" ht="38" customHeight="1">
      <x:c r="A7" s="23"/>
      <x:c r="B7" s="23"/>
      <x:c r="C7" s="7" t="str">
        <x:v>Key / named range</x:v>
      </x:c>
      <x:c r="D7" s="7" t="str">
        <x:v>Current value</x:v>
      </x:c>
      <x:c r="E7" s="7" t="str">
        <x:v>Last run value</x:v>
      </x:c>
      <x:c r="F7" s="7" t="str">
        <x:v>Unit</x:v>
      </x:c>
      <x:c r="G7" s="7" t="str">
        <x:v>Changed</x:v>
      </x:c>
      <x:c r="H7" s="7" t="str">
        <x:v>Provenance / meaning</x:v>
      </x:c>
    </x:row>
    <x:row r="8" ht="40" customHeight="1">
      <x:c r="A8" s="23"/>
      <x:c r="B8" s="23"/>
      <x:c r="C8" s="33" t="str">
        <x:v>as_of_date</x:v>
      </x:c>
      <x:c r="D8" s="53" t="n">
        <x:v>46388</x:v>
      </x:c>
      <x:c r="E8" s="59" t="n">
        <x:v>46388</x:v>
      </x:c>
      <x:c r="F8" s="23" t="str">
        <x:v>date</x:v>
      </x:c>
      <x:c r="G8" s="23" t="n">
        <x:f>IF(D8=E8,0,1)</x:f>
        <x:v>0</x:v>
      </x:c>
      <x:c r="H8" s="33" t="str">
        <x:v>Supplied fictional portfolio Overview</x:v>
      </x:c>
    </x:row>
    <x:row r="9" ht="40" customHeight="1">
      <x:c r="A9" s="150"/>
      <x:c r="B9" s="150"/>
      <x:c r="C9" s="33" t="str">
        <x:v>legal_final_date</x:v>
      </x:c>
      <x:c r="D9" s="53" t="n">
        <x:v>50771</x:v>
      </x:c>
      <x:c r="E9" s="59" t="n">
        <x:v>50771</x:v>
      </x:c>
      <x:c r="F9" s="23" t="str">
        <x:v>date</x:v>
      </x:c>
      <x:c r="G9" s="23" t="n">
        <x:f>IF(D9=E9,0,1)</x:f>
        <x:v>0</x:v>
      </x:c>
      <x:c r="H9" s="33" t="str">
        <x:v>Fictional development assumption; review before use</x:v>
      </x:c>
    </x:row>
    <x:row r="10" ht="40" customHeight="1">
      <x:c r="A10" s="150"/>
      <x:c r="B10" s="150"/>
      <x:c r="C10" s="33" t="str">
        <x:v>currency</x:v>
      </x:c>
      <x:c r="D10" s="54" t="str">
        <x:v>USD</x:v>
      </x:c>
      <x:c r="E10" s="28" t="str">
        <x:v>USD</x:v>
      </x:c>
      <x:c r="F10" s="23" t="str">
        <x:v>text / flag</x:v>
      </x:c>
      <x:c r="G10" s="23" t="n">
        <x:f>IF(D10=E10,0,1)</x:f>
        <x:v>0</x:v>
      </x:c>
      <x:c r="H10" s="33" t="str">
        <x:v>Supplied fictional portfolio</x:v>
      </x:c>
    </x:row>
    <x:row r="11" ht="40" customHeight="1">
      <x:c r="A11" s="150"/>
      <x:c r="B11" s="150"/>
      <x:c r="C11" s="33" t="str">
        <x:v>benchmark</x:v>
      </x:c>
      <x:c r="D11" s="54" t="str">
        <x:v>SOFR</x:v>
      </x:c>
      <x:c r="E11" s="28" t="str">
        <x:v>SOFR</x:v>
      </x:c>
      <x:c r="F11" s="23" t="str">
        <x:v>text / flag</x:v>
      </x:c>
      <x:c r="G11" s="23" t="n">
        <x:f>IF(D11=E11,0,1)</x:f>
        <x:v>0</x:v>
      </x:c>
      <x:c r="H11" s="33" t="str">
        <x:v>Supplied fictional portfolio</x:v>
      </x:c>
    </x:row>
    <x:row r="12" ht="40" customHeight="1">
      <x:c r="A12" s="150"/>
      <x:c r="B12" s="150"/>
      <x:c r="C12" s="33" t="str">
        <x:v>base_senior_pct</x:v>
      </x:c>
      <x:c r="D12" s="55" t="n">
        <x:v>0.64</x:v>
      </x:c>
      <x:c r="E12" s="60" t="n">
        <x:v>0.64</x:v>
      </x:c>
      <x:c r="F12" s="23" t="str">
        <x:v>fraction</x:v>
      </x:c>
      <x:c r="G12" s="23" t="n">
        <x:f>IF(D12=E12,0,1)</x:f>
        <x:v>0</x:v>
      </x:c>
      <x:c r="H12" s="33" t="str">
        <x:v>User instruction</x:v>
      </x:c>
    </x:row>
    <x:row r="13" ht="40" customHeight="1">
      <x:c r="A13" s="150"/>
      <x:c r="B13" s="150"/>
      <x:c r="C13" s="33" t="str">
        <x:v>equity_pct</x:v>
      </x:c>
      <x:c r="D13" s="55" t="n">
        <x:v>0.1</x:v>
      </x:c>
      <x:c r="E13" s="60" t="n">
        <x:v>0.1</x:v>
      </x:c>
      <x:c r="F13" s="23" t="str">
        <x:v>fraction</x:v>
      </x:c>
      <x:c r="G13" s="23" t="n">
        <x:f>IF(D13=E13,0,1)</x:f>
        <x:v>0</x:v>
      </x:c>
      <x:c r="H13" s="33" t="str">
        <x:v>User confirmed 10%; junior residual</x:v>
      </x:c>
    </x:row>
    <x:row r="14" ht="40" customHeight="1">
      <x:c r="A14" s="150"/>
      <x:c r="B14" s="150"/>
      <x:c r="C14" s="33" t="str">
        <x:v>senior_coupon_bps</x:v>
      </x:c>
      <x:c r="D14" s="54" t="n">
        <x:v>140</x:v>
      </x:c>
      <x:c r="E14" s="28" t="n">
        <x:v>140</x:v>
      </x:c>
      <x:c r="F14" s="23" t="str">
        <x:v>bps / year</x:v>
      </x:c>
      <x:c r="G14" s="23" t="n">
        <x:f>IF(D14=E14,0,1)</x:f>
        <x:v>0</x:v>
      </x:c>
      <x:c r="H14" s="33" t="str">
        <x:v>Fictional development assumption; review before use</x:v>
      </x:c>
    </x:row>
    <x:row r="15" ht="40" customHeight="1">
      <x:c r="A15" s="150"/>
      <x:c r="B15" s="150"/>
      <x:c r="C15" s="33" t="str">
        <x:v>junior_coupon_bps</x:v>
      </x:c>
      <x:c r="D15" s="54" t="n">
        <x:v>550</x:v>
      </x:c>
      <x:c r="E15" s="28" t="n">
        <x:v>550</x:v>
      </x:c>
      <x:c r="F15" s="23" t="str">
        <x:v>bps / year</x:v>
      </x:c>
      <x:c r="G15" s="23" t="n">
        <x:f>IF(D15=E15,0,1)</x:f>
        <x:v>0</x:v>
      </x:c>
      <x:c r="H15" s="33" t="str">
        <x:v>Fictional development assumption; review before use</x:v>
      </x:c>
    </x:row>
    <x:row r="16" ht="40" customHeight="1">
      <x:c r="A16" s="150"/>
      <x:c r="B16" s="150"/>
      <x:c r="C16" s="33" t="str">
        <x:v>senior_floor_pct</x:v>
      </x:c>
      <x:c r="D16" s="55" t="n">
        <x:v>0</x:v>
      </x:c>
      <x:c r="E16" s="60" t="n">
        <x:v>0</x:v>
      </x:c>
      <x:c r="F16" s="23" t="str">
        <x:v>fraction</x:v>
      </x:c>
      <x:c r="G16" s="23" t="n">
        <x:f>IF(D16=E16,0,1)</x:f>
        <x:v>0</x:v>
      </x:c>
      <x:c r="H16" s="33" t="str">
        <x:v>Fictional development assumption; review before use</x:v>
      </x:c>
    </x:row>
    <x:row r="17" ht="40" customHeight="1">
      <x:c r="A17" s="150"/>
      <x:c r="B17" s="150"/>
      <x:c r="C17" s="33" t="str">
        <x:v>junior_floor_pct</x:v>
      </x:c>
      <x:c r="D17" s="55" t="n">
        <x:v>0</x:v>
      </x:c>
      <x:c r="E17" s="60" t="n">
        <x:v>0</x:v>
      </x:c>
      <x:c r="F17" s="23" t="str">
        <x:v>fraction</x:v>
      </x:c>
      <x:c r="G17" s="23" t="n">
        <x:f>IF(D17=E17,0,1)</x:f>
        <x:v>0</x:v>
      </x:c>
      <x:c r="H17" s="33" t="str">
        <x:v>Fictional development assumption; review before use</x:v>
      </x:c>
    </x:row>
    <x:row r="18" ht="40" customHeight="1">
      <x:c r="A18" s="150"/>
      <x:c r="B18" s="150"/>
      <x:c r="C18" s="33" t="str">
        <x:v>senior_fee_bps</x:v>
      </x:c>
      <x:c r="D18" s="54" t="n">
        <x:v>35</x:v>
      </x:c>
      <x:c r="E18" s="28" t="n">
        <x:v>35</x:v>
      </x:c>
      <x:c r="F18" s="23" t="str">
        <x:v>bps / year</x:v>
      </x:c>
      <x:c r="G18" s="23" t="n">
        <x:f>IF(D18=E18,0,1)</x:f>
        <x:v>0</x:v>
      </x:c>
      <x:c r="H18" s="33" t="str">
        <x:v>Fictional development assumption; review before use</x:v>
      </x:c>
    </x:row>
    <x:row r="19" ht="40" customHeight="1">
      <x:c r="A19" s="150"/>
      <x:c r="B19" s="150"/>
      <x:c r="C19" s="33" t="str">
        <x:v>fixed_fee_per_period</x:v>
      </x:c>
      <x:c r="D19" s="54" t="n">
        <x:v>0</x:v>
      </x:c>
      <x:c r="E19" s="28" t="n">
        <x:v>0</x:v>
      </x:c>
      <x:c r="F19" s="23" t="str">
        <x:v>USD/quarter</x:v>
      </x:c>
      <x:c r="G19" s="23" t="n">
        <x:f>IF(D19=E19,0,1)</x:f>
        <x:v>0</x:v>
      </x:c>
      <x:c r="H19" s="33" t="str">
        <x:v>Fictional development assumption; review before use</x:v>
      </x:c>
    </x:row>
    <x:row r="20" ht="40" customHeight="1">
      <x:c r="A20" s="150"/>
      <x:c r="B20" s="150"/>
      <x:c r="C20" s="33" t="str">
        <x:v>subordinated_fee_bps</x:v>
      </x:c>
      <x:c r="D20" s="54" t="n">
        <x:v>15</x:v>
      </x:c>
      <x:c r="E20" s="28" t="n">
        <x:v>15</x:v>
      </x:c>
      <x:c r="F20" s="23" t="str">
        <x:v>bps / year</x:v>
      </x:c>
      <x:c r="G20" s="23" t="n">
        <x:f>IF(D20=E20,0,1)</x:f>
        <x:v>0</x:v>
      </x:c>
      <x:c r="H20" s="33" t="str">
        <x:v>Fictional development assumption; review before use</x:v>
      </x:c>
    </x:row>
    <x:row r="21" ht="40" customHeight="1">
      <x:c r="A21" s="150"/>
      <x:c r="B21" s="150"/>
      <x:c r="C21" s="33" t="str">
        <x:v>oc_trigger</x:v>
      </x:c>
      <x:c r="D21" s="56" t="n">
        <x:v>1.25</x:v>
      </x:c>
      <x:c r="E21" s="61" t="n">
        <x:v>1.25</x:v>
      </x:c>
      <x:c r="F21" s="23" t="str">
        <x:v>multiple</x:v>
      </x:c>
      <x:c r="G21" s="23" t="n">
        <x:f>IF(D21=E21,0,1)</x:f>
        <x:v>0</x:v>
      </x:c>
      <x:c r="H21" s="33" t="str">
        <x:v>Fictional development assumption; review before use</x:v>
      </x:c>
    </x:row>
    <x:row r="22" ht="40" customHeight="1">
      <x:c r="A22" s="150"/>
      <x:c r="B22" s="150"/>
      <x:c r="C22" s="33" t="str">
        <x:v>ic_trigger</x:v>
      </x:c>
      <x:c r="D22" s="56" t="n">
        <x:v>1.2</x:v>
      </x:c>
      <x:c r="E22" s="61" t="n">
        <x:v>1.2</x:v>
      </x:c>
      <x:c r="F22" s="23" t="str">
        <x:v>multiple</x:v>
      </x:c>
      <x:c r="G22" s="23" t="n">
        <x:f>IF(D22=E22,0,1)</x:f>
        <x:v>0</x:v>
      </x:c>
      <x:c r="H22" s="33" t="str">
        <x:v>Fictional development assumption; review before use</x:v>
      </x:c>
    </x:row>
    <x:row r="23" ht="40" customHeight="1">
      <x:c r="A23" s="150"/>
      <x:c r="B23" s="150"/>
      <x:c r="C23" s="33" t="str">
        <x:v>recovery_lag_quarters</x:v>
      </x:c>
      <x:c r="D23" s="54" t="n">
        <x:v>4</x:v>
      </x:c>
      <x:c r="E23" s="28" t="n">
        <x:v>4</x:v>
      </x:c>
      <x:c r="F23" s="23" t="str">
        <x:v>quarters</x:v>
      </x:c>
      <x:c r="G23" s="23" t="n">
        <x:f>IF(D23=E23,0,1)</x:f>
        <x:v>0</x:v>
      </x:c>
      <x:c r="H23" s="33" t="str">
        <x:v>Fictional development assumption; review before use</x:v>
      </x:c>
    </x:row>
    <x:row r="24" ht="40" customHeight="1">
      <x:c r="A24" s="150"/>
      <x:c r="B24" s="150"/>
      <x:c r="C24" s="33" t="str">
        <x:v>annual_prepayment_rate</x:v>
      </x:c>
      <x:c r="D24" s="55" t="n">
        <x:v>0</x:v>
      </x:c>
      <x:c r="E24" s="60" t="n">
        <x:v>0</x:v>
      </x:c>
      <x:c r="F24" s="23" t="str">
        <x:v>fraction</x:v>
      </x:c>
      <x:c r="G24" s="23" t="n">
        <x:f>IF(D24=E24,0,1)</x:f>
        <x:v>0</x:v>
      </x:c>
      <x:c r="H24" s="33" t="str">
        <x:v>Fictional development assumption; review before use</x:v>
      </x:c>
    </x:row>
    <x:row r="25" ht="40" customHeight="1">
      <x:c r="A25" s="150"/>
      <x:c r="B25" s="150"/>
      <x:c r="C25" s="33" t="str">
        <x:v>reinvestment_end_date</x:v>
      </x:c>
      <x:c r="D25" s="53" t="n">
        <x:v>46388</x:v>
      </x:c>
      <x:c r="E25" s="59" t="n">
        <x:v>46388</x:v>
      </x:c>
      <x:c r="F25" s="23" t="str">
        <x:v>date</x:v>
      </x:c>
      <x:c r="G25" s="23" t="n">
        <x:f>IF(D25=E25,0,1)</x:f>
        <x:v>0</x:v>
      </x:c>
      <x:c r="H25" s="33" t="str">
        <x:v>Fictional development assumption; review before use</x:v>
      </x:c>
    </x:row>
    <x:row r="26" ht="40" customHeight="1">
      <x:c r="A26" s="150"/>
      <x:c r="B26" s="150"/>
      <x:c r="C26" s="33" t="str">
        <x:v>reinvestment_price</x:v>
      </x:c>
      <x:c r="D26" s="55" t="n">
        <x:v>1</x:v>
      </x:c>
      <x:c r="E26" s="60" t="n">
        <x:v>1</x:v>
      </x:c>
      <x:c r="F26" s="23" t="str">
        <x:v>fraction</x:v>
      </x:c>
      <x:c r="G26" s="23" t="n">
        <x:f>IF(D26=E26,0,1)</x:f>
        <x:v>0</x:v>
      </x:c>
      <x:c r="H26" s="33" t="str">
        <x:v>Fictional development assumption; review before use</x:v>
      </x:c>
    </x:row>
    <x:row r="27" ht="40" customHeight="1">
      <x:c r="A27" s="150"/>
      <x:c r="B27" s="150"/>
      <x:c r="C27" s="33" t="str">
        <x:v>reinvestment_spread_bps</x:v>
      </x:c>
      <x:c r="D27" s="54" t="n">
        <x:v>350</x:v>
      </x:c>
      <x:c r="E27" s="28" t="n">
        <x:v>350</x:v>
      </x:c>
      <x:c r="F27" s="23" t="str">
        <x:v>bps / year</x:v>
      </x:c>
      <x:c r="G27" s="23" t="n">
        <x:f>IF(D27=E27,0,1)</x:f>
        <x:v>0</x:v>
      </x:c>
      <x:c r="H27" s="33" t="str">
        <x:v>Fictional development assumption; review before use</x:v>
      </x:c>
    </x:row>
    <x:row r="28" ht="40" customHeight="1">
      <x:c r="A28" s="150"/>
      <x:c r="B28" s="150"/>
      <x:c r="C28" s="33" t="str">
        <x:v>reinvestment_recovery</x:v>
      </x:c>
      <x:c r="D28" s="55" t="n">
        <x:v>0.4</x:v>
      </x:c>
      <x:c r="E28" s="60" t="n">
        <x:v>0.4</x:v>
      </x:c>
      <x:c r="F28" s="23" t="str">
        <x:v>fraction</x:v>
      </x:c>
      <x:c r="G28" s="23" t="n">
        <x:f>IF(D28=E28,0,1)</x:f>
        <x:v>0</x:v>
      </x:c>
      <x:c r="H28" s="33" t="str">
        <x:v>Fictional development assumption; review before use</x:v>
      </x:c>
    </x:row>
    <x:row r="29" ht="40" customHeight="1">
      <x:c r="A29" s="150"/>
      <x:c r="B29" s="150"/>
      <x:c r="C29" s="33" t="str">
        <x:v>reinvestment_maturity_years</x:v>
      </x:c>
      <x:c r="D29" s="54" t="n">
        <x:v>5</x:v>
      </x:c>
      <x:c r="E29" s="28" t="n">
        <x:v>5</x:v>
      </x:c>
      <x:c r="F29" s="23" t="str">
        <x:v>years</x:v>
      </x:c>
      <x:c r="G29" s="23" t="n">
        <x:f>IF(D29=E29,0,1)</x:f>
        <x:v>0</x:v>
      </x:c>
      <x:c r="H29" s="33" t="str">
        <x:v>Fictional development assumption; review before use</x:v>
      </x:c>
    </x:row>
    <x:row r="30" ht="40" customHeight="1">
      <x:c r="A30" s="150"/>
      <x:c r="B30" s="150"/>
      <x:c r="C30" s="33" t="str">
        <x:v>reinvestment_floor_bps</x:v>
      </x:c>
      <x:c r="D30" s="54" t="n">
        <x:v>0</x:v>
      </x:c>
      <x:c r="E30" s="28" t="n">
        <x:v>0</x:v>
      </x:c>
      <x:c r="F30" s="23" t="str">
        <x:v>bps / year</x:v>
      </x:c>
      <x:c r="G30" s="23" t="n">
        <x:f>IF(D30=E30,0,1)</x:f>
        <x:v>0</x:v>
      </x:c>
      <x:c r="H30" s="33" t="str">
        <x:v>Fictional development assumption; review before use</x:v>
      </x:c>
    </x:row>
    <x:row r="31" ht="40" customHeight="1">
      <x:c r="A31" s="150"/>
      <x:c r="B31" s="150"/>
      <x:c r="C31" s="33" t="str">
        <x:v>principal_support_interest</x:v>
      </x:c>
      <x:c r="D31" s="57" t="b">
        <x:v>1</x:v>
      </x:c>
      <x:c r="E31" s="62" t="b">
        <x:v>1</x:v>
      </x:c>
      <x:c r="F31" s="23" t="str">
        <x:v>flag</x:v>
      </x:c>
      <x:c r="G31" s="23" t="n">
        <x:f>IF(D31=E31,0,1)</x:f>
        <x:v>0</x:v>
      </x:c>
      <x:c r="H31" s="33" t="str">
        <x:v>Fictional development assumption; review before use</x:v>
      </x:c>
    </x:row>
    <x:row r="32" ht="40" customHeight="1">
      <x:c r="A32" s="150"/>
      <x:c r="B32" s="150"/>
      <x:c r="C32" s="33" t="str">
        <x:v>final_liquidation_price</x:v>
      </x:c>
      <x:c r="D32" s="55" t="n">
        <x:v>1</x:v>
      </x:c>
      <x:c r="E32" s="60" t="n">
        <x:v>1</x:v>
      </x:c>
      <x:c r="F32" s="23" t="str">
        <x:v>fraction</x:v>
      </x:c>
      <x:c r="G32" s="23" t="n">
        <x:f>IF(D32=E32,0,1)</x:f>
        <x:v>0</x:v>
      </x:c>
      <x:c r="H32" s="33" t="str">
        <x:v>Fictional development assumption; review before use</x:v>
      </x:c>
    </x:row>
    <x:row r="33" ht="40" customHeight="1">
      <x:c r="A33" s="150"/>
      <x:c r="B33" s="150"/>
      <x:c r="C33" s="33" t="str">
        <x:v>oc_recovery_credit</x:v>
      </x:c>
      <x:c r="D33" s="55" t="n">
        <x:v>0</x:v>
      </x:c>
      <x:c r="E33" s="60" t="n">
        <x:v>0</x:v>
      </x:c>
      <x:c r="F33" s="23" t="str">
        <x:v>fraction</x:v>
      </x:c>
      <x:c r="G33" s="23" t="n">
        <x:f>IF(D33=E33,0,1)</x:f>
        <x:v>0</x:v>
      </x:c>
      <x:c r="H33" s="33" t="str">
        <x:v>Fictional development assumption; review before use</x:v>
      </x:c>
    </x:row>
    <x:row r="34" ht="40" customHeight="1">
      <x:c r="A34" s="150"/>
      <x:c r="B34" s="150"/>
      <x:c r="C34" s="33" t="str">
        <x:v>reinvestment_stop_on_trigger</x:v>
      </x:c>
      <x:c r="D34" s="58" t="b">
        <x:v>1</x:v>
      </x:c>
      <x:c r="E34" s="63" t="b">
        <x:v>1</x:v>
      </x:c>
      <x:c r="F34" s="23" t="str">
        <x:v>flag</x:v>
      </x:c>
      <x:c r="G34" s="23" t="n">
        <x:f>IF(D34=E34,0,1)</x:f>
        <x:v>0</x:v>
      </x:c>
      <x:c r="H34" s="33" t="str">
        <x:v>Fictional development assumption; review before use</x:v>
      </x:c>
    </x:row>
    <x:row r="35" ht="40" customHeight="1">
      <x:c r="A35" s="150"/>
      <x:c r="B35" s="150"/>
      <x:c r="C35" s="33" t="str">
        <x:v>base_default_rate</x:v>
      </x:c>
      <x:c r="D35" s="55" t="n">
        <x:v>0.3</x:v>
      </x:c>
      <x:c r="E35" s="60" t="n">
        <x:v>0.3</x:v>
      </x:c>
      <x:c r="F35" s="23" t="str">
        <x:v>fraction</x:v>
      </x:c>
      <x:c r="G35" s="23" t="n">
        <x:f>IF(D35=E35,0,1)</x:f>
        <x:v>0</x:v>
      </x:c>
      <x:c r="H35" s="33" t="str">
        <x:v>Fictional development assumption; review before use</x:v>
      </x:c>
    </x:row>
    <x:row r="36" ht="40" customHeight="1">
      <x:c r="A36" s="150"/>
      <x:c r="B36" s="150"/>
      <x:c r="C36" s="33" t="str">
        <x:v>base_scenario_id</x:v>
      </x:c>
      <x:c r="D36" s="54" t="str">
        <x:v>front_flat</x:v>
      </x:c>
      <x:c r="E36" s="28" t="str">
        <x:v>front_flat</x:v>
      </x:c>
      <x:c r="F36" s="23" t="str">
        <x:v>text / flag</x:v>
      </x:c>
      <x:c r="G36" s="23" t="n">
        <x:f>IF(D36=E36,0,1)</x:f>
        <x:v>0</x:v>
      </x:c>
      <x:c r="H36" s="33" t="str">
        <x:v>Fictional development assumption; review before use</x:v>
      </x:c>
    </x:row>
    <x:row r="37" ht="40" customHeight="1">
      <x:c r="A37" s="150"/>
      <x:c r="B37" s="150"/>
      <x:c r="C37" s="33" t="str">
        <x:v>agency_sdr_aaa</x:v>
      </x:c>
      <x:c r="D37" s="55"/>
      <x:c r="E37" s="60"/>
      <x:c r="F37" s="23" t="str">
        <x:v>fraction</x:v>
      </x:c>
      <x:c r="G37" s="23" t="n">
        <x:f>IF(D37=E37,0,1)</x:f>
        <x:v>0</x:v>
      </x:c>
      <x:c r="H37" s="33" t="str">
        <x:v>Unavailable</x:v>
      </x:c>
    </x:row>
    <x:row r="38" ht="86" customHeight="1">
      <x:c r="A38" s="150"/>
      <x:c r="B38" s="150"/>
      <x:c r="C38" s="33" t="str">
        <x:v>agency_sdr_source</x:v>
      </x:c>
      <x:c r="D38" s="149" t="str">
        <x:v>Not supplied; no CDO Evaluator SDR calculated</x:v>
      </x:c>
      <x:c r="E38" s="99" t="str">
        <x:v>Not supplied; no CDO Evaluator SDR calculated</x:v>
      </x:c>
      <x:c r="F38" s="23" t="str">
        <x:v>text / flag</x:v>
      </x:c>
      <x:c r="G38" s="23" t="n">
        <x:f>IF(D38=E38,0,1)</x:f>
        <x:v>0</x:v>
      </x:c>
      <x:c r="H38" s="33" t="str">
        <x:v>Fictional development assumption; review before use</x:v>
      </x:c>
    </x:row>
    <x:row r="39" ht="40" customHeight="1">
      <x:c r="A39" s="150"/>
      <x:c r="B39" s="150"/>
      <x:c r="C39" s="33" t="str">
        <x:v>scenario.front_flat.recovery_multiplier</x:v>
      </x:c>
      <x:c r="D39" s="56" t="n">
        <x:v>1</x:v>
      </x:c>
      <x:c r="E39" s="61" t="n">
        <x:v>1</x:v>
      </x:c>
      <x:c r="F39" s="23" t="str">
        <x:v>multiple</x:v>
      </x:c>
      <x:c r="G39" s="23" t="n">
        <x:f>IF(D39=E39,0,1)</x:f>
        <x:v>0</x:v>
      </x:c>
      <x:c r="H39" s="33" t="str">
        <x:v>Fictional front_flat scenario input; overrides the global setting</x:v>
      </x:c>
    </x:row>
    <x:row r="40" ht="40" customHeight="1">
      <x:c r="A40" s="150"/>
      <x:c r="B40" s="150"/>
      <x:c r="C40" s="33" t="str">
        <x:v>scenario.front_flat.annual_prepayment_rate</x:v>
      </x:c>
      <x:c r="D40" s="55" t="n">
        <x:v>0</x:v>
      </x:c>
      <x:c r="E40" s="60" t="n">
        <x:v>0</x:v>
      </x:c>
      <x:c r="F40" s="23" t="str">
        <x:v>fraction</x:v>
      </x:c>
      <x:c r="G40" s="23" t="n">
        <x:f>IF(D40=E40,0,1)</x:f>
        <x:v>0</x:v>
      </x:c>
      <x:c r="H40" s="33" t="str">
        <x:v>Fictional front_flat scenario input; overrides the global setting</x:v>
      </x:c>
    </x:row>
    <x:row r="41" ht="40" customHeight="1">
      <x:c r="A41" s="150"/>
      <x:c r="B41" s="150"/>
      <x:c r="C41" s="33" t="str">
        <x:v>scenario.front_low.recovery_multiplier</x:v>
      </x:c>
      <x:c r="D41" s="56" t="n">
        <x:v>1</x:v>
      </x:c>
      <x:c r="E41" s="61" t="n">
        <x:v>1</x:v>
      </x:c>
      <x:c r="F41" s="23" t="str">
        <x:v>multiple</x:v>
      </x:c>
      <x:c r="G41" s="23" t="n">
        <x:f>IF(D41=E41,0,1)</x:f>
        <x:v>0</x:v>
      </x:c>
      <x:c r="H41" s="33" t="str">
        <x:v>Fictional front_low scenario input; overrides the global setting</x:v>
      </x:c>
    </x:row>
    <x:row r="42" ht="40" customHeight="1">
      <x:c r="A42" s="150"/>
      <x:c r="B42" s="150"/>
      <x:c r="C42" s="33" t="str">
        <x:v>scenario.front_low.annual_prepayment_rate</x:v>
      </x:c>
      <x:c r="D42" s="55" t="n">
        <x:v>0</x:v>
      </x:c>
      <x:c r="E42" s="60" t="n">
        <x:v>0</x:v>
      </x:c>
      <x:c r="F42" s="23" t="str">
        <x:v>fraction</x:v>
      </x:c>
      <x:c r="G42" s="23" t="n">
        <x:f>IF(D42=E42,0,1)</x:f>
        <x:v>0</x:v>
      </x:c>
      <x:c r="H42" s="33" t="str">
        <x:v>Fictional front_low scenario input; overrides the global setting</x:v>
      </x:c>
    </x:row>
    <x:row r="43" ht="40" customHeight="1">
      <x:c r="A43" s="150"/>
      <x:c r="B43" s="150"/>
      <x:c r="C43" s="33" t="str">
        <x:v>scenario.front_high.recovery_multiplier</x:v>
      </x:c>
      <x:c r="D43" s="56" t="n">
        <x:v>1</x:v>
      </x:c>
      <x:c r="E43" s="61" t="n">
        <x:v>1</x:v>
      </x:c>
      <x:c r="F43" s="23" t="str">
        <x:v>multiple</x:v>
      </x:c>
      <x:c r="G43" s="23" t="n">
        <x:f>IF(D43=E43,0,1)</x:f>
        <x:v>0</x:v>
      </x:c>
      <x:c r="H43" s="33" t="str">
        <x:v>Fictional front_high scenario input; overrides the global setting</x:v>
      </x:c>
    </x:row>
    <x:row r="44" ht="40" customHeight="1">
      <x:c r="A44" s="150"/>
      <x:c r="B44" s="150"/>
      <x:c r="C44" s="33" t="str">
        <x:v>scenario.front_high.annual_prepayment_rate</x:v>
      </x:c>
      <x:c r="D44" s="55" t="n">
        <x:v>0</x:v>
      </x:c>
      <x:c r="E44" s="60" t="n">
        <x:v>0</x:v>
      </x:c>
      <x:c r="F44" s="23" t="str">
        <x:v>fraction</x:v>
      </x:c>
      <x:c r="G44" s="23" t="n">
        <x:f>IF(D44=E44,0,1)</x:f>
        <x:v>0</x:v>
      </x:c>
      <x:c r="H44" s="33" t="str">
        <x:v>Fictional front_high scenario input; overrides the global setting</x:v>
      </x:c>
    </x:row>
    <x:row r="45" ht="40" customHeight="1">
      <x:c r="A45" s="150"/>
      <x:c r="B45" s="150"/>
      <x:c r="C45" s="33" t="str">
        <x:v>scenario.middle_flat.recovery_multiplier</x:v>
      </x:c>
      <x:c r="D45" s="56" t="n">
        <x:v>1</x:v>
      </x:c>
      <x:c r="E45" s="61" t="n">
        <x:v>1</x:v>
      </x:c>
      <x:c r="F45" s="23" t="str">
        <x:v>multiple</x:v>
      </x:c>
      <x:c r="G45" s="23" t="n">
        <x:f>IF(D45=E45,0,1)</x:f>
        <x:v>0</x:v>
      </x:c>
      <x:c r="H45" s="33" t="str">
        <x:v>Fictional middle_flat scenario input; overrides the global setting</x:v>
      </x:c>
    </x:row>
    <x:row r="46" ht="40" customHeight="1">
      <x:c r="A46" s="150"/>
      <x:c r="B46" s="150"/>
      <x:c r="C46" s="33" t="str">
        <x:v>scenario.middle_flat.annual_prepayment_rate</x:v>
      </x:c>
      <x:c r="D46" s="55" t="n">
        <x:v>0</x:v>
      </x:c>
      <x:c r="E46" s="60" t="n">
        <x:v>0</x:v>
      </x:c>
      <x:c r="F46" s="23" t="str">
        <x:v>fraction</x:v>
      </x:c>
      <x:c r="G46" s="23" t="n">
        <x:f>IF(D46=E46,0,1)</x:f>
        <x:v>0</x:v>
      </x:c>
      <x:c r="H46" s="33" t="str">
        <x:v>Fictional middle_flat scenario input; overrides the global setting</x:v>
      </x:c>
    </x:row>
    <x:row r="47" ht="40" customHeight="1">
      <x:c r="A47" s="150"/>
      <x:c r="B47" s="150"/>
      <x:c r="C47" s="33" t="str">
        <x:v>scenario.middle_low.recovery_multiplier</x:v>
      </x:c>
      <x:c r="D47" s="56" t="n">
        <x:v>1</x:v>
      </x:c>
      <x:c r="E47" s="61" t="n">
        <x:v>1</x:v>
      </x:c>
      <x:c r="F47" s="23" t="str">
        <x:v>multiple</x:v>
      </x:c>
      <x:c r="G47" s="23" t="n">
        <x:f>IF(D47=E47,0,1)</x:f>
        <x:v>0</x:v>
      </x:c>
      <x:c r="H47" s="33" t="str">
        <x:v>Fictional middle_low scenario input; overrides the global setting</x:v>
      </x:c>
    </x:row>
    <x:row r="48" ht="40" customHeight="1">
      <x:c r="A48" s="150"/>
      <x:c r="B48" s="150"/>
      <x:c r="C48" s="33" t="str">
        <x:v>scenario.middle_low.annual_prepayment_rate</x:v>
      </x:c>
      <x:c r="D48" s="55" t="n">
        <x:v>0</x:v>
      </x:c>
      <x:c r="E48" s="60" t="n">
        <x:v>0</x:v>
      </x:c>
      <x:c r="F48" s="23" t="str">
        <x:v>fraction</x:v>
      </x:c>
      <x:c r="G48" s="23" t="n">
        <x:f>IF(D48=E48,0,1)</x:f>
        <x:v>0</x:v>
      </x:c>
      <x:c r="H48" s="33" t="str">
        <x:v>Fictional middle_low scenario input; overrides the global setting</x:v>
      </x:c>
    </x:row>
    <x:row r="49" ht="40" customHeight="1">
      <x:c r="A49" s="150"/>
      <x:c r="B49" s="150"/>
      <x:c r="C49" s="33" t="str">
        <x:v>scenario.middle_high.recovery_multiplier</x:v>
      </x:c>
      <x:c r="D49" s="56" t="n">
        <x:v>1</x:v>
      </x:c>
      <x:c r="E49" s="61" t="n">
        <x:v>1</x:v>
      </x:c>
      <x:c r="F49" s="23" t="str">
        <x:v>multiple</x:v>
      </x:c>
      <x:c r="G49" s="23" t="n">
        <x:f>IF(D49=E49,0,1)</x:f>
        <x:v>0</x:v>
      </x:c>
      <x:c r="H49" s="33" t="str">
        <x:v>Fictional middle_high scenario input; overrides the global setting</x:v>
      </x:c>
    </x:row>
    <x:row r="50" ht="40" customHeight="1">
      <x:c r="A50" s="150"/>
      <x:c r="B50" s="150"/>
      <x:c r="C50" s="33" t="str">
        <x:v>scenario.middle_high.annual_prepayment_rate</x:v>
      </x:c>
      <x:c r="D50" s="55" t="n">
        <x:v>0</x:v>
      </x:c>
      <x:c r="E50" s="60" t="n">
        <x:v>0</x:v>
      </x:c>
      <x:c r="F50" s="23" t="str">
        <x:v>fraction</x:v>
      </x:c>
      <x:c r="G50" s="23" t="n">
        <x:f>IF(D50=E50,0,1)</x:f>
        <x:v>0</x:v>
      </x:c>
      <x:c r="H50" s="33" t="str">
        <x:v>Fictional middle_high scenario input; overrides the global setting</x:v>
      </x:c>
    </x:row>
    <x:row r="51" ht="40" customHeight="1">
      <x:c r="A51" s="150"/>
      <x:c r="B51" s="150"/>
      <x:c r="C51" s="33" t="str">
        <x:v>scenario.back_flat.recovery_multiplier</x:v>
      </x:c>
      <x:c r="D51" s="56" t="n">
        <x:v>1</x:v>
      </x:c>
      <x:c r="E51" s="61" t="n">
        <x:v>1</x:v>
      </x:c>
      <x:c r="F51" s="23" t="str">
        <x:v>multiple</x:v>
      </x:c>
      <x:c r="G51" s="23" t="n">
        <x:f>IF(D51=E51,0,1)</x:f>
        <x:v>0</x:v>
      </x:c>
      <x:c r="H51" s="33" t="str">
        <x:v>Fictional back_flat scenario input; overrides the global setting</x:v>
      </x:c>
    </x:row>
    <x:row r="52" ht="40" customHeight="1">
      <x:c r="A52" s="150"/>
      <x:c r="B52" s="150"/>
      <x:c r="C52" s="33" t="str">
        <x:v>scenario.back_flat.annual_prepayment_rate</x:v>
      </x:c>
      <x:c r="D52" s="55" t="n">
        <x:v>0</x:v>
      </x:c>
      <x:c r="E52" s="60" t="n">
        <x:v>0</x:v>
      </x:c>
      <x:c r="F52" s="23" t="str">
        <x:v>fraction</x:v>
      </x:c>
      <x:c r="G52" s="23" t="n">
        <x:f>IF(D52=E52,0,1)</x:f>
        <x:v>0</x:v>
      </x:c>
      <x:c r="H52" s="33" t="str">
        <x:v>Fictional back_flat scenario input; overrides the global setting</x:v>
      </x:c>
    </x:row>
    <x:row r="53" ht="40" customHeight="1">
      <x:c r="A53" s="150"/>
      <x:c r="B53" s="150"/>
      <x:c r="C53" s="33" t="str">
        <x:v>scenario.back_low.recovery_multiplier</x:v>
      </x:c>
      <x:c r="D53" s="56" t="n">
        <x:v>1</x:v>
      </x:c>
      <x:c r="E53" s="61" t="n">
        <x:v>1</x:v>
      </x:c>
      <x:c r="F53" s="23" t="str">
        <x:v>multiple</x:v>
      </x:c>
      <x:c r="G53" s="23" t="n">
        <x:f>IF(D53=E53,0,1)</x:f>
        <x:v>0</x:v>
      </x:c>
      <x:c r="H53" s="33" t="str">
        <x:v>Fictional back_low scenario input; overrides the global setting</x:v>
      </x:c>
    </x:row>
    <x:row r="54" ht="40" customHeight="1">
      <x:c r="A54" s="150"/>
      <x:c r="B54" s="150"/>
      <x:c r="C54" s="33" t="str">
        <x:v>scenario.back_low.annual_prepayment_rate</x:v>
      </x:c>
      <x:c r="D54" s="55" t="n">
        <x:v>0</x:v>
      </x:c>
      <x:c r="E54" s="60" t="n">
        <x:v>0</x:v>
      </x:c>
      <x:c r="F54" s="23" t="str">
        <x:v>fraction</x:v>
      </x:c>
      <x:c r="G54" s="23" t="n">
        <x:f>IF(D54=E54,0,1)</x:f>
        <x:v>0</x:v>
      </x:c>
      <x:c r="H54" s="33" t="str">
        <x:v>Fictional back_low scenario input; overrides the global setting</x:v>
      </x:c>
    </x:row>
    <x:row r="55" ht="40" customHeight="1">
      <x:c r="A55" s="150"/>
      <x:c r="B55" s="150"/>
      <x:c r="C55" s="33" t="str">
        <x:v>scenario.back_high.recovery_multiplier</x:v>
      </x:c>
      <x:c r="D55" s="56" t="n">
        <x:v>1</x:v>
      </x:c>
      <x:c r="E55" s="61" t="n">
        <x:v>1</x:v>
      </x:c>
      <x:c r="F55" s="23" t="str">
        <x:v>multiple</x:v>
      </x:c>
      <x:c r="G55" s="23" t="n">
        <x:f>IF(D55=E55,0,1)</x:f>
        <x:v>0</x:v>
      </x:c>
      <x:c r="H55" s="33" t="str">
        <x:v>Fictional back_high scenario input; overrides the global setting</x:v>
      </x:c>
    </x:row>
    <x:row r="56" ht="40" customHeight="1">
      <x:c r="A56" s="150"/>
      <x:c r="B56" s="150"/>
      <x:c r="C56" s="33" t="str">
        <x:v>scenario.back_high.annual_prepayment_rate</x:v>
      </x:c>
      <x:c r="D56" s="55" t="n">
        <x:v>0</x:v>
      </x:c>
      <x:c r="E56" s="60" t="n">
        <x:v>0</x:v>
      </x:c>
      <x:c r="F56" s="23" t="str">
        <x:v>fraction</x:v>
      </x:c>
      <x:c r="G56" s="23" t="n">
        <x:f>IF(D56=E56,0,1)</x:f>
        <x:v>0</x:v>
      </x:c>
      <x:c r="H56" s="33" t="str">
        <x:v>Fictional back_high scenario input; overrides the global setting</x:v>
      </x:c>
    </x:row>
    <x:row r="57" ht="40" customHeight="1">
      <x:c r="A57" s="150"/>
      <x:c r="B57" s="150"/>
      <x:c r="C57" s="33" t="str">
        <x:v>scenario.level_flat.recovery_multiplier</x:v>
      </x:c>
      <x:c r="D57" s="56" t="n">
        <x:v>1</x:v>
      </x:c>
      <x:c r="E57" s="61" t="n">
        <x:v>1</x:v>
      </x:c>
      <x:c r="F57" s="23" t="str">
        <x:v>multiple</x:v>
      </x:c>
      <x:c r="G57" s="23" t="n">
        <x:f>IF(D57=E57,0,1)</x:f>
        <x:v>0</x:v>
      </x:c>
      <x:c r="H57" s="33" t="str">
        <x:v>Fictional level_flat scenario input; overrides the global setting</x:v>
      </x:c>
    </x:row>
    <x:row r="58" ht="40" customHeight="1">
      <x:c r="A58" s="150"/>
      <x:c r="B58" s="150"/>
      <x:c r="C58" s="33" t="str">
        <x:v>scenario.level_flat.annual_prepayment_rate</x:v>
      </x:c>
      <x:c r="D58" s="55" t="n">
        <x:v>0</x:v>
      </x:c>
      <x:c r="E58" s="60" t="n">
        <x:v>0</x:v>
      </x:c>
      <x:c r="F58" s="23" t="str">
        <x:v>fraction</x:v>
      </x:c>
      <x:c r="G58" s="23" t="n">
        <x:f>IF(D58=E58,0,1)</x:f>
        <x:v>0</x:v>
      </x:c>
      <x:c r="H58" s="33" t="str">
        <x:v>Fictional level_flat scenario input; overrides the global setting</x:v>
      </x:c>
    </x:row>
    <x:row r="59" ht="40" customHeight="1">
      <x:c r="A59" s="150"/>
      <x:c r="B59" s="150"/>
      <x:c r="C59" s="33" t="str">
        <x:v>scenario.level_low.recovery_multiplier</x:v>
      </x:c>
      <x:c r="D59" s="56" t="n">
        <x:v>1</x:v>
      </x:c>
      <x:c r="E59" s="61" t="n">
        <x:v>1</x:v>
      </x:c>
      <x:c r="F59" s="23" t="str">
        <x:v>multiple</x:v>
      </x:c>
      <x:c r="G59" s="23" t="n">
        <x:f>IF(D59=E59,0,1)</x:f>
        <x:v>0</x:v>
      </x:c>
      <x:c r="H59" s="33" t="str">
        <x:v>Fictional level_low scenario input; overrides the global setting</x:v>
      </x:c>
    </x:row>
    <x:row r="60" ht="40" customHeight="1">
      <x:c r="A60" s="150"/>
      <x:c r="B60" s="150"/>
      <x:c r="C60" s="33" t="str">
        <x:v>scenario.level_low.annual_prepayment_rate</x:v>
      </x:c>
      <x:c r="D60" s="55" t="n">
        <x:v>0</x:v>
      </x:c>
      <x:c r="E60" s="60" t="n">
        <x:v>0</x:v>
      </x:c>
      <x:c r="F60" s="23" t="str">
        <x:v>fraction</x:v>
      </x:c>
      <x:c r="G60" s="23" t="n">
        <x:f>IF(D60=E60,0,1)</x:f>
        <x:v>0</x:v>
      </x:c>
      <x:c r="H60" s="33" t="str">
        <x:v>Fictional level_low scenario input; overrides the global setting</x:v>
      </x:c>
    </x:row>
    <x:row r="61" ht="40" customHeight="1">
      <x:c r="A61" s="150"/>
      <x:c r="B61" s="150"/>
      <x:c r="C61" s="33" t="str">
        <x:v>scenario.level_high.recovery_multiplier</x:v>
      </x:c>
      <x:c r="D61" s="56" t="n">
        <x:v>1</x:v>
      </x:c>
      <x:c r="E61" s="61" t="n">
        <x:v>1</x:v>
      </x:c>
      <x:c r="F61" s="23" t="str">
        <x:v>multiple</x:v>
      </x:c>
      <x:c r="G61" s="23" t="n">
        <x:f>IF(D61=E61,0,1)</x:f>
        <x:v>0</x:v>
      </x:c>
      <x:c r="H61" s="33" t="str">
        <x:v>Fictional level_high scenario input; overrides the global setting</x:v>
      </x:c>
    </x:row>
    <x:row r="62" ht="40" customHeight="1">
      <x:c r="A62" s="150"/>
      <x:c r="B62" s="150"/>
      <x:c r="C62" s="33" t="str">
        <x:v>scenario.level_high.annual_prepayment_rate</x:v>
      </x:c>
      <x:c r="D62" s="55" t="n">
        <x:v>0</x:v>
      </x:c>
      <x:c r="E62" s="60" t="n">
        <x:v>0</x:v>
      </x:c>
      <x:c r="F62" s="23" t="str">
        <x:v>fraction</x:v>
      </x:c>
      <x:c r="G62" s="23" t="n">
        <x:f>IF(D62=E62,0,1)</x:f>
        <x:v>0</x:v>
      </x:c>
      <x:c r="H62" s="33" t="str">
        <x:v>Fictional level_high scenario input; overrides the global setting</x:v>
      </x:c>
    </x:row>
  </x:sheetData>
  <x:dataValidations count="1">
    <x:dataValidation type="decimal" operator="between" sqref="D12">
      <x:formula1>0.6</x:formula1>
      <x:formula2>0.7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1909E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23" hidden="0" customWidth="1"/>
    <x:col min="5" max="5" width="16" hidden="0" customWidth="1"/>
    <x:col min="6" max="6" width="16" hidden="0" customWidth="1"/>
    <x:col min="7" max="7" width="40" hidden="0" customWidth="1"/>
    <x:col min="8" max="8" width="17" hidden="0" customWidth="1"/>
    <x:col min="9" max="9" width="17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23"/>
      <x:c r="B1" s="23"/>
      <x:c r="C1" s="112" t="str">
        <x:v>Shared portfolio / S&amp;P factors</x:v>
      </x:c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</x:row>
    <x:row r="2">
      <x:c r="A2" s="23"/>
      <x:c r="B2" s="23"/>
      <x:c r="C2" s="24" t="str">
        <x:v>Portfolio Calculations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</x:row>
    <x:row r="3" ht="22" customHeight="1">
      <x:c r="A3" s="23"/>
      <x:c r="B3" s="23"/>
      <x:c r="C3" s="26" t="str">
        <x:v>USD, full units. Weighted spread uses floating par only. Term is bullet maturity, not amortising WAL.</x:v>
      </x:c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</x:row>
    <x:row r="5">
      <x:c r="A5" s="23"/>
      <x:c r="B5" s="23"/>
      <x:c r="C5" s="32" t="str">
        <x:f>IF(Refresh_Required,"REFRESH REQUIRED — Python results reflect the last run","Python results match the imported inputs")</x:f>
        <x:v>Python results match the imported inputs</x:v>
      </x:c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</x:row>
    <x:row r="7" ht="38" customHeight="1">
      <x:c r="A7" s="23"/>
      <x:c r="B7" s="23"/>
      <x:c r="C7" s="7" t="str">
        <x:v>Metric</x:v>
      </x:c>
      <x:c r="D7" s="7" t="str">
        <x:v>Excel formula result</x:v>
      </x:c>
      <x:c r="E7" s="23"/>
      <x:c r="F7" s="23"/>
      <x:c r="G7" s="7" t="str">
        <x:v>Industry</x:v>
      </x:c>
      <x:c r="H7" s="7" t="str">
        <x:v>Par</x:v>
      </x:c>
      <x:c r="I7" s="7" t="str">
        <x:v>Share</x:v>
      </x:c>
      <x:c r="J7" s="23"/>
      <x:c r="K7" s="23"/>
      <x:c r="L7" s="23"/>
      <x:c r="M7" s="23"/>
      <x:c r="N7" s="23"/>
      <x:c r="O7" s="23"/>
      <x:c r="P7" s="23"/>
      <x:c r="Q7" s="23"/>
    </x:row>
    <x:row r="8" ht="29" customHeight="1">
      <x:c r="A8" s="23"/>
      <x:c r="B8" s="23"/>
      <x:c r="C8" s="23" t="str">
        <x:v>Portfolio par</x:v>
      </x:c>
      <x:c r="D8" s="66" t="n">
        <x:f>SUM('Portfolio Inputs'!D8:D289)</x:f>
        <x:v>300000000</x:v>
      </x:c>
      <x:c r="E8" s="23"/>
      <x:c r="F8" s="23"/>
      <x:c r="G8" s="33" t="str">
        <x:v>Healthcare Providers &amp; Services</x:v>
      </x:c>
      <x:c r="H8" s="66" t="n">
        <x:f>SUMIF('Portfolio Inputs'!F8:F289,G8,'Portfolio Inputs'!D8:D289)</x:f>
        <x:v>19685000</x:v>
      </x:c>
      <x:c r="I8" s="75" t="n">
        <x:f>IF(Portfolio_Par&gt;0,H8/Portfolio_Par,"")</x:f>
        <x:v>0.06561666666666667</x:v>
      </x:c>
      <x:c r="J8" s="23"/>
      <x:c r="K8" s="23"/>
      <x:c r="L8" s="23"/>
      <x:c r="M8" s="23"/>
      <x:c r="N8" s="23"/>
      <x:c r="O8" s="23"/>
      <x:c r="P8" s="23"/>
      <x:c r="Q8" s="23"/>
    </x:row>
    <x:row r="9" ht="29" customHeight="1">
      <x:c r="A9" s="150"/>
      <x:c r="B9" s="150"/>
      <x:c r="C9" s="150" t="str">
        <x:v>Facilities</x:v>
      </x:c>
      <x:c r="D9" s="167" t="n">
        <x:f>COUNTA('Portfolio Inputs'!A8:A289)</x:f>
        <x:v>282</x:v>
      </x:c>
      <x:c r="E9" s="150"/>
      <x:c r="F9" s="150"/>
      <x:c r="G9" s="154" t="str">
        <x:v>Software</x:v>
      </x:c>
      <x:c r="H9" s="66" t="n">
        <x:f>SUMIF('Portfolio Inputs'!F8:F289,G9,'Portfolio Inputs'!D8:D289)</x:f>
        <x:v>17889000</x:v>
      </x:c>
      <x:c r="I9" s="75" t="n">
        <x:f>IF(Portfolio_Par&gt;0,H9/Portfolio_Par,"")</x:f>
        <x:v>0.05963</x:v>
      </x:c>
      <x:c r="J9" s="150"/>
      <x:c r="K9" s="150"/>
      <x:c r="L9" s="150"/>
      <x:c r="M9" s="150"/>
      <x:c r="N9" s="150"/>
      <x:c r="O9" s="150"/>
      <x:c r="P9" s="150"/>
      <x:c r="Q9" s="150"/>
    </x:row>
    <x:row r="10" ht="29" customHeight="1">
      <x:c r="A10" s="150"/>
      <x:c r="B10" s="150"/>
      <x:c r="C10" s="150" t="str">
        <x:v>Obligors</x:v>
      </x:c>
      <x:c r="D10" s="167" t="n">
        <x:f>COUNTA('Obligor Calc'!A8:A277)</x:f>
        <x:v>270</x:v>
      </x:c>
      <x:c r="E10" s="150"/>
      <x:c r="F10" s="150"/>
      <x:c r="G10" s="154" t="str">
        <x:v>Hotels, Restaurants &amp; Leisure</x:v>
      </x:c>
      <x:c r="H10" s="66" t="n">
        <x:f>SUMIF('Portfolio Inputs'!F8:F289,G10,'Portfolio Inputs'!D8:D289)</x:f>
        <x:v>13080000</x:v>
      </x:c>
      <x:c r="I10" s="75" t="n">
        <x:f>IF(Portfolio_Par&gt;0,H10/Portfolio_Par,"")</x:f>
        <x:v>0.0436</x:v>
      </x:c>
      <x:c r="J10" s="150"/>
      <x:c r="K10" s="150"/>
      <x:c r="L10" s="150"/>
      <x:c r="M10" s="150"/>
      <x:c r="N10" s="150"/>
      <x:c r="O10" s="150"/>
      <x:c r="P10" s="150"/>
      <x:c r="Q10" s="150"/>
    </x:row>
    <x:row r="11" ht="29" customHeight="1">
      <x:c r="A11" s="150"/>
      <x:c r="B11" s="150"/>
      <x:c r="C11" s="150" t="str">
        <x:v>Floating par</x:v>
      </x:c>
      <x:c r="D11" s="66" t="n">
        <x:f>SUMIF('Portfolio Inputs'!I8:I289,"Floating",'Portfolio Inputs'!D8:D289)</x:f>
        <x:v>294330000</x:v>
      </x:c>
      <x:c r="E11" s="150"/>
      <x:c r="F11" s="150"/>
      <x:c r="G11" s="154" t="str">
        <x:v>Chemicals</x:v>
      </x:c>
      <x:c r="H11" s="66" t="n">
        <x:f>SUMIF('Portfolio Inputs'!F8:F289,G11,'Portfolio Inputs'!D8:D289)</x:f>
        <x:v>13002000</x:v>
      </x:c>
      <x:c r="I11" s="75" t="n">
        <x:f>IF(Portfolio_Par&gt;0,H11/Portfolio_Par,"")</x:f>
        <x:v>0.04334</x:v>
      </x:c>
      <x:c r="J11" s="150"/>
      <x:c r="K11" s="150"/>
      <x:c r="L11" s="150"/>
      <x:c r="M11" s="150"/>
      <x:c r="N11" s="150"/>
      <x:c r="O11" s="150"/>
      <x:c r="P11" s="150"/>
      <x:c r="Q11" s="150"/>
    </x:row>
    <x:row r="12" ht="29" customHeight="1">
      <x:c r="A12" s="150"/>
      <x:c r="B12" s="150"/>
      <x:c r="C12" s="150" t="str">
        <x:v>Floating share</x:v>
      </x:c>
      <x:c r="D12" s="78" t="n">
        <x:f>IF(D8&gt;0,D11/D8,"")</x:f>
        <x:v>0.9811</x:v>
      </x:c>
      <x:c r="E12" s="150"/>
      <x:c r="F12" s="150"/>
      <x:c r="G12" s="154" t="str">
        <x:v>Aerospace &amp; Defense</x:v>
      </x:c>
      <x:c r="H12" s="66" t="n">
        <x:f>SUMIF('Portfolio Inputs'!F8:F289,G12,'Portfolio Inputs'!D8:D289)</x:f>
        <x:v>12450000</x:v>
      </x:c>
      <x:c r="I12" s="75" t="n">
        <x:f>IF(Portfolio_Par&gt;0,H12/Portfolio_Par,"")</x:f>
        <x:v>0.0415</x:v>
      </x:c>
      <x:c r="J12" s="150"/>
      <x:c r="K12" s="150"/>
      <x:c r="L12" s="150"/>
      <x:c r="M12" s="150"/>
      <x:c r="N12" s="150"/>
      <x:c r="O12" s="150"/>
      <x:c r="P12" s="150"/>
      <x:c r="Q12" s="150"/>
    </x:row>
    <x:row r="13" ht="29" customHeight="1">
      <x:c r="A13" s="150"/>
      <x:c r="B13" s="150"/>
      <x:c r="C13" s="150" t="str">
        <x:v>Weighted spread (bps)</x:v>
      </x:c>
      <x:c r="D13" s="169" t="n">
        <x:f>IF(D11&gt;0,SUM('Portfolio Inputs'!U8:U289)/D11,"")</x:f>
        <x:v>288.4695070159345</x:v>
      </x:c>
      <x:c r="E13" s="150"/>
      <x:c r="F13" s="150"/>
      <x:c r="G13" s="154" t="str">
        <x:v>Industrial Conglomerates</x:v>
      </x:c>
      <x:c r="H13" s="66" t="n">
        <x:f>SUMIF('Portfolio Inputs'!F8:F289,G13,'Portfolio Inputs'!D8:D289)</x:f>
        <x:v>11820000</x:v>
      </x:c>
      <x:c r="I13" s="75" t="n">
        <x:f>IF(Portfolio_Par&gt;0,H13/Portfolio_Par,"")</x:f>
        <x:v>0.0394</x:v>
      </x:c>
      <x:c r="J13" s="150"/>
      <x:c r="K13" s="150"/>
      <x:c r="L13" s="150"/>
      <x:c r="M13" s="150"/>
      <x:c r="N13" s="150"/>
      <x:c r="O13" s="150"/>
      <x:c r="P13" s="150"/>
      <x:c r="Q13" s="150"/>
    </x:row>
    <x:row r="14" ht="29" customHeight="1">
      <x:c r="A14" s="150"/>
      <x:c r="B14" s="150"/>
      <x:c r="C14" s="150" t="str">
        <x:v>Weighted stressed recovery</x:v>
      </x:c>
      <x:c r="D14" s="75" t="n">
        <x:f>IF(D8&gt;0,SUM('Portfolio Inputs'!V8:V289)/D8,"")</x:f>
        <x:v>0.3962717333333333</x:v>
      </x:c>
      <x:c r="E14" s="150"/>
      <x:c r="F14" s="150"/>
      <x:c r="G14" s="154" t="str">
        <x:v>Financial services</x:v>
      </x:c>
      <x:c r="H14" s="66" t="n">
        <x:f>SUMIF('Portfolio Inputs'!F8:F289,G14,'Portfolio Inputs'!D8:D289)</x:f>
        <x:v>11268000</x:v>
      </x:c>
      <x:c r="I14" s="75" t="n">
        <x:f>IF(Portfolio_Par&gt;0,H14/Portfolio_Par,"")</x:f>
        <x:v>0.03756</x:v>
      </x:c>
      <x:c r="J14" s="150"/>
      <x:c r="K14" s="150"/>
      <x:c r="L14" s="150"/>
      <x:c r="M14" s="150"/>
      <x:c r="N14" s="150"/>
      <x:c r="O14" s="150"/>
      <x:c r="P14" s="150"/>
      <x:c r="Q14" s="150"/>
    </x:row>
    <x:row r="15" ht="29" customHeight="1">
      <x:c r="A15" s="150"/>
      <x:c r="B15" s="150"/>
      <x:c r="C15" s="150" t="str">
        <x:v>Weighted remaining term (years)</x:v>
      </x:c>
      <x:c r="D15" s="170" t="n">
        <x:f>IF(D8&gt;0,SUMPRODUCT('Portfolio Inputs'!D8:D289,'Portfolio Inputs'!T8:T289)/D8,"")</x:f>
        <x:v>5.222635163130275</x:v>
      </x:c>
      <x:c r="E15" s="150"/>
      <x:c r="F15" s="150"/>
      <x:c r="G15" s="154" t="str">
        <x:v>Media</x:v>
      </x:c>
      <x:c r="H15" s="66" t="n">
        <x:f>SUMIF('Portfolio Inputs'!F8:F289,G15,'Portfolio Inputs'!D8:D289)</x:f>
        <x:v>10086000</x:v>
      </x:c>
      <x:c r="I15" s="75" t="n">
        <x:f>IF(Portfolio_Par&gt;0,H15/Portfolio_Par,"")</x:f>
        <x:v>0.03362</x:v>
      </x:c>
      <x:c r="J15" s="150"/>
      <x:c r="K15" s="150"/>
      <x:c r="L15" s="150"/>
      <x:c r="M15" s="150"/>
      <x:c r="N15" s="150"/>
      <x:c r="O15" s="150"/>
      <x:c r="P15" s="150"/>
      <x:c r="Q15" s="150"/>
    </x:row>
    <x:row r="16" ht="29" customHeight="1">
      <x:c r="A16" s="150"/>
      <x:c r="B16" s="150"/>
      <x:c r="C16" s="150" t="str">
        <x:v>Weighted price / 100</x:v>
      </x:c>
      <x:c r="D16" s="170" t="n">
        <x:f>IF(D8&gt;0,SUMPRODUCT('Portfolio Inputs'!D8:D289,'Portfolio Inputs'!O8:O289)/D8,"")</x:f>
        <x:v>99.4329975</x:v>
      </x:c>
      <x:c r="E16" s="150"/>
      <x:c r="F16" s="150"/>
      <x:c r="G16" s="154" t="str">
        <x:v>Food Products</x:v>
      </x:c>
      <x:c r="H16" s="66" t="n">
        <x:f>SUMIF('Portfolio Inputs'!F8:F289,G16,'Portfolio Inputs'!D8:D289)</x:f>
        <x:v>9534000</x:v>
      </x:c>
      <x:c r="I16" s="75" t="n">
        <x:f>IF(Portfolio_Par&gt;0,H16/Portfolio_Par,"")</x:f>
        <x:v>0.03178</x:v>
      </x:c>
      <x:c r="J16" s="150"/>
      <x:c r="K16" s="150"/>
      <x:c r="L16" s="150"/>
      <x:c r="M16" s="150"/>
      <x:c r="N16" s="150"/>
      <x:c r="O16" s="150"/>
      <x:c r="P16" s="150"/>
      <x:c r="Q16" s="150"/>
    </x:row>
    <x:row r="17" ht="29" customHeight="1">
      <x:c r="A17" s="150"/>
      <x:c r="B17" s="150"/>
      <x:c r="C17" s="150" t="str">
        <x:v>Largest obligor share</x:v>
      </x:c>
      <x:c r="D17" s="75" t="n">
        <x:f>IF(D8&gt;0,MAX('Obligor Calc'!H8:H277),"")</x:f>
        <x:v>0.00408</x:v>
      </x:c>
      <x:c r="E17" s="150"/>
      <x:c r="F17" s="150"/>
      <x:c r="G17" s="154" t="str">
        <x:v>Diversified Telecommunication Services</x:v>
      </x:c>
      <x:c r="H17" s="66" t="n">
        <x:f>SUMIF('Portfolio Inputs'!F8:F289,G17,'Portfolio Inputs'!D8:D289)</x:f>
        <x:v>8904000</x:v>
      </x:c>
      <x:c r="I17" s="75" t="n">
        <x:f>IF(Portfolio_Par&gt;0,H17/Portfolio_Par,"")</x:f>
        <x:v>0.02968</x:v>
      </x:c>
      <x:c r="J17" s="150"/>
      <x:c r="K17" s="150"/>
      <x:c r="L17" s="150"/>
      <x:c r="M17" s="150"/>
      <x:c r="N17" s="150"/>
      <x:c r="O17" s="150"/>
      <x:c r="P17" s="150"/>
      <x:c r="Q17" s="150"/>
    </x:row>
    <x:row r="18" ht="29" customHeight="1">
      <x:c r="A18" s="150"/>
      <x:c r="B18" s="150"/>
      <x:c r="C18" s="150" t="str">
        <x:v>Obligor HHI</x:v>
      </x:c>
      <x:c r="D18" s="173" t="n">
        <x:f>IF(D8&gt;0,SUM('Obligor Calc'!I8:I277),"")</x:f>
        <x:v>0.0038077585555555595</x:v>
      </x:c>
      <x:c r="E18" s="150"/>
      <x:c r="F18" s="150"/>
      <x:c r="G18" s="154" t="str">
        <x:v>Electric Utilities</x:v>
      </x:c>
      <x:c r="H18" s="66" t="n">
        <x:f>SUMIF('Portfolio Inputs'!F8:F289,G18,'Portfolio Inputs'!D8:D289)</x:f>
        <x:v>8904000</x:v>
      </x:c>
      <x:c r="I18" s="75" t="n">
        <x:f>IF(Portfolio_Par&gt;0,H18/Portfolio_Par,"")</x:f>
        <x:v>0.02968</x:v>
      </x:c>
      <x:c r="J18" s="150"/>
      <x:c r="K18" s="150"/>
      <x:c r="L18" s="150"/>
      <x:c r="M18" s="150"/>
      <x:c r="N18" s="150"/>
      <x:c r="O18" s="150"/>
      <x:c r="P18" s="150"/>
      <x:c r="Q18" s="150"/>
    </x:row>
    <x:row r="19" ht="29" customHeight="1">
      <x:c r="A19" s="150"/>
      <x:c r="B19" s="150"/>
      <x:c r="C19" s="150" t="str">
        <x:v>Effective obligors (1 / HHI)</x:v>
      </x:c>
      <x:c r="D19" s="174" t="n">
        <x:f>IF(D18&gt;0,1/D18,"")</x:f>
        <x:v>262.62169342144597</x:v>
      </x:c>
      <x:c r="E19" s="150"/>
      <x:c r="F19" s="150"/>
      <x:c r="G19" s="154" t="str">
        <x:v>Diversified Consumer Services</x:v>
      </x:c>
      <x:c r="H19" s="66" t="n">
        <x:f>SUMIF('Portfolio Inputs'!F8:F289,G19,'Portfolio Inputs'!D8:D289)</x:f>
        <x:v>7722000</x:v>
      </x:c>
      <x:c r="I19" s="75" t="n">
        <x:f>IF(Portfolio_Par&gt;0,H19/Portfolio_Par,"")</x:f>
        <x:v>0.02574</x:v>
      </x:c>
      <x:c r="J19" s="150"/>
      <x:c r="K19" s="150"/>
      <x:c r="L19" s="150"/>
      <x:c r="M19" s="150"/>
      <x:c r="N19" s="150"/>
      <x:c r="O19" s="150"/>
      <x:c r="P19" s="150"/>
      <x:c r="Q19" s="150"/>
    </x:row>
    <x:row r="20" ht="29" customHeight="1">
      <x:c r="A20" s="150"/>
      <x:c r="B20" s="150"/>
      <x:c r="C20" s="150" t="str">
        <x:v>CCC category share</x:v>
      </x:c>
      <x:c r="D20" s="75" t="n">
        <x:f>IF(D8&gt;0,SUMIF('Portfolio Inputs'!E8:E289,"CCC*",'Portfolio Inputs'!D8:D289)/D8,"")</x:f>
        <x:v>0</x:v>
      </x:c>
      <x:c r="E20" s="150"/>
      <x:c r="F20" s="150"/>
      <x:c r="G20" s="154" t="str">
        <x:v>IT Services</x:v>
      </x:c>
      <x:c r="H20" s="66" t="n">
        <x:f>SUMIF('Portfolio Inputs'!F8:F289,G20,'Portfolio Inputs'!D8:D289)</x:f>
        <x:v>7678000</x:v>
      </x:c>
      <x:c r="I20" s="75" t="n">
        <x:f>IF(Portfolio_Par&gt;0,H20/Portfolio_Par,"")</x:f>
        <x:v>0.025593333333333333</x:v>
      </x:c>
      <x:c r="J20" s="150"/>
      <x:c r="K20" s="150"/>
      <x:c r="L20" s="150"/>
      <x:c r="M20" s="150"/>
      <x:c r="N20" s="150"/>
      <x:c r="O20" s="150"/>
      <x:c r="P20" s="150"/>
      <x:c r="Q20" s="150"/>
    </x:row>
    <x:row r="21" ht="29" customHeight="1">
      <x:c r="A21" s="150"/>
      <x:c r="B21" s="150"/>
      <x:c r="C21" s="150" t="str">
        <x:v>S&amp;P WARF (published factors)</x:v>
      </x:c>
      <x:c r="D21" s="175" t="n">
        <x:f>IF(D8&gt;0,SUM('Portfolio Inputs'!AA8:AA289)/D8,"")</x:f>
        <x:v>2379.3783153333334</x:v>
      </x:c>
      <x:c r="E21" s="150"/>
      <x:c r="F21" s="150"/>
      <x:c r="G21" s="154" t="str">
        <x:v>Commercial Services &amp; Supplies</x:v>
      </x:c>
      <x:c r="H21" s="66" t="n">
        <x:f>SUMIF('Portfolio Inputs'!F8:F289,G21,'Portfolio Inputs'!D8:D289)</x:f>
        <x:v>7092000</x:v>
      </x:c>
      <x:c r="I21" s="75" t="n">
        <x:f>IF(Portfolio_Par&gt;0,H21/Portfolio_Par,"")</x:f>
        <x:v>0.02364</x:v>
      </x:c>
      <x:c r="J21" s="150"/>
      <x:c r="K21" s="150"/>
      <x:c r="L21" s="150"/>
      <x:c r="M21" s="150"/>
      <x:c r="N21" s="150"/>
      <x:c r="O21" s="150"/>
      <x:c r="P21" s="150"/>
      <x:c r="Q21" s="150"/>
    </x:row>
    <x:row r="22" ht="29" customHeight="1">
      <x:c r="A22" s="150"/>
      <x:c r="B22" s="150"/>
      <x:c r="C22" s="150" t="str">
        <x:v>S&amp;P AAA scenario default rate</x:v>
      </x:c>
      <x:c r="D22" s="75" t="str">
        <x:f>IF(Refresh_Required,"REFRESH REQUIRED",IF(ISNUMBER(agency_sdr_aaa),agency_sdr_aaa,"Unavailable"))</x:f>
        <x:v>Unavailable</x:v>
      </x:c>
      <x:c r="E22" s="150"/>
      <x:c r="F22" s="150"/>
      <x:c r="G22" s="154" t="str">
        <x:v>Transportation Infrastructure</x:v>
      </x:c>
      <x:c r="H22" s="66" t="n">
        <x:f>SUMIF('Portfolio Inputs'!F8:F289,G22,'Portfolio Inputs'!D8:D289)</x:f>
        <x:v>7092000</x:v>
      </x:c>
      <x:c r="I22" s="75" t="n">
        <x:f>IF(Portfolio_Par&gt;0,H22/Portfolio_Par,"")</x:f>
        <x:v>0.02364</x:v>
      </x:c>
      <x:c r="J22" s="150"/>
      <x:c r="K22" s="150"/>
      <x:c r="L22" s="150"/>
      <x:c r="M22" s="150"/>
      <x:c r="N22" s="150"/>
      <x:c r="O22" s="150"/>
      <x:c r="P22" s="150"/>
      <x:c r="Q22" s="150"/>
    </x:row>
    <x:row r="23" ht="29" customHeight="1">
      <x:c r="A23" s="150"/>
      <x:c r="B23" s="150"/>
      <x:c r="C23" s="150" t="str">
        <x:v>S&amp;P default-rate dispersion</x:v>
      </x:c>
      <x:c r="D23" s="170" t="n">
        <x:f>IF(D8&gt;0,SUM('Portfolio Inputs'!AB8:AB289)/D8,"")</x:f>
        <x:v>827.2140147427559</x:v>
      </x:c>
      <x:c r="E23" s="150"/>
      <x:c r="F23" s="150"/>
      <x:c r="G23" s="154" t="str">
        <x:v>Containers &amp; Packaging</x:v>
      </x:c>
      <x:c r="H23" s="66" t="n">
        <x:f>SUMIF('Portfolio Inputs'!F8:F289,G23,'Portfolio Inputs'!D8:D289)</x:f>
        <x:v>7092000</x:v>
      </x:c>
      <x:c r="I23" s="75" t="n">
        <x:f>IF(Portfolio_Par&gt;0,H23/Portfolio_Par,"")</x:f>
        <x:v>0.02364</x:v>
      </x:c>
      <x:c r="J23" s="150"/>
      <x:c r="K23" s="150"/>
      <x:c r="L23" s="150"/>
      <x:c r="M23" s="150"/>
      <x:c r="N23" s="150"/>
      <x:c r="O23" s="150"/>
      <x:c r="P23" s="150"/>
      <x:c r="Q23" s="150"/>
    </x:row>
    <x:row r="24" ht="29" customHeight="1">
      <x:c r="A24" s="150"/>
      <x:c r="B24" s="150"/>
      <x:c r="C24" s="150"/>
      <x:c r="D24" s="150"/>
      <x:c r="E24" s="150"/>
      <x:c r="F24" s="150"/>
      <x:c r="G24" s="154" t="str">
        <x:v>Machinery</x:v>
      </x:c>
      <x:c r="H24" s="66" t="n">
        <x:f>SUMIF('Portfolio Inputs'!F8:F289,G24,'Portfolio Inputs'!D8:D289)</x:f>
        <x:v>7092000</x:v>
      </x:c>
      <x:c r="I24" s="75" t="n">
        <x:f>IF(Portfolio_Par&gt;0,H24/Portfolio_Par,"")</x:f>
        <x:v>0.02364</x:v>
      </x:c>
      <x:c r="J24" s="150"/>
      <x:c r="K24" s="150"/>
      <x:c r="L24" s="150"/>
      <x:c r="M24" s="150"/>
      <x:c r="N24" s="150"/>
      <x:c r="O24" s="150"/>
      <x:c r="P24" s="150"/>
      <x:c r="Q24" s="150"/>
    </x:row>
    <x:row r="25" ht="29" customHeight="1">
      <x:c r="A25" s="150"/>
      <x:c r="B25" s="150"/>
      <x:c r="C25" s="150"/>
      <x:c r="D25" s="150"/>
      <x:c r="E25" s="150"/>
      <x:c r="F25" s="150"/>
      <x:c r="G25" s="154" t="str">
        <x:v>Insurance</x:v>
      </x:c>
      <x:c r="H25" s="66" t="n">
        <x:f>SUMIF('Portfolio Inputs'!F8:F289,G25,'Portfolio Inputs'!D8:D289)</x:f>
        <x:v>7092000</x:v>
      </x:c>
      <x:c r="I25" s="75" t="n">
        <x:f>IF(Portfolio_Par&gt;0,H25/Portfolio_Par,"")</x:f>
        <x:v>0.02364</x:v>
      </x:c>
      <x:c r="J25" s="150"/>
      <x:c r="K25" s="150"/>
      <x:c r="L25" s="150"/>
      <x:c r="M25" s="150"/>
      <x:c r="N25" s="150"/>
      <x:c r="O25" s="150"/>
      <x:c r="P25" s="150"/>
      <x:c r="Q25" s="150"/>
    </x:row>
    <x:row r="26" ht="29" customHeight="1">
      <x:c r="A26" s="150"/>
      <x:c r="B26" s="150"/>
      <x:c r="C26" s="150"/>
      <x:c r="D26" s="150"/>
      <x:c r="E26" s="150"/>
      <x:c r="F26" s="150"/>
      <x:c r="G26" s="154" t="str">
        <x:v>Building Products</x:v>
      </x:c>
      <x:c r="H26" s="66" t="n">
        <x:f>SUMIF('Portfolio Inputs'!F8:F289,G26,'Portfolio Inputs'!D8:D289)</x:f>
        <x:v>6540000</x:v>
      </x:c>
      <x:c r="I26" s="75" t="n">
        <x:f>IF(Portfolio_Par&gt;0,H26/Portfolio_Par,"")</x:f>
        <x:v>0.0218</x:v>
      </x:c>
      <x:c r="J26" s="150"/>
      <x:c r="K26" s="150"/>
      <x:c r="L26" s="150"/>
      <x:c r="M26" s="150"/>
      <x:c r="N26" s="150"/>
      <x:c r="O26" s="150"/>
      <x:c r="P26" s="150"/>
      <x:c r="Q26" s="150"/>
    </x:row>
    <x:row r="27" ht="29" customHeight="1">
      <x:c r="A27" s="150"/>
      <x:c r="B27" s="150"/>
      <x:c r="C27" s="150"/>
      <x:c r="D27" s="150"/>
      <x:c r="E27" s="150"/>
      <x:c r="F27" s="150"/>
      <x:c r="G27" s="154" t="str">
        <x:v>Oil, Gas &amp; Consumable Fuels</x:v>
      </x:c>
      <x:c r="H27" s="66" t="n">
        <x:f>SUMIF('Portfolio Inputs'!F8:F289,G27,'Portfolio Inputs'!D8:D289)</x:f>
        <x:v>6540000</x:v>
      </x:c>
      <x:c r="I27" s="75" t="n">
        <x:f>IF(Portfolio_Par&gt;0,H27/Portfolio_Par,"")</x:f>
        <x:v>0.0218</x:v>
      </x:c>
      <x:c r="J27" s="150"/>
      <x:c r="K27" s="150"/>
      <x:c r="L27" s="150"/>
      <x:c r="M27" s="150"/>
      <x:c r="N27" s="150"/>
      <x:c r="O27" s="150"/>
      <x:c r="P27" s="150"/>
      <x:c r="Q27" s="150"/>
    </x:row>
    <x:row r="28" ht="29" customHeight="1">
      <x:c r="A28" s="150"/>
      <x:c r="B28" s="150"/>
      <x:c r="C28" s="150"/>
      <x:c r="D28" s="150"/>
      <x:c r="E28" s="150"/>
      <x:c r="F28" s="150"/>
      <x:c r="G28" s="154" t="str">
        <x:v>Passenger airlines</x:v>
      </x:c>
      <x:c r="H28" s="66" t="n">
        <x:f>SUMIF('Portfolio Inputs'!F8:F289,G28,'Portfolio Inputs'!D8:D289)</x:f>
        <x:v>5988000</x:v>
      </x:c>
      <x:c r="I28" s="75" t="n">
        <x:f>IF(Portfolio_Par&gt;0,H28/Portfolio_Par,"")</x:f>
        <x:v>0.01996</x:v>
      </x:c>
      <x:c r="J28" s="150"/>
      <x:c r="K28" s="150"/>
      <x:c r="L28" s="150"/>
      <x:c r="M28" s="150"/>
      <x:c r="N28" s="150"/>
      <x:c r="O28" s="150"/>
      <x:c r="P28" s="150"/>
      <x:c r="Q28" s="150"/>
    </x:row>
    <x:row r="29" ht="29" customHeight="1">
      <x:c r="A29" s="150"/>
      <x:c r="B29" s="150"/>
      <x:c r="C29" s="150"/>
      <x:c r="D29" s="150"/>
      <x:c r="E29" s="150"/>
      <x:c r="F29" s="150"/>
      <x:c r="G29" s="154" t="str">
        <x:v>Capital Markets</x:v>
      </x:c>
      <x:c r="H29" s="66" t="n">
        <x:f>SUMIF('Portfolio Inputs'!F8:F289,G29,'Portfolio Inputs'!D8:D289)</x:f>
        <x:v>5910000</x:v>
      </x:c>
      <x:c r="I29" s="75" t="n">
        <x:f>IF(Portfolio_Par&gt;0,H29/Portfolio_Par,"")</x:f>
        <x:v>0.0197</x:v>
      </x:c>
      <x:c r="J29" s="150"/>
      <x:c r="K29" s="150"/>
      <x:c r="L29" s="150"/>
      <x:c r="M29" s="150"/>
      <x:c r="N29" s="150"/>
      <x:c r="O29" s="150"/>
      <x:c r="P29" s="150"/>
      <x:c r="Q29" s="150"/>
    </x:row>
    <x:row r="30" ht="29" customHeight="1">
      <x:c r="A30" s="150"/>
      <x:c r="B30" s="150"/>
      <x:c r="C30" s="150"/>
      <x:c r="D30" s="150"/>
      <x:c r="E30" s="150"/>
      <x:c r="F30" s="150"/>
      <x:c r="G30" s="154" t="str">
        <x:v>Healthcare Equipment &amp; Supplies</x:v>
      </x:c>
      <x:c r="H30" s="66" t="n">
        <x:f>SUMIF('Portfolio Inputs'!F8:F289,G30,'Portfolio Inputs'!D8:D289)</x:f>
        <x:v>5910000</x:v>
      </x:c>
      <x:c r="I30" s="75" t="n">
        <x:f>IF(Portfolio_Par&gt;0,H30/Portfolio_Par,"")</x:f>
        <x:v>0.0197</x:v>
      </x:c>
      <x:c r="J30" s="150"/>
      <x:c r="K30" s="150"/>
      <x:c r="L30" s="150"/>
      <x:c r="M30" s="150"/>
      <x:c r="N30" s="150"/>
      <x:c r="O30" s="150"/>
      <x:c r="P30" s="150"/>
      <x:c r="Q30" s="150"/>
    </x:row>
    <x:row r="31" ht="29" customHeight="1">
      <x:c r="A31" s="150"/>
      <x:c r="B31" s="150"/>
      <x:c r="C31" s="150"/>
      <x:c r="D31" s="150"/>
      <x:c r="E31" s="150"/>
      <x:c r="F31" s="150"/>
      <x:c r="G31" s="154" t="str">
        <x:v>Auto Components</x:v>
      </x:c>
      <x:c r="H31" s="66" t="n">
        <x:f>SUMIF('Portfolio Inputs'!F8:F289,G31,'Portfolio Inputs'!D8:D289)</x:f>
        <x:v>4806000</x:v>
      </x:c>
      <x:c r="I31" s="75" t="n">
        <x:f>IF(Portfolio_Par&gt;0,H31/Portfolio_Par,"")</x:f>
        <x:v>0.01602</x:v>
      </x:c>
      <x:c r="J31" s="150"/>
      <x:c r="K31" s="150"/>
      <x:c r="L31" s="150"/>
      <x:c r="M31" s="150"/>
      <x:c r="N31" s="150"/>
      <x:c r="O31" s="150"/>
      <x:c r="P31" s="150"/>
      <x:c r="Q31" s="150"/>
    </x:row>
    <x:row r="32" ht="29" customHeight="1">
      <x:c r="A32" s="150"/>
      <x:c r="B32" s="150"/>
      <x:c r="C32" s="150"/>
      <x:c r="D32" s="150"/>
      <x:c r="E32" s="150"/>
      <x:c r="F32" s="150"/>
      <x:c r="G32" s="154" t="str">
        <x:v>Healthcare Technology</x:v>
      </x:c>
      <x:c r="H32" s="66" t="n">
        <x:f>SUMIF('Portfolio Inputs'!F8:F289,G32,'Portfolio Inputs'!D8:D289)</x:f>
        <x:v>4728000</x:v>
      </x:c>
      <x:c r="I32" s="75" t="n">
        <x:f>IF(Portfolio_Par&gt;0,H32/Portfolio_Par,"")</x:f>
        <x:v>0.01576</x:v>
      </x:c>
      <x:c r="J32" s="150"/>
      <x:c r="K32" s="150"/>
      <x:c r="L32" s="150"/>
      <x:c r="M32" s="150"/>
      <x:c r="N32" s="150"/>
      <x:c r="O32" s="150"/>
      <x:c r="P32" s="150"/>
      <x:c r="Q32" s="150"/>
    </x:row>
    <x:row r="33" ht="29" customHeight="1">
      <x:c r="A33" s="150"/>
      <x:c r="B33" s="150"/>
      <x:c r="C33" s="150"/>
      <x:c r="D33" s="150"/>
      <x:c r="E33" s="150"/>
      <x:c r="F33" s="150"/>
      <x:c r="G33" s="154" t="str">
        <x:v>Construction Materials</x:v>
      </x:c>
      <x:c r="H33" s="66" t="n">
        <x:f>SUMIF('Portfolio Inputs'!F8:F289,G33,'Portfolio Inputs'!D8:D289)</x:f>
        <x:v>4176000</x:v>
      </x:c>
      <x:c r="I33" s="75" t="n">
        <x:f>IF(Portfolio_Par&gt;0,H33/Portfolio_Par,"")</x:f>
        <x:v>0.01392</x:v>
      </x:c>
      <x:c r="J33" s="150"/>
      <x:c r="K33" s="150"/>
      <x:c r="L33" s="150"/>
      <x:c r="M33" s="150"/>
      <x:c r="N33" s="150"/>
      <x:c r="O33" s="150"/>
      <x:c r="P33" s="150"/>
      <x:c r="Q33" s="150"/>
    </x:row>
    <x:row r="34" ht="29" customHeight="1">
      <x:c r="A34" s="150"/>
      <x:c r="B34" s="150"/>
      <x:c r="C34" s="150"/>
      <x:c r="D34" s="150"/>
      <x:c r="E34" s="150"/>
      <x:c r="F34" s="150"/>
      <x:c r="G34" s="154" t="str">
        <x:v>Leisure Products</x:v>
      </x:c>
      <x:c r="H34" s="66" t="n">
        <x:f>SUMIF('Portfolio Inputs'!F8:F289,G34,'Portfolio Inputs'!D8:D289)</x:f>
        <x:v>3624000</x:v>
      </x:c>
      <x:c r="I34" s="75" t="n">
        <x:f>IF(Portfolio_Par&gt;0,H34/Portfolio_Par,"")</x:f>
        <x:v>0.01208</x:v>
      </x:c>
      <x:c r="J34" s="150"/>
      <x:c r="K34" s="150"/>
      <x:c r="L34" s="150"/>
      <x:c r="M34" s="150"/>
      <x:c r="N34" s="150"/>
      <x:c r="O34" s="150"/>
      <x:c r="P34" s="150"/>
      <x:c r="Q34" s="150"/>
    </x:row>
    <x:row r="35" ht="29" customHeight="1">
      <x:c r="A35" s="150"/>
      <x:c r="B35" s="150"/>
      <x:c r="C35" s="150"/>
      <x:c r="D35" s="150"/>
      <x:c r="E35" s="150"/>
      <x:c r="F35" s="150"/>
      <x:c r="G35" s="154" t="str">
        <x:v>Consumer Finance</x:v>
      </x:c>
      <x:c r="H35" s="66" t="n">
        <x:f>SUMIF('Portfolio Inputs'!F8:F289,G35,'Portfolio Inputs'!D8:D289)</x:f>
        <x:v>3624000</x:v>
      </x:c>
      <x:c r="I35" s="75" t="n">
        <x:f>IF(Portfolio_Par&gt;0,H35/Portfolio_Par,"")</x:f>
        <x:v>0.01208</x:v>
      </x:c>
      <x:c r="J35" s="150"/>
      <x:c r="K35" s="150"/>
      <x:c r="L35" s="150"/>
      <x:c r="M35" s="150"/>
      <x:c r="N35" s="150"/>
      <x:c r="O35" s="150"/>
      <x:c r="P35" s="150"/>
      <x:c r="Q35" s="150"/>
    </x:row>
    <x:row r="36" ht="29" customHeight="1">
      <x:c r="A36" s="150"/>
      <x:c r="B36" s="150"/>
      <x:c r="C36" s="150"/>
      <x:c r="D36" s="150"/>
      <x:c r="E36" s="150"/>
      <x:c r="F36" s="150"/>
      <x:c r="G36" s="154" t="str">
        <x:v>Banks</x:v>
      </x:c>
      <x:c r="H36" s="66" t="n">
        <x:f>SUMIF('Portfolio Inputs'!F8:F289,G36,'Portfolio Inputs'!D8:D289)</x:f>
        <x:v>3546000</x:v>
      </x:c>
      <x:c r="I36" s="75" t="n">
        <x:f>IF(Portfolio_Par&gt;0,H36/Portfolio_Par,"")</x:f>
        <x:v>0.01182</x:v>
      </x:c>
      <x:c r="J36" s="150"/>
      <x:c r="K36" s="150"/>
      <x:c r="L36" s="150"/>
      <x:c r="M36" s="150"/>
      <x:c r="N36" s="150"/>
      <x:c r="O36" s="150"/>
      <x:c r="P36" s="150"/>
      <x:c r="Q36" s="150"/>
    </x:row>
    <x:row r="37" ht="29" customHeight="1">
      <x:c r="A37" s="150"/>
      <x:c r="B37" s="150"/>
      <x:c r="C37" s="150"/>
      <x:c r="D37" s="150"/>
      <x:c r="E37" s="150"/>
      <x:c r="F37" s="150"/>
      <x:c r="G37" s="154" t="str">
        <x:v>Broadline retail</x:v>
      </x:c>
      <x:c r="H37" s="66" t="n">
        <x:f>SUMIF('Portfolio Inputs'!F8:F289,G37,'Portfolio Inputs'!D8:D289)</x:f>
        <x:v>3546000</x:v>
      </x:c>
      <x:c r="I37" s="75" t="n">
        <x:f>IF(Portfolio_Par&gt;0,H37/Portfolio_Par,"")</x:f>
        <x:v>0.01182</x:v>
      </x:c>
      <x:c r="J37" s="150"/>
      <x:c r="K37" s="150"/>
      <x:c r="L37" s="150"/>
      <x:c r="M37" s="150"/>
      <x:c r="N37" s="150"/>
      <x:c r="O37" s="150"/>
      <x:c r="P37" s="150"/>
      <x:c r="Q37" s="150"/>
    </x:row>
    <x:row r="38" ht="29" customHeight="1">
      <x:c r="A38" s="150"/>
      <x:c r="B38" s="150"/>
      <x:c r="C38" s="150"/>
      <x:c r="D38" s="150"/>
      <x:c r="E38" s="150"/>
      <x:c r="F38" s="150"/>
      <x:c r="G38" s="154" t="str">
        <x:v>Household Products</x:v>
      </x:c>
      <x:c r="H38" s="66" t="n">
        <x:f>SUMIF('Portfolio Inputs'!F8:F289,G38,'Portfolio Inputs'!D8:D289)</x:f>
        <x:v>3546000</x:v>
      </x:c>
      <x:c r="I38" s="75" t="n">
        <x:f>IF(Portfolio_Par&gt;0,H38/Portfolio_Par,"")</x:f>
        <x:v>0.01182</x:v>
      </x:c>
      <x:c r="J38" s="150"/>
      <x:c r="K38" s="150"/>
      <x:c r="L38" s="150"/>
      <x:c r="M38" s="150"/>
      <x:c r="N38" s="150"/>
      <x:c r="O38" s="150"/>
      <x:c r="P38" s="150"/>
      <x:c r="Q38" s="150"/>
    </x:row>
    <x:row r="39" ht="29" customHeight="1">
      <x:c r="A39" s="150"/>
      <x:c r="B39" s="150"/>
      <x:c r="C39" s="150"/>
      <x:c r="D39" s="150"/>
      <x:c r="E39" s="150"/>
      <x:c r="F39" s="150"/>
      <x:c r="G39" s="154" t="str">
        <x:v>Semiconductors &amp; Semiconductor Equipment</x:v>
      </x:c>
      <x:c r="H39" s="66" t="n">
        <x:f>SUMIF('Portfolio Inputs'!F8:F289,G39,'Portfolio Inputs'!D8:D289)</x:f>
        <x:v>3546000</x:v>
      </x:c>
      <x:c r="I39" s="75" t="n">
        <x:f>IF(Portfolio_Par&gt;0,H39/Portfolio_Par,"")</x:f>
        <x:v>0.01182</x:v>
      </x:c>
      <x:c r="J39" s="150"/>
      <x:c r="K39" s="150"/>
      <x:c r="L39" s="150"/>
      <x:c r="M39" s="150"/>
      <x:c r="N39" s="150"/>
      <x:c r="O39" s="150"/>
      <x:c r="P39" s="150"/>
      <x:c r="Q39" s="150"/>
    </x:row>
    <x:row r="40" ht="29" customHeight="1">
      <x:c r="A40" s="150"/>
      <x:c r="B40" s="150"/>
      <x:c r="C40" s="150"/>
      <x:c r="D40" s="150"/>
      <x:c r="E40" s="150"/>
      <x:c r="F40" s="150"/>
      <x:c r="G40" s="154" t="str">
        <x:v>Professional Services</x:v>
      </x:c>
      <x:c r="H40" s="66" t="n">
        <x:f>SUMIF('Portfolio Inputs'!F8:F289,G40,'Portfolio Inputs'!D8:D289)</x:f>
        <x:v>3546000</x:v>
      </x:c>
      <x:c r="I40" s="75" t="n">
        <x:f>IF(Portfolio_Par&gt;0,H40/Portfolio_Par,"")</x:f>
        <x:v>0.01182</x:v>
      </x:c>
      <x:c r="J40" s="150"/>
      <x:c r="K40" s="150"/>
      <x:c r="L40" s="150"/>
      <x:c r="M40" s="150"/>
      <x:c r="N40" s="150"/>
      <x:c r="O40" s="150"/>
      <x:c r="P40" s="150"/>
      <x:c r="Q40" s="150"/>
    </x:row>
    <x:row r="41" ht="29" customHeight="1">
      <x:c r="A41" s="150"/>
      <x:c r="B41" s="150"/>
      <x:c r="C41" s="150"/>
      <x:c r="D41" s="150"/>
      <x:c r="E41" s="150"/>
      <x:c r="F41" s="150"/>
      <x:c r="G41" s="154" t="str">
        <x:v>Energy Equipment &amp; Services</x:v>
      </x:c>
      <x:c r="H41" s="66" t="n">
        <x:f>SUMIF('Portfolio Inputs'!F8:F289,G41,'Portfolio Inputs'!D8:D289)</x:f>
        <x:v>3546000</x:v>
      </x:c>
      <x:c r="I41" s="75" t="n">
        <x:f>IF(Portfolio_Par&gt;0,H41/Portfolio_Par,"")</x:f>
        <x:v>0.01182</x:v>
      </x:c>
      <x:c r="J41" s="150"/>
      <x:c r="K41" s="150"/>
      <x:c r="L41" s="150"/>
      <x:c r="M41" s="150"/>
      <x:c r="N41" s="150"/>
      <x:c r="O41" s="150"/>
      <x:c r="P41" s="150"/>
      <x:c r="Q41" s="150"/>
    </x:row>
    <x:row r="42" ht="29" customHeight="1">
      <x:c r="A42" s="150"/>
      <x:c r="B42" s="150"/>
      <x:c r="C42" s="150"/>
      <x:c r="D42" s="150"/>
      <x:c r="E42" s="150"/>
      <x:c r="F42" s="150"/>
      <x:c r="G42" s="154" t="str">
        <x:v>Technology Hardware, Storage &amp; Peripherals</x:v>
      </x:c>
      <x:c r="H42" s="66" t="n">
        <x:f>SUMIF('Portfolio Inputs'!F8:F289,G42,'Portfolio Inputs'!D8:D289)</x:f>
        <x:v>3546000</x:v>
      </x:c>
      <x:c r="I42" s="75" t="n">
        <x:f>IF(Portfolio_Par&gt;0,H42/Portfolio_Par,"")</x:f>
        <x:v>0.01182</x:v>
      </x:c>
      <x:c r="J42" s="150"/>
      <x:c r="K42" s="150"/>
      <x:c r="L42" s="150"/>
      <x:c r="M42" s="150"/>
      <x:c r="N42" s="150"/>
      <x:c r="O42" s="150"/>
      <x:c r="P42" s="150"/>
      <x:c r="Q42" s="150"/>
    </x:row>
    <x:row r="43" ht="29" customHeight="1">
      <x:c r="A43" s="150"/>
      <x:c r="B43" s="150"/>
      <x:c r="C43" s="150"/>
      <x:c r="D43" s="150"/>
      <x:c r="E43" s="150"/>
      <x:c r="F43" s="150"/>
      <x:c r="G43" s="154" t="str">
        <x:v>Gas Utilities</x:v>
      </x:c>
      <x:c r="H43" s="66" t="n">
        <x:f>SUMIF('Portfolio Inputs'!F8:F289,G43,'Portfolio Inputs'!D8:D289)</x:f>
        <x:v>2994000</x:v>
      </x:c>
      <x:c r="I43" s="75" t="n">
        <x:f>IF(Portfolio_Par&gt;0,H43/Portfolio_Par,"")</x:f>
        <x:v>0.00998</x:v>
      </x:c>
      <x:c r="J43" s="150"/>
      <x:c r="K43" s="150"/>
      <x:c r="L43" s="150"/>
      <x:c r="M43" s="150"/>
      <x:c r="N43" s="150"/>
      <x:c r="O43" s="150"/>
      <x:c r="P43" s="150"/>
      <x:c r="Q43" s="150"/>
    </x:row>
    <x:row r="44" ht="29" customHeight="1">
      <x:c r="A44" s="150"/>
      <x:c r="B44" s="150"/>
      <x:c r="C44" s="150"/>
      <x:c r="D44" s="150"/>
      <x:c r="E44" s="150"/>
      <x:c r="F44" s="150"/>
      <x:c r="G44" s="154" t="str">
        <x:v>Construction &amp; Engineering</x:v>
      </x:c>
      <x:c r="H44" s="66" t="n">
        <x:f>SUMIF('Portfolio Inputs'!F8:F289,G44,'Portfolio Inputs'!D8:D289)</x:f>
        <x:v>2994000</x:v>
      </x:c>
      <x:c r="I44" s="75" t="n">
        <x:f>IF(Portfolio_Par&gt;0,H44/Portfolio_Par,"")</x:f>
        <x:v>0.00998</x:v>
      </x:c>
      <x:c r="J44" s="150"/>
      <x:c r="K44" s="150"/>
      <x:c r="L44" s="150"/>
      <x:c r="M44" s="150"/>
      <x:c r="N44" s="150"/>
      <x:c r="O44" s="150"/>
      <x:c r="P44" s="150"/>
      <x:c r="Q44" s="150"/>
    </x:row>
    <x:row r="45" ht="29" customHeight="1">
      <x:c r="A45" s="150"/>
      <x:c r="B45" s="150"/>
      <x:c r="C45" s="150"/>
      <x:c r="D45" s="150"/>
      <x:c r="E45" s="150"/>
      <x:c r="F45" s="150"/>
      <x:c r="G45" s="154" t="str">
        <x:v>Specialty Retail</x:v>
      </x:c>
      <x:c r="H45" s="66" t="n">
        <x:f>SUMIF('Portfolio Inputs'!F8:F289,G45,'Portfolio Inputs'!D8:D289)</x:f>
        <x:v>2994000</x:v>
      </x:c>
      <x:c r="I45" s="75" t="n">
        <x:f>IF(Portfolio_Par&gt;0,H45/Portfolio_Par,"")</x:f>
        <x:v>0.00998</x:v>
      </x:c>
      <x:c r="J45" s="150"/>
      <x:c r="K45" s="150"/>
      <x:c r="L45" s="150"/>
      <x:c r="M45" s="150"/>
      <x:c r="N45" s="150"/>
      <x:c r="O45" s="150"/>
      <x:c r="P45" s="150"/>
      <x:c r="Q45" s="150"/>
    </x:row>
    <x:row r="46" ht="29" customHeight="1">
      <x:c r="A46" s="150"/>
      <x:c r="B46" s="150"/>
      <x:c r="C46" s="150"/>
      <x:c r="D46" s="150"/>
      <x:c r="E46" s="150"/>
      <x:c r="F46" s="150"/>
      <x:c r="G46" s="154" t="str">
        <x:v>Ground transportation</x:v>
      </x:c>
      <x:c r="H46" s="66" t="n">
        <x:f>SUMIF('Portfolio Inputs'!F8:F289,G46,'Portfolio Inputs'!D8:D289)</x:f>
        <x:v>2994000</x:v>
      </x:c>
      <x:c r="I46" s="75" t="n">
        <x:f>IF(Portfolio_Par&gt;0,H46/Portfolio_Par,"")</x:f>
        <x:v>0.00998</x:v>
      </x:c>
      <x:c r="J46" s="150"/>
      <x:c r="K46" s="150"/>
      <x:c r="L46" s="150"/>
      <x:c r="M46" s="150"/>
      <x:c r="N46" s="150"/>
      <x:c r="O46" s="150"/>
      <x:c r="P46" s="150"/>
      <x:c r="Q46" s="150"/>
    </x:row>
    <x:row r="47" ht="29" customHeight="1">
      <x:c r="A47" s="150"/>
      <x:c r="B47" s="150"/>
      <x:c r="C47" s="150"/>
      <x:c r="D47" s="150"/>
      <x:c r="E47" s="150"/>
      <x:c r="F47" s="150"/>
      <x:c r="G47" s="154" t="str">
        <x:v>Pharmaceuticals</x:v>
      </x:c>
      <x:c r="H47" s="66" t="n">
        <x:f>SUMIF('Portfolio Inputs'!F8:F289,G47,'Portfolio Inputs'!D8:D289)</x:f>
        <x:v>2364000</x:v>
      </x:c>
      <x:c r="I47" s="75" t="n">
        <x:f>IF(Portfolio_Par&gt;0,H47/Portfolio_Par,"")</x:f>
        <x:v>0.00788</x:v>
      </x:c>
      <x:c r="J47" s="150"/>
      <x:c r="K47" s="150"/>
      <x:c r="L47" s="150"/>
      <x:c r="M47" s="150"/>
      <x:c r="N47" s="150"/>
      <x:c r="O47" s="150"/>
      <x:c r="P47" s="150"/>
      <x:c r="Q47" s="150"/>
    </x:row>
    <x:row r="48" ht="29" customHeight="1">
      <x:c r="A48" s="150"/>
      <x:c r="B48" s="150"/>
      <x:c r="C48" s="150"/>
      <x:c r="D48" s="150"/>
      <x:c r="E48" s="150"/>
      <x:c r="F48" s="150"/>
      <x:c r="G48" s="154" t="str">
        <x:v>Independent Power and Renewable Electricity Producers</x:v>
      </x:c>
      <x:c r="H48" s="66" t="n">
        <x:f>SUMIF('Portfolio Inputs'!F8:F289,G48,'Portfolio Inputs'!D8:D289)</x:f>
        <x:v>2364000</x:v>
      </x:c>
      <x:c r="I48" s="75" t="n">
        <x:f>IF(Portfolio_Par&gt;0,H48/Portfolio_Par,"")</x:f>
        <x:v>0.00788</x:v>
      </x:c>
      <x:c r="J48" s="150"/>
      <x:c r="K48" s="150"/>
      <x:c r="L48" s="150"/>
      <x:c r="M48" s="150"/>
      <x:c r="N48" s="150"/>
      <x:c r="O48" s="150"/>
      <x:c r="P48" s="150"/>
      <x:c r="Q48" s="150"/>
    </x:row>
    <x:row r="49" ht="29" customHeight="1">
      <x:c r="A49" s="150"/>
      <x:c r="B49" s="150"/>
      <x:c r="C49" s="150"/>
      <x:c r="D49" s="150"/>
      <x:c r="E49" s="150"/>
      <x:c r="F49" s="150"/>
      <x:c r="G49" s="154" t="str">
        <x:v>Household Durables</x:v>
      </x:c>
      <x:c r="H49" s="66" t="n">
        <x:f>SUMIF('Portfolio Inputs'!F8:F289,G49,'Portfolio Inputs'!D8:D289)</x:f>
        <x:v>2364000</x:v>
      </x:c>
      <x:c r="I49" s="75" t="n">
        <x:f>IF(Portfolio_Par&gt;0,H49/Portfolio_Par,"")</x:f>
        <x:v>0.00788</x:v>
      </x:c>
      <x:c r="J49" s="150"/>
      <x:c r="K49" s="150"/>
      <x:c r="L49" s="150"/>
      <x:c r="M49" s="150"/>
      <x:c r="N49" s="150"/>
      <x:c r="O49" s="150"/>
      <x:c r="P49" s="150"/>
      <x:c r="Q49" s="150"/>
    </x:row>
    <x:row r="50" ht="29" customHeight="1">
      <x:c r="A50" s="150"/>
      <x:c r="B50" s="150"/>
      <x:c r="C50" s="150"/>
      <x:c r="D50" s="150"/>
      <x:c r="E50" s="150"/>
      <x:c r="F50" s="150"/>
      <x:c r="G50" s="154" t="str">
        <x:v>Automobiles</x:v>
      </x:c>
      <x:c r="H50" s="66" t="n">
        <x:f>SUMIF('Portfolio Inputs'!F8:F289,G50,'Portfolio Inputs'!D8:D289)</x:f>
        <x:v>2364000</x:v>
      </x:c>
      <x:c r="I50" s="75" t="n">
        <x:f>IF(Portfolio_Par&gt;0,H50/Portfolio_Par,"")</x:f>
        <x:v>0.00788</x:v>
      </x:c>
      <x:c r="J50" s="150"/>
      <x:c r="K50" s="150"/>
      <x:c r="L50" s="150"/>
      <x:c r="M50" s="150"/>
      <x:c r="N50" s="150"/>
      <x:c r="O50" s="150"/>
      <x:c r="P50" s="150"/>
      <x:c r="Q50" s="150"/>
    </x:row>
    <x:row r="51" ht="29" customHeight="1">
      <x:c r="A51" s="150"/>
      <x:c r="B51" s="150"/>
      <x:c r="C51" s="150"/>
      <x:c r="D51" s="150"/>
      <x:c r="E51" s="150"/>
      <x:c r="F51" s="150"/>
      <x:c r="G51" s="154" t="str">
        <x:v>Communications Equipment</x:v>
      </x:c>
      <x:c r="H51" s="66" t="n">
        <x:f>SUMIF('Portfolio Inputs'!F8:F289,G51,'Portfolio Inputs'!D8:D289)</x:f>
        <x:v>2364000</x:v>
      </x:c>
      <x:c r="I51" s="75" t="n">
        <x:f>IF(Portfolio_Par&gt;0,H51/Portfolio_Par,"")</x:f>
        <x:v>0.00788</x:v>
      </x:c>
      <x:c r="J51" s="150"/>
      <x:c r="K51" s="150"/>
      <x:c r="L51" s="150"/>
      <x:c r="M51" s="150"/>
      <x:c r="N51" s="150"/>
      <x:c r="O51" s="150"/>
      <x:c r="P51" s="150"/>
      <x:c r="Q51" s="150"/>
    </x:row>
    <x:row r="52" ht="29" customHeight="1">
      <x:c r="A52" s="150"/>
      <x:c r="B52" s="150"/>
      <x:c r="C52" s="150"/>
      <x:c r="D52" s="150"/>
      <x:c r="E52" s="150"/>
      <x:c r="F52" s="150"/>
      <x:c r="G52" s="154" t="str">
        <x:v>Textiles, Apparel &amp; Luxury Goods</x:v>
      </x:c>
      <x:c r="H52" s="66" t="n">
        <x:f>SUMIF('Portfolio Inputs'!F8:F289,G52,'Portfolio Inputs'!D8:D289)</x:f>
        <x:v>1812000</x:v>
      </x:c>
      <x:c r="I52" s="75" t="n">
        <x:f>IF(Portfolio_Par&gt;0,H52/Portfolio_Par,"")</x:f>
        <x:v>0.00604</x:v>
      </x:c>
      <x:c r="J52" s="150"/>
      <x:c r="K52" s="150"/>
      <x:c r="L52" s="150"/>
      <x:c r="M52" s="150"/>
      <x:c r="N52" s="150"/>
      <x:c r="O52" s="150"/>
      <x:c r="P52" s="150"/>
      <x:c r="Q52" s="150"/>
    </x:row>
    <x:row r="53" ht="29" customHeight="1">
      <x:c r="A53" s="150"/>
      <x:c r="B53" s="150"/>
      <x:c r="C53" s="150"/>
      <x:c r="D53" s="150"/>
      <x:c r="E53" s="150"/>
      <x:c r="F53" s="150"/>
      <x:c r="G53" s="154" t="str">
        <x:v>Beverages</x:v>
      </x:c>
      <x:c r="H53" s="66" t="n">
        <x:f>SUMIF('Portfolio Inputs'!F8:F289,G53,'Portfolio Inputs'!D8:D289)</x:f>
        <x:v>1260000</x:v>
      </x:c>
      <x:c r="I53" s="75" t="n">
        <x:f>IF(Portfolio_Par&gt;0,H53/Portfolio_Par,"")</x:f>
        <x:v>0.0042</x:v>
      </x:c>
      <x:c r="J53" s="150"/>
      <x:c r="K53" s="150"/>
      <x:c r="L53" s="150"/>
      <x:c r="M53" s="150"/>
      <x:c r="N53" s="150"/>
      <x:c r="O53" s="150"/>
      <x:c r="P53" s="150"/>
      <x:c r="Q53" s="150"/>
    </x:row>
    <x:row r="54" ht="29" customHeight="1">
      <x:c r="A54" s="150"/>
      <x:c r="B54" s="150"/>
      <x:c r="C54" s="150"/>
      <x:c r="D54" s="150"/>
      <x:c r="E54" s="150"/>
      <x:c r="F54" s="150"/>
      <x:c r="G54" s="154" t="str">
        <x:v>Electrical Equipment</x:v>
      </x:c>
      <x:c r="H54" s="66" t="n">
        <x:f>SUMIF('Portfolio Inputs'!F8:F289,G54,'Portfolio Inputs'!D8:D289)</x:f>
        <x:v>1260000</x:v>
      </x:c>
      <x:c r="I54" s="75" t="n">
        <x:f>IF(Portfolio_Par&gt;0,H54/Portfolio_Par,"")</x:f>
        <x:v>0.0042</x:v>
      </x:c>
      <x:c r="J54" s="150"/>
      <x:c r="K54" s="150"/>
      <x:c r="L54" s="150"/>
      <x:c r="M54" s="150"/>
      <x:c r="N54" s="150"/>
      <x:c r="O54" s="150"/>
      <x:c r="P54" s="150"/>
      <x:c r="Q54" s="150"/>
    </x:row>
    <x:row r="55" ht="29" customHeight="1">
      <x:c r="A55" s="150"/>
      <x:c r="B55" s="150"/>
      <x:c r="C55" s="150"/>
      <x:c r="D55" s="150"/>
      <x:c r="E55" s="150"/>
      <x:c r="F55" s="150"/>
      <x:c r="G55" s="154" t="str">
        <x:v>Interactive media and services</x:v>
      </x:c>
      <x:c r="H55" s="66" t="n">
        <x:f>SUMIF('Portfolio Inputs'!F8:F289,G55,'Portfolio Inputs'!D8:D289)</x:f>
        <x:v>1182000</x:v>
      </x:c>
      <x:c r="I55" s="75" t="n">
        <x:f>IF(Portfolio_Par&gt;0,H55/Portfolio_Par,"")</x:f>
        <x:v>0.00394</x:v>
      </x:c>
      <x:c r="J55" s="150"/>
      <x:c r="K55" s="150"/>
      <x:c r="L55" s="150"/>
      <x:c r="M55" s="150"/>
      <x:c r="N55" s="150"/>
      <x:c r="O55" s="150"/>
      <x:c r="P55" s="150"/>
      <x:c r="Q55" s="150"/>
    </x:row>
    <x:row r="56" ht="29" customHeight="1">
      <x:c r="A56" s="150"/>
      <x:c r="B56" s="150"/>
      <x:c r="C56" s="150"/>
      <x:c r="D56" s="150"/>
      <x:c r="E56" s="150"/>
      <x:c r="F56" s="150"/>
      <x:c r="G56" s="154" t="str">
        <x:v>Electronic Equipment, Instruments &amp; Components</x:v>
      </x:c>
      <x:c r="H56" s="66" t="n">
        <x:f>SUMIF('Portfolio Inputs'!F8:F289,G56,'Portfolio Inputs'!D8:D289)</x:f>
        <x:v>1182000</x:v>
      </x:c>
      <x:c r="I56" s="75" t="n">
        <x:f>IF(Portfolio_Par&gt;0,H56/Portfolio_Par,"")</x:f>
        <x:v>0.00394</x:v>
      </x:c>
      <x:c r="J56" s="150"/>
      <x:c r="K56" s="150"/>
      <x:c r="L56" s="150"/>
      <x:c r="M56" s="150"/>
      <x:c r="N56" s="150"/>
      <x:c r="O56" s="150"/>
      <x:c r="P56" s="150"/>
      <x:c r="Q56" s="150"/>
    </x:row>
    <x:row r="57" ht="29" customHeight="1">
      <x:c r="A57" s="150"/>
      <x:c r="B57" s="150"/>
      <x:c r="C57" s="150"/>
      <x:c r="D57" s="150"/>
      <x:c r="E57" s="150"/>
      <x:c r="F57" s="150"/>
      <x:c r="G57" s="154" t="str">
        <x:v>Real Estate Management &amp; Development</x:v>
      </x:c>
      <x:c r="H57" s="66" t="n">
        <x:f>SUMIF('Portfolio Inputs'!F8:F289,G57,'Portfolio Inputs'!D8:D289)</x:f>
        <x:v>1182000</x:v>
      </x:c>
      <x:c r="I57" s="75" t="n">
        <x:f>IF(Portfolio_Par&gt;0,H57/Portfolio_Par,"")</x:f>
        <x:v>0.00394</x:v>
      </x:c>
      <x:c r="J57" s="150"/>
      <x:c r="K57" s="150"/>
      <x:c r="L57" s="150"/>
      <x:c r="M57" s="150"/>
      <x:c r="N57" s="150"/>
      <x:c r="O57" s="150"/>
      <x:c r="P57" s="150"/>
      <x:c r="Q57" s="150"/>
    </x:row>
    <x:row r="58" ht="29" customHeight="1">
      <x:c r="A58" s="150"/>
      <x:c r="B58" s="150"/>
      <x:c r="C58" s="150"/>
      <x:c r="D58" s="150"/>
      <x:c r="E58" s="150"/>
      <x:c r="F58" s="150"/>
      <x:c r="G58" s="154" t="str">
        <x:v>Life Sciences Tools &amp; Services</x:v>
      </x:c>
      <x:c r="H58" s="66" t="n">
        <x:f>SUMIF('Portfolio Inputs'!F8:F289,G58,'Portfolio Inputs'!D8:D289)</x:f>
        <x:v>1182000</x:v>
      </x:c>
      <x:c r="I58" s="75" t="n">
        <x:f>IF(Portfolio_Par&gt;0,H58/Portfolio_Par,"")</x:f>
        <x:v>0.00394</x:v>
      </x:c>
      <x:c r="J58" s="150"/>
      <x:c r="K58" s="150"/>
      <x:c r="L58" s="150"/>
      <x:c r="M58" s="150"/>
      <x:c r="N58" s="150"/>
      <x:c r="O58" s="150"/>
      <x:c r="P58" s="150"/>
      <x:c r="Q58" s="150"/>
    </x:row>
    <x:row r="59" ht="29" customHeight="1">
      <x:c r="A59" s="150"/>
      <x:c r="B59" s="150"/>
      <x:c r="C59" s="150"/>
      <x:c r="D59" s="150"/>
      <x:c r="E59" s="150"/>
      <x:c r="F59" s="150"/>
      <x:c r="G59" s="154" t="str">
        <x:v>Distributors</x:v>
      </x:c>
      <x:c r="H59" s="66" t="n">
        <x:f>SUMIF('Portfolio Inputs'!F8:F289,G59,'Portfolio Inputs'!D8:D289)</x:f>
        <x:v>1182000</x:v>
      </x:c>
      <x:c r="I59" s="75" t="n">
        <x:f>IF(Portfolio_Par&gt;0,H59/Portfolio_Par,"")</x:f>
        <x:v>0.00394</x:v>
      </x:c>
      <x:c r="J59" s="150"/>
      <x:c r="K59" s="150"/>
      <x:c r="L59" s="150"/>
      <x:c r="M59" s="150"/>
      <x:c r="N59" s="150"/>
      <x:c r="O59" s="150"/>
      <x:c r="P59" s="150"/>
      <x:c r="Q59" s="150"/>
    </x:row>
    <x:row r="60" ht="29" customHeight="1">
      <x:c r="A60" s="150"/>
      <x:c r="B60" s="150"/>
      <x:c r="C60" s="150"/>
      <x:c r="D60" s="150"/>
      <x:c r="E60" s="150"/>
      <x:c r="F60" s="150"/>
      <x:c r="G60" s="154" t="str">
        <x:v>Trading Companies &amp; Distributors</x:v>
      </x:c>
      <x:c r="H60" s="66" t="n">
        <x:f>SUMIF('Portfolio Inputs'!F8:F289,G60,'Portfolio Inputs'!D8:D289)</x:f>
        <x:v>1182000</x:v>
      </x:c>
      <x:c r="I60" s="75" t="n">
        <x:f>IF(Portfolio_Par&gt;0,H60/Portfolio_Par,"")</x:f>
        <x:v>0.00394</x:v>
      </x:c>
      <x:c r="J60" s="150"/>
      <x:c r="K60" s="150"/>
      <x:c r="L60" s="150"/>
      <x:c r="M60" s="150"/>
      <x:c r="N60" s="150"/>
      <x:c r="O60" s="150"/>
      <x:c r="P60" s="150"/>
      <x:c r="Q60" s="150"/>
    </x:row>
    <x:row r="61" ht="29" customHeight="1">
      <x:c r="A61" s="150"/>
      <x:c r="B61" s="150"/>
      <x:c r="C61" s="150"/>
      <x:c r="D61" s="150"/>
      <x:c r="E61" s="150"/>
      <x:c r="F61" s="150"/>
      <x:c r="G61" s="154" t="str">
        <x:v>Wireless Telecommunication Services</x:v>
      </x:c>
      <x:c r="H61" s="66" t="n">
        <x:f>SUMIF('Portfolio Inputs'!F8:F289,G61,'Portfolio Inputs'!D8:D289)</x:f>
        <x:v>630000</x:v>
      </x:c>
      <x:c r="I61" s="75" t="n">
        <x:f>IF(Portfolio_Par&gt;0,H61/Portfolio_Par,"")</x:f>
        <x:v>0.0021</x:v>
      </x:c>
      <x:c r="J61" s="150"/>
      <x:c r="K61" s="150"/>
      <x:c r="L61" s="150"/>
      <x:c r="M61" s="150"/>
      <x:c r="N61" s="150"/>
      <x:c r="O61" s="150"/>
      <x:c r="P61" s="150"/>
      <x:c r="Q61" s="150"/>
    </x:row>
    <x:row r="62" ht="29" customHeight="1">
      <x:c r="A62" s="150"/>
      <x:c r="B62" s="150"/>
      <x:c r="C62" s="150"/>
      <x:c r="D62" s="150"/>
      <x:c r="E62" s="150"/>
      <x:c r="F62" s="150"/>
      <x:c r="G62" s="154"/>
      <x:c r="H62" s="150"/>
      <x:c r="I62" s="150"/>
      <x:c r="J62" s="150"/>
      <x:c r="K62" s="150"/>
      <x:c r="L62" s="150"/>
      <x:c r="M62" s="150"/>
      <x:c r="N62" s="150"/>
      <x:c r="O62" s="150"/>
      <x:c r="P62" s="150"/>
      <x:c r="Q62" s="150"/>
    </x:row>
    <x:row r="63" ht="29" customHeight="1">
      <x:c r="A63" s="150"/>
      <x:c r="B63" s="150"/>
      <x:c r="C63" s="150"/>
      <x:c r="D63" s="150"/>
      <x:c r="E63" s="150"/>
      <x:c r="F63" s="150"/>
      <x:c r="G63" s="154"/>
      <x:c r="H63" s="150"/>
      <x:c r="I63" s="150"/>
      <x:c r="J63" s="150"/>
      <x:c r="K63" s="150"/>
      <x:c r="L63" s="150"/>
      <x:c r="M63" s="150"/>
      <x:c r="N63" s="150"/>
      <x:c r="O63" s="150"/>
      <x:c r="P63" s="150"/>
      <x:c r="Q63" s="150"/>
    </x:row>
    <x:row r="64" ht="29" customHeight="1">
      <x:c r="A64" s="150"/>
      <x:c r="B64" s="150"/>
      <x:c r="C64" s="150"/>
      <x:c r="D64" s="150"/>
      <x:c r="E64" s="150"/>
      <x:c r="F64" s="150"/>
      <x:c r="G64" s="7" t="str">
        <x:v>Rating input</x:v>
      </x:c>
      <x:c r="H64" s="7" t="str">
        <x:v>Par</x:v>
      </x:c>
      <x:c r="I64" s="7" t="str">
        <x:v>Share</x:v>
      </x:c>
      <x:c r="J64" s="150"/>
      <x:c r="K64" s="150"/>
      <x:c r="L64" s="150"/>
      <x:c r="M64" s="150"/>
      <x:c r="N64" s="150"/>
      <x:c r="O64" s="150"/>
      <x:c r="P64" s="150"/>
      <x:c r="Q64" s="150"/>
    </x:row>
    <x:row r="65" ht="29" customHeight="1">
      <x:c r="A65" s="150"/>
      <x:c r="B65" s="150"/>
      <x:c r="C65" s="150"/>
      <x:c r="D65" s="150"/>
      <x:c r="E65" s="150"/>
      <x:c r="F65" s="150"/>
      <x:c r="G65" s="154" t="str">
        <x:v>B</x:v>
      </x:c>
      <x:c r="H65" s="66" t="n">
        <x:f>SUMIF('Portfolio Inputs'!E8:E289,G65,'Portfolio Inputs'!D8:D289)</x:f>
        <x:v>91394000</x:v>
      </x:c>
      <x:c r="I65" s="75" t="n">
        <x:f>IF(Portfolio_Par&gt;0,H65/Portfolio_Par,"")</x:f>
        <x:v>0.3046466666666667</x:v>
      </x:c>
      <x:c r="J65" s="150"/>
      <x:c r="K65" s="150"/>
      <x:c r="L65" s="150"/>
      <x:c r="M65" s="150"/>
      <x:c r="N65" s="150"/>
      <x:c r="O65" s="150"/>
      <x:c r="P65" s="150"/>
      <x:c r="Q65" s="150"/>
    </x:row>
    <x:row r="66" ht="29" customHeight="1">
      <x:c r="A66" s="150"/>
      <x:c r="B66" s="150"/>
      <x:c r="C66" s="150"/>
      <x:c r="D66" s="150"/>
      <x:c r="E66" s="150"/>
      <x:c r="F66" s="150"/>
      <x:c r="G66" s="154" t="str">
        <x:v>B-</x:v>
      </x:c>
      <x:c r="H66" s="66" t="n">
        <x:f>SUMIF('Portfolio Inputs'!E8:E289,G66,'Portfolio Inputs'!D8:D289)</x:f>
        <x:v>65166000</x:v>
      </x:c>
      <x:c r="I66" s="75" t="n">
        <x:f>IF(Portfolio_Par&gt;0,H66/Portfolio_Par,"")</x:f>
        <x:v>0.21722</x:v>
      </x:c>
      <x:c r="J66" s="150"/>
      <x:c r="K66" s="150"/>
      <x:c r="L66" s="150"/>
      <x:c r="M66" s="150"/>
      <x:c r="N66" s="150"/>
      <x:c r="O66" s="150"/>
      <x:c r="P66" s="150"/>
      <x:c r="Q66" s="150"/>
    </x:row>
    <x:row r="67" ht="29" customHeight="1">
      <x:c r="A67" s="150"/>
      <x:c r="B67" s="150"/>
      <x:c r="C67" s="150"/>
      <x:c r="D67" s="150"/>
      <x:c r="E67" s="150"/>
      <x:c r="F67" s="150"/>
      <x:c r="G67" s="154" t="str">
        <x:v>B+</x:v>
      </x:c>
      <x:c r="H67" s="66" t="n">
        <x:f>SUMIF('Portfolio Inputs'!E8:E289,G67,'Portfolio Inputs'!D8:D289)</x:f>
        <x:v>50982000</x:v>
      </x:c>
      <x:c r="I67" s="75" t="n">
        <x:f>IF(Portfolio_Par&gt;0,H67/Portfolio_Par,"")</x:f>
        <x:v>0.16994</x:v>
      </x:c>
      <x:c r="J67" s="150"/>
      <x:c r="K67" s="150"/>
      <x:c r="L67" s="150"/>
      <x:c r="M67" s="150"/>
      <x:c r="N67" s="150"/>
      <x:c r="O67" s="150"/>
      <x:c r="P67" s="150"/>
      <x:c r="Q67" s="150"/>
    </x:row>
    <x:row r="68" ht="29" customHeight="1">
      <x:c r="A68" s="150"/>
      <x:c r="B68" s="150"/>
      <x:c r="C68" s="150"/>
      <x:c r="D68" s="150"/>
      <x:c r="E68" s="150"/>
      <x:c r="F68" s="150"/>
      <x:c r="G68" s="154" t="str">
        <x:v>BB-</x:v>
      </x:c>
      <x:c r="H68" s="66" t="n">
        <x:f>SUMIF('Portfolio Inputs'!E8:E289,G68,'Portfolio Inputs'!D8:D289)</x:f>
        <x:v>44442000</x:v>
      </x:c>
      <x:c r="I68" s="75" t="n">
        <x:f>IF(Portfolio_Par&gt;0,H68/Portfolio_Par,"")</x:f>
        <x:v>0.14814</x:v>
      </x:c>
      <x:c r="J68" s="150"/>
      <x:c r="K68" s="150"/>
      <x:c r="L68" s="150"/>
      <x:c r="M68" s="150"/>
      <x:c r="N68" s="150"/>
      <x:c r="O68" s="150"/>
      <x:c r="P68" s="150"/>
      <x:c r="Q68" s="150"/>
    </x:row>
    <x:row r="69" ht="29" customHeight="1">
      <x:c r="A69" s="150"/>
      <x:c r="B69" s="150"/>
      <x:c r="C69" s="150"/>
      <x:c r="D69" s="150"/>
      <x:c r="E69" s="150"/>
      <x:c r="F69" s="150"/>
      <x:c r="G69" s="154" t="str">
        <x:v>BB</x:v>
      </x:c>
      <x:c r="H69" s="66" t="n">
        <x:f>SUMIF('Portfolio Inputs'!E8:E289,G69,'Portfolio Inputs'!D8:D289)</x:f>
        <x:v>27894000</x:v>
      </x:c>
      <x:c r="I69" s="75" t="n">
        <x:f>IF(Portfolio_Par&gt;0,H69/Portfolio_Par,"")</x:f>
        <x:v>0.09298</x:v>
      </x:c>
      <x:c r="J69" s="150"/>
      <x:c r="K69" s="150"/>
      <x:c r="L69" s="150"/>
      <x:c r="M69" s="150"/>
      <x:c r="N69" s="150"/>
      <x:c r="O69" s="150"/>
      <x:c r="P69" s="150"/>
      <x:c r="Q69" s="150"/>
    </x:row>
    <x:row r="70" ht="29" customHeight="1">
      <x:c r="A70" s="150"/>
      <x:c r="B70" s="150"/>
      <x:c r="C70" s="150"/>
      <x:c r="D70" s="150"/>
      <x:c r="E70" s="150"/>
      <x:c r="F70" s="150"/>
      <x:c r="G70" s="154" t="str">
        <x:v>BB+</x:v>
      </x:c>
      <x:c r="H70" s="66" t="n">
        <x:f>SUMIF('Portfolio Inputs'!E8:E289,G70,'Portfolio Inputs'!D8:D289)</x:f>
        <x:v>10794000</x:v>
      </x:c>
      <x:c r="I70" s="75" t="n">
        <x:f>IF(Portfolio_Par&gt;0,H70/Portfolio_Par,"")</x:f>
        <x:v>0.03598</x:v>
      </x:c>
      <x:c r="J70" s="150"/>
      <x:c r="K70" s="150"/>
      <x:c r="L70" s="150"/>
      <x:c r="M70" s="150"/>
      <x:c r="N70" s="150"/>
      <x:c r="O70" s="150"/>
      <x:c r="P70" s="150"/>
      <x:c r="Q70" s="150"/>
    </x:row>
    <x:row r="71" ht="29" customHeight="1">
      <x:c r="A71" s="150"/>
      <x:c r="B71" s="150"/>
      <x:c r="C71" s="150"/>
      <x:c r="D71" s="150"/>
      <x:c r="E71" s="150"/>
      <x:c r="F71" s="150"/>
      <x:c r="G71" s="154" t="str">
        <x:v>BBB-</x:v>
      </x:c>
      <x:c r="H71" s="66" t="n">
        <x:f>SUMIF('Portfolio Inputs'!E8:E289,G71,'Portfolio Inputs'!D8:D289)</x:f>
        <x:v>4332000</x:v>
      </x:c>
      <x:c r="I71" s="75" t="n">
        <x:f>IF(Portfolio_Par&gt;0,H71/Portfolio_Par,"")</x:f>
        <x:v>0.01444</x:v>
      </x:c>
      <x:c r="J71" s="150"/>
      <x:c r="K71" s="150"/>
      <x:c r="L71" s="150"/>
      <x:c r="M71" s="150"/>
      <x:c r="N71" s="150"/>
      <x:c r="O71" s="150"/>
      <x:c r="P71" s="150"/>
      <x:c r="Q71" s="150"/>
    </x:row>
    <x:row r="72" ht="29" customHeight="1">
      <x:c r="A72" s="150"/>
      <x:c r="B72" s="150"/>
      <x:c r="C72" s="150"/>
      <x:c r="D72" s="150"/>
      <x:c r="E72" s="150"/>
      <x:c r="F72" s="150"/>
      <x:c r="G72" s="154" t="str">
        <x:v>BBB+</x:v>
      </x:c>
      <x:c r="H72" s="66" t="n">
        <x:f>SUMIF('Portfolio Inputs'!E8:E289,G72,'Portfolio Inputs'!D8:D289)</x:f>
        <x:v>2520000</x:v>
      </x:c>
      <x:c r="I72" s="75" t="n">
        <x:f>IF(Portfolio_Par&gt;0,H72/Portfolio_Par,"")</x:f>
        <x:v>0.0084</x:v>
      </x:c>
      <x:c r="J72" s="150"/>
      <x:c r="K72" s="150"/>
      <x:c r="L72" s="150"/>
      <x:c r="M72" s="150"/>
      <x:c r="N72" s="150"/>
      <x:c r="O72" s="150"/>
      <x:c r="P72" s="150"/>
      <x:c r="Q72" s="150"/>
    </x:row>
    <x:row r="73" ht="29" customHeight="1">
      <x:c r="A73" s="150"/>
      <x:c r="B73" s="150"/>
      <x:c r="C73" s="150"/>
      <x:c r="D73" s="150"/>
      <x:c r="E73" s="150"/>
      <x:c r="F73" s="150"/>
      <x:c r="G73" s="154" t="str">
        <x:v>A-</x:v>
      </x:c>
      <x:c r="H73" s="66" t="n">
        <x:f>SUMIF('Portfolio Inputs'!E8:E289,G73,'Portfolio Inputs'!D8:D289)</x:f>
        <x:v>1260000</x:v>
      </x:c>
      <x:c r="I73" s="75" t="n">
        <x:f>IF(Portfolio_Par&gt;0,H73/Portfolio_Par,"")</x:f>
        <x:v>0.0042</x:v>
      </x:c>
      <x:c r="J73" s="150"/>
      <x:c r="K73" s="150"/>
      <x:c r="L73" s="150"/>
      <x:c r="M73" s="150"/>
      <x:c r="N73" s="150"/>
      <x:c r="O73" s="150"/>
      <x:c r="P73" s="150"/>
      <x:c r="Q73" s="150"/>
    </x:row>
    <x:row r="74" ht="29" customHeight="1">
      <x:c r="A74" s="150"/>
      <x:c r="B74" s="150"/>
      <x:c r="C74" s="150"/>
      <x:c r="D74" s="150"/>
      <x:c r="E74" s="150"/>
      <x:c r="F74" s="150"/>
      <x:c r="G74" s="154" t="str">
        <x:v>BBB</x:v>
      </x:c>
      <x:c r="H74" s="66" t="n">
        <x:f>SUMIF('Portfolio Inputs'!E8:E289,G74,'Portfolio Inputs'!D8:D289)</x:f>
        <x:v>1216000</x:v>
      </x:c>
      <x:c r="I74" s="75" t="n">
        <x:f>IF(Portfolio_Par&gt;0,H74/Portfolio_Par,"")</x:f>
        <x:v>0.004053333333333333</x:v>
      </x:c>
      <x:c r="J74" s="150"/>
      <x:c r="K74" s="150"/>
      <x:c r="L74" s="150"/>
      <x:c r="M74" s="150"/>
      <x:c r="N74" s="150"/>
      <x:c r="O74" s="150"/>
      <x:c r="P74" s="150"/>
      <x:c r="Q74" s="150"/>
    </x:row>
    <x:row r="75" ht="29" customHeight="1">
      <x:c r="A75" s="150"/>
      <x:c r="B75" s="150"/>
      <x:c r="C75" s="150"/>
      <x:c r="D75" s="150"/>
      <x:c r="E75" s="150"/>
      <x:c r="F75" s="150"/>
      <x:c r="G75" s="154"/>
      <x:c r="H75" s="150"/>
      <x:c r="I75" s="150"/>
      <x:c r="J75" s="150"/>
      <x:c r="K75" s="150"/>
      <x:c r="L75" s="150"/>
      <x:c r="M75" s="150"/>
      <x:c r="N75" s="150"/>
      <x:c r="O75" s="150"/>
      <x:c r="P75" s="150"/>
      <x:c r="Q75" s="150"/>
    </x:row>
    <x:row r="76" ht="29" customHeight="1">
      <x:c r="A76" s="150"/>
      <x:c r="B76" s="150"/>
      <x:c r="C76" s="150"/>
      <x:c r="D76" s="150"/>
      <x:c r="E76" s="150"/>
      <x:c r="F76" s="150"/>
      <x:c r="G76" s="154"/>
      <x:c r="H76" s="150"/>
      <x:c r="I76" s="150"/>
      <x:c r="J76" s="150"/>
      <x:c r="K76" s="150"/>
      <x:c r="L76" s="150"/>
      <x:c r="M76" s="150"/>
      <x:c r="N76" s="150"/>
      <x:c r="O76" s="150"/>
      <x:c r="P76" s="150"/>
      <x:c r="Q76" s="150"/>
    </x:row>
    <x:row r="77" ht="29" customHeight="1">
      <x:c r="A77" s="150"/>
      <x:c r="B77" s="150"/>
      <x:c r="C77" s="150"/>
      <x:c r="D77" s="150"/>
      <x:c r="E77" s="150"/>
      <x:c r="F77" s="150"/>
      <x:c r="G77" s="7" t="str">
        <x:v>Country</x:v>
      </x:c>
      <x:c r="H77" s="7" t="str">
        <x:v>Par</x:v>
      </x:c>
      <x:c r="I77" s="7" t="str">
        <x:v>Share</x:v>
      </x:c>
      <x:c r="J77" s="150"/>
      <x:c r="K77" s="150"/>
      <x:c r="L77" s="150"/>
      <x:c r="M77" s="150"/>
      <x:c r="N77" s="150"/>
      <x:c r="O77" s="150"/>
      <x:c r="P77" s="150"/>
      <x:c r="Q77" s="150"/>
    </x:row>
    <x:row r="78" ht="29" customHeight="1">
      <x:c r="A78" s="150"/>
      <x:c r="B78" s="150"/>
      <x:c r="C78" s="150"/>
      <x:c r="D78" s="150"/>
      <x:c r="E78" s="150"/>
      <x:c r="F78" s="150"/>
      <x:c r="G78" s="154" t="str">
        <x:v>United States</x:v>
      </x:c>
      <x:c r="H78" s="66" t="n">
        <x:f>SUMIF('Portfolio Inputs'!G8:G289,G78,'Portfolio Inputs'!D8:D289)</x:f>
        <x:v>265148000</x:v>
      </x:c>
      <x:c r="I78" s="75" t="n">
        <x:f>IF(Portfolio_Par&gt;0,H78/Portfolio_Par,"")</x:f>
        <x:v>0.8838266666666666</x:v>
      </x:c>
      <x:c r="J78" s="150"/>
      <x:c r="K78" s="150"/>
      <x:c r="L78" s="150"/>
      <x:c r="M78" s="150"/>
      <x:c r="N78" s="150"/>
      <x:c r="O78" s="150"/>
      <x:c r="P78" s="150"/>
      <x:c r="Q78" s="150"/>
    </x:row>
    <x:row r="79" ht="29" customHeight="1">
      <x:c r="A79" s="150"/>
      <x:c r="B79" s="150"/>
      <x:c r="C79" s="150"/>
      <x:c r="D79" s="150"/>
      <x:c r="E79" s="150"/>
      <x:c r="F79" s="150"/>
      <x:c r="G79" s="154" t="str">
        <x:v>United Kingdom</x:v>
      </x:c>
      <x:c r="H79" s="66" t="n">
        <x:f>SUMIF('Portfolio Inputs'!G8:G289,G79,'Portfolio Inputs'!D8:D289)</x:f>
        <x:v>12010000</x:v>
      </x:c>
      <x:c r="I79" s="75" t="n">
        <x:f>IF(Portfolio_Par&gt;0,H79/Portfolio_Par,"")</x:f>
        <x:v>0.04003333333333333</x:v>
      </x:c>
      <x:c r="J79" s="150"/>
      <x:c r="K79" s="150"/>
      <x:c r="L79" s="150"/>
      <x:c r="M79" s="150"/>
      <x:c r="N79" s="150"/>
      <x:c r="O79" s="150"/>
      <x:c r="P79" s="150"/>
      <x:c r="Q79" s="150"/>
    </x:row>
    <x:row r="80" ht="29" customHeight="1">
      <x:c r="A80" s="150"/>
      <x:c r="B80" s="150"/>
      <x:c r="C80" s="150"/>
      <x:c r="D80" s="150"/>
      <x:c r="E80" s="150"/>
      <x:c r="F80" s="150"/>
      <x:c r="G80" s="154" t="str">
        <x:v>Luxembourg</x:v>
      </x:c>
      <x:c r="H80" s="66" t="n">
        <x:f>SUMIF('Portfolio Inputs'!G8:G289,G80,'Portfolio Inputs'!D8:D289)</x:f>
        <x:v>7878000</x:v>
      </x:c>
      <x:c r="I80" s="75" t="n">
        <x:f>IF(Portfolio_Par&gt;0,H80/Portfolio_Par,"")</x:f>
        <x:v>0.02626</x:v>
      </x:c>
      <x:c r="J80" s="150"/>
      <x:c r="K80" s="150"/>
      <x:c r="L80" s="150"/>
      <x:c r="M80" s="150"/>
      <x:c r="N80" s="150"/>
      <x:c r="O80" s="150"/>
      <x:c r="P80" s="150"/>
      <x:c r="Q80" s="150"/>
    </x:row>
    <x:row r="81" ht="29" customHeight="1">
      <x:c r="A81" s="150"/>
      <x:c r="B81" s="150"/>
      <x:c r="C81" s="150"/>
      <x:c r="D81" s="150"/>
      <x:c r="E81" s="150"/>
      <x:c r="F81" s="150"/>
      <x:c r="G81" s="154" t="str">
        <x:v>Netherlands</x:v>
      </x:c>
      <x:c r="H81" s="66" t="n">
        <x:f>SUMIF('Portfolio Inputs'!G8:G289,G81,'Portfolio Inputs'!D8:D289)</x:f>
        <x:v>4884000</x:v>
      </x:c>
      <x:c r="I81" s="75" t="n">
        <x:f>IF(Portfolio_Par&gt;0,H81/Portfolio_Par,"")</x:f>
        <x:v>0.01628</x:v>
      </x:c>
      <x:c r="J81" s="150"/>
      <x:c r="K81" s="150"/>
      <x:c r="L81" s="150"/>
      <x:c r="M81" s="150"/>
      <x:c r="N81" s="150"/>
      <x:c r="O81" s="150"/>
      <x:c r="P81" s="150"/>
      <x:c r="Q81" s="150"/>
    </x:row>
    <x:row r="82" ht="29" customHeight="1">
      <x:c r="A82" s="150"/>
      <x:c r="B82" s="150"/>
      <x:c r="C82" s="150"/>
      <x:c r="D82" s="150"/>
      <x:c r="E82" s="150"/>
      <x:c r="F82" s="150"/>
      <x:c r="G82" s="154" t="str">
        <x:v>Canada</x:v>
      </x:c>
      <x:c r="H82" s="66" t="n">
        <x:f>SUMIF('Portfolio Inputs'!G8:G289,G82,'Portfolio Inputs'!D8:D289)</x:f>
        <x:v>3150000</x:v>
      </x:c>
      <x:c r="I82" s="75" t="n">
        <x:f>IF(Portfolio_Par&gt;0,H82/Portfolio_Par,"")</x:f>
        <x:v>0.0105</x:v>
      </x:c>
      <x:c r="J82" s="150"/>
      <x:c r="K82" s="150"/>
      <x:c r="L82" s="150"/>
      <x:c r="M82" s="150"/>
      <x:c r="N82" s="150"/>
      <x:c r="O82" s="150"/>
      <x:c r="P82" s="150"/>
      <x:c r="Q82" s="150"/>
    </x:row>
    <x:row r="83" ht="29" customHeight="1">
      <x:c r="A83" s="150"/>
      <x:c r="B83" s="150"/>
      <x:c r="C83" s="150"/>
      <x:c r="D83" s="150"/>
      <x:c r="E83" s="150"/>
      <x:c r="F83" s="150"/>
      <x:c r="G83" s="154" t="str">
        <x:v>Germany</x:v>
      </x:c>
      <x:c r="H83" s="66" t="n">
        <x:f>SUMIF('Portfolio Inputs'!G8:G289,G83,'Portfolio Inputs'!D8:D289)</x:f>
        <x:v>2520000</x:v>
      </x:c>
      <x:c r="I83" s="75" t="n">
        <x:f>IF(Portfolio_Par&gt;0,H83/Portfolio_Par,"")</x:f>
        <x:v>0.0084</x:v>
      </x:c>
      <x:c r="J83" s="150"/>
      <x:c r="K83" s="150"/>
      <x:c r="L83" s="150"/>
      <x:c r="M83" s="150"/>
      <x:c r="N83" s="150"/>
      <x:c r="O83" s="150"/>
      <x:c r="P83" s="150"/>
      <x:c r="Q83" s="150"/>
    </x:row>
    <x:row r="84" ht="29" customHeight="1">
      <x:c r="A84" s="150"/>
      <x:c r="B84" s="150"/>
      <x:c r="C84" s="150"/>
      <x:c r="D84" s="150"/>
      <x:c r="E84" s="150"/>
      <x:c r="F84" s="150"/>
      <x:c r="G84" s="154" t="str">
        <x:v>Switzerland</x:v>
      </x:c>
      <x:c r="H84" s="66" t="n">
        <x:f>SUMIF('Portfolio Inputs'!G8:G289,G84,'Portfolio Inputs'!D8:D289)</x:f>
        <x:v>1260000</x:v>
      </x:c>
      <x:c r="I84" s="75" t="n">
        <x:f>IF(Portfolio_Par&gt;0,H84/Portfolio_Par,"")</x:f>
        <x:v>0.0042</x:v>
      </x:c>
      <x:c r="J84" s="150"/>
      <x:c r="K84" s="150"/>
      <x:c r="L84" s="150"/>
      <x:c r="M84" s="150"/>
      <x:c r="N84" s="150"/>
      <x:c r="O84" s="150"/>
      <x:c r="P84" s="150"/>
      <x:c r="Q84" s="150"/>
    </x:row>
    <x:row r="85" ht="29" customHeight="1">
      <x:c r="A85" s="150"/>
      <x:c r="B85" s="150"/>
      <x:c r="C85" s="150"/>
      <x:c r="D85" s="150"/>
      <x:c r="E85" s="150"/>
      <x:c r="F85" s="150"/>
      <x:c r="G85" s="154" t="str">
        <x:v>Austria</x:v>
      </x:c>
      <x:c r="H85" s="66" t="n">
        <x:f>SUMIF('Portfolio Inputs'!G8:G289,G85,'Portfolio Inputs'!D8:D289)</x:f>
        <x:v>1260000</x:v>
      </x:c>
      <x:c r="I85" s="75" t="n">
        <x:f>IF(Portfolio_Par&gt;0,H85/Portfolio_Par,"")</x:f>
        <x:v>0.0042</x:v>
      </x:c>
      <x:c r="J85" s="150"/>
      <x:c r="K85" s="150"/>
      <x:c r="L85" s="150"/>
      <x:c r="M85" s="150"/>
      <x:c r="N85" s="150"/>
      <x:c r="O85" s="150"/>
      <x:c r="P85" s="150"/>
      <x:c r="Q85" s="150"/>
    </x:row>
    <x:row r="86" ht="29" customHeight="1">
      <x:c r="A86" s="150"/>
      <x:c r="B86" s="150"/>
      <x:c r="C86" s="150"/>
      <x:c r="D86" s="150"/>
      <x:c r="E86" s="150"/>
      <x:c r="F86" s="150"/>
      <x:c r="G86" s="154" t="str">
        <x:v>Ireland</x:v>
      </x:c>
      <x:c r="H86" s="66" t="n">
        <x:f>SUMIF('Portfolio Inputs'!G8:G289,G86,'Portfolio Inputs'!D8:D289)</x:f>
        <x:v>1260000</x:v>
      </x:c>
      <x:c r="I86" s="75" t="n">
        <x:f>IF(Portfolio_Par&gt;0,H86/Portfolio_Par,"")</x:f>
        <x:v>0.0042</x:v>
      </x:c>
      <x:c r="J86" s="150"/>
      <x:c r="K86" s="150"/>
      <x:c r="L86" s="150"/>
      <x:c r="M86" s="150"/>
      <x:c r="N86" s="150"/>
      <x:c r="O86" s="150"/>
      <x:c r="P86" s="150"/>
      <x:c r="Q86" s="150"/>
    </x:row>
    <x:row r="87" ht="29" customHeight="1">
      <x:c r="A87" s="150"/>
      <x:c r="B87" s="150"/>
      <x:c r="C87" s="150"/>
      <x:c r="D87" s="150"/>
      <x:c r="E87" s="150"/>
      <x:c r="F87" s="150"/>
      <x:c r="G87" s="154" t="str">
        <x:v>Australia</x:v>
      </x:c>
      <x:c r="H87" s="66" t="n">
        <x:f>SUMIF('Portfolio Inputs'!G8:G289,G87,'Portfolio Inputs'!D8:D289)</x:f>
        <x:v>630000</x:v>
      </x:c>
      <x:c r="I87" s="75" t="n">
        <x:f>IF(Portfolio_Par&gt;0,H87/Portfolio_Par,"")</x:f>
        <x:v>0.0021</x:v>
      </x:c>
      <x:c r="J87" s="150"/>
      <x:c r="K87" s="150"/>
      <x:c r="L87" s="150"/>
      <x:c r="M87" s="150"/>
      <x:c r="N87" s="150"/>
      <x:c r="O87" s="150"/>
      <x:c r="P87" s="150"/>
      <x:c r="Q87" s="150"/>
    </x:row>
    <x:row r="88" ht="29" customHeight="1">
      <x:c r="A88" s="150"/>
      <x:c r="B88" s="150"/>
      <x:c r="C88" s="150"/>
      <x:c r="D88" s="150"/>
      <x:c r="E88" s="150"/>
      <x:c r="F88" s="150"/>
      <x:c r="G88" s="154"/>
      <x:c r="H88" s="150"/>
      <x:c r="I88" s="150"/>
      <x:c r="J88" s="150"/>
      <x:c r="K88" s="150"/>
      <x:c r="L88" s="150"/>
      <x:c r="M88" s="150"/>
      <x:c r="N88" s="150"/>
      <x:c r="O88" s="150"/>
      <x:c r="P88" s="150"/>
      <x:c r="Q88" s="150"/>
    </x:row>
    <x:row r="89" ht="29" customHeight="1">
      <x:c r="A89" s="150"/>
      <x:c r="B89" s="150"/>
      <x:c r="C89" s="150"/>
      <x:c r="D89" s="150"/>
      <x:c r="E89" s="150"/>
      <x:c r="F89" s="150"/>
      <x:c r="G89" s="154"/>
      <x:c r="H89" s="150"/>
      <x:c r="I89" s="150"/>
      <x:c r="J89" s="150"/>
      <x:c r="K89" s="150"/>
      <x:c r="L89" s="150"/>
      <x:c r="M89" s="150"/>
      <x:c r="N89" s="150"/>
      <x:c r="O89" s="150"/>
      <x:c r="P89" s="150"/>
      <x:c r="Q89" s="150"/>
    </x:row>
    <x:row r="90" ht="29" customHeight="1">
      <x:c r="A90" s="150"/>
      <x:c r="B90" s="150"/>
      <x:c r="C90" s="150"/>
      <x:c r="D90" s="150"/>
      <x:c r="E90" s="150"/>
      <x:c r="F90" s="150"/>
      <x:c r="G90" s="7" t="str">
        <x:v>Seniority</x:v>
      </x:c>
      <x:c r="H90" s="7" t="str">
        <x:v>Par</x:v>
      </x:c>
      <x:c r="I90" s="7" t="str">
        <x:v>Share</x:v>
      </x:c>
      <x:c r="J90" s="150"/>
      <x:c r="K90" s="150"/>
      <x:c r="L90" s="150"/>
      <x:c r="M90" s="150"/>
      <x:c r="N90" s="150"/>
      <x:c r="O90" s="150"/>
      <x:c r="P90" s="150"/>
      <x:c r="Q90" s="150"/>
    </x:row>
    <x:row r="91" ht="29" customHeight="1">
      <x:c r="A91" s="150"/>
      <x:c r="B91" s="150"/>
      <x:c r="C91" s="150"/>
      <x:c r="D91" s="150"/>
      <x:c r="E91" s="150"/>
      <x:c r="F91" s="150"/>
      <x:c r="G91" s="154" t="str">
        <x:v>1st Lien</x:v>
      </x:c>
      <x:c r="H91" s="66" t="n">
        <x:f>SUMIF('Portfolio Inputs'!H8:H289,G91,'Portfolio Inputs'!D8:D289)</x:f>
        <x:v>295634000</x:v>
      </x:c>
      <x:c r="I91" s="75" t="n">
        <x:f>IF(Portfolio_Par&gt;0,H91/Portfolio_Par,"")</x:f>
        <x:v>0.9854466666666667</x:v>
      </x:c>
      <x:c r="J91" s="150"/>
      <x:c r="K91" s="150"/>
      <x:c r="L91" s="150"/>
      <x:c r="M91" s="150"/>
      <x:c r="N91" s="150"/>
      <x:c r="O91" s="150"/>
      <x:c r="P91" s="150"/>
      <x:c r="Q91" s="150"/>
    </x:row>
    <x:row r="92" ht="29" customHeight="1">
      <x:c r="A92" s="150"/>
      <x:c r="B92" s="150"/>
      <x:c r="C92" s="150"/>
      <x:c r="D92" s="150"/>
      <x:c r="E92" s="150"/>
      <x:c r="F92" s="150"/>
      <x:c r="G92" s="154" t="str">
        <x:v>Sr Secured</x:v>
      </x:c>
      <x:c r="H92" s="66" t="n">
        <x:f>SUMIF('Portfolio Inputs'!H8:H289,G92,'Portfolio Inputs'!D8:D289)</x:f>
        <x:v>1890000</x:v>
      </x:c>
      <x:c r="I92" s="75" t="n">
        <x:f>IF(Portfolio_Par&gt;0,H92/Portfolio_Par,"")</x:f>
        <x:v>0.0063</x:v>
      </x:c>
      <x:c r="J92" s="150"/>
      <x:c r="K92" s="150"/>
      <x:c r="L92" s="150"/>
      <x:c r="M92" s="150"/>
      <x:c r="N92" s="150"/>
      <x:c r="O92" s="150"/>
      <x:c r="P92" s="150"/>
      <x:c r="Q92" s="150"/>
    </x:row>
    <x:row r="93" ht="29" customHeight="1">
      <x:c r="A93" s="150"/>
      <x:c r="B93" s="150"/>
      <x:c r="C93" s="150"/>
      <x:c r="D93" s="150"/>
      <x:c r="E93" s="150"/>
      <x:c r="F93" s="150"/>
      <x:c r="G93" s="154" t="str">
        <x:v>Senior</x:v>
      </x:c>
      <x:c r="H93" s="66" t="n">
        <x:f>SUMIF('Portfolio Inputs'!H8:H289,G93,'Portfolio Inputs'!D8:D289)</x:f>
        <x:v>1260000</x:v>
      </x:c>
      <x:c r="I93" s="75" t="n">
        <x:f>IF(Portfolio_Par&gt;0,H93/Portfolio_Par,"")</x:f>
        <x:v>0.0042</x:v>
      </x:c>
      <x:c r="J93" s="150"/>
      <x:c r="K93" s="150"/>
      <x:c r="L93" s="150"/>
      <x:c r="M93" s="150"/>
      <x:c r="N93" s="150"/>
      <x:c r="O93" s="150"/>
      <x:c r="P93" s="150"/>
      <x:c r="Q93" s="150"/>
    </x:row>
    <x:row r="94" ht="29" customHeight="1">
      <x:c r="A94" s="150"/>
      <x:c r="B94" s="150"/>
      <x:c r="C94" s="150"/>
      <x:c r="D94" s="150"/>
      <x:c r="E94" s="150"/>
      <x:c r="F94" s="150"/>
      <x:c r="G94" s="154" t="str">
        <x:v>Sr Unsec</x:v>
      </x:c>
      <x:c r="H94" s="66" t="n">
        <x:f>SUMIF('Portfolio Inputs'!H8:H289,G94,'Portfolio Inputs'!D8:D289)</x:f>
        <x:v>1216000</x:v>
      </x:c>
      <x:c r="I94" s="75" t="n">
        <x:f>IF(Portfolio_Par&gt;0,H94/Portfolio_Par,"")</x:f>
        <x:v>0.004053333333333333</x:v>
      </x:c>
      <x:c r="J94" s="150"/>
      <x:c r="K94" s="150"/>
      <x:c r="L94" s="150"/>
      <x:c r="M94" s="150"/>
      <x:c r="N94" s="150"/>
      <x:c r="O94" s="150"/>
      <x:c r="P94" s="150"/>
      <x:c r="Q94" s="150"/>
    </x:row>
    <x:row r="95" ht="29" customHeight="1">
      <x:c r="A95" s="150"/>
      <x:c r="B95" s="150"/>
      <x:c r="C95" s="150"/>
      <x:c r="D95" s="150"/>
      <x:c r="E95" s="150"/>
      <x:c r="F95" s="150"/>
      <x:c r="G95" s="154"/>
      <x:c r="H95" s="150"/>
      <x:c r="I95" s="150"/>
      <x:c r="J95" s="150"/>
      <x:c r="K95" s="150"/>
      <x:c r="L95" s="150"/>
      <x:c r="M95" s="150"/>
      <x:c r="N95" s="150"/>
      <x:c r="O95" s="150"/>
      <x:c r="P95" s="150"/>
      <x:c r="Q95" s="150"/>
    </x:row>
    <x:row r="96" ht="29" customHeight="1">
      <x:c r="A96" s="150"/>
      <x:c r="B96" s="150"/>
      <x:c r="C96" s="150"/>
      <x:c r="D96" s="150"/>
      <x:c r="E96" s="150"/>
      <x:c r="F96" s="150"/>
      <x:c r="G96" s="154"/>
      <x:c r="H96" s="150"/>
      <x:c r="I96" s="150"/>
      <x:c r="J96" s="150"/>
      <x:c r="K96" s="150"/>
      <x:c r="L96" s="150"/>
      <x:c r="M96" s="150"/>
      <x:c r="N96" s="150"/>
      <x:c r="O96" s="150"/>
      <x:c r="P96" s="150"/>
      <x:c r="Q96" s="150"/>
    </x:row>
    <x:row r="97" ht="29" customHeight="1">
      <x:c r="A97" s="150"/>
      <x:c r="B97" s="150"/>
      <x:c r="C97" s="150"/>
      <x:c r="D97" s="150"/>
      <x:c r="E97" s="150"/>
      <x:c r="F97" s="150"/>
      <x:c r="G97" s="7" t="str">
        <x:v>Rate type</x:v>
      </x:c>
      <x:c r="H97" s="7" t="str">
        <x:v>Par</x:v>
      </x:c>
      <x:c r="I97" s="7" t="str">
        <x:v>Share</x:v>
      </x:c>
      <x:c r="J97" s="150"/>
      <x:c r="K97" s="150"/>
      <x:c r="L97" s="150"/>
      <x:c r="M97" s="150"/>
      <x:c r="N97" s="150"/>
      <x:c r="O97" s="150"/>
      <x:c r="P97" s="150"/>
      <x:c r="Q97" s="150"/>
    </x:row>
    <x:row r="98" ht="29" customHeight="1">
      <x:c r="A98" s="150"/>
      <x:c r="B98" s="150"/>
      <x:c r="C98" s="150"/>
      <x:c r="D98" s="150"/>
      <x:c r="E98" s="150"/>
      <x:c r="F98" s="150"/>
      <x:c r="G98" s="154" t="str">
        <x:v>Floating</x:v>
      </x:c>
      <x:c r="H98" s="66" t="n">
        <x:f>SUMIF('Portfolio Inputs'!I8:I289,G98,'Portfolio Inputs'!D8:D289)</x:f>
        <x:v>294330000</x:v>
      </x:c>
      <x:c r="I98" s="75" t="n">
        <x:f>IF(Portfolio_Par&gt;0,H98/Portfolio_Par,"")</x:f>
        <x:v>0.9811</x:v>
      </x:c>
      <x:c r="J98" s="150"/>
      <x:c r="K98" s="150"/>
      <x:c r="L98" s="150"/>
      <x:c r="M98" s="150"/>
      <x:c r="N98" s="150"/>
      <x:c r="O98" s="150"/>
      <x:c r="P98" s="150"/>
      <x:c r="Q98" s="150"/>
    </x:row>
    <x:row r="99" ht="29" customHeight="1">
      <x:c r="A99" s="150"/>
      <x:c r="B99" s="150"/>
      <x:c r="C99" s="150"/>
      <x:c r="D99" s="150"/>
      <x:c r="E99" s="150"/>
      <x:c r="F99" s="150"/>
      <x:c r="G99" s="154" t="str">
        <x:v>Fixed</x:v>
      </x:c>
      <x:c r="H99" s="66" t="n">
        <x:f>SUMIF('Portfolio Inputs'!I8:I289,G99,'Portfolio Inputs'!D8:D289)</x:f>
        <x:v>5670000</x:v>
      </x:c>
      <x:c r="I99" s="75" t="n">
        <x:f>IF(Portfolio_Par&gt;0,H99/Portfolio_Par,"")</x:f>
        <x:v>0.0189</x:v>
      </x:c>
      <x:c r="J99" s="150"/>
      <x:c r="K99" s="150"/>
      <x:c r="L99" s="150"/>
      <x:c r="M99" s="150"/>
      <x:c r="N99" s="150"/>
      <x:c r="O99" s="150"/>
      <x:c r="P99" s="150"/>
      <x:c r="Q99" s="150"/>
    </x:row>
    <x:row r="100" ht="29" customHeight="1">
      <x:c r="A100" s="150"/>
      <x:c r="B100" s="150"/>
      <x:c r="C100" s="150"/>
      <x:c r="D100" s="150"/>
      <x:c r="E100" s="150"/>
      <x:c r="F100" s="150"/>
      <x:c r="G100" s="154"/>
      <x:c r="H100" s="150"/>
      <x:c r="I100" s="150"/>
      <x:c r="J100" s="150"/>
      <x:c r="K100" s="150"/>
      <x:c r="L100" s="150"/>
      <x:c r="M100" s="150"/>
      <x:c r="N100" s="150"/>
      <x:c r="O100" s="150"/>
      <x:c r="P100" s="150"/>
      <x:c r="Q100" s="150"/>
    </x:row>
    <x:row r="101" ht="29" customHeight="1">
      <x:c r="A101" s="150"/>
      <x:c r="B101" s="150"/>
      <x:c r="C101" s="150"/>
      <x:c r="D101" s="150"/>
      <x:c r="E101" s="150"/>
      <x:c r="F101" s="150"/>
      <x:c r="G101" s="154"/>
      <x:c r="H101" s="150"/>
      <x:c r="I101" s="150"/>
      <x:c r="J101" s="150"/>
      <x:c r="K101" s="150"/>
      <x:c r="L101" s="150"/>
      <x:c r="M101" s="150"/>
      <x:c r="N101" s="150"/>
      <x:c r="O101" s="150"/>
      <x:c r="P101" s="150"/>
      <x:c r="Q101" s="150"/>
    </x:row>
    <x:row r="102" ht="29" customHeight="1">
      <x:c r="A102" s="150"/>
      <x:c r="B102" s="150"/>
      <x:c r="C102" s="150"/>
      <x:c r="D102" s="150"/>
      <x:c r="E102" s="150"/>
      <x:c r="F102" s="150"/>
      <x:c r="G102" s="154"/>
      <x:c r="H102" s="150"/>
      <x:c r="I102" s="150"/>
      <x:c r="J102" s="150"/>
      <x:c r="K102" s="150"/>
      <x:c r="L102" s="150"/>
      <x:c r="M102" s="150"/>
      <x:c r="N102" s="150"/>
      <x:c r="O102" s="150"/>
      <x:c r="P102" s="150"/>
      <x:c r="Q102" s="150"/>
    </x:row>
  </x:sheetData>
  <x:pageMargins left="0.7" right="0.7" top="0.75" bottom="0.75" header="0.3" footer="0.3"/>
  <x:drawing xmlns:r="http://schemas.openxmlformats.org/officeDocument/2006/relationships" r:id="R207de52823ca4b24"/>
</x:worksheet>
</file>

<file path=xl/worksheets/sheet7.xml><?xml version="1.0" encoding="utf-8"?>
<x:worksheet xmlns:x="http://schemas.openxmlformats.org/spreadsheetml/2006/main">
  <x:sheetPr>
    <x:tabColor rgb="FF81909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9" hidden="0" customWidth="1"/>
    <x:col min="2" max="2" width="30" hidden="0" customWidth="1"/>
    <x:col min="3" max="3" width="19" hidden="0" customWidth="1"/>
    <x:col min="4" max="4" width="35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>
      <x:c r="A1" s="112" t="str">
        <x:v>Shared grouping</x:v>
      </x:c>
      <x:c r="B1" s="150"/>
      <x:c r="C1" s="150"/>
      <x:c r="D1" s="150"/>
      <x:c r="E1" s="150"/>
      <x:c r="F1" s="150"/>
      <x:c r="G1" s="150"/>
      <x:c r="H1" s="150"/>
      <x:c r="I1" s="150"/>
    </x:row>
    <x:row r="2">
      <x:c r="A2" s="64" t="str">
        <x:v>Obligor Calculations</x:v>
      </x:c>
      <x:c r="B2" s="150"/>
      <x:c r="C2" s="150"/>
      <x:c r="D2" s="150"/>
      <x:c r="E2" s="150"/>
      <x:c r="F2" s="150"/>
      <x:c r="G2" s="150"/>
      <x:c r="H2" s="150"/>
      <x:c r="I2" s="150"/>
    </x:row>
    <x:row r="3">
      <x:c r="A3" s="150" t="str">
        <x:v>Identifiers and grouping come from Python; par, facility counts and concentration are Excel formulas.</x:v>
      </x:c>
      <x:c r="B3" s="150"/>
      <x:c r="C3" s="150"/>
      <x:c r="D3" s="150"/>
      <x:c r="E3" s="150"/>
      <x:c r="F3" s="150"/>
      <x:c r="G3" s="150"/>
      <x:c r="H3" s="150"/>
      <x:c r="I3" s="150"/>
    </x:row>
    <x:row r="4">
      <x:c r="A4" s="150"/>
      <x:c r="B4" s="150"/>
      <x:c r="C4" s="150"/>
      <x:c r="D4" s="150"/>
      <x:c r="E4" s="150"/>
      <x:c r="F4" s="150"/>
      <x:c r="G4" s="150"/>
      <x:c r="H4" s="150"/>
      <x:c r="I4" s="150"/>
    </x:row>
    <x:row r="5">
      <x:c r="A5" s="32" t="str">
        <x:f>IF(Refresh_Required,"REFRESH REQUIRED — Python results reflect the last run","Python results match the imported inputs")</x:f>
        <x:v>Python results match the imported inputs</x:v>
      </x:c>
      <x:c r="B5" s="150"/>
      <x:c r="C5" s="150"/>
      <x:c r="D5" s="150"/>
      <x:c r="E5" s="150"/>
      <x:c r="F5" s="150"/>
      <x:c r="G5" s="150"/>
      <x:c r="H5" s="150"/>
      <x:c r="I5" s="150"/>
    </x:row>
    <x:row r="6">
      <x:c r="A6" s="150"/>
      <x:c r="B6" s="150"/>
      <x:c r="C6" s="150"/>
      <x:c r="D6" s="150"/>
      <x:c r="E6" s="150"/>
      <x:c r="F6" s="150"/>
      <x:c r="G6" s="150"/>
      <x:c r="H6" s="150"/>
      <x:c r="I6" s="150"/>
    </x:row>
    <x:row r="7" ht="38" customHeight="1">
      <x:c r="A7" s="7" t="str">
        <x:v>Obligor ID</x:v>
      </x:c>
      <x:c r="B7" s="7" t="str">
        <x:v>Obligor name</x:v>
      </x:c>
      <x:c r="C7" s="7" t="str">
        <x:v>Rating input</x:v>
      </x:c>
      <x:c r="D7" s="7" t="str">
        <x:v>Industry</x:v>
      </x:c>
      <x:c r="E7" s="7" t="str">
        <x:v>Country</x:v>
      </x:c>
      <x:c r="F7" s="7" t="str">
        <x:v>Grouped par</x:v>
      </x:c>
      <x:c r="G7" s="7" t="str">
        <x:v>Facilities</x:v>
      </x:c>
      <x:c r="H7" s="7" t="str">
        <x:v>Weight</x:v>
      </x:c>
      <x:c r="I7" s="7" t="str">
        <x:v>Weight squared</x:v>
      </x:c>
    </x:row>
    <x:row r="8" ht="21" customHeight="1">
      <x:c r="A8" s="28" t="str">
        <x:v>SYN-OB-0114</x:v>
      </x:c>
      <x:c r="B8" s="28" t="str">
        <x:v>Stonebridge Group 114</x:v>
      </x:c>
      <x:c r="C8" s="28" t="str">
        <x:v>B</x:v>
      </x:c>
      <x:c r="D8" s="28" t="str">
        <x:v>Healthcare Providers &amp; Services</x:v>
      </x:c>
      <x:c r="E8" s="28" t="str">
        <x:v>United States</x:v>
      </x:c>
      <x:c r="F8" s="66" t="n">
        <x:f>IF(A8="","",SUMIF('Portfolio Inputs'!B8:B289,A8,'Portfolio Inputs'!D8:D289))</x:f>
        <x:v>1224000</x:v>
      </x:c>
      <x:c r="G8" s="65" t="n">
        <x:f>IF(A8="","",COUNTIF('Portfolio Inputs'!B8:B289,A8))</x:f>
        <x:v>1</x:v>
      </x:c>
      <x:c r="H8" s="75" t="n">
        <x:f>IF(Portfolio_Par&gt;0,F8/Portfolio_Par,"")</x:f>
        <x:v>0.00408</x:v>
      </x:c>
      <x:c r="I8" s="196" t="n">
        <x:f>IF(Portfolio_Par&gt;0,H8^2,"")</x:f>
        <x:v>0.000016646400000000004</x:v>
      </x:c>
    </x:row>
    <x:row r="9" ht="21" customHeight="1">
      <x:c r="A9" s="28" t="str">
        <x:v>SYN-OB-0109</x:v>
      </x:c>
      <x:c r="B9" s="28" t="str">
        <x:v>Orchard Group 109</x:v>
      </x:c>
      <x:c r="C9" s="28" t="str">
        <x:v>B</x:v>
      </x:c>
      <x:c r="D9" s="28" t="str">
        <x:v>Healthcare Providers &amp; Services</x:v>
      </x:c>
      <x:c r="E9" s="28" t="str">
        <x:v>United States</x:v>
      </x:c>
      <x:c r="F9" s="66" t="n">
        <x:f>IF(A9="","",SUMIF('Portfolio Inputs'!B8:B289,A9,'Portfolio Inputs'!D8:D289))</x:f>
        <x:v>1220000</x:v>
      </x:c>
      <x:c r="G9" s="65" t="n">
        <x:f>IF(A9="","",COUNTIF('Portfolio Inputs'!B8:B289,A9))</x:f>
        <x:v>1</x:v>
      </x:c>
      <x:c r="H9" s="75" t="n">
        <x:f>IF(Portfolio_Par&gt;0,F9/Portfolio_Par,"")</x:f>
        <x:v>0.004066666666666666</x:v>
      </x:c>
      <x:c r="I9" s="196" t="n">
        <x:f>IF(Portfolio_Par&gt;0,H9^2,"")</x:f>
        <x:v>0.000016537777777777775</x:v>
      </x:c>
    </x:row>
    <x:row r="10" ht="21" customHeight="1">
      <x:c r="A10" s="28" t="str">
        <x:v>SYN-OB-0160</x:v>
      </x:c>
      <x:c r="B10" s="28" t="str">
        <x:v>Woodland LLC 160</x:v>
      </x:c>
      <x:c r="C10" s="28" t="str">
        <x:v>B</x:v>
      </x:c>
      <x:c r="D10" s="28" t="str">
        <x:v>Software</x:v>
      </x:c>
      <x:c r="E10" s="28" t="str">
        <x:v>United States</x:v>
      </x:c>
      <x:c r="F10" s="66" t="n">
        <x:f>IF(A10="","",SUMIF('Portfolio Inputs'!B8:B289,A10,'Portfolio Inputs'!D8:D289))</x:f>
        <x:v>1215000</x:v>
      </x:c>
      <x:c r="G10" s="65" t="n">
        <x:f>IF(A10="","",COUNTIF('Portfolio Inputs'!B8:B289,A10))</x:f>
        <x:v>2</x:v>
      </x:c>
      <x:c r="H10" s="75" t="n">
        <x:f>IF(Portfolio_Par&gt;0,F10/Portfolio_Par,"")</x:f>
        <x:v>0.00405</x:v>
      </x:c>
      <x:c r="I10" s="196" t="n">
        <x:f>IF(Portfolio_Par&gt;0,H10^2,"")</x:f>
        <x:v>0.000016402499999999998</x:v>
      </x:c>
    </x:row>
    <x:row r="11" ht="21" customHeight="1">
      <x:c r="A11" s="28" t="str">
        <x:v>SYN-OB-0174</x:v>
      </x:c>
      <x:c r="B11" s="28" t="str">
        <x:v>Evergreen Group 174</x:v>
      </x:c>
      <x:c r="C11" s="28" t="str">
        <x:v>B</x:v>
      </x:c>
      <x:c r="D11" s="28" t="str">
        <x:v>Healthcare Providers &amp; Services</x:v>
      </x:c>
      <x:c r="E11" s="28" t="str">
        <x:v>United States</x:v>
      </x:c>
      <x:c r="F11" s="66" t="n">
        <x:f>IF(A11="","",SUMIF('Portfolio Inputs'!B8:B289,A11,'Portfolio Inputs'!D8:D289))</x:f>
        <x:v>1211000</x:v>
      </x:c>
      <x:c r="G11" s="65" t="n">
        <x:f>IF(A11="","",COUNTIF('Portfolio Inputs'!B8:B289,A11))</x:f>
        <x:v>1</x:v>
      </x:c>
      <x:c r="H11" s="75" t="n">
        <x:f>IF(Portfolio_Par&gt;0,F11/Portfolio_Par,"")</x:f>
        <x:v>0.004036666666666667</x:v>
      </x:c>
      <x:c r="I11" s="196" t="n">
        <x:f>IF(Portfolio_Par&gt;0,H11^2,"")</x:f>
        <x:v>0.000016294677777777777</x:v>
      </x:c>
    </x:row>
    <x:row r="12" ht="21" customHeight="1">
      <x:c r="A12" s="28" t="str">
        <x:v>SYN-OB-0166</x:v>
      </x:c>
      <x:c r="B12" s="28" t="str">
        <x:v>Bluewater Holdings 166</x:v>
      </x:c>
      <x:c r="C12" s="28" t="str">
        <x:v>B</x:v>
      </x:c>
      <x:c r="D12" s="28" t="str">
        <x:v>Software</x:v>
      </x:c>
      <x:c r="E12" s="28" t="str">
        <x:v>United States</x:v>
      </x:c>
      <x:c r="F12" s="66" t="n">
        <x:f>IF(A12="","",SUMIF('Portfolio Inputs'!B8:B289,A12,'Portfolio Inputs'!D8:D289))</x:f>
        <x:v>1207000</x:v>
      </x:c>
      <x:c r="G12" s="65" t="n">
        <x:f>IF(A12="","",COUNTIF('Portfolio Inputs'!B8:B289,A12))</x:f>
        <x:v>1</x:v>
      </x:c>
      <x:c r="H12" s="75" t="n">
        <x:f>IF(Portfolio_Par&gt;0,F12/Portfolio_Par,"")</x:f>
        <x:v>0.004023333333333334</x:v>
      </x:c>
      <x:c r="I12" s="196" t="n">
        <x:f>IF(Portfolio_Par&gt;0,H12^2,"")</x:f>
        <x:v>0.000016187211111111112</x:v>
      </x:c>
    </x:row>
    <x:row r="13" ht="21" customHeight="1">
      <x:c r="A13" s="28" t="str">
        <x:v>SYN-OB-0243</x:v>
      </x:c>
      <x:c r="B13" s="28" t="str">
        <x:v>Arbor Corp. 243</x:v>
      </x:c>
      <x:c r="C13" s="28" t="str">
        <x:v>B</x:v>
      </x:c>
      <x:c r="D13" s="28" t="str">
        <x:v>Healthcare Providers &amp; Services</x:v>
      </x:c>
      <x:c r="E13" s="28" t="str">
        <x:v>United States</x:v>
      </x:c>
      <x:c r="F13" s="66" t="n">
        <x:f>IF(A13="","",SUMIF('Portfolio Inputs'!B8:B289,A13,'Portfolio Inputs'!D8:D289))</x:f>
        <x:v>1202000</x:v>
      </x:c>
      <x:c r="G13" s="65" t="n">
        <x:f>IF(A13="","",COUNTIF('Portfolio Inputs'!B8:B289,A13))</x:f>
        <x:v>1</x:v>
      </x:c>
      <x:c r="H13" s="75" t="n">
        <x:f>IF(Portfolio_Par&gt;0,F13/Portfolio_Par,"")</x:f>
        <x:v>0.004006666666666667</x:v>
      </x:c>
      <x:c r="I13" s="196" t="n">
        <x:f>IF(Portfolio_Par&gt;0,H13^2,"")</x:f>
        <x:v>0.00001605337777777778</x:v>
      </x:c>
    </x:row>
    <x:row r="14" ht="21" customHeight="1">
      <x:c r="A14" s="28" t="str">
        <x:v>SYN-OB-0134</x:v>
      </x:c>
      <x:c r="B14" s="28" t="str">
        <x:v>Evergreen Group 134</x:v>
      </x:c>
      <x:c r="C14" s="28" t="str">
        <x:v>B</x:v>
      </x:c>
      <x:c r="D14" s="28" t="str">
        <x:v>Software</x:v>
      </x:c>
      <x:c r="E14" s="28" t="str">
        <x:v>United States</x:v>
      </x:c>
      <x:c r="F14" s="66" t="n">
        <x:f>IF(A14="","",SUMIF('Portfolio Inputs'!B8:B289,A14,'Portfolio Inputs'!D8:D289))</x:f>
        <x:v>1198000</x:v>
      </x:c>
      <x:c r="G14" s="65" t="n">
        <x:f>IF(A14="","",COUNTIF('Portfolio Inputs'!B8:B289,A14))</x:f>
        <x:v>1</x:v>
      </x:c>
      <x:c r="H14" s="75" t="n">
        <x:f>IF(Portfolio_Par&gt;0,F14/Portfolio_Par,"")</x:f>
        <x:v>0.003993333333333333</x:v>
      </x:c>
      <x:c r="I14" s="196" t="n">
        <x:f>IF(Portfolio_Par&gt;0,H14^2,"")</x:f>
        <x:v>0.00001594671111111111</x:v>
      </x:c>
    </x:row>
    <x:row r="15" ht="21" customHeight="1">
      <x:c r="A15" s="28" t="str">
        <x:v>SYN-OB-0186</x:v>
      </x:c>
      <x:c r="B15" s="28" t="str">
        <x:v>Meridian Holdings 186</x:v>
      </x:c>
      <x:c r="C15" s="28" t="str">
        <x:v>B</x:v>
      </x:c>
      <x:c r="D15" s="28" t="str">
        <x:v>Healthcare Providers &amp; Services</x:v>
      </x:c>
      <x:c r="E15" s="28" t="str">
        <x:v>United States</x:v>
      </x:c>
      <x:c r="F15" s="66" t="n">
        <x:f>IF(A15="","",SUMIF('Portfolio Inputs'!B8:B289,A15,'Portfolio Inputs'!D8:D289))</x:f>
        <x:v>1193000</x:v>
      </x:c>
      <x:c r="G15" s="65" t="n">
        <x:f>IF(A15="","",COUNTIF('Portfolio Inputs'!B8:B289,A15))</x:f>
        <x:v>1</x:v>
      </x:c>
      <x:c r="H15" s="75" t="n">
        <x:f>IF(Portfolio_Par&gt;0,F15/Portfolio_Par,"")</x:f>
        <x:v>0.0039766666666666665</x:v>
      </x:c>
      <x:c r="I15" s="196" t="n">
        <x:f>IF(Portfolio_Par&gt;0,H15^2,"")</x:f>
        <x:v>0.000015813877777777777</x:v>
      </x:c>
    </x:row>
    <x:row r="16" ht="21" customHeight="1">
      <x:c r="A16" s="28" t="str">
        <x:v>SYN-OB-0146</x:v>
      </x:c>
      <x:c r="B16" s="28" t="str">
        <x:v>Meridian Holdings 146</x:v>
      </x:c>
      <x:c r="C16" s="28" t="str">
        <x:v>B</x:v>
      </x:c>
      <x:c r="D16" s="28" t="str">
        <x:v>Software</x:v>
      </x:c>
      <x:c r="E16" s="28" t="str">
        <x:v>United States</x:v>
      </x:c>
      <x:c r="F16" s="66" t="n">
        <x:f>IF(A16="","",SUMIF('Portfolio Inputs'!B8:B289,A16,'Portfolio Inputs'!D8:D289))</x:f>
        <x:v>1189000</x:v>
      </x:c>
      <x:c r="G16" s="65" t="n">
        <x:f>IF(A16="","",COUNTIF('Portfolio Inputs'!B8:B289,A16))</x:f>
        <x:v>1</x:v>
      </x:c>
      <x:c r="H16" s="75" t="n">
        <x:f>IF(Portfolio_Par&gt;0,F16/Portfolio_Par,"")</x:f>
        <x:v>0.0039633333333333335</x:v>
      </x:c>
      <x:c r="I16" s="196" t="n">
        <x:f>IF(Portfolio_Par&gt;0,H16^2,"")</x:f>
        <x:v>0.00001570801111111111</x:v>
      </x:c>
    </x:row>
    <x:row r="17" ht="21" customHeight="1">
      <x:c r="A17" s="28" t="str">
        <x:v>SYN-OB-0233</x:v>
      </x:c>
      <x:c r="B17" s="28" t="str">
        <x:v>Silver Corp. 233</x:v>
      </x:c>
      <x:c r="C17" s="28" t="str">
        <x:v>B</x:v>
      </x:c>
      <x:c r="D17" s="28" t="str">
        <x:v>Healthcare Providers &amp; Services</x:v>
      </x:c>
      <x:c r="E17" s="28" t="str">
        <x:v>United States</x:v>
      </x:c>
      <x:c r="F17" s="66" t="n">
        <x:f>IF(A17="","",SUMIF('Portfolio Inputs'!B8:B289,A17,'Portfolio Inputs'!D8:D289))</x:f>
        <x:v>1185000</x:v>
      </x:c>
      <x:c r="G17" s="65" t="n">
        <x:f>IF(A17="","",COUNTIF('Portfolio Inputs'!B8:B289,A17))</x:f>
        <x:v>1</x:v>
      </x:c>
      <x:c r="H17" s="75" t="n">
        <x:f>IF(Portfolio_Par&gt;0,F17/Portfolio_Par,"")</x:f>
        <x:v>0.00395</x:v>
      </x:c>
      <x:c r="I17" s="196" t="n">
        <x:f>IF(Portfolio_Par&gt;0,H17^2,"")</x:f>
        <x:v>0.000015602500000000002</x:v>
      </x:c>
    </x:row>
    <x:row r="18" ht="21" customHeight="1">
      <x:c r="A18" s="28" t="str">
        <x:v>SYN-OB-0001</x:v>
      </x:c>
      <x:c r="B18" s="28" t="str">
        <x:v>Alder Holdings 001</x:v>
      </x:c>
      <x:c r="C18" s="28" t="str">
        <x:v>BB-</x:v>
      </x:c>
      <x:c r="D18" s="28" t="str">
        <x:v>Hotels, Restaurants &amp; Leisure</x:v>
      </x:c>
      <x:c r="E18" s="28" t="str">
        <x:v>United States</x:v>
      </x:c>
      <x:c r="F18" s="66" t="n">
        <x:f>IF(A18="","",SUMIF('Portfolio Inputs'!B8:B289,A18,'Portfolio Inputs'!D8:D289))</x:f>
        <x:v>1182000</x:v>
      </x:c>
      <x:c r="G18" s="65" t="n">
        <x:f>IF(A18="","",COUNTIF('Portfolio Inputs'!B8:B289,A18))</x:f>
        <x:v>1</x:v>
      </x:c>
      <x:c r="H18" s="75" t="n">
        <x:f>IF(Portfolio_Par&gt;0,F18/Portfolio_Par,"")</x:f>
        <x:v>0.00394</x:v>
      </x:c>
      <x:c r="I18" s="196" t="n">
        <x:f>IF(Portfolio_Par&gt;0,H18^2,"")</x:f>
        <x:v>0.000015523599999999998</x:v>
      </x:c>
    </x:row>
    <x:row r="19" ht="21" customHeight="1">
      <x:c r="A19" s="28" t="str">
        <x:v>SYN-OB-0003</x:v>
      </x:c>
      <x:c r="B19" s="28" t="str">
        <x:v>Arbor Corp. 003</x:v>
      </x:c>
      <x:c r="C19" s="28" t="str">
        <x:v>B</x:v>
      </x:c>
      <x:c r="D19" s="28" t="str">
        <x:v>Industrial Conglomerates</x:v>
      </x:c>
      <x:c r="E19" s="28" t="str">
        <x:v>United States</x:v>
      </x:c>
      <x:c r="F19" s="66" t="n">
        <x:f>IF(A19="","",SUMIF('Portfolio Inputs'!B8:B289,A19,'Portfolio Inputs'!D8:D289))</x:f>
        <x:v>1182000</x:v>
      </x:c>
      <x:c r="G19" s="65" t="n">
        <x:f>IF(A19="","",COUNTIF('Portfolio Inputs'!B8:B289,A19))</x:f>
        <x:v>1</x:v>
      </x:c>
      <x:c r="H19" s="75" t="n">
        <x:f>IF(Portfolio_Par&gt;0,F19/Portfolio_Par,"")</x:f>
        <x:v>0.00394</x:v>
      </x:c>
      <x:c r="I19" s="196" t="n">
        <x:f>IF(Portfolio_Par&gt;0,H19^2,"")</x:f>
        <x:v>0.000015523599999999998</x:v>
      </x:c>
    </x:row>
    <x:row r="20" ht="21" customHeight="1">
      <x:c r="A20" s="28" t="str">
        <x:v>SYN-OB-0004</x:v>
      </x:c>
      <x:c r="B20" s="28" t="str">
        <x:v>Atlas Group 004</x:v>
      </x:c>
      <x:c r="C20" s="28" t="str">
        <x:v>B-</x:v>
      </x:c>
      <x:c r="D20" s="28" t="str">
        <x:v>Financial services</x:v>
      </x:c>
      <x:c r="E20" s="28" t="str">
        <x:v>United States</x:v>
      </x:c>
      <x:c r="F20" s="66" t="n">
        <x:f>IF(A20="","",SUMIF('Portfolio Inputs'!B8:B289,A20,'Portfolio Inputs'!D8:D289))</x:f>
        <x:v>1182000</x:v>
      </x:c>
      <x:c r="G20" s="65" t="n">
        <x:f>IF(A20="","",COUNTIF('Portfolio Inputs'!B8:B289,A20))</x:f>
        <x:v>1</x:v>
      </x:c>
      <x:c r="H20" s="75" t="n">
        <x:f>IF(Portfolio_Par&gt;0,F20/Portfolio_Par,"")</x:f>
        <x:v>0.00394</x:v>
      </x:c>
      <x:c r="I20" s="196" t="n">
        <x:f>IF(Portfolio_Par&gt;0,H20^2,"")</x:f>
        <x:v>0.000015523599999999998</x:v>
      </x:c>
    </x:row>
    <x:row r="21" ht="21" customHeight="1">
      <x:c r="A21" s="28" t="str">
        <x:v>SYN-OB-0005</x:v>
      </x:c>
      <x:c r="B21" s="28" t="str">
        <x:v>Beacon LLC 005</x:v>
      </x:c>
      <x:c r="C21" s="28" t="str">
        <x:v>B</x:v>
      </x:c>
      <x:c r="D21" s="28" t="str">
        <x:v>Healthcare Providers &amp; Services</x:v>
      </x:c>
      <x:c r="E21" s="28" t="str">
        <x:v>United States</x:v>
      </x:c>
      <x:c r="F21" s="66" t="n">
        <x:f>IF(A21="","",SUMIF('Portfolio Inputs'!B8:B289,A21,'Portfolio Inputs'!D8:D289))</x:f>
        <x:v>1182000</x:v>
      </x:c>
      <x:c r="G21" s="65" t="n">
        <x:f>IF(A21="","",COUNTIF('Portfolio Inputs'!B8:B289,A21))</x:f>
        <x:v>1</x:v>
      </x:c>
      <x:c r="H21" s="75" t="n">
        <x:f>IF(Portfolio_Par&gt;0,F21/Portfolio_Par,"")</x:f>
        <x:v>0.00394</x:v>
      </x:c>
      <x:c r="I21" s="196" t="n">
        <x:f>IF(Portfolio_Par&gt;0,H21^2,"")</x:f>
        <x:v>0.000015523599999999998</x:v>
      </x:c>
    </x:row>
    <x:row r="22" ht="21" customHeight="1">
      <x:c r="A22" s="28" t="str">
        <x:v>SYN-OB-0006</x:v>
      </x:c>
      <x:c r="B22" s="28" t="str">
        <x:v>Bluewater Holdings 006</x:v>
      </x:c>
      <x:c r="C22" s="28" t="str">
        <x:v>B</x:v>
      </x:c>
      <x:c r="D22" s="28" t="str">
        <x:v>Chemicals</x:v>
      </x:c>
      <x:c r="E22" s="28" t="str">
        <x:v>United States</x:v>
      </x:c>
      <x:c r="F22" s="66" t="n">
        <x:f>IF(A22="","",SUMIF('Portfolio Inputs'!B8:B289,A22,'Portfolio Inputs'!D8:D289))</x:f>
        <x:v>1182000</x:v>
      </x:c>
      <x:c r="G22" s="65" t="n">
        <x:f>IF(A22="","",COUNTIF('Portfolio Inputs'!B8:B289,A22))</x:f>
        <x:v>1</x:v>
      </x:c>
      <x:c r="H22" s="75" t="n">
        <x:f>IF(Portfolio_Par&gt;0,F22/Portfolio_Par,"")</x:f>
        <x:v>0.00394</x:v>
      </x:c>
      <x:c r="I22" s="196" t="n">
        <x:f>IF(Portfolio_Par&gt;0,H22^2,"")</x:f>
        <x:v>0.000015523599999999998</x:v>
      </x:c>
    </x:row>
    <x:row r="23" ht="21" customHeight="1">
      <x:c r="A23" s="28" t="str">
        <x:v>SYN-OB-0007</x:v>
      </x:c>
      <x:c r="B23" s="28" t="str">
        <x:v>Bracken Inc. 007</x:v>
      </x:c>
      <x:c r="C23" s="28" t="str">
        <x:v>B</x:v>
      </x:c>
      <x:c r="D23" s="28" t="str">
        <x:v>Building Products</x:v>
      </x:c>
      <x:c r="E23" s="28" t="str">
        <x:v>United States</x:v>
      </x:c>
      <x:c r="F23" s="66" t="n">
        <x:f>IF(A23="","",SUMIF('Portfolio Inputs'!B8:B289,A23,'Portfolio Inputs'!D8:D289))</x:f>
        <x:v>1182000</x:v>
      </x:c>
      <x:c r="G23" s="65" t="n">
        <x:f>IF(A23="","",COUNTIF('Portfolio Inputs'!B8:B289,A23))</x:f>
        <x:v>1</x:v>
      </x:c>
      <x:c r="H23" s="75" t="n">
        <x:f>IF(Portfolio_Par&gt;0,F23/Portfolio_Par,"")</x:f>
        <x:v>0.00394</x:v>
      </x:c>
      <x:c r="I23" s="196" t="n">
        <x:f>IF(Portfolio_Par&gt;0,H23^2,"")</x:f>
        <x:v>0.000015523599999999998</x:v>
      </x:c>
    </x:row>
    <x:row r="24" ht="21" customHeight="1">
      <x:c r="A24" s="28" t="str">
        <x:v>SYN-OB-0008</x:v>
      </x:c>
      <x:c r="B24" s="28" t="str">
        <x:v>Cedar Corp. 008</x:v>
      </x:c>
      <x:c r="C24" s="28" t="str">
        <x:v>B+</x:v>
      </x:c>
      <x:c r="D24" s="28" t="str">
        <x:v>Industrial Conglomerates</x:v>
      </x:c>
      <x:c r="E24" s="28" t="str">
        <x:v>United States</x:v>
      </x:c>
      <x:c r="F24" s="66" t="n">
        <x:f>IF(A24="","",SUMIF('Portfolio Inputs'!B8:B289,A24,'Portfolio Inputs'!D8:D289))</x:f>
        <x:v>1182000</x:v>
      </x:c>
      <x:c r="G24" s="65" t="n">
        <x:f>IF(A24="","",COUNTIF('Portfolio Inputs'!B8:B289,A24))</x:f>
        <x:v>1</x:v>
      </x:c>
      <x:c r="H24" s="75" t="n">
        <x:f>IF(Portfolio_Par&gt;0,F24/Portfolio_Par,"")</x:f>
        <x:v>0.00394</x:v>
      </x:c>
      <x:c r="I24" s="196" t="n">
        <x:f>IF(Portfolio_Par&gt;0,H24^2,"")</x:f>
        <x:v>0.000015523599999999998</x:v>
      </x:c>
    </x:row>
    <x:row r="25" ht="21" customHeight="1">
      <x:c r="A25" s="28" t="str">
        <x:v>SYN-OB-0009</x:v>
      </x:c>
      <x:c r="B25" s="28" t="str">
        <x:v>Cobalt Group 009</x:v>
      </x:c>
      <x:c r="C25" s="28" t="str">
        <x:v>BB-</x:v>
      </x:c>
      <x:c r="D25" s="28" t="str">
        <x:v>Diversified Telecommunication Services</x:v>
      </x:c>
      <x:c r="E25" s="28" t="str">
        <x:v>United States</x:v>
      </x:c>
      <x:c r="F25" s="66" t="n">
        <x:f>IF(A25="","",SUMIF('Portfolio Inputs'!B8:B289,A25,'Portfolio Inputs'!D8:D289))</x:f>
        <x:v>1182000</x:v>
      </x:c>
      <x:c r="G25" s="65" t="n">
        <x:f>IF(A25="","",COUNTIF('Portfolio Inputs'!B8:B289,A25))</x:f>
        <x:v>1</x:v>
      </x:c>
      <x:c r="H25" s="75" t="n">
        <x:f>IF(Portfolio_Par&gt;0,F25/Portfolio_Par,"")</x:f>
        <x:v>0.00394</x:v>
      </x:c>
      <x:c r="I25" s="196" t="n">
        <x:f>IF(Portfolio_Par&gt;0,H25^2,"")</x:f>
        <x:v>0.000015523599999999998</x:v>
      </x:c>
    </x:row>
    <x:row r="26" ht="21" customHeight="1">
      <x:c r="A26" s="28" t="str">
        <x:v>SYN-OB-0010</x:v>
      </x:c>
      <x:c r="B26" s="28" t="str">
        <x:v>Copper LLC 010</x:v>
      </x:c>
      <x:c r="C26" s="28" t="str">
        <x:v>BB</x:v>
      </x:c>
      <x:c r="D26" s="28" t="str">
        <x:v>Commercial Services &amp; Supplies</x:v>
      </x:c>
      <x:c r="E26" s="28" t="str">
        <x:v>United States</x:v>
      </x:c>
      <x:c r="F26" s="66" t="n">
        <x:f>IF(A26="","",SUMIF('Portfolio Inputs'!B8:B289,A26,'Portfolio Inputs'!D8:D289))</x:f>
        <x:v>1182000</x:v>
      </x:c>
      <x:c r="G26" s="65" t="n">
        <x:f>IF(A26="","",COUNTIF('Portfolio Inputs'!B8:B289,A26))</x:f>
        <x:v>1</x:v>
      </x:c>
      <x:c r="H26" s="75" t="n">
        <x:f>IF(Portfolio_Par&gt;0,F26/Portfolio_Par,"")</x:f>
        <x:v>0.00394</x:v>
      </x:c>
      <x:c r="I26" s="196" t="n">
        <x:f>IF(Portfolio_Par&gt;0,H26^2,"")</x:f>
        <x:v>0.000015523599999999998</x:v>
      </x:c>
    </x:row>
    <x:row r="27" ht="21" customHeight="1">
      <x:c r="A27" s="28" t="str">
        <x:v>SYN-OB-0011</x:v>
      </x:c>
      <x:c r="B27" s="28" t="str">
        <x:v>Crest Holdings 011</x:v>
      </x:c>
      <x:c r="C27" s="28" t="str">
        <x:v>B+</x:v>
      </x:c>
      <x:c r="D27" s="28" t="str">
        <x:v>Commercial Services &amp; Supplies</x:v>
      </x:c>
      <x:c r="E27" s="28" t="str">
        <x:v>United States</x:v>
      </x:c>
      <x:c r="F27" s="66" t="n">
        <x:f>IF(A27="","",SUMIF('Portfolio Inputs'!B8:B289,A27,'Portfolio Inputs'!D8:D289))</x:f>
        <x:v>1182000</x:v>
      </x:c>
      <x:c r="G27" s="65" t="n">
        <x:f>IF(A27="","",COUNTIF('Portfolio Inputs'!B8:B289,A27))</x:f>
        <x:v>2</x:v>
      </x:c>
      <x:c r="H27" s="75" t="n">
        <x:f>IF(Portfolio_Par&gt;0,F27/Portfolio_Par,"")</x:f>
        <x:v>0.00394</x:v>
      </x:c>
      <x:c r="I27" s="196" t="n">
        <x:f>IF(Portfolio_Par&gt;0,H27^2,"")</x:f>
        <x:v>0.000015523599999999998</x:v>
      </x:c>
    </x:row>
    <x:row r="28" ht="21" customHeight="1">
      <x:c r="A28" s="28" t="str">
        <x:v>SYN-OB-0012</x:v>
      </x:c>
      <x:c r="B28" s="28" t="str">
        <x:v>Duneland Inc. 012</x:v>
      </x:c>
      <x:c r="C28" s="28" t="str">
        <x:v>B+</x:v>
      </x:c>
      <x:c r="D28" s="28" t="str">
        <x:v>Industrial Conglomerates</x:v>
      </x:c>
      <x:c r="E28" s="28" t="str">
        <x:v>United States</x:v>
      </x:c>
      <x:c r="F28" s="66" t="n">
        <x:f>IF(A28="","",SUMIF('Portfolio Inputs'!B8:B289,A28,'Portfolio Inputs'!D8:D289))</x:f>
        <x:v>1182000</x:v>
      </x:c>
      <x:c r="G28" s="65" t="n">
        <x:f>IF(A28="","",COUNTIF('Portfolio Inputs'!B8:B289,A28))</x:f>
        <x:v>2</x:v>
      </x:c>
      <x:c r="H28" s="75" t="n">
        <x:f>IF(Portfolio_Par&gt;0,F28/Portfolio_Par,"")</x:f>
        <x:v>0.00394</x:v>
      </x:c>
      <x:c r="I28" s="196" t="n">
        <x:f>IF(Portfolio_Par&gt;0,H28^2,"")</x:f>
        <x:v>0.000015523599999999998</x:v>
      </x:c>
    </x:row>
    <x:row r="29" ht="21" customHeight="1">
      <x:c r="A29" s="28" t="str">
        <x:v>SYN-OB-0013</x:v>
      </x:c>
      <x:c r="B29" s="28" t="str">
        <x:v>Elmstone Corp. 013</x:v>
      </x:c>
      <x:c r="C29" s="28" t="str">
        <x:v>BB</x:v>
      </x:c>
      <x:c r="D29" s="28" t="str">
        <x:v>Construction Materials</x:v>
      </x:c>
      <x:c r="E29" s="28" t="str">
        <x:v>United States</x:v>
      </x:c>
      <x:c r="F29" s="66" t="n">
        <x:f>IF(A29="","",SUMIF('Portfolio Inputs'!B8:B289,A29,'Portfolio Inputs'!D8:D289))</x:f>
        <x:v>1182000</x:v>
      </x:c>
      <x:c r="G29" s="65" t="n">
        <x:f>IF(A29="","",COUNTIF('Portfolio Inputs'!B8:B289,A29))</x:f>
        <x:v>1</x:v>
      </x:c>
      <x:c r="H29" s="75" t="n">
        <x:f>IF(Portfolio_Par&gt;0,F29/Portfolio_Par,"")</x:f>
        <x:v>0.00394</x:v>
      </x:c>
      <x:c r="I29" s="196" t="n">
        <x:f>IF(Portfolio_Par&gt;0,H29^2,"")</x:f>
        <x:v>0.000015523599999999998</x:v>
      </x:c>
    </x:row>
    <x:row r="30" ht="21" customHeight="1">
      <x:c r="A30" s="28" t="str">
        <x:v>SYN-OB-0014</x:v>
      </x:c>
      <x:c r="B30" s="28" t="str">
        <x:v>Evergreen Group 014</x:v>
      </x:c>
      <x:c r="C30" s="28" t="str">
        <x:v>BB-</x:v>
      </x:c>
      <x:c r="D30" s="28" t="str">
        <x:v>Hotels, Restaurants &amp; Leisure</x:v>
      </x:c>
      <x:c r="E30" s="28" t="str">
        <x:v>United States</x:v>
      </x:c>
      <x:c r="F30" s="66" t="n">
        <x:f>IF(A30="","",SUMIF('Portfolio Inputs'!B8:B289,A30,'Portfolio Inputs'!D8:D289))</x:f>
        <x:v>1182000</x:v>
      </x:c>
      <x:c r="G30" s="65" t="n">
        <x:f>IF(A30="","",COUNTIF('Portfolio Inputs'!B8:B289,A30))</x:f>
        <x:v>1</x:v>
      </x:c>
      <x:c r="H30" s="75" t="n">
        <x:f>IF(Portfolio_Par&gt;0,F30/Portfolio_Par,"")</x:f>
        <x:v>0.00394</x:v>
      </x:c>
      <x:c r="I30" s="196" t="n">
        <x:f>IF(Portfolio_Par&gt;0,H30^2,"")</x:f>
        <x:v>0.000015523599999999998</x:v>
      </x:c>
    </x:row>
    <x:row r="31" ht="21" customHeight="1">
      <x:c r="A31" s="28" t="str">
        <x:v>SYN-OB-0016</x:v>
      </x:c>
      <x:c r="B31" s="28" t="str">
        <x:v>Granite Holdings 016</x:v>
      </x:c>
      <x:c r="C31" s="28" t="str">
        <x:v>BB</x:v>
      </x:c>
      <x:c r="D31" s="28" t="str">
        <x:v>Banks</x:v>
      </x:c>
      <x:c r="E31" s="28" t="str">
        <x:v>United States</x:v>
      </x:c>
      <x:c r="F31" s="66" t="n">
        <x:f>IF(A31="","",SUMIF('Portfolio Inputs'!B8:B289,A31,'Portfolio Inputs'!D8:D289))</x:f>
        <x:v>1182000</x:v>
      </x:c>
      <x:c r="G31" s="65" t="n">
        <x:f>IF(A31="","",COUNTIF('Portfolio Inputs'!B8:B289,A31))</x:f>
        <x:v>1</x:v>
      </x:c>
      <x:c r="H31" s="75" t="n">
        <x:f>IF(Portfolio_Par&gt;0,F31/Portfolio_Par,"")</x:f>
        <x:v>0.00394</x:v>
      </x:c>
      <x:c r="I31" s="196" t="n">
        <x:f>IF(Portfolio_Par&gt;0,H31^2,"")</x:f>
        <x:v>0.000015523599999999998</x:v>
      </x:c>
    </x:row>
    <x:row r="32" ht="21" customHeight="1">
      <x:c r="A32" s="28" t="str">
        <x:v>SYN-OB-0017</x:v>
      </x:c>
      <x:c r="B32" s="28" t="str">
        <x:v>Harbor Inc. 017</x:v>
      </x:c>
      <x:c r="C32" s="28" t="str">
        <x:v>B-</x:v>
      </x:c>
      <x:c r="D32" s="28" t="str">
        <x:v>Transportation Infrastructure</x:v>
      </x:c>
      <x:c r="E32" s="28" t="str">
        <x:v>United States</x:v>
      </x:c>
      <x:c r="F32" s="66" t="n">
        <x:f>IF(A32="","",SUMIF('Portfolio Inputs'!B8:B289,A32,'Portfolio Inputs'!D8:D289))</x:f>
        <x:v>1182000</x:v>
      </x:c>
      <x:c r="G32" s="65" t="n">
        <x:f>IF(A32="","",COUNTIF('Portfolio Inputs'!B8:B289,A32))</x:f>
        <x:v>1</x:v>
      </x:c>
      <x:c r="H32" s="75" t="n">
        <x:f>IF(Portfolio_Par&gt;0,F32/Portfolio_Par,"")</x:f>
        <x:v>0.00394</x:v>
      </x:c>
      <x:c r="I32" s="196" t="n">
        <x:f>IF(Portfolio_Par&gt;0,H32^2,"")</x:f>
        <x:v>0.000015523599999999998</x:v>
      </x:c>
    </x:row>
    <x:row r="33" ht="21" customHeight="1">
      <x:c r="A33" s="28" t="str">
        <x:v>SYN-OB-0018</x:v>
      </x:c>
      <x:c r="B33" s="28" t="str">
        <x:v>Hawthorne Corp. 018</x:v>
      </x:c>
      <x:c r="C33" s="28" t="str">
        <x:v>B+</x:v>
      </x:c>
      <x:c r="D33" s="28" t="str">
        <x:v>Passenger airlines</x:v>
      </x:c>
      <x:c r="E33" s="28" t="str">
        <x:v>United States</x:v>
      </x:c>
      <x:c r="F33" s="66" t="n">
        <x:f>IF(A33="","",SUMIF('Portfolio Inputs'!B8:B289,A33,'Portfolio Inputs'!D8:D289))</x:f>
        <x:v>1182000</x:v>
      </x:c>
      <x:c r="G33" s="65" t="n">
        <x:f>IF(A33="","",COUNTIF('Portfolio Inputs'!B8:B289,A33))</x:f>
        <x:v>1</x:v>
      </x:c>
      <x:c r="H33" s="75" t="n">
        <x:f>IF(Portfolio_Par&gt;0,F33/Portfolio_Par,"")</x:f>
        <x:v>0.00394</x:v>
      </x:c>
      <x:c r="I33" s="196" t="n">
        <x:f>IF(Portfolio_Par&gt;0,H33^2,"")</x:f>
        <x:v>0.000015523599999999998</x:v>
      </x:c>
    </x:row>
    <x:row r="34" ht="21" customHeight="1">
      <x:c r="A34" s="28" t="str">
        <x:v>SYN-OB-0019</x:v>
      </x:c>
      <x:c r="B34" s="28" t="str">
        <x:v>Highland Group 019</x:v>
      </x:c>
      <x:c r="C34" s="28" t="str">
        <x:v>BB-</x:v>
      </x:c>
      <x:c r="D34" s="28" t="str">
        <x:v>Industrial Conglomerates</x:v>
      </x:c>
      <x:c r="E34" s="28" t="str">
        <x:v>United States</x:v>
      </x:c>
      <x:c r="F34" s="66" t="n">
        <x:f>IF(A34="","",SUMIF('Portfolio Inputs'!B8:B289,A34,'Portfolio Inputs'!D8:D289))</x:f>
        <x:v>1182000</x:v>
      </x:c>
      <x:c r="G34" s="65" t="n">
        <x:f>IF(A34="","",COUNTIF('Portfolio Inputs'!B8:B289,A34))</x:f>
        <x:v>1</x:v>
      </x:c>
      <x:c r="H34" s="75" t="n">
        <x:f>IF(Portfolio_Par&gt;0,F34/Portfolio_Par,"")</x:f>
        <x:v>0.00394</x:v>
      </x:c>
      <x:c r="I34" s="196" t="n">
        <x:f>IF(Portfolio_Par&gt;0,H34^2,"")</x:f>
        <x:v>0.000015523599999999998</x:v>
      </x:c>
    </x:row>
    <x:row r="35" ht="21" customHeight="1">
      <x:c r="A35" s="28" t="str">
        <x:v>SYN-OB-0020</x:v>
      </x:c>
      <x:c r="B35" s="28" t="str">
        <x:v>Ironwood LLC 020</x:v>
      </x:c>
      <x:c r="C35" s="28" t="str">
        <x:v>BBB-</x:v>
      </x:c>
      <x:c r="D35" s="28" t="str">
        <x:v>Capital Markets</x:v>
      </x:c>
      <x:c r="E35" s="28" t="str">
        <x:v>United States</x:v>
      </x:c>
      <x:c r="F35" s="66" t="n">
        <x:f>IF(A35="","",SUMIF('Portfolio Inputs'!B8:B289,A35,'Portfolio Inputs'!D8:D289))</x:f>
        <x:v>1182000</x:v>
      </x:c>
      <x:c r="G35" s="65" t="n">
        <x:f>IF(A35="","",COUNTIF('Portfolio Inputs'!B8:B289,A35))</x:f>
        <x:v>1</x:v>
      </x:c>
      <x:c r="H35" s="75" t="n">
        <x:f>IF(Portfolio_Par&gt;0,F35/Portfolio_Par,"")</x:f>
        <x:v>0.00394</x:v>
      </x:c>
      <x:c r="I35" s="196" t="n">
        <x:f>IF(Portfolio_Par&gt;0,H35^2,"")</x:f>
        <x:v>0.000015523599999999998</x:v>
      </x:c>
    </x:row>
    <x:row r="36" ht="21" customHeight="1">
      <x:c r="A36" s="28" t="str">
        <x:v>SYN-OB-0021</x:v>
      </x:c>
      <x:c r="B36" s="28" t="str">
        <x:v>Juniper Holdings 021</x:v>
      </x:c>
      <x:c r="C36" s="28" t="str">
        <x:v>BB</x:v>
      </x:c>
      <x:c r="D36" s="28" t="str">
        <x:v>Healthcare Technology</x:v>
      </x:c>
      <x:c r="E36" s="28" t="str">
        <x:v>United States</x:v>
      </x:c>
      <x:c r="F36" s="66" t="n">
        <x:f>IF(A36="","",SUMIF('Portfolio Inputs'!B8:B289,A36,'Portfolio Inputs'!D8:D289))</x:f>
        <x:v>1182000</x:v>
      </x:c>
      <x:c r="G36" s="65" t="n">
        <x:f>IF(A36="","",COUNTIF('Portfolio Inputs'!B8:B289,A36))</x:f>
        <x:v>1</x:v>
      </x:c>
      <x:c r="H36" s="75" t="n">
        <x:f>IF(Portfolio_Par&gt;0,F36/Portfolio_Par,"")</x:f>
        <x:v>0.00394</x:v>
      </x:c>
      <x:c r="I36" s="196" t="n">
        <x:f>IF(Portfolio_Par&gt;0,H36^2,"")</x:f>
        <x:v>0.000015523599999999998</x:v>
      </x:c>
    </x:row>
    <x:row r="37" ht="21" customHeight="1">
      <x:c r="A37" s="28" t="str">
        <x:v>SYN-OB-0022</x:v>
      </x:c>
      <x:c r="B37" s="28" t="str">
        <x:v>Keystone Inc. 022</x:v>
      </x:c>
      <x:c r="C37" s="28" t="str">
        <x:v>B+</x:v>
      </x:c>
      <x:c r="D37" s="28" t="str">
        <x:v>Hotels, Restaurants &amp; Leisure</x:v>
      </x:c>
      <x:c r="E37" s="28" t="str">
        <x:v>United States</x:v>
      </x:c>
      <x:c r="F37" s="66" t="n">
        <x:f>IF(A37="","",SUMIF('Portfolio Inputs'!B8:B289,A37,'Portfolio Inputs'!D8:D289))</x:f>
        <x:v>1182000</x:v>
      </x:c>
      <x:c r="G37" s="65" t="n">
        <x:f>IF(A37="","",COUNTIF('Portfolio Inputs'!B8:B289,A37))</x:f>
        <x:v>1</x:v>
      </x:c>
      <x:c r="H37" s="75" t="n">
        <x:f>IF(Portfolio_Par&gt;0,F37/Portfolio_Par,"")</x:f>
        <x:v>0.00394</x:v>
      </x:c>
      <x:c r="I37" s="196" t="n">
        <x:f>IF(Portfolio_Par&gt;0,H37^2,"")</x:f>
        <x:v>0.000015523599999999998</x:v>
      </x:c>
    </x:row>
    <x:row r="38" ht="21" customHeight="1">
      <x:c r="A38" s="28" t="str">
        <x:v>SYN-OB-0023</x:v>
      </x:c>
      <x:c r="B38" s="28" t="str">
        <x:v>Lakeview Corp. 023</x:v>
      </x:c>
      <x:c r="C38" s="28" t="str">
        <x:v>B-</x:v>
      </x:c>
      <x:c r="D38" s="28" t="str">
        <x:v>Containers &amp; Packaging</x:v>
      </x:c>
      <x:c r="E38" s="28" t="str">
        <x:v>United States</x:v>
      </x:c>
      <x:c r="F38" s="66" t="n">
        <x:f>IF(A38="","",SUMIF('Portfolio Inputs'!B8:B289,A38,'Portfolio Inputs'!D8:D289))</x:f>
        <x:v>1182000</x:v>
      </x:c>
      <x:c r="G38" s="65" t="n">
        <x:f>IF(A38="","",COUNTIF('Portfolio Inputs'!B8:B289,A38))</x:f>
        <x:v>1</x:v>
      </x:c>
      <x:c r="H38" s="75" t="n">
        <x:f>IF(Portfolio_Par&gt;0,F38/Portfolio_Par,"")</x:f>
        <x:v>0.00394</x:v>
      </x:c>
      <x:c r="I38" s="196" t="n">
        <x:f>IF(Portfolio_Par&gt;0,H38^2,"")</x:f>
        <x:v>0.000015523599999999998</x:v>
      </x:c>
    </x:row>
    <x:row r="39" ht="21" customHeight="1">
      <x:c r="A39" s="28" t="str">
        <x:v>SYN-OB-0024</x:v>
      </x:c>
      <x:c r="B39" s="28" t="str">
        <x:v>Larkspur Group 024</x:v>
      </x:c>
      <x:c r="C39" s="28" t="str">
        <x:v>B</x:v>
      </x:c>
      <x:c r="D39" s="28" t="str">
        <x:v>Aerospace &amp; Defense</x:v>
      </x:c>
      <x:c r="E39" s="28" t="str">
        <x:v>Luxembourg</x:v>
      </x:c>
      <x:c r="F39" s="66" t="n">
        <x:f>IF(A39="","",SUMIF('Portfolio Inputs'!B8:B289,A39,'Portfolio Inputs'!D8:D289))</x:f>
        <x:v>1182000</x:v>
      </x:c>
      <x:c r="G39" s="65" t="n">
        <x:f>IF(A39="","",COUNTIF('Portfolio Inputs'!B8:B289,A39))</x:f>
        <x:v>1</x:v>
      </x:c>
      <x:c r="H39" s="75" t="n">
        <x:f>IF(Portfolio_Par&gt;0,F39/Portfolio_Par,"")</x:f>
        <x:v>0.00394</x:v>
      </x:c>
      <x:c r="I39" s="196" t="n">
        <x:f>IF(Portfolio_Par&gt;0,H39^2,"")</x:f>
        <x:v>0.000015523599999999998</x:v>
      </x:c>
    </x:row>
    <x:row r="40" ht="21" customHeight="1">
      <x:c r="A40" s="28" t="str">
        <x:v>SYN-OB-0025</x:v>
      </x:c>
      <x:c r="B40" s="28" t="str">
        <x:v>Maple LLC 025</x:v>
      </x:c>
      <x:c r="C40" s="28" t="str">
        <x:v>BB-</x:v>
      </x:c>
      <x:c r="D40" s="28" t="str">
        <x:v>Broadline retail</x:v>
      </x:c>
      <x:c r="E40" s="28" t="str">
        <x:v>United States</x:v>
      </x:c>
      <x:c r="F40" s="66" t="n">
        <x:f>IF(A40="","",SUMIF('Portfolio Inputs'!B8:B289,A40,'Portfolio Inputs'!D8:D289))</x:f>
        <x:v>1182000</x:v>
      </x:c>
      <x:c r="G40" s="65" t="n">
        <x:f>IF(A40="","",COUNTIF('Portfolio Inputs'!B8:B289,A40))</x:f>
        <x:v>1</x:v>
      </x:c>
      <x:c r="H40" s="75" t="n">
        <x:f>IF(Portfolio_Par&gt;0,F40/Portfolio_Par,"")</x:f>
        <x:v>0.00394</x:v>
      </x:c>
      <x:c r="I40" s="196" t="n">
        <x:f>IF(Portfolio_Par&gt;0,H40^2,"")</x:f>
        <x:v>0.000015523599999999998</x:v>
      </x:c>
    </x:row>
    <x:row r="41" ht="21" customHeight="1">
      <x:c r="A41" s="28" t="str">
        <x:v>SYN-OB-0026</x:v>
      </x:c>
      <x:c r="B41" s="28" t="str">
        <x:v>Meridian Holdings 026</x:v>
      </x:c>
      <x:c r="C41" s="28" t="str">
        <x:v>BB-</x:v>
      </x:c>
      <x:c r="D41" s="28" t="str">
        <x:v>Household Products</x:v>
      </x:c>
      <x:c r="E41" s="28" t="str">
        <x:v>United States</x:v>
      </x:c>
      <x:c r="F41" s="66" t="n">
        <x:f>IF(A41="","",SUMIF('Portfolio Inputs'!B8:B289,A41,'Portfolio Inputs'!D8:D289))</x:f>
        <x:v>1182000</x:v>
      </x:c>
      <x:c r="G41" s="65" t="n">
        <x:f>IF(A41="","",COUNTIF('Portfolio Inputs'!B8:B289,A41))</x:f>
        <x:v>1</x:v>
      </x:c>
      <x:c r="H41" s="75" t="n">
        <x:f>IF(Portfolio_Par&gt;0,F41/Portfolio_Par,"")</x:f>
        <x:v>0.00394</x:v>
      </x:c>
      <x:c r="I41" s="196" t="n">
        <x:f>IF(Portfolio_Par&gt;0,H41^2,"")</x:f>
        <x:v>0.000015523599999999998</x:v>
      </x:c>
    </x:row>
    <x:row r="42" ht="21" customHeight="1">
      <x:c r="A42" s="28" t="str">
        <x:v>SYN-OB-0028</x:v>
      </x:c>
      <x:c r="B42" s="28" t="str">
        <x:v>Oakmont Corp. 028</x:v>
      </x:c>
      <x:c r="C42" s="28" t="str">
        <x:v>B-</x:v>
      </x:c>
      <x:c r="D42" s="28" t="str">
        <x:v>Financial services</x:v>
      </x:c>
      <x:c r="E42" s="28" t="str">
        <x:v>United States</x:v>
      </x:c>
      <x:c r="F42" s="66" t="n">
        <x:f>IF(A42="","",SUMIF('Portfolio Inputs'!B8:B289,A42,'Portfolio Inputs'!D8:D289))</x:f>
        <x:v>1182000</x:v>
      </x:c>
      <x:c r="G42" s="65" t="n">
        <x:f>IF(A42="","",COUNTIF('Portfolio Inputs'!B8:B289,A42))</x:f>
        <x:v>1</x:v>
      </x:c>
      <x:c r="H42" s="75" t="n">
        <x:f>IF(Portfolio_Par&gt;0,F42/Portfolio_Par,"")</x:f>
        <x:v>0.00394</x:v>
      </x:c>
      <x:c r="I42" s="196" t="n">
        <x:f>IF(Portfolio_Par&gt;0,H42^2,"")</x:f>
        <x:v>0.000015523599999999998</x:v>
      </x:c>
    </x:row>
    <x:row r="43" ht="21" customHeight="1">
      <x:c r="A43" s="28" t="str">
        <x:v>SYN-OB-0029</x:v>
      </x:c>
      <x:c r="B43" s="28" t="str">
        <x:v>Orchard Group 029</x:v>
      </x:c>
      <x:c r="C43" s="28" t="str">
        <x:v>B+</x:v>
      </x:c>
      <x:c r="D43" s="28" t="str">
        <x:v>Semiconductors &amp; Semiconductor Equipment</x:v>
      </x:c>
      <x:c r="E43" s="28" t="str">
        <x:v>United States</x:v>
      </x:c>
      <x:c r="F43" s="66" t="n">
        <x:f>IF(A43="","",SUMIF('Portfolio Inputs'!B8:B289,A43,'Portfolio Inputs'!D8:D289))</x:f>
        <x:v>1182000</x:v>
      </x:c>
      <x:c r="G43" s="65" t="n">
        <x:f>IF(A43="","",COUNTIF('Portfolio Inputs'!B8:B289,A43))</x:f>
        <x:v>1</x:v>
      </x:c>
      <x:c r="H43" s="75" t="n">
        <x:f>IF(Portfolio_Par&gt;0,F43/Portfolio_Par,"")</x:f>
        <x:v>0.00394</x:v>
      </x:c>
      <x:c r="I43" s="196" t="n">
        <x:f>IF(Portfolio_Par&gt;0,H43^2,"")</x:f>
        <x:v>0.000015523599999999998</x:v>
      </x:c>
    </x:row>
    <x:row r="44" ht="21" customHeight="1">
      <x:c r="A44" s="28" t="str">
        <x:v>SYN-OB-0030</x:v>
      </x:c>
      <x:c r="B44" s="28" t="str">
        <x:v>Pinecrest LLC 030</x:v>
      </x:c>
      <x:c r="C44" s="28" t="str">
        <x:v>B</x:v>
      </x:c>
      <x:c r="D44" s="28" t="str">
        <x:v>Industrial Conglomerates</x:v>
      </x:c>
      <x:c r="E44" s="28" t="str">
        <x:v>United States</x:v>
      </x:c>
      <x:c r="F44" s="66" t="n">
        <x:f>IF(A44="","",SUMIF('Portfolio Inputs'!B8:B289,A44,'Portfolio Inputs'!D8:D289))</x:f>
        <x:v>1182000</x:v>
      </x:c>
      <x:c r="G44" s="65" t="n">
        <x:f>IF(A44="","",COUNTIF('Portfolio Inputs'!B8:B289,A44))</x:f>
        <x:v>1</x:v>
      </x:c>
      <x:c r="H44" s="75" t="n">
        <x:f>IF(Portfolio_Par&gt;0,F44/Portfolio_Par,"")</x:f>
        <x:v>0.00394</x:v>
      </x:c>
      <x:c r="I44" s="196" t="n">
        <x:f>IF(Portfolio_Par&gt;0,H44^2,"")</x:f>
        <x:v>0.000015523599999999998</x:v>
      </x:c>
    </x:row>
    <x:row r="45" ht="21" customHeight="1">
      <x:c r="A45" s="28" t="str">
        <x:v>SYN-OB-0031</x:v>
      </x:c>
      <x:c r="B45" s="28" t="str">
        <x:v>Redwood Holdings 031</x:v>
      </x:c>
      <x:c r="C45" s="28" t="str">
        <x:v>B+</x:v>
      </x:c>
      <x:c r="D45" s="28" t="str">
        <x:v>Professional Services</x:v>
      </x:c>
      <x:c r="E45" s="28" t="str">
        <x:v>United States</x:v>
      </x:c>
      <x:c r="F45" s="66" t="n">
        <x:f>IF(A45="","",SUMIF('Portfolio Inputs'!B8:B289,A45,'Portfolio Inputs'!D8:D289))</x:f>
        <x:v>1182000</x:v>
      </x:c>
      <x:c r="G45" s="65" t="n">
        <x:f>IF(A45="","",COUNTIF('Portfolio Inputs'!B8:B289,A45))</x:f>
        <x:v>1</x:v>
      </x:c>
      <x:c r="H45" s="75" t="n">
        <x:f>IF(Portfolio_Par&gt;0,F45/Portfolio_Par,"")</x:f>
        <x:v>0.00394</x:v>
      </x:c>
      <x:c r="I45" s="196" t="n">
        <x:f>IF(Portfolio_Par&gt;0,H45^2,"")</x:f>
        <x:v>0.000015523599999999998</x:v>
      </x:c>
    </x:row>
    <x:row r="46" ht="21" customHeight="1">
      <x:c r="A46" s="28" t="str">
        <x:v>SYN-OB-0032</x:v>
      </x:c>
      <x:c r="B46" s="28" t="str">
        <x:v>Riverton Inc. 032</x:v>
      </x:c>
      <x:c r="C46" s="28" t="str">
        <x:v>B+</x:v>
      </x:c>
      <x:c r="D46" s="28" t="str">
        <x:v>Semiconductors &amp; Semiconductor Equipment</x:v>
      </x:c>
      <x:c r="E46" s="28" t="str">
        <x:v>United States</x:v>
      </x:c>
      <x:c r="F46" s="66" t="n">
        <x:f>IF(A46="","",SUMIF('Portfolio Inputs'!B8:B289,A46,'Portfolio Inputs'!D8:D289))</x:f>
        <x:v>1182000</x:v>
      </x:c>
      <x:c r="G46" s="65" t="n">
        <x:f>IF(A46="","",COUNTIF('Portfolio Inputs'!B8:B289,A46))</x:f>
        <x:v>1</x:v>
      </x:c>
      <x:c r="H46" s="75" t="n">
        <x:f>IF(Portfolio_Par&gt;0,F46/Portfolio_Par,"")</x:f>
        <x:v>0.00394</x:v>
      </x:c>
      <x:c r="I46" s="196" t="n">
        <x:f>IF(Portfolio_Par&gt;0,H46^2,"")</x:f>
        <x:v>0.000015523599999999998</x:v>
      </x:c>
    </x:row>
    <x:row r="47" ht="21" customHeight="1">
      <x:c r="A47" s="28" t="str">
        <x:v>SYN-OB-0033</x:v>
      </x:c>
      <x:c r="B47" s="28" t="str">
        <x:v>Silver Corp. 033</x:v>
      </x:c>
      <x:c r="C47" s="28" t="str">
        <x:v>B-</x:v>
      </x:c>
      <x:c r="D47" s="28" t="str">
        <x:v>Healthcare Technology</x:v>
      </x:c>
      <x:c r="E47" s="28" t="str">
        <x:v>United States</x:v>
      </x:c>
      <x:c r="F47" s="66" t="n">
        <x:f>IF(A47="","",SUMIF('Portfolio Inputs'!B8:B289,A47,'Portfolio Inputs'!D8:D289))</x:f>
        <x:v>1182000</x:v>
      </x:c>
      <x:c r="G47" s="65" t="n">
        <x:f>IF(A47="","",COUNTIF('Portfolio Inputs'!B8:B289,A47))</x:f>
        <x:v>1</x:v>
      </x:c>
      <x:c r="H47" s="75" t="n">
        <x:f>IF(Portfolio_Par&gt;0,F47/Portfolio_Par,"")</x:f>
        <x:v>0.00394</x:v>
      </x:c>
      <x:c r="I47" s="196" t="n">
        <x:f>IF(Portfolio_Par&gt;0,H47^2,"")</x:f>
        <x:v>0.000015523599999999998</x:v>
      </x:c>
    </x:row>
    <x:row r="48" ht="21" customHeight="1">
      <x:c r="A48" s="28" t="str">
        <x:v>SYN-OB-0034</x:v>
      </x:c>
      <x:c r="B48" s="28" t="str">
        <x:v>Stonebridge Group 034</x:v>
      </x:c>
      <x:c r="C48" s="28" t="str">
        <x:v>B</x:v>
      </x:c>
      <x:c r="D48" s="28" t="str">
        <x:v>Building Products</x:v>
      </x:c>
      <x:c r="E48" s="28" t="str">
        <x:v>United States</x:v>
      </x:c>
      <x:c r="F48" s="66" t="n">
        <x:f>IF(A48="","",SUMIF('Portfolio Inputs'!B8:B289,A48,'Portfolio Inputs'!D8:D289))</x:f>
        <x:v>1182000</x:v>
      </x:c>
      <x:c r="G48" s="65" t="n">
        <x:f>IF(A48="","",COUNTIF('Portfolio Inputs'!B8:B289,A48))</x:f>
        <x:v>1</x:v>
      </x:c>
      <x:c r="H48" s="75" t="n">
        <x:f>IF(Portfolio_Par&gt;0,F48/Portfolio_Par,"")</x:f>
        <x:v>0.00394</x:v>
      </x:c>
      <x:c r="I48" s="196" t="n">
        <x:f>IF(Portfolio_Par&gt;0,H48^2,"")</x:f>
        <x:v>0.000015523599999999998</x:v>
      </x:c>
    </x:row>
    <x:row r="49" ht="21" customHeight="1">
      <x:c r="A49" s="28" t="str">
        <x:v>SYN-OB-0035</x:v>
      </x:c>
      <x:c r="B49" s="28" t="str">
        <x:v>Summit LLC 035</x:v>
      </x:c>
      <x:c r="C49" s="28" t="str">
        <x:v>BB-</x:v>
      </x:c>
      <x:c r="D49" s="28" t="str">
        <x:v>Gas Utilities</x:v>
      </x:c>
      <x:c r="E49" s="28" t="str">
        <x:v>United States</x:v>
      </x:c>
      <x:c r="F49" s="66" t="n">
        <x:f>IF(A49="","",SUMIF('Portfolio Inputs'!B8:B289,A49,'Portfolio Inputs'!D8:D289))</x:f>
        <x:v>1182000</x:v>
      </x:c>
      <x:c r="G49" s="65" t="n">
        <x:f>IF(A49="","",COUNTIF('Portfolio Inputs'!B8:B289,A49))</x:f>
        <x:v>1</x:v>
      </x:c>
      <x:c r="H49" s="75" t="n">
        <x:f>IF(Portfolio_Par&gt;0,F49/Portfolio_Par,"")</x:f>
        <x:v>0.00394</x:v>
      </x:c>
      <x:c r="I49" s="196" t="n">
        <x:f>IF(Portfolio_Par&gt;0,H49^2,"")</x:f>
        <x:v>0.000015523599999999998</x:v>
      </x:c>
    </x:row>
    <x:row r="50" ht="21" customHeight="1">
      <x:c r="A50" s="28" t="str">
        <x:v>SYN-OB-0036</x:v>
      </x:c>
      <x:c r="B50" s="28" t="str">
        <x:v>Timber Holdings 036</x:v>
      </x:c>
      <x:c r="C50" s="28" t="str">
        <x:v>B-</x:v>
      </x:c>
      <x:c r="D50" s="28" t="str">
        <x:v>Machinery</x:v>
      </x:c>
      <x:c r="E50" s="28" t="str">
        <x:v>United States</x:v>
      </x:c>
      <x:c r="F50" s="66" t="n">
        <x:f>IF(A50="","",SUMIF('Portfolio Inputs'!B8:B289,A50,'Portfolio Inputs'!D8:D289))</x:f>
        <x:v>1182000</x:v>
      </x:c>
      <x:c r="G50" s="65" t="n">
        <x:f>IF(A50="","",COUNTIF('Portfolio Inputs'!B8:B289,A50))</x:f>
        <x:v>1</x:v>
      </x:c>
      <x:c r="H50" s="75" t="n">
        <x:f>IF(Portfolio_Par&gt;0,F50/Portfolio_Par,"")</x:f>
        <x:v>0.00394</x:v>
      </x:c>
      <x:c r="I50" s="196" t="n">
        <x:f>IF(Portfolio_Par&gt;0,H50^2,"")</x:f>
        <x:v>0.000015523599999999998</x:v>
      </x:c>
    </x:row>
    <x:row r="51" ht="21" customHeight="1">
      <x:c r="A51" s="28" t="str">
        <x:v>SYN-OB-0037</x:v>
      </x:c>
      <x:c r="B51" s="28" t="str">
        <x:v>Westhaven Inc. 037</x:v>
      </x:c>
      <x:c r="C51" s="28" t="str">
        <x:v>B-</x:v>
      </x:c>
      <x:c r="D51" s="28" t="str">
        <x:v>Energy Equipment &amp; Services</x:v>
      </x:c>
      <x:c r="E51" s="28" t="str">
        <x:v>United States</x:v>
      </x:c>
      <x:c r="F51" s="66" t="n">
        <x:f>IF(A51="","",SUMIF('Portfolio Inputs'!B8:B289,A51,'Portfolio Inputs'!D8:D289))</x:f>
        <x:v>1182000</x:v>
      </x:c>
      <x:c r="G51" s="65" t="n">
        <x:f>IF(A51="","",COUNTIF('Portfolio Inputs'!B8:B289,A51))</x:f>
        <x:v>1</x:v>
      </x:c>
      <x:c r="H51" s="75" t="n">
        <x:f>IF(Portfolio_Par&gt;0,F51/Portfolio_Par,"")</x:f>
        <x:v>0.00394</x:v>
      </x:c>
      <x:c r="I51" s="196" t="n">
        <x:f>IF(Portfolio_Par&gt;0,H51^2,"")</x:f>
        <x:v>0.000015523599999999998</x:v>
      </x:c>
    </x:row>
    <x:row r="52" ht="21" customHeight="1">
      <x:c r="A52" s="28" t="str">
        <x:v>SYN-OB-0039</x:v>
      </x:c>
      <x:c r="B52" s="28" t="str">
        <x:v>Windward Group 039</x:v>
      </x:c>
      <x:c r="C52" s="28" t="str">
        <x:v>B</x:v>
      </x:c>
      <x:c r="D52" s="28" t="str">
        <x:v>Aerospace &amp; Defense</x:v>
      </x:c>
      <x:c r="E52" s="28" t="str">
        <x:v>United States</x:v>
      </x:c>
      <x:c r="F52" s="66" t="n">
        <x:f>IF(A52="","",SUMIF('Portfolio Inputs'!B8:B289,A52,'Portfolio Inputs'!D8:D289))</x:f>
        <x:v>1182000</x:v>
      </x:c>
      <x:c r="G52" s="65" t="n">
        <x:f>IF(A52="","",COUNTIF('Portfolio Inputs'!B8:B289,A52))</x:f>
        <x:v>1</x:v>
      </x:c>
      <x:c r="H52" s="75" t="n">
        <x:f>IF(Portfolio_Par&gt;0,F52/Portfolio_Par,"")</x:f>
        <x:v>0.00394</x:v>
      </x:c>
      <x:c r="I52" s="196" t="n">
        <x:f>IF(Portfolio_Par&gt;0,H52^2,"")</x:f>
        <x:v>0.000015523599999999998</x:v>
      </x:c>
    </x:row>
    <x:row r="53" ht="21" customHeight="1">
      <x:c r="A53" s="28" t="str">
        <x:v>SYN-OB-0040</x:v>
      </x:c>
      <x:c r="B53" s="28" t="str">
        <x:v>Woodland LLC 040</x:v>
      </x:c>
      <x:c r="C53" s="28" t="str">
        <x:v>BB</x:v>
      </x:c>
      <x:c r="D53" s="28" t="str">
        <x:v>Interactive media and services</x:v>
      </x:c>
      <x:c r="E53" s="28" t="str">
        <x:v>United States</x:v>
      </x:c>
      <x:c r="F53" s="66" t="n">
        <x:f>IF(A53="","",SUMIF('Portfolio Inputs'!B8:B289,A53,'Portfolio Inputs'!D8:D289))</x:f>
        <x:v>1182000</x:v>
      </x:c>
      <x:c r="G53" s="65" t="n">
        <x:f>IF(A53="","",COUNTIF('Portfolio Inputs'!B8:B289,A53))</x:f>
        <x:v>1</x:v>
      </x:c>
      <x:c r="H53" s="75" t="n">
        <x:f>IF(Portfolio_Par&gt;0,F53/Portfolio_Par,"")</x:f>
        <x:v>0.00394</x:v>
      </x:c>
      <x:c r="I53" s="196" t="n">
        <x:f>IF(Portfolio_Par&gt;0,H53^2,"")</x:f>
        <x:v>0.000015523599999999998</x:v>
      </x:c>
    </x:row>
    <x:row r="54" ht="21" customHeight="1">
      <x:c r="A54" s="28" t="str">
        <x:v>SYN-OB-0041</x:v>
      </x:c>
      <x:c r="B54" s="28" t="str">
        <x:v>Alder Holdings 041</x:v>
      </x:c>
      <x:c r="C54" s="28" t="str">
        <x:v>B</x:v>
      </x:c>
      <x:c r="D54" s="28" t="str">
        <x:v>IT Services</x:v>
      </x:c>
      <x:c r="E54" s="28" t="str">
        <x:v>United States</x:v>
      </x:c>
      <x:c r="F54" s="66" t="n">
        <x:f>IF(A54="","",SUMIF('Portfolio Inputs'!B8:B289,A54,'Portfolio Inputs'!D8:D289))</x:f>
        <x:v>1182000</x:v>
      </x:c>
      <x:c r="G54" s="65" t="n">
        <x:f>IF(A54="","",COUNTIF('Portfolio Inputs'!B8:B289,A54))</x:f>
        <x:v>1</x:v>
      </x:c>
      <x:c r="H54" s="75" t="n">
        <x:f>IF(Portfolio_Par&gt;0,F54/Portfolio_Par,"")</x:f>
        <x:v>0.00394</x:v>
      </x:c>
      <x:c r="I54" s="196" t="n">
        <x:f>IF(Portfolio_Par&gt;0,H54^2,"")</x:f>
        <x:v>0.000015523599999999998</x:v>
      </x:c>
    </x:row>
    <x:row r="55" ht="21" customHeight="1">
      <x:c r="A55" s="28" t="str">
        <x:v>SYN-OB-0042</x:v>
      </x:c>
      <x:c r="B55" s="28" t="str">
        <x:v>Amber Inc. 042</x:v>
      </x:c>
      <x:c r="C55" s="28" t="str">
        <x:v>B+</x:v>
      </x:c>
      <x:c r="D55" s="28" t="str">
        <x:v>Semiconductors &amp; Semiconductor Equipment</x:v>
      </x:c>
      <x:c r="E55" s="28" t="str">
        <x:v>United States</x:v>
      </x:c>
      <x:c r="F55" s="66" t="n">
        <x:f>IF(A55="","",SUMIF('Portfolio Inputs'!B8:B289,A55,'Portfolio Inputs'!D8:D289))</x:f>
        <x:v>1182000</x:v>
      </x:c>
      <x:c r="G55" s="65" t="n">
        <x:f>IF(A55="","",COUNTIF('Portfolio Inputs'!B8:B289,A55))</x:f>
        <x:v>1</x:v>
      </x:c>
      <x:c r="H55" s="75" t="n">
        <x:f>IF(Portfolio_Par&gt;0,F55/Portfolio_Par,"")</x:f>
        <x:v>0.00394</x:v>
      </x:c>
      <x:c r="I55" s="196" t="n">
        <x:f>IF(Portfolio_Par&gt;0,H55^2,"")</x:f>
        <x:v>0.000015523599999999998</x:v>
      </x:c>
    </x:row>
    <x:row r="56" ht="21" customHeight="1">
      <x:c r="A56" s="28" t="str">
        <x:v>SYN-OB-0043</x:v>
      </x:c>
      <x:c r="B56" s="28" t="str">
        <x:v>Arbor Corp. 043</x:v>
      </x:c>
      <x:c r="C56" s="28" t="str">
        <x:v>B</x:v>
      </x:c>
      <x:c r="D56" s="28" t="str">
        <x:v>Healthcare Providers &amp; Services</x:v>
      </x:c>
      <x:c r="E56" s="28" t="str">
        <x:v>United States</x:v>
      </x:c>
      <x:c r="F56" s="66" t="n">
        <x:f>IF(A56="","",SUMIF('Portfolio Inputs'!B8:B289,A56,'Portfolio Inputs'!D8:D289))</x:f>
        <x:v>1182000</x:v>
      </x:c>
      <x:c r="G56" s="65" t="n">
        <x:f>IF(A56="","",COUNTIF('Portfolio Inputs'!B8:B289,A56))</x:f>
        <x:v>1</x:v>
      </x:c>
      <x:c r="H56" s="75" t="n">
        <x:f>IF(Portfolio_Par&gt;0,F56/Portfolio_Par,"")</x:f>
        <x:v>0.00394</x:v>
      </x:c>
      <x:c r="I56" s="196" t="n">
        <x:f>IF(Portfolio_Par&gt;0,H56^2,"")</x:f>
        <x:v>0.000015523599999999998</x:v>
      </x:c>
    </x:row>
    <x:row r="57" ht="21" customHeight="1">
      <x:c r="A57" s="28" t="str">
        <x:v>SYN-OB-0044</x:v>
      </x:c>
      <x:c r="B57" s="28" t="str">
        <x:v>Atlas Group 044</x:v>
      </x:c>
      <x:c r="C57" s="28" t="str">
        <x:v>B+</x:v>
      </x:c>
      <x:c r="D57" s="28" t="str">
        <x:v>Electric Utilities</x:v>
      </x:c>
      <x:c r="E57" s="28" t="str">
        <x:v>United States</x:v>
      </x:c>
      <x:c r="F57" s="66" t="n">
        <x:f>IF(A57="","",SUMIF('Portfolio Inputs'!B8:B289,A57,'Portfolio Inputs'!D8:D289))</x:f>
        <x:v>1182000</x:v>
      </x:c>
      <x:c r="G57" s="65" t="n">
        <x:f>IF(A57="","",COUNTIF('Portfolio Inputs'!B8:B289,A57))</x:f>
        <x:v>1</x:v>
      </x:c>
      <x:c r="H57" s="75" t="n">
        <x:f>IF(Portfolio_Par&gt;0,F57/Portfolio_Par,"")</x:f>
        <x:v>0.00394</x:v>
      </x:c>
      <x:c r="I57" s="196" t="n">
        <x:f>IF(Portfolio_Par&gt;0,H57^2,"")</x:f>
        <x:v>0.000015523599999999998</x:v>
      </x:c>
    </x:row>
    <x:row r="58" ht="21" customHeight="1">
      <x:c r="A58" s="28" t="str">
        <x:v>SYN-OB-0045</x:v>
      </x:c>
      <x:c r="B58" s="28" t="str">
        <x:v>Beacon LLC 045</x:v>
      </x:c>
      <x:c r="C58" s="28" t="str">
        <x:v>B</x:v>
      </x:c>
      <x:c r="D58" s="28" t="str">
        <x:v>Aerospace &amp; Defense</x:v>
      </x:c>
      <x:c r="E58" s="28" t="str">
        <x:v>United States</x:v>
      </x:c>
      <x:c r="F58" s="66" t="n">
        <x:f>IF(A58="","",SUMIF('Portfolio Inputs'!B8:B289,A58,'Portfolio Inputs'!D8:D289))</x:f>
        <x:v>1182000</x:v>
      </x:c>
      <x:c r="G58" s="65" t="n">
        <x:f>IF(A58="","",COUNTIF('Portfolio Inputs'!B8:B289,A58))</x:f>
        <x:v>1</x:v>
      </x:c>
      <x:c r="H58" s="75" t="n">
        <x:f>IF(Portfolio_Par&gt;0,F58/Portfolio_Par,"")</x:f>
        <x:v>0.00394</x:v>
      </x:c>
      <x:c r="I58" s="196" t="n">
        <x:f>IF(Portfolio_Par&gt;0,H58^2,"")</x:f>
        <x:v>0.000015523599999999998</x:v>
      </x:c>
    </x:row>
    <x:row r="59" ht="21" customHeight="1">
      <x:c r="A59" s="28" t="str">
        <x:v>SYN-OB-0046</x:v>
      </x:c>
      <x:c r="B59" s="28" t="str">
        <x:v>Bluewater Holdings 046</x:v>
      </x:c>
      <x:c r="C59" s="28" t="str">
        <x:v>B</x:v>
      </x:c>
      <x:c r="D59" s="28" t="str">
        <x:v>Aerospace &amp; Defense</x:v>
      </x:c>
      <x:c r="E59" s="28" t="str">
        <x:v>United States</x:v>
      </x:c>
      <x:c r="F59" s="66" t="n">
        <x:f>IF(A59="","",SUMIF('Portfolio Inputs'!B8:B289,A59,'Portfolio Inputs'!D8:D289))</x:f>
        <x:v>1182000</x:v>
      </x:c>
      <x:c r="G59" s="65" t="n">
        <x:f>IF(A59="","",COUNTIF('Portfolio Inputs'!B8:B289,A59))</x:f>
        <x:v>1</x:v>
      </x:c>
      <x:c r="H59" s="75" t="n">
        <x:f>IF(Portfolio_Par&gt;0,F59/Portfolio_Par,"")</x:f>
        <x:v>0.00394</x:v>
      </x:c>
      <x:c r="I59" s="196" t="n">
        <x:f>IF(Portfolio_Par&gt;0,H59^2,"")</x:f>
        <x:v>0.000015523599999999998</x:v>
      </x:c>
    </x:row>
    <x:row r="60" ht="21" customHeight="1">
      <x:c r="A60" s="28" t="str">
        <x:v>SYN-OB-0047</x:v>
      </x:c>
      <x:c r="B60" s="28" t="str">
        <x:v>Bracken Inc. 047</x:v>
      </x:c>
      <x:c r="C60" s="28" t="str">
        <x:v>B-</x:v>
      </x:c>
      <x:c r="D60" s="28" t="str">
        <x:v>Diversified Telecommunication Services</x:v>
      </x:c>
      <x:c r="E60" s="28" t="str">
        <x:v>United States</x:v>
      </x:c>
      <x:c r="F60" s="66" t="n">
        <x:f>IF(A60="","",SUMIF('Portfolio Inputs'!B8:B289,A60,'Portfolio Inputs'!D8:D289))</x:f>
        <x:v>1182000</x:v>
      </x:c>
      <x:c r="G60" s="65" t="n">
        <x:f>IF(A60="","",COUNTIF('Portfolio Inputs'!B8:B289,A60))</x:f>
        <x:v>1</x:v>
      </x:c>
      <x:c r="H60" s="75" t="n">
        <x:f>IF(Portfolio_Par&gt;0,F60/Portfolio_Par,"")</x:f>
        <x:v>0.00394</x:v>
      </x:c>
      <x:c r="I60" s="196" t="n">
        <x:f>IF(Portfolio_Par&gt;0,H60^2,"")</x:f>
        <x:v>0.000015523599999999998</x:v>
      </x:c>
    </x:row>
    <x:row r="61" ht="21" customHeight="1">
      <x:c r="A61" s="28" t="str">
        <x:v>SYN-OB-0049</x:v>
      </x:c>
      <x:c r="B61" s="28" t="str">
        <x:v>Cobalt Group 049</x:v>
      </x:c>
      <x:c r="C61" s="28" t="str">
        <x:v>BB</x:v>
      </x:c>
      <x:c r="D61" s="28" t="str">
        <x:v>Banks</x:v>
      </x:c>
      <x:c r="E61" s="28" t="str">
        <x:v>United States</x:v>
      </x:c>
      <x:c r="F61" s="66" t="n">
        <x:f>IF(A61="","",SUMIF('Portfolio Inputs'!B8:B289,A61,'Portfolio Inputs'!D8:D289))</x:f>
        <x:v>1182000</x:v>
      </x:c>
      <x:c r="G61" s="65" t="n">
        <x:f>IF(A61="","",COUNTIF('Portfolio Inputs'!B8:B289,A61))</x:f>
        <x:v>1</x:v>
      </x:c>
      <x:c r="H61" s="75" t="n">
        <x:f>IF(Portfolio_Par&gt;0,F61/Portfolio_Par,"")</x:f>
        <x:v>0.00394</x:v>
      </x:c>
      <x:c r="I61" s="196" t="n">
        <x:f>IF(Portfolio_Par&gt;0,H61^2,"")</x:f>
        <x:v>0.000015523599999999998</x:v>
      </x:c>
    </x:row>
    <x:row r="62" ht="21" customHeight="1">
      <x:c r="A62" s="28" t="str">
        <x:v>SYN-OB-0051</x:v>
      </x:c>
      <x:c r="B62" s="28" t="str">
        <x:v>Crest Holdings 051</x:v>
      </x:c>
      <x:c r="C62" s="28" t="str">
        <x:v>BB-</x:v>
      </x:c>
      <x:c r="D62" s="28" t="str">
        <x:v>Food Products</x:v>
      </x:c>
      <x:c r="E62" s="28" t="str">
        <x:v>United Kingdom</x:v>
      </x:c>
      <x:c r="F62" s="66" t="n">
        <x:f>IF(A62="","",SUMIF('Portfolio Inputs'!B8:B289,A62,'Portfolio Inputs'!D8:D289))</x:f>
        <x:v>1182000</x:v>
      </x:c>
      <x:c r="G62" s="65" t="n">
        <x:f>IF(A62="","",COUNTIF('Portfolio Inputs'!B8:B289,A62))</x:f>
        <x:v>1</x:v>
      </x:c>
      <x:c r="H62" s="75" t="n">
        <x:f>IF(Portfolio_Par&gt;0,F62/Portfolio_Par,"")</x:f>
        <x:v>0.00394</x:v>
      </x:c>
      <x:c r="I62" s="196" t="n">
        <x:f>IF(Portfolio_Par&gt;0,H62^2,"")</x:f>
        <x:v>0.000015523599999999998</x:v>
      </x:c>
    </x:row>
    <x:row r="63" ht="21" customHeight="1">
      <x:c r="A63" s="28" t="str">
        <x:v>SYN-OB-0052</x:v>
      </x:c>
      <x:c r="B63" s="28" t="str">
        <x:v>Duneland Inc. 052</x:v>
      </x:c>
      <x:c r="C63" s="28" t="str">
        <x:v>B-</x:v>
      </x:c>
      <x:c r="D63" s="28" t="str">
        <x:v>Software</x:v>
      </x:c>
      <x:c r="E63" s="28" t="str">
        <x:v>United States</x:v>
      </x:c>
      <x:c r="F63" s="66" t="n">
        <x:f>IF(A63="","",SUMIF('Portfolio Inputs'!B8:B289,A63,'Portfolio Inputs'!D8:D289))</x:f>
        <x:v>1182000</x:v>
      </x:c>
      <x:c r="G63" s="65" t="n">
        <x:f>IF(A63="","",COUNTIF('Portfolio Inputs'!B8:B289,A63))</x:f>
        <x:v>1</x:v>
      </x:c>
      <x:c r="H63" s="75" t="n">
        <x:f>IF(Portfolio_Par&gt;0,F63/Portfolio_Par,"")</x:f>
        <x:v>0.00394</x:v>
      </x:c>
      <x:c r="I63" s="196" t="n">
        <x:f>IF(Portfolio_Par&gt;0,H63^2,"")</x:f>
        <x:v>0.000015523599999999998</x:v>
      </x:c>
    </x:row>
    <x:row r="64" ht="21" customHeight="1">
      <x:c r="A64" s="28" t="str">
        <x:v>SYN-OB-0053</x:v>
      </x:c>
      <x:c r="B64" s="28" t="str">
        <x:v>Elmstone Corp. 053</x:v>
      </x:c>
      <x:c r="C64" s="28" t="str">
        <x:v>B+</x:v>
      </x:c>
      <x:c r="D64" s="28" t="str">
        <x:v>Industrial Conglomerates</x:v>
      </x:c>
      <x:c r="E64" s="28" t="str">
        <x:v>United States</x:v>
      </x:c>
      <x:c r="F64" s="66" t="n">
        <x:f>IF(A64="","",SUMIF('Portfolio Inputs'!B8:B289,A64,'Portfolio Inputs'!D8:D289))</x:f>
        <x:v>1182000</x:v>
      </x:c>
      <x:c r="G64" s="65" t="n">
        <x:f>IF(A64="","",COUNTIF('Portfolio Inputs'!B8:B289,A64))</x:f>
        <x:v>1</x:v>
      </x:c>
      <x:c r="H64" s="75" t="n">
        <x:f>IF(Portfolio_Par&gt;0,F64/Portfolio_Par,"")</x:f>
        <x:v>0.00394</x:v>
      </x:c>
      <x:c r="I64" s="196" t="n">
        <x:f>IF(Portfolio_Par&gt;0,H64^2,"")</x:f>
        <x:v>0.000015523599999999998</x:v>
      </x:c>
    </x:row>
    <x:row r="65" ht="21" customHeight="1">
      <x:c r="A65" s="28" t="str">
        <x:v>SYN-OB-0054</x:v>
      </x:c>
      <x:c r="B65" s="28" t="str">
        <x:v>Evergreen Group 054</x:v>
      </x:c>
      <x:c r="C65" s="28" t="str">
        <x:v>B-</x:v>
      </x:c>
      <x:c r="D65" s="28" t="str">
        <x:v>Diversified Telecommunication Services</x:v>
      </x:c>
      <x:c r="E65" s="28" t="str">
        <x:v>United States</x:v>
      </x:c>
      <x:c r="F65" s="66" t="n">
        <x:f>IF(A65="","",SUMIF('Portfolio Inputs'!B8:B289,A65,'Portfolio Inputs'!D8:D289))</x:f>
        <x:v>1182000</x:v>
      </x:c>
      <x:c r="G65" s="65" t="n">
        <x:f>IF(A65="","",COUNTIF('Portfolio Inputs'!B8:B289,A65))</x:f>
        <x:v>1</x:v>
      </x:c>
      <x:c r="H65" s="75" t="n">
        <x:f>IF(Portfolio_Par&gt;0,F65/Portfolio_Par,"")</x:f>
        <x:v>0.00394</x:v>
      </x:c>
      <x:c r="I65" s="196" t="n">
        <x:f>IF(Portfolio_Par&gt;0,H65^2,"")</x:f>
        <x:v>0.000015523599999999998</x:v>
      </x:c>
    </x:row>
    <x:row r="66" ht="21" customHeight="1">
      <x:c r="A66" s="28" t="str">
        <x:v>SYN-OB-0057</x:v>
      </x:c>
      <x:c r="B66" s="28" t="str">
        <x:v>Harbor Inc. 057</x:v>
      </x:c>
      <x:c r="C66" s="28" t="str">
        <x:v>BB+</x:v>
      </x:c>
      <x:c r="D66" s="28" t="str">
        <x:v>Leisure Products</x:v>
      </x:c>
      <x:c r="E66" s="28" t="str">
        <x:v>United States</x:v>
      </x:c>
      <x:c r="F66" s="66" t="n">
        <x:f>IF(A66="","",SUMIF('Portfolio Inputs'!B8:B289,A66,'Portfolio Inputs'!D8:D289))</x:f>
        <x:v>1182000</x:v>
      </x:c>
      <x:c r="G66" s="65" t="n">
        <x:f>IF(A66="","",COUNTIF('Portfolio Inputs'!B8:B289,A66))</x:f>
        <x:v>1</x:v>
      </x:c>
      <x:c r="H66" s="75" t="n">
        <x:f>IF(Portfolio_Par&gt;0,F66/Portfolio_Par,"")</x:f>
        <x:v>0.00394</x:v>
      </x:c>
      <x:c r="I66" s="196" t="n">
        <x:f>IF(Portfolio_Par&gt;0,H66^2,"")</x:f>
        <x:v>0.000015523599999999998</x:v>
      </x:c>
    </x:row>
    <x:row r="67" ht="21" customHeight="1">
      <x:c r="A67" s="28" t="str">
        <x:v>SYN-OB-0058</x:v>
      </x:c>
      <x:c r="B67" s="28" t="str">
        <x:v>Hawthorne Corp. 058</x:v>
      </x:c>
      <x:c r="C67" s="28" t="str">
        <x:v>BB-</x:v>
      </x:c>
      <x:c r="D67" s="28" t="str">
        <x:v>Household Products</x:v>
      </x:c>
      <x:c r="E67" s="28" t="str">
        <x:v>United States</x:v>
      </x:c>
      <x:c r="F67" s="66" t="n">
        <x:f>IF(A67="","",SUMIF('Portfolio Inputs'!B8:B289,A67,'Portfolio Inputs'!D8:D289))</x:f>
        <x:v>1182000</x:v>
      </x:c>
      <x:c r="G67" s="65" t="n">
        <x:f>IF(A67="","",COUNTIF('Portfolio Inputs'!B8:B289,A67))</x:f>
        <x:v>1</x:v>
      </x:c>
      <x:c r="H67" s="75" t="n">
        <x:f>IF(Portfolio_Par&gt;0,F67/Portfolio_Par,"")</x:f>
        <x:v>0.00394</x:v>
      </x:c>
      <x:c r="I67" s="196" t="n">
        <x:f>IF(Portfolio_Par&gt;0,H67^2,"")</x:f>
        <x:v>0.000015523599999999998</x:v>
      </x:c>
    </x:row>
    <x:row r="68" ht="21" customHeight="1">
      <x:c r="A68" s="28" t="str">
        <x:v>SYN-OB-0059</x:v>
      </x:c>
      <x:c r="B68" s="28" t="str">
        <x:v>Highland Group 059</x:v>
      </x:c>
      <x:c r="C68" s="28" t="str">
        <x:v>B-</x:v>
      </x:c>
      <x:c r="D68" s="28" t="str">
        <x:v>Transportation Infrastructure</x:v>
      </x:c>
      <x:c r="E68" s="28" t="str">
        <x:v>United States</x:v>
      </x:c>
      <x:c r="F68" s="66" t="n">
        <x:f>IF(A68="","",SUMIF('Portfolio Inputs'!B8:B289,A68,'Portfolio Inputs'!D8:D289))</x:f>
        <x:v>1182000</x:v>
      </x:c>
      <x:c r="G68" s="65" t="n">
        <x:f>IF(A68="","",COUNTIF('Portfolio Inputs'!B8:B289,A68))</x:f>
        <x:v>1</x:v>
      </x:c>
      <x:c r="H68" s="75" t="n">
        <x:f>IF(Portfolio_Par&gt;0,F68/Portfolio_Par,"")</x:f>
        <x:v>0.00394</x:v>
      </x:c>
      <x:c r="I68" s="196" t="n">
        <x:f>IF(Portfolio_Par&gt;0,H68^2,"")</x:f>
        <x:v>0.000015523599999999998</x:v>
      </x:c>
    </x:row>
    <x:row r="69" ht="21" customHeight="1">
      <x:c r="A69" s="28" t="str">
        <x:v>SYN-OB-0060</x:v>
      </x:c>
      <x:c r="B69" s="28" t="str">
        <x:v>Ironwood LLC 060</x:v>
      </x:c>
      <x:c r="C69" s="28" t="str">
        <x:v>B</x:v>
      </x:c>
      <x:c r="D69" s="28" t="str">
        <x:v>Diversified Consumer Services</x:v>
      </x:c>
      <x:c r="E69" s="28" t="str">
        <x:v>United States</x:v>
      </x:c>
      <x:c r="F69" s="66" t="n">
        <x:f>IF(A69="","",SUMIF('Portfolio Inputs'!B8:B289,A69,'Portfolio Inputs'!D8:D289))</x:f>
        <x:v>1182000</x:v>
      </x:c>
      <x:c r="G69" s="65" t="n">
        <x:f>IF(A69="","",COUNTIF('Portfolio Inputs'!B8:B289,A69))</x:f>
        <x:v>1</x:v>
      </x:c>
      <x:c r="H69" s="75" t="n">
        <x:f>IF(Portfolio_Par&gt;0,F69/Portfolio_Par,"")</x:f>
        <x:v>0.00394</x:v>
      </x:c>
      <x:c r="I69" s="196" t="n">
        <x:f>IF(Portfolio_Par&gt;0,H69^2,"")</x:f>
        <x:v>0.000015523599999999998</x:v>
      </x:c>
    </x:row>
    <x:row r="70" ht="21" customHeight="1">
      <x:c r="A70" s="28" t="str">
        <x:v>SYN-OB-0062</x:v>
      </x:c>
      <x:c r="B70" s="28" t="str">
        <x:v>Keystone Inc. 062</x:v>
      </x:c>
      <x:c r="C70" s="28" t="str">
        <x:v>B+</x:v>
      </x:c>
      <x:c r="D70" s="28" t="str">
        <x:v>Electric Utilities</x:v>
      </x:c>
      <x:c r="E70" s="28" t="str">
        <x:v>United States</x:v>
      </x:c>
      <x:c r="F70" s="66" t="n">
        <x:f>IF(A70="","",SUMIF('Portfolio Inputs'!B8:B289,A70,'Portfolio Inputs'!D8:D289))</x:f>
        <x:v>1182000</x:v>
      </x:c>
      <x:c r="G70" s="65" t="n">
        <x:f>IF(A70="","",COUNTIF('Portfolio Inputs'!B8:B289,A70))</x:f>
        <x:v>1</x:v>
      </x:c>
      <x:c r="H70" s="75" t="n">
        <x:f>IF(Portfolio_Par&gt;0,F70/Portfolio_Par,"")</x:f>
        <x:v>0.00394</x:v>
      </x:c>
      <x:c r="I70" s="196" t="n">
        <x:f>IF(Portfolio_Par&gt;0,H70^2,"")</x:f>
        <x:v>0.000015523599999999998</x:v>
      </x:c>
    </x:row>
    <x:row r="71" ht="21" customHeight="1">
      <x:c r="A71" s="28" t="str">
        <x:v>SYN-OB-0063</x:v>
      </x:c>
      <x:c r="B71" s="28" t="str">
        <x:v>Lakeview Corp. 063</x:v>
      </x:c>
      <x:c r="C71" s="28" t="str">
        <x:v>B-</x:v>
      </x:c>
      <x:c r="D71" s="28" t="str">
        <x:v>Software</x:v>
      </x:c>
      <x:c r="E71" s="28" t="str">
        <x:v>United States</x:v>
      </x:c>
      <x:c r="F71" s="66" t="n">
        <x:f>IF(A71="","",SUMIF('Portfolio Inputs'!B8:B289,A71,'Portfolio Inputs'!D8:D289))</x:f>
        <x:v>1182000</x:v>
      </x:c>
      <x:c r="G71" s="65" t="n">
        <x:f>IF(A71="","",COUNTIF('Portfolio Inputs'!B8:B289,A71))</x:f>
        <x:v>1</x:v>
      </x:c>
      <x:c r="H71" s="75" t="n">
        <x:f>IF(Portfolio_Par&gt;0,F71/Portfolio_Par,"")</x:f>
        <x:v>0.00394</x:v>
      </x:c>
      <x:c r="I71" s="196" t="n">
        <x:f>IF(Portfolio_Par&gt;0,H71^2,"")</x:f>
        <x:v>0.000015523599999999998</x:v>
      </x:c>
    </x:row>
    <x:row r="72" ht="21" customHeight="1">
      <x:c r="A72" s="28" t="str">
        <x:v>SYN-OB-0064</x:v>
      </x:c>
      <x:c r="B72" s="28" t="str">
        <x:v>Larkspur Group 064</x:v>
      </x:c>
      <x:c r="C72" s="28" t="str">
        <x:v>B-</x:v>
      </x:c>
      <x:c r="D72" s="28" t="str">
        <x:v>Financial services</x:v>
      </x:c>
      <x:c r="E72" s="28" t="str">
        <x:v>United Kingdom</x:v>
      </x:c>
      <x:c r="F72" s="66" t="n">
        <x:f>IF(A72="","",SUMIF('Portfolio Inputs'!B8:B289,A72,'Portfolio Inputs'!D8:D289))</x:f>
        <x:v>1182000</x:v>
      </x:c>
      <x:c r="G72" s="65" t="n">
        <x:f>IF(A72="","",COUNTIF('Portfolio Inputs'!B8:B289,A72))</x:f>
        <x:v>1</x:v>
      </x:c>
      <x:c r="H72" s="75" t="n">
        <x:f>IF(Portfolio_Par&gt;0,F72/Portfolio_Par,"")</x:f>
        <x:v>0.00394</x:v>
      </x:c>
      <x:c r="I72" s="196" t="n">
        <x:f>IF(Portfolio_Par&gt;0,H72^2,"")</x:f>
        <x:v>0.000015523599999999998</x:v>
      </x:c>
    </x:row>
    <x:row r="73" ht="21" customHeight="1">
      <x:c r="A73" s="28" t="str">
        <x:v>SYN-OB-0065</x:v>
      </x:c>
      <x:c r="B73" s="28" t="str">
        <x:v>Maple LLC 065</x:v>
      </x:c>
      <x:c r="C73" s="28" t="str">
        <x:v>BB-</x:v>
      </x:c>
      <x:c r="D73" s="28" t="str">
        <x:v>Hotels, Restaurants &amp; Leisure</x:v>
      </x:c>
      <x:c r="E73" s="28" t="str">
        <x:v>United States</x:v>
      </x:c>
      <x:c r="F73" s="66" t="n">
        <x:f>IF(A73="","",SUMIF('Portfolio Inputs'!B8:B289,A73,'Portfolio Inputs'!D8:D289))</x:f>
        <x:v>1182000</x:v>
      </x:c>
      <x:c r="G73" s="65" t="n">
        <x:f>IF(A73="","",COUNTIF('Portfolio Inputs'!B8:B289,A73))</x:f>
        <x:v>1</x:v>
      </x:c>
      <x:c r="H73" s="75" t="n">
        <x:f>IF(Portfolio_Par&gt;0,F73/Portfolio_Par,"")</x:f>
        <x:v>0.00394</x:v>
      </x:c>
      <x:c r="I73" s="196" t="n">
        <x:f>IF(Portfolio_Par&gt;0,H73^2,"")</x:f>
        <x:v>0.000015523599999999998</x:v>
      </x:c>
    </x:row>
    <x:row r="74" ht="21" customHeight="1">
      <x:c r="A74" s="28" t="str">
        <x:v>SYN-OB-0066</x:v>
      </x:c>
      <x:c r="B74" s="28" t="str">
        <x:v>Meridian Holdings 066</x:v>
      </x:c>
      <x:c r="C74" s="28" t="str">
        <x:v>B-</x:v>
      </x:c>
      <x:c r="D74" s="28" t="str">
        <x:v>Financial services</x:v>
      </x:c>
      <x:c r="E74" s="28" t="str">
        <x:v>United States</x:v>
      </x:c>
      <x:c r="F74" s="66" t="n">
        <x:f>IF(A74="","",SUMIF('Portfolio Inputs'!B8:B289,A74,'Portfolio Inputs'!D8:D289))</x:f>
        <x:v>1182000</x:v>
      </x:c>
      <x:c r="G74" s="65" t="n">
        <x:f>IF(A74="","",COUNTIF('Portfolio Inputs'!B8:B289,A74))</x:f>
        <x:v>1</x:v>
      </x:c>
      <x:c r="H74" s="75" t="n">
        <x:f>IF(Portfolio_Par&gt;0,F74/Portfolio_Par,"")</x:f>
        <x:v>0.00394</x:v>
      </x:c>
      <x:c r="I74" s="196" t="n">
        <x:f>IF(Portfolio_Par&gt;0,H74^2,"")</x:f>
        <x:v>0.000015523599999999998</x:v>
      </x:c>
    </x:row>
    <x:row r="75" ht="21" customHeight="1">
      <x:c r="A75" s="28" t="str">
        <x:v>SYN-OB-0067</x:v>
      </x:c>
      <x:c r="B75" s="28" t="str">
        <x:v>Northfield Inc. 067</x:v>
      </x:c>
      <x:c r="C75" s="28" t="str">
        <x:v>BB</x:v>
      </x:c>
      <x:c r="D75" s="28" t="str">
        <x:v>Diversified Telecommunication Services</x:v>
      </x:c>
      <x:c r="E75" s="28" t="str">
        <x:v>United States</x:v>
      </x:c>
      <x:c r="F75" s="66" t="n">
        <x:f>IF(A75="","",SUMIF('Portfolio Inputs'!B8:B289,A75,'Portfolio Inputs'!D8:D289))</x:f>
        <x:v>1182000</x:v>
      </x:c>
      <x:c r="G75" s="65" t="n">
        <x:f>IF(A75="","",COUNTIF('Portfolio Inputs'!B8:B289,A75))</x:f>
        <x:v>1</x:v>
      </x:c>
      <x:c r="H75" s="75" t="n">
        <x:f>IF(Portfolio_Par&gt;0,F75/Portfolio_Par,"")</x:f>
        <x:v>0.00394</x:v>
      </x:c>
      <x:c r="I75" s="196" t="n">
        <x:f>IF(Portfolio_Par&gt;0,H75^2,"")</x:f>
        <x:v>0.000015523599999999998</x:v>
      </x:c>
    </x:row>
    <x:row r="76" ht="21" customHeight="1">
      <x:c r="A76" s="28" t="str">
        <x:v>SYN-OB-0068</x:v>
      </x:c>
      <x:c r="B76" s="28" t="str">
        <x:v>Oakmont Corp. 068</x:v>
      </x:c>
      <x:c r="C76" s="28" t="str">
        <x:v>B</x:v>
      </x:c>
      <x:c r="D76" s="28" t="str">
        <x:v>Chemicals</x:v>
      </x:c>
      <x:c r="E76" s="28" t="str">
        <x:v>United States</x:v>
      </x:c>
      <x:c r="F76" s="66" t="n">
        <x:f>IF(A76="","",SUMIF('Portfolio Inputs'!B8:B289,A76,'Portfolio Inputs'!D8:D289))</x:f>
        <x:v>1182000</x:v>
      </x:c>
      <x:c r="G76" s="65" t="n">
        <x:f>IF(A76="","",COUNTIF('Portfolio Inputs'!B8:B289,A76))</x:f>
        <x:v>1</x:v>
      </x:c>
      <x:c r="H76" s="75" t="n">
        <x:f>IF(Portfolio_Par&gt;0,F76/Portfolio_Par,"")</x:f>
        <x:v>0.00394</x:v>
      </x:c>
      <x:c r="I76" s="196" t="n">
        <x:f>IF(Portfolio_Par&gt;0,H76^2,"")</x:f>
        <x:v>0.000015523599999999998</x:v>
      </x:c>
    </x:row>
    <x:row r="77" ht="21" customHeight="1">
      <x:c r="A77" s="28" t="str">
        <x:v>SYN-OB-0069</x:v>
      </x:c>
      <x:c r="B77" s="28" t="str">
        <x:v>Orchard Group 069</x:v>
      </x:c>
      <x:c r="C77" s="28" t="str">
        <x:v>B</x:v>
      </x:c>
      <x:c r="D77" s="28" t="str">
        <x:v>Diversified Consumer Services</x:v>
      </x:c>
      <x:c r="E77" s="28" t="str">
        <x:v>United States</x:v>
      </x:c>
      <x:c r="F77" s="66" t="n">
        <x:f>IF(A77="","",SUMIF('Portfolio Inputs'!B8:B289,A77,'Portfolio Inputs'!D8:D289))</x:f>
        <x:v>1182000</x:v>
      </x:c>
      <x:c r="G77" s="65" t="n">
        <x:f>IF(A77="","",COUNTIF('Portfolio Inputs'!B8:B289,A77))</x:f>
        <x:v>1</x:v>
      </x:c>
      <x:c r="H77" s="75" t="n">
        <x:f>IF(Portfolio_Par&gt;0,F77/Portfolio_Par,"")</x:f>
        <x:v>0.00394</x:v>
      </x:c>
      <x:c r="I77" s="196" t="n">
        <x:f>IF(Portfolio_Par&gt;0,H77^2,"")</x:f>
        <x:v>0.000015523599999999998</x:v>
      </x:c>
    </x:row>
    <x:row r="78" ht="21" customHeight="1">
      <x:c r="A78" s="28" t="str">
        <x:v>SYN-OB-0071</x:v>
      </x:c>
      <x:c r="B78" s="28" t="str">
        <x:v>Redwood Holdings 071</x:v>
      </x:c>
      <x:c r="C78" s="28" t="str">
        <x:v>B-</x:v>
      </x:c>
      <x:c r="D78" s="28" t="str">
        <x:v>Specialty Retail</x:v>
      </x:c>
      <x:c r="E78" s="28" t="str">
        <x:v>United States</x:v>
      </x:c>
      <x:c r="F78" s="66" t="n">
        <x:f>IF(A78="","",SUMIF('Portfolio Inputs'!B8:B289,A78,'Portfolio Inputs'!D8:D289))</x:f>
        <x:v>1182000</x:v>
      </x:c>
      <x:c r="G78" s="65" t="n">
        <x:f>IF(A78="","",COUNTIF('Portfolio Inputs'!B8:B289,A78))</x:f>
        <x:v>1</x:v>
      </x:c>
      <x:c r="H78" s="75" t="n">
        <x:f>IF(Portfolio_Par&gt;0,F78/Portfolio_Par,"")</x:f>
        <x:v>0.00394</x:v>
      </x:c>
      <x:c r="I78" s="196" t="n">
        <x:f>IF(Portfolio_Par&gt;0,H78^2,"")</x:f>
        <x:v>0.000015523599999999998</x:v>
      </x:c>
    </x:row>
    <x:row r="79" ht="21" customHeight="1">
      <x:c r="A79" s="28" t="str">
        <x:v>SYN-OB-0073</x:v>
      </x:c>
      <x:c r="B79" s="28" t="str">
        <x:v>Silver Corp. 073</x:v>
      </x:c>
      <x:c r="C79" s="28" t="str">
        <x:v>B-</x:v>
      </x:c>
      <x:c r="D79" s="28" t="str">
        <x:v>Healthcare Technology</x:v>
      </x:c>
      <x:c r="E79" s="28" t="str">
        <x:v>United States</x:v>
      </x:c>
      <x:c r="F79" s="66" t="n">
        <x:f>IF(A79="","",SUMIF('Portfolio Inputs'!B8:B289,A79,'Portfolio Inputs'!D8:D289))</x:f>
        <x:v>1182000</x:v>
      </x:c>
      <x:c r="G79" s="65" t="n">
        <x:f>IF(A79="","",COUNTIF('Portfolio Inputs'!B8:B289,A79))</x:f>
        <x:v>1</x:v>
      </x:c>
      <x:c r="H79" s="75" t="n">
        <x:f>IF(Portfolio_Par&gt;0,F79/Portfolio_Par,"")</x:f>
        <x:v>0.00394</x:v>
      </x:c>
      <x:c r="I79" s="196" t="n">
        <x:f>IF(Portfolio_Par&gt;0,H79^2,"")</x:f>
        <x:v>0.000015523599999999998</x:v>
      </x:c>
    </x:row>
    <x:row r="80" ht="21" customHeight="1">
      <x:c r="A80" s="28" t="str">
        <x:v>SYN-OB-0074</x:v>
      </x:c>
      <x:c r="B80" s="28" t="str">
        <x:v>Stonebridge Group 074</x:v>
      </x:c>
      <x:c r="C80" s="28" t="str">
        <x:v>B</x:v>
      </x:c>
      <x:c r="D80" s="28" t="str">
        <x:v>Diversified Consumer Services</x:v>
      </x:c>
      <x:c r="E80" s="28" t="str">
        <x:v>United States</x:v>
      </x:c>
      <x:c r="F80" s="66" t="n">
        <x:f>IF(A80="","",SUMIF('Portfolio Inputs'!B8:B289,A80,'Portfolio Inputs'!D8:D289))</x:f>
        <x:v>1182000</x:v>
      </x:c>
      <x:c r="G80" s="65" t="n">
        <x:f>IF(A80="","",COUNTIF('Portfolio Inputs'!B8:B289,A80))</x:f>
        <x:v>1</x:v>
      </x:c>
      <x:c r="H80" s="75" t="n">
        <x:f>IF(Portfolio_Par&gt;0,F80/Portfolio_Par,"")</x:f>
        <x:v>0.00394</x:v>
      </x:c>
      <x:c r="I80" s="196" t="n">
        <x:f>IF(Portfolio_Par&gt;0,H80^2,"")</x:f>
        <x:v>0.000015523599999999998</x:v>
      </x:c>
    </x:row>
    <x:row r="81" ht="21" customHeight="1">
      <x:c r="A81" s="28" t="str">
        <x:v>SYN-OB-0075</x:v>
      </x:c>
      <x:c r="B81" s="28" t="str">
        <x:v>Summit LLC 075</x:v>
      </x:c>
      <x:c r="C81" s="28" t="str">
        <x:v>B+</x:v>
      </x:c>
      <x:c r="D81" s="28" t="str">
        <x:v>Insurance</x:v>
      </x:c>
      <x:c r="E81" s="28" t="str">
        <x:v>United States</x:v>
      </x:c>
      <x:c r="F81" s="66" t="n">
        <x:f>IF(A81="","",SUMIF('Portfolio Inputs'!B8:B289,A81,'Portfolio Inputs'!D8:D289))</x:f>
        <x:v>1182000</x:v>
      </x:c>
      <x:c r="G81" s="65" t="n">
        <x:f>IF(A81="","",COUNTIF('Portfolio Inputs'!B8:B289,A81))</x:f>
        <x:v>1</x:v>
      </x:c>
      <x:c r="H81" s="75" t="n">
        <x:f>IF(Portfolio_Par&gt;0,F81/Portfolio_Par,"")</x:f>
        <x:v>0.00394</x:v>
      </x:c>
      <x:c r="I81" s="196" t="n">
        <x:f>IF(Portfolio_Par&gt;0,H81^2,"")</x:f>
        <x:v>0.000015523599999999998</x:v>
      </x:c>
    </x:row>
    <x:row r="82" ht="21" customHeight="1">
      <x:c r="A82" s="28" t="str">
        <x:v>SYN-OB-0076</x:v>
      </x:c>
      <x:c r="B82" s="28" t="str">
        <x:v>Timber Holdings 076</x:v>
      </x:c>
      <x:c r="C82" s="28" t="str">
        <x:v>BB-</x:v>
      </x:c>
      <x:c r="D82" s="28" t="str">
        <x:v>Oil, Gas &amp; Consumable Fuels</x:v>
      </x:c>
      <x:c r="E82" s="28" t="str">
        <x:v>United States</x:v>
      </x:c>
      <x:c r="F82" s="66" t="n">
        <x:f>IF(A82="","",SUMIF('Portfolio Inputs'!B8:B289,A82,'Portfolio Inputs'!D8:D289))</x:f>
        <x:v>1182000</x:v>
      </x:c>
      <x:c r="G82" s="65" t="n">
        <x:f>IF(A82="","",COUNTIF('Portfolio Inputs'!B8:B289,A82))</x:f>
        <x:v>2</x:v>
      </x:c>
      <x:c r="H82" s="75" t="n">
        <x:f>IF(Portfolio_Par&gt;0,F82/Portfolio_Par,"")</x:f>
        <x:v>0.00394</x:v>
      </x:c>
      <x:c r="I82" s="196" t="n">
        <x:f>IF(Portfolio_Par&gt;0,H82^2,"")</x:f>
        <x:v>0.000015523599999999998</x:v>
      </x:c>
    </x:row>
    <x:row r="83" ht="21" customHeight="1">
      <x:c r="A83" s="28" t="str">
        <x:v>SYN-OB-0077</x:v>
      </x:c>
      <x:c r="B83" s="28" t="str">
        <x:v>Westhaven Inc. 077</x:v>
      </x:c>
      <x:c r="C83" s="28" t="str">
        <x:v>B</x:v>
      </x:c>
      <x:c r="D83" s="28" t="str">
        <x:v>IT Services</x:v>
      </x:c>
      <x:c r="E83" s="28" t="str">
        <x:v>United States</x:v>
      </x:c>
      <x:c r="F83" s="66" t="n">
        <x:f>IF(A83="","",SUMIF('Portfolio Inputs'!B8:B289,A83,'Portfolio Inputs'!D8:D289))</x:f>
        <x:v>1182000</x:v>
      </x:c>
      <x:c r="G83" s="65" t="n">
        <x:f>IF(A83="","",COUNTIF('Portfolio Inputs'!B8:B289,A83))</x:f>
        <x:v>1</x:v>
      </x:c>
      <x:c r="H83" s="75" t="n">
        <x:f>IF(Portfolio_Par&gt;0,F83/Portfolio_Par,"")</x:f>
        <x:v>0.00394</x:v>
      </x:c>
      <x:c r="I83" s="196" t="n">
        <x:f>IF(Portfolio_Par&gt;0,H83^2,"")</x:f>
        <x:v>0.000015523599999999998</x:v>
      </x:c>
    </x:row>
    <x:row r="84" ht="21" customHeight="1">
      <x:c r="A84" s="28" t="str">
        <x:v>SYN-OB-0078</x:v>
      </x:c>
      <x:c r="B84" s="28" t="str">
        <x:v>Willow Corp. 078</x:v>
      </x:c>
      <x:c r="C84" s="28" t="str">
        <x:v>B</x:v>
      </x:c>
      <x:c r="D84" s="28" t="str">
        <x:v>IT Services</x:v>
      </x:c>
      <x:c r="E84" s="28" t="str">
        <x:v>United States</x:v>
      </x:c>
      <x:c r="F84" s="66" t="n">
        <x:f>IF(A84="","",SUMIF('Portfolio Inputs'!B8:B289,A84,'Portfolio Inputs'!D8:D289))</x:f>
        <x:v>1182000</x:v>
      </x:c>
      <x:c r="G84" s="65" t="n">
        <x:f>IF(A84="","",COUNTIF('Portfolio Inputs'!B8:B289,A84))</x:f>
        <x:v>1</x:v>
      </x:c>
      <x:c r="H84" s="75" t="n">
        <x:f>IF(Portfolio_Par&gt;0,F84/Portfolio_Par,"")</x:f>
        <x:v>0.00394</x:v>
      </x:c>
      <x:c r="I84" s="196" t="n">
        <x:f>IF(Portfolio_Par&gt;0,H84^2,"")</x:f>
        <x:v>0.000015523599999999998</x:v>
      </x:c>
    </x:row>
    <x:row r="85" ht="21" customHeight="1">
      <x:c r="A85" s="28" t="str">
        <x:v>SYN-OB-0079</x:v>
      </x:c>
      <x:c r="B85" s="28" t="str">
        <x:v>Windward Group 079</x:v>
      </x:c>
      <x:c r="C85" s="28" t="str">
        <x:v>B</x:v>
      </x:c>
      <x:c r="D85" s="28" t="str">
        <x:v>Construction &amp; Engineering</x:v>
      </x:c>
      <x:c r="E85" s="28" t="str">
        <x:v>United States</x:v>
      </x:c>
      <x:c r="F85" s="66" t="n">
        <x:f>IF(A85="","",SUMIF('Portfolio Inputs'!B8:B289,A85,'Portfolio Inputs'!D8:D289))</x:f>
        <x:v>1182000</x:v>
      </x:c>
      <x:c r="G85" s="65" t="n">
        <x:f>IF(A85="","",COUNTIF('Portfolio Inputs'!B8:B289,A85))</x:f>
        <x:v>1</x:v>
      </x:c>
      <x:c r="H85" s="75" t="n">
        <x:f>IF(Portfolio_Par&gt;0,F85/Portfolio_Par,"")</x:f>
        <x:v>0.00394</x:v>
      </x:c>
      <x:c r="I85" s="196" t="n">
        <x:f>IF(Portfolio_Par&gt;0,H85^2,"")</x:f>
        <x:v>0.000015523599999999998</x:v>
      </x:c>
    </x:row>
    <x:row r="86" ht="21" customHeight="1">
      <x:c r="A86" s="28" t="str">
        <x:v>SYN-OB-0080</x:v>
      </x:c>
      <x:c r="B86" s="28" t="str">
        <x:v>Woodland LLC 080</x:v>
      </x:c>
      <x:c r="C86" s="28" t="str">
        <x:v>B-</x:v>
      </x:c>
      <x:c r="D86" s="28" t="str">
        <x:v>Diversified Telecommunication Services</x:v>
      </x:c>
      <x:c r="E86" s="28" t="str">
        <x:v>United States</x:v>
      </x:c>
      <x:c r="F86" s="66" t="n">
        <x:f>IF(A86="","",SUMIF('Portfolio Inputs'!B8:B289,A86,'Portfolio Inputs'!D8:D289))</x:f>
        <x:v>1182000</x:v>
      </x:c>
      <x:c r="G86" s="65" t="n">
        <x:f>IF(A86="","",COUNTIF('Portfolio Inputs'!B8:B289,A86))</x:f>
        <x:v>1</x:v>
      </x:c>
      <x:c r="H86" s="75" t="n">
        <x:f>IF(Portfolio_Par&gt;0,F86/Portfolio_Par,"")</x:f>
        <x:v>0.00394</x:v>
      </x:c>
      <x:c r="I86" s="196" t="n">
        <x:f>IF(Portfolio_Par&gt;0,H86^2,"")</x:f>
        <x:v>0.000015523599999999998</x:v>
      </x:c>
    </x:row>
    <x:row r="87" ht="21" customHeight="1">
      <x:c r="A87" s="28" t="str">
        <x:v>SYN-OB-0081</x:v>
      </x:c>
      <x:c r="B87" s="28" t="str">
        <x:v>Alder Holdings 081</x:v>
      </x:c>
      <x:c r="C87" s="28" t="str">
        <x:v>BB</x:v>
      </x:c>
      <x:c r="D87" s="28" t="str">
        <x:v>Commercial Services &amp; Supplies</x:v>
      </x:c>
      <x:c r="E87" s="28" t="str">
        <x:v>United States</x:v>
      </x:c>
      <x:c r="F87" s="66" t="n">
        <x:f>IF(A87="","",SUMIF('Portfolio Inputs'!B8:B289,A87,'Portfolio Inputs'!D8:D289))</x:f>
        <x:v>1182000</x:v>
      </x:c>
      <x:c r="G87" s="65" t="n">
        <x:f>IF(A87="","",COUNTIF('Portfolio Inputs'!B8:B289,A87))</x:f>
        <x:v>1</x:v>
      </x:c>
      <x:c r="H87" s="75" t="n">
        <x:f>IF(Portfolio_Par&gt;0,F87/Portfolio_Par,"")</x:f>
        <x:v>0.00394</x:v>
      </x:c>
      <x:c r="I87" s="196" t="n">
        <x:f>IF(Portfolio_Par&gt;0,H87^2,"")</x:f>
        <x:v>0.000015523599999999998</x:v>
      </x:c>
    </x:row>
    <x:row r="88" ht="21" customHeight="1">
      <x:c r="A88" s="28" t="str">
        <x:v>SYN-OB-0083</x:v>
      </x:c>
      <x:c r="B88" s="28" t="str">
        <x:v>Arbor Corp. 083</x:v>
      </x:c>
      <x:c r="C88" s="28" t="str">
        <x:v>BB+</x:v>
      </x:c>
      <x:c r="D88" s="28" t="str">
        <x:v>Specialty Retail</x:v>
      </x:c>
      <x:c r="E88" s="28" t="str">
        <x:v>United States</x:v>
      </x:c>
      <x:c r="F88" s="66" t="n">
        <x:f>IF(A88="","",SUMIF('Portfolio Inputs'!B8:B289,A88,'Portfolio Inputs'!D8:D289))</x:f>
        <x:v>1182000</x:v>
      </x:c>
      <x:c r="G88" s="65" t="n">
        <x:f>IF(A88="","",COUNTIF('Portfolio Inputs'!B8:B289,A88))</x:f>
        <x:v>1</x:v>
      </x:c>
      <x:c r="H88" s="75" t="n">
        <x:f>IF(Portfolio_Par&gt;0,F88/Portfolio_Par,"")</x:f>
        <x:v>0.00394</x:v>
      </x:c>
      <x:c r="I88" s="196" t="n">
        <x:f>IF(Portfolio_Par&gt;0,H88^2,"")</x:f>
        <x:v>0.000015523599999999998</x:v>
      </x:c>
    </x:row>
    <x:row r="89" ht="21" customHeight="1">
      <x:c r="A89" s="28" t="str">
        <x:v>SYN-OB-0085</x:v>
      </x:c>
      <x:c r="B89" s="28" t="str">
        <x:v>Beacon LLC 085</x:v>
      </x:c>
      <x:c r="C89" s="28" t="str">
        <x:v>B</x:v>
      </x:c>
      <x:c r="D89" s="28" t="str">
        <x:v>Building Products</x:v>
      </x:c>
      <x:c r="E89" s="28" t="str">
        <x:v>United States</x:v>
      </x:c>
      <x:c r="F89" s="66" t="n">
        <x:f>IF(A89="","",SUMIF('Portfolio Inputs'!B8:B289,A89,'Portfolio Inputs'!D8:D289))</x:f>
        <x:v>1182000</x:v>
      </x:c>
      <x:c r="G89" s="65" t="n">
        <x:f>IF(A89="","",COUNTIF('Portfolio Inputs'!B8:B289,A89))</x:f>
        <x:v>1</x:v>
      </x:c>
      <x:c r="H89" s="75" t="n">
        <x:f>IF(Portfolio_Par&gt;0,F89/Portfolio_Par,"")</x:f>
        <x:v>0.00394</x:v>
      </x:c>
      <x:c r="I89" s="196" t="n">
        <x:f>IF(Portfolio_Par&gt;0,H89^2,"")</x:f>
        <x:v>0.000015523599999999998</x:v>
      </x:c>
    </x:row>
    <x:row r="90" ht="21" customHeight="1">
      <x:c r="A90" s="28" t="str">
        <x:v>SYN-OB-0086</x:v>
      </x:c>
      <x:c r="B90" s="28" t="str">
        <x:v>Bluewater Holdings 086</x:v>
      </x:c>
      <x:c r="C90" s="28" t="str">
        <x:v>BB</x:v>
      </x:c>
      <x:c r="D90" s="28" t="str">
        <x:v>Diversified Telecommunication Services</x:v>
      </x:c>
      <x:c r="E90" s="28" t="str">
        <x:v>United States</x:v>
      </x:c>
      <x:c r="F90" s="66" t="n">
        <x:f>IF(A90="","",SUMIF('Portfolio Inputs'!B8:B289,A90,'Portfolio Inputs'!D8:D289))</x:f>
        <x:v>1182000</x:v>
      </x:c>
      <x:c r="G90" s="65" t="n">
        <x:f>IF(A90="","",COUNTIF('Portfolio Inputs'!B8:B289,A90))</x:f>
        <x:v>1</x:v>
      </x:c>
      <x:c r="H90" s="75" t="n">
        <x:f>IF(Portfolio_Par&gt;0,F90/Portfolio_Par,"")</x:f>
        <x:v>0.00394</x:v>
      </x:c>
      <x:c r="I90" s="196" t="n">
        <x:f>IF(Portfolio_Par&gt;0,H90^2,"")</x:f>
        <x:v>0.000015523599999999998</x:v>
      </x:c>
    </x:row>
    <x:row r="91" ht="21" customHeight="1">
      <x:c r="A91" s="28" t="str">
        <x:v>SYN-OB-0087</x:v>
      </x:c>
      <x:c r="B91" s="28" t="str">
        <x:v>Bracken Inc. 087</x:v>
      </x:c>
      <x:c r="C91" s="28" t="str">
        <x:v>B+</x:v>
      </x:c>
      <x:c r="D91" s="28" t="str">
        <x:v>Media</x:v>
      </x:c>
      <x:c r="E91" s="28" t="str">
        <x:v>United States</x:v>
      </x:c>
      <x:c r="F91" s="66" t="n">
        <x:f>IF(A91="","",SUMIF('Portfolio Inputs'!B8:B289,A91,'Portfolio Inputs'!D8:D289))</x:f>
        <x:v>1182000</x:v>
      </x:c>
      <x:c r="G91" s="65" t="n">
        <x:f>IF(A91="","",COUNTIF('Portfolio Inputs'!B8:B289,A91))</x:f>
        <x:v>1</x:v>
      </x:c>
      <x:c r="H91" s="75" t="n">
        <x:f>IF(Portfolio_Par&gt;0,F91/Portfolio_Par,"")</x:f>
        <x:v>0.00394</x:v>
      </x:c>
      <x:c r="I91" s="196" t="n">
        <x:f>IF(Portfolio_Par&gt;0,H91^2,"")</x:f>
        <x:v>0.000015523599999999998</x:v>
      </x:c>
    </x:row>
    <x:row r="92" ht="21" customHeight="1">
      <x:c r="A92" s="28" t="str">
        <x:v>SYN-OB-0089</x:v>
      </x:c>
      <x:c r="B92" s="28" t="str">
        <x:v>Cobalt Group 089</x:v>
      </x:c>
      <x:c r="C92" s="28" t="str">
        <x:v>BB</x:v>
      </x:c>
      <x:c r="D92" s="28" t="str">
        <x:v>Commercial Services &amp; Supplies</x:v>
      </x:c>
      <x:c r="E92" s="28" t="str">
        <x:v>United States</x:v>
      </x:c>
      <x:c r="F92" s="66" t="n">
        <x:f>IF(A92="","",SUMIF('Portfolio Inputs'!B8:B289,A92,'Portfolio Inputs'!D8:D289))</x:f>
        <x:v>1182000</x:v>
      </x:c>
      <x:c r="G92" s="65" t="n">
        <x:f>IF(A92="","",COUNTIF('Portfolio Inputs'!B8:B289,A92))</x:f>
        <x:v>1</x:v>
      </x:c>
      <x:c r="H92" s="75" t="n">
        <x:f>IF(Portfolio_Par&gt;0,F92/Portfolio_Par,"")</x:f>
        <x:v>0.00394</x:v>
      </x:c>
      <x:c r="I92" s="196" t="n">
        <x:f>IF(Portfolio_Par&gt;0,H92^2,"")</x:f>
        <x:v>0.000015523599999999998</x:v>
      </x:c>
    </x:row>
    <x:row r="93" ht="21" customHeight="1">
      <x:c r="A93" s="28" t="str">
        <x:v>SYN-OB-0090</x:v>
      </x:c>
      <x:c r="B93" s="28" t="str">
        <x:v>Copper LLC 090</x:v>
      </x:c>
      <x:c r="C93" s="28" t="str">
        <x:v>B</x:v>
      </x:c>
      <x:c r="D93" s="28" t="str">
        <x:v>Auto Components</x:v>
      </x:c>
      <x:c r="E93" s="28" t="str">
        <x:v>United States</x:v>
      </x:c>
      <x:c r="F93" s="66" t="n">
        <x:f>IF(A93="","",SUMIF('Portfolio Inputs'!B8:B289,A93,'Portfolio Inputs'!D8:D289))</x:f>
        <x:v>1182000</x:v>
      </x:c>
      <x:c r="G93" s="65" t="n">
        <x:f>IF(A93="","",COUNTIF('Portfolio Inputs'!B8:B289,A93))</x:f>
        <x:v>1</x:v>
      </x:c>
      <x:c r="H93" s="75" t="n">
        <x:f>IF(Portfolio_Par&gt;0,F93/Portfolio_Par,"")</x:f>
        <x:v>0.00394</x:v>
      </x:c>
      <x:c r="I93" s="196" t="n">
        <x:f>IF(Portfolio_Par&gt;0,H93^2,"")</x:f>
        <x:v>0.000015523599999999998</x:v>
      </x:c>
    </x:row>
    <x:row r="94" ht="21" customHeight="1">
      <x:c r="A94" s="28" t="str">
        <x:v>SYN-OB-0091</x:v>
      </x:c>
      <x:c r="B94" s="28" t="str">
        <x:v>Crest Holdings 091</x:v>
      </x:c>
      <x:c r="C94" s="28" t="str">
        <x:v>B</x:v>
      </x:c>
      <x:c r="D94" s="28" t="str">
        <x:v>Media</x:v>
      </x:c>
      <x:c r="E94" s="28" t="str">
        <x:v>United States</x:v>
      </x:c>
      <x:c r="F94" s="66" t="n">
        <x:f>IF(A94="","",SUMIF('Portfolio Inputs'!B8:B289,A94,'Portfolio Inputs'!D8:D289))</x:f>
        <x:v>1182000</x:v>
      </x:c>
      <x:c r="G94" s="65" t="n">
        <x:f>IF(A94="","",COUNTIF('Portfolio Inputs'!B8:B289,A94))</x:f>
        <x:v>1</x:v>
      </x:c>
      <x:c r="H94" s="75" t="n">
        <x:f>IF(Portfolio_Par&gt;0,F94/Portfolio_Par,"")</x:f>
        <x:v>0.00394</x:v>
      </x:c>
      <x:c r="I94" s="196" t="n">
        <x:f>IF(Portfolio_Par&gt;0,H94^2,"")</x:f>
        <x:v>0.000015523599999999998</x:v>
      </x:c>
    </x:row>
    <x:row r="95" ht="21" customHeight="1">
      <x:c r="A95" s="28" t="str">
        <x:v>SYN-OB-0093</x:v>
      </x:c>
      <x:c r="B95" s="28" t="str">
        <x:v>Elmstone Corp. 093</x:v>
      </x:c>
      <x:c r="C95" s="28" t="str">
        <x:v>B-</x:v>
      </x:c>
      <x:c r="D95" s="28" t="str">
        <x:v>Textiles, Apparel &amp; Luxury Goods</x:v>
      </x:c>
      <x:c r="E95" s="28" t="str">
        <x:v>United States</x:v>
      </x:c>
      <x:c r="F95" s="66" t="n">
        <x:f>IF(A95="","",SUMIF('Portfolio Inputs'!B8:B289,A95,'Portfolio Inputs'!D8:D289))</x:f>
        <x:v>1182000</x:v>
      </x:c>
      <x:c r="G95" s="65" t="n">
        <x:f>IF(A95="","",COUNTIF('Portfolio Inputs'!B8:B289,A95))</x:f>
        <x:v>1</x:v>
      </x:c>
      <x:c r="H95" s="75" t="n">
        <x:f>IF(Portfolio_Par&gt;0,F95/Portfolio_Par,"")</x:f>
        <x:v>0.00394</x:v>
      </x:c>
      <x:c r="I95" s="196" t="n">
        <x:f>IF(Portfolio_Par&gt;0,H95^2,"")</x:f>
        <x:v>0.000015523599999999998</x:v>
      </x:c>
    </x:row>
    <x:row r="96" ht="21" customHeight="1">
      <x:c r="A96" s="28" t="str">
        <x:v>SYN-OB-0094</x:v>
      </x:c>
      <x:c r="B96" s="28" t="str">
        <x:v>Evergreen Group 094</x:v>
      </x:c>
      <x:c r="C96" s="28" t="str">
        <x:v>BB-</x:v>
      </x:c>
      <x:c r="D96" s="28" t="str">
        <x:v>Hotels, Restaurants &amp; Leisure</x:v>
      </x:c>
      <x:c r="E96" s="28" t="str">
        <x:v>United States</x:v>
      </x:c>
      <x:c r="F96" s="66" t="n">
        <x:f>IF(A96="","",SUMIF('Portfolio Inputs'!B8:B289,A96,'Portfolio Inputs'!D8:D289))</x:f>
        <x:v>1182000</x:v>
      </x:c>
      <x:c r="G96" s="65" t="n">
        <x:f>IF(A96="","",COUNTIF('Portfolio Inputs'!B8:B289,A96))</x:f>
        <x:v>2</x:v>
      </x:c>
      <x:c r="H96" s="75" t="n">
        <x:f>IF(Portfolio_Par&gt;0,F96/Portfolio_Par,"")</x:f>
        <x:v>0.00394</x:v>
      </x:c>
      <x:c r="I96" s="196" t="n">
        <x:f>IF(Portfolio_Par&gt;0,H96^2,"")</x:f>
        <x:v>0.000015523599999999998</x:v>
      </x:c>
    </x:row>
    <x:row r="97" ht="21" customHeight="1">
      <x:c r="A97" s="28" t="str">
        <x:v>SYN-OB-0095</x:v>
      </x:c>
      <x:c r="B97" s="28" t="str">
        <x:v>Fairhaven LLC 095</x:v>
      </x:c>
      <x:c r="C97" s="28" t="str">
        <x:v>BB+</x:v>
      </x:c>
      <x:c r="D97" s="28" t="str">
        <x:v>Pharmaceuticals</x:v>
      </x:c>
      <x:c r="E97" s="28" t="str">
        <x:v>Luxembourg</x:v>
      </x:c>
      <x:c r="F97" s="66" t="n">
        <x:f>IF(A97="","",SUMIF('Portfolio Inputs'!B8:B289,A97,'Portfolio Inputs'!D8:D289))</x:f>
        <x:v>1182000</x:v>
      </x:c>
      <x:c r="G97" s="65" t="n">
        <x:f>IF(A97="","",COUNTIF('Portfolio Inputs'!B8:B289,A97))</x:f>
        <x:v>1</x:v>
      </x:c>
      <x:c r="H97" s="75" t="n">
        <x:f>IF(Portfolio_Par&gt;0,F97/Portfolio_Par,"")</x:f>
        <x:v>0.00394</x:v>
      </x:c>
      <x:c r="I97" s="196" t="n">
        <x:f>IF(Portfolio_Par&gt;0,H97^2,"")</x:f>
        <x:v>0.000015523599999999998</x:v>
      </x:c>
    </x:row>
    <x:row r="98" ht="21" customHeight="1">
      <x:c r="A98" s="28" t="str">
        <x:v>SYN-OB-0096</x:v>
      </x:c>
      <x:c r="B98" s="28" t="str">
        <x:v>Granite Holdings 096</x:v>
      </x:c>
      <x:c r="C98" s="28" t="str">
        <x:v>B</x:v>
      </x:c>
      <x:c r="D98" s="28" t="str">
        <x:v>Electronic Equipment, Instruments &amp; Components</x:v>
      </x:c>
      <x:c r="E98" s="28" t="str">
        <x:v>United Kingdom</x:v>
      </x:c>
      <x:c r="F98" s="66" t="n">
        <x:f>IF(A98="","",SUMIF('Portfolio Inputs'!B8:B289,A98,'Portfolio Inputs'!D8:D289))</x:f>
        <x:v>1182000</x:v>
      </x:c>
      <x:c r="G98" s="65" t="n">
        <x:f>IF(A98="","",COUNTIF('Portfolio Inputs'!B8:B289,A98))</x:f>
        <x:v>1</x:v>
      </x:c>
      <x:c r="H98" s="75" t="n">
        <x:f>IF(Portfolio_Par&gt;0,F98/Portfolio_Par,"")</x:f>
        <x:v>0.00394</x:v>
      </x:c>
      <x:c r="I98" s="196" t="n">
        <x:f>IF(Portfolio_Par&gt;0,H98^2,"")</x:f>
        <x:v>0.000015523599999999998</x:v>
      </x:c>
    </x:row>
    <x:row r="99" ht="21" customHeight="1">
      <x:c r="A99" s="28" t="str">
        <x:v>SYN-OB-0097</x:v>
      </x:c>
      <x:c r="B99" s="28" t="str">
        <x:v>Harbor Inc. 097</x:v>
      </x:c>
      <x:c r="C99" s="28" t="str">
        <x:v>B</x:v>
      </x:c>
      <x:c r="D99" s="28" t="str">
        <x:v>Healthcare Equipment &amp; Supplies</x:v>
      </x:c>
      <x:c r="E99" s="28" t="str">
        <x:v>United States</x:v>
      </x:c>
      <x:c r="F99" s="66" t="n">
        <x:f>IF(A99="","",SUMIF('Portfolio Inputs'!B8:B289,A99,'Portfolio Inputs'!D8:D289))</x:f>
        <x:v>1182000</x:v>
      </x:c>
      <x:c r="G99" s="65" t="n">
        <x:f>IF(A99="","",COUNTIF('Portfolio Inputs'!B8:B289,A99))</x:f>
        <x:v>1</x:v>
      </x:c>
      <x:c r="H99" s="75" t="n">
        <x:f>IF(Portfolio_Par&gt;0,F99/Portfolio_Par,"")</x:f>
        <x:v>0.00394</x:v>
      </x:c>
      <x:c r="I99" s="196" t="n">
        <x:f>IF(Portfolio_Par&gt;0,H99^2,"")</x:f>
        <x:v>0.000015523599999999998</x:v>
      </x:c>
    </x:row>
    <x:row r="100" ht="21" customHeight="1">
      <x:c r="A100" s="28" t="str">
        <x:v>SYN-OB-0098</x:v>
      </x:c>
      <x:c r="B100" s="28" t="str">
        <x:v>Hawthorne Corp. 098</x:v>
      </x:c>
      <x:c r="C100" s="28" t="str">
        <x:v>BB</x:v>
      </x:c>
      <x:c r="D100" s="28" t="str">
        <x:v>Diversified Telecommunication Services</x:v>
      </x:c>
      <x:c r="E100" s="28" t="str">
        <x:v>United States</x:v>
      </x:c>
      <x:c r="F100" s="66" t="n">
        <x:f>IF(A100="","",SUMIF('Portfolio Inputs'!B8:B289,A100,'Portfolio Inputs'!D8:D289))</x:f>
        <x:v>1182000</x:v>
      </x:c>
      <x:c r="G100" s="65" t="n">
        <x:f>IF(A100="","",COUNTIF('Portfolio Inputs'!B8:B289,A100))</x:f>
        <x:v>1</x:v>
      </x:c>
      <x:c r="H100" s="75" t="n">
        <x:f>IF(Portfolio_Par&gt;0,F100/Portfolio_Par,"")</x:f>
        <x:v>0.00394</x:v>
      </x:c>
      <x:c r="I100" s="196" t="n">
        <x:f>IF(Portfolio_Par&gt;0,H100^2,"")</x:f>
        <x:v>0.000015523599999999998</x:v>
      </x:c>
    </x:row>
    <x:row r="101" ht="21" customHeight="1">
      <x:c r="A101" s="28" t="str">
        <x:v>SYN-OB-0099</x:v>
      </x:c>
      <x:c r="B101" s="28" t="str">
        <x:v>Highland Group 099</x:v>
      </x:c>
      <x:c r="C101" s="28" t="str">
        <x:v>B</x:v>
      </x:c>
      <x:c r="D101" s="28" t="str">
        <x:v>Financial services</x:v>
      </x:c>
      <x:c r="E101" s="28" t="str">
        <x:v>United States</x:v>
      </x:c>
      <x:c r="F101" s="66" t="n">
        <x:f>IF(A101="","",SUMIF('Portfolio Inputs'!B8:B289,A101,'Portfolio Inputs'!D8:D289))</x:f>
        <x:v>1182000</x:v>
      </x:c>
      <x:c r="G101" s="65" t="n">
        <x:f>IF(A101="","",COUNTIF('Portfolio Inputs'!B8:B289,A101))</x:f>
        <x:v>1</x:v>
      </x:c>
      <x:c r="H101" s="75" t="n">
        <x:f>IF(Portfolio_Par&gt;0,F101/Portfolio_Par,"")</x:f>
        <x:v>0.00394</x:v>
      </x:c>
      <x:c r="I101" s="196" t="n">
        <x:f>IF(Portfolio_Par&gt;0,H101^2,"")</x:f>
        <x:v>0.000015523599999999998</x:v>
      </x:c>
    </x:row>
    <x:row r="102" ht="21" customHeight="1">
      <x:c r="A102" s="28" t="str">
        <x:v>SYN-OB-0100</x:v>
      </x:c>
      <x:c r="B102" s="28" t="str">
        <x:v>Ironwood LLC 100</x:v>
      </x:c>
      <x:c r="C102" s="28" t="str">
        <x:v>B-</x:v>
      </x:c>
      <x:c r="D102" s="28" t="str">
        <x:v>Machinery</x:v>
      </x:c>
      <x:c r="E102" s="28" t="str">
        <x:v>United States</x:v>
      </x:c>
      <x:c r="F102" s="66" t="n">
        <x:f>IF(A102="","",SUMIF('Portfolio Inputs'!B8:B289,A102,'Portfolio Inputs'!D8:D289))</x:f>
        <x:v>1182000</x:v>
      </x:c>
      <x:c r="G102" s="65" t="n">
        <x:f>IF(A102="","",COUNTIF('Portfolio Inputs'!B8:B289,A102))</x:f>
        <x:v>1</x:v>
      </x:c>
      <x:c r="H102" s="75" t="n">
        <x:f>IF(Portfolio_Par&gt;0,F102/Portfolio_Par,"")</x:f>
        <x:v>0.00394</x:v>
      </x:c>
      <x:c r="I102" s="196" t="n">
        <x:f>IF(Portfolio_Par&gt;0,H102^2,"")</x:f>
        <x:v>0.000015523599999999998</x:v>
      </x:c>
    </x:row>
    <x:row r="103" ht="21" customHeight="1">
      <x:c r="A103" s="28" t="str">
        <x:v>SYN-OB-0101</x:v>
      </x:c>
      <x:c r="B103" s="28" t="str">
        <x:v>Juniper Holdings 101</x:v>
      </x:c>
      <x:c r="C103" s="28" t="str">
        <x:v>B-</x:v>
      </x:c>
      <x:c r="D103" s="28" t="str">
        <x:v>Consumer Finance</x:v>
      </x:c>
      <x:c r="E103" s="28" t="str">
        <x:v>United States</x:v>
      </x:c>
      <x:c r="F103" s="66" t="n">
        <x:f>IF(A103="","",SUMIF('Portfolio Inputs'!B8:B289,A103,'Portfolio Inputs'!D8:D289))</x:f>
        <x:v>1182000</x:v>
      </x:c>
      <x:c r="G103" s="65" t="n">
        <x:f>IF(A103="","",COUNTIF('Portfolio Inputs'!B8:B289,A103))</x:f>
        <x:v>1</x:v>
      </x:c>
      <x:c r="H103" s="75" t="n">
        <x:f>IF(Portfolio_Par&gt;0,F103/Portfolio_Par,"")</x:f>
        <x:v>0.00394</x:v>
      </x:c>
      <x:c r="I103" s="196" t="n">
        <x:f>IF(Portfolio_Par&gt;0,H103^2,"")</x:f>
        <x:v>0.000015523599999999998</x:v>
      </x:c>
    </x:row>
    <x:row r="104" ht="21" customHeight="1">
      <x:c r="A104" s="28" t="str">
        <x:v>SYN-OB-0102</x:v>
      </x:c>
      <x:c r="B104" s="28" t="str">
        <x:v>Keystone Inc. 102</x:v>
      </x:c>
      <x:c r="C104" s="28" t="str">
        <x:v>B+</x:v>
      </x:c>
      <x:c r="D104" s="28" t="str">
        <x:v>Independent Power and Renewable Electricity Producers</x:v>
      </x:c>
      <x:c r="E104" s="28" t="str">
        <x:v>United States</x:v>
      </x:c>
      <x:c r="F104" s="66" t="n">
        <x:f>IF(A104="","",SUMIF('Portfolio Inputs'!B8:B289,A104,'Portfolio Inputs'!D8:D289))</x:f>
        <x:v>1182000</x:v>
      </x:c>
      <x:c r="G104" s="65" t="n">
        <x:f>IF(A104="","",COUNTIF('Portfolio Inputs'!B8:B289,A104))</x:f>
        <x:v>1</x:v>
      </x:c>
      <x:c r="H104" s="75" t="n">
        <x:f>IF(Portfolio_Par&gt;0,F104/Portfolio_Par,"")</x:f>
        <x:v>0.00394</x:v>
      </x:c>
      <x:c r="I104" s="196" t="n">
        <x:f>IF(Portfolio_Par&gt;0,H104^2,"")</x:f>
        <x:v>0.000015523599999999998</x:v>
      </x:c>
    </x:row>
    <x:row r="105" ht="21" customHeight="1">
      <x:c r="A105" s="28" t="str">
        <x:v>SYN-OB-0103</x:v>
      </x:c>
      <x:c r="B105" s="28" t="str">
        <x:v>Lakeview Corp. 103</x:v>
      </x:c>
      <x:c r="C105" s="28" t="str">
        <x:v>BB-</x:v>
      </x:c>
      <x:c r="D105" s="28" t="str">
        <x:v>Real Estate Management &amp; Development</x:v>
      </x:c>
      <x:c r="E105" s="28" t="str">
        <x:v>United States</x:v>
      </x:c>
      <x:c r="F105" s="66" t="n">
        <x:f>IF(A105="","",SUMIF('Portfolio Inputs'!B8:B289,A105,'Portfolio Inputs'!D8:D289))</x:f>
        <x:v>1182000</x:v>
      </x:c>
      <x:c r="G105" s="65" t="n">
        <x:f>IF(A105="","",COUNTIF('Portfolio Inputs'!B8:B289,A105))</x:f>
        <x:v>1</x:v>
      </x:c>
      <x:c r="H105" s="75" t="n">
        <x:f>IF(Portfolio_Par&gt;0,F105/Portfolio_Par,"")</x:f>
        <x:v>0.00394</x:v>
      </x:c>
      <x:c r="I105" s="196" t="n">
        <x:f>IF(Portfolio_Par&gt;0,H105^2,"")</x:f>
        <x:v>0.000015523599999999998</x:v>
      </x:c>
    </x:row>
    <x:row r="106" ht="21" customHeight="1">
      <x:c r="A106" s="28" t="str">
        <x:v>SYN-OB-0105</x:v>
      </x:c>
      <x:c r="B106" s="28" t="str">
        <x:v>Maple LLC 105</x:v>
      </x:c>
      <x:c r="C106" s="28" t="str">
        <x:v>B</x:v>
      </x:c>
      <x:c r="D106" s="28" t="str">
        <x:v>Construction &amp; Engineering</x:v>
      </x:c>
      <x:c r="E106" s="28" t="str">
        <x:v>United States</x:v>
      </x:c>
      <x:c r="F106" s="66" t="n">
        <x:f>IF(A106="","",SUMIF('Portfolio Inputs'!B8:B289,A106,'Portfolio Inputs'!D8:D289))</x:f>
        <x:v>1182000</x:v>
      </x:c>
      <x:c r="G106" s="65" t="n">
        <x:f>IF(A106="","",COUNTIF('Portfolio Inputs'!B8:B289,A106))</x:f>
        <x:v>1</x:v>
      </x:c>
      <x:c r="H106" s="75" t="n">
        <x:f>IF(Portfolio_Par&gt;0,F106/Portfolio_Par,"")</x:f>
        <x:v>0.00394</x:v>
      </x:c>
      <x:c r="I106" s="196" t="n">
        <x:f>IF(Portfolio_Par&gt;0,H106^2,"")</x:f>
        <x:v>0.000015523599999999998</x:v>
      </x:c>
    </x:row>
    <x:row r="107" ht="21" customHeight="1">
      <x:c r="A107" s="28" t="str">
        <x:v>SYN-OB-0106</x:v>
      </x:c>
      <x:c r="B107" s="28" t="str">
        <x:v>Meridian Holdings 106</x:v>
      </x:c>
      <x:c r="C107" s="28" t="str">
        <x:v>B+</x:v>
      </x:c>
      <x:c r="D107" s="28" t="str">
        <x:v>Electric Utilities</x:v>
      </x:c>
      <x:c r="E107" s="28" t="str">
        <x:v>United States</x:v>
      </x:c>
      <x:c r="F107" s="66" t="n">
        <x:f>IF(A107="","",SUMIF('Portfolio Inputs'!B8:B289,A107,'Portfolio Inputs'!D8:D289))</x:f>
        <x:v>1182000</x:v>
      </x:c>
      <x:c r="G107" s="65" t="n">
        <x:f>IF(A107="","",COUNTIF('Portfolio Inputs'!B8:B289,A107))</x:f>
        <x:v>1</x:v>
      </x:c>
      <x:c r="H107" s="75" t="n">
        <x:f>IF(Portfolio_Par&gt;0,F107/Portfolio_Par,"")</x:f>
        <x:v>0.00394</x:v>
      </x:c>
      <x:c r="I107" s="196" t="n">
        <x:f>IF(Portfolio_Par&gt;0,H107^2,"")</x:f>
        <x:v>0.000015523599999999998</x:v>
      </x:c>
    </x:row>
    <x:row r="108" ht="21" customHeight="1">
      <x:c r="A108" s="28" t="str">
        <x:v>SYN-OB-0110</x:v>
      </x:c>
      <x:c r="B108" s="28" t="str">
        <x:v>Pinecrest LLC 110</x:v>
      </x:c>
      <x:c r="C108" s="28" t="str">
        <x:v>B</x:v>
      </x:c>
      <x:c r="D108" s="28" t="str">
        <x:v>Chemicals</x:v>
      </x:c>
      <x:c r="E108" s="28" t="str">
        <x:v>Netherlands</x:v>
      </x:c>
      <x:c r="F108" s="66" t="n">
        <x:f>IF(A108="","",SUMIF('Portfolio Inputs'!B8:B289,A108,'Portfolio Inputs'!D8:D289))</x:f>
        <x:v>1182000</x:v>
      </x:c>
      <x:c r="G108" s="65" t="n">
        <x:f>IF(A108="","",COUNTIF('Portfolio Inputs'!B8:B289,A108))</x:f>
        <x:v>1</x:v>
      </x:c>
      <x:c r="H108" s="75" t="n">
        <x:f>IF(Portfolio_Par&gt;0,F108/Portfolio_Par,"")</x:f>
        <x:v>0.00394</x:v>
      </x:c>
      <x:c r="I108" s="196" t="n">
        <x:f>IF(Portfolio_Par&gt;0,H108^2,"")</x:f>
        <x:v>0.000015523599999999998</x:v>
      </x:c>
    </x:row>
    <x:row r="109" ht="21" customHeight="1">
      <x:c r="A109" s="28" t="str">
        <x:v>SYN-OB-0111</x:v>
      </x:c>
      <x:c r="B109" s="28" t="str">
        <x:v>Redwood Holdings 111</x:v>
      </x:c>
      <x:c r="C109" s="28" t="str">
        <x:v>B+</x:v>
      </x:c>
      <x:c r="D109" s="28" t="str">
        <x:v>Media</x:v>
      </x:c>
      <x:c r="E109" s="28" t="str">
        <x:v>United States</x:v>
      </x:c>
      <x:c r="F109" s="66" t="n">
        <x:f>IF(A109="","",SUMIF('Portfolio Inputs'!B8:B289,A109,'Portfolio Inputs'!D8:D289))</x:f>
        <x:v>1182000</x:v>
      </x:c>
      <x:c r="G109" s="65" t="n">
        <x:f>IF(A109="","",COUNTIF('Portfolio Inputs'!B8:B289,A109))</x:f>
        <x:v>1</x:v>
      </x:c>
      <x:c r="H109" s="75" t="n">
        <x:f>IF(Portfolio_Par&gt;0,F109/Portfolio_Par,"")</x:f>
        <x:v>0.00394</x:v>
      </x:c>
      <x:c r="I109" s="196" t="n">
        <x:f>IF(Portfolio_Par&gt;0,H109^2,"")</x:f>
        <x:v>0.000015523599999999998</x:v>
      </x:c>
    </x:row>
    <x:row r="110" ht="21" customHeight="1">
      <x:c r="A110" s="28" t="str">
        <x:v>SYN-OB-0112</x:v>
      </x:c>
      <x:c r="B110" s="28" t="str">
        <x:v>Riverton Inc. 112</x:v>
      </x:c>
      <x:c r="C110" s="28" t="str">
        <x:v>B</x:v>
      </x:c>
      <x:c r="D110" s="28" t="str">
        <x:v>IT Services</x:v>
      </x:c>
      <x:c r="E110" s="28" t="str">
        <x:v>United States</x:v>
      </x:c>
      <x:c r="F110" s="66" t="n">
        <x:f>IF(A110="","",SUMIF('Portfolio Inputs'!B8:B289,A110,'Portfolio Inputs'!D8:D289))</x:f>
        <x:v>1182000</x:v>
      </x:c>
      <x:c r="G110" s="65" t="n">
        <x:f>IF(A110="","",COUNTIF('Portfolio Inputs'!B8:B289,A110))</x:f>
        <x:v>1</x:v>
      </x:c>
      <x:c r="H110" s="75" t="n">
        <x:f>IF(Portfolio_Par&gt;0,F110/Portfolio_Par,"")</x:f>
        <x:v>0.00394</x:v>
      </x:c>
      <x:c r="I110" s="196" t="n">
        <x:f>IF(Portfolio_Par&gt;0,H110^2,"")</x:f>
        <x:v>0.000015523599999999998</x:v>
      </x:c>
    </x:row>
    <x:row r="111" ht="21" customHeight="1">
      <x:c r="A111" s="28" t="str">
        <x:v>SYN-OB-0113</x:v>
      </x:c>
      <x:c r="B111" s="28" t="str">
        <x:v>Silver Corp. 113</x:v>
      </x:c>
      <x:c r="C111" s="28" t="str">
        <x:v>B-</x:v>
      </x:c>
      <x:c r="D111" s="28" t="str">
        <x:v>Healthcare Technology</x:v>
      </x:c>
      <x:c r="E111" s="28" t="str">
        <x:v>United States</x:v>
      </x:c>
      <x:c r="F111" s="66" t="n">
        <x:f>IF(A111="","",SUMIF('Portfolio Inputs'!B8:B289,A111,'Portfolio Inputs'!D8:D289))</x:f>
        <x:v>1182000</x:v>
      </x:c>
      <x:c r="G111" s="65" t="n">
        <x:f>IF(A111="","",COUNTIF('Portfolio Inputs'!B8:B289,A111))</x:f>
        <x:v>1</x:v>
      </x:c>
      <x:c r="H111" s="75" t="n">
        <x:f>IF(Portfolio_Par&gt;0,F111/Portfolio_Par,"")</x:f>
        <x:v>0.00394</x:v>
      </x:c>
      <x:c r="I111" s="196" t="n">
        <x:f>IF(Portfolio_Par&gt;0,H111^2,"")</x:f>
        <x:v>0.000015523599999999998</x:v>
      </x:c>
    </x:row>
    <x:row r="112" ht="21" customHeight="1">
      <x:c r="A112" s="28" t="str">
        <x:v>SYN-OB-0115</x:v>
      </x:c>
      <x:c r="B112" s="28" t="str">
        <x:v>Summit LLC 115</x:v>
      </x:c>
      <x:c r="C112" s="28" t="str">
        <x:v>B+</x:v>
      </x:c>
      <x:c r="D112" s="28" t="str">
        <x:v>Life Sciences Tools &amp; Services</x:v>
      </x:c>
      <x:c r="E112" s="28" t="str">
        <x:v>United States</x:v>
      </x:c>
      <x:c r="F112" s="66" t="n">
        <x:f>IF(A112="","",SUMIF('Portfolio Inputs'!B8:B289,A112,'Portfolio Inputs'!D8:D289))</x:f>
        <x:v>1182000</x:v>
      </x:c>
      <x:c r="G112" s="65" t="n">
        <x:f>IF(A112="","",COUNTIF('Portfolio Inputs'!B8:B289,A112))</x:f>
        <x:v>2</x:v>
      </x:c>
      <x:c r="H112" s="75" t="n">
        <x:f>IF(Portfolio_Par&gt;0,F112/Portfolio_Par,"")</x:f>
        <x:v>0.00394</x:v>
      </x:c>
      <x:c r="I112" s="196" t="n">
        <x:f>IF(Portfolio_Par&gt;0,H112^2,"")</x:f>
        <x:v>0.000015523599999999998</x:v>
      </x:c>
    </x:row>
    <x:row r="113" ht="21" customHeight="1">
      <x:c r="A113" s="28" t="str">
        <x:v>SYN-OB-0116</x:v>
      </x:c>
      <x:c r="B113" s="28" t="str">
        <x:v>Timber Holdings 116</x:v>
      </x:c>
      <x:c r="C113" s="28" t="str">
        <x:v>B</x:v>
      </x:c>
      <x:c r="D113" s="28" t="str">
        <x:v>Chemicals</x:v>
      </x:c>
      <x:c r="E113" s="28" t="str">
        <x:v>United States</x:v>
      </x:c>
      <x:c r="F113" s="66" t="n">
        <x:f>IF(A113="","",SUMIF('Portfolio Inputs'!B8:B289,A113,'Portfolio Inputs'!D8:D289))</x:f>
        <x:v>1182000</x:v>
      </x:c>
      <x:c r="G113" s="65" t="n">
        <x:f>IF(A113="","",COUNTIF('Portfolio Inputs'!B8:B289,A113))</x:f>
        <x:v>1</x:v>
      </x:c>
      <x:c r="H113" s="75" t="n">
        <x:f>IF(Portfolio_Par&gt;0,F113/Portfolio_Par,"")</x:f>
        <x:v>0.00394</x:v>
      </x:c>
      <x:c r="I113" s="196" t="n">
        <x:f>IF(Portfolio_Par&gt;0,H113^2,"")</x:f>
        <x:v>0.000015523599999999998</x:v>
      </x:c>
    </x:row>
    <x:row r="114" ht="21" customHeight="1">
      <x:c r="A114" s="28" t="str">
        <x:v>SYN-OB-0118</x:v>
      </x:c>
      <x:c r="B114" s="28" t="str">
        <x:v>Willow Corp. 118</x:v>
      </x:c>
      <x:c r="C114" s="28" t="str">
        <x:v>B-</x:v>
      </x:c>
      <x:c r="D114" s="28" t="str">
        <x:v>Consumer Finance</x:v>
      </x:c>
      <x:c r="E114" s="28" t="str">
        <x:v>United States</x:v>
      </x:c>
      <x:c r="F114" s="66" t="n">
        <x:f>IF(A114="","",SUMIF('Portfolio Inputs'!B8:B289,A114,'Portfolio Inputs'!D8:D289))</x:f>
        <x:v>1182000</x:v>
      </x:c>
      <x:c r="G114" s="65" t="n">
        <x:f>IF(A114="","",COUNTIF('Portfolio Inputs'!B8:B289,A114))</x:f>
        <x:v>1</x:v>
      </x:c>
      <x:c r="H114" s="75" t="n">
        <x:f>IF(Portfolio_Par&gt;0,F114/Portfolio_Par,"")</x:f>
        <x:v>0.00394</x:v>
      </x:c>
      <x:c r="I114" s="196" t="n">
        <x:f>IF(Portfolio_Par&gt;0,H114^2,"")</x:f>
        <x:v>0.000015523599999999998</x:v>
      </x:c>
    </x:row>
    <x:row r="115" ht="21" customHeight="1">
      <x:c r="A115" s="28" t="str">
        <x:v>SYN-OB-0119</x:v>
      </x:c>
      <x:c r="B115" s="28" t="str">
        <x:v>Windward Group 119</x:v>
      </x:c>
      <x:c r="C115" s="28" t="str">
        <x:v>B-</x:v>
      </x:c>
      <x:c r="D115" s="28" t="str">
        <x:v>Financial services</x:v>
      </x:c>
      <x:c r="E115" s="28" t="str">
        <x:v>United States</x:v>
      </x:c>
      <x:c r="F115" s="66" t="n">
        <x:f>IF(A115="","",SUMIF('Portfolio Inputs'!B8:B289,A115,'Portfolio Inputs'!D8:D289))</x:f>
        <x:v>1182000</x:v>
      </x:c>
      <x:c r="G115" s="65" t="n">
        <x:f>IF(A115="","",COUNTIF('Portfolio Inputs'!B8:B289,A115))</x:f>
        <x:v>1</x:v>
      </x:c>
      <x:c r="H115" s="75" t="n">
        <x:f>IF(Portfolio_Par&gt;0,F115/Portfolio_Par,"")</x:f>
        <x:v>0.00394</x:v>
      </x:c>
      <x:c r="I115" s="196" t="n">
        <x:f>IF(Portfolio_Par&gt;0,H115^2,"")</x:f>
        <x:v>0.000015523599999999998</x:v>
      </x:c>
    </x:row>
    <x:row r="116" ht="21" customHeight="1">
      <x:c r="A116" s="28" t="str">
        <x:v>SYN-OB-0120</x:v>
      </x:c>
      <x:c r="B116" s="28" t="str">
        <x:v>Woodland LLC 120</x:v>
      </x:c>
      <x:c r="C116" s="28" t="str">
        <x:v>BB-</x:v>
      </x:c>
      <x:c r="D116" s="28" t="str">
        <x:v>Gas Utilities</x:v>
      </x:c>
      <x:c r="E116" s="28" t="str">
        <x:v>United States</x:v>
      </x:c>
      <x:c r="F116" s="66" t="n">
        <x:f>IF(A116="","",SUMIF('Portfolio Inputs'!B8:B289,A116,'Portfolio Inputs'!D8:D289))</x:f>
        <x:v>1182000</x:v>
      </x:c>
      <x:c r="G116" s="65" t="n">
        <x:f>IF(A116="","",COUNTIF('Portfolio Inputs'!B8:B289,A116))</x:f>
        <x:v>1</x:v>
      </x:c>
      <x:c r="H116" s="75" t="n">
        <x:f>IF(Portfolio_Par&gt;0,F116/Portfolio_Par,"")</x:f>
        <x:v>0.00394</x:v>
      </x:c>
      <x:c r="I116" s="196" t="n">
        <x:f>IF(Portfolio_Par&gt;0,H116^2,"")</x:f>
        <x:v>0.000015523599999999998</x:v>
      </x:c>
    </x:row>
    <x:row r="117" ht="21" customHeight="1">
      <x:c r="A117" s="28" t="str">
        <x:v>SYN-OB-0121</x:v>
      </x:c>
      <x:c r="B117" s="28" t="str">
        <x:v>Alder Holdings 121</x:v>
      </x:c>
      <x:c r="C117" s="28" t="str">
        <x:v>B-</x:v>
      </x:c>
      <x:c r="D117" s="28" t="str">
        <x:v>Software</x:v>
      </x:c>
      <x:c r="E117" s="28" t="str">
        <x:v>United States</x:v>
      </x:c>
      <x:c r="F117" s="66" t="n">
        <x:f>IF(A117="","",SUMIF('Portfolio Inputs'!B8:B289,A117,'Portfolio Inputs'!D8:D289))</x:f>
        <x:v>1182000</x:v>
      </x:c>
      <x:c r="G117" s="65" t="n">
        <x:f>IF(A117="","",COUNTIF('Portfolio Inputs'!B8:B289,A117))</x:f>
        <x:v>1</x:v>
      </x:c>
      <x:c r="H117" s="75" t="n">
        <x:f>IF(Portfolio_Par&gt;0,F117/Portfolio_Par,"")</x:f>
        <x:v>0.00394</x:v>
      </x:c>
      <x:c r="I117" s="196" t="n">
        <x:f>IF(Portfolio_Par&gt;0,H117^2,"")</x:f>
        <x:v>0.000015523599999999998</x:v>
      </x:c>
    </x:row>
    <x:row r="118" ht="21" customHeight="1">
      <x:c r="A118" s="28" t="str">
        <x:v>SYN-OB-0122</x:v>
      </x:c>
      <x:c r="B118" s="28" t="str">
        <x:v>Amber Inc. 122</x:v>
      </x:c>
      <x:c r="C118" s="28" t="str">
        <x:v>BB-</x:v>
      </x:c>
      <x:c r="D118" s="28" t="str">
        <x:v>Oil, Gas &amp; Consumable Fuels</x:v>
      </x:c>
      <x:c r="E118" s="28" t="str">
        <x:v>United States</x:v>
      </x:c>
      <x:c r="F118" s="66" t="n">
        <x:f>IF(A118="","",SUMIF('Portfolio Inputs'!B8:B289,A118,'Portfolio Inputs'!D8:D289))</x:f>
        <x:v>1182000</x:v>
      </x:c>
      <x:c r="G118" s="65" t="n">
        <x:f>IF(A118="","",COUNTIF('Portfolio Inputs'!B8:B289,A118))</x:f>
        <x:v>1</x:v>
      </x:c>
      <x:c r="H118" s="75" t="n">
        <x:f>IF(Portfolio_Par&gt;0,F118/Portfolio_Par,"")</x:f>
        <x:v>0.00394</x:v>
      </x:c>
      <x:c r="I118" s="196" t="n">
        <x:f>IF(Portfolio_Par&gt;0,H118^2,"")</x:f>
        <x:v>0.000015523599999999998</x:v>
      </x:c>
    </x:row>
    <x:row r="119" ht="21" customHeight="1">
      <x:c r="A119" s="28" t="str">
        <x:v>SYN-OB-0123</x:v>
      </x:c>
      <x:c r="B119" s="28" t="str">
        <x:v>Arbor Corp. 123</x:v>
      </x:c>
      <x:c r="C119" s="28" t="str">
        <x:v>B+</x:v>
      </x:c>
      <x:c r="D119" s="28" t="str">
        <x:v>Media</x:v>
      </x:c>
      <x:c r="E119" s="28" t="str">
        <x:v>United States</x:v>
      </x:c>
      <x:c r="F119" s="66" t="n">
        <x:f>IF(A119="","",SUMIF('Portfolio Inputs'!B8:B289,A119,'Portfolio Inputs'!D8:D289))</x:f>
        <x:v>1182000</x:v>
      </x:c>
      <x:c r="G119" s="65" t="n">
        <x:f>IF(A119="","",COUNTIF('Portfolio Inputs'!B8:B289,A119))</x:f>
        <x:v>1</x:v>
      </x:c>
      <x:c r="H119" s="75" t="n">
        <x:f>IF(Portfolio_Par&gt;0,F119/Portfolio_Par,"")</x:f>
        <x:v>0.00394</x:v>
      </x:c>
      <x:c r="I119" s="196" t="n">
        <x:f>IF(Portfolio_Par&gt;0,H119^2,"")</x:f>
        <x:v>0.000015523599999999998</x:v>
      </x:c>
    </x:row>
    <x:row r="120" ht="21" customHeight="1">
      <x:c r="A120" s="28" t="str">
        <x:v>SYN-OB-0124</x:v>
      </x:c>
      <x:c r="B120" s="28" t="str">
        <x:v>Atlas Group 124</x:v>
      </x:c>
      <x:c r="C120" s="28" t="str">
        <x:v>BB-</x:v>
      </x:c>
      <x:c r="D120" s="28" t="str">
        <x:v>Hotels, Restaurants &amp; Leisure</x:v>
      </x:c>
      <x:c r="E120" s="28" t="str">
        <x:v>United States</x:v>
      </x:c>
      <x:c r="F120" s="66" t="n">
        <x:f>IF(A120="","",SUMIF('Portfolio Inputs'!B8:B289,A120,'Portfolio Inputs'!D8:D289))</x:f>
        <x:v>1182000</x:v>
      </x:c>
      <x:c r="G120" s="65" t="n">
        <x:f>IF(A120="","",COUNTIF('Portfolio Inputs'!B8:B289,A120))</x:f>
        <x:v>1</x:v>
      </x:c>
      <x:c r="H120" s="75" t="n">
        <x:f>IF(Portfolio_Par&gt;0,F120/Portfolio_Par,"")</x:f>
        <x:v>0.00394</x:v>
      </x:c>
      <x:c r="I120" s="196" t="n">
        <x:f>IF(Portfolio_Par&gt;0,H120^2,"")</x:f>
        <x:v>0.000015523599999999998</x:v>
      </x:c>
    </x:row>
    <x:row r="121" ht="21" customHeight="1">
      <x:c r="A121" s="28" t="str">
        <x:v>SYN-OB-0125</x:v>
      </x:c>
      <x:c r="B121" s="28" t="str">
        <x:v>Beacon LLC 125</x:v>
      </x:c>
      <x:c r="C121" s="28" t="str">
        <x:v>B+</x:v>
      </x:c>
      <x:c r="D121" s="28" t="str">
        <x:v>Insurance</x:v>
      </x:c>
      <x:c r="E121" s="28" t="str">
        <x:v>United States</x:v>
      </x:c>
      <x:c r="F121" s="66" t="n">
        <x:f>IF(A121="","",SUMIF('Portfolio Inputs'!B8:B289,A121,'Portfolio Inputs'!D8:D289))</x:f>
        <x:v>1182000</x:v>
      </x:c>
      <x:c r="G121" s="65" t="n">
        <x:f>IF(A121="","",COUNTIF('Portfolio Inputs'!B8:B289,A121))</x:f>
        <x:v>1</x:v>
      </x:c>
      <x:c r="H121" s="75" t="n">
        <x:f>IF(Portfolio_Par&gt;0,F121/Portfolio_Par,"")</x:f>
        <x:v>0.00394</x:v>
      </x:c>
      <x:c r="I121" s="196" t="n">
        <x:f>IF(Portfolio_Par&gt;0,H121^2,"")</x:f>
        <x:v>0.000015523599999999998</x:v>
      </x:c>
    </x:row>
    <x:row r="122" ht="21" customHeight="1">
      <x:c r="A122" s="28" t="str">
        <x:v>SYN-OB-0126</x:v>
      </x:c>
      <x:c r="B122" s="28" t="str">
        <x:v>Bluewater Holdings 126</x:v>
      </x:c>
      <x:c r="C122" s="28" t="str">
        <x:v>BB-</x:v>
      </x:c>
      <x:c r="D122" s="28" t="str">
        <x:v>Hotels, Restaurants &amp; Leisure</x:v>
      </x:c>
      <x:c r="E122" s="28" t="str">
        <x:v>United States</x:v>
      </x:c>
      <x:c r="F122" s="66" t="n">
        <x:f>IF(A122="","",SUMIF('Portfolio Inputs'!B8:B289,A122,'Portfolio Inputs'!D8:D289))</x:f>
        <x:v>1182000</x:v>
      </x:c>
      <x:c r="G122" s="65" t="n">
        <x:f>IF(A122="","",COUNTIF('Portfolio Inputs'!B8:B289,A122))</x:f>
        <x:v>1</x:v>
      </x:c>
      <x:c r="H122" s="75" t="n">
        <x:f>IF(Portfolio_Par&gt;0,F122/Portfolio_Par,"")</x:f>
        <x:v>0.00394</x:v>
      </x:c>
      <x:c r="I122" s="196" t="n">
        <x:f>IF(Portfolio_Par&gt;0,H122^2,"")</x:f>
        <x:v>0.000015523599999999998</x:v>
      </x:c>
    </x:row>
    <x:row r="123" ht="21" customHeight="1">
      <x:c r="A123" s="28" t="str">
        <x:v>SYN-OB-0127</x:v>
      </x:c>
      <x:c r="B123" s="28" t="str">
        <x:v>Bracken Inc. 127</x:v>
      </x:c>
      <x:c r="C123" s="28" t="str">
        <x:v>B-</x:v>
      </x:c>
      <x:c r="D123" s="28" t="str">
        <x:v>Energy Equipment &amp; Services</x:v>
      </x:c>
      <x:c r="E123" s="28" t="str">
        <x:v>United States</x:v>
      </x:c>
      <x:c r="F123" s="66" t="n">
        <x:f>IF(A123="","",SUMIF('Portfolio Inputs'!B8:B289,A123,'Portfolio Inputs'!D8:D289))</x:f>
        <x:v>1182000</x:v>
      </x:c>
      <x:c r="G123" s="65" t="n">
        <x:f>IF(A123="","",COUNTIF('Portfolio Inputs'!B8:B289,A123))</x:f>
        <x:v>1</x:v>
      </x:c>
      <x:c r="H123" s="75" t="n">
        <x:f>IF(Portfolio_Par&gt;0,F123/Portfolio_Par,"")</x:f>
        <x:v>0.00394</x:v>
      </x:c>
      <x:c r="I123" s="196" t="n">
        <x:f>IF(Portfolio_Par&gt;0,H123^2,"")</x:f>
        <x:v>0.000015523599999999998</x:v>
      </x:c>
    </x:row>
    <x:row r="124" ht="21" customHeight="1">
      <x:c r="A124" s="28" t="str">
        <x:v>SYN-OB-0128</x:v>
      </x:c>
      <x:c r="B124" s="28" t="str">
        <x:v>Cedar Corp. 128</x:v>
      </x:c>
      <x:c r="C124" s="28" t="str">
        <x:v>B</x:v>
      </x:c>
      <x:c r="D124" s="28" t="str">
        <x:v>Healthcare Equipment &amp; Supplies</x:v>
      </x:c>
      <x:c r="E124" s="28" t="str">
        <x:v>United States</x:v>
      </x:c>
      <x:c r="F124" s="66" t="n">
        <x:f>IF(A124="","",SUMIF('Portfolio Inputs'!B8:B289,A124,'Portfolio Inputs'!D8:D289))</x:f>
        <x:v>1182000</x:v>
      </x:c>
      <x:c r="G124" s="65" t="n">
        <x:f>IF(A124="","",COUNTIF('Portfolio Inputs'!B8:B289,A124))</x:f>
        <x:v>1</x:v>
      </x:c>
      <x:c r="H124" s="75" t="n">
        <x:f>IF(Portfolio_Par&gt;0,F124/Portfolio_Par,"")</x:f>
        <x:v>0.00394</x:v>
      </x:c>
      <x:c r="I124" s="196" t="n">
        <x:f>IF(Portfolio_Par&gt;0,H124^2,"")</x:f>
        <x:v>0.000015523599999999998</x:v>
      </x:c>
    </x:row>
    <x:row r="125" ht="21" customHeight="1">
      <x:c r="A125" s="28" t="str">
        <x:v>SYN-OB-0129</x:v>
      </x:c>
      <x:c r="B125" s="28" t="str">
        <x:v>Cobalt Group 129</x:v>
      </x:c>
      <x:c r="C125" s="28" t="str">
        <x:v>B+</x:v>
      </x:c>
      <x:c r="D125" s="28" t="str">
        <x:v>Industrial Conglomerates</x:v>
      </x:c>
      <x:c r="E125" s="28" t="str">
        <x:v>United States</x:v>
      </x:c>
      <x:c r="F125" s="66" t="n">
        <x:f>IF(A125="","",SUMIF('Portfolio Inputs'!B8:B289,A125,'Portfolio Inputs'!D8:D289))</x:f>
        <x:v>1182000</x:v>
      </x:c>
      <x:c r="G125" s="65" t="n">
        <x:f>IF(A125="","",COUNTIF('Portfolio Inputs'!B8:B289,A125))</x:f>
        <x:v>1</x:v>
      </x:c>
      <x:c r="H125" s="75" t="n">
        <x:f>IF(Portfolio_Par&gt;0,F125/Portfolio_Par,"")</x:f>
        <x:v>0.00394</x:v>
      </x:c>
      <x:c r="I125" s="196" t="n">
        <x:f>IF(Portfolio_Par&gt;0,H125^2,"")</x:f>
        <x:v>0.000015523599999999998</x:v>
      </x:c>
    </x:row>
    <x:row r="126" ht="21" customHeight="1">
      <x:c r="A126" s="28" t="str">
        <x:v>SYN-OB-0130</x:v>
      </x:c>
      <x:c r="B126" s="28" t="str">
        <x:v>Copper LLC 130</x:v>
      </x:c>
      <x:c r="C126" s="28" t="str">
        <x:v>B</x:v>
      </x:c>
      <x:c r="D126" s="28" t="str">
        <x:v>Chemicals</x:v>
      </x:c>
      <x:c r="E126" s="28" t="str">
        <x:v>United States</x:v>
      </x:c>
      <x:c r="F126" s="66" t="n">
        <x:f>IF(A126="","",SUMIF('Portfolio Inputs'!B8:B289,A126,'Portfolio Inputs'!D8:D289))</x:f>
        <x:v>1182000</x:v>
      </x:c>
      <x:c r="G126" s="65" t="n">
        <x:f>IF(A126="","",COUNTIF('Portfolio Inputs'!B8:B289,A126))</x:f>
        <x:v>1</x:v>
      </x:c>
      <x:c r="H126" s="75" t="n">
        <x:f>IF(Portfolio_Par&gt;0,F126/Portfolio_Par,"")</x:f>
        <x:v>0.00394</x:v>
      </x:c>
      <x:c r="I126" s="196" t="n">
        <x:f>IF(Portfolio_Par&gt;0,H126^2,"")</x:f>
        <x:v>0.000015523599999999998</x:v>
      </x:c>
    </x:row>
    <x:row r="127" ht="21" customHeight="1">
      <x:c r="A127" s="28" t="str">
        <x:v>SYN-OB-0131</x:v>
      </x:c>
      <x:c r="B127" s="28" t="str">
        <x:v>Crest Holdings 131</x:v>
      </x:c>
      <x:c r="C127" s="28" t="str">
        <x:v>B</x:v>
      </x:c>
      <x:c r="D127" s="28" t="str">
        <x:v>Chemicals</x:v>
      </x:c>
      <x:c r="E127" s="28" t="str">
        <x:v>United States</x:v>
      </x:c>
      <x:c r="F127" s="66" t="n">
        <x:f>IF(A127="","",SUMIF('Portfolio Inputs'!B8:B289,A127,'Portfolio Inputs'!D8:D289))</x:f>
        <x:v>1182000</x:v>
      </x:c>
      <x:c r="G127" s="65" t="n">
        <x:f>IF(A127="","",COUNTIF('Portfolio Inputs'!B8:B289,A127))</x:f>
        <x:v>1</x:v>
      </x:c>
      <x:c r="H127" s="75" t="n">
        <x:f>IF(Portfolio_Par&gt;0,F127/Portfolio_Par,"")</x:f>
        <x:v>0.00394</x:v>
      </x:c>
      <x:c r="I127" s="196" t="n">
        <x:f>IF(Portfolio_Par&gt;0,H127^2,"")</x:f>
        <x:v>0.000015523599999999998</x:v>
      </x:c>
    </x:row>
    <x:row r="128" ht="21" customHeight="1">
      <x:c r="A128" s="28" t="str">
        <x:v>SYN-OB-0132</x:v>
      </x:c>
      <x:c r="B128" s="28" t="str">
        <x:v>Duneland Inc. 132</x:v>
      </x:c>
      <x:c r="C128" s="28" t="str">
        <x:v>BB</x:v>
      </x:c>
      <x:c r="D128" s="28" t="str">
        <x:v>Commercial Services &amp; Supplies</x:v>
      </x:c>
      <x:c r="E128" s="28" t="str">
        <x:v>United States</x:v>
      </x:c>
      <x:c r="F128" s="66" t="n">
        <x:f>IF(A128="","",SUMIF('Portfolio Inputs'!B8:B289,A128,'Portfolio Inputs'!D8:D289))</x:f>
        <x:v>1182000</x:v>
      </x:c>
      <x:c r="G128" s="65" t="n">
        <x:f>IF(A128="","",COUNTIF('Portfolio Inputs'!B8:B289,A128))</x:f>
        <x:v>1</x:v>
      </x:c>
      <x:c r="H128" s="75" t="n">
        <x:f>IF(Portfolio_Par&gt;0,F128/Portfolio_Par,"")</x:f>
        <x:v>0.00394</x:v>
      </x:c>
      <x:c r="I128" s="196" t="n">
        <x:f>IF(Portfolio_Par&gt;0,H128^2,"")</x:f>
        <x:v>0.000015523599999999998</x:v>
      </x:c>
    </x:row>
    <x:row r="129" ht="21" customHeight="1">
      <x:c r="A129" s="28" t="str">
        <x:v>SYN-OB-0133</x:v>
      </x:c>
      <x:c r="B129" s="28" t="str">
        <x:v>Elmstone Corp. 133</x:v>
      </x:c>
      <x:c r="C129" s="28" t="str">
        <x:v>B</x:v>
      </x:c>
      <x:c r="D129" s="28" t="str">
        <x:v>IT Services</x:v>
      </x:c>
      <x:c r="E129" s="28" t="str">
        <x:v>United States</x:v>
      </x:c>
      <x:c r="F129" s="66" t="n">
        <x:f>IF(A129="","",SUMIF('Portfolio Inputs'!B8:B289,A129,'Portfolio Inputs'!D8:D289))</x:f>
        <x:v>1182000</x:v>
      </x:c>
      <x:c r="G129" s="65" t="n">
        <x:f>IF(A129="","",COUNTIF('Portfolio Inputs'!B8:B289,A129))</x:f>
        <x:v>1</x:v>
      </x:c>
      <x:c r="H129" s="75" t="n">
        <x:f>IF(Portfolio_Par&gt;0,F129/Portfolio_Par,"")</x:f>
        <x:v>0.00394</x:v>
      </x:c>
      <x:c r="I129" s="196" t="n">
        <x:f>IF(Portfolio_Par&gt;0,H129^2,"")</x:f>
        <x:v>0.000015523599999999998</x:v>
      </x:c>
    </x:row>
    <x:row r="130" ht="21" customHeight="1">
      <x:c r="A130" s="28" t="str">
        <x:v>SYN-OB-0135</x:v>
      </x:c>
      <x:c r="B130" s="28" t="str">
        <x:v>Fairhaven LLC 135</x:v>
      </x:c>
      <x:c r="C130" s="28" t="str">
        <x:v>B+</x:v>
      </x:c>
      <x:c r="D130" s="28" t="str">
        <x:v>Passenger airlines</x:v>
      </x:c>
      <x:c r="E130" s="28" t="str">
        <x:v>United States</x:v>
      </x:c>
      <x:c r="F130" s="66" t="n">
        <x:f>IF(A130="","",SUMIF('Portfolio Inputs'!B8:B289,A130,'Portfolio Inputs'!D8:D289))</x:f>
        <x:v>1182000</x:v>
      </x:c>
      <x:c r="G130" s="65" t="n">
        <x:f>IF(A130="","",COUNTIF('Portfolio Inputs'!B8:B289,A130))</x:f>
        <x:v>1</x:v>
      </x:c>
      <x:c r="H130" s="75" t="n">
        <x:f>IF(Portfolio_Par&gt;0,F130/Portfolio_Par,"")</x:f>
        <x:v>0.00394</x:v>
      </x:c>
      <x:c r="I130" s="196" t="n">
        <x:f>IF(Portfolio_Par&gt;0,H130^2,"")</x:f>
        <x:v>0.000015523599999999998</x:v>
      </x:c>
    </x:row>
    <x:row r="131" ht="21" customHeight="1">
      <x:c r="A131" s="28" t="str">
        <x:v>SYN-OB-0136</x:v>
      </x:c>
      <x:c r="B131" s="28" t="str">
        <x:v>Granite Holdings 136</x:v>
      </x:c>
      <x:c r="C131" s="28" t="str">
        <x:v>B</x:v>
      </x:c>
      <x:c r="D131" s="28" t="str">
        <x:v>Aerospace &amp; Defense</x:v>
      </x:c>
      <x:c r="E131" s="28" t="str">
        <x:v>United States</x:v>
      </x:c>
      <x:c r="F131" s="66" t="n">
        <x:f>IF(A131="","",SUMIF('Portfolio Inputs'!B8:B289,A131,'Portfolio Inputs'!D8:D289))</x:f>
        <x:v>1182000</x:v>
      </x:c>
      <x:c r="G131" s="65" t="n">
        <x:f>IF(A131="","",COUNTIF('Portfolio Inputs'!B8:B289,A131))</x:f>
        <x:v>1</x:v>
      </x:c>
      <x:c r="H131" s="75" t="n">
        <x:f>IF(Portfolio_Par&gt;0,F131/Portfolio_Par,"")</x:f>
        <x:v>0.00394</x:v>
      </x:c>
      <x:c r="I131" s="196" t="n">
        <x:f>IF(Portfolio_Par&gt;0,H131^2,"")</x:f>
        <x:v>0.000015523599999999998</x:v>
      </x:c>
    </x:row>
    <x:row r="132" ht="21" customHeight="1">
      <x:c r="A132" s="28" t="str">
        <x:v>SYN-OB-0137</x:v>
      </x:c>
      <x:c r="B132" s="28" t="str">
        <x:v>Harbor Inc. 137</x:v>
      </x:c>
      <x:c r="C132" s="28" t="str">
        <x:v>BB-</x:v>
      </x:c>
      <x:c r="D132" s="28" t="str">
        <x:v>Hotels, Restaurants &amp; Leisure</x:v>
      </x:c>
      <x:c r="E132" s="28" t="str">
        <x:v>United States</x:v>
      </x:c>
      <x:c r="F132" s="66" t="n">
        <x:f>IF(A132="","",SUMIF('Portfolio Inputs'!B8:B289,A132,'Portfolio Inputs'!D8:D289))</x:f>
        <x:v>1182000</x:v>
      </x:c>
      <x:c r="G132" s="65" t="n">
        <x:f>IF(A132="","",COUNTIF('Portfolio Inputs'!B8:B289,A132))</x:f>
        <x:v>1</x:v>
      </x:c>
      <x:c r="H132" s="75" t="n">
        <x:f>IF(Portfolio_Par&gt;0,F132/Portfolio_Par,"")</x:f>
        <x:v>0.00394</x:v>
      </x:c>
      <x:c r="I132" s="196" t="n">
        <x:f>IF(Portfolio_Par&gt;0,H132^2,"")</x:f>
        <x:v>0.000015523599999999998</x:v>
      </x:c>
    </x:row>
    <x:row r="133" ht="21" customHeight="1">
      <x:c r="A133" s="28" t="str">
        <x:v>SYN-OB-0138</x:v>
      </x:c>
      <x:c r="B133" s="28" t="str">
        <x:v>Hawthorne Corp. 138</x:v>
      </x:c>
      <x:c r="C133" s="28" t="str">
        <x:v>B</x:v>
      </x:c>
      <x:c r="D133" s="28" t="str">
        <x:v>Auto Components</x:v>
      </x:c>
      <x:c r="E133" s="28" t="str">
        <x:v>United States</x:v>
      </x:c>
      <x:c r="F133" s="66" t="n">
        <x:f>IF(A133="","",SUMIF('Portfolio Inputs'!B8:B289,A133,'Portfolio Inputs'!D8:D289))</x:f>
        <x:v>1182000</x:v>
      </x:c>
      <x:c r="G133" s="65" t="n">
        <x:f>IF(A133="","",COUNTIF('Portfolio Inputs'!B8:B289,A133))</x:f>
        <x:v>1</x:v>
      </x:c>
      <x:c r="H133" s="75" t="n">
        <x:f>IF(Portfolio_Par&gt;0,F133/Portfolio_Par,"")</x:f>
        <x:v>0.00394</x:v>
      </x:c>
      <x:c r="I133" s="196" t="n">
        <x:f>IF(Portfolio_Par&gt;0,H133^2,"")</x:f>
        <x:v>0.000015523599999999998</x:v>
      </x:c>
    </x:row>
    <x:row r="134" ht="21" customHeight="1">
      <x:c r="A134" s="28" t="str">
        <x:v>SYN-OB-0140</x:v>
      </x:c>
      <x:c r="B134" s="28" t="str">
        <x:v>Ironwood LLC 140</x:v>
      </x:c>
      <x:c r="C134" s="28" t="str">
        <x:v>B</x:v>
      </x:c>
      <x:c r="D134" s="28" t="str">
        <x:v>Healthcare Providers &amp; Services</x:v>
      </x:c>
      <x:c r="E134" s="28" t="str">
        <x:v>United States</x:v>
      </x:c>
      <x:c r="F134" s="66" t="n">
        <x:f>IF(A134="","",SUMIF('Portfolio Inputs'!B8:B289,A134,'Portfolio Inputs'!D8:D289))</x:f>
        <x:v>1182000</x:v>
      </x:c>
      <x:c r="G134" s="65" t="n">
        <x:f>IF(A134="","",COUNTIF('Portfolio Inputs'!B8:B289,A134))</x:f>
        <x:v>1</x:v>
      </x:c>
      <x:c r="H134" s="75" t="n">
        <x:f>IF(Portfolio_Par&gt;0,F134/Portfolio_Par,"")</x:f>
        <x:v>0.00394</x:v>
      </x:c>
      <x:c r="I134" s="196" t="n">
        <x:f>IF(Portfolio_Par&gt;0,H134^2,"")</x:f>
        <x:v>0.000015523599999999998</x:v>
      </x:c>
    </x:row>
    <x:row r="135" ht="21" customHeight="1">
      <x:c r="A135" s="28" t="str">
        <x:v>SYN-OB-0141</x:v>
      </x:c>
      <x:c r="B135" s="28" t="str">
        <x:v>Juniper Holdings 141</x:v>
      </x:c>
      <x:c r="C135" s="28" t="str">
        <x:v>B+</x:v>
      </x:c>
      <x:c r="D135" s="28" t="str">
        <x:v>Passenger airlines</x:v>
      </x:c>
      <x:c r="E135" s="28" t="str">
        <x:v>United States</x:v>
      </x:c>
      <x:c r="F135" s="66" t="n">
        <x:f>IF(A135="","",SUMIF('Portfolio Inputs'!B8:B289,A135,'Portfolio Inputs'!D8:D289))</x:f>
        <x:v>1182000</x:v>
      </x:c>
      <x:c r="G135" s="65" t="n">
        <x:f>IF(A135="","",COUNTIF('Portfolio Inputs'!B8:B289,A135))</x:f>
        <x:v>1</x:v>
      </x:c>
      <x:c r="H135" s="75" t="n">
        <x:f>IF(Portfolio_Par&gt;0,F135/Portfolio_Par,"")</x:f>
        <x:v>0.00394</x:v>
      </x:c>
      <x:c r="I135" s="196" t="n">
        <x:f>IF(Portfolio_Par&gt;0,H135^2,"")</x:f>
        <x:v>0.000015523599999999998</x:v>
      </x:c>
    </x:row>
    <x:row r="136" ht="21" customHeight="1">
      <x:c r="A136" s="28" t="str">
        <x:v>SYN-OB-0142</x:v>
      </x:c>
      <x:c r="B136" s="28" t="str">
        <x:v>Keystone Inc. 142</x:v>
      </x:c>
      <x:c r="C136" s="28" t="str">
        <x:v>B-</x:v>
      </x:c>
      <x:c r="D136" s="28" t="str">
        <x:v>Containers &amp; Packaging</x:v>
      </x:c>
      <x:c r="E136" s="28" t="str">
        <x:v>United States</x:v>
      </x:c>
      <x:c r="F136" s="66" t="n">
        <x:f>IF(A136="","",SUMIF('Portfolio Inputs'!B8:B289,A136,'Portfolio Inputs'!D8:D289))</x:f>
        <x:v>1182000</x:v>
      </x:c>
      <x:c r="G136" s="65" t="n">
        <x:f>IF(A136="","",COUNTIF('Portfolio Inputs'!B8:B289,A136))</x:f>
        <x:v>1</x:v>
      </x:c>
      <x:c r="H136" s="75" t="n">
        <x:f>IF(Portfolio_Par&gt;0,F136/Portfolio_Par,"")</x:f>
        <x:v>0.00394</x:v>
      </x:c>
      <x:c r="I136" s="196" t="n">
        <x:f>IF(Portfolio_Par&gt;0,H136^2,"")</x:f>
        <x:v>0.000015523599999999998</x:v>
      </x:c>
    </x:row>
    <x:row r="137" ht="21" customHeight="1">
      <x:c r="A137" s="28" t="str">
        <x:v>SYN-OB-0144</x:v>
      </x:c>
      <x:c r="B137" s="28" t="str">
        <x:v>Larkspur Group 144</x:v>
      </x:c>
      <x:c r="C137" s="28" t="str">
        <x:v>B</x:v>
      </x:c>
      <x:c r="D137" s="28" t="str">
        <x:v>Diversified Consumer Services</x:v>
      </x:c>
      <x:c r="E137" s="28" t="str">
        <x:v>United States</x:v>
      </x:c>
      <x:c r="F137" s="66" t="n">
        <x:f>IF(A137="","",SUMIF('Portfolio Inputs'!B8:B289,A137,'Portfolio Inputs'!D8:D289))</x:f>
        <x:v>1182000</x:v>
      </x:c>
      <x:c r="G137" s="65" t="n">
        <x:f>IF(A137="","",COUNTIF('Portfolio Inputs'!B8:B289,A137))</x:f>
        <x:v>1</x:v>
      </x:c>
      <x:c r="H137" s="75" t="n">
        <x:f>IF(Portfolio_Par&gt;0,F137/Portfolio_Par,"")</x:f>
        <x:v>0.00394</x:v>
      </x:c>
      <x:c r="I137" s="196" t="n">
        <x:f>IF(Portfolio_Par&gt;0,H137^2,"")</x:f>
        <x:v>0.000015523599999999998</x:v>
      </x:c>
    </x:row>
    <x:row r="138" ht="21" customHeight="1">
      <x:c r="A138" s="28" t="str">
        <x:v>SYN-OB-0145</x:v>
      </x:c>
      <x:c r="B138" s="28" t="str">
        <x:v>Maple LLC 145</x:v>
      </x:c>
      <x:c r="C138" s="28" t="str">
        <x:v>B+</x:v>
      </x:c>
      <x:c r="D138" s="28" t="str">
        <x:v>Passenger airlines</x:v>
      </x:c>
      <x:c r="E138" s="28" t="str">
        <x:v>United States</x:v>
      </x:c>
      <x:c r="F138" s="66" t="n">
        <x:f>IF(A138="","",SUMIF('Portfolio Inputs'!B8:B289,A138,'Portfolio Inputs'!D8:D289))</x:f>
        <x:v>1182000</x:v>
      </x:c>
      <x:c r="G138" s="65" t="n">
        <x:f>IF(A138="","",COUNTIF('Portfolio Inputs'!B8:B289,A138))</x:f>
        <x:v>1</x:v>
      </x:c>
      <x:c r="H138" s="75" t="n">
        <x:f>IF(Portfolio_Par&gt;0,F138/Portfolio_Par,"")</x:f>
        <x:v>0.00394</x:v>
      </x:c>
      <x:c r="I138" s="196" t="n">
        <x:f>IF(Portfolio_Par&gt;0,H138^2,"")</x:f>
        <x:v>0.000015523599999999998</x:v>
      </x:c>
    </x:row>
    <x:row r="139" ht="21" customHeight="1">
      <x:c r="A139" s="28" t="str">
        <x:v>SYN-OB-0147</x:v>
      </x:c>
      <x:c r="B139" s="28" t="str">
        <x:v>Northfield Inc. 147</x:v>
      </x:c>
      <x:c r="C139" s="28" t="str">
        <x:v>B</x:v>
      </x:c>
      <x:c r="D139" s="28" t="str">
        <x:v>Healthcare Providers &amp; Services</x:v>
      </x:c>
      <x:c r="E139" s="28" t="str">
        <x:v>United States</x:v>
      </x:c>
      <x:c r="F139" s="66" t="n">
        <x:f>IF(A139="","",SUMIF('Portfolio Inputs'!B8:B289,A139,'Portfolio Inputs'!D8:D289))</x:f>
        <x:v>1182000</x:v>
      </x:c>
      <x:c r="G139" s="65" t="n">
        <x:f>IF(A139="","",COUNTIF('Portfolio Inputs'!B8:B289,A139))</x:f>
        <x:v>1</x:v>
      </x:c>
      <x:c r="H139" s="75" t="n">
        <x:f>IF(Portfolio_Par&gt;0,F139/Portfolio_Par,"")</x:f>
        <x:v>0.00394</x:v>
      </x:c>
      <x:c r="I139" s="196" t="n">
        <x:f>IF(Portfolio_Par&gt;0,H139^2,"")</x:f>
        <x:v>0.000015523599999999998</x:v>
      </x:c>
    </x:row>
    <x:row r="140" ht="21" customHeight="1">
      <x:c r="A140" s="28" t="str">
        <x:v>SYN-OB-0148</x:v>
      </x:c>
      <x:c r="B140" s="28" t="str">
        <x:v>Oakmont Corp. 148</x:v>
      </x:c>
      <x:c r="C140" s="28" t="str">
        <x:v>B</x:v>
      </x:c>
      <x:c r="D140" s="28" t="str">
        <x:v>Financial services</x:v>
      </x:c>
      <x:c r="E140" s="28" t="str">
        <x:v>United States</x:v>
      </x:c>
      <x:c r="F140" s="66" t="n">
        <x:f>IF(A140="","",SUMIF('Portfolio Inputs'!B8:B289,A140,'Portfolio Inputs'!D8:D289))</x:f>
        <x:v>1182000</x:v>
      </x:c>
      <x:c r="G140" s="65" t="n">
        <x:f>IF(A140="","",COUNTIF('Portfolio Inputs'!B8:B289,A140))</x:f>
        <x:v>1</x:v>
      </x:c>
      <x:c r="H140" s="75" t="n">
        <x:f>IF(Portfolio_Par&gt;0,F140/Portfolio_Par,"")</x:f>
        <x:v>0.00394</x:v>
      </x:c>
      <x:c r="I140" s="196" t="n">
        <x:f>IF(Portfolio_Par&gt;0,H140^2,"")</x:f>
        <x:v>0.000015523599999999998</x:v>
      </x:c>
    </x:row>
    <x:row r="141" ht="21" customHeight="1">
      <x:c r="A141" s="28" t="str">
        <x:v>SYN-OB-0149</x:v>
      </x:c>
      <x:c r="B141" s="28" t="str">
        <x:v>Orchard Group 149</x:v>
      </x:c>
      <x:c r="C141" s="28" t="str">
        <x:v>B-</x:v>
      </x:c>
      <x:c r="D141" s="28" t="str">
        <x:v>Financial services</x:v>
      </x:c>
      <x:c r="E141" s="28" t="str">
        <x:v>United Kingdom</x:v>
      </x:c>
      <x:c r="F141" s="66" t="n">
        <x:f>IF(A141="","",SUMIF('Portfolio Inputs'!B8:B289,A141,'Portfolio Inputs'!D8:D289))</x:f>
        <x:v>1182000</x:v>
      </x:c>
      <x:c r="G141" s="65" t="n">
        <x:f>IF(A141="","",COUNTIF('Portfolio Inputs'!B8:B289,A141))</x:f>
        <x:v>1</x:v>
      </x:c>
      <x:c r="H141" s="75" t="n">
        <x:f>IF(Portfolio_Par&gt;0,F141/Portfolio_Par,"")</x:f>
        <x:v>0.00394</x:v>
      </x:c>
      <x:c r="I141" s="196" t="n">
        <x:f>IF(Portfolio_Par&gt;0,H141^2,"")</x:f>
        <x:v>0.000015523599999999998</x:v>
      </x:c>
    </x:row>
    <x:row r="142" ht="21" customHeight="1">
      <x:c r="A142" s="28" t="str">
        <x:v>SYN-OB-0150</x:v>
      </x:c>
      <x:c r="B142" s="28" t="str">
        <x:v>Pinecrest LLC 150</x:v>
      </x:c>
      <x:c r="C142" s="28" t="str">
        <x:v>BB-</x:v>
      </x:c>
      <x:c r="D142" s="28" t="str">
        <x:v>Professional Services</x:v>
      </x:c>
      <x:c r="E142" s="28" t="str">
        <x:v>United States</x:v>
      </x:c>
      <x:c r="F142" s="66" t="n">
        <x:f>IF(A142="","",SUMIF('Portfolio Inputs'!B8:B289,A142,'Portfolio Inputs'!D8:D289))</x:f>
        <x:v>1182000</x:v>
      </x:c>
      <x:c r="G142" s="65" t="n">
        <x:f>IF(A142="","",COUNTIF('Portfolio Inputs'!B8:B289,A142))</x:f>
        <x:v>1</x:v>
      </x:c>
      <x:c r="H142" s="75" t="n">
        <x:f>IF(Portfolio_Par&gt;0,F142/Portfolio_Par,"")</x:f>
        <x:v>0.00394</x:v>
      </x:c>
      <x:c r="I142" s="196" t="n">
        <x:f>IF(Portfolio_Par&gt;0,H142^2,"")</x:f>
        <x:v>0.000015523599999999998</x:v>
      </x:c>
    </x:row>
    <x:row r="143" ht="21" customHeight="1">
      <x:c r="A143" s="28" t="str">
        <x:v>SYN-OB-0151</x:v>
      </x:c>
      <x:c r="B143" s="28" t="str">
        <x:v>Redwood Holdings 151</x:v>
      </x:c>
      <x:c r="C143" s="28" t="str">
        <x:v>B</x:v>
      </x:c>
      <x:c r="D143" s="28" t="str">
        <x:v>Aerospace &amp; Defense</x:v>
      </x:c>
      <x:c r="E143" s="28" t="str">
        <x:v>United States</x:v>
      </x:c>
      <x:c r="F143" s="66" t="n">
        <x:f>IF(A143="","",SUMIF('Portfolio Inputs'!B8:B289,A143,'Portfolio Inputs'!D8:D289))</x:f>
        <x:v>1182000</x:v>
      </x:c>
      <x:c r="G143" s="65" t="n">
        <x:f>IF(A143="","",COUNTIF('Portfolio Inputs'!B8:B289,A143))</x:f>
        <x:v>1</x:v>
      </x:c>
      <x:c r="H143" s="75" t="n">
        <x:f>IF(Portfolio_Par&gt;0,F143/Portfolio_Par,"")</x:f>
        <x:v>0.00394</x:v>
      </x:c>
      <x:c r="I143" s="196" t="n">
        <x:f>IF(Portfolio_Par&gt;0,H143^2,"")</x:f>
        <x:v>0.000015523599999999998</x:v>
      </x:c>
    </x:row>
    <x:row r="144" ht="21" customHeight="1">
      <x:c r="A144" s="28" t="str">
        <x:v>SYN-OB-0152</x:v>
      </x:c>
      <x:c r="B144" s="28" t="str">
        <x:v>Riverton Inc. 152</x:v>
      </x:c>
      <x:c r="C144" s="28" t="str">
        <x:v>BB</x:v>
      </x:c>
      <x:c r="D144" s="28" t="str">
        <x:v>Transportation Infrastructure</x:v>
      </x:c>
      <x:c r="E144" s="28" t="str">
        <x:v>United States</x:v>
      </x:c>
      <x:c r="F144" s="66" t="n">
        <x:f>IF(A144="","",SUMIF('Portfolio Inputs'!B8:B289,A144,'Portfolio Inputs'!D8:D289))</x:f>
        <x:v>1182000</x:v>
      </x:c>
      <x:c r="G144" s="65" t="n">
        <x:f>IF(A144="","",COUNTIF('Portfolio Inputs'!B8:B289,A144))</x:f>
        <x:v>1</x:v>
      </x:c>
      <x:c r="H144" s="75" t="n">
        <x:f>IF(Portfolio_Par&gt;0,F144/Portfolio_Par,"")</x:f>
        <x:v>0.00394</x:v>
      </x:c>
      <x:c r="I144" s="196" t="n">
        <x:f>IF(Portfolio_Par&gt;0,H144^2,"")</x:f>
        <x:v>0.000015523599999999998</x:v>
      </x:c>
    </x:row>
    <x:row r="145" ht="21" customHeight="1">
      <x:c r="A145" s="28" t="str">
        <x:v>SYN-OB-0153</x:v>
      </x:c>
      <x:c r="B145" s="28" t="str">
        <x:v>Silver Corp. 153</x:v>
      </x:c>
      <x:c r="C145" s="28" t="str">
        <x:v>B</x:v>
      </x:c>
      <x:c r="D145" s="28" t="str">
        <x:v>Chemicals</x:v>
      </x:c>
      <x:c r="E145" s="28" t="str">
        <x:v>Netherlands</x:v>
      </x:c>
      <x:c r="F145" s="66" t="n">
        <x:f>IF(A145="","",SUMIF('Portfolio Inputs'!B8:B289,A145,'Portfolio Inputs'!D8:D289))</x:f>
        <x:v>1182000</x:v>
      </x:c>
      <x:c r="G145" s="65" t="n">
        <x:f>IF(A145="","",COUNTIF('Portfolio Inputs'!B8:B289,A145))</x:f>
        <x:v>1</x:v>
      </x:c>
      <x:c r="H145" s="75" t="n">
        <x:f>IF(Portfolio_Par&gt;0,F145/Portfolio_Par,"")</x:f>
        <x:v>0.00394</x:v>
      </x:c>
      <x:c r="I145" s="196" t="n">
        <x:f>IF(Portfolio_Par&gt;0,H145^2,"")</x:f>
        <x:v>0.000015523599999999998</x:v>
      </x:c>
    </x:row>
    <x:row r="146" ht="21" customHeight="1">
      <x:c r="A146" s="28" t="str">
        <x:v>SYN-OB-0154</x:v>
      </x:c>
      <x:c r="B146" s="28" t="str">
        <x:v>Stonebridge Group 154</x:v>
      </x:c>
      <x:c r="C146" s="28" t="str">
        <x:v>BB-</x:v>
      </x:c>
      <x:c r="D146" s="28" t="str">
        <x:v>Household Durables</x:v>
      </x:c>
      <x:c r="E146" s="28" t="str">
        <x:v>United States</x:v>
      </x:c>
      <x:c r="F146" s="66" t="n">
        <x:f>IF(A146="","",SUMIF('Portfolio Inputs'!B8:B289,A146,'Portfolio Inputs'!D8:D289))</x:f>
        <x:v>1182000</x:v>
      </x:c>
      <x:c r="G146" s="65" t="n">
        <x:f>IF(A146="","",COUNTIF('Portfolio Inputs'!B8:B289,A146))</x:f>
        <x:v>1</x:v>
      </x:c>
      <x:c r="H146" s="75" t="n">
        <x:f>IF(Portfolio_Par&gt;0,F146/Portfolio_Par,"")</x:f>
        <x:v>0.00394</x:v>
      </x:c>
      <x:c r="I146" s="196" t="n">
        <x:f>IF(Portfolio_Par&gt;0,H146^2,"")</x:f>
        <x:v>0.000015523599999999998</x:v>
      </x:c>
    </x:row>
    <x:row r="147" ht="21" customHeight="1">
      <x:c r="A147" s="28" t="str">
        <x:v>SYN-OB-0155</x:v>
      </x:c>
      <x:c r="B147" s="28" t="str">
        <x:v>Summit LLC 155</x:v>
      </x:c>
      <x:c r="C147" s="28" t="str">
        <x:v>B</x:v>
      </x:c>
      <x:c r="D147" s="28" t="str">
        <x:v>Healthcare Equipment &amp; Supplies</x:v>
      </x:c>
      <x:c r="E147" s="28" t="str">
        <x:v>United States</x:v>
      </x:c>
      <x:c r="F147" s="66" t="n">
        <x:f>IF(A147="","",SUMIF('Portfolio Inputs'!B8:B289,A147,'Portfolio Inputs'!D8:D289))</x:f>
        <x:v>1182000</x:v>
      </x:c>
      <x:c r="G147" s="65" t="n">
        <x:f>IF(A147="","",COUNTIF('Portfolio Inputs'!B8:B289,A147))</x:f>
        <x:v>1</x:v>
      </x:c>
      <x:c r="H147" s="75" t="n">
        <x:f>IF(Portfolio_Par&gt;0,F147/Portfolio_Par,"")</x:f>
        <x:v>0.00394</x:v>
      </x:c>
      <x:c r="I147" s="196" t="n">
        <x:f>IF(Portfolio_Par&gt;0,H147^2,"")</x:f>
        <x:v>0.000015523599999999998</x:v>
      </x:c>
    </x:row>
    <x:row r="148" ht="21" customHeight="1">
      <x:c r="A148" s="28" t="str">
        <x:v>SYN-OB-0156</x:v>
      </x:c>
      <x:c r="B148" s="28" t="str">
        <x:v>Timber Holdings 156</x:v>
      </x:c>
      <x:c r="C148" s="28" t="str">
        <x:v>BB</x:v>
      </x:c>
      <x:c r="D148" s="28" t="str">
        <x:v>Machinery</x:v>
      </x:c>
      <x:c r="E148" s="28" t="str">
        <x:v>United States</x:v>
      </x:c>
      <x:c r="F148" s="66" t="n">
        <x:f>IF(A148="","",SUMIF('Portfolio Inputs'!B8:B289,A148,'Portfolio Inputs'!D8:D289))</x:f>
        <x:v>1182000</x:v>
      </x:c>
      <x:c r="G148" s="65" t="n">
        <x:f>IF(A148="","",COUNTIF('Portfolio Inputs'!B8:B289,A148))</x:f>
        <x:v>1</x:v>
      </x:c>
      <x:c r="H148" s="75" t="n">
        <x:f>IF(Portfolio_Par&gt;0,F148/Portfolio_Par,"")</x:f>
        <x:v>0.00394</x:v>
      </x:c>
      <x:c r="I148" s="196" t="n">
        <x:f>IF(Portfolio_Par&gt;0,H148^2,"")</x:f>
        <x:v>0.000015523599999999998</x:v>
      </x:c>
    </x:row>
    <x:row r="149" ht="21" customHeight="1">
      <x:c r="A149" s="28" t="str">
        <x:v>SYN-OB-0157</x:v>
      </x:c>
      <x:c r="B149" s="28" t="str">
        <x:v>Westhaven Inc. 157</x:v>
      </x:c>
      <x:c r="C149" s="28" t="str">
        <x:v>BB-</x:v>
      </x:c>
      <x:c r="D149" s="28" t="str">
        <x:v>Automobiles</x:v>
      </x:c>
      <x:c r="E149" s="28" t="str">
        <x:v>United States</x:v>
      </x:c>
      <x:c r="F149" s="66" t="n">
        <x:f>IF(A149="","",SUMIF('Portfolio Inputs'!B8:B289,A149,'Portfolio Inputs'!D8:D289))</x:f>
        <x:v>1182000</x:v>
      </x:c>
      <x:c r="G149" s="65" t="n">
        <x:f>IF(A149="","",COUNTIF('Portfolio Inputs'!B8:B289,A149))</x:f>
        <x:v>1</x:v>
      </x:c>
      <x:c r="H149" s="75" t="n">
        <x:f>IF(Portfolio_Par&gt;0,F149/Portfolio_Par,"")</x:f>
        <x:v>0.00394</x:v>
      </x:c>
      <x:c r="I149" s="196" t="n">
        <x:f>IF(Portfolio_Par&gt;0,H149^2,"")</x:f>
        <x:v>0.000015523599999999998</x:v>
      </x:c>
    </x:row>
    <x:row r="150" ht="21" customHeight="1">
      <x:c r="A150" s="28" t="str">
        <x:v>SYN-OB-0158</x:v>
      </x:c>
      <x:c r="B150" s="28" t="str">
        <x:v>Willow Corp. 158</x:v>
      </x:c>
      <x:c r="C150" s="28" t="str">
        <x:v>BB</x:v>
      </x:c>
      <x:c r="D150" s="28" t="str">
        <x:v>Banks</x:v>
      </x:c>
      <x:c r="E150" s="28" t="str">
        <x:v>United States</x:v>
      </x:c>
      <x:c r="F150" s="66" t="n">
        <x:f>IF(A150="","",SUMIF('Portfolio Inputs'!B8:B289,A150,'Portfolio Inputs'!D8:D289))</x:f>
        <x:v>1182000</x:v>
      </x:c>
      <x:c r="G150" s="65" t="n">
        <x:f>IF(A150="","",COUNTIF('Portfolio Inputs'!B8:B289,A150))</x:f>
        <x:v>1</x:v>
      </x:c>
      <x:c r="H150" s="75" t="n">
        <x:f>IF(Portfolio_Par&gt;0,F150/Portfolio_Par,"")</x:f>
        <x:v>0.00394</x:v>
      </x:c>
      <x:c r="I150" s="196" t="n">
        <x:f>IF(Portfolio_Par&gt;0,H150^2,"")</x:f>
        <x:v>0.000015523599999999998</x:v>
      </x:c>
    </x:row>
    <x:row r="151" ht="21" customHeight="1">
      <x:c r="A151" s="28" t="str">
        <x:v>SYN-OB-0159</x:v>
      </x:c>
      <x:c r="B151" s="28" t="str">
        <x:v>Windward Group 159</x:v>
      </x:c>
      <x:c r="C151" s="28" t="str">
        <x:v>B</x:v>
      </x:c>
      <x:c r="D151" s="28" t="str">
        <x:v>Chemicals</x:v>
      </x:c>
      <x:c r="E151" s="28" t="str">
        <x:v>United States</x:v>
      </x:c>
      <x:c r="F151" s="66" t="n">
        <x:f>IF(A151="","",SUMIF('Portfolio Inputs'!B8:B289,A151,'Portfolio Inputs'!D8:D289))</x:f>
        <x:v>1182000</x:v>
      </x:c>
      <x:c r="G151" s="65" t="n">
        <x:f>IF(A151="","",COUNTIF('Portfolio Inputs'!B8:B289,A151))</x:f>
        <x:v>1</x:v>
      </x:c>
      <x:c r="H151" s="75" t="n">
        <x:f>IF(Portfolio_Par&gt;0,F151/Portfolio_Par,"")</x:f>
        <x:v>0.00394</x:v>
      </x:c>
      <x:c r="I151" s="196" t="n">
        <x:f>IF(Portfolio_Par&gt;0,H151^2,"")</x:f>
        <x:v>0.000015523599999999998</x:v>
      </x:c>
    </x:row>
    <x:row r="152" ht="21" customHeight="1">
      <x:c r="A152" s="28" t="str">
        <x:v>SYN-OB-0161</x:v>
      </x:c>
      <x:c r="B152" s="28" t="str">
        <x:v>Alder Holdings 161</x:v>
      </x:c>
      <x:c r="C152" s="28" t="str">
        <x:v>B</x:v>
      </x:c>
      <x:c r="D152" s="28" t="str">
        <x:v>IT Services</x:v>
      </x:c>
      <x:c r="E152" s="28" t="str">
        <x:v>United States</x:v>
      </x:c>
      <x:c r="F152" s="66" t="n">
        <x:f>IF(A152="","",SUMIF('Portfolio Inputs'!B8:B289,A152,'Portfolio Inputs'!D8:D289))</x:f>
        <x:v>1182000</x:v>
      </x:c>
      <x:c r="G152" s="65" t="n">
        <x:f>IF(A152="","",COUNTIF('Portfolio Inputs'!B8:B289,A152))</x:f>
        <x:v>1</x:v>
      </x:c>
      <x:c r="H152" s="75" t="n">
        <x:f>IF(Portfolio_Par&gt;0,F152/Portfolio_Par,"")</x:f>
        <x:v>0.00394</x:v>
      </x:c>
      <x:c r="I152" s="196" t="n">
        <x:f>IF(Portfolio_Par&gt;0,H152^2,"")</x:f>
        <x:v>0.000015523599999999998</x:v>
      </x:c>
    </x:row>
    <x:row r="153" ht="21" customHeight="1">
      <x:c r="A153" s="28" t="str">
        <x:v>SYN-OB-0163</x:v>
      </x:c>
      <x:c r="B153" s="28" t="str">
        <x:v>Arbor Corp. 163</x:v>
      </x:c>
      <x:c r="C153" s="28" t="str">
        <x:v>B+</x:v>
      </x:c>
      <x:c r="D153" s="28" t="str">
        <x:v>Capital Markets</x:v>
      </x:c>
      <x:c r="E153" s="28" t="str">
        <x:v>United States</x:v>
      </x:c>
      <x:c r="F153" s="66" t="n">
        <x:f>IF(A153="","",SUMIF('Portfolio Inputs'!B8:B289,A153,'Portfolio Inputs'!D8:D289))</x:f>
        <x:v>1182000</x:v>
      </x:c>
      <x:c r="G153" s="65" t="n">
        <x:f>IF(A153="","",COUNTIF('Portfolio Inputs'!B8:B289,A153))</x:f>
        <x:v>2</x:v>
      </x:c>
      <x:c r="H153" s="75" t="n">
        <x:f>IF(Portfolio_Par&gt;0,F153/Portfolio_Par,"")</x:f>
        <x:v>0.00394</x:v>
      </x:c>
      <x:c r="I153" s="196" t="n">
        <x:f>IF(Portfolio_Par&gt;0,H153^2,"")</x:f>
        <x:v>0.000015523599999999998</x:v>
      </x:c>
    </x:row>
    <x:row r="154" ht="21" customHeight="1">
      <x:c r="A154" s="28" t="str">
        <x:v>SYN-OB-0164</x:v>
      </x:c>
      <x:c r="B154" s="28" t="str">
        <x:v>Atlas Group 164</x:v>
      </x:c>
      <x:c r="C154" s="28" t="str">
        <x:v>B-</x:v>
      </x:c>
      <x:c r="D154" s="28" t="str">
        <x:v>Transportation Infrastructure</x:v>
      </x:c>
      <x:c r="E154" s="28" t="str">
        <x:v>United States</x:v>
      </x:c>
      <x:c r="F154" s="66" t="n">
        <x:f>IF(A154="","",SUMIF('Portfolio Inputs'!B8:B289,A154,'Portfolio Inputs'!D8:D289))</x:f>
        <x:v>1182000</x:v>
      </x:c>
      <x:c r="G154" s="65" t="n">
        <x:f>IF(A154="","",COUNTIF('Portfolio Inputs'!B8:B289,A154))</x:f>
        <x:v>1</x:v>
      </x:c>
      <x:c r="H154" s="75" t="n">
        <x:f>IF(Portfolio_Par&gt;0,F154/Portfolio_Par,"")</x:f>
        <x:v>0.00394</x:v>
      </x:c>
      <x:c r="I154" s="196" t="n">
        <x:f>IF(Portfolio_Par&gt;0,H154^2,"")</x:f>
        <x:v>0.000015523599999999998</x:v>
      </x:c>
    </x:row>
    <x:row r="155" ht="21" customHeight="1">
      <x:c r="A155" s="28" t="str">
        <x:v>SYN-OB-0165</x:v>
      </x:c>
      <x:c r="B155" s="28" t="str">
        <x:v>Beacon LLC 165</x:v>
      </x:c>
      <x:c r="C155" s="28" t="str">
        <x:v>B-</x:v>
      </x:c>
      <x:c r="D155" s="28" t="str">
        <x:v>Financial services</x:v>
      </x:c>
      <x:c r="E155" s="28" t="str">
        <x:v>United States</x:v>
      </x:c>
      <x:c r="F155" s="66" t="n">
        <x:f>IF(A155="","",SUMIF('Portfolio Inputs'!B8:B289,A155,'Portfolio Inputs'!D8:D289))</x:f>
        <x:v>1182000</x:v>
      </x:c>
      <x:c r="G155" s="65" t="n">
        <x:f>IF(A155="","",COUNTIF('Portfolio Inputs'!B8:B289,A155))</x:f>
        <x:v>1</x:v>
      </x:c>
      <x:c r="H155" s="75" t="n">
        <x:f>IF(Portfolio_Par&gt;0,F155/Portfolio_Par,"")</x:f>
        <x:v>0.00394</x:v>
      </x:c>
      <x:c r="I155" s="196" t="n">
        <x:f>IF(Portfolio_Par&gt;0,H155^2,"")</x:f>
        <x:v>0.000015523599999999998</x:v>
      </x:c>
    </x:row>
    <x:row r="156" ht="21" customHeight="1">
      <x:c r="A156" s="28" t="str">
        <x:v>SYN-OB-0167</x:v>
      </x:c>
      <x:c r="B156" s="28" t="str">
        <x:v>Bracken Inc. 167</x:v>
      </x:c>
      <x:c r="C156" s="28" t="str">
        <x:v>B-</x:v>
      </x:c>
      <x:c r="D156" s="28" t="str">
        <x:v>Technology Hardware, Storage &amp; Peripherals</x:v>
      </x:c>
      <x:c r="E156" s="28" t="str">
        <x:v>United States</x:v>
      </x:c>
      <x:c r="F156" s="66" t="n">
        <x:f>IF(A156="","",SUMIF('Portfolio Inputs'!B8:B289,A156,'Portfolio Inputs'!D8:D289))</x:f>
        <x:v>1182000</x:v>
      </x:c>
      <x:c r="G156" s="65" t="n">
        <x:f>IF(A156="","",COUNTIF('Portfolio Inputs'!B8:B289,A156))</x:f>
        <x:v>1</x:v>
      </x:c>
      <x:c r="H156" s="75" t="n">
        <x:f>IF(Portfolio_Par&gt;0,F156/Portfolio_Par,"")</x:f>
        <x:v>0.00394</x:v>
      </x:c>
      <x:c r="I156" s="196" t="n">
        <x:f>IF(Portfolio_Par&gt;0,H156^2,"")</x:f>
        <x:v>0.000015523599999999998</x:v>
      </x:c>
    </x:row>
    <x:row r="157" ht="21" customHeight="1">
      <x:c r="A157" s="28" t="str">
        <x:v>SYN-OB-0168</x:v>
      </x:c>
      <x:c r="B157" s="28" t="str">
        <x:v>Cedar Corp. 168</x:v>
      </x:c>
      <x:c r="C157" s="28" t="str">
        <x:v>B+</x:v>
      </x:c>
      <x:c r="D157" s="28" t="str">
        <x:v>Media</x:v>
      </x:c>
      <x:c r="E157" s="28" t="str">
        <x:v>United States</x:v>
      </x:c>
      <x:c r="F157" s="66" t="n">
        <x:f>IF(A157="","",SUMIF('Portfolio Inputs'!B8:B289,A157,'Portfolio Inputs'!D8:D289))</x:f>
        <x:v>1182000</x:v>
      </x:c>
      <x:c r="G157" s="65" t="n">
        <x:f>IF(A157="","",COUNTIF('Portfolio Inputs'!B8:B289,A157))</x:f>
        <x:v>1</x:v>
      </x:c>
      <x:c r="H157" s="75" t="n">
        <x:f>IF(Portfolio_Par&gt;0,F157/Portfolio_Par,"")</x:f>
        <x:v>0.00394</x:v>
      </x:c>
      <x:c r="I157" s="196" t="n">
        <x:f>IF(Portfolio_Par&gt;0,H157^2,"")</x:f>
        <x:v>0.000015523599999999998</x:v>
      </x:c>
    </x:row>
    <x:row r="158" ht="21" customHeight="1">
      <x:c r="A158" s="28" t="str">
        <x:v>SYN-OB-0169</x:v>
      </x:c>
      <x:c r="B158" s="28" t="str">
        <x:v>Cobalt Group 169</x:v>
      </x:c>
      <x:c r="C158" s="28" t="str">
        <x:v>B</x:v>
      </x:c>
      <x:c r="D158" s="28" t="str">
        <x:v>Chemicals</x:v>
      </x:c>
      <x:c r="E158" s="28" t="str">
        <x:v>United States</x:v>
      </x:c>
      <x:c r="F158" s="66" t="n">
        <x:f>IF(A158="","",SUMIF('Portfolio Inputs'!B8:B289,A158,'Portfolio Inputs'!D8:D289))</x:f>
        <x:v>1182000</x:v>
      </x:c>
      <x:c r="G158" s="65" t="n">
        <x:f>IF(A158="","",COUNTIF('Portfolio Inputs'!B8:B289,A158))</x:f>
        <x:v>1</x:v>
      </x:c>
      <x:c r="H158" s="75" t="n">
        <x:f>IF(Portfolio_Par&gt;0,F158/Portfolio_Par,"")</x:f>
        <x:v>0.00394</x:v>
      </x:c>
      <x:c r="I158" s="196" t="n">
        <x:f>IF(Portfolio_Par&gt;0,H158^2,"")</x:f>
        <x:v>0.000015523599999999998</x:v>
      </x:c>
    </x:row>
    <x:row r="159" ht="21" customHeight="1">
      <x:c r="A159" s="28" t="str">
        <x:v>SYN-OB-0170</x:v>
      </x:c>
      <x:c r="B159" s="28" t="str">
        <x:v>Copper LLC 170</x:v>
      </x:c>
      <x:c r="C159" s="28" t="str">
        <x:v>B+</x:v>
      </x:c>
      <x:c r="D159" s="28" t="str">
        <x:v>Media</x:v>
      </x:c>
      <x:c r="E159" s="28" t="str">
        <x:v>United States</x:v>
      </x:c>
      <x:c r="F159" s="66" t="n">
        <x:f>IF(A159="","",SUMIF('Portfolio Inputs'!B8:B289,A159,'Portfolio Inputs'!D8:D289))</x:f>
        <x:v>1182000</x:v>
      </x:c>
      <x:c r="G159" s="65" t="n">
        <x:f>IF(A159="","",COUNTIF('Portfolio Inputs'!B8:B289,A159))</x:f>
        <x:v>1</x:v>
      </x:c>
      <x:c r="H159" s="75" t="n">
        <x:f>IF(Portfolio_Par&gt;0,F159/Portfolio_Par,"")</x:f>
        <x:v>0.00394</x:v>
      </x:c>
      <x:c r="I159" s="196" t="n">
        <x:f>IF(Portfolio_Par&gt;0,H159^2,"")</x:f>
        <x:v>0.000015523599999999998</x:v>
      </x:c>
    </x:row>
    <x:row r="160" ht="21" customHeight="1">
      <x:c r="A160" s="28" t="str">
        <x:v>SYN-OB-0171</x:v>
      </x:c>
      <x:c r="B160" s="28" t="str">
        <x:v>Crest Holdings 171</x:v>
      </x:c>
      <x:c r="C160" s="28" t="str">
        <x:v>BB</x:v>
      </x:c>
      <x:c r="D160" s="28" t="str">
        <x:v>Household Products</x:v>
      </x:c>
      <x:c r="E160" s="28" t="str">
        <x:v>United States</x:v>
      </x:c>
      <x:c r="F160" s="66" t="n">
        <x:f>IF(A160="","",SUMIF('Portfolio Inputs'!B8:B289,A160,'Portfolio Inputs'!D8:D289))</x:f>
        <x:v>1182000</x:v>
      </x:c>
      <x:c r="G160" s="65" t="n">
        <x:f>IF(A160="","",COUNTIF('Portfolio Inputs'!B8:B289,A160))</x:f>
        <x:v>1</x:v>
      </x:c>
      <x:c r="H160" s="75" t="n">
        <x:f>IF(Portfolio_Par&gt;0,F160/Portfolio_Par,"")</x:f>
        <x:v>0.00394</x:v>
      </x:c>
      <x:c r="I160" s="196" t="n">
        <x:f>IF(Portfolio_Par&gt;0,H160^2,"")</x:f>
        <x:v>0.000015523599999999998</x:v>
      </x:c>
    </x:row>
    <x:row r="161" ht="21" customHeight="1">
      <x:c r="A161" s="28" t="str">
        <x:v>SYN-OB-0172</x:v>
      </x:c>
      <x:c r="B161" s="28" t="str">
        <x:v>Duneland Inc. 172</x:v>
      </x:c>
      <x:c r="C161" s="28" t="str">
        <x:v>B-</x:v>
      </x:c>
      <x:c r="D161" s="28" t="str">
        <x:v>Machinery</x:v>
      </x:c>
      <x:c r="E161" s="28" t="str">
        <x:v>United States</x:v>
      </x:c>
      <x:c r="F161" s="66" t="n">
        <x:f>IF(A161="","",SUMIF('Portfolio Inputs'!B8:B289,A161,'Portfolio Inputs'!D8:D289))</x:f>
        <x:v>1182000</x:v>
      </x:c>
      <x:c r="G161" s="65" t="n">
        <x:f>IF(A161="","",COUNTIF('Portfolio Inputs'!B8:B289,A161))</x:f>
        <x:v>1</x:v>
      </x:c>
      <x:c r="H161" s="75" t="n">
        <x:f>IF(Portfolio_Par&gt;0,F161/Portfolio_Par,"")</x:f>
        <x:v>0.00394</x:v>
      </x:c>
      <x:c r="I161" s="196" t="n">
        <x:f>IF(Portfolio_Par&gt;0,H161^2,"")</x:f>
        <x:v>0.000015523599999999998</x:v>
      </x:c>
    </x:row>
    <x:row r="162" ht="21" customHeight="1">
      <x:c r="A162" s="28" t="str">
        <x:v>SYN-OB-0175</x:v>
      </x:c>
      <x:c r="B162" s="28" t="str">
        <x:v>Fairhaven LLC 175</x:v>
      </x:c>
      <x:c r="C162" s="28" t="str">
        <x:v>B+</x:v>
      </x:c>
      <x:c r="D162" s="28" t="str">
        <x:v>Professional Services</x:v>
      </x:c>
      <x:c r="E162" s="28" t="str">
        <x:v>United States</x:v>
      </x:c>
      <x:c r="F162" s="66" t="n">
        <x:f>IF(A162="","",SUMIF('Portfolio Inputs'!B8:B289,A162,'Portfolio Inputs'!D8:D289))</x:f>
        <x:v>1182000</x:v>
      </x:c>
      <x:c r="G162" s="65" t="n">
        <x:f>IF(A162="","",COUNTIF('Portfolio Inputs'!B8:B289,A162))</x:f>
        <x:v>1</x:v>
      </x:c>
      <x:c r="H162" s="75" t="n">
        <x:f>IF(Portfolio_Par&gt;0,F162/Portfolio_Par,"")</x:f>
        <x:v>0.00394</x:v>
      </x:c>
      <x:c r="I162" s="196" t="n">
        <x:f>IF(Portfolio_Par&gt;0,H162^2,"")</x:f>
        <x:v>0.000015523599999999998</x:v>
      </x:c>
    </x:row>
    <x:row r="163" ht="21" customHeight="1">
      <x:c r="A163" s="28" t="str">
        <x:v>SYN-OB-0176</x:v>
      </x:c>
      <x:c r="B163" s="28" t="str">
        <x:v>Granite Holdings 176</x:v>
      </x:c>
      <x:c r="C163" s="28" t="str">
        <x:v>B+</x:v>
      </x:c>
      <x:c r="D163" s="28" t="str">
        <x:v>Electric Utilities</x:v>
      </x:c>
      <x:c r="E163" s="28" t="str">
        <x:v>United States</x:v>
      </x:c>
      <x:c r="F163" s="66" t="n">
        <x:f>IF(A163="","",SUMIF('Portfolio Inputs'!B8:B289,A163,'Portfolio Inputs'!D8:D289))</x:f>
        <x:v>1182000</x:v>
      </x:c>
      <x:c r="G163" s="65" t="n">
        <x:f>IF(A163="","",COUNTIF('Portfolio Inputs'!B8:B289,A163))</x:f>
        <x:v>1</x:v>
      </x:c>
      <x:c r="H163" s="75" t="n">
        <x:f>IF(Portfolio_Par&gt;0,F163/Portfolio_Par,"")</x:f>
        <x:v>0.00394</x:v>
      </x:c>
      <x:c r="I163" s="196" t="n">
        <x:f>IF(Portfolio_Par&gt;0,H163^2,"")</x:f>
        <x:v>0.000015523599999999998</x:v>
      </x:c>
    </x:row>
    <x:row r="164" ht="21" customHeight="1">
      <x:c r="A164" s="28" t="str">
        <x:v>SYN-OB-0177</x:v>
      </x:c>
      <x:c r="B164" s="28" t="str">
        <x:v>Harbor Inc. 177</x:v>
      </x:c>
      <x:c r="C164" s="28" t="str">
        <x:v>BB-</x:v>
      </x:c>
      <x:c r="D164" s="28" t="str">
        <x:v>Food Products</x:v>
      </x:c>
      <x:c r="E164" s="28" t="str">
        <x:v>United States</x:v>
      </x:c>
      <x:c r="F164" s="66" t="n">
        <x:f>IF(A164="","",SUMIF('Portfolio Inputs'!B8:B289,A164,'Portfolio Inputs'!D8:D289))</x:f>
        <x:v>1182000</x:v>
      </x:c>
      <x:c r="G164" s="65" t="n">
        <x:f>IF(A164="","",COUNTIF('Portfolio Inputs'!B8:B289,A164))</x:f>
        <x:v>1</x:v>
      </x:c>
      <x:c r="H164" s="75" t="n">
        <x:f>IF(Portfolio_Par&gt;0,F164/Portfolio_Par,"")</x:f>
        <x:v>0.00394</x:v>
      </x:c>
      <x:c r="I164" s="196" t="n">
        <x:f>IF(Portfolio_Par&gt;0,H164^2,"")</x:f>
        <x:v>0.000015523599999999998</x:v>
      </x:c>
    </x:row>
    <x:row r="165" ht="21" customHeight="1">
      <x:c r="A165" s="28" t="str">
        <x:v>SYN-OB-0179</x:v>
      </x:c>
      <x:c r="B165" s="28" t="str">
        <x:v>Highland Group 179</x:v>
      </x:c>
      <x:c r="C165" s="28" t="str">
        <x:v>B+</x:v>
      </x:c>
      <x:c r="D165" s="28" t="str">
        <x:v>Electric Utilities</x:v>
      </x:c>
      <x:c r="E165" s="28" t="str">
        <x:v>United States</x:v>
      </x:c>
      <x:c r="F165" s="66" t="n">
        <x:f>IF(A165="","",SUMIF('Portfolio Inputs'!B8:B289,A165,'Portfolio Inputs'!D8:D289))</x:f>
        <x:v>1182000</x:v>
      </x:c>
      <x:c r="G165" s="65" t="n">
        <x:f>IF(A165="","",COUNTIF('Portfolio Inputs'!B8:B289,A165))</x:f>
        <x:v>1</x:v>
      </x:c>
      <x:c r="H165" s="75" t="n">
        <x:f>IF(Portfolio_Par&gt;0,F165/Portfolio_Par,"")</x:f>
        <x:v>0.00394</x:v>
      </x:c>
      <x:c r="I165" s="196" t="n">
        <x:f>IF(Portfolio_Par&gt;0,H165^2,"")</x:f>
        <x:v>0.000015523599999999998</x:v>
      </x:c>
    </x:row>
    <x:row r="166" ht="21" customHeight="1">
      <x:c r="A166" s="28" t="str">
        <x:v>SYN-OB-0180</x:v>
      </x:c>
      <x:c r="B166" s="28" t="str">
        <x:v>Ironwood LLC 180</x:v>
      </x:c>
      <x:c r="C166" s="28" t="str">
        <x:v>B</x:v>
      </x:c>
      <x:c r="D166" s="28" t="str">
        <x:v>Building Products</x:v>
      </x:c>
      <x:c r="E166" s="28" t="str">
        <x:v>United States</x:v>
      </x:c>
      <x:c r="F166" s="66" t="n">
        <x:f>IF(A166="","",SUMIF('Portfolio Inputs'!B8:B289,A166,'Portfolio Inputs'!D8:D289))</x:f>
        <x:v>1182000</x:v>
      </x:c>
      <x:c r="G166" s="65" t="n">
        <x:f>IF(A166="","",COUNTIF('Portfolio Inputs'!B8:B289,A166))</x:f>
        <x:v>1</x:v>
      </x:c>
      <x:c r="H166" s="75" t="n">
        <x:f>IF(Portfolio_Par&gt;0,F166/Portfolio_Par,"")</x:f>
        <x:v>0.00394</x:v>
      </x:c>
      <x:c r="I166" s="196" t="n">
        <x:f>IF(Portfolio_Par&gt;0,H166^2,"")</x:f>
        <x:v>0.000015523599999999998</x:v>
      </x:c>
    </x:row>
    <x:row r="167" ht="21" customHeight="1">
      <x:c r="A167" s="28" t="str">
        <x:v>SYN-OB-0181</x:v>
      </x:c>
      <x:c r="B167" s="28" t="str">
        <x:v>Juniper Holdings 181</x:v>
      </x:c>
      <x:c r="C167" s="28" t="str">
        <x:v>BB-</x:v>
      </x:c>
      <x:c r="D167" s="28" t="str">
        <x:v>Hotels, Restaurants &amp; Leisure</x:v>
      </x:c>
      <x:c r="E167" s="28" t="str">
        <x:v>United States</x:v>
      </x:c>
      <x:c r="F167" s="66" t="n">
        <x:f>IF(A167="","",SUMIF('Portfolio Inputs'!B8:B289,A167,'Portfolio Inputs'!D8:D289))</x:f>
        <x:v>1182000</x:v>
      </x:c>
      <x:c r="G167" s="65" t="n">
        <x:f>IF(A167="","",COUNTIF('Portfolio Inputs'!B8:B289,A167))</x:f>
        <x:v>1</x:v>
      </x:c>
      <x:c r="H167" s="75" t="n">
        <x:f>IF(Portfolio_Par&gt;0,F167/Portfolio_Par,"")</x:f>
        <x:v>0.00394</x:v>
      </x:c>
      <x:c r="I167" s="196" t="n">
        <x:f>IF(Portfolio_Par&gt;0,H167^2,"")</x:f>
        <x:v>0.000015523599999999998</x:v>
      </x:c>
    </x:row>
    <x:row r="168" ht="21" customHeight="1">
      <x:c r="A168" s="28" t="str">
        <x:v>SYN-OB-0182</x:v>
      </x:c>
      <x:c r="B168" s="28" t="str">
        <x:v>Keystone Inc. 182</x:v>
      </x:c>
      <x:c r="C168" s="28" t="str">
        <x:v>B-</x:v>
      </x:c>
      <x:c r="D168" s="28" t="str">
        <x:v>Energy Equipment &amp; Services</x:v>
      </x:c>
      <x:c r="E168" s="28" t="str">
        <x:v>United States</x:v>
      </x:c>
      <x:c r="F168" s="66" t="n">
        <x:f>IF(A168="","",SUMIF('Portfolio Inputs'!B8:B289,A168,'Portfolio Inputs'!D8:D289))</x:f>
        <x:v>1182000</x:v>
      </x:c>
      <x:c r="G168" s="65" t="n">
        <x:f>IF(A168="","",COUNTIF('Portfolio Inputs'!B8:B289,A168))</x:f>
        <x:v>1</x:v>
      </x:c>
      <x:c r="H168" s="75" t="n">
        <x:f>IF(Portfolio_Par&gt;0,F168/Portfolio_Par,"")</x:f>
        <x:v>0.00394</x:v>
      </x:c>
      <x:c r="I168" s="196" t="n">
        <x:f>IF(Portfolio_Par&gt;0,H168^2,"")</x:f>
        <x:v>0.000015523599999999998</x:v>
      </x:c>
    </x:row>
    <x:row r="169" ht="21" customHeight="1">
      <x:c r="A169" s="28" t="str">
        <x:v>SYN-OB-0183</x:v>
      </x:c>
      <x:c r="B169" s="28" t="str">
        <x:v>Lakeview Corp. 183</x:v>
      </x:c>
      <x:c r="C169" s="28" t="str">
        <x:v>B</x:v>
      </x:c>
      <x:c r="D169" s="28" t="str">
        <x:v>Chemicals</x:v>
      </x:c>
      <x:c r="E169" s="28" t="str">
        <x:v>United States</x:v>
      </x:c>
      <x:c r="F169" s="66" t="n">
        <x:f>IF(A169="","",SUMIF('Portfolio Inputs'!B8:B289,A169,'Portfolio Inputs'!D8:D289))</x:f>
        <x:v>1182000</x:v>
      </x:c>
      <x:c r="G169" s="65" t="n">
        <x:f>IF(A169="","",COUNTIF('Portfolio Inputs'!B8:B289,A169))</x:f>
        <x:v>1</x:v>
      </x:c>
      <x:c r="H169" s="75" t="n">
        <x:f>IF(Portfolio_Par&gt;0,F169/Portfolio_Par,"")</x:f>
        <x:v>0.00394</x:v>
      </x:c>
      <x:c r="I169" s="196" t="n">
        <x:f>IF(Portfolio_Par&gt;0,H169^2,"")</x:f>
        <x:v>0.000015523599999999998</x:v>
      </x:c>
    </x:row>
    <x:row r="170" ht="21" customHeight="1">
      <x:c r="A170" s="28" t="str">
        <x:v>SYN-OB-0184</x:v>
      </x:c>
      <x:c r="B170" s="28" t="str">
        <x:v>Larkspur Group 184</x:v>
      </x:c>
      <x:c r="C170" s="28" t="str">
        <x:v>B-</x:v>
      </x:c>
      <x:c r="D170" s="28" t="str">
        <x:v>Healthcare Providers &amp; Services</x:v>
      </x:c>
      <x:c r="E170" s="28" t="str">
        <x:v>United States</x:v>
      </x:c>
      <x:c r="F170" s="66" t="n">
        <x:f>IF(A170="","",SUMIF('Portfolio Inputs'!B8:B289,A170,'Portfolio Inputs'!D8:D289))</x:f>
        <x:v>1182000</x:v>
      </x:c>
      <x:c r="G170" s="65" t="n">
        <x:f>IF(A170="","",COUNTIF('Portfolio Inputs'!B8:B289,A170))</x:f>
        <x:v>1</x:v>
      </x:c>
      <x:c r="H170" s="75" t="n">
        <x:f>IF(Portfolio_Par&gt;0,F170/Portfolio_Par,"")</x:f>
        <x:v>0.00394</x:v>
      </x:c>
      <x:c r="I170" s="196" t="n">
        <x:f>IF(Portfolio_Par&gt;0,H170^2,"")</x:f>
        <x:v>0.000015523599999999998</x:v>
      </x:c>
    </x:row>
    <x:row r="171" ht="21" customHeight="1">
      <x:c r="A171" s="28" t="str">
        <x:v>SYN-OB-0187</x:v>
      </x:c>
      <x:c r="B171" s="28" t="str">
        <x:v>Northfield Inc. 187</x:v>
      </x:c>
      <x:c r="C171" s="28" t="str">
        <x:v>B</x:v>
      </x:c>
      <x:c r="D171" s="28" t="str">
        <x:v>Healthcare Providers &amp; Services</x:v>
      </x:c>
      <x:c r="E171" s="28" t="str">
        <x:v>United States</x:v>
      </x:c>
      <x:c r="F171" s="66" t="n">
        <x:f>IF(A171="","",SUMIF('Portfolio Inputs'!B8:B289,A171,'Portfolio Inputs'!D8:D289))</x:f>
        <x:v>1182000</x:v>
      </x:c>
      <x:c r="G171" s="65" t="n">
        <x:f>IF(A171="","",COUNTIF('Portfolio Inputs'!B8:B289,A171))</x:f>
        <x:v>1</x:v>
      </x:c>
      <x:c r="H171" s="75" t="n">
        <x:f>IF(Portfolio_Par&gt;0,F171/Portfolio_Par,"")</x:f>
        <x:v>0.00394</x:v>
      </x:c>
      <x:c r="I171" s="196" t="n">
        <x:f>IF(Portfolio_Par&gt;0,H171^2,"")</x:f>
        <x:v>0.000015523599999999998</x:v>
      </x:c>
    </x:row>
    <x:row r="172" ht="21" customHeight="1">
      <x:c r="A172" s="28" t="str">
        <x:v>SYN-OB-0188</x:v>
      </x:c>
      <x:c r="B172" s="28" t="str">
        <x:v>Oakmont Corp. 188</x:v>
      </x:c>
      <x:c r="C172" s="28" t="str">
        <x:v>B</x:v>
      </x:c>
      <x:c r="D172" s="28" t="str">
        <x:v>Capital Markets</x:v>
      </x:c>
      <x:c r="E172" s="28" t="str">
        <x:v>United States</x:v>
      </x:c>
      <x:c r="F172" s="66" t="n">
        <x:f>IF(A172="","",SUMIF('Portfolio Inputs'!B8:B289,A172,'Portfolio Inputs'!D8:D289))</x:f>
        <x:v>1182000</x:v>
      </x:c>
      <x:c r="G172" s="65" t="n">
        <x:f>IF(A172="","",COUNTIF('Portfolio Inputs'!B8:B289,A172))</x:f>
        <x:v>1</x:v>
      </x:c>
      <x:c r="H172" s="75" t="n">
        <x:f>IF(Portfolio_Par&gt;0,F172/Portfolio_Par,"")</x:f>
        <x:v>0.00394</x:v>
      </x:c>
      <x:c r="I172" s="196" t="n">
        <x:f>IF(Portfolio_Par&gt;0,H172^2,"")</x:f>
        <x:v>0.000015523599999999998</x:v>
      </x:c>
    </x:row>
    <x:row r="173" ht="21" customHeight="1">
      <x:c r="A173" s="28" t="str">
        <x:v>SYN-OB-0189</x:v>
      </x:c>
      <x:c r="B173" s="28" t="str">
        <x:v>Orchard Group 189</x:v>
      </x:c>
      <x:c r="C173" s="28" t="str">
        <x:v>B+</x:v>
      </x:c>
      <x:c r="D173" s="28" t="str">
        <x:v>Media</x:v>
      </x:c>
      <x:c r="E173" s="28" t="str">
        <x:v>United States</x:v>
      </x:c>
      <x:c r="F173" s="66" t="n">
        <x:f>IF(A173="","",SUMIF('Portfolio Inputs'!B8:B289,A173,'Portfolio Inputs'!D8:D289))</x:f>
        <x:v>1182000</x:v>
      </x:c>
      <x:c r="G173" s="65" t="n">
        <x:f>IF(A173="","",COUNTIF('Portfolio Inputs'!B8:B289,A173))</x:f>
        <x:v>2</x:v>
      </x:c>
      <x:c r="H173" s="75" t="n">
        <x:f>IF(Portfolio_Par&gt;0,F173/Portfolio_Par,"")</x:f>
        <x:v>0.00394</x:v>
      </x:c>
      <x:c r="I173" s="196" t="n">
        <x:f>IF(Portfolio_Par&gt;0,H173^2,"")</x:f>
        <x:v>0.000015523599999999998</x:v>
      </x:c>
    </x:row>
    <x:row r="174" ht="21" customHeight="1">
      <x:c r="A174" s="28" t="str">
        <x:v>SYN-OB-0190</x:v>
      </x:c>
      <x:c r="B174" s="28" t="str">
        <x:v>Pinecrest LLC 190</x:v>
      </x:c>
      <x:c r="C174" s="28" t="str">
        <x:v>BB-</x:v>
      </x:c>
      <x:c r="D174" s="28" t="str">
        <x:v>Industrial Conglomerates</x:v>
      </x:c>
      <x:c r="E174" s="28" t="str">
        <x:v>United States</x:v>
      </x:c>
      <x:c r="F174" s="66" t="n">
        <x:f>IF(A174="","",SUMIF('Portfolio Inputs'!B8:B289,A174,'Portfolio Inputs'!D8:D289))</x:f>
        <x:v>1182000</x:v>
      </x:c>
      <x:c r="G174" s="65" t="n">
        <x:f>IF(A174="","",COUNTIF('Portfolio Inputs'!B8:B289,A174))</x:f>
        <x:v>1</x:v>
      </x:c>
      <x:c r="H174" s="75" t="n">
        <x:f>IF(Portfolio_Par&gt;0,F174/Portfolio_Par,"")</x:f>
        <x:v>0.00394</x:v>
      </x:c>
      <x:c r="I174" s="196" t="n">
        <x:f>IF(Portfolio_Par&gt;0,H174^2,"")</x:f>
        <x:v>0.000015523599999999998</x:v>
      </x:c>
    </x:row>
    <x:row r="175" ht="21" customHeight="1">
      <x:c r="A175" s="28" t="str">
        <x:v>SYN-OB-0191</x:v>
      </x:c>
      <x:c r="B175" s="28" t="str">
        <x:v>Redwood Holdings 191</x:v>
      </x:c>
      <x:c r="C175" s="28" t="str">
        <x:v>B-</x:v>
      </x:c>
      <x:c r="D175" s="28" t="str">
        <x:v>Technology Hardware, Storage &amp; Peripherals</x:v>
      </x:c>
      <x:c r="E175" s="28" t="str">
        <x:v>United States</x:v>
      </x:c>
      <x:c r="F175" s="66" t="n">
        <x:f>IF(A175="","",SUMIF('Portfolio Inputs'!B8:B289,A175,'Portfolio Inputs'!D8:D289))</x:f>
        <x:v>1182000</x:v>
      </x:c>
      <x:c r="G175" s="65" t="n">
        <x:f>IF(A175="","",COUNTIF('Portfolio Inputs'!B8:B289,A175))</x:f>
        <x:v>1</x:v>
      </x:c>
      <x:c r="H175" s="75" t="n">
        <x:f>IF(Portfolio_Par&gt;0,F175/Portfolio_Par,"")</x:f>
        <x:v>0.00394</x:v>
      </x:c>
      <x:c r="I175" s="196" t="n">
        <x:f>IF(Portfolio_Par&gt;0,H175^2,"")</x:f>
        <x:v>0.000015523599999999998</x:v>
      </x:c>
    </x:row>
    <x:row r="176" ht="21" customHeight="1">
      <x:c r="A176" s="28" t="str">
        <x:v>SYN-OB-0192</x:v>
      </x:c>
      <x:c r="B176" s="28" t="str">
        <x:v>Riverton Inc. 192</x:v>
      </x:c>
      <x:c r="C176" s="28" t="str">
        <x:v>B+</x:v>
      </x:c>
      <x:c r="D176" s="28" t="str">
        <x:v>Insurance</x:v>
      </x:c>
      <x:c r="E176" s="28" t="str">
        <x:v>United States</x:v>
      </x:c>
      <x:c r="F176" s="66" t="n">
        <x:f>IF(A176="","",SUMIF('Portfolio Inputs'!B8:B289,A176,'Portfolio Inputs'!D8:D289))</x:f>
        <x:v>1182000</x:v>
      </x:c>
      <x:c r="G176" s="65" t="n">
        <x:f>IF(A176="","",COUNTIF('Portfolio Inputs'!B8:B289,A176))</x:f>
        <x:v>1</x:v>
      </x:c>
      <x:c r="H176" s="75" t="n">
        <x:f>IF(Portfolio_Par&gt;0,F176/Portfolio_Par,"")</x:f>
        <x:v>0.00394</x:v>
      </x:c>
      <x:c r="I176" s="196" t="n">
        <x:f>IF(Portfolio_Par&gt;0,H176^2,"")</x:f>
        <x:v>0.000015523599999999998</x:v>
      </x:c>
    </x:row>
    <x:row r="177" ht="21" customHeight="1">
      <x:c r="A177" s="28" t="str">
        <x:v>SYN-OB-0193</x:v>
      </x:c>
      <x:c r="B177" s="28" t="str">
        <x:v>Silver Corp. 193</x:v>
      </x:c>
      <x:c r="C177" s="28" t="str">
        <x:v>B-</x:v>
      </x:c>
      <x:c r="D177" s="28" t="str">
        <x:v>Software</x:v>
      </x:c>
      <x:c r="E177" s="28" t="str">
        <x:v>United States</x:v>
      </x:c>
      <x:c r="F177" s="66" t="n">
        <x:f>IF(A177="","",SUMIF('Portfolio Inputs'!B8:B289,A177,'Portfolio Inputs'!D8:D289))</x:f>
        <x:v>1182000</x:v>
      </x:c>
      <x:c r="G177" s="65" t="n">
        <x:f>IF(A177="","",COUNTIF('Portfolio Inputs'!B8:B289,A177))</x:f>
        <x:v>1</x:v>
      </x:c>
      <x:c r="H177" s="75" t="n">
        <x:f>IF(Portfolio_Par&gt;0,F177/Portfolio_Par,"")</x:f>
        <x:v>0.00394</x:v>
      </x:c>
      <x:c r="I177" s="196" t="n">
        <x:f>IF(Portfolio_Par&gt;0,H177^2,"")</x:f>
        <x:v>0.000015523599999999998</x:v>
      </x:c>
    </x:row>
    <x:row r="178" ht="21" customHeight="1">
      <x:c r="A178" s="28" t="str">
        <x:v>SYN-OB-0194</x:v>
      </x:c>
      <x:c r="B178" s="28" t="str">
        <x:v>Stonebridge Group 194</x:v>
      </x:c>
      <x:c r="C178" s="28" t="str">
        <x:v>BB-</x:v>
      </x:c>
      <x:c r="D178" s="28" t="str">
        <x:v>Oil, Gas &amp; Consumable Fuels</x:v>
      </x:c>
      <x:c r="E178" s="28" t="str">
        <x:v>United States</x:v>
      </x:c>
      <x:c r="F178" s="66" t="n">
        <x:f>IF(A178="","",SUMIF('Portfolio Inputs'!B8:B289,A178,'Portfolio Inputs'!D8:D289))</x:f>
        <x:v>1182000</x:v>
      </x:c>
      <x:c r="G178" s="65" t="n">
        <x:f>IF(A178="","",COUNTIF('Portfolio Inputs'!B8:B289,A178))</x:f>
        <x:v>1</x:v>
      </x:c>
      <x:c r="H178" s="75" t="n">
        <x:f>IF(Portfolio_Par&gt;0,F178/Portfolio_Par,"")</x:f>
        <x:v>0.00394</x:v>
      </x:c>
      <x:c r="I178" s="196" t="n">
        <x:f>IF(Portfolio_Par&gt;0,H178^2,"")</x:f>
        <x:v>0.000015523599999999998</x:v>
      </x:c>
    </x:row>
    <x:row r="179" ht="21" customHeight="1">
      <x:c r="A179" s="28" t="str">
        <x:v>SYN-OB-0195</x:v>
      </x:c>
      <x:c r="B179" s="28" t="str">
        <x:v>Summit LLC 195</x:v>
      </x:c>
      <x:c r="C179" s="28" t="str">
        <x:v>B-</x:v>
      </x:c>
      <x:c r="D179" s="28" t="str">
        <x:v>Containers &amp; Packaging</x:v>
      </x:c>
      <x:c r="E179" s="28" t="str">
        <x:v>United States</x:v>
      </x:c>
      <x:c r="F179" s="66" t="n">
        <x:f>IF(A179="","",SUMIF('Portfolio Inputs'!B8:B289,A179,'Portfolio Inputs'!D8:D289))</x:f>
        <x:v>1182000</x:v>
      </x:c>
      <x:c r="G179" s="65" t="n">
        <x:f>IF(A179="","",COUNTIF('Portfolio Inputs'!B8:B289,A179))</x:f>
        <x:v>1</x:v>
      </x:c>
      <x:c r="H179" s="75" t="n">
        <x:f>IF(Portfolio_Par&gt;0,F179/Portfolio_Par,"")</x:f>
        <x:v>0.00394</x:v>
      </x:c>
      <x:c r="I179" s="196" t="n">
        <x:f>IF(Portfolio_Par&gt;0,H179^2,"")</x:f>
        <x:v>0.000015523599999999998</x:v>
      </x:c>
    </x:row>
    <x:row r="180" ht="21" customHeight="1">
      <x:c r="A180" s="28" t="str">
        <x:v>SYN-OB-0196</x:v>
      </x:c>
      <x:c r="B180" s="28" t="str">
        <x:v>Timber Holdings 196</x:v>
      </x:c>
      <x:c r="C180" s="28" t="str">
        <x:v>B-</x:v>
      </x:c>
      <x:c r="D180" s="28" t="str">
        <x:v>Technology Hardware, Storage &amp; Peripherals</x:v>
      </x:c>
      <x:c r="E180" s="28" t="str">
        <x:v>United States</x:v>
      </x:c>
      <x:c r="F180" s="66" t="n">
        <x:f>IF(A180="","",SUMIF('Portfolio Inputs'!B8:B289,A180,'Portfolio Inputs'!D8:D289))</x:f>
        <x:v>1182000</x:v>
      </x:c>
      <x:c r="G180" s="65" t="n">
        <x:f>IF(A180="","",COUNTIF('Portfolio Inputs'!B8:B289,A180))</x:f>
        <x:v>1</x:v>
      </x:c>
      <x:c r="H180" s="75" t="n">
        <x:f>IF(Portfolio_Par&gt;0,F180/Portfolio_Par,"")</x:f>
        <x:v>0.00394</x:v>
      </x:c>
      <x:c r="I180" s="196" t="n">
        <x:f>IF(Portfolio_Par&gt;0,H180^2,"")</x:f>
        <x:v>0.000015523599999999998</x:v>
      </x:c>
    </x:row>
    <x:row r="181" ht="21" customHeight="1">
      <x:c r="A181" s="28" t="str">
        <x:v>SYN-OB-0197</x:v>
      </x:c>
      <x:c r="B181" s="28" t="str">
        <x:v>Westhaven Inc. 197</x:v>
      </x:c>
      <x:c r="C181" s="28" t="str">
        <x:v>B</x:v>
      </x:c>
      <x:c r="D181" s="28" t="str">
        <x:v>Healthcare Equipment &amp; Supplies</x:v>
      </x:c>
      <x:c r="E181" s="28" t="str">
        <x:v>United States</x:v>
      </x:c>
      <x:c r="F181" s="66" t="n">
        <x:f>IF(A181="","",SUMIF('Portfolio Inputs'!B8:B289,A181,'Portfolio Inputs'!D8:D289))</x:f>
        <x:v>1182000</x:v>
      </x:c>
      <x:c r="G181" s="65" t="n">
        <x:f>IF(A181="","",COUNTIF('Portfolio Inputs'!B8:B289,A181))</x:f>
        <x:v>1</x:v>
      </x:c>
      <x:c r="H181" s="75" t="n">
        <x:f>IF(Portfolio_Par&gt;0,F181/Portfolio_Par,"")</x:f>
        <x:v>0.00394</x:v>
      </x:c>
      <x:c r="I181" s="196" t="n">
        <x:f>IF(Portfolio_Par&gt;0,H181^2,"")</x:f>
        <x:v>0.000015523599999999998</x:v>
      </x:c>
    </x:row>
    <x:row r="182" ht="21" customHeight="1">
      <x:c r="A182" s="28" t="str">
        <x:v>SYN-OB-0198</x:v>
      </x:c>
      <x:c r="B182" s="28" t="str">
        <x:v>Willow Corp. 198</x:v>
      </x:c>
      <x:c r="C182" s="28" t="str">
        <x:v>B-</x:v>
      </x:c>
      <x:c r="D182" s="28" t="str">
        <x:v>Machinery</x:v>
      </x:c>
      <x:c r="E182" s="28" t="str">
        <x:v>United States</x:v>
      </x:c>
      <x:c r="F182" s="66" t="n">
        <x:f>IF(A182="","",SUMIF('Portfolio Inputs'!B8:B289,A182,'Portfolio Inputs'!D8:D289))</x:f>
        <x:v>1182000</x:v>
      </x:c>
      <x:c r="G182" s="65" t="n">
        <x:f>IF(A182="","",COUNTIF('Portfolio Inputs'!B8:B289,A182))</x:f>
        <x:v>1</x:v>
      </x:c>
      <x:c r="H182" s="75" t="n">
        <x:f>IF(Portfolio_Par&gt;0,F182/Portfolio_Par,"")</x:f>
        <x:v>0.00394</x:v>
      </x:c>
      <x:c r="I182" s="196" t="n">
        <x:f>IF(Portfolio_Par&gt;0,H182^2,"")</x:f>
        <x:v>0.000015523599999999998</x:v>
      </x:c>
    </x:row>
    <x:row r="183" ht="21" customHeight="1">
      <x:c r="A183" s="28" t="str">
        <x:v>SYN-OB-0199</x:v>
      </x:c>
      <x:c r="B183" s="28" t="str">
        <x:v>Windward Group 199</x:v>
      </x:c>
      <x:c r="C183" s="28" t="str">
        <x:v>BB</x:v>
      </x:c>
      <x:c r="D183" s="28" t="str">
        <x:v>Electric Utilities</x:v>
      </x:c>
      <x:c r="E183" s="28" t="str">
        <x:v>United States</x:v>
      </x:c>
      <x:c r="F183" s="66" t="n">
        <x:f>IF(A183="","",SUMIF('Portfolio Inputs'!B8:B289,A183,'Portfolio Inputs'!D8:D289))</x:f>
        <x:v>1182000</x:v>
      </x:c>
      <x:c r="G183" s="65" t="n">
        <x:f>IF(A183="","",COUNTIF('Portfolio Inputs'!B8:B289,A183))</x:f>
        <x:v>1</x:v>
      </x:c>
      <x:c r="H183" s="75" t="n">
        <x:f>IF(Portfolio_Par&gt;0,F183/Portfolio_Par,"")</x:f>
        <x:v>0.00394</x:v>
      </x:c>
      <x:c r="I183" s="196" t="n">
        <x:f>IF(Portfolio_Par&gt;0,H183^2,"")</x:f>
        <x:v>0.000015523599999999998</x:v>
      </x:c>
    </x:row>
    <x:row r="184" ht="21" customHeight="1">
      <x:c r="A184" s="28" t="str">
        <x:v>SYN-OB-0201</x:v>
      </x:c>
      <x:c r="B184" s="28" t="str">
        <x:v>Alder Holdings 201</x:v>
      </x:c>
      <x:c r="C184" s="28" t="str">
        <x:v>B</x:v>
      </x:c>
      <x:c r="D184" s="28" t="str">
        <x:v>Industrial Conglomerates</x:v>
      </x:c>
      <x:c r="E184" s="28" t="str">
        <x:v>United States</x:v>
      </x:c>
      <x:c r="F184" s="66" t="n">
        <x:f>IF(A184="","",SUMIF('Portfolio Inputs'!B8:B289,A184,'Portfolio Inputs'!D8:D289))</x:f>
        <x:v>1182000</x:v>
      </x:c>
      <x:c r="G184" s="65" t="n">
        <x:f>IF(A184="","",COUNTIF('Portfolio Inputs'!B8:B289,A184))</x:f>
        <x:v>1</x:v>
      </x:c>
      <x:c r="H184" s="75" t="n">
        <x:f>IF(Portfolio_Par&gt;0,F184/Portfolio_Par,"")</x:f>
        <x:v>0.00394</x:v>
      </x:c>
      <x:c r="I184" s="196" t="n">
        <x:f>IF(Portfolio_Par&gt;0,H184^2,"")</x:f>
        <x:v>0.000015523599999999998</x:v>
      </x:c>
    </x:row>
    <x:row r="185" ht="21" customHeight="1">
      <x:c r="A185" s="28" t="str">
        <x:v>SYN-OB-0203</x:v>
      </x:c>
      <x:c r="B185" s="28" t="str">
        <x:v>Arbor Corp. 203</x:v>
      </x:c>
      <x:c r="C185" s="28" t="str">
        <x:v>B</x:v>
      </x:c>
      <x:c r="D185" s="28" t="str">
        <x:v>Building Products</x:v>
      </x:c>
      <x:c r="E185" s="28" t="str">
        <x:v>United States</x:v>
      </x:c>
      <x:c r="F185" s="66" t="n">
        <x:f>IF(A185="","",SUMIF('Portfolio Inputs'!B8:B289,A185,'Portfolio Inputs'!D8:D289))</x:f>
        <x:v>1182000</x:v>
      </x:c>
      <x:c r="G185" s="65" t="n">
        <x:f>IF(A185="","",COUNTIF('Portfolio Inputs'!B8:B289,A185))</x:f>
        <x:v>1</x:v>
      </x:c>
      <x:c r="H185" s="75" t="n">
        <x:f>IF(Portfolio_Par&gt;0,F185/Portfolio_Par,"")</x:f>
        <x:v>0.00394</x:v>
      </x:c>
      <x:c r="I185" s="196" t="n">
        <x:f>IF(Portfolio_Par&gt;0,H185^2,"")</x:f>
        <x:v>0.000015523599999999998</x:v>
      </x:c>
    </x:row>
    <x:row r="186" ht="21" customHeight="1">
      <x:c r="A186" s="28" t="str">
        <x:v>SYN-OB-0204</x:v>
      </x:c>
      <x:c r="B186" s="28" t="str">
        <x:v>Atlas Group 204</x:v>
      </x:c>
      <x:c r="C186" s="28" t="str">
        <x:v>BB</x:v>
      </x:c>
      <x:c r="D186" s="28" t="str">
        <x:v>Construction Materials</x:v>
      </x:c>
      <x:c r="E186" s="28" t="str">
        <x:v>United States</x:v>
      </x:c>
      <x:c r="F186" s="66" t="n">
        <x:f>IF(A186="","",SUMIF('Portfolio Inputs'!B8:B289,A186,'Portfolio Inputs'!D8:D289))</x:f>
        <x:v>1182000</x:v>
      </x:c>
      <x:c r="G186" s="65" t="n">
        <x:f>IF(A186="","",COUNTIF('Portfolio Inputs'!B8:B289,A186))</x:f>
        <x:v>1</x:v>
      </x:c>
      <x:c r="H186" s="75" t="n">
        <x:f>IF(Portfolio_Par&gt;0,F186/Portfolio_Par,"")</x:f>
        <x:v>0.00394</x:v>
      </x:c>
      <x:c r="I186" s="196" t="n">
        <x:f>IF(Portfolio_Par&gt;0,H186^2,"")</x:f>
        <x:v>0.000015523599999999998</x:v>
      </x:c>
    </x:row>
    <x:row r="187" ht="21" customHeight="1">
      <x:c r="A187" s="28" t="str">
        <x:v>SYN-OB-0206</x:v>
      </x:c>
      <x:c r="B187" s="28" t="str">
        <x:v>Bluewater Holdings 206</x:v>
      </x:c>
      <x:c r="C187" s="28" t="str">
        <x:v>B</x:v>
      </x:c>
      <x:c r="D187" s="28" t="str">
        <x:v>Aerospace &amp; Defense</x:v>
      </x:c>
      <x:c r="E187" s="28" t="str">
        <x:v>Luxembourg</x:v>
      </x:c>
      <x:c r="F187" s="66" t="n">
        <x:f>IF(A187="","",SUMIF('Portfolio Inputs'!B8:B289,A187,'Portfolio Inputs'!D8:D289))</x:f>
        <x:v>1182000</x:v>
      </x:c>
      <x:c r="G187" s="65" t="n">
        <x:f>IF(A187="","",COUNTIF('Portfolio Inputs'!B8:B289,A187))</x:f>
        <x:v>1</x:v>
      </x:c>
      <x:c r="H187" s="75" t="n">
        <x:f>IF(Portfolio_Par&gt;0,F187/Portfolio_Par,"")</x:f>
        <x:v>0.00394</x:v>
      </x:c>
      <x:c r="I187" s="196" t="n">
        <x:f>IF(Portfolio_Par&gt;0,H187^2,"")</x:f>
        <x:v>0.000015523599999999998</x:v>
      </x:c>
    </x:row>
    <x:row r="188" ht="21" customHeight="1">
      <x:c r="A188" s="28" t="str">
        <x:v>SYN-OB-0207</x:v>
      </x:c>
      <x:c r="B188" s="28" t="str">
        <x:v>Bracken Inc. 207</x:v>
      </x:c>
      <x:c r="C188" s="28" t="str">
        <x:v>BB+</x:v>
      </x:c>
      <x:c r="D188" s="28" t="str">
        <x:v>Broadline retail</x:v>
      </x:c>
      <x:c r="E188" s="28" t="str">
        <x:v>United States</x:v>
      </x:c>
      <x:c r="F188" s="66" t="n">
        <x:f>IF(A188="","",SUMIF('Portfolio Inputs'!B8:B289,A188,'Portfolio Inputs'!D8:D289))</x:f>
        <x:v>1182000</x:v>
      </x:c>
      <x:c r="G188" s="65" t="n">
        <x:f>IF(A188="","",COUNTIF('Portfolio Inputs'!B8:B289,A188))</x:f>
        <x:v>1</x:v>
      </x:c>
      <x:c r="H188" s="75" t="n">
        <x:f>IF(Portfolio_Par&gt;0,F188/Portfolio_Par,"")</x:f>
        <x:v>0.00394</x:v>
      </x:c>
      <x:c r="I188" s="196" t="n">
        <x:f>IF(Portfolio_Par&gt;0,H188^2,"")</x:f>
        <x:v>0.000015523599999999998</x:v>
      </x:c>
    </x:row>
    <x:row r="189" ht="21" customHeight="1">
      <x:c r="A189" s="28" t="str">
        <x:v>SYN-OB-0209</x:v>
      </x:c>
      <x:c r="B189" s="28" t="str">
        <x:v>Cobalt Group 209</x:v>
      </x:c>
      <x:c r="C189" s="28" t="str">
        <x:v>B+</x:v>
      </x:c>
      <x:c r="D189" s="28" t="str">
        <x:v>Aerospace &amp; Defense</x:v>
      </x:c>
      <x:c r="E189" s="28" t="str">
        <x:v>United States</x:v>
      </x:c>
      <x:c r="F189" s="66" t="n">
        <x:f>IF(A189="","",SUMIF('Portfolio Inputs'!B8:B289,A189,'Portfolio Inputs'!D8:D289))</x:f>
        <x:v>1182000</x:v>
      </x:c>
      <x:c r="G189" s="65" t="n">
        <x:f>IF(A189="","",COUNTIF('Portfolio Inputs'!B8:B289,A189))</x:f>
        <x:v>1</x:v>
      </x:c>
      <x:c r="H189" s="75" t="n">
        <x:f>IF(Portfolio_Par&gt;0,F189/Portfolio_Par,"")</x:f>
        <x:v>0.00394</x:v>
      </x:c>
      <x:c r="I189" s="196" t="n">
        <x:f>IF(Portfolio_Par&gt;0,H189^2,"")</x:f>
        <x:v>0.000015523599999999998</x:v>
      </x:c>
    </x:row>
    <x:row r="190" ht="21" customHeight="1">
      <x:c r="A190" s="28" t="str">
        <x:v>SYN-OB-0210</x:v>
      </x:c>
      <x:c r="B190" s="28" t="str">
        <x:v>Copper LLC 210</x:v>
      </x:c>
      <x:c r="C190" s="28" t="str">
        <x:v>BB+</x:v>
      </x:c>
      <x:c r="D190" s="28" t="str">
        <x:v>Capital Markets</x:v>
      </x:c>
      <x:c r="E190" s="28" t="str">
        <x:v>United States</x:v>
      </x:c>
      <x:c r="F190" s="66" t="n">
        <x:f>IF(A190="","",SUMIF('Portfolio Inputs'!B8:B289,A190,'Portfolio Inputs'!D8:D289))</x:f>
        <x:v>1182000</x:v>
      </x:c>
      <x:c r="G190" s="65" t="n">
        <x:f>IF(A190="","",COUNTIF('Portfolio Inputs'!B8:B289,A190))</x:f>
        <x:v>1</x:v>
      </x:c>
      <x:c r="H190" s="75" t="n">
        <x:f>IF(Portfolio_Par&gt;0,F190/Portfolio_Par,"")</x:f>
        <x:v>0.00394</x:v>
      </x:c>
      <x:c r="I190" s="196" t="n">
        <x:f>IF(Portfolio_Par&gt;0,H190^2,"")</x:f>
        <x:v>0.000015523599999999998</x:v>
      </x:c>
    </x:row>
    <x:row r="191" ht="21" customHeight="1">
      <x:c r="A191" s="28" t="str">
        <x:v>SYN-OB-0211</x:v>
      </x:c>
      <x:c r="B191" s="28" t="str">
        <x:v>Crest Holdings 211</x:v>
      </x:c>
      <x:c r="C191" s="28" t="str">
        <x:v>B-</x:v>
      </x:c>
      <x:c r="D191" s="28" t="str">
        <x:v>Distributors</x:v>
      </x:c>
      <x:c r="E191" s="28" t="str">
        <x:v>United States</x:v>
      </x:c>
      <x:c r="F191" s="66" t="n">
        <x:f>IF(A191="","",SUMIF('Portfolio Inputs'!B8:B289,A191,'Portfolio Inputs'!D8:D289))</x:f>
        <x:v>1182000</x:v>
      </x:c>
      <x:c r="G191" s="65" t="n">
        <x:f>IF(A191="","",COUNTIF('Portfolio Inputs'!B8:B289,A191))</x:f>
        <x:v>1</x:v>
      </x:c>
      <x:c r="H191" s="75" t="n">
        <x:f>IF(Portfolio_Par&gt;0,F191/Portfolio_Par,"")</x:f>
        <x:v>0.00394</x:v>
      </x:c>
      <x:c r="I191" s="196" t="n">
        <x:f>IF(Portfolio_Par&gt;0,H191^2,"")</x:f>
        <x:v>0.000015523599999999998</x:v>
      </x:c>
    </x:row>
    <x:row r="192" ht="21" customHeight="1">
      <x:c r="A192" s="28" t="str">
        <x:v>SYN-OB-0212</x:v>
      </x:c>
      <x:c r="B192" s="28" t="str">
        <x:v>Duneland Inc. 212</x:v>
      </x:c>
      <x:c r="C192" s="28" t="str">
        <x:v>B-</x:v>
      </x:c>
      <x:c r="D192" s="28" t="str">
        <x:v>Software</x:v>
      </x:c>
      <x:c r="E192" s="28" t="str">
        <x:v>United States</x:v>
      </x:c>
      <x:c r="F192" s="66" t="n">
        <x:f>IF(A192="","",SUMIF('Portfolio Inputs'!B8:B289,A192,'Portfolio Inputs'!D8:D289))</x:f>
        <x:v>1182000</x:v>
      </x:c>
      <x:c r="G192" s="65" t="n">
        <x:f>IF(A192="","",COUNTIF('Portfolio Inputs'!B8:B289,A192))</x:f>
        <x:v>1</x:v>
      </x:c>
      <x:c r="H192" s="75" t="n">
        <x:f>IF(Portfolio_Par&gt;0,F192/Portfolio_Par,"")</x:f>
        <x:v>0.00394</x:v>
      </x:c>
      <x:c r="I192" s="196" t="n">
        <x:f>IF(Portfolio_Par&gt;0,H192^2,"")</x:f>
        <x:v>0.000015523599999999998</x:v>
      </x:c>
    </x:row>
    <x:row r="193" ht="21" customHeight="1">
      <x:c r="A193" s="28" t="str">
        <x:v>SYN-OB-0214</x:v>
      </x:c>
      <x:c r="B193" s="28" t="str">
        <x:v>Evergreen Group 214</x:v>
      </x:c>
      <x:c r="C193" s="28" t="str">
        <x:v>BB-</x:v>
      </x:c>
      <x:c r="D193" s="28" t="str">
        <x:v>Food Products</x:v>
      </x:c>
      <x:c r="E193" s="28" t="str">
        <x:v>United States</x:v>
      </x:c>
      <x:c r="F193" s="66" t="n">
        <x:f>IF(A193="","",SUMIF('Portfolio Inputs'!B8:B289,A193,'Portfolio Inputs'!D8:D289))</x:f>
        <x:v>1182000</x:v>
      </x:c>
      <x:c r="G193" s="65" t="n">
        <x:f>IF(A193="","",COUNTIF('Portfolio Inputs'!B8:B289,A193))</x:f>
        <x:v>1</x:v>
      </x:c>
      <x:c r="H193" s="75" t="n">
        <x:f>IF(Portfolio_Par&gt;0,F193/Portfolio_Par,"")</x:f>
        <x:v>0.00394</x:v>
      </x:c>
      <x:c r="I193" s="196" t="n">
        <x:f>IF(Portfolio_Par&gt;0,H193^2,"")</x:f>
        <x:v>0.000015523599999999998</x:v>
      </x:c>
    </x:row>
    <x:row r="194" ht="21" customHeight="1">
      <x:c r="A194" s="28" t="str">
        <x:v>SYN-OB-0215</x:v>
      </x:c>
      <x:c r="B194" s="28" t="str">
        <x:v>Fairhaven LLC 215</x:v>
      </x:c>
      <x:c r="C194" s="28" t="str">
        <x:v>B</x:v>
      </x:c>
      <x:c r="D194" s="28" t="str">
        <x:v>Diversified Consumer Services</x:v>
      </x:c>
      <x:c r="E194" s="28" t="str">
        <x:v>United States</x:v>
      </x:c>
      <x:c r="F194" s="66" t="n">
        <x:f>IF(A194="","",SUMIF('Portfolio Inputs'!B8:B289,A194,'Portfolio Inputs'!D8:D289))</x:f>
        <x:v>1182000</x:v>
      </x:c>
      <x:c r="G194" s="65" t="n">
        <x:f>IF(A194="","",COUNTIF('Portfolio Inputs'!B8:B289,A194))</x:f>
        <x:v>1</x:v>
      </x:c>
      <x:c r="H194" s="75" t="n">
        <x:f>IF(Portfolio_Par&gt;0,F194/Portfolio_Par,"")</x:f>
        <x:v>0.00394</x:v>
      </x:c>
      <x:c r="I194" s="196" t="n">
        <x:f>IF(Portfolio_Par&gt;0,H194^2,"")</x:f>
        <x:v>0.000015523599999999998</x:v>
      </x:c>
    </x:row>
    <x:row r="195" ht="21" customHeight="1">
      <x:c r="A195" s="28" t="str">
        <x:v>SYN-OB-0216</x:v>
      </x:c>
      <x:c r="B195" s="28" t="str">
        <x:v>Granite Holdings 216</x:v>
      </x:c>
      <x:c r="C195" s="28" t="str">
        <x:v>BB-</x:v>
      </x:c>
      <x:c r="D195" s="28" t="str">
        <x:v>Oil, Gas &amp; Consumable Fuels</x:v>
      </x:c>
      <x:c r="E195" s="28" t="str">
        <x:v>United States</x:v>
      </x:c>
      <x:c r="F195" s="66" t="n">
        <x:f>IF(A195="","",SUMIF('Portfolio Inputs'!B8:B289,A195,'Portfolio Inputs'!D8:D289))</x:f>
        <x:v>1182000</x:v>
      </x:c>
      <x:c r="G195" s="65" t="n">
        <x:f>IF(A195="","",COUNTIF('Portfolio Inputs'!B8:B289,A195))</x:f>
        <x:v>1</x:v>
      </x:c>
      <x:c r="H195" s="75" t="n">
        <x:f>IF(Portfolio_Par&gt;0,F195/Portfolio_Par,"")</x:f>
        <x:v>0.00394</x:v>
      </x:c>
      <x:c r="I195" s="196" t="n">
        <x:f>IF(Portfolio_Par&gt;0,H195^2,"")</x:f>
        <x:v>0.000015523599999999998</x:v>
      </x:c>
    </x:row>
    <x:row r="196" ht="21" customHeight="1">
      <x:c r="A196" s="28" t="str">
        <x:v>SYN-OB-0217</x:v>
      </x:c>
      <x:c r="B196" s="28" t="str">
        <x:v>Harbor Inc. 217</x:v>
      </x:c>
      <x:c r="C196" s="28" t="str">
        <x:v>B</x:v>
      </x:c>
      <x:c r="D196" s="28" t="str">
        <x:v>Capital Markets</x:v>
      </x:c>
      <x:c r="E196" s="28" t="str">
        <x:v>United States</x:v>
      </x:c>
      <x:c r="F196" s="66" t="n">
        <x:f>IF(A196="","",SUMIF('Portfolio Inputs'!B8:B289,A196,'Portfolio Inputs'!D8:D289))</x:f>
        <x:v>1182000</x:v>
      </x:c>
      <x:c r="G196" s="65" t="n">
        <x:f>IF(A196="","",COUNTIF('Portfolio Inputs'!B8:B289,A196))</x:f>
        <x:v>1</x:v>
      </x:c>
      <x:c r="H196" s="75" t="n">
        <x:f>IF(Portfolio_Par&gt;0,F196/Portfolio_Par,"")</x:f>
        <x:v>0.00394</x:v>
      </x:c>
      <x:c r="I196" s="196" t="n">
        <x:f>IF(Portfolio_Par&gt;0,H196^2,"")</x:f>
        <x:v>0.000015523599999999998</x:v>
      </x:c>
    </x:row>
    <x:row r="197" ht="21" customHeight="1">
      <x:c r="A197" s="28" t="str">
        <x:v>SYN-OB-0218</x:v>
      </x:c>
      <x:c r="B197" s="28" t="str">
        <x:v>Hawthorne Corp. 218</x:v>
      </x:c>
      <x:c r="C197" s="28" t="str">
        <x:v>B</x:v>
      </x:c>
      <x:c r="D197" s="28" t="str">
        <x:v>Healthcare Equipment &amp; Supplies</x:v>
      </x:c>
      <x:c r="E197" s="28" t="str">
        <x:v>United States</x:v>
      </x:c>
      <x:c r="F197" s="66" t="n">
        <x:f>IF(A197="","",SUMIF('Portfolio Inputs'!B8:B289,A197,'Portfolio Inputs'!D8:D289))</x:f>
        <x:v>1182000</x:v>
      </x:c>
      <x:c r="G197" s="65" t="n">
        <x:f>IF(A197="","",COUNTIF('Portfolio Inputs'!B8:B289,A197))</x:f>
        <x:v>1</x:v>
      </x:c>
      <x:c r="H197" s="75" t="n">
        <x:f>IF(Portfolio_Par&gt;0,F197/Portfolio_Par,"")</x:f>
        <x:v>0.00394</x:v>
      </x:c>
      <x:c r="I197" s="196" t="n">
        <x:f>IF(Portfolio_Par&gt;0,H197^2,"")</x:f>
        <x:v>0.000015523599999999998</x:v>
      </x:c>
    </x:row>
    <x:row r="198" ht="21" customHeight="1">
      <x:c r="A198" s="28" t="str">
        <x:v>SYN-OB-0219</x:v>
      </x:c>
      <x:c r="B198" s="28" t="str">
        <x:v>Highland Group 219</x:v>
      </x:c>
      <x:c r="C198" s="28" t="str">
        <x:v>B+</x:v>
      </x:c>
      <x:c r="D198" s="28" t="str">
        <x:v>Electric Utilities</x:v>
      </x:c>
      <x:c r="E198" s="28" t="str">
        <x:v>United States</x:v>
      </x:c>
      <x:c r="F198" s="66" t="n">
        <x:f>IF(A198="","",SUMIF('Portfolio Inputs'!B8:B289,A198,'Portfolio Inputs'!D8:D289))</x:f>
        <x:v>1182000</x:v>
      </x:c>
      <x:c r="G198" s="65" t="n">
        <x:f>IF(A198="","",COUNTIF('Portfolio Inputs'!B8:B289,A198))</x:f>
        <x:v>1</x:v>
      </x:c>
      <x:c r="H198" s="75" t="n">
        <x:f>IF(Portfolio_Par&gt;0,F198/Portfolio_Par,"")</x:f>
        <x:v>0.00394</x:v>
      </x:c>
      <x:c r="I198" s="196" t="n">
        <x:f>IF(Portfolio_Par&gt;0,H198^2,"")</x:f>
        <x:v>0.000015523599999999998</x:v>
      </x:c>
    </x:row>
    <x:row r="199" ht="21" customHeight="1">
      <x:c r="A199" s="28" t="str">
        <x:v>SYN-OB-0220</x:v>
      </x:c>
      <x:c r="B199" s="28" t="str">
        <x:v>Ironwood LLC 220</x:v>
      </x:c>
      <x:c r="C199" s="28" t="str">
        <x:v>B-</x:v>
      </x:c>
      <x:c r="D199" s="28" t="str">
        <x:v>Containers &amp; Packaging</x:v>
      </x:c>
      <x:c r="E199" s="28" t="str">
        <x:v>United States</x:v>
      </x:c>
      <x:c r="F199" s="66" t="n">
        <x:f>IF(A199="","",SUMIF('Portfolio Inputs'!B8:B289,A199,'Portfolio Inputs'!D8:D289))</x:f>
        <x:v>1182000</x:v>
      </x:c>
      <x:c r="G199" s="65" t="n">
        <x:f>IF(A199="","",COUNTIF('Portfolio Inputs'!B8:B289,A199))</x:f>
        <x:v>1</x:v>
      </x:c>
      <x:c r="H199" s="75" t="n">
        <x:f>IF(Portfolio_Par&gt;0,F199/Portfolio_Par,"")</x:f>
        <x:v>0.00394</x:v>
      </x:c>
      <x:c r="I199" s="196" t="n">
        <x:f>IF(Portfolio_Par&gt;0,H199^2,"")</x:f>
        <x:v>0.000015523599999999998</x:v>
      </x:c>
    </x:row>
    <x:row r="200" ht="21" customHeight="1">
      <x:c r="A200" s="28" t="str">
        <x:v>SYN-OB-0221</x:v>
      </x:c>
      <x:c r="B200" s="28" t="str">
        <x:v>Juniper Holdings 221</x:v>
      </x:c>
      <x:c r="C200" s="28" t="str">
        <x:v>B-</x:v>
      </x:c>
      <x:c r="D200" s="28" t="str">
        <x:v>Transportation Infrastructure</x:v>
      </x:c>
      <x:c r="E200" s="28" t="str">
        <x:v>United States</x:v>
      </x:c>
      <x:c r="F200" s="66" t="n">
        <x:f>IF(A200="","",SUMIF('Portfolio Inputs'!B8:B289,A200,'Portfolio Inputs'!D8:D289))</x:f>
        <x:v>1182000</x:v>
      </x:c>
      <x:c r="G200" s="65" t="n">
        <x:f>IF(A200="","",COUNTIF('Portfolio Inputs'!B8:B289,A200))</x:f>
        <x:v>1</x:v>
      </x:c>
      <x:c r="H200" s="75" t="n">
        <x:f>IF(Portfolio_Par&gt;0,F200/Portfolio_Par,"")</x:f>
        <x:v>0.00394</x:v>
      </x:c>
      <x:c r="I200" s="196" t="n">
        <x:f>IF(Portfolio_Par&gt;0,H200^2,"")</x:f>
        <x:v>0.000015523599999999998</x:v>
      </x:c>
    </x:row>
    <x:row r="201" ht="21" customHeight="1">
      <x:c r="A201" s="28" t="str">
        <x:v>SYN-OB-0222</x:v>
      </x:c>
      <x:c r="B201" s="28" t="str">
        <x:v>Keystone Inc. 222</x:v>
      </x:c>
      <x:c r="C201" s="28" t="str">
        <x:v>BB</x:v>
      </x:c>
      <x:c r="D201" s="28" t="str">
        <x:v>Leisure Products</x:v>
      </x:c>
      <x:c r="E201" s="28" t="str">
        <x:v>United Kingdom</x:v>
      </x:c>
      <x:c r="F201" s="66" t="n">
        <x:f>IF(A201="","",SUMIF('Portfolio Inputs'!B8:B289,A201,'Portfolio Inputs'!D8:D289))</x:f>
        <x:v>1182000</x:v>
      </x:c>
      <x:c r="G201" s="65" t="n">
        <x:f>IF(A201="","",COUNTIF('Portfolio Inputs'!B8:B289,A201))</x:f>
        <x:v>1</x:v>
      </x:c>
      <x:c r="H201" s="75" t="n">
        <x:f>IF(Portfolio_Par&gt;0,F201/Portfolio_Par,"")</x:f>
        <x:v>0.00394</x:v>
      </x:c>
      <x:c r="I201" s="196" t="n">
        <x:f>IF(Portfolio_Par&gt;0,H201^2,"")</x:f>
        <x:v>0.000015523599999999998</x:v>
      </x:c>
    </x:row>
    <x:row r="202" ht="21" customHeight="1">
      <x:c r="A202" s="28" t="str">
        <x:v>SYN-OB-0223</x:v>
      </x:c>
      <x:c r="B202" s="28" t="str">
        <x:v>Lakeview Corp. 223</x:v>
      </x:c>
      <x:c r="C202" s="28" t="str">
        <x:v>B-</x:v>
      </x:c>
      <x:c r="D202" s="28" t="str">
        <x:v>Healthcare Providers &amp; Services</x:v>
      </x:c>
      <x:c r="E202" s="28" t="str">
        <x:v>United States</x:v>
      </x:c>
      <x:c r="F202" s="66" t="n">
        <x:f>IF(A202="","",SUMIF('Portfolio Inputs'!B8:B289,A202,'Portfolio Inputs'!D8:D289))</x:f>
        <x:v>1182000</x:v>
      </x:c>
      <x:c r="G202" s="65" t="n">
        <x:f>IF(A202="","",COUNTIF('Portfolio Inputs'!B8:B289,A202))</x:f>
        <x:v>1</x:v>
      </x:c>
      <x:c r="H202" s="75" t="n">
        <x:f>IF(Portfolio_Par&gt;0,F202/Portfolio_Par,"")</x:f>
        <x:v>0.00394</x:v>
      </x:c>
      <x:c r="I202" s="196" t="n">
        <x:f>IF(Portfolio_Par&gt;0,H202^2,"")</x:f>
        <x:v>0.000015523599999999998</x:v>
      </x:c>
    </x:row>
    <x:row r="203" ht="21" customHeight="1">
      <x:c r="A203" s="28" t="str">
        <x:v>SYN-OB-0224</x:v>
      </x:c>
      <x:c r="B203" s="28" t="str">
        <x:v>Larkspur Group 224</x:v>
      </x:c>
      <x:c r="C203" s="28" t="str">
        <x:v>BB-</x:v>
      </x:c>
      <x:c r="D203" s="28" t="str">
        <x:v>Automobiles</x:v>
      </x:c>
      <x:c r="E203" s="28" t="str">
        <x:v>United States</x:v>
      </x:c>
      <x:c r="F203" s="66" t="n">
        <x:f>IF(A203="","",SUMIF('Portfolio Inputs'!B8:B289,A203,'Portfolio Inputs'!D8:D289))</x:f>
        <x:v>1182000</x:v>
      </x:c>
      <x:c r="G203" s="65" t="n">
        <x:f>IF(A203="","",COUNTIF('Portfolio Inputs'!B8:B289,A203))</x:f>
        <x:v>2</x:v>
      </x:c>
      <x:c r="H203" s="75" t="n">
        <x:f>IF(Portfolio_Par&gt;0,F203/Portfolio_Par,"")</x:f>
        <x:v>0.00394</x:v>
      </x:c>
      <x:c r="I203" s="196" t="n">
        <x:f>IF(Portfolio_Par&gt;0,H203^2,"")</x:f>
        <x:v>0.000015523599999999998</x:v>
      </x:c>
    </x:row>
    <x:row r="204" ht="21" customHeight="1">
      <x:c r="A204" s="28" t="str">
        <x:v>SYN-OB-0225</x:v>
      </x:c>
      <x:c r="B204" s="28" t="str">
        <x:v>Maple LLC 225</x:v>
      </x:c>
      <x:c r="C204" s="28" t="str">
        <x:v>BB-</x:v>
      </x:c>
      <x:c r="D204" s="28" t="str">
        <x:v>Communications Equipment</x:v>
      </x:c>
      <x:c r="E204" s="28" t="str">
        <x:v>United Kingdom</x:v>
      </x:c>
      <x:c r="F204" s="66" t="n">
        <x:f>IF(A204="","",SUMIF('Portfolio Inputs'!B8:B289,A204,'Portfolio Inputs'!D8:D289))</x:f>
        <x:v>1182000</x:v>
      </x:c>
      <x:c r="G204" s="65" t="n">
        <x:f>IF(A204="","",COUNTIF('Portfolio Inputs'!B8:B289,A204))</x:f>
        <x:v>1</x:v>
      </x:c>
      <x:c r="H204" s="75" t="n">
        <x:f>IF(Portfolio_Par&gt;0,F204/Portfolio_Par,"")</x:f>
        <x:v>0.00394</x:v>
      </x:c>
      <x:c r="I204" s="196" t="n">
        <x:f>IF(Portfolio_Par&gt;0,H204^2,"")</x:f>
        <x:v>0.000015523599999999998</x:v>
      </x:c>
    </x:row>
    <x:row r="205" ht="21" customHeight="1">
      <x:c r="A205" s="28" t="str">
        <x:v>SYN-OB-0226</x:v>
      </x:c>
      <x:c r="B205" s="28" t="str">
        <x:v>Meridian Holdings 226</x:v>
      </x:c>
      <x:c r="C205" s="28" t="str">
        <x:v>B</x:v>
      </x:c>
      <x:c r="D205" s="28" t="str">
        <x:v>Aerospace &amp; Defense</x:v>
      </x:c>
      <x:c r="E205" s="28" t="str">
        <x:v>United States</x:v>
      </x:c>
      <x:c r="F205" s="66" t="n">
        <x:f>IF(A205="","",SUMIF('Portfolio Inputs'!B8:B289,A205,'Portfolio Inputs'!D8:D289))</x:f>
        <x:v>1182000</x:v>
      </x:c>
      <x:c r="G205" s="65" t="n">
        <x:f>IF(A205="","",COUNTIF('Portfolio Inputs'!B8:B289,A205))</x:f>
        <x:v>1</x:v>
      </x:c>
      <x:c r="H205" s="75" t="n">
        <x:f>IF(Portfolio_Par&gt;0,F205/Portfolio_Par,"")</x:f>
        <x:v>0.00394</x:v>
      </x:c>
      <x:c r="I205" s="196" t="n">
        <x:f>IF(Portfolio_Par&gt;0,H205^2,"")</x:f>
        <x:v>0.000015523599999999998</x:v>
      </x:c>
    </x:row>
    <x:row r="206" ht="21" customHeight="1">
      <x:c r="A206" s="28" t="str">
        <x:v>SYN-OB-0227</x:v>
      </x:c>
      <x:c r="B206" s="28" t="str">
        <x:v>Northfield Inc. 227</x:v>
      </x:c>
      <x:c r="C206" s="28" t="str">
        <x:v>BB+</x:v>
      </x:c>
      <x:c r="D206" s="28" t="str">
        <x:v>Broadline retail</x:v>
      </x:c>
      <x:c r="E206" s="28" t="str">
        <x:v>United States</x:v>
      </x:c>
      <x:c r="F206" s="66" t="n">
        <x:f>IF(A206="","",SUMIF('Portfolio Inputs'!B8:B289,A206,'Portfolio Inputs'!D8:D289))</x:f>
        <x:v>1182000</x:v>
      </x:c>
      <x:c r="G206" s="65" t="n">
        <x:f>IF(A206="","",COUNTIF('Portfolio Inputs'!B8:B289,A206))</x:f>
        <x:v>1</x:v>
      </x:c>
      <x:c r="H206" s="75" t="n">
        <x:f>IF(Portfolio_Par&gt;0,F206/Portfolio_Par,"")</x:f>
        <x:v>0.00394</x:v>
      </x:c>
      <x:c r="I206" s="196" t="n">
        <x:f>IF(Portfolio_Par&gt;0,H206^2,"")</x:f>
        <x:v>0.000015523599999999998</x:v>
      </x:c>
    </x:row>
    <x:row r="207" ht="21" customHeight="1">
      <x:c r="A207" s="28" t="str">
        <x:v>SYN-OB-0228</x:v>
      </x:c>
      <x:c r="B207" s="28" t="str">
        <x:v>Oakmont Corp. 228</x:v>
      </x:c>
      <x:c r="C207" s="28" t="str">
        <x:v>BB-</x:v>
      </x:c>
      <x:c r="D207" s="28" t="str">
        <x:v>Ground transportation</x:v>
      </x:c>
      <x:c r="E207" s="28" t="str">
        <x:v>United States</x:v>
      </x:c>
      <x:c r="F207" s="66" t="n">
        <x:f>IF(A207="","",SUMIF('Portfolio Inputs'!B8:B289,A207,'Portfolio Inputs'!D8:D289))</x:f>
        <x:v>1182000</x:v>
      </x:c>
      <x:c r="G207" s="65" t="n">
        <x:f>IF(A207="","",COUNTIF('Portfolio Inputs'!B8:B289,A207))</x:f>
        <x:v>1</x:v>
      </x:c>
      <x:c r="H207" s="75" t="n">
        <x:f>IF(Portfolio_Par&gt;0,F207/Portfolio_Par,"")</x:f>
        <x:v>0.00394</x:v>
      </x:c>
      <x:c r="I207" s="196" t="n">
        <x:f>IF(Portfolio_Par&gt;0,H207^2,"")</x:f>
        <x:v>0.000015523599999999998</x:v>
      </x:c>
    </x:row>
    <x:row r="208" ht="21" customHeight="1">
      <x:c r="A208" s="28" t="str">
        <x:v>SYN-OB-0229</x:v>
      </x:c>
      <x:c r="B208" s="28" t="str">
        <x:v>Orchard Group 229</x:v>
      </x:c>
      <x:c r="C208" s="28" t="str">
        <x:v>B+</x:v>
      </x:c>
      <x:c r="D208" s="28" t="str">
        <x:v>Ground transportation</x:v>
      </x:c>
      <x:c r="E208" s="28" t="str">
        <x:v>United States</x:v>
      </x:c>
      <x:c r="F208" s="66" t="n">
        <x:f>IF(A208="","",SUMIF('Portfolio Inputs'!B8:B289,A208,'Portfolio Inputs'!D8:D289))</x:f>
        <x:v>1182000</x:v>
      </x:c>
      <x:c r="G208" s="65" t="n">
        <x:f>IF(A208="","",COUNTIF('Portfolio Inputs'!B8:B289,A208))</x:f>
        <x:v>1</x:v>
      </x:c>
      <x:c r="H208" s="75" t="n">
        <x:f>IF(Portfolio_Par&gt;0,F208/Portfolio_Par,"")</x:f>
        <x:v>0.00394</x:v>
      </x:c>
      <x:c r="I208" s="196" t="n">
        <x:f>IF(Portfolio_Par&gt;0,H208^2,"")</x:f>
        <x:v>0.000015523599999999998</x:v>
      </x:c>
    </x:row>
    <x:row r="209" ht="21" customHeight="1">
      <x:c r="A209" s="28" t="str">
        <x:v>SYN-OB-0231</x:v>
      </x:c>
      <x:c r="B209" s="28" t="str">
        <x:v>Redwood Holdings 231</x:v>
      </x:c>
      <x:c r="C209" s="28" t="str">
        <x:v>B</x:v>
      </x:c>
      <x:c r="D209" s="28" t="str">
        <x:v>Food Products</x:v>
      </x:c>
      <x:c r="E209" s="28" t="str">
        <x:v>United States</x:v>
      </x:c>
      <x:c r="F209" s="66" t="n">
        <x:f>IF(A209="","",SUMIF('Portfolio Inputs'!B8:B289,A209,'Portfolio Inputs'!D8:D289))</x:f>
        <x:v>1182000</x:v>
      </x:c>
      <x:c r="G209" s="65" t="n">
        <x:f>IF(A209="","",COUNTIF('Portfolio Inputs'!B8:B289,A209))</x:f>
        <x:v>1</x:v>
      </x:c>
      <x:c r="H209" s="75" t="n">
        <x:f>IF(Portfolio_Par&gt;0,F209/Portfolio_Par,"")</x:f>
        <x:v>0.00394</x:v>
      </x:c>
      <x:c r="I209" s="196" t="n">
        <x:f>IF(Portfolio_Par&gt;0,H209^2,"")</x:f>
        <x:v>0.000015523599999999998</x:v>
      </x:c>
    </x:row>
    <x:row r="210" ht="21" customHeight="1">
      <x:c r="A210" s="28" t="str">
        <x:v>SYN-OB-0232</x:v>
      </x:c>
      <x:c r="B210" s="28" t="str">
        <x:v>Riverton Inc. 232</x:v>
      </x:c>
      <x:c r="C210" s="28" t="str">
        <x:v>B</x:v>
      </x:c>
      <x:c r="D210" s="28" t="str">
        <x:v>Auto Components</x:v>
      </x:c>
      <x:c r="E210" s="28" t="str">
        <x:v>United States</x:v>
      </x:c>
      <x:c r="F210" s="66" t="n">
        <x:f>IF(A210="","",SUMIF('Portfolio Inputs'!B8:B289,A210,'Portfolio Inputs'!D8:D289))</x:f>
        <x:v>1182000</x:v>
      </x:c>
      <x:c r="G210" s="65" t="n">
        <x:f>IF(A210="","",COUNTIF('Portfolio Inputs'!B8:B289,A210))</x:f>
        <x:v>1</x:v>
      </x:c>
      <x:c r="H210" s="75" t="n">
        <x:f>IF(Portfolio_Par&gt;0,F210/Portfolio_Par,"")</x:f>
        <x:v>0.00394</x:v>
      </x:c>
      <x:c r="I210" s="196" t="n">
        <x:f>IF(Portfolio_Par&gt;0,H210^2,"")</x:f>
        <x:v>0.000015523599999999998</x:v>
      </x:c>
    </x:row>
    <x:row r="211" ht="21" customHeight="1">
      <x:c r="A211" s="28" t="str">
        <x:v>SYN-OB-0234</x:v>
      </x:c>
      <x:c r="B211" s="28" t="str">
        <x:v>Stonebridge Group 234</x:v>
      </x:c>
      <x:c r="C211" s="28" t="str">
        <x:v>B-</x:v>
      </x:c>
      <x:c r="D211" s="28" t="str">
        <x:v>Machinery</x:v>
      </x:c>
      <x:c r="E211" s="28" t="str">
        <x:v>United States</x:v>
      </x:c>
      <x:c r="F211" s="66" t="n">
        <x:f>IF(A211="","",SUMIF('Portfolio Inputs'!B8:B289,A211,'Portfolio Inputs'!D8:D289))</x:f>
        <x:v>1182000</x:v>
      </x:c>
      <x:c r="G211" s="65" t="n">
        <x:f>IF(A211="","",COUNTIF('Portfolio Inputs'!B8:B289,A211))</x:f>
        <x:v>1</x:v>
      </x:c>
      <x:c r="H211" s="75" t="n">
        <x:f>IF(Portfolio_Par&gt;0,F211/Portfolio_Par,"")</x:f>
        <x:v>0.00394</x:v>
      </x:c>
      <x:c r="I211" s="196" t="n">
        <x:f>IF(Portfolio_Par&gt;0,H211^2,"")</x:f>
        <x:v>0.000015523599999999998</x:v>
      </x:c>
    </x:row>
    <x:row r="212" ht="21" customHeight="1">
      <x:c r="A212" s="28" t="str">
        <x:v>SYN-OB-0235</x:v>
      </x:c>
      <x:c r="B212" s="28" t="str">
        <x:v>Summit LLC 235</x:v>
      </x:c>
      <x:c r="C212" s="28" t="str">
        <x:v>B-</x:v>
      </x:c>
      <x:c r="D212" s="28" t="str">
        <x:v>Software</x:v>
      </x:c>
      <x:c r="E212" s="28" t="str">
        <x:v>United States</x:v>
      </x:c>
      <x:c r="F212" s="66" t="n">
        <x:f>IF(A212="","",SUMIF('Portfolio Inputs'!B8:B289,A212,'Portfolio Inputs'!D8:D289))</x:f>
        <x:v>1182000</x:v>
      </x:c>
      <x:c r="G212" s="65" t="n">
        <x:f>IF(A212="","",COUNTIF('Portfolio Inputs'!B8:B289,A212))</x:f>
        <x:v>1</x:v>
      </x:c>
      <x:c r="H212" s="75" t="n">
        <x:f>IF(Portfolio_Par&gt;0,F212/Portfolio_Par,"")</x:f>
        <x:v>0.00394</x:v>
      </x:c>
      <x:c r="I212" s="196" t="n">
        <x:f>IF(Portfolio_Par&gt;0,H212^2,"")</x:f>
        <x:v>0.000015523599999999998</x:v>
      </x:c>
    </x:row>
    <x:row r="213" ht="21" customHeight="1">
      <x:c r="A213" s="28" t="str">
        <x:v>SYN-OB-0236</x:v>
      </x:c>
      <x:c r="B213" s="28" t="str">
        <x:v>Timber Holdings 236</x:v>
      </x:c>
      <x:c r="C213" s="28" t="str">
        <x:v>BB+</x:v>
      </x:c>
      <x:c r="D213" s="28" t="str">
        <x:v>Transportation Infrastructure</x:v>
      </x:c>
      <x:c r="E213" s="28" t="str">
        <x:v>United States</x:v>
      </x:c>
      <x:c r="F213" s="66" t="n">
        <x:f>IF(A213="","",SUMIF('Portfolio Inputs'!B8:B289,A213,'Portfolio Inputs'!D8:D289))</x:f>
        <x:v>1182000</x:v>
      </x:c>
      <x:c r="G213" s="65" t="n">
        <x:f>IF(A213="","",COUNTIF('Portfolio Inputs'!B8:B289,A213))</x:f>
        <x:v>1</x:v>
      </x:c>
      <x:c r="H213" s="75" t="n">
        <x:f>IF(Portfolio_Par&gt;0,F213/Portfolio_Par,"")</x:f>
        <x:v>0.00394</x:v>
      </x:c>
      <x:c r="I213" s="196" t="n">
        <x:f>IF(Portfolio_Par&gt;0,H213^2,"")</x:f>
        <x:v>0.000015523599999999998</x:v>
      </x:c>
    </x:row>
    <x:row r="214" ht="21" customHeight="1">
      <x:c r="A214" s="28" t="str">
        <x:v>SYN-OB-0237</x:v>
      </x:c>
      <x:c r="B214" s="28" t="str">
        <x:v>Westhaven Inc. 237</x:v>
      </x:c>
      <x:c r="C214" s="28" t="str">
        <x:v>B</x:v>
      </x:c>
      <x:c r="D214" s="28" t="str">
        <x:v>Healthcare Providers &amp; Services</x:v>
      </x:c>
      <x:c r="E214" s="28" t="str">
        <x:v>United States</x:v>
      </x:c>
      <x:c r="F214" s="66" t="n">
        <x:f>IF(A214="","",SUMIF('Portfolio Inputs'!B8:B289,A214,'Portfolio Inputs'!D8:D289))</x:f>
        <x:v>1182000</x:v>
      </x:c>
      <x:c r="G214" s="65" t="n">
        <x:f>IF(A214="","",COUNTIF('Portfolio Inputs'!B8:B289,A214))</x:f>
        <x:v>1</x:v>
      </x:c>
      <x:c r="H214" s="75" t="n">
        <x:f>IF(Portfolio_Par&gt;0,F214/Portfolio_Par,"")</x:f>
        <x:v>0.00394</x:v>
      </x:c>
      <x:c r="I214" s="196" t="n">
        <x:f>IF(Portfolio_Par&gt;0,H214^2,"")</x:f>
        <x:v>0.000015523599999999998</x:v>
      </x:c>
    </x:row>
    <x:row r="215" ht="21" customHeight="1">
      <x:c r="A215" s="28" t="str">
        <x:v>SYN-OB-0238</x:v>
      </x:c>
      <x:c r="B215" s="28" t="str">
        <x:v>Willow Corp. 238</x:v>
      </x:c>
      <x:c r="C215" s="28" t="str">
        <x:v>B</x:v>
      </x:c>
      <x:c r="D215" s="28" t="str">
        <x:v>Chemicals</x:v>
      </x:c>
      <x:c r="E215" s="28" t="str">
        <x:v>United States</x:v>
      </x:c>
      <x:c r="F215" s="66" t="n">
        <x:f>IF(A215="","",SUMIF('Portfolio Inputs'!B8:B289,A215,'Portfolio Inputs'!D8:D289))</x:f>
        <x:v>1182000</x:v>
      </x:c>
      <x:c r="G215" s="65" t="n">
        <x:f>IF(A215="","",COUNTIF('Portfolio Inputs'!B8:B289,A215))</x:f>
        <x:v>1</x:v>
      </x:c>
      <x:c r="H215" s="75" t="n">
        <x:f>IF(Portfolio_Par&gt;0,F215/Portfolio_Par,"")</x:f>
        <x:v>0.00394</x:v>
      </x:c>
      <x:c r="I215" s="196" t="n">
        <x:f>IF(Portfolio_Par&gt;0,H215^2,"")</x:f>
        <x:v>0.000015523599999999998</x:v>
      </x:c>
    </x:row>
    <x:row r="216" ht="21" customHeight="1">
      <x:c r="A216" s="28" t="str">
        <x:v>SYN-OB-0239</x:v>
      </x:c>
      <x:c r="B216" s="28" t="str">
        <x:v>Windward Group 239</x:v>
      </x:c>
      <x:c r="C216" s="28" t="str">
        <x:v>B-</x:v>
      </x:c>
      <x:c r="D216" s="28" t="str">
        <x:v>Software</x:v>
      </x:c>
      <x:c r="E216" s="28" t="str">
        <x:v>United States</x:v>
      </x:c>
      <x:c r="F216" s="66" t="n">
        <x:f>IF(A216="","",SUMIF('Portfolio Inputs'!B8:B289,A216,'Portfolio Inputs'!D8:D289))</x:f>
        <x:v>1182000</x:v>
      </x:c>
      <x:c r="G216" s="65" t="n">
        <x:f>IF(A216="","",COUNTIF('Portfolio Inputs'!B8:B289,A216))</x:f>
        <x:v>1</x:v>
      </x:c>
      <x:c r="H216" s="75" t="n">
        <x:f>IF(Portfolio_Par&gt;0,F216/Portfolio_Par,"")</x:f>
        <x:v>0.00394</x:v>
      </x:c>
      <x:c r="I216" s="196" t="n">
        <x:f>IF(Portfolio_Par&gt;0,H216^2,"")</x:f>
        <x:v>0.000015523599999999998</x:v>
      </x:c>
    </x:row>
    <x:row r="217" ht="21" customHeight="1">
      <x:c r="A217" s="28" t="str">
        <x:v>SYN-OB-0240</x:v>
      </x:c>
      <x:c r="B217" s="28" t="str">
        <x:v>Woodland LLC 240</x:v>
      </x:c>
      <x:c r="C217" s="28" t="str">
        <x:v>B-</x:v>
      </x:c>
      <x:c r="D217" s="28" t="str">
        <x:v>Software</x:v>
      </x:c>
      <x:c r="E217" s="28" t="str">
        <x:v>United States</x:v>
      </x:c>
      <x:c r="F217" s="66" t="n">
        <x:f>IF(A217="","",SUMIF('Portfolio Inputs'!B8:B289,A217,'Portfolio Inputs'!D8:D289))</x:f>
        <x:v>1182000</x:v>
      </x:c>
      <x:c r="G217" s="65" t="n">
        <x:f>IF(A217="","",COUNTIF('Portfolio Inputs'!B8:B289,A217))</x:f>
        <x:v>1</x:v>
      </x:c>
      <x:c r="H217" s="75" t="n">
        <x:f>IF(Portfolio_Par&gt;0,F217/Portfolio_Par,"")</x:f>
        <x:v>0.00394</x:v>
      </x:c>
      <x:c r="I217" s="196" t="n">
        <x:f>IF(Portfolio_Par&gt;0,H217^2,"")</x:f>
        <x:v>0.000015523599999999998</x:v>
      </x:c>
    </x:row>
    <x:row r="218" ht="21" customHeight="1">
      <x:c r="A218" s="28" t="str">
        <x:v>SYN-OB-0241</x:v>
      </x:c>
      <x:c r="B218" s="28" t="str">
        <x:v>Alder Holdings 241</x:v>
      </x:c>
      <x:c r="C218" s="28" t="str">
        <x:v>B-</x:v>
      </x:c>
      <x:c r="D218" s="28" t="str">
        <x:v>Software</x:v>
      </x:c>
      <x:c r="E218" s="28" t="str">
        <x:v>United States</x:v>
      </x:c>
      <x:c r="F218" s="66" t="n">
        <x:f>IF(A218="","",SUMIF('Portfolio Inputs'!B8:B289,A218,'Portfolio Inputs'!D8:D289))</x:f>
        <x:v>1182000</x:v>
      </x:c>
      <x:c r="G218" s="65" t="n">
        <x:f>IF(A218="","",COUNTIF('Portfolio Inputs'!B8:B289,A218))</x:f>
        <x:v>1</x:v>
      </x:c>
      <x:c r="H218" s="75" t="n">
        <x:f>IF(Portfolio_Par&gt;0,F218/Portfolio_Par,"")</x:f>
        <x:v>0.00394</x:v>
      </x:c>
      <x:c r="I218" s="196" t="n">
        <x:f>IF(Portfolio_Par&gt;0,H218^2,"")</x:f>
        <x:v>0.000015523599999999998</x:v>
      </x:c>
    </x:row>
    <x:row r="219" ht="21" customHeight="1">
      <x:c r="A219" s="28" t="str">
        <x:v>SYN-OB-0242</x:v>
      </x:c>
      <x:c r="B219" s="28" t="str">
        <x:v>Amber Inc. 242</x:v>
      </x:c>
      <x:c r="C219" s="28" t="str">
        <x:v>B+</x:v>
      </x:c>
      <x:c r="D219" s="28" t="str">
        <x:v>Media</x:v>
      </x:c>
      <x:c r="E219" s="28" t="str">
        <x:v>United States</x:v>
      </x:c>
      <x:c r="F219" s="66" t="n">
        <x:f>IF(A219="","",SUMIF('Portfolio Inputs'!B8:B289,A219,'Portfolio Inputs'!D8:D289))</x:f>
        <x:v>1182000</x:v>
      </x:c>
      <x:c r="G219" s="65" t="n">
        <x:f>IF(A219="","",COUNTIF('Portfolio Inputs'!B8:B289,A219))</x:f>
        <x:v>1</x:v>
      </x:c>
      <x:c r="H219" s="75" t="n">
        <x:f>IF(Portfolio_Par&gt;0,F219/Portfolio_Par,"")</x:f>
        <x:v>0.00394</x:v>
      </x:c>
      <x:c r="I219" s="196" t="n">
        <x:f>IF(Portfolio_Par&gt;0,H219^2,"")</x:f>
        <x:v>0.000015523599999999998</x:v>
      </x:c>
    </x:row>
    <x:row r="220" ht="21" customHeight="1">
      <x:c r="A220" s="28" t="str">
        <x:v>SYN-OB-0244</x:v>
      </x:c>
      <x:c r="B220" s="28" t="str">
        <x:v>Atlas Group 244</x:v>
      </x:c>
      <x:c r="C220" s="28" t="str">
        <x:v>B</x:v>
      </x:c>
      <x:c r="D220" s="28" t="str">
        <x:v>Healthcare Providers &amp; Services</x:v>
      </x:c>
      <x:c r="E220" s="28" t="str">
        <x:v>United States</x:v>
      </x:c>
      <x:c r="F220" s="66" t="n">
        <x:f>IF(A220="","",SUMIF('Portfolio Inputs'!B8:B289,A220,'Portfolio Inputs'!D8:D289))</x:f>
        <x:v>1182000</x:v>
      </x:c>
      <x:c r="G220" s="65" t="n">
        <x:f>IF(A220="","",COUNTIF('Portfolio Inputs'!B8:B289,A220))</x:f>
        <x:v>1</x:v>
      </x:c>
      <x:c r="H220" s="75" t="n">
        <x:f>IF(Portfolio_Par&gt;0,F220/Portfolio_Par,"")</x:f>
        <x:v>0.00394</x:v>
      </x:c>
      <x:c r="I220" s="196" t="n">
        <x:f>IF(Portfolio_Par&gt;0,H220^2,"")</x:f>
        <x:v>0.000015523599999999998</x:v>
      </x:c>
    </x:row>
    <x:row r="221" ht="21" customHeight="1">
      <x:c r="A221" s="28" t="str">
        <x:v>SYN-OB-0246</x:v>
      </x:c>
      <x:c r="B221" s="28" t="str">
        <x:v>Bluewater Holdings 246</x:v>
      </x:c>
      <x:c r="C221" s="28" t="str">
        <x:v>BB</x:v>
      </x:c>
      <x:c r="D221" s="28" t="str">
        <x:v>Trading Companies &amp; Distributors</x:v>
      </x:c>
      <x:c r="E221" s="28" t="str">
        <x:v>United States</x:v>
      </x:c>
      <x:c r="F221" s="66" t="n">
        <x:f>IF(A221="","",SUMIF('Portfolio Inputs'!B8:B289,A221,'Portfolio Inputs'!D8:D289))</x:f>
        <x:v>1182000</x:v>
      </x:c>
      <x:c r="G221" s="65" t="n">
        <x:f>IF(A221="","",COUNTIF('Portfolio Inputs'!B8:B289,A221))</x:f>
        <x:v>1</x:v>
      </x:c>
      <x:c r="H221" s="75" t="n">
        <x:f>IF(Portfolio_Par&gt;0,F221/Portfolio_Par,"")</x:f>
        <x:v>0.00394</x:v>
      </x:c>
      <x:c r="I221" s="196" t="n">
        <x:f>IF(Portfolio_Par&gt;0,H221^2,"")</x:f>
        <x:v>0.000015523599999999998</x:v>
      </x:c>
    </x:row>
    <x:row r="222" ht="21" customHeight="1">
      <x:c r="A222" s="28" t="str">
        <x:v>SYN-OB-0247</x:v>
      </x:c>
      <x:c r="B222" s="28" t="str">
        <x:v>Bracken Inc. 247</x:v>
      </x:c>
      <x:c r="C222" s="28" t="str">
        <x:v>B</x:v>
      </x:c>
      <x:c r="D222" s="28" t="str">
        <x:v>Aerospace &amp; Defense</x:v>
      </x:c>
      <x:c r="E222" s="28" t="str">
        <x:v>United States</x:v>
      </x:c>
      <x:c r="F222" s="66" t="n">
        <x:f>IF(A222="","",SUMIF('Portfolio Inputs'!B8:B289,A222,'Portfolio Inputs'!D8:D289))</x:f>
        <x:v>1182000</x:v>
      </x:c>
      <x:c r="G222" s="65" t="n">
        <x:f>IF(A222="","",COUNTIF('Portfolio Inputs'!B8:B289,A222))</x:f>
        <x:v>1</x:v>
      </x:c>
      <x:c r="H222" s="75" t="n">
        <x:f>IF(Portfolio_Par&gt;0,F222/Portfolio_Par,"")</x:f>
        <x:v>0.00394</x:v>
      </x:c>
      <x:c r="I222" s="196" t="n">
        <x:f>IF(Portfolio_Par&gt;0,H222^2,"")</x:f>
        <x:v>0.000015523599999999998</x:v>
      </x:c>
    </x:row>
    <x:row r="223" ht="21" customHeight="1">
      <x:c r="A223" s="28" t="str">
        <x:v>SYN-OB-0249</x:v>
      </x:c>
      <x:c r="B223" s="28" t="str">
        <x:v>Cobalt Group 249</x:v>
      </x:c>
      <x:c r="C223" s="28" t="str">
        <x:v>BB-</x:v>
      </x:c>
      <x:c r="D223" s="28" t="str">
        <x:v>Hotels, Restaurants &amp; Leisure</x:v>
      </x:c>
      <x:c r="E223" s="28" t="str">
        <x:v>United States</x:v>
      </x:c>
      <x:c r="F223" s="66" t="n">
        <x:f>IF(A223="","",SUMIF('Portfolio Inputs'!B8:B289,A223,'Portfolio Inputs'!D8:D289))</x:f>
        <x:v>1182000</x:v>
      </x:c>
      <x:c r="G223" s="65" t="n">
        <x:f>IF(A223="","",COUNTIF('Portfolio Inputs'!B8:B289,A223))</x:f>
        <x:v>1</x:v>
      </x:c>
      <x:c r="H223" s="75" t="n">
        <x:f>IF(Portfolio_Par&gt;0,F223/Portfolio_Par,"")</x:f>
        <x:v>0.00394</x:v>
      </x:c>
      <x:c r="I223" s="196" t="n">
        <x:f>IF(Portfolio_Par&gt;0,H223^2,"")</x:f>
        <x:v>0.000015523599999999998</x:v>
      </x:c>
    </x:row>
    <x:row r="224" ht="21" customHeight="1">
      <x:c r="A224" s="28" t="str">
        <x:v>SYN-OB-0250</x:v>
      </x:c>
      <x:c r="B224" s="28" t="str">
        <x:v>Copper LLC 250</x:v>
      </x:c>
      <x:c r="C224" s="28" t="str">
        <x:v>B+</x:v>
      </x:c>
      <x:c r="D224" s="28" t="str">
        <x:v>Independent Power and Renewable Electricity Producers</x:v>
      </x:c>
      <x:c r="E224" s="28" t="str">
        <x:v>United States</x:v>
      </x:c>
      <x:c r="F224" s="66" t="n">
        <x:f>IF(A224="","",SUMIF('Portfolio Inputs'!B8:B289,A224,'Portfolio Inputs'!D8:D289))</x:f>
        <x:v>1182000</x:v>
      </x:c>
      <x:c r="G224" s="65" t="n">
        <x:f>IF(A224="","",COUNTIF('Portfolio Inputs'!B8:B289,A224))</x:f>
        <x:v>1</x:v>
      </x:c>
      <x:c r="H224" s="75" t="n">
        <x:f>IF(Portfolio_Par&gt;0,F224/Portfolio_Par,"")</x:f>
        <x:v>0.00394</x:v>
      </x:c>
      <x:c r="I224" s="196" t="n">
        <x:f>IF(Portfolio_Par&gt;0,H224^2,"")</x:f>
        <x:v>0.000015523599999999998</x:v>
      </x:c>
    </x:row>
    <x:row r="225" ht="21" customHeight="1">
      <x:c r="A225" s="28" t="str">
        <x:v>SYN-OB-0252</x:v>
      </x:c>
      <x:c r="B225" s="28" t="str">
        <x:v>Duneland Inc. 252</x:v>
      </x:c>
      <x:c r="C225" s="28" t="str">
        <x:v>BB-</x:v>
      </x:c>
      <x:c r="D225" s="28" t="str">
        <x:v>Oil, Gas &amp; Consumable Fuels</x:v>
      </x:c>
      <x:c r="E225" s="28" t="str">
        <x:v>United States</x:v>
      </x:c>
      <x:c r="F225" s="66" t="n">
        <x:f>IF(A225="","",SUMIF('Portfolio Inputs'!B8:B289,A225,'Portfolio Inputs'!D8:D289))</x:f>
        <x:v>1182000</x:v>
      </x:c>
      <x:c r="G225" s="65" t="n">
        <x:f>IF(A225="","",COUNTIF('Portfolio Inputs'!B8:B289,A225))</x:f>
        <x:v>1</x:v>
      </x:c>
      <x:c r="H225" s="75" t="n">
        <x:f>IF(Portfolio_Par&gt;0,F225/Portfolio_Par,"")</x:f>
        <x:v>0.00394</x:v>
      </x:c>
      <x:c r="I225" s="196" t="n">
        <x:f>IF(Portfolio_Par&gt;0,H225^2,"")</x:f>
        <x:v>0.000015523599999999998</x:v>
      </x:c>
    </x:row>
    <x:row r="226" ht="21" customHeight="1">
      <x:c r="A226" s="28" t="str">
        <x:v>SYN-OB-0253</x:v>
      </x:c>
      <x:c r="B226" s="28" t="str">
        <x:v>Elmstone Corp. 253</x:v>
      </x:c>
      <x:c r="C226" s="28" t="str">
        <x:v>BB</x:v>
      </x:c>
      <x:c r="D226" s="28" t="str">
        <x:v>Commercial Services &amp; Supplies</x:v>
      </x:c>
      <x:c r="E226" s="28" t="str">
        <x:v>United States</x:v>
      </x:c>
      <x:c r="F226" s="66" t="n">
        <x:f>IF(A226="","",SUMIF('Portfolio Inputs'!B8:B289,A226,'Portfolio Inputs'!D8:D289))</x:f>
        <x:v>1182000</x:v>
      </x:c>
      <x:c r="G226" s="65" t="n">
        <x:f>IF(A226="","",COUNTIF('Portfolio Inputs'!B8:B289,A226))</x:f>
        <x:v>1</x:v>
      </x:c>
      <x:c r="H226" s="75" t="n">
        <x:f>IF(Portfolio_Par&gt;0,F226/Portfolio_Par,"")</x:f>
        <x:v>0.00394</x:v>
      </x:c>
      <x:c r="I226" s="196" t="n">
        <x:f>IF(Portfolio_Par&gt;0,H226^2,"")</x:f>
        <x:v>0.000015523599999999998</x:v>
      </x:c>
    </x:row>
    <x:row r="227" ht="21" customHeight="1">
      <x:c r="A227" s="28" t="str">
        <x:v>SYN-OB-0254</x:v>
      </x:c>
      <x:c r="B227" s="28" t="str">
        <x:v>Evergreen Group 254</x:v>
      </x:c>
      <x:c r="C227" s="28" t="str">
        <x:v>B</x:v>
      </x:c>
      <x:c r="D227" s="28" t="str">
        <x:v>Software</x:v>
      </x:c>
      <x:c r="E227" s="28" t="str">
        <x:v>United States</x:v>
      </x:c>
      <x:c r="F227" s="66" t="n">
        <x:f>IF(A227="","",SUMIF('Portfolio Inputs'!B8:B289,A227,'Portfolio Inputs'!D8:D289))</x:f>
        <x:v>1182000</x:v>
      </x:c>
      <x:c r="G227" s="65" t="n">
        <x:f>IF(A227="","",COUNTIF('Portfolio Inputs'!B8:B289,A227))</x:f>
        <x:v>1</x:v>
      </x:c>
      <x:c r="H227" s="75" t="n">
        <x:f>IF(Portfolio_Par&gt;0,F227/Portfolio_Par,"")</x:f>
        <x:v>0.00394</x:v>
      </x:c>
      <x:c r="I227" s="196" t="n">
        <x:f>IF(Portfolio_Par&gt;0,H227^2,"")</x:f>
        <x:v>0.000015523599999999998</x:v>
      </x:c>
    </x:row>
    <x:row r="228" ht="21" customHeight="1">
      <x:c r="A228" s="28" t="str">
        <x:v>SYN-OB-0255</x:v>
      </x:c>
      <x:c r="B228" s="28" t="str">
        <x:v>Fairhaven LLC 255</x:v>
      </x:c>
      <x:c r="C228" s="28" t="str">
        <x:v>B+</x:v>
      </x:c>
      <x:c r="D228" s="28" t="str">
        <x:v>Insurance</x:v>
      </x:c>
      <x:c r="E228" s="28" t="str">
        <x:v>United States</x:v>
      </x:c>
      <x:c r="F228" s="66" t="n">
        <x:f>IF(A228="","",SUMIF('Portfolio Inputs'!B8:B289,A228,'Portfolio Inputs'!D8:D289))</x:f>
        <x:v>1182000</x:v>
      </x:c>
      <x:c r="G228" s="65" t="n">
        <x:f>IF(A228="","",COUNTIF('Portfolio Inputs'!B8:B289,A228))</x:f>
        <x:v>1</x:v>
      </x:c>
      <x:c r="H228" s="75" t="n">
        <x:f>IF(Portfolio_Par&gt;0,F228/Portfolio_Par,"")</x:f>
        <x:v>0.00394</x:v>
      </x:c>
      <x:c r="I228" s="196" t="n">
        <x:f>IF(Portfolio_Par&gt;0,H228^2,"")</x:f>
        <x:v>0.000015523599999999998</x:v>
      </x:c>
    </x:row>
    <x:row r="229" ht="21" customHeight="1">
      <x:c r="A229" s="28" t="str">
        <x:v>SYN-OB-0256</x:v>
      </x:c>
      <x:c r="B229" s="28" t="str">
        <x:v>Granite Holdings 256</x:v>
      </x:c>
      <x:c r="C229" s="28" t="str">
        <x:v>B+</x:v>
      </x:c>
      <x:c r="D229" s="28" t="str">
        <x:v>Industrial Conglomerates</x:v>
      </x:c>
      <x:c r="E229" s="28" t="str">
        <x:v>United States</x:v>
      </x:c>
      <x:c r="F229" s="66" t="n">
        <x:f>IF(A229="","",SUMIF('Portfolio Inputs'!B8:B289,A229,'Portfolio Inputs'!D8:D289))</x:f>
        <x:v>1182000</x:v>
      </x:c>
      <x:c r="G229" s="65" t="n">
        <x:f>IF(A229="","",COUNTIF('Portfolio Inputs'!B8:B289,A229))</x:f>
        <x:v>1</x:v>
      </x:c>
      <x:c r="H229" s="75" t="n">
        <x:f>IF(Portfolio_Par&gt;0,F229/Portfolio_Par,"")</x:f>
        <x:v>0.00394</x:v>
      </x:c>
      <x:c r="I229" s="196" t="n">
        <x:f>IF(Portfolio_Par&gt;0,H229^2,"")</x:f>
        <x:v>0.000015523599999999998</x:v>
      </x:c>
    </x:row>
    <x:row r="230" ht="21" customHeight="1">
      <x:c r="A230" s="28" t="str">
        <x:v>SYN-OB-0257</x:v>
      </x:c>
      <x:c r="B230" s="28" t="str">
        <x:v>Harbor Inc. 257</x:v>
      </x:c>
      <x:c r="C230" s="28" t="str">
        <x:v>B+</x:v>
      </x:c>
      <x:c r="D230" s="28" t="str">
        <x:v>Insurance</x:v>
      </x:c>
      <x:c r="E230" s="28" t="str">
        <x:v>United States</x:v>
      </x:c>
      <x:c r="F230" s="66" t="n">
        <x:f>IF(A230="","",SUMIF('Portfolio Inputs'!B8:B289,A230,'Portfolio Inputs'!D8:D289))</x:f>
        <x:v>1182000</x:v>
      </x:c>
      <x:c r="G230" s="65" t="n">
        <x:f>IF(A230="","",COUNTIF('Portfolio Inputs'!B8:B289,A230))</x:f>
        <x:v>1</x:v>
      </x:c>
      <x:c r="H230" s="75" t="n">
        <x:f>IF(Portfolio_Par&gt;0,F230/Portfolio_Par,"")</x:f>
        <x:v>0.00394</x:v>
      </x:c>
      <x:c r="I230" s="196" t="n">
        <x:f>IF(Portfolio_Par&gt;0,H230^2,"")</x:f>
        <x:v>0.000015523599999999998</x:v>
      </x:c>
    </x:row>
    <x:row r="231" ht="21" customHeight="1">
      <x:c r="A231" s="28" t="str">
        <x:v>SYN-OB-0258</x:v>
      </x:c>
      <x:c r="B231" s="28" t="str">
        <x:v>Hawthorne Corp. 258</x:v>
      </x:c>
      <x:c r="C231" s="28" t="str">
        <x:v>B+</x:v>
      </x:c>
      <x:c r="D231" s="28" t="str">
        <x:v>Insurance</x:v>
      </x:c>
      <x:c r="E231" s="28" t="str">
        <x:v>United States</x:v>
      </x:c>
      <x:c r="F231" s="66" t="n">
        <x:f>IF(A231="","",SUMIF('Portfolio Inputs'!B8:B289,A231,'Portfolio Inputs'!D8:D289))</x:f>
        <x:v>1182000</x:v>
      </x:c>
      <x:c r="G231" s="65" t="n">
        <x:f>IF(A231="","",COUNTIF('Portfolio Inputs'!B8:B289,A231))</x:f>
        <x:v>1</x:v>
      </x:c>
      <x:c r="H231" s="75" t="n">
        <x:f>IF(Portfolio_Par&gt;0,F231/Portfolio_Par,"")</x:f>
        <x:v>0.00394</x:v>
      </x:c>
      <x:c r="I231" s="196" t="n">
        <x:f>IF(Portfolio_Par&gt;0,H231^2,"")</x:f>
        <x:v>0.000015523599999999998</x:v>
      </x:c>
    </x:row>
    <x:row r="232" ht="21" customHeight="1">
      <x:c r="A232" s="28" t="str">
        <x:v>SYN-OB-0259</x:v>
      </x:c>
      <x:c r="B232" s="28" t="str">
        <x:v>Highland Group 259</x:v>
      </x:c>
      <x:c r="C232" s="28" t="str">
        <x:v>B-</x:v>
      </x:c>
      <x:c r="D232" s="28" t="str">
        <x:v>Containers &amp; Packaging</x:v>
      </x:c>
      <x:c r="E232" s="28" t="str">
        <x:v>United States</x:v>
      </x:c>
      <x:c r="F232" s="66" t="n">
        <x:f>IF(A232="","",SUMIF('Portfolio Inputs'!B8:B289,A232,'Portfolio Inputs'!D8:D289))</x:f>
        <x:v>1182000</x:v>
      </x:c>
      <x:c r="G232" s="65" t="n">
        <x:f>IF(A232="","",COUNTIF('Portfolio Inputs'!B8:B289,A232))</x:f>
        <x:v>2</x:v>
      </x:c>
      <x:c r="H232" s="75" t="n">
        <x:f>IF(Portfolio_Par&gt;0,F232/Portfolio_Par,"")</x:f>
        <x:v>0.00394</x:v>
      </x:c>
      <x:c r="I232" s="196" t="n">
        <x:f>IF(Portfolio_Par&gt;0,H232^2,"")</x:f>
        <x:v>0.000015523599999999998</x:v>
      </x:c>
    </x:row>
    <x:row r="233" ht="21" customHeight="1">
      <x:c r="A233" s="28" t="str">
        <x:v>SYN-OB-0260</x:v>
      </x:c>
      <x:c r="B233" s="28" t="str">
        <x:v>Ironwood LLC 260</x:v>
      </x:c>
      <x:c r="C233" s="28" t="str">
        <x:v>B-</x:v>
      </x:c>
      <x:c r="D233" s="28" t="str">
        <x:v>Containers &amp; Packaging</x:v>
      </x:c>
      <x:c r="E233" s="28" t="str">
        <x:v>United States</x:v>
      </x:c>
      <x:c r="F233" s="66" t="n">
        <x:f>IF(A233="","",SUMIF('Portfolio Inputs'!B8:B289,A233,'Portfolio Inputs'!D8:D289))</x:f>
        <x:v>1182000</x:v>
      </x:c>
      <x:c r="G233" s="65" t="n">
        <x:f>IF(A233="","",COUNTIF('Portfolio Inputs'!B8:B289,A233))</x:f>
        <x:v>1</x:v>
      </x:c>
      <x:c r="H233" s="75" t="n">
        <x:f>IF(Portfolio_Par&gt;0,F233/Portfolio_Par,"")</x:f>
        <x:v>0.00394</x:v>
      </x:c>
      <x:c r="I233" s="196" t="n">
        <x:f>IF(Portfolio_Par&gt;0,H233^2,"")</x:f>
        <x:v>0.000015523599999999998</x:v>
      </x:c>
    </x:row>
    <x:row r="234" ht="21" customHeight="1">
      <x:c r="A234" s="28" t="str">
        <x:v>SYN-OB-0261</x:v>
      </x:c>
      <x:c r="B234" s="28" t="str">
        <x:v>Juniper Holdings 261</x:v>
      </x:c>
      <x:c r="C234" s="28" t="str">
        <x:v>BB-</x:v>
      </x:c>
      <x:c r="D234" s="28" t="str">
        <x:v>Food Products</x:v>
      </x:c>
      <x:c r="E234" s="28" t="str">
        <x:v>United States</x:v>
      </x:c>
      <x:c r="F234" s="66" t="n">
        <x:f>IF(A234="","",SUMIF('Portfolio Inputs'!B8:B289,A234,'Portfolio Inputs'!D8:D289))</x:f>
        <x:v>1182000</x:v>
      </x:c>
      <x:c r="G234" s="65" t="n">
        <x:f>IF(A234="","",COUNTIF('Portfolio Inputs'!B8:B289,A234))</x:f>
        <x:v>1</x:v>
      </x:c>
      <x:c r="H234" s="75" t="n">
        <x:f>IF(Portfolio_Par&gt;0,F234/Portfolio_Par,"")</x:f>
        <x:v>0.00394</x:v>
      </x:c>
      <x:c r="I234" s="196" t="n">
        <x:f>IF(Portfolio_Par&gt;0,H234^2,"")</x:f>
        <x:v>0.000015523599999999998</x:v>
      </x:c>
    </x:row>
    <x:row r="235" ht="21" customHeight="1">
      <x:c r="A235" s="28" t="str">
        <x:v>SYN-OB-0262</x:v>
      </x:c>
      <x:c r="B235" s="28" t="str">
        <x:v>Keystone Inc. 262</x:v>
      </x:c>
      <x:c r="C235" s="28" t="str">
        <x:v>B-</x:v>
      </x:c>
      <x:c r="D235" s="28" t="str">
        <x:v>Healthcare Providers &amp; Services</x:v>
      </x:c>
      <x:c r="E235" s="28" t="str">
        <x:v>United States</x:v>
      </x:c>
      <x:c r="F235" s="66" t="n">
        <x:f>IF(A235="","",SUMIF('Portfolio Inputs'!B8:B289,A235,'Portfolio Inputs'!D8:D289))</x:f>
        <x:v>1182000</x:v>
      </x:c>
      <x:c r="G235" s="65" t="n">
        <x:f>IF(A235="","",COUNTIF('Portfolio Inputs'!B8:B289,A235))</x:f>
        <x:v>1</x:v>
      </x:c>
      <x:c r="H235" s="75" t="n">
        <x:f>IF(Portfolio_Par&gt;0,F235/Portfolio_Par,"")</x:f>
        <x:v>0.00394</x:v>
      </x:c>
      <x:c r="I235" s="196" t="n">
        <x:f>IF(Portfolio_Par&gt;0,H235^2,"")</x:f>
        <x:v>0.000015523599999999998</x:v>
      </x:c>
    </x:row>
    <x:row r="236" ht="21" customHeight="1">
      <x:c r="A236" s="28" t="str">
        <x:v>SYN-OB-0264</x:v>
      </x:c>
      <x:c r="B236" s="28" t="str">
        <x:v>Larkspur Group 264</x:v>
      </x:c>
      <x:c r="C236" s="28" t="str">
        <x:v>B</x:v>
      </x:c>
      <x:c r="D236" s="28" t="str">
        <x:v>Diversified Consumer Services</x:v>
      </x:c>
      <x:c r="E236" s="28" t="str">
        <x:v>United States</x:v>
      </x:c>
      <x:c r="F236" s="66" t="n">
        <x:f>IF(A236="","",SUMIF('Portfolio Inputs'!B8:B289,A236,'Portfolio Inputs'!D8:D289))</x:f>
        <x:v>1182000</x:v>
      </x:c>
      <x:c r="G236" s="65" t="n">
        <x:f>IF(A236="","",COUNTIF('Portfolio Inputs'!B8:B289,A236))</x:f>
        <x:v>1</x:v>
      </x:c>
      <x:c r="H236" s="75" t="n">
        <x:f>IF(Portfolio_Par&gt;0,F236/Portfolio_Par,"")</x:f>
        <x:v>0.00394</x:v>
      </x:c>
      <x:c r="I236" s="196" t="n">
        <x:f>IF(Portfolio_Par&gt;0,H236^2,"")</x:f>
        <x:v>0.000015523599999999998</x:v>
      </x:c>
    </x:row>
    <x:row r="237" ht="21" customHeight="1">
      <x:c r="A237" s="28" t="str">
        <x:v>SYN-OB-0265</x:v>
      </x:c>
      <x:c r="B237" s="28" t="str">
        <x:v>Maple LLC 265</x:v>
      </x:c>
      <x:c r="C237" s="28" t="str">
        <x:v>B-</x:v>
      </x:c>
      <x:c r="D237" s="28" t="str">
        <x:v>Communications Equipment</x:v>
      </x:c>
      <x:c r="E237" s="28" t="str">
        <x:v>United Kingdom</x:v>
      </x:c>
      <x:c r="F237" s="66" t="n">
        <x:f>IF(A237="","",SUMIF('Portfolio Inputs'!B8:B289,A237,'Portfolio Inputs'!D8:D289))</x:f>
        <x:v>1182000</x:v>
      </x:c>
      <x:c r="G237" s="65" t="n">
        <x:f>IF(A237="","",COUNTIF('Portfolio Inputs'!B8:B289,A237))</x:f>
        <x:v>1</x:v>
      </x:c>
      <x:c r="H237" s="75" t="n">
        <x:f>IF(Portfolio_Par&gt;0,F237/Portfolio_Par,"")</x:f>
        <x:v>0.00394</x:v>
      </x:c>
      <x:c r="I237" s="196" t="n">
        <x:f>IF(Portfolio_Par&gt;0,H237^2,"")</x:f>
        <x:v>0.000015523599999999998</x:v>
      </x:c>
    </x:row>
    <x:row r="238" ht="21" customHeight="1">
      <x:c r="A238" s="28" t="str">
        <x:v>SYN-OB-0266</x:v>
      </x:c>
      <x:c r="B238" s="28" t="str">
        <x:v>Meridian Holdings 266</x:v>
      </x:c>
      <x:c r="C238" s="28" t="str">
        <x:v>BB</x:v>
      </x:c>
      <x:c r="D238" s="28" t="str">
        <x:v>Construction Materials</x:v>
      </x:c>
      <x:c r="E238" s="28" t="str">
        <x:v>United States</x:v>
      </x:c>
      <x:c r="F238" s="66" t="n">
        <x:f>IF(A238="","",SUMIF('Portfolio Inputs'!B8:B289,A238,'Portfolio Inputs'!D8:D289))</x:f>
        <x:v>1182000</x:v>
      </x:c>
      <x:c r="G238" s="65" t="n">
        <x:f>IF(A238="","",COUNTIF('Portfolio Inputs'!B8:B289,A238))</x:f>
        <x:v>1</x:v>
      </x:c>
      <x:c r="H238" s="75" t="n">
        <x:f>IF(Portfolio_Par&gt;0,F238/Portfolio_Par,"")</x:f>
        <x:v>0.00394</x:v>
      </x:c>
      <x:c r="I238" s="196" t="n">
        <x:f>IF(Portfolio_Par&gt;0,H238^2,"")</x:f>
        <x:v>0.000015523599999999998</x:v>
      </x:c>
    </x:row>
    <x:row r="239" ht="21" customHeight="1">
      <x:c r="A239" s="28" t="str">
        <x:v>SYN-OB-0267</x:v>
      </x:c>
      <x:c r="B239" s="28" t="str">
        <x:v>Northfield Inc. 267</x:v>
      </x:c>
      <x:c r="C239" s="28" t="str">
        <x:v>BB-</x:v>
      </x:c>
      <x:c r="D239" s="28" t="str">
        <x:v>Food Products</x:v>
      </x:c>
      <x:c r="E239" s="28" t="str">
        <x:v>United States</x:v>
      </x:c>
      <x:c r="F239" s="66" t="n">
        <x:f>IF(A239="","",SUMIF('Portfolio Inputs'!B8:B289,A239,'Portfolio Inputs'!D8:D289))</x:f>
        <x:v>1182000</x:v>
      </x:c>
      <x:c r="G239" s="65" t="n">
        <x:f>IF(A239="","",COUNTIF('Portfolio Inputs'!B8:B289,A239))</x:f>
        <x:v>2</x:v>
      </x:c>
      <x:c r="H239" s="75" t="n">
        <x:f>IF(Portfolio_Par&gt;0,F239/Portfolio_Par,"")</x:f>
        <x:v>0.00394</x:v>
      </x:c>
      <x:c r="I239" s="196" t="n">
        <x:f>IF(Portfolio_Par&gt;0,H239^2,"")</x:f>
        <x:v>0.000015523599999999998</x:v>
      </x:c>
    </x:row>
    <x:row r="240" ht="21" customHeight="1">
      <x:c r="A240" s="28" t="str">
        <x:v>SYN-OB-0268</x:v>
      </x:c>
      <x:c r="B240" s="28" t="str">
        <x:v>Oakmont Corp. 268</x:v>
      </x:c>
      <x:c r="C240" s="28" t="str">
        <x:v>BB-</x:v>
      </x:c>
      <x:c r="D240" s="28" t="str">
        <x:v>Food Products</x:v>
      </x:c>
      <x:c r="E240" s="28" t="str">
        <x:v>United States</x:v>
      </x:c>
      <x:c r="F240" s="66" t="n">
        <x:f>IF(A240="","",SUMIF('Portfolio Inputs'!B8:B289,A240,'Portfolio Inputs'!D8:D289))</x:f>
        <x:v>1182000</x:v>
      </x:c>
      <x:c r="G240" s="65" t="n">
        <x:f>IF(A240="","",COUNTIF('Portfolio Inputs'!B8:B289,A240))</x:f>
        <x:v>2</x:v>
      </x:c>
      <x:c r="H240" s="75" t="n">
        <x:f>IF(Portfolio_Par&gt;0,F240/Portfolio_Par,"")</x:f>
        <x:v>0.00394</x:v>
      </x:c>
      <x:c r="I240" s="196" t="n">
        <x:f>IF(Portfolio_Par&gt;0,H240^2,"")</x:f>
        <x:v>0.000015523599999999998</x:v>
      </x:c>
    </x:row>
    <x:row r="241" ht="21" customHeight="1">
      <x:c r="A241" s="28" t="str">
        <x:v>SYN-OB-0269</x:v>
      </x:c>
      <x:c r="B241" s="28" t="str">
        <x:v>Orchard Group 269</x:v>
      </x:c>
      <x:c r="C241" s="28" t="str">
        <x:v>BB-</x:v>
      </x:c>
      <x:c r="D241" s="28" t="str">
        <x:v>Household Durables</x:v>
      </x:c>
      <x:c r="E241" s="28" t="str">
        <x:v>United States</x:v>
      </x:c>
      <x:c r="F241" s="66" t="n">
        <x:f>IF(A241="","",SUMIF('Portfolio Inputs'!B8:B289,A241,'Portfolio Inputs'!D8:D289))</x:f>
        <x:v>1182000</x:v>
      </x:c>
      <x:c r="G241" s="65" t="n">
        <x:f>IF(A241="","",COUNTIF('Portfolio Inputs'!B8:B289,A241))</x:f>
        <x:v>1</x:v>
      </x:c>
      <x:c r="H241" s="75" t="n">
        <x:f>IF(Portfolio_Par&gt;0,F241/Portfolio_Par,"")</x:f>
        <x:v>0.00394</x:v>
      </x:c>
      <x:c r="I241" s="196" t="n">
        <x:f>IF(Portfolio_Par&gt;0,H241^2,"")</x:f>
        <x:v>0.000015523599999999998</x:v>
      </x:c>
    </x:row>
    <x:row r="242" ht="21" customHeight="1">
      <x:c r="A242" s="28" t="str">
        <x:v>SYN-OB-0270</x:v>
      </x:c>
      <x:c r="B242" s="28" t="str">
        <x:v>Pinecrest LLC 270</x:v>
      </x:c>
      <x:c r="C242" s="28" t="str">
        <x:v>B-</x:v>
      </x:c>
      <x:c r="D242" s="28" t="str">
        <x:v>Pharmaceuticals</x:v>
      </x:c>
      <x:c r="E242" s="28" t="str">
        <x:v>Luxembourg</x:v>
      </x:c>
      <x:c r="F242" s="66" t="n">
        <x:f>IF(A242="","",SUMIF('Portfolio Inputs'!B8:B289,A242,'Portfolio Inputs'!D8:D289))</x:f>
        <x:v>1182000</x:v>
      </x:c>
      <x:c r="G242" s="65" t="n">
        <x:f>IF(A242="","",COUNTIF('Portfolio Inputs'!B8:B289,A242))</x:f>
        <x:v>1</x:v>
      </x:c>
      <x:c r="H242" s="75" t="n">
        <x:f>IF(Portfolio_Par&gt;0,F242/Portfolio_Par,"")</x:f>
        <x:v>0.00394</x:v>
      </x:c>
      <x:c r="I242" s="196" t="n">
        <x:f>IF(Portfolio_Par&gt;0,H242^2,"")</x:f>
        <x:v>0.000015523599999999998</x:v>
      </x:c>
    </x:row>
    <x:row r="243" ht="21" customHeight="1">
      <x:c r="A243" s="28" t="str">
        <x:v>SYN-OB-0015</x:v>
      </x:c>
      <x:c r="B243" s="28" t="str">
        <x:v>Fairhaven LLC 015</x:v>
      </x:c>
      <x:c r="C243" s="28" t="str">
        <x:v>BB-</x:v>
      </x:c>
      <x:c r="D243" s="28" t="str">
        <x:v>Beverages</x:v>
      </x:c>
      <x:c r="E243" s="28" t="str">
        <x:v>Switzerland</x:v>
      </x:c>
      <x:c r="F243" s="66" t="n">
        <x:f>IF(A243="","",SUMIF('Portfolio Inputs'!B8:B289,A243,'Portfolio Inputs'!D8:D289))</x:f>
        <x:v>630000</x:v>
      </x:c>
      <x:c r="G243" s="65" t="n">
        <x:f>IF(A243="","",COUNTIF('Portfolio Inputs'!B8:B289,A243))</x:f>
        <x:v>1</x:v>
      </x:c>
      <x:c r="H243" s="75" t="n">
        <x:f>IF(Portfolio_Par&gt;0,F243/Portfolio_Par,"")</x:f>
        <x:v>0.0021</x:v>
      </x:c>
      <x:c r="I243" s="196" t="n">
        <x:f>IF(Portfolio_Par&gt;0,H243^2,"")</x:f>
        <x:v>0.000004409999999999999</x:v>
      </x:c>
    </x:row>
    <x:row r="244" ht="21" customHeight="1">
      <x:c r="A244" s="28" t="str">
        <x:v>SYN-OB-0027</x:v>
      </x:c>
      <x:c r="B244" s="28" t="str">
        <x:v>Northfield Inc. 027</x:v>
      </x:c>
      <x:c r="C244" s="28" t="str">
        <x:v>B</x:v>
      </x:c>
      <x:c r="D244" s="28" t="str">
        <x:v>Aerospace &amp; Defense</x:v>
      </x:c>
      <x:c r="E244" s="28" t="str">
        <x:v>Luxembourg</x:v>
      </x:c>
      <x:c r="F244" s="66" t="n">
        <x:f>IF(A244="","",SUMIF('Portfolio Inputs'!B8:B289,A244,'Portfolio Inputs'!D8:D289))</x:f>
        <x:v>630000</x:v>
      </x:c>
      <x:c r="G244" s="65" t="n">
        <x:f>IF(A244="","",COUNTIF('Portfolio Inputs'!B8:B289,A244))</x:f>
        <x:v>1</x:v>
      </x:c>
      <x:c r="H244" s="75" t="n">
        <x:f>IF(Portfolio_Par&gt;0,F244/Portfolio_Par,"")</x:f>
        <x:v>0.0021</x:v>
      </x:c>
      <x:c r="I244" s="196" t="n">
        <x:f>IF(Portfolio_Par&gt;0,H244^2,"")</x:f>
        <x:v>0.000004409999999999999</x:v>
      </x:c>
    </x:row>
    <x:row r="245" ht="21" customHeight="1">
      <x:c r="A245" s="28" t="str">
        <x:v>SYN-OB-0038</x:v>
      </x:c>
      <x:c r="B245" s="28" t="str">
        <x:v>Willow Corp. 038</x:v>
      </x:c>
      <x:c r="C245" s="28" t="str">
        <x:v>BB</x:v>
      </x:c>
      <x:c r="D245" s="28" t="str">
        <x:v>Auto Components</x:v>
      </x:c>
      <x:c r="E245" s="28" t="str">
        <x:v>Canada</x:v>
      </x:c>
      <x:c r="F245" s="66" t="n">
        <x:f>IF(A245="","",SUMIF('Portfolio Inputs'!B8:B289,A245,'Portfolio Inputs'!D8:D289))</x:f>
        <x:v>630000</x:v>
      </x:c>
      <x:c r="G245" s="65" t="n">
        <x:f>IF(A245="","",COUNTIF('Portfolio Inputs'!B8:B289,A245))</x:f>
        <x:v>1</x:v>
      </x:c>
      <x:c r="H245" s="75" t="n">
        <x:f>IF(Portfolio_Par&gt;0,F245/Portfolio_Par,"")</x:f>
        <x:v>0.0021</x:v>
      </x:c>
      <x:c r="I245" s="196" t="n">
        <x:f>IF(Portfolio_Par&gt;0,H245^2,"")</x:f>
        <x:v>0.000004409999999999999</x:v>
      </x:c>
    </x:row>
    <x:row r="246" ht="21" customHeight="1">
      <x:c r="A246" s="28" t="str">
        <x:v>SYN-OB-0048</x:v>
      </x:c>
      <x:c r="B246" s="28" t="str">
        <x:v>Cedar Corp. 048</x:v>
      </x:c>
      <x:c r="C246" s="28" t="str">
        <x:v>BBB-</x:v>
      </x:c>
      <x:c r="D246" s="28" t="str">
        <x:v>Financial services</x:v>
      </x:c>
      <x:c r="E246" s="28" t="str">
        <x:v>Netherlands</x:v>
      </x:c>
      <x:c r="F246" s="66" t="n">
        <x:f>IF(A246="","",SUMIF('Portfolio Inputs'!B8:B289,A246,'Portfolio Inputs'!D8:D289))</x:f>
        <x:v>630000</x:v>
      </x:c>
      <x:c r="G246" s="65" t="n">
        <x:f>IF(A246="","",COUNTIF('Portfolio Inputs'!B8:B289,A246))</x:f>
        <x:v>1</x:v>
      </x:c>
      <x:c r="H246" s="75" t="n">
        <x:f>IF(Portfolio_Par&gt;0,F246/Portfolio_Par,"")</x:f>
        <x:v>0.0021</x:v>
      </x:c>
      <x:c r="I246" s="196" t="n">
        <x:f>IF(Portfolio_Par&gt;0,H246^2,"")</x:f>
        <x:v>0.000004409999999999999</x:v>
      </x:c>
    </x:row>
    <x:row r="247" ht="21" customHeight="1">
      <x:c r="A247" s="28" t="str">
        <x:v>SYN-OB-0050</x:v>
      </x:c>
      <x:c r="B247" s="28" t="str">
        <x:v>Copper LLC 050</x:v>
      </x:c>
      <x:c r="C247" s="28" t="str">
        <x:v>BB+</x:v>
      </x:c>
      <x:c r="D247" s="28" t="str">
        <x:v>Construction &amp; Engineering</x:v>
      </x:c>
      <x:c r="E247" s="28" t="str">
        <x:v>United States</x:v>
      </x:c>
      <x:c r="F247" s="66" t="n">
        <x:f>IF(A247="","",SUMIF('Portfolio Inputs'!B8:B289,A247,'Portfolio Inputs'!D8:D289))</x:f>
        <x:v>630000</x:v>
      </x:c>
      <x:c r="G247" s="65" t="n">
        <x:f>IF(A247="","",COUNTIF('Portfolio Inputs'!B8:B289,A247))</x:f>
        <x:v>1</x:v>
      </x:c>
      <x:c r="H247" s="75" t="n">
        <x:f>IF(Portfolio_Par&gt;0,F247/Portfolio_Par,"")</x:f>
        <x:v>0.0021</x:v>
      </x:c>
      <x:c r="I247" s="196" t="n">
        <x:f>IF(Portfolio_Par&gt;0,H247^2,"")</x:f>
        <x:v>0.000004409999999999999</x:v>
      </x:c>
    </x:row>
    <x:row r="248" ht="21" customHeight="1">
      <x:c r="A248" s="28" t="str">
        <x:v>SYN-OB-0055</x:v>
      </x:c>
      <x:c r="B248" s="28" t="str">
        <x:v>Fairhaven LLC 055</x:v>
      </x:c>
      <x:c r="C248" s="28" t="str">
        <x:v>B-</x:v>
      </x:c>
      <x:c r="D248" s="28" t="str">
        <x:v>Healthcare Providers &amp; Services</x:v>
      </x:c>
      <x:c r="E248" s="28" t="str">
        <x:v>Austria</x:v>
      </x:c>
      <x:c r="F248" s="66" t="n">
        <x:f>IF(A248="","",SUMIF('Portfolio Inputs'!B8:B289,A248,'Portfolio Inputs'!D8:D289))</x:f>
        <x:v>630000</x:v>
      </x:c>
      <x:c r="G248" s="65" t="n">
        <x:f>IF(A248="","",COUNTIF('Portfolio Inputs'!B8:B289,A248))</x:f>
        <x:v>1</x:v>
      </x:c>
      <x:c r="H248" s="75" t="n">
        <x:f>IF(Portfolio_Par&gt;0,F248/Portfolio_Par,"")</x:f>
        <x:v>0.0021</x:v>
      </x:c>
      <x:c r="I248" s="196" t="n">
        <x:f>IF(Portfolio_Par&gt;0,H248^2,"")</x:f>
        <x:v>0.000004409999999999999</x:v>
      </x:c>
    </x:row>
    <x:row r="249" ht="21" customHeight="1">
      <x:c r="A249" s="28" t="str">
        <x:v>SYN-OB-0056</x:v>
      </x:c>
      <x:c r="B249" s="28" t="str">
        <x:v>Granite Holdings 056</x:v>
      </x:c>
      <x:c r="C249" s="28" t="str">
        <x:v>BBB+</x:v>
      </x:c>
      <x:c r="D249" s="28" t="str">
        <x:v>Leisure Products</x:v>
      </x:c>
      <x:c r="E249" s="28" t="str">
        <x:v>United Kingdom</x:v>
      </x:c>
      <x:c r="F249" s="66" t="n">
        <x:f>IF(A249="","",SUMIF('Portfolio Inputs'!B8:B289,A249,'Portfolio Inputs'!D8:D289))</x:f>
        <x:v>630000</x:v>
      </x:c>
      <x:c r="G249" s="65" t="n">
        <x:f>IF(A249="","",COUNTIF('Portfolio Inputs'!B8:B289,A249))</x:f>
        <x:v>1</x:v>
      </x:c>
      <x:c r="H249" s="75" t="n">
        <x:f>IF(Portfolio_Par&gt;0,F249/Portfolio_Par,"")</x:f>
        <x:v>0.0021</x:v>
      </x:c>
      <x:c r="I249" s="196" t="n">
        <x:f>IF(Portfolio_Par&gt;0,H249^2,"")</x:f>
        <x:v>0.000004409999999999999</x:v>
      </x:c>
    </x:row>
    <x:row r="250" ht="21" customHeight="1">
      <x:c r="A250" s="28" t="str">
        <x:v>SYN-OB-0061</x:v>
      </x:c>
      <x:c r="B250" s="28" t="str">
        <x:v>Juniper Holdings 061</x:v>
      </x:c>
      <x:c r="C250" s="28" t="str">
        <x:v>B+</x:v>
      </x:c>
      <x:c r="D250" s="28" t="str">
        <x:v>Electric Utilities</x:v>
      </x:c>
      <x:c r="E250" s="28" t="str">
        <x:v>Ireland</x:v>
      </x:c>
      <x:c r="F250" s="66" t="n">
        <x:f>IF(A250="","",SUMIF('Portfolio Inputs'!B8:B289,A250,'Portfolio Inputs'!D8:D289))</x:f>
        <x:v>630000</x:v>
      </x:c>
      <x:c r="G250" s="65" t="n">
        <x:f>IF(A250="","",COUNTIF('Portfolio Inputs'!B8:B289,A250))</x:f>
        <x:v>1</x:v>
      </x:c>
      <x:c r="H250" s="75" t="n">
        <x:f>IF(Portfolio_Par&gt;0,F250/Portfolio_Par,"")</x:f>
        <x:v>0.0021</x:v>
      </x:c>
      <x:c r="I250" s="196" t="n">
        <x:f>IF(Portfolio_Par&gt;0,H250^2,"")</x:f>
        <x:v>0.000004409999999999999</x:v>
      </x:c>
    </x:row>
    <x:row r="251" ht="21" customHeight="1">
      <x:c r="A251" s="28" t="str">
        <x:v>SYN-OB-0070</x:v>
      </x:c>
      <x:c r="B251" s="28" t="str">
        <x:v>Pinecrest LLC 070</x:v>
      </x:c>
      <x:c r="C251" s="28" t="str">
        <x:v>B</x:v>
      </x:c>
      <x:c r="D251" s="28" t="str">
        <x:v>Electrical Equipment</x:v>
      </x:c>
      <x:c r="E251" s="28" t="str">
        <x:v>United States</x:v>
      </x:c>
      <x:c r="F251" s="66" t="n">
        <x:f>IF(A251="","",SUMIF('Portfolio Inputs'!B8:B289,A251,'Portfolio Inputs'!D8:D289))</x:f>
        <x:v>630000</x:v>
      </x:c>
      <x:c r="G251" s="65" t="n">
        <x:f>IF(A251="","",COUNTIF('Portfolio Inputs'!B8:B289,A251))</x:f>
        <x:v>1</x:v>
      </x:c>
      <x:c r="H251" s="75" t="n">
        <x:f>IF(Portfolio_Par&gt;0,F251/Portfolio_Par,"")</x:f>
        <x:v>0.0021</x:v>
      </x:c>
      <x:c r="I251" s="196" t="n">
        <x:f>IF(Portfolio_Par&gt;0,H251^2,"")</x:f>
        <x:v>0.000004409999999999999</x:v>
      </x:c>
    </x:row>
    <x:row r="252" ht="21" customHeight="1">
      <x:c r="A252" s="28" t="str">
        <x:v>SYN-OB-0072</x:v>
      </x:c>
      <x:c r="B252" s="28" t="str">
        <x:v>Riverton Inc. 072</x:v>
      </x:c>
      <x:c r="C252" s="28" t="str">
        <x:v>A-</x:v>
      </x:c>
      <x:c r="D252" s="28" t="str">
        <x:v>Building Products</x:v>
      </x:c>
      <x:c r="E252" s="28" t="str">
        <x:v>Germany</x:v>
      </x:c>
      <x:c r="F252" s="66" t="n">
        <x:f>IF(A252="","",SUMIF('Portfolio Inputs'!B8:B289,A252,'Portfolio Inputs'!D8:D289))</x:f>
        <x:v>630000</x:v>
      </x:c>
      <x:c r="G252" s="65" t="n">
        <x:f>IF(A252="","",COUNTIF('Portfolio Inputs'!B8:B289,A252))</x:f>
        <x:v>1</x:v>
      </x:c>
      <x:c r="H252" s="75" t="n">
        <x:f>IF(Portfolio_Par&gt;0,F252/Portfolio_Par,"")</x:f>
        <x:v>0.0021</x:v>
      </x:c>
      <x:c r="I252" s="196" t="n">
        <x:f>IF(Portfolio_Par&gt;0,H252^2,"")</x:f>
        <x:v>0.000004409999999999999</x:v>
      </x:c>
    </x:row>
    <x:row r="253" ht="21" customHeight="1">
      <x:c r="A253" s="28" t="str">
        <x:v>SYN-OB-0082</x:v>
      </x:c>
      <x:c r="B253" s="28" t="str">
        <x:v>Amber Inc. 082</x:v>
      </x:c>
      <x:c r="C253" s="28" t="str">
        <x:v>BBB-</x:v>
      </x:c>
      <x:c r="D253" s="28" t="str">
        <x:v>Media</x:v>
      </x:c>
      <x:c r="E253" s="28" t="str">
        <x:v>Netherlands</x:v>
      </x:c>
      <x:c r="F253" s="66" t="n">
        <x:f>IF(A253="","",SUMIF('Portfolio Inputs'!B8:B289,A253,'Portfolio Inputs'!D8:D289))</x:f>
        <x:v>630000</x:v>
      </x:c>
      <x:c r="G253" s="65" t="n">
        <x:f>IF(A253="","",COUNTIF('Portfolio Inputs'!B8:B289,A253))</x:f>
        <x:v>1</x:v>
      </x:c>
      <x:c r="H253" s="75" t="n">
        <x:f>IF(Portfolio_Par&gt;0,F253/Portfolio_Par,"")</x:f>
        <x:v>0.0021</x:v>
      </x:c>
      <x:c r="I253" s="196" t="n">
        <x:f>IF(Portfolio_Par&gt;0,H253^2,"")</x:f>
        <x:v>0.000004409999999999999</x:v>
      </x:c>
    </x:row>
    <x:row r="254" ht="21" customHeight="1">
      <x:c r="A254" s="28" t="str">
        <x:v>SYN-OB-0084</x:v>
      </x:c>
      <x:c r="B254" s="28" t="str">
        <x:v>Atlas Group 084</x:v>
      </x:c>
      <x:c r="C254" s="28" t="str">
        <x:v>BB+</x:v>
      </x:c>
      <x:c r="D254" s="28" t="str">
        <x:v>Leisure Products</x:v>
      </x:c>
      <x:c r="E254" s="28" t="str">
        <x:v>United Kingdom</x:v>
      </x:c>
      <x:c r="F254" s="66" t="n">
        <x:f>IF(A254="","",SUMIF('Portfolio Inputs'!B8:B289,A254,'Portfolio Inputs'!D8:D289))</x:f>
        <x:v>630000</x:v>
      </x:c>
      <x:c r="G254" s="65" t="n">
        <x:f>IF(A254="","",COUNTIF('Portfolio Inputs'!B8:B289,A254))</x:f>
        <x:v>1</x:v>
      </x:c>
      <x:c r="H254" s="75" t="n">
        <x:f>IF(Portfolio_Par&gt;0,F254/Portfolio_Par,"")</x:f>
        <x:v>0.0021</x:v>
      </x:c>
      <x:c r="I254" s="196" t="n">
        <x:f>IF(Portfolio_Par&gt;0,H254^2,"")</x:f>
        <x:v>0.000004409999999999999</x:v>
      </x:c>
    </x:row>
    <x:row r="255" ht="21" customHeight="1">
      <x:c r="A255" s="28" t="str">
        <x:v>SYN-OB-0088</x:v>
      </x:c>
      <x:c r="B255" s="28" t="str">
        <x:v>Cedar Corp. 088</x:v>
      </x:c>
      <x:c r="C255" s="28" t="str">
        <x:v>BBB-</x:v>
      </x:c>
      <x:c r="D255" s="28" t="str">
        <x:v>Electrical Equipment</x:v>
      </x:c>
      <x:c r="E255" s="28" t="str">
        <x:v>United States</x:v>
      </x:c>
      <x:c r="F255" s="66" t="n">
        <x:f>IF(A255="","",SUMIF('Portfolio Inputs'!B8:B289,A255,'Portfolio Inputs'!D8:D289))</x:f>
        <x:v>630000</x:v>
      </x:c>
      <x:c r="G255" s="65" t="n">
        <x:f>IF(A255="","",COUNTIF('Portfolio Inputs'!B8:B289,A255))</x:f>
        <x:v>1</x:v>
      </x:c>
      <x:c r="H255" s="75" t="n">
        <x:f>IF(Portfolio_Par&gt;0,F255/Portfolio_Par,"")</x:f>
        <x:v>0.0021</x:v>
      </x:c>
      <x:c r="I255" s="196" t="n">
        <x:f>IF(Portfolio_Par&gt;0,H255^2,"")</x:f>
        <x:v>0.000004409999999999999</x:v>
      </x:c>
    </x:row>
    <x:row r="256" ht="21" customHeight="1">
      <x:c r="A256" s="28" t="str">
        <x:v>SYN-OB-0092</x:v>
      </x:c>
      <x:c r="B256" s="28" t="str">
        <x:v>Duneland Inc. 092</x:v>
      </x:c>
      <x:c r="C256" s="28" t="str">
        <x:v>B+</x:v>
      </x:c>
      <x:c r="D256" s="28" t="str">
        <x:v>Gas Utilities</x:v>
      </x:c>
      <x:c r="E256" s="28" t="str">
        <x:v>Germany</x:v>
      </x:c>
      <x:c r="F256" s="66" t="n">
        <x:f>IF(A256="","",SUMIF('Portfolio Inputs'!B8:B289,A256,'Portfolio Inputs'!D8:D289))</x:f>
        <x:v>630000</x:v>
      </x:c>
      <x:c r="G256" s="65" t="n">
        <x:f>IF(A256="","",COUNTIF('Portfolio Inputs'!B8:B289,A256))</x:f>
        <x:v>1</x:v>
      </x:c>
      <x:c r="H256" s="75" t="n">
        <x:f>IF(Portfolio_Par&gt;0,F256/Portfolio_Par,"")</x:f>
        <x:v>0.0021</x:v>
      </x:c>
      <x:c r="I256" s="196" t="n">
        <x:f>IF(Portfolio_Par&gt;0,H256^2,"")</x:f>
        <x:v>0.000004409999999999999</x:v>
      </x:c>
    </x:row>
    <x:row r="257" ht="21" customHeight="1">
      <x:c r="A257" s="28" t="str">
        <x:v>SYN-OB-0104</x:v>
      </x:c>
      <x:c r="B257" s="28" t="str">
        <x:v>Larkspur Group 104</x:v>
      </x:c>
      <x:c r="C257" s="28" t="str">
        <x:v>B-</x:v>
      </x:c>
      <x:c r="D257" s="28" t="str">
        <x:v>Software</x:v>
      </x:c>
      <x:c r="E257" s="28" t="str">
        <x:v>United States</x:v>
      </x:c>
      <x:c r="F257" s="66" t="n">
        <x:f>IF(A257="","",SUMIF('Portfolio Inputs'!B8:B289,A257,'Portfolio Inputs'!D8:D289))</x:f>
        <x:v>630000</x:v>
      </x:c>
      <x:c r="G257" s="65" t="n">
        <x:f>IF(A257="","",COUNTIF('Portfolio Inputs'!B8:B289,A257))</x:f>
        <x:v>1</x:v>
      </x:c>
      <x:c r="H257" s="75" t="n">
        <x:f>IF(Portfolio_Par&gt;0,F257/Portfolio_Par,"")</x:f>
        <x:v>0.0021</x:v>
      </x:c>
      <x:c r="I257" s="196" t="n">
        <x:f>IF(Portfolio_Par&gt;0,H257^2,"")</x:f>
        <x:v>0.000004409999999999999</x:v>
      </x:c>
    </x:row>
    <x:row r="258" ht="21" customHeight="1">
      <x:c r="A258" s="28" t="str">
        <x:v>SYN-OB-0107</x:v>
      </x:c>
      <x:c r="B258" s="28" t="str">
        <x:v>Northfield Inc. 107</x:v>
      </x:c>
      <x:c r="C258" s="28" t="str">
        <x:v>A-</x:v>
      </x:c>
      <x:c r="D258" s="28" t="str">
        <x:v>Diversified Consumer Services</x:v>
      </x:c>
      <x:c r="E258" s="28" t="str">
        <x:v>Netherlands</x:v>
      </x:c>
      <x:c r="F258" s="66" t="n">
        <x:f>IF(A258="","",SUMIF('Portfolio Inputs'!B8:B289,A258,'Portfolio Inputs'!D8:D289))</x:f>
        <x:v>630000</x:v>
      </x:c>
      <x:c r="G258" s="65" t="n">
        <x:f>IF(A258="","",COUNTIF('Portfolio Inputs'!B8:B289,A258))</x:f>
        <x:v>1</x:v>
      </x:c>
      <x:c r="H258" s="75" t="n">
        <x:f>IF(Portfolio_Par&gt;0,F258/Portfolio_Par,"")</x:f>
        <x:v>0.0021</x:v>
      </x:c>
      <x:c r="I258" s="196" t="n">
        <x:f>IF(Portfolio_Par&gt;0,H258^2,"")</x:f>
        <x:v>0.000004409999999999999</x:v>
      </x:c>
    </x:row>
    <x:row r="259" ht="21" customHeight="1">
      <x:c r="A259" s="28" t="str">
        <x:v>SYN-OB-0108</x:v>
      </x:c>
      <x:c r="B259" s="28" t="str">
        <x:v>Oakmont Corp. 108</x:v>
      </x:c>
      <x:c r="C259" s="28" t="str">
        <x:v>B</x:v>
      </x:c>
      <x:c r="D259" s="28" t="str">
        <x:v>Wireless Telecommunication Services</x:v>
      </x:c>
      <x:c r="E259" s="28" t="str">
        <x:v>Luxembourg</x:v>
      </x:c>
      <x:c r="F259" s="66" t="n">
        <x:f>IF(A259="","",SUMIF('Portfolio Inputs'!B8:B289,A259,'Portfolio Inputs'!D8:D289))</x:f>
        <x:v>630000</x:v>
      </x:c>
      <x:c r="G259" s="65" t="n">
        <x:f>IF(A259="","",COUNTIF('Portfolio Inputs'!B8:B289,A259))</x:f>
        <x:v>1</x:v>
      </x:c>
      <x:c r="H259" s="75" t="n">
        <x:f>IF(Portfolio_Par&gt;0,F259/Portfolio_Par,"")</x:f>
        <x:v>0.0021</x:v>
      </x:c>
      <x:c r="I259" s="196" t="n">
        <x:f>IF(Portfolio_Par&gt;0,H259^2,"")</x:f>
        <x:v>0.000004409999999999999</x:v>
      </x:c>
    </x:row>
    <x:row r="260" ht="21" customHeight="1">
      <x:c r="A260" s="28" t="str">
        <x:v>SYN-OB-0117</x:v>
      </x:c>
      <x:c r="B260" s="28" t="str">
        <x:v>Westhaven Inc. 117</x:v>
      </x:c>
      <x:c r="C260" s="28" t="str">
        <x:v>B+</x:v>
      </x:c>
      <x:c r="D260" s="28" t="str">
        <x:v>Hotels, Restaurants &amp; Leisure</x:v>
      </x:c>
      <x:c r="E260" s="28" t="str">
        <x:v>United Kingdom</x:v>
      </x:c>
      <x:c r="F260" s="66" t="n">
        <x:f>IF(A260="","",SUMIF('Portfolio Inputs'!B8:B289,A260,'Portfolio Inputs'!D8:D289))</x:f>
        <x:v>630000</x:v>
      </x:c>
      <x:c r="G260" s="65" t="n">
        <x:f>IF(A260="","",COUNTIF('Portfolio Inputs'!B8:B289,A260))</x:f>
        <x:v>1</x:v>
      </x:c>
      <x:c r="H260" s="75" t="n">
        <x:f>IF(Portfolio_Par&gt;0,F260/Portfolio_Par,"")</x:f>
        <x:v>0.0021</x:v>
      </x:c>
      <x:c r="I260" s="196" t="n">
        <x:f>IF(Portfolio_Par&gt;0,H260^2,"")</x:f>
        <x:v>0.000004409999999999999</x:v>
      </x:c>
    </x:row>
    <x:row r="261" ht="21" customHeight="1">
      <x:c r="A261" s="28" t="str">
        <x:v>SYN-OB-0139</x:v>
      </x:c>
      <x:c r="B261" s="28" t="str">
        <x:v>Highland Group 139</x:v>
      </x:c>
      <x:c r="C261" s="28" t="str">
        <x:v>BB+</x:v>
      </x:c>
      <x:c r="D261" s="28" t="str">
        <x:v>Specialty Retail</x:v>
      </x:c>
      <x:c r="E261" s="28" t="str">
        <x:v>Netherlands</x:v>
      </x:c>
      <x:c r="F261" s="66" t="n">
        <x:f>IF(A261="","",SUMIF('Portfolio Inputs'!B8:B289,A261,'Portfolio Inputs'!D8:D289))</x:f>
        <x:v>630000</x:v>
      </x:c>
      <x:c r="G261" s="65" t="n">
        <x:f>IF(A261="","",COUNTIF('Portfolio Inputs'!B8:B289,A261))</x:f>
        <x:v>1</x:v>
      </x:c>
      <x:c r="H261" s="75" t="n">
        <x:f>IF(Portfolio_Par&gt;0,F261/Portfolio_Par,"")</x:f>
        <x:v>0.0021</x:v>
      </x:c>
      <x:c r="I261" s="196" t="n">
        <x:f>IF(Portfolio_Par&gt;0,H261^2,"")</x:f>
        <x:v>0.000004409999999999999</x:v>
      </x:c>
    </x:row>
    <x:row r="262" ht="21" customHeight="1">
      <x:c r="A262" s="28" t="str">
        <x:v>SYN-OB-0143</x:v>
      </x:c>
      <x:c r="B262" s="28" t="str">
        <x:v>Lakeview Corp. 143</x:v>
      </x:c>
      <x:c r="C262" s="28" t="str">
        <x:v>BBB</x:v>
      </x:c>
      <x:c r="D262" s="28" t="str">
        <x:v>Software</x:v>
      </x:c>
      <x:c r="E262" s="28" t="str">
        <x:v>Austria</x:v>
      </x:c>
      <x:c r="F262" s="66" t="n">
        <x:f>IF(A262="","",SUMIF('Portfolio Inputs'!B8:B289,A262,'Portfolio Inputs'!D8:D289))</x:f>
        <x:v>630000</x:v>
      </x:c>
      <x:c r="G262" s="65" t="n">
        <x:f>IF(A262="","",COUNTIF('Portfolio Inputs'!B8:B289,A262))</x:f>
        <x:v>1</x:v>
      </x:c>
      <x:c r="H262" s="75" t="n">
        <x:f>IF(Portfolio_Par&gt;0,F262/Portfolio_Par,"")</x:f>
        <x:v>0.0021</x:v>
      </x:c>
      <x:c r="I262" s="196" t="n">
        <x:f>IF(Portfolio_Par&gt;0,H262^2,"")</x:f>
        <x:v>0.000004409999999999999</x:v>
      </x:c>
    </x:row>
    <x:row r="263" ht="21" customHeight="1">
      <x:c r="A263" s="28" t="str">
        <x:v>SYN-OB-0162</x:v>
      </x:c>
      <x:c r="B263" s="28" t="str">
        <x:v>Amber Inc. 162</x:v>
      </x:c>
      <x:c r="C263" s="28" t="str">
        <x:v>BB-</x:v>
      </x:c>
      <x:c r="D263" s="28" t="str">
        <x:v>Ground transportation</x:v>
      </x:c>
      <x:c r="E263" s="28" t="str">
        <x:v>Luxembourg</x:v>
      </x:c>
      <x:c r="F263" s="66" t="n">
        <x:f>IF(A263="","",SUMIF('Portfolio Inputs'!B8:B289,A263,'Portfolio Inputs'!D8:D289))</x:f>
        <x:v>630000</x:v>
      </x:c>
      <x:c r="G263" s="65" t="n">
        <x:f>IF(A263="","",COUNTIF('Portfolio Inputs'!B8:B289,A263))</x:f>
        <x:v>1</x:v>
      </x:c>
      <x:c r="H263" s="75" t="n">
        <x:f>IF(Portfolio_Par&gt;0,F263/Portfolio_Par,"")</x:f>
        <x:v>0.0021</x:v>
      </x:c>
      <x:c r="I263" s="196" t="n">
        <x:f>IF(Portfolio_Par&gt;0,H263^2,"")</x:f>
        <x:v>0.000004409999999999999</x:v>
      </x:c>
    </x:row>
    <x:row r="264" ht="21" customHeight="1">
      <x:c r="A264" s="28" t="str">
        <x:v>SYN-OB-0173</x:v>
      </x:c>
      <x:c r="B264" s="28" t="str">
        <x:v>Elmstone Corp. 173</x:v>
      </x:c>
      <x:c r="C264" s="28" t="str">
        <x:v>BBB+</x:v>
      </x:c>
      <x:c r="D264" s="28" t="str">
        <x:v>Auto Components</x:v>
      </x:c>
      <x:c r="E264" s="28" t="str">
        <x:v>United Kingdom</x:v>
      </x:c>
      <x:c r="F264" s="66" t="n">
        <x:f>IF(A264="","",SUMIF('Portfolio Inputs'!B8:B289,A264,'Portfolio Inputs'!D8:D289))</x:f>
        <x:v>630000</x:v>
      </x:c>
      <x:c r="G264" s="65" t="n">
        <x:f>IF(A264="","",COUNTIF('Portfolio Inputs'!B8:B289,A264))</x:f>
        <x:v>1</x:v>
      </x:c>
      <x:c r="H264" s="75" t="n">
        <x:f>IF(Portfolio_Par&gt;0,F264/Portfolio_Par,"")</x:f>
        <x:v>0.0021</x:v>
      </x:c>
      <x:c r="I264" s="196" t="n">
        <x:f>IF(Portfolio_Par&gt;0,H264^2,"")</x:f>
        <x:v>0.000004409999999999999</x:v>
      </x:c>
    </x:row>
    <x:row r="265" ht="21" customHeight="1">
      <x:c r="A265" s="28" t="str">
        <x:v>SYN-OB-0178</x:v>
      </x:c>
      <x:c r="B265" s="28" t="str">
        <x:v>Hawthorne Corp. 178</x:v>
      </x:c>
      <x:c r="C265" s="28" t="str">
        <x:v>BBB-</x:v>
      </x:c>
      <x:c r="D265" s="28" t="str">
        <x:v>Consumer Finance</x:v>
      </x:c>
      <x:c r="E265" s="28" t="str">
        <x:v>Canada</x:v>
      </x:c>
      <x:c r="F265" s="66" t="n">
        <x:f>IF(A265="","",SUMIF('Portfolio Inputs'!B8:B289,A265,'Portfolio Inputs'!D8:D289))</x:f>
        <x:v>630000</x:v>
      </x:c>
      <x:c r="G265" s="65" t="n">
        <x:f>IF(A265="","",COUNTIF('Portfolio Inputs'!B8:B289,A265))</x:f>
        <x:v>1</x:v>
      </x:c>
      <x:c r="H265" s="75" t="n">
        <x:f>IF(Portfolio_Par&gt;0,F265/Portfolio_Par,"")</x:f>
        <x:v>0.0021</x:v>
      </x:c>
      <x:c r="I265" s="196" t="n">
        <x:f>IF(Portfolio_Par&gt;0,H265^2,"")</x:f>
        <x:v>0.000004409999999999999</x:v>
      </x:c>
    </x:row>
    <x:row r="266" ht="21" customHeight="1">
      <x:c r="A266" s="28" t="str">
        <x:v>SYN-OB-0185</x:v>
      </x:c>
      <x:c r="B266" s="28" t="str">
        <x:v>Maple LLC 185</x:v>
      </x:c>
      <x:c r="C266" s="28" t="str">
        <x:v>BB+</x:v>
      </x:c>
      <x:c r="D266" s="28" t="str">
        <x:v>Consumer Finance</x:v>
      </x:c>
      <x:c r="E266" s="28" t="str">
        <x:v>United Kingdom</x:v>
      </x:c>
      <x:c r="F266" s="66" t="n">
        <x:f>IF(A266="","",SUMIF('Portfolio Inputs'!B8:B289,A266,'Portfolio Inputs'!D8:D289))</x:f>
        <x:v>630000</x:v>
      </x:c>
      <x:c r="G266" s="65" t="n">
        <x:f>IF(A266="","",COUNTIF('Portfolio Inputs'!B8:B289,A266))</x:f>
        <x:v>1</x:v>
      </x:c>
      <x:c r="H266" s="75" t="n">
        <x:f>IF(Portfolio_Par&gt;0,F266/Portfolio_Par,"")</x:f>
        <x:v>0.0021</x:v>
      </x:c>
      <x:c r="I266" s="196" t="n">
        <x:f>IF(Portfolio_Par&gt;0,H266^2,"")</x:f>
        <x:v>0.000004409999999999999</x:v>
      </x:c>
    </x:row>
    <x:row r="267" ht="21" customHeight="1">
      <x:c r="A267" s="28" t="str">
        <x:v>SYN-OB-0200</x:v>
      </x:c>
      <x:c r="B267" s="28" t="str">
        <x:v>Woodland LLC 200</x:v>
      </x:c>
      <x:c r="C267" s="28" t="str">
        <x:v>B</x:v>
      </x:c>
      <x:c r="D267" s="28" t="str">
        <x:v>Food Products</x:v>
      </x:c>
      <x:c r="E267" s="28" t="str">
        <x:v>Germany</x:v>
      </x:c>
      <x:c r="F267" s="66" t="n">
        <x:f>IF(A267="","",SUMIF('Portfolio Inputs'!B8:B289,A267,'Portfolio Inputs'!D8:D289))</x:f>
        <x:v>630000</x:v>
      </x:c>
      <x:c r="G267" s="65" t="n">
        <x:f>IF(A267="","",COUNTIF('Portfolio Inputs'!B8:B289,A267))</x:f>
        <x:v>1</x:v>
      </x:c>
      <x:c r="H267" s="75" t="n">
        <x:f>IF(Portfolio_Par&gt;0,F267/Portfolio_Par,"")</x:f>
        <x:v>0.0021</x:v>
      </x:c>
      <x:c r="I267" s="196" t="n">
        <x:f>IF(Portfolio_Par&gt;0,H267^2,"")</x:f>
        <x:v>0.000004409999999999999</x:v>
      </x:c>
    </x:row>
    <x:row r="268" ht="21" customHeight="1">
      <x:c r="A268" s="28" t="str">
        <x:v>SYN-OB-0202</x:v>
      </x:c>
      <x:c r="B268" s="28" t="str">
        <x:v>Amber Inc. 202</x:v>
      </x:c>
      <x:c r="C268" s="28" t="str">
        <x:v>BB</x:v>
      </x:c>
      <x:c r="D268" s="28" t="str">
        <x:v>Food Products</x:v>
      </x:c>
      <x:c r="E268" s="28" t="str">
        <x:v>Canada</x:v>
      </x:c>
      <x:c r="F268" s="66" t="n">
        <x:f>IF(A268="","",SUMIF('Portfolio Inputs'!B8:B289,A268,'Portfolio Inputs'!D8:D289))</x:f>
        <x:v>630000</x:v>
      </x:c>
      <x:c r="G268" s="65" t="n">
        <x:f>IF(A268="","",COUNTIF('Portfolio Inputs'!B8:B289,A268))</x:f>
        <x:v>1</x:v>
      </x:c>
      <x:c r="H268" s="75" t="n">
        <x:f>IF(Portfolio_Par&gt;0,F268/Portfolio_Par,"")</x:f>
        <x:v>0.0021</x:v>
      </x:c>
      <x:c r="I268" s="196" t="n">
        <x:f>IF(Portfolio_Par&gt;0,H268^2,"")</x:f>
        <x:v>0.000004409999999999999</x:v>
      </x:c>
    </x:row>
    <x:row r="269" ht="21" customHeight="1">
      <x:c r="A269" s="28" t="str">
        <x:v>SYN-OB-0205</x:v>
      </x:c>
      <x:c r="B269" s="28" t="str">
        <x:v>Beacon LLC 205</x:v>
      </x:c>
      <x:c r="C269" s="28" t="str">
        <x:v>B-</x:v>
      </x:c>
      <x:c r="D269" s="28" t="str">
        <x:v>Textiles, Apparel &amp; Luxury Goods</x:v>
      </x:c>
      <x:c r="E269" s="28" t="str">
        <x:v>Canada</x:v>
      </x:c>
      <x:c r="F269" s="66" t="n">
        <x:f>IF(A269="","",SUMIF('Portfolio Inputs'!B8:B289,A269,'Portfolio Inputs'!D8:D289))</x:f>
        <x:v>630000</x:v>
      </x:c>
      <x:c r="G269" s="65" t="n">
        <x:f>IF(A269="","",COUNTIF('Portfolio Inputs'!B8:B289,A269))</x:f>
        <x:v>1</x:v>
      </x:c>
      <x:c r="H269" s="75" t="n">
        <x:f>IF(Portfolio_Par&gt;0,F269/Portfolio_Par,"")</x:f>
        <x:v>0.0021</x:v>
      </x:c>
      <x:c r="I269" s="196" t="n">
        <x:f>IF(Portfolio_Par&gt;0,H269^2,"")</x:f>
        <x:v>0.000004409999999999999</x:v>
      </x:c>
    </x:row>
    <x:row r="270" ht="21" customHeight="1">
      <x:c r="A270" s="28" t="str">
        <x:v>SYN-OB-0208</x:v>
      </x:c>
      <x:c r="B270" s="28" t="str">
        <x:v>Cedar Corp. 208</x:v>
      </x:c>
      <x:c r="C270" s="28" t="str">
        <x:v>B+</x:v>
      </x:c>
      <x:c r="D270" s="28" t="str">
        <x:v>Hotels, Restaurants &amp; Leisure</x:v>
      </x:c>
      <x:c r="E270" s="28" t="str">
        <x:v>Luxembourg</x:v>
      </x:c>
      <x:c r="F270" s="66" t="n">
        <x:f>IF(A270="","",SUMIF('Portfolio Inputs'!B8:B289,A270,'Portfolio Inputs'!D8:D289))</x:f>
        <x:v>630000</x:v>
      </x:c>
      <x:c r="G270" s="65" t="n">
        <x:f>IF(A270="","",COUNTIF('Portfolio Inputs'!B8:B289,A270))</x:f>
        <x:v>1</x:v>
      </x:c>
      <x:c r="H270" s="75" t="n">
        <x:f>IF(Portfolio_Par&gt;0,F270/Portfolio_Par,"")</x:f>
        <x:v>0.0021</x:v>
      </x:c>
      <x:c r="I270" s="196" t="n">
        <x:f>IF(Portfolio_Par&gt;0,H270^2,"")</x:f>
        <x:v>0.000004409999999999999</x:v>
      </x:c>
    </x:row>
    <x:row r="271" ht="21" customHeight="1">
      <x:c r="A271" s="28" t="str">
        <x:v>SYN-OB-0213</x:v>
      </x:c>
      <x:c r="B271" s="28" t="str">
        <x:v>Elmstone Corp. 213</x:v>
      </x:c>
      <x:c r="C271" s="28" t="str">
        <x:v>BBB+</x:v>
      </x:c>
      <x:c r="D271" s="28" t="str">
        <x:v>Passenger airlines</x:v>
      </x:c>
      <x:c r="E271" s="28" t="str">
        <x:v>Canada</x:v>
      </x:c>
      <x:c r="F271" s="66" t="n">
        <x:f>IF(A271="","",SUMIF('Portfolio Inputs'!B8:B289,A271,'Portfolio Inputs'!D8:D289))</x:f>
        <x:v>630000</x:v>
      </x:c>
      <x:c r="G271" s="65" t="n">
        <x:f>IF(A271="","",COUNTIF('Portfolio Inputs'!B8:B289,A271))</x:f>
        <x:v>1</x:v>
      </x:c>
      <x:c r="H271" s="75" t="n">
        <x:f>IF(Portfolio_Par&gt;0,F271/Portfolio_Par,"")</x:f>
        <x:v>0.0021</x:v>
      </x:c>
      <x:c r="I271" s="196" t="n">
        <x:f>IF(Portfolio_Par&gt;0,H271^2,"")</x:f>
        <x:v>0.000004409999999999999</x:v>
      </x:c>
    </x:row>
    <x:row r="272" ht="21" customHeight="1">
      <x:c r="A272" s="28" t="str">
        <x:v>SYN-OB-0230</x:v>
      </x:c>
      <x:c r="B272" s="28" t="str">
        <x:v>Pinecrest LLC 230</x:v>
      </x:c>
      <x:c r="C272" s="28" t="str">
        <x:v>BBB-</x:v>
      </x:c>
      <x:c r="D272" s="28" t="str">
        <x:v>Oil, Gas &amp; Consumable Fuels</x:v>
      </x:c>
      <x:c r="E272" s="28" t="str">
        <x:v>Ireland</x:v>
      </x:c>
      <x:c r="F272" s="66" t="n">
        <x:f>IF(A272="","",SUMIF('Portfolio Inputs'!B8:B289,A272,'Portfolio Inputs'!D8:D289))</x:f>
        <x:v>630000</x:v>
      </x:c>
      <x:c r="G272" s="65" t="n">
        <x:f>IF(A272="","",COUNTIF('Portfolio Inputs'!B8:B289,A272))</x:f>
        <x:v>1</x:v>
      </x:c>
      <x:c r="H272" s="75" t="n">
        <x:f>IF(Portfolio_Par&gt;0,F272/Portfolio_Par,"")</x:f>
        <x:v>0.0021</x:v>
      </x:c>
      <x:c r="I272" s="196" t="n">
        <x:f>IF(Portfolio_Par&gt;0,H272^2,"")</x:f>
        <x:v>0.000004409999999999999</x:v>
      </x:c>
    </x:row>
    <x:row r="273" ht="21" customHeight="1">
      <x:c r="A273" s="28" t="str">
        <x:v>SYN-OB-0245</x:v>
      </x:c>
      <x:c r="B273" s="28" t="str">
        <x:v>Beacon LLC 245</x:v>
      </x:c>
      <x:c r="C273" s="28" t="str">
        <x:v>B-</x:v>
      </x:c>
      <x:c r="D273" s="28" t="str">
        <x:v>Diversified Telecommunication Services</x:v>
      </x:c>
      <x:c r="E273" s="28" t="str">
        <x:v>Switzerland</x:v>
      </x:c>
      <x:c r="F273" s="66" t="n">
        <x:f>IF(A273="","",SUMIF('Portfolio Inputs'!B8:B289,A273,'Portfolio Inputs'!D8:D289))</x:f>
        <x:v>630000</x:v>
      </x:c>
      <x:c r="G273" s="65" t="n">
        <x:f>IF(A273="","",COUNTIF('Portfolio Inputs'!B8:B289,A273))</x:f>
        <x:v>1</x:v>
      </x:c>
      <x:c r="H273" s="75" t="n">
        <x:f>IF(Portfolio_Par&gt;0,F273/Portfolio_Par,"")</x:f>
        <x:v>0.0021</x:v>
      </x:c>
      <x:c r="I273" s="196" t="n">
        <x:f>IF(Portfolio_Par&gt;0,H273^2,"")</x:f>
        <x:v>0.000004409999999999999</x:v>
      </x:c>
    </x:row>
    <x:row r="274" ht="21" customHeight="1">
      <x:c r="A274" s="28" t="str">
        <x:v>SYN-OB-0248</x:v>
      </x:c>
      <x:c r="B274" s="28" t="str">
        <x:v>Cedar Corp. 248</x:v>
      </x:c>
      <x:c r="C274" s="28" t="str">
        <x:v>BB-</x:v>
      </x:c>
      <x:c r="D274" s="28" t="str">
        <x:v>Beverages</x:v>
      </x:c>
      <x:c r="E274" s="28" t="str">
        <x:v>Germany</x:v>
      </x:c>
      <x:c r="F274" s="66" t="n">
        <x:f>IF(A274="","",SUMIF('Portfolio Inputs'!B8:B289,A274,'Portfolio Inputs'!D8:D289))</x:f>
        <x:v>630000</x:v>
      </x:c>
      <x:c r="G274" s="65" t="n">
        <x:f>IF(A274="","",COUNTIF('Portfolio Inputs'!B8:B289,A274))</x:f>
        <x:v>1</x:v>
      </x:c>
      <x:c r="H274" s="75" t="n">
        <x:f>IF(Portfolio_Par&gt;0,F274/Portfolio_Par,"")</x:f>
        <x:v>0.0021</x:v>
      </x:c>
      <x:c r="I274" s="196" t="n">
        <x:f>IF(Portfolio_Par&gt;0,H274^2,"")</x:f>
        <x:v>0.000004409999999999999</x:v>
      </x:c>
    </x:row>
    <x:row r="275" ht="21" customHeight="1">
      <x:c r="A275" s="28" t="str">
        <x:v>SYN-OB-0251</x:v>
      </x:c>
      <x:c r="B275" s="28" t="str">
        <x:v>Crest Holdings 251</x:v>
      </x:c>
      <x:c r="C275" s="28" t="str">
        <x:v>BB</x:v>
      </x:c>
      <x:c r="D275" s="28" t="str">
        <x:v>Construction Materials</x:v>
      </x:c>
      <x:c r="E275" s="28" t="str">
        <x:v>Australia</x:v>
      </x:c>
      <x:c r="F275" s="66" t="n">
        <x:f>IF(A275="","",SUMIF('Portfolio Inputs'!B8:B289,A275,'Portfolio Inputs'!D8:D289))</x:f>
        <x:v>630000</x:v>
      </x:c>
      <x:c r="G275" s="65" t="n">
        <x:f>IF(A275="","",COUNTIF('Portfolio Inputs'!B8:B289,A275))</x:f>
        <x:v>1</x:v>
      </x:c>
      <x:c r="H275" s="75" t="n">
        <x:f>IF(Portfolio_Par&gt;0,F275/Portfolio_Par,"")</x:f>
        <x:v>0.0021</x:v>
      </x:c>
      <x:c r="I275" s="196" t="n">
        <x:f>IF(Portfolio_Par&gt;0,H275^2,"")</x:f>
        <x:v>0.000004409999999999999</x:v>
      </x:c>
    </x:row>
    <x:row r="276" ht="21" customHeight="1">
      <x:c r="A276" s="28" t="str">
        <x:v>SYN-OB-0263</x:v>
      </x:c>
      <x:c r="B276" s="28" t="str">
        <x:v>Lakeview Corp. 263</x:v>
      </x:c>
      <x:c r="C276" s="28" t="str">
        <x:v>BBB+</x:v>
      </x:c>
      <x:c r="D276" s="28" t="str">
        <x:v>Passenger airlines</x:v>
      </x:c>
      <x:c r="E276" s="28" t="str">
        <x:v>Luxembourg</x:v>
      </x:c>
      <x:c r="F276" s="66" t="n">
        <x:f>IF(A276="","",SUMIF('Portfolio Inputs'!B8:B289,A276,'Portfolio Inputs'!D8:D289))</x:f>
        <x:v>630000</x:v>
      </x:c>
      <x:c r="G276" s="65" t="n">
        <x:f>IF(A276="","",COUNTIF('Portfolio Inputs'!B8:B289,A276))</x:f>
        <x:v>1</x:v>
      </x:c>
      <x:c r="H276" s="75" t="n">
        <x:f>IF(Portfolio_Par&gt;0,F276/Portfolio_Par,"")</x:f>
        <x:v>0.0021</x:v>
      </x:c>
      <x:c r="I276" s="196" t="n">
        <x:f>IF(Portfolio_Par&gt;0,H276^2,"")</x:f>
        <x:v>0.000004409999999999999</x:v>
      </x:c>
    </x:row>
    <x:row r="277" ht="21" customHeight="1">
      <x:c r="A277" s="28" t="str">
        <x:v>SYN-OB-0002</x:v>
      </x:c>
      <x:c r="B277" s="28" t="str">
        <x:v>Amber Inc. 002</x:v>
      </x:c>
      <x:c r="C277" s="28" t="str">
        <x:v>BBB</x:v>
      </x:c>
      <x:c r="D277" s="28" t="str">
        <x:v>IT Services</x:v>
      </x:c>
      <x:c r="E277" s="28" t="str">
        <x:v>United Kingdom</x:v>
      </x:c>
      <x:c r="F277" s="66" t="n">
        <x:f>IF(A277="","",SUMIF('Portfolio Inputs'!B8:B289,A277,'Portfolio Inputs'!D8:D289))</x:f>
        <x:v>586000</x:v>
      </x:c>
      <x:c r="G277" s="65" t="n">
        <x:f>IF(A277="","",COUNTIF('Portfolio Inputs'!B8:B289,A277))</x:f>
        <x:v>1</x:v>
      </x:c>
      <x:c r="H277" s="75" t="n">
        <x:f>IF(Portfolio_Par&gt;0,F277/Portfolio_Par,"")</x:f>
        <x:v>0.0019533333333333334</x:v>
      </x:c>
      <x:c r="I277" s="196" t="n">
        <x:f>IF(Portfolio_Par&gt;0,H277^2,"")</x:f>
        <x:v>0.0000038155111111111116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81909E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23"/>
      <x:c r="B1" s="23"/>
      <x:c r="C1" s="112" t="str">
        <x:v>Shared capital structure</x:v>
      </x:c>
      <x:c r="D1" s="23"/>
      <x:c r="E1" s="23"/>
      <x:c r="F1" s="23"/>
      <x:c r="G1" s="23"/>
      <x:c r="H1" s="23"/>
      <x:c r="I1" s="23"/>
      <x:c r="J1" s="23"/>
    </x:row>
    <x:row r="2">
      <x:c r="A2" s="23"/>
      <x:c r="B2" s="23"/>
      <x:c r="C2" s="24" t="str">
        <x:v>Capital Structure</x:v>
      </x:c>
      <x:c r="D2" s="25"/>
      <x:c r="E2" s="25"/>
      <x:c r="F2" s="25"/>
      <x:c r="G2" s="25"/>
      <x:c r="H2" s="25"/>
      <x:c r="I2" s="25"/>
      <x:c r="J2" s="25"/>
    </x:row>
    <x:row r="3" ht="22" customHeight="1">
      <x:c r="A3" s="23"/>
      <x:c r="B3" s="23"/>
      <x:c r="C3" s="26" t="str">
        <x:v>Senior sensitivity: equity stays fixed; junior debt is the residual. Funding at par is a fictional assumption.</x:v>
      </x:c>
      <x:c r="D3" s="23"/>
      <x:c r="E3" s="23"/>
      <x:c r="F3" s="23"/>
      <x:c r="G3" s="23"/>
      <x:c r="H3" s="23"/>
      <x:c r="I3" s="23"/>
      <x:c r="J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</x:row>
    <x:row r="7" ht="38" customHeight="1">
      <x:c r="A7" s="23"/>
      <x:c r="B7" s="23"/>
      <x:c r="C7" s="7" t="str">
        <x:v>Case</x:v>
      </x:c>
      <x:c r="D7" s="7" t="str">
        <x:v>Senior share</x:v>
      </x:c>
      <x:c r="E7" s="7" t="str">
        <x:v>Junior share</x:v>
      </x:c>
      <x:c r="F7" s="7" t="str">
        <x:v>Equity share</x:v>
      </x:c>
      <x:c r="G7" s="7" t="str">
        <x:v>Senior balance</x:v>
      </x:c>
      <x:c r="H7" s="7" t="str">
        <x:v>Junior balance</x:v>
      </x:c>
      <x:c r="I7" s="7" t="str">
        <x:v>Equity contribution</x:v>
      </x:c>
      <x:c r="J7" s="7" t="str">
        <x:v>Stack difference</x:v>
      </x:c>
    </x:row>
    <x:row r="8">
      <x:c r="A8" s="23"/>
      <x:c r="B8" s="23"/>
      <x:c r="C8" s="23" t="str">
        <x:v>Base</x:v>
      </x:c>
      <x:c r="D8" s="75" t="n">
        <x:f>base_senior_pct</x:f>
        <x:v>0.64</x:v>
      </x:c>
      <x:c r="E8" s="78" t="n">
        <x:f>1-D8-F8</x:f>
        <x:v>0.26</x:v>
      </x:c>
      <x:c r="F8" s="75" t="n">
        <x:f>equity_pct</x:f>
        <x:v>0.1</x:v>
      </x:c>
      <x:c r="G8" s="66" t="n">
        <x:f>Portfolio_Par*D8</x:f>
        <x:v>192000000</x:v>
      </x:c>
      <x:c r="H8" s="66" t="n">
        <x:f>Portfolio_Par*E8</x:f>
        <x:v>78000000</x:v>
      </x:c>
      <x:c r="I8" s="66" t="n">
        <x:f>Portfolio_Par*F8</x:f>
        <x:v>30000000</x:v>
      </x:c>
      <x:c r="J8" s="66" t="n">
        <x:f>SUM(G8:I8)-Portfolio_Par</x:f>
        <x:v>0</x:v>
      </x:c>
    </x:row>
    <x:row r="9">
      <x:c r="A9" s="150"/>
      <x:c r="B9" s="150"/>
      <x:c r="C9" s="150" t="str">
        <x:v>60% senior</x:v>
      </x:c>
      <x:c r="D9" s="163" t="n">
        <x:v>0.6</x:v>
      </x:c>
      <x:c r="E9" s="78" t="n">
        <x:f>1-D9-F9</x:f>
        <x:v>0.30000000000000004</x:v>
      </x:c>
      <x:c r="F9" s="75" t="n">
        <x:f>equity_pct</x:f>
        <x:v>0.1</x:v>
      </x:c>
      <x:c r="G9" s="66" t="n">
        <x:f>Portfolio_Par*D9</x:f>
        <x:v>180000000</x:v>
      </x:c>
      <x:c r="H9" s="66" t="n">
        <x:f>Portfolio_Par*E9</x:f>
        <x:v>90000000.00000001</x:v>
      </x:c>
      <x:c r="I9" s="66" t="n">
        <x:f>Portfolio_Par*F9</x:f>
        <x:v>30000000</x:v>
      </x:c>
      <x:c r="J9" s="66" t="n">
        <x:f>SUM(G9:I9)-Portfolio_Par</x:f>
        <x:v>0</x:v>
      </x:c>
    </x:row>
    <x:row r="10">
      <x:c r="A10" s="150"/>
      <x:c r="B10" s="150"/>
      <x:c r="C10" s="150" t="str">
        <x:v>61% senior</x:v>
      </x:c>
      <x:c r="D10" s="163" t="n">
        <x:v>0.61</x:v>
      </x:c>
      <x:c r="E10" s="78" t="n">
        <x:f>1-D10-F10</x:f>
        <x:v>0.29000000000000004</x:v>
      </x:c>
      <x:c r="F10" s="75" t="n">
        <x:f>equity_pct</x:f>
        <x:v>0.1</x:v>
      </x:c>
      <x:c r="G10" s="66" t="n">
        <x:f>Portfolio_Par*D10</x:f>
        <x:v>183000000</x:v>
      </x:c>
      <x:c r="H10" s="66" t="n">
        <x:f>Portfolio_Par*E10</x:f>
        <x:v>87000000.00000001</x:v>
      </x:c>
      <x:c r="I10" s="66" t="n">
        <x:f>Portfolio_Par*F10</x:f>
        <x:v>30000000</x:v>
      </x:c>
      <x:c r="J10" s="66" t="n">
        <x:f>SUM(G10:I10)-Portfolio_Par</x:f>
        <x:v>0</x:v>
      </x:c>
    </x:row>
    <x:row r="11">
      <x:c r="A11" s="150"/>
      <x:c r="B11" s="150"/>
      <x:c r="C11" s="150" t="str">
        <x:v>62% senior</x:v>
      </x:c>
      <x:c r="D11" s="163" t="n">
        <x:v>0.62</x:v>
      </x:c>
      <x:c r="E11" s="78" t="n">
        <x:f>1-D11-F11</x:f>
        <x:v>0.28</x:v>
      </x:c>
      <x:c r="F11" s="75" t="n">
        <x:f>equity_pct</x:f>
        <x:v>0.1</x:v>
      </x:c>
      <x:c r="G11" s="66" t="n">
        <x:f>Portfolio_Par*D11</x:f>
        <x:v>186000000</x:v>
      </x:c>
      <x:c r="H11" s="66" t="n">
        <x:f>Portfolio_Par*E11</x:f>
        <x:v>84000000.00000001</x:v>
      </x:c>
      <x:c r="I11" s="66" t="n">
        <x:f>Portfolio_Par*F11</x:f>
        <x:v>30000000</x:v>
      </x:c>
      <x:c r="J11" s="66" t="n">
        <x:f>SUM(G11:I11)-Portfolio_Par</x:f>
        <x:v>0</x:v>
      </x:c>
    </x:row>
    <x:row r="12">
      <x:c r="A12" s="150"/>
      <x:c r="B12" s="150"/>
      <x:c r="C12" s="150" t="str">
        <x:v>63% senior</x:v>
      </x:c>
      <x:c r="D12" s="163" t="n">
        <x:v>0.63</x:v>
      </x:c>
      <x:c r="E12" s="78" t="n">
        <x:f>1-D12-F12</x:f>
        <x:v>0.27</x:v>
      </x:c>
      <x:c r="F12" s="75" t="n">
        <x:f>equity_pct</x:f>
        <x:v>0.1</x:v>
      </x:c>
      <x:c r="G12" s="66" t="n">
        <x:f>Portfolio_Par*D12</x:f>
        <x:v>189000000</x:v>
      </x:c>
      <x:c r="H12" s="66" t="n">
        <x:f>Portfolio_Par*E12</x:f>
        <x:v>81000000</x:v>
      </x:c>
      <x:c r="I12" s="66" t="n">
        <x:f>Portfolio_Par*F12</x:f>
        <x:v>30000000</x:v>
      </x:c>
      <x:c r="J12" s="66" t="n">
        <x:f>SUM(G12:I12)-Portfolio_Par</x:f>
        <x:v>0</x:v>
      </x:c>
    </x:row>
    <x:row r="13">
      <x:c r="A13" s="150"/>
      <x:c r="B13" s="150"/>
      <x:c r="C13" s="150" t="str">
        <x:v>64% senior</x:v>
      </x:c>
      <x:c r="D13" s="163" t="n">
        <x:v>0.64</x:v>
      </x:c>
      <x:c r="E13" s="78" t="n">
        <x:f>1-D13-F13</x:f>
        <x:v>0.26</x:v>
      </x:c>
      <x:c r="F13" s="75" t="n">
        <x:f>equity_pct</x:f>
        <x:v>0.1</x:v>
      </x:c>
      <x:c r="G13" s="66" t="n">
        <x:f>Portfolio_Par*D13</x:f>
        <x:v>192000000</x:v>
      </x:c>
      <x:c r="H13" s="66" t="n">
        <x:f>Portfolio_Par*E13</x:f>
        <x:v>78000000</x:v>
      </x:c>
      <x:c r="I13" s="66" t="n">
        <x:f>Portfolio_Par*F13</x:f>
        <x:v>30000000</x:v>
      </x:c>
      <x:c r="J13" s="66" t="n">
        <x:f>SUM(G13:I13)-Portfolio_Par</x:f>
        <x:v>0</x:v>
      </x:c>
    </x:row>
    <x:row r="14">
      <x:c r="A14" s="150"/>
      <x:c r="B14" s="150"/>
      <x:c r="C14" s="150" t="str">
        <x:v>65% senior</x:v>
      </x:c>
      <x:c r="D14" s="163" t="n">
        <x:v>0.65</x:v>
      </x:c>
      <x:c r="E14" s="78" t="n">
        <x:f>1-D14-F14</x:f>
        <x:v>0.24999999999999997</x:v>
      </x:c>
      <x:c r="F14" s="75" t="n">
        <x:f>equity_pct</x:f>
        <x:v>0.1</x:v>
      </x:c>
      <x:c r="G14" s="66" t="n">
        <x:f>Portfolio_Par*D14</x:f>
        <x:v>195000000</x:v>
      </x:c>
      <x:c r="H14" s="66" t="n">
        <x:f>Portfolio_Par*E14</x:f>
        <x:v>74999999.99999999</x:v>
      </x:c>
      <x:c r="I14" s="66" t="n">
        <x:f>Portfolio_Par*F14</x:f>
        <x:v>30000000</x:v>
      </x:c>
      <x:c r="J14" s="66" t="n">
        <x:f>SUM(G14:I14)-Portfolio_Par</x:f>
        <x:v>0</x:v>
      </x:c>
    </x:row>
    <x:row r="15">
      <x:c r="A15" s="150"/>
      <x:c r="B15" s="150"/>
      <x:c r="C15" s="150" t="str">
        <x:v>66% senior</x:v>
      </x:c>
      <x:c r="D15" s="163" t="n">
        <x:v>0.66</x:v>
      </x:c>
      <x:c r="E15" s="78" t="n">
        <x:f>1-D15-F15</x:f>
        <x:v>0.23999999999999996</x:v>
      </x:c>
      <x:c r="F15" s="75" t="n">
        <x:f>equity_pct</x:f>
        <x:v>0.1</x:v>
      </x:c>
      <x:c r="G15" s="66" t="n">
        <x:f>Portfolio_Par*D15</x:f>
        <x:v>198000000</x:v>
      </x:c>
      <x:c r="H15" s="66" t="n">
        <x:f>Portfolio_Par*E15</x:f>
        <x:v>71999999.99999999</x:v>
      </x:c>
      <x:c r="I15" s="66" t="n">
        <x:f>Portfolio_Par*F15</x:f>
        <x:v>30000000</x:v>
      </x:c>
      <x:c r="J15" s="66" t="n">
        <x:f>SUM(G15:I15)-Portfolio_Par</x:f>
        <x:v>0</x:v>
      </x:c>
    </x:row>
    <x:row r="16">
      <x:c r="A16" s="150"/>
      <x:c r="B16" s="150"/>
      <x:c r="C16" s="150" t="str">
        <x:v>67% senior</x:v>
      </x:c>
      <x:c r="D16" s="163" t="n">
        <x:v>0.67</x:v>
      </x:c>
      <x:c r="E16" s="78" t="n">
        <x:f>1-D16-F16</x:f>
        <x:v>0.22999999999999995</x:v>
      </x:c>
      <x:c r="F16" s="75" t="n">
        <x:f>equity_pct</x:f>
        <x:v>0.1</x:v>
      </x:c>
      <x:c r="G16" s="66" t="n">
        <x:f>Portfolio_Par*D16</x:f>
        <x:v>201000000</x:v>
      </x:c>
      <x:c r="H16" s="66" t="n">
        <x:f>Portfolio_Par*E16</x:f>
        <x:v>68999999.99999999</x:v>
      </x:c>
      <x:c r="I16" s="66" t="n">
        <x:f>Portfolio_Par*F16</x:f>
        <x:v>30000000</x:v>
      </x:c>
      <x:c r="J16" s="66" t="n">
        <x:f>SUM(G16:I16)-Portfolio_Par</x:f>
        <x:v>0</x:v>
      </x:c>
    </x:row>
    <x:row r="17">
      <x:c r="A17" s="150"/>
      <x:c r="B17" s="150"/>
      <x:c r="C17" s="150" t="str">
        <x:v>68% senior</x:v>
      </x:c>
      <x:c r="D17" s="163" t="n">
        <x:v>0.68</x:v>
      </x:c>
      <x:c r="E17" s="78" t="n">
        <x:f>1-D17-F17</x:f>
        <x:v>0.21999999999999995</x:v>
      </x:c>
      <x:c r="F17" s="75" t="n">
        <x:f>equity_pct</x:f>
        <x:v>0.1</x:v>
      </x:c>
      <x:c r="G17" s="66" t="n">
        <x:f>Portfolio_Par*D17</x:f>
        <x:v>204000000</x:v>
      </x:c>
      <x:c r="H17" s="66" t="n">
        <x:f>Portfolio_Par*E17</x:f>
        <x:v>65999999.999999985</x:v>
      </x:c>
      <x:c r="I17" s="66" t="n">
        <x:f>Portfolio_Par*F17</x:f>
        <x:v>30000000</x:v>
      </x:c>
      <x:c r="J17" s="66" t="n">
        <x:f>SUM(G17:I17)-Portfolio_Par</x:f>
        <x:v>0</x:v>
      </x:c>
    </x:row>
    <x:row r="18">
      <x:c r="A18" s="150"/>
      <x:c r="B18" s="150"/>
      <x:c r="C18" s="150" t="str">
        <x:v>69% senior</x:v>
      </x:c>
      <x:c r="D18" s="163" t="n">
        <x:v>0.69</x:v>
      </x:c>
      <x:c r="E18" s="78" t="n">
        <x:f>1-D18-F18</x:f>
        <x:v>0.21000000000000005</x:v>
      </x:c>
      <x:c r="F18" s="75" t="n">
        <x:f>equity_pct</x:f>
        <x:v>0.1</x:v>
      </x:c>
      <x:c r="G18" s="66" t="n">
        <x:f>Portfolio_Par*D18</x:f>
        <x:v>206999999.99999997</x:v>
      </x:c>
      <x:c r="H18" s="66" t="n">
        <x:f>Portfolio_Par*E18</x:f>
        <x:v>63000000.000000015</x:v>
      </x:c>
      <x:c r="I18" s="66" t="n">
        <x:f>Portfolio_Par*F18</x:f>
        <x:v>30000000</x:v>
      </x:c>
      <x:c r="J18" s="66" t="n">
        <x:f>SUM(G18:I18)-Portfolio_Par</x:f>
        <x:v>0</x:v>
      </x:c>
    </x:row>
    <x:row r="19">
      <x:c r="A19" s="150"/>
      <x:c r="B19" s="150"/>
      <x:c r="C19" s="150" t="str">
        <x:v>70% senior</x:v>
      </x:c>
      <x:c r="D19" s="163" t="n">
        <x:v>0.7</x:v>
      </x:c>
      <x:c r="E19" s="78" t="n">
        <x:f>1-D19-F19</x:f>
        <x:v>0.20000000000000004</x:v>
      </x:c>
      <x:c r="F19" s="75" t="n">
        <x:f>equity_pct</x:f>
        <x:v>0.1</x:v>
      </x:c>
      <x:c r="G19" s="66" t="n">
        <x:f>Portfolio_Par*D19</x:f>
        <x:v>210000000</x:v>
      </x:c>
      <x:c r="H19" s="66" t="n">
        <x:f>Portfolio_Par*E19</x:f>
        <x:v>60000000.000000015</x:v>
      </x:c>
      <x:c r="I19" s="66" t="n">
        <x:f>Portfolio_Par*F19</x:f>
        <x:v>30000000</x:v>
      </x:c>
      <x:c r="J19" s="66" t="n">
        <x:f>SUM(G19:I19)-Portfolio_Par</x:f>
        <x:v>0</x:v>
      </x:c>
    </x:row>
    <x:row r="20">
      <x:c r="A20" s="150"/>
      <x:c r="B20" s="150"/>
      <x:c r="C20" s="150"/>
      <x:c r="D20" s="150"/>
      <x:c r="E20" s="150"/>
      <x:c r="F20" s="150"/>
      <x:c r="G20" s="150"/>
      <x:c r="H20" s="150"/>
      <x:c r="I20" s="150"/>
      <x:c r="J20" s="150"/>
    </x:row>
    <x:row r="21">
      <x:c r="A21" s="150"/>
      <x:c r="B21" s="150"/>
      <x:c r="C21" s="150"/>
      <x:c r="D21" s="150"/>
      <x:c r="E21" s="150"/>
      <x:c r="F21" s="150"/>
      <x:c r="G21" s="150"/>
      <x:c r="H21" s="150"/>
      <x:c r="I21" s="150"/>
      <x:c r="J21" s="150"/>
    </x:row>
    <x:row r="22">
      <x:c r="A22" s="150"/>
      <x:c r="B22" s="150"/>
      <x:c r="C22" s="150"/>
      <x:c r="D22" s="150"/>
      <x:c r="E22" s="150"/>
      <x:c r="F22" s="150"/>
      <x:c r="G22" s="150"/>
      <x:c r="H22" s="150"/>
      <x:c r="I22" s="150"/>
      <x:c r="J22" s="150"/>
    </x:row>
    <x:row r="23">
      <x:c r="A23" s="150"/>
      <x:c r="B23" s="150"/>
      <x:c r="C23" s="150" t="str">
        <x:v>Sizing controls are on Assumptions. Change percentages to change tranche balances.</x:v>
      </x:c>
      <x:c r="D23" s="150"/>
      <x:c r="E23" s="150"/>
      <x:c r="F23" s="150"/>
      <x:c r="G23" s="150"/>
      <x:c r="H23" s="150"/>
      <x:c r="I23" s="150"/>
      <x:c r="J23" s="150"/>
    </x:row>
    <x:row r="24">
      <x:c r="A24" s="150"/>
      <x:c r="B24" s="150"/>
      <x:c r="C24" s="150" t="str">
        <x:v>A 64% senior balance plus 26% junior debt and 10% equity funds 100% of portfolio par.</x:v>
      </x:c>
      <x:c r="D24" s="150"/>
      <x:c r="E24" s="150"/>
      <x:c r="F24" s="150"/>
      <x:c r="G24" s="150"/>
      <x:c r="H24" s="150"/>
      <x:c r="I24" s="150"/>
      <x:c r="J24" s="150"/>
    </x:row>
    <x:row r="25">
      <x:c r="A25" s="150"/>
      <x:c r="B25" s="150"/>
      <x:c r="C25" s="150" t="str">
        <x:v>Prices are descriptive; this prototype does not fund collateral at market value.</x:v>
      </x:c>
      <x:c r="D25" s="150"/>
      <x:c r="E25" s="150"/>
      <x:c r="F25" s="150"/>
      <x:c r="G25" s="150"/>
      <x:c r="H25" s="150"/>
      <x:c r="I25" s="150"/>
      <x:c r="J25" s="15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3075B9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9" hidden="0" customWidth="1"/>
    <x:col min="4" max="4" width="22" hidden="0" customWidth="1"/>
    <x:col min="5" max="5" width="5" hidden="0" customWidth="1"/>
    <x:col min="6" max="6" width="99" hidden="0" customWidth="1"/>
  </x:cols>
  <x:sheetData>
    <x:row r="1">
      <x:c r="A1" s="23"/>
      <x:c r="B1" s="23"/>
      <x:c r="C1" s="114" t="str">
        <x:v>S&amp;P sources</x:v>
      </x:c>
      <x:c r="D1" s="23"/>
      <x:c r="E1" s="23"/>
      <x:c r="F1" s="23"/>
    </x:row>
    <x:row r="2">
      <x:c r="A2" s="23"/>
      <x:c r="B2" s="23"/>
      <x:c r="C2" s="24" t="str">
        <x:v>S&amp;P Credit Parameters</x:v>
      </x:c>
      <x:c r="D2" s="25"/>
      <x:c r="E2" s="25"/>
      <x:c r="F2" s="25"/>
    </x:row>
    <x:row r="3" ht="22" customHeight="1">
      <x:c r="A3" s="23"/>
      <x:c r="B3" s="23"/>
      <x:c r="C3" s="26" t="str">
        <x:v>Published factor-table basis. Performing assets rated AAA through CCC-.</x:v>
      </x:c>
      <x:c r="D3" s="23"/>
      <x:c r="E3" s="23"/>
      <x:c r="F3" s="23"/>
    </x:row>
    <x:row r="4">
      <x:c r="A4" s="23"/>
      <x:c r="B4" s="23"/>
      <x:c r="C4" s="23"/>
      <x:c r="D4" s="23"/>
      <x:c r="E4" s="23"/>
      <x:c r="F4" s="23"/>
    </x:row>
    <x:row r="5">
      <x:c r="A5" s="23"/>
      <x:c r="B5" s="23"/>
      <x:c r="C5" s="23"/>
      <x:c r="D5" s="23"/>
      <x:c r="E5" s="23"/>
      <x:c r="F5" s="23"/>
    </x:row>
    <x:row r="6">
      <x:c r="A6" s="23"/>
      <x:c r="B6" s="23"/>
      <x:c r="C6" s="23"/>
      <x:c r="D6" s="23"/>
      <x:c r="E6" s="23"/>
      <x:c r="F6" s="23"/>
    </x:row>
    <x:row r="7" ht="38" customHeight="1">
      <x:c r="A7" s="23"/>
      <x:c r="B7" s="23"/>
      <x:c r="C7" s="7" t="str">
        <x:v>S&amp;P input rating</x:v>
      </x:c>
      <x:c r="D7" s="7" t="str">
        <x:v>Rating factor</x:v>
      </x:c>
      <x:c r="E7" s="23"/>
      <x:c r="F7" s="32" t="str">
        <x:v>Calculation</x:v>
      </x:c>
    </x:row>
    <x:row r="8" ht="47" customHeight="1">
      <x:c r="A8" s="23"/>
      <x:c r="B8" s="23"/>
      <x:c r="C8" s="28" t="str">
        <x:v>AAA</x:v>
      </x:c>
      <x:c r="D8" s="30" t="n">
        <x:v>13.51</x:v>
      </x:c>
      <x:c r="E8" s="23"/>
      <x:c r="F8" s="33" t="str">
        <x:v>SPWARF = SUM(par × rating factor) / eligible par. Default-rate dispersion is the par-weighted absolute deviation from SPWARF.</x:v>
      </x:c>
    </x:row>
    <x:row r="9">
      <x:c r="A9" s="150"/>
      <x:c r="B9" s="150"/>
      <x:c r="C9" s="165" t="str">
        <x:v>AA+</x:v>
      </x:c>
      <x:c r="D9" s="176" t="n">
        <x:v>26.75</x:v>
      </x:c>
      <x:c r="E9" s="150"/>
      <x:c r="F9" s="177" t="str">
        <x:v>Scope</x:v>
      </x:c>
    </x:row>
    <x:row r="10" ht="47" customHeight="1">
      <x:c r="A10" s="150"/>
      <x:c r="B10" s="150"/>
      <x:c r="C10" s="165" t="str">
        <x:v>AA</x:v>
      </x:c>
      <x:c r="D10" s="176" t="n">
        <x:v>46.36</x:v>
      </x:c>
      <x:c r="E10" s="150"/>
      <x:c r="F10" s="154" t="str">
        <x:v>This engine accepts performing corporate assets AAA through CCC-. Unknown, unrated and defaulted assets fail validation; they do not receive a zero factor.</x:v>
      </x:c>
    </x:row>
    <x:row r="11">
      <x:c r="A11" s="150"/>
      <x:c r="B11" s="150"/>
      <x:c r="C11" s="165" t="str">
        <x:v>AA-</x:v>
      </x:c>
      <x:c r="D11" s="176" t="n">
        <x:v>63.9</x:v>
      </x:c>
      <x:c r="E11" s="150"/>
      <x:c r="F11" s="177" t="str">
        <x:v>Meaning</x:v>
      </x:c>
    </x:row>
    <x:row r="12" ht="47" customHeight="1">
      <x:c r="A12" s="150"/>
      <x:c r="B12" s="150"/>
      <x:c r="C12" s="165" t="str">
        <x:v>A+</x:v>
      </x:c>
      <x:c r="D12" s="176" t="n">
        <x:v>99.5</x:v>
      </x:c>
      <x:c r="E12" s="150"/>
      <x:c r="F12" s="154" t="str">
        <x:v>Credit-quality description only. This factor scale is different from Fitch WARF. Neither metric is an AAA scenario default rate.</x:v>
      </x:c>
    </x:row>
    <x:row r="13">
      <x:c r="A13" s="150"/>
      <x:c r="B13" s="150"/>
      <x:c r="C13" s="165" t="str">
        <x:v>A</x:v>
      </x:c>
      <x:c r="D13" s="176" t="n">
        <x:v>146.35</x:v>
      </x:c>
      <x:c r="E13" s="150"/>
      <x:c r="F13" s="177" t="str">
        <x:v>Table source</x:v>
      </x:c>
    </x:row>
    <x:row r="14" ht="47" customHeight="1">
      <x:c r="A14" s="150"/>
      <x:c r="B14" s="150"/>
      <x:c r="C14" s="165" t="str">
        <x:v>A-</x:v>
      </x:c>
      <x:c r="D14" s="176" t="n">
        <x:v>199.83</x:v>
      </x:c>
      <x:c r="E14" s="150"/>
      <x:c r="F14" s="154" t="str">
        <x:v>Blue Owl Technology Finance Corp., Exhibit 10.1, S&amp;P Rating Factor table, page 61</x:v>
      </x:c>
    </x:row>
    <x:row r="15">
      <x:c r="A15" s="150"/>
      <x:c r="B15" s="150"/>
      <x:c r="C15" s="165" t="str">
        <x:v>BBB+</x:v>
      </x:c>
      <x:c r="D15" s="176" t="n">
        <x:v>271.01</x:v>
      </x:c>
      <x:c r="E15" s="150"/>
      <x:c r="F15" s="177" t="str">
        <x:v>Source URL</x:v>
      </x:c>
    </x:row>
    <x:row r="16" ht="47" customHeight="1">
      <x:c r="A16" s="150"/>
      <x:c r="B16" s="150"/>
      <x:c r="C16" s="165" t="str">
        <x:v>BBB</x:v>
      </x:c>
      <x:c r="D16" s="176" t="n">
        <x:v>361.17</x:v>
      </x:c>
      <x:c r="E16" s="150"/>
      <x:c r="F16" s="154" t="str">
        <x:v>https://www.blueowltechnologyfinance.com/investors/sec-filings/all-sec-filings/content/0001193125-25-262653/d38473dex101.htm</x:v>
      </x:c>
    </x:row>
    <x:row r="17">
      <x:c r="A17" s="150"/>
      <x:c r="B17" s="150"/>
      <x:c r="C17" s="165" t="str">
        <x:v>BBB-</x:v>
      </x:c>
      <x:c r="D17" s="176" t="n">
        <x:v>540.42</x:v>
      </x:c>
      <x:c r="E17" s="150"/>
      <x:c r="F17" s="177" t="str">
        <x:v>Definition source</x:v>
      </x:c>
    </x:row>
    <x:row r="18" ht="47" customHeight="1">
      <x:c r="A18" s="150"/>
      <x:c r="B18" s="150"/>
      <x:c r="C18" s="165" t="str">
        <x:v>BB+</x:v>
      </x:c>
      <x:c r="D18" s="176" t="n">
        <x:v>784.92</x:v>
      </x:c>
      <x:c r="E18" s="150"/>
      <x:c r="F18" s="154" t="str">
        <x:v>https://www.spglobal.com/ratings/en/regulatory/article/221215-presale-auf-funding-llc-s12592453</x:v>
      </x:c>
    </x:row>
    <x:row r="19">
      <x:c r="A19" s="150"/>
      <x:c r="B19" s="150"/>
      <x:c r="C19" s="165" t="str">
        <x:v>BB</x:v>
      </x:c>
      <x:c r="D19" s="176" t="n">
        <x:v>1233.63</x:v>
      </x:c>
      <x:c r="E19" s="150"/>
      <x:c r="F19" s="177" t="str">
        <x:v>Version basis</x:v>
      </x:c>
    </x:row>
    <x:row r="20" ht="47" customHeight="1">
      <x:c r="A20" s="150"/>
      <x:c r="B20" s="150"/>
      <x:c r="C20" s="165" t="str">
        <x:v>BB-</x:v>
      </x:c>
      <x:c r="D20" s="176" t="n">
        <x:v>1565.44</x:v>
      </x:c>
      <x:c r="E20" s="150"/>
      <x:c r="F20" s="154" t="str">
        <x:v>Table reference 2025-11-03; verified 2026-09-21. Review transaction applicability.</x:v>
      </x:c>
    </x:row>
    <x:row r="21">
      <x:c r="A21" s="150"/>
      <x:c r="B21" s="150"/>
      <x:c r="C21" s="165" t="str">
        <x:v>B+</x:v>
      </x:c>
      <x:c r="D21" s="176" t="n">
        <x:v>1982</x:v>
      </x:c>
      <x:c r="E21" s="150"/>
      <x:c r="F21" s="177" t="str">
        <x:v>Editing</x:v>
      </x:c>
    </x:row>
    <x:row r="22" ht="47" customHeight="1">
      <x:c r="A22" s="150"/>
      <x:c r="B22" s="150"/>
      <x:c r="C22" s="165" t="str">
        <x:v>B</x:v>
      </x:c>
      <x:c r="D22" s="176" t="n">
        <x:v>2859.5</x:v>
      </x:c>
      <x:c r="E22" s="150"/>
      <x:c r="F22" s="154" t="str">
        <x:v>Source constants are not scenario controls. Update the sourced Python table and rebuild to change versions; the reconciliation check detects edits here.</x:v>
      </x:c>
    </x:row>
    <x:row r="23">
      <x:c r="A23" s="150"/>
      <x:c r="B23" s="150"/>
      <x:c r="C23" s="165" t="str">
        <x:v>B-</x:v>
      </x:c>
      <x:c r="D23" s="176" t="n">
        <x:v>3610.11</x:v>
      </x:c>
      <x:c r="E23" s="150"/>
      <x:c r="F23" s="150"/>
    </x:row>
    <x:row r="24">
      <x:c r="A24" s="150"/>
      <x:c r="B24" s="150"/>
      <x:c r="C24" s="165" t="str">
        <x:v>CCC+</x:v>
      </x:c>
      <x:c r="D24" s="176" t="n">
        <x:v>4641.4</x:v>
      </x:c>
      <x:c r="E24" s="150"/>
      <x:c r="F24" s="150"/>
    </x:row>
    <x:row r="25">
      <x:c r="A25" s="150"/>
      <x:c r="B25" s="150"/>
      <x:c r="C25" s="165" t="str">
        <x:v>CCC</x:v>
      </x:c>
      <x:c r="D25" s="176" t="n">
        <x:v>5293</x:v>
      </x:c>
      <x:c r="E25" s="150"/>
      <x:c r="F25" s="150"/>
    </x:row>
    <x:row r="26">
      <x:c r="A26" s="150"/>
      <x:c r="B26" s="150"/>
      <x:c r="C26" s="165" t="str">
        <x:v>CCC-</x:v>
      </x:c>
      <x:c r="D26" s="176" t="n">
        <x:v>5751.1</x:v>
      </x:c>
      <x:c r="E26" s="150"/>
      <x:c r="F26" s="150"/>
    </x:row>
    <x:row r="27">
      <x:c r="A27" s="150"/>
      <x:c r="B27" s="150"/>
      <x:c r="C27" s="150"/>
      <x:c r="D27" s="150"/>
      <x:c r="E27" s="150"/>
      <x:c r="F27" s="150"/>
    </x:row>
    <x:row r="28">
      <x:c r="A28" s="150"/>
      <x:c r="B28" s="150"/>
      <x:c r="C28" s="150"/>
      <x:c r="D28" s="150"/>
      <x:c r="E28" s="150"/>
      <x:c r="F28" s="150"/>
    </x:row>
    <x:row r="29" ht="40" customHeight="1">
      <x:c r="A29" s="150"/>
      <x:c r="B29" s="150"/>
      <x:c r="C29" s="154" t="str">
        <x:v>Edited source constants</x:v>
      </x:c>
      <x:c r="D29" s="36" t="n">
        <x:f>IF(C8="AAA",0,1)+IF(D8=13.51,0,1)+IF(C9="AA+",0,1)+IF(D9=26.75,0,1)+IF(C10="AA",0,1)+IF(D10=46.36,0,1)+IF(C11="AA-",0,1)+IF(D11=63.9,0,1)+IF(C12="A+",0,1)+IF(D12=99.5,0,1)+IF(C13="A",0,1)+IF(D13=146.35,0,1)+IF(C14="A-",0,1)+IF(D14=199.83,0,1)+IF(C15="BBB+",0,1)+IF(D15=271.01,0,1)+IF(C16="BBB",0,1)+IF(D16=361.17,0,1)+IF(C17="BBB-",0,1)+IF(D17=540.42,0,1)+IF(C18="BB+",0,1)+IF(D18=784.92,0,1)+IF(C19="BB",0,1)+IF(D19=1233.63,0,1)+IF(C20="BB-",0,1)+IF(D20=1565.44,0,1)+IF(C21="B+",0,1)+IF(D21=1982,0,1)+IF(C22="B",0,1)+IF(D22=2859.5,0,1)+IF(C23="B-",0,1)+IF(D23=3610.11,0,1)+IF(C24="CCC+",0,1)+IF(D24=4641.4,0,1)+IF(C25="CCC",0,1)+IF(D25=5293,0,1)+IF(C26="CCC-",0,1)+IF(D26=5751.1,0,1)</x:f>
        <x:v>0</x:v>
      </x:c>
      <x:c r="E29" s="150"/>
      <x:c r="F29" s="15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3075B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5" hidden="0" customWidth="1"/>
    <x:col min="4" max="4" width="29" hidden="0" customWidth="1"/>
    <x:col min="5" max="5" width="3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60" hidden="0" customWidth="1"/>
  </x:cols>
  <x:sheetData>
    <x:row r="1">
      <x:c r="A1" s="23"/>
      <x:c r="B1" s="23"/>
      <x:c r="C1" s="114" t="str">
        <x:v>S&amp;P supplemental arithmetic</x:v>
      </x:c>
      <x:c r="D1" s="23"/>
      <x:c r="E1" s="23"/>
      <x:c r="F1" s="23"/>
      <x:c r="G1" s="23"/>
      <x:c r="H1" s="23"/>
      <x:c r="I1" s="23"/>
      <x:c r="J1" s="23"/>
      <x:c r="K1" s="23"/>
      <x:c r="L1" s="23"/>
    </x:row>
    <x:row r="2">
      <x:c r="A2" s="23"/>
      <x:c r="B2" s="23"/>
      <x:c r="C2" s="24" t="str">
        <x:v>S&amp;P Supplemental Concentration Tests</x:v>
      </x:c>
      <x:c r="D2" s="25"/>
      <x:c r="E2" s="25"/>
      <x:c r="F2" s="25"/>
      <x:c r="G2" s="25"/>
      <x:c r="H2" s="25"/>
      <x:c r="I2" s="25"/>
      <x:c r="J2" s="25"/>
      <x:c r="K2" s="25"/>
      <x:c r="L2" s="25"/>
    </x:row>
    <x:row r="3" ht="22" customHeight="1">
      <x:c r="A3" s="23"/>
      <x:c r="B3" s="23"/>
      <x:c r="C3" s="26" t="str">
        <x:v>AAA is the test target. Loss arithmetic only; tranche sufficiency is not assessed.</x:v>
      </x:c>
      <x:c r="D3" s="23"/>
      <x:c r="E3" s="23"/>
      <x:c r="F3" s="23"/>
      <x:c r="G3" s="23"/>
      <x:c r="H3" s="23"/>
      <x:c r="I3" s="23"/>
      <x:c r="J3" s="23"/>
      <x:c r="K3" s="23"/>
      <x:c r="L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</x:row>
    <x:row r="5">
      <x:c r="A5" s="23"/>
      <x:c r="B5" s="23"/>
      <x:c r="C5" s="32" t="str">
        <x:f>IF(Refresh_Required,"REFRESH REQUIRED — Python results reflect the last run","Python results match the imported inputs")</x:f>
        <x:v>Python results match the imported inputs</x:v>
      </x:c>
      <x:c r="D5" s="23"/>
      <x:c r="E5" s="23"/>
      <x:c r="F5" s="23"/>
      <x:c r="G5" s="23"/>
      <x:c r="H5" s="23"/>
      <x:c r="I5" s="23"/>
      <x:c r="J5" s="23"/>
      <x:c r="K5" s="23"/>
      <x:c r="L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</x:row>
    <x:row r="7" ht="38" customHeight="1">
      <x:c r="A7" s="23"/>
      <x:c r="B7" s="23"/>
      <x:c r="C7" s="7" t="str">
        <x:v>Test / route</x:v>
      </x:c>
      <x:c r="D7" s="7" t="str">
        <x:v>Rating band</x:v>
      </x:c>
      <x:c r="E7" s="7" t="str">
        <x:v>Industry</x:v>
      </x:c>
      <x:c r="F7" s="7" t="str">
        <x:v>Required count</x:v>
      </x:c>
      <x:c r="G7" s="7" t="str">
        <x:v>Selected count</x:v>
      </x:c>
      <x:c r="H7" s="7" t="str">
        <x:v>Gross default par</x:v>
      </x:c>
      <x:c r="I7" s="7" t="str">
        <x:v>Flat recovery</x:v>
      </x:c>
      <x:c r="J7" s="7" t="str">
        <x:v>Loss (formula)</x:v>
      </x:c>
      <x:c r="K7" s="7" t="str">
        <x:v>Loss / par</x:v>
      </x:c>
      <x:c r="L7" s="7" t="str">
        <x:v>Selected IDs</x:v>
      </x:c>
    </x:row>
    <x:row r="8" ht="39" customHeight="1">
      <x:c r="A8" s="23"/>
      <x:c r="B8" s="23"/>
      <x:c r="C8" s="33" t="str">
        <x:v>Binding: largest_obligor</x:v>
      </x:c>
      <x:c r="D8" s="33" t="str">
        <x:v>B+ through CCC-</x:v>
      </x:c>
      <x:c r="E8" s="33" t="str">
        <x:v>All industries</x:v>
      </x:c>
      <x:c r="F8" s="23" t="n">
        <x:v>10</x:v>
      </x:c>
      <x:c r="G8" s="23" t="n">
        <x:v>10</x:v>
      </x:c>
      <x:c r="H8" s="76" t="n">
        <x:v>12044000</x:v>
      </x:c>
      <x:c r="I8" s="43" t="n">
        <x:v>0.05</x:v>
      </x:c>
      <x:c r="J8" s="80" t="n">
        <x:f>H8*(1-I8)</x:f>
        <x:v>11441800</x:v>
      </x:c>
      <x:c r="K8" s="75" t="n">
        <x:f>IF(Portfolio_Par&gt;0,J8/Portfolio_Par,"")</x:f>
        <x:v>0.03813933333333333</x:v>
      </x:c>
      <x:c r="L8" s="23" t="str">
        <x:v>SYN-OB-0114, SYN-OB-0109, SYN-OB-0160, SYN-OB-0174, SYN-OB-0166, SYN-OB-0243, SYN-OB-0134, SYN-OB-0186, SYN-OB-0146, SYN-OB-0233</x:v>
      </x:c>
    </x:row>
    <x:row r="9" ht="39" customHeight="1">
      <x:c r="A9" s="150"/>
      <x:c r="B9" s="150"/>
      <x:c r="C9" s="154" t="str">
        <x:v>Binding: primary_industry</x:v>
      </x:c>
      <x:c r="D9" s="154" t="str">
        <x:v>AAA through CCC-</x:v>
      </x:c>
      <x:c r="E9" s="154" t="str">
        <x:v>Healthcare Providers &amp; Services</x:v>
      </x:c>
      <x:c r="F9" s="150" t="n">
        <x:v>17</x:v>
      </x:c>
      <x:c r="G9" s="150" t="n">
        <x:v>17</x:v>
      </x:c>
      <x:c r="H9" s="178" t="n">
        <x:v>19685000</x:v>
      </x:c>
      <x:c r="I9" s="163" t="n">
        <x:v>0.17</x:v>
      </x:c>
      <x:c r="J9" s="80" t="n">
        <x:f>H9*(1-I9)</x:f>
        <x:v>16338550</x:v>
      </x:c>
      <x:c r="K9" s="75" t="n">
        <x:f>IF(Portfolio_Par&gt;0,J9/Portfolio_Par,"")</x:f>
        <x:v>0.054461833333333334</x:v>
      </x:c>
      <x:c r="L9" s="150" t="str">
        <x:v>SYN-OB-0114, SYN-OB-0109, SYN-OB-0174, SYN-OB-0243, SYN-OB-0186, SYN-OB-0233, SYN-OB-0005, SYN-OB-0043, SYN-OB-0140, SYN-OB-0147, SYN-OB-0184, SYN-OB-0187, SYN-OB-0223, SYN-OB-0237, SYN-OB-0244, SYN-OB-0262, SYN-OB-0055</x:v>
      </x:c>
    </x:row>
    <x:row r="10" ht="39" customHeight="1">
      <x:c r="A10" s="150"/>
      <x:c r="B10" s="150"/>
      <x:c r="C10" s="154" t="str">
        <x:v>Binding: alternative_industry</x:v>
      </x:c>
      <x:c r="D10" s="154" t="str">
        <x:v>B+ through CCC-</x:v>
      </x:c>
      <x:c r="E10" s="154" t="str">
        <x:v>Healthcare Providers &amp; Services</x:v>
      </x:c>
      <x:c r="F10" s="150" t="n">
        <x:v>20</x:v>
      </x:c>
      <x:c r="G10" s="150" t="n">
        <x:v>17</x:v>
      </x:c>
      <x:c r="H10" s="178" t="n">
        <x:v>19685000</x:v>
      </x:c>
      <x:c r="I10" s="163" t="n">
        <x:v>0.05</x:v>
      </x:c>
      <x:c r="J10" s="80" t="n">
        <x:f>H10*(1-I10)</x:f>
        <x:v>18700750</x:v>
      </x:c>
      <x:c r="K10" s="75" t="n">
        <x:f>IF(Portfolio_Par&gt;0,J10/Portfolio_Par,"")</x:f>
        <x:v>0.06233583333333333</x:v>
      </x:c>
      <x:c r="L10" s="150" t="str">
        <x:v>SYN-OB-0114, SYN-OB-0109, SYN-OB-0174, SYN-OB-0243, SYN-OB-0186, SYN-OB-0233, SYN-OB-0005, SYN-OB-0043, SYN-OB-0140, SYN-OB-0147, SYN-OB-0184, SYN-OB-0187, SYN-OB-0223, SYN-OB-0237, SYN-OB-0244, SYN-OB-0262, SYN-OB-0055</x:v>
      </x:c>
    </x:row>
    <x:row r="11" ht="39" customHeight="1">
      <x:c r="A11" s="150"/>
      <x:c r="B11" s="150"/>
      <x:c r="C11" s="154" t="str">
        <x:v>largest_obligor</x:v>
      </x:c>
      <x:c r="D11" s="154" t="str">
        <x:v>AAA through CCC-</x:v>
      </x:c>
      <x:c r="E11" s="154" t="str">
        <x:v>All industries</x:v>
      </x:c>
      <x:c r="F11" s="150" t="n">
        <x:v>2</x:v>
      </x:c>
      <x:c r="G11" s="150" t="n">
        <x:v>2</x:v>
      </x:c>
      <x:c r="H11" s="178" t="n">
        <x:v>2444000</x:v>
      </x:c>
      <x:c r="I11" s="163" t="n">
        <x:v>0.05</x:v>
      </x:c>
      <x:c r="J11" s="80" t="n">
        <x:f>H11*(1-I11)</x:f>
        <x:v>2321800</x:v>
      </x:c>
      <x:c r="K11" s="75" t="n">
        <x:f>IF(Portfolio_Par&gt;0,J11/Portfolio_Par,"")</x:f>
        <x:v>0.007739333333333333</x:v>
      </x:c>
      <x:c r="L11" s="150" t="str">
        <x:v>SYN-OB-0114, SYN-OB-0109</x:v>
      </x:c>
    </x:row>
    <x:row r="12" ht="39" customHeight="1">
      <x:c r="A12" s="150"/>
      <x:c r="B12" s="150"/>
      <x:c r="C12" s="154" t="str">
        <x:v>largest_obligor</x:v>
      </x:c>
      <x:c r="D12" s="154" t="str">
        <x:v>AA+ through CCC-</x:v>
      </x:c>
      <x:c r="E12" s="154" t="str">
        <x:v>All industries</x:v>
      </x:c>
      <x:c r="F12" s="150" t="n">
        <x:v>3</x:v>
      </x:c>
      <x:c r="G12" s="150" t="n">
        <x:v>3</x:v>
      </x:c>
      <x:c r="H12" s="178" t="n">
        <x:v>3659000</x:v>
      </x:c>
      <x:c r="I12" s="163" t="n">
        <x:v>0.05</x:v>
      </x:c>
      <x:c r="J12" s="80" t="n">
        <x:f>H12*(1-I12)</x:f>
        <x:v>3476050</x:v>
      </x:c>
      <x:c r="K12" s="75" t="n">
        <x:f>IF(Portfolio_Par&gt;0,J12/Portfolio_Par,"")</x:f>
        <x:v>0.011586833333333333</x:v>
      </x:c>
      <x:c r="L12" s="150" t="str">
        <x:v>SYN-OB-0114, SYN-OB-0109, SYN-OB-0160</x:v>
      </x:c>
    </x:row>
    <x:row r="13" ht="39" customHeight="1">
      <x:c r="A13" s="150"/>
      <x:c r="B13" s="150"/>
      <x:c r="C13" s="154" t="str">
        <x:v>largest_obligor</x:v>
      </x:c>
      <x:c r="D13" s="154" t="str">
        <x:v>A+ through CCC-</x:v>
      </x:c>
      <x:c r="E13" s="154" t="str">
        <x:v>All industries</x:v>
      </x:c>
      <x:c r="F13" s="150" t="n">
        <x:v>4</x:v>
      </x:c>
      <x:c r="G13" s="150" t="n">
        <x:v>4</x:v>
      </x:c>
      <x:c r="H13" s="178" t="n">
        <x:v>4870000</x:v>
      </x:c>
      <x:c r="I13" s="163" t="n">
        <x:v>0.05</x:v>
      </x:c>
      <x:c r="J13" s="80" t="n">
        <x:f>H13*(1-I13)</x:f>
        <x:v>4626500</x:v>
      </x:c>
      <x:c r="K13" s="75" t="n">
        <x:f>IF(Portfolio_Par&gt;0,J13/Portfolio_Par,"")</x:f>
        <x:v>0.015421666666666667</x:v>
      </x:c>
      <x:c r="L13" s="150" t="str">
        <x:v>SYN-OB-0114, SYN-OB-0109, SYN-OB-0160, SYN-OB-0174</x:v>
      </x:c>
    </x:row>
    <x:row r="14" ht="39" customHeight="1">
      <x:c r="A14" s="150"/>
      <x:c r="B14" s="150"/>
      <x:c r="C14" s="154" t="str">
        <x:v>largest_obligor</x:v>
      </x:c>
      <x:c r="D14" s="154" t="str">
        <x:v>BBB+ through CCC-</x:v>
      </x:c>
      <x:c r="E14" s="154" t="str">
        <x:v>All industries</x:v>
      </x:c>
      <x:c r="F14" s="150" t="n">
        <x:v>6</x:v>
      </x:c>
      <x:c r="G14" s="150" t="n">
        <x:v>6</x:v>
      </x:c>
      <x:c r="H14" s="178" t="n">
        <x:v>7279000</x:v>
      </x:c>
      <x:c r="I14" s="163" t="n">
        <x:v>0.05</x:v>
      </x:c>
      <x:c r="J14" s="80" t="n">
        <x:f>H14*(1-I14)</x:f>
        <x:v>6915050</x:v>
      </x:c>
      <x:c r="K14" s="75" t="n">
        <x:f>IF(Portfolio_Par&gt;0,J14/Portfolio_Par,"")</x:f>
        <x:v>0.023050166666666667</x:v>
      </x:c>
      <x:c r="L14" s="150" t="str">
        <x:v>SYN-OB-0114, SYN-OB-0109, SYN-OB-0160, SYN-OB-0174, SYN-OB-0166, SYN-OB-0243</x:v>
      </x:c>
    </x:row>
    <x:row r="15" ht="39" customHeight="1">
      <x:c r="A15" s="150"/>
      <x:c r="B15" s="150"/>
      <x:c r="C15" s="154" t="str">
        <x:v>largest_obligor</x:v>
      </x:c>
      <x:c r="D15" s="154" t="str">
        <x:v>BB+ through CCC-</x:v>
      </x:c>
      <x:c r="E15" s="154" t="str">
        <x:v>All industries</x:v>
      </x:c>
      <x:c r="F15" s="150" t="n">
        <x:v>8</x:v>
      </x:c>
      <x:c r="G15" s="150" t="n">
        <x:v>8</x:v>
      </x:c>
      <x:c r="H15" s="178" t="n">
        <x:v>9670000</x:v>
      </x:c>
      <x:c r="I15" s="163" t="n">
        <x:v>0.05</x:v>
      </x:c>
      <x:c r="J15" s="80" t="n">
        <x:f>H15*(1-I15)</x:f>
        <x:v>9186500</x:v>
      </x:c>
      <x:c r="K15" s="75" t="n">
        <x:f>IF(Portfolio_Par&gt;0,J15/Portfolio_Par,"")</x:f>
        <x:v>0.030621666666666665</x:v>
      </x:c>
      <x:c r="L15" s="150" t="str">
        <x:v>SYN-OB-0114, SYN-OB-0109, SYN-OB-0160, SYN-OB-0174, SYN-OB-0166, SYN-OB-0243, SYN-OB-0134, SYN-OB-0186</x:v>
      </x:c>
    </x:row>
    <x:row r="16" ht="39" customHeight="1">
      <x:c r="A16" s="150"/>
      <x:c r="B16" s="150"/>
      <x:c r="C16" s="154" t="str">
        <x:v>largest_obligor</x:v>
      </x:c>
      <x:c r="D16" s="154" t="str">
        <x:v>B+ through CCC-</x:v>
      </x:c>
      <x:c r="E16" s="154" t="str">
        <x:v>All industries</x:v>
      </x:c>
      <x:c r="F16" s="150" t="n">
        <x:v>10</x:v>
      </x:c>
      <x:c r="G16" s="150" t="n">
        <x:v>10</x:v>
      </x:c>
      <x:c r="H16" s="178" t="n">
        <x:v>12044000</x:v>
      </x:c>
      <x:c r="I16" s="163" t="n">
        <x:v>0.05</x:v>
      </x:c>
      <x:c r="J16" s="80" t="n">
        <x:f>H16*(1-I16)</x:f>
        <x:v>11441800</x:v>
      </x:c>
      <x:c r="K16" s="75" t="n">
        <x:f>IF(Portfolio_Par&gt;0,J16/Portfolio_Par,"")</x:f>
        <x:v>0.03813933333333333</x:v>
      </x:c>
      <x:c r="L16" s="150" t="str">
        <x:v>SYN-OB-0114, SYN-OB-0109, SYN-OB-0160, SYN-OB-0174, SYN-OB-0166, SYN-OB-0243, SYN-OB-0134, SYN-OB-0186, SYN-OB-0146, SYN-OB-0233</x:v>
      </x:c>
    </x:row>
    <x:row r="17" ht="39" customHeight="1">
      <x:c r="A17" s="150"/>
      <x:c r="B17" s="150"/>
      <x:c r="C17" s="154" t="str">
        <x:v>largest_obligor</x:v>
      </x:c>
      <x:c r="D17" s="154" t="str">
        <x:v>CCC+ through CCC-</x:v>
      </x:c>
      <x:c r="E17" s="154" t="str">
        <x:v>All industries</x:v>
      </x:c>
      <x:c r="F17" s="150" t="n">
        <x:v>12</x:v>
      </x:c>
      <x:c r="G17" s="150" t="n">
        <x:v>0</x:v>
      </x:c>
      <x:c r="H17" s="178" t="n">
        <x:v>0</x:v>
      </x:c>
      <x:c r="I17" s="163" t="n">
        <x:v>0.05</x:v>
      </x:c>
      <x:c r="J17" s="80" t="n">
        <x:f>H17*(1-I17)</x:f>
        <x:v>0</x:v>
      </x:c>
      <x:c r="K17" s="75" t="n">
        <x:f>IF(Portfolio_Par&gt;0,J17/Portfolio_Par,"")</x:f>
        <x:v>0</x:v>
      </x:c>
      <x:c r="L17" s="150" t="str"/>
    </x:row>
    <x:row r="18" ht="39" customHeight="1">
      <x:c r="A18" s="150"/>
      <x:c r="B18" s="150"/>
      <x:c r="C18" s="154" t="str">
        <x:v>primary_industry</x:v>
      </x:c>
      <x:c r="D18" s="154" t="str">
        <x:v>AAA through CCC-</x:v>
      </x:c>
      <x:c r="E18" s="154" t="str">
        <x:v>Aerospace &amp; Defense</x:v>
      </x:c>
      <x:c r="F18" s="150" t="n">
        <x:v>11</x:v>
      </x:c>
      <x:c r="G18" s="150" t="n">
        <x:v>11</x:v>
      </x:c>
      <x:c r="H18" s="178" t="n">
        <x:v>12450000</x:v>
      </x:c>
      <x:c r="I18" s="163" t="n">
        <x:v>0.17</x:v>
      </x:c>
      <x:c r="J18" s="80" t="n">
        <x:f>H18*(1-I18)</x:f>
        <x:v>10333500</x:v>
      </x:c>
      <x:c r="K18" s="75" t="n">
        <x:f>IF(Portfolio_Par&gt;0,J18/Portfolio_Par,"")</x:f>
        <x:v>0.034445</x:v>
      </x:c>
      <x:c r="L18" s="150" t="str">
        <x:v>SYN-OB-0024, SYN-OB-0039, SYN-OB-0045, SYN-OB-0046, SYN-OB-0136, SYN-OB-0151, SYN-OB-0206, SYN-OB-0209, SYN-OB-0226, SYN-OB-0247, SYN-OB-0027</x:v>
      </x:c>
    </x:row>
    <x:row r="19" ht="39" customHeight="1">
      <x:c r="A19" s="150"/>
      <x:c r="B19" s="150"/>
      <x:c r="C19" s="154" t="str">
        <x:v>primary_industry</x:v>
      </x:c>
      <x:c r="D19" s="154" t="str">
        <x:v>AAA through CCC-</x:v>
      </x:c>
      <x:c r="E19" s="154" t="str">
        <x:v>Auto Components</x:v>
      </x:c>
      <x:c r="F19" s="150" t="n">
        <x:v>5</x:v>
      </x:c>
      <x:c r="G19" s="150" t="n">
        <x:v>5</x:v>
      </x:c>
      <x:c r="H19" s="178" t="n">
        <x:v>4806000</x:v>
      </x:c>
      <x:c r="I19" s="163" t="n">
        <x:v>0.17</x:v>
      </x:c>
      <x:c r="J19" s="80" t="n">
        <x:f>H19*(1-I19)</x:f>
        <x:v>3988980</x:v>
      </x:c>
      <x:c r="K19" s="75" t="n">
        <x:f>IF(Portfolio_Par&gt;0,J19/Portfolio_Par,"")</x:f>
        <x:v>0.0132966</x:v>
      </x:c>
      <x:c r="L19" s="150" t="str">
        <x:v>SYN-OB-0090, SYN-OB-0138, SYN-OB-0232, SYN-OB-0038, SYN-OB-0173</x:v>
      </x:c>
    </x:row>
    <x:row r="20" ht="39" customHeight="1">
      <x:c r="A20" s="150"/>
      <x:c r="B20" s="150"/>
      <x:c r="C20" s="154" t="str">
        <x:v>primary_industry</x:v>
      </x:c>
      <x:c r="D20" s="154" t="str">
        <x:v>AAA through CCC-</x:v>
      </x:c>
      <x:c r="E20" s="154" t="str">
        <x:v>Automobiles</x:v>
      </x:c>
      <x:c r="F20" s="150" t="n">
        <x:v>2</x:v>
      </x:c>
      <x:c r="G20" s="150" t="n">
        <x:v>2</x:v>
      </x:c>
      <x:c r="H20" s="178" t="n">
        <x:v>2364000</x:v>
      </x:c>
      <x:c r="I20" s="163" t="n">
        <x:v>0.17</x:v>
      </x:c>
      <x:c r="J20" s="80" t="n">
        <x:f>H20*(1-I20)</x:f>
        <x:v>1962120</x:v>
      </x:c>
      <x:c r="K20" s="75" t="n">
        <x:f>IF(Portfolio_Par&gt;0,J20/Portfolio_Par,"")</x:f>
        <x:v>0.0065404</x:v>
      </x:c>
      <x:c r="L20" s="150" t="str">
        <x:v>SYN-OB-0157, SYN-OB-0224</x:v>
      </x:c>
    </x:row>
    <x:row r="21" ht="39" customHeight="1">
      <x:c r="A21" s="150"/>
      <x:c r="B21" s="150"/>
      <x:c r="C21" s="154" t="str">
        <x:v>primary_industry</x:v>
      </x:c>
      <x:c r="D21" s="154" t="str">
        <x:v>AAA through CCC-</x:v>
      </x:c>
      <x:c r="E21" s="154" t="str">
        <x:v>Banks</x:v>
      </x:c>
      <x:c r="F21" s="150" t="n">
        <x:v>3</x:v>
      </x:c>
      <x:c r="G21" s="150" t="n">
        <x:v>3</x:v>
      </x:c>
      <x:c r="H21" s="178" t="n">
        <x:v>3546000</x:v>
      </x:c>
      <x:c r="I21" s="163" t="n">
        <x:v>0.17</x:v>
      </x:c>
      <x:c r="J21" s="80" t="n">
        <x:f>H21*(1-I21)</x:f>
        <x:v>2943180</x:v>
      </x:c>
      <x:c r="K21" s="75" t="n">
        <x:f>IF(Portfolio_Par&gt;0,J21/Portfolio_Par,"")</x:f>
        <x:v>0.0098106</x:v>
      </x:c>
      <x:c r="L21" s="150" t="str">
        <x:v>SYN-OB-0016, SYN-OB-0049, SYN-OB-0158</x:v>
      </x:c>
    </x:row>
    <x:row r="22" ht="39" customHeight="1">
      <x:c r="A22" s="150"/>
      <x:c r="B22" s="150"/>
      <x:c r="C22" s="154" t="str">
        <x:v>primary_industry</x:v>
      </x:c>
      <x:c r="D22" s="154" t="str">
        <x:v>AAA through CCC-</x:v>
      </x:c>
      <x:c r="E22" s="154" t="str">
        <x:v>Beverages</x:v>
      </x:c>
      <x:c r="F22" s="150" t="n">
        <x:v>2</x:v>
      </x:c>
      <x:c r="G22" s="150" t="n">
        <x:v>2</x:v>
      </x:c>
      <x:c r="H22" s="178" t="n">
        <x:v>1260000</x:v>
      </x:c>
      <x:c r="I22" s="163" t="n">
        <x:v>0.17</x:v>
      </x:c>
      <x:c r="J22" s="80" t="n">
        <x:f>H22*(1-I22)</x:f>
        <x:v>1045800</x:v>
      </x:c>
      <x:c r="K22" s="75" t="n">
        <x:f>IF(Portfolio_Par&gt;0,J22/Portfolio_Par,"")</x:f>
        <x:v>0.003486</x:v>
      </x:c>
      <x:c r="L22" s="150" t="str">
        <x:v>SYN-OB-0015, SYN-OB-0248</x:v>
      </x:c>
    </x:row>
    <x:row r="23" ht="39" customHeight="1">
      <x:c r="A23" s="150"/>
      <x:c r="B23" s="150"/>
      <x:c r="C23" s="154" t="str">
        <x:v>primary_industry</x:v>
      </x:c>
      <x:c r="D23" s="154" t="str">
        <x:v>AAA through CCC-</x:v>
      </x:c>
      <x:c r="E23" s="154" t="str">
        <x:v>Broadline retail</x:v>
      </x:c>
      <x:c r="F23" s="150" t="n">
        <x:v>3</x:v>
      </x:c>
      <x:c r="G23" s="150" t="n">
        <x:v>3</x:v>
      </x:c>
      <x:c r="H23" s="178" t="n">
        <x:v>3546000</x:v>
      </x:c>
      <x:c r="I23" s="163" t="n">
        <x:v>0.17</x:v>
      </x:c>
      <x:c r="J23" s="80" t="n">
        <x:f>H23*(1-I23)</x:f>
        <x:v>2943180</x:v>
      </x:c>
      <x:c r="K23" s="75" t="n">
        <x:f>IF(Portfolio_Par&gt;0,J23/Portfolio_Par,"")</x:f>
        <x:v>0.0098106</x:v>
      </x:c>
      <x:c r="L23" s="150" t="str">
        <x:v>SYN-OB-0025, SYN-OB-0207, SYN-OB-0227</x:v>
      </x:c>
    </x:row>
    <x:row r="24" ht="39" customHeight="1">
      <x:c r="A24" s="150"/>
      <x:c r="B24" s="150"/>
      <x:c r="C24" s="154" t="str">
        <x:v>primary_industry</x:v>
      </x:c>
      <x:c r="D24" s="154" t="str">
        <x:v>AAA through CCC-</x:v>
      </x:c>
      <x:c r="E24" s="154" t="str">
        <x:v>Building Products</x:v>
      </x:c>
      <x:c r="F24" s="150" t="n">
        <x:v>6</x:v>
      </x:c>
      <x:c r="G24" s="150" t="n">
        <x:v>6</x:v>
      </x:c>
      <x:c r="H24" s="178" t="n">
        <x:v>6540000</x:v>
      </x:c>
      <x:c r="I24" s="163" t="n">
        <x:v>0.17</x:v>
      </x:c>
      <x:c r="J24" s="80" t="n">
        <x:f>H24*(1-I24)</x:f>
        <x:v>5428200</x:v>
      </x:c>
      <x:c r="K24" s="75" t="n">
        <x:f>IF(Portfolio_Par&gt;0,J24/Portfolio_Par,"")</x:f>
        <x:v>0.018094</x:v>
      </x:c>
      <x:c r="L24" s="150" t="str">
        <x:v>SYN-OB-0007, SYN-OB-0034, SYN-OB-0085, SYN-OB-0180, SYN-OB-0203, SYN-OB-0072</x:v>
      </x:c>
    </x:row>
    <x:row r="25" ht="39" customHeight="1">
      <x:c r="A25" s="150"/>
      <x:c r="B25" s="150"/>
      <x:c r="C25" s="154" t="str">
        <x:v>primary_industry</x:v>
      </x:c>
      <x:c r="D25" s="154" t="str">
        <x:v>AAA through CCC-</x:v>
      </x:c>
      <x:c r="E25" s="154" t="str">
        <x:v>Capital Markets</x:v>
      </x:c>
      <x:c r="F25" s="150" t="n">
        <x:v>5</x:v>
      </x:c>
      <x:c r="G25" s="150" t="n">
        <x:v>5</x:v>
      </x:c>
      <x:c r="H25" s="178" t="n">
        <x:v>5910000</x:v>
      </x:c>
      <x:c r="I25" s="163" t="n">
        <x:v>0.17</x:v>
      </x:c>
      <x:c r="J25" s="80" t="n">
        <x:f>H25*(1-I25)</x:f>
        <x:v>4905300</x:v>
      </x:c>
      <x:c r="K25" s="75" t="n">
        <x:f>IF(Portfolio_Par&gt;0,J25/Portfolio_Par,"")</x:f>
        <x:v>0.016351</x:v>
      </x:c>
      <x:c r="L25" s="150" t="str">
        <x:v>SYN-OB-0020, SYN-OB-0163, SYN-OB-0188, SYN-OB-0210, SYN-OB-0217</x:v>
      </x:c>
    </x:row>
    <x:row r="26" ht="39" customHeight="1">
      <x:c r="A26" s="150"/>
      <x:c r="B26" s="150"/>
      <x:c r="C26" s="154" t="str">
        <x:v>primary_industry</x:v>
      </x:c>
      <x:c r="D26" s="154" t="str">
        <x:v>AAA through CCC-</x:v>
      </x:c>
      <x:c r="E26" s="154" t="str">
        <x:v>Chemicals</x:v>
      </x:c>
      <x:c r="F26" s="150" t="n">
        <x:v>11</x:v>
      </x:c>
      <x:c r="G26" s="150" t="n">
        <x:v>11</x:v>
      </x:c>
      <x:c r="H26" s="178" t="n">
        <x:v>13002000</x:v>
      </x:c>
      <x:c r="I26" s="163" t="n">
        <x:v>0.17</x:v>
      </x:c>
      <x:c r="J26" s="80" t="n">
        <x:f>H26*(1-I26)</x:f>
        <x:v>10791660</x:v>
      </x:c>
      <x:c r="K26" s="75" t="n">
        <x:f>IF(Portfolio_Par&gt;0,J26/Portfolio_Par,"")</x:f>
        <x:v>0.0359722</x:v>
      </x:c>
      <x:c r="L26" s="150" t="str">
        <x:v>SYN-OB-0006, SYN-OB-0068, SYN-OB-0110, SYN-OB-0116, SYN-OB-0130, SYN-OB-0131, SYN-OB-0153, SYN-OB-0159, SYN-OB-0169, SYN-OB-0183, SYN-OB-0238</x:v>
      </x:c>
    </x:row>
    <x:row r="27" ht="39" customHeight="1">
      <x:c r="A27" s="150"/>
      <x:c r="B27" s="150"/>
      <x:c r="C27" s="154" t="str">
        <x:v>primary_industry</x:v>
      </x:c>
      <x:c r="D27" s="154" t="str">
        <x:v>AAA through CCC-</x:v>
      </x:c>
      <x:c r="E27" s="154" t="str">
        <x:v>Commercial Services &amp; Supplies</x:v>
      </x:c>
      <x:c r="F27" s="150" t="n">
        <x:v>6</x:v>
      </x:c>
      <x:c r="G27" s="150" t="n">
        <x:v>6</x:v>
      </x:c>
      <x:c r="H27" s="178" t="n">
        <x:v>7092000</x:v>
      </x:c>
      <x:c r="I27" s="163" t="n">
        <x:v>0.17</x:v>
      </x:c>
      <x:c r="J27" s="80" t="n">
        <x:f>H27*(1-I27)</x:f>
        <x:v>5886360</x:v>
      </x:c>
      <x:c r="K27" s="75" t="n">
        <x:f>IF(Portfolio_Par&gt;0,J27/Portfolio_Par,"")</x:f>
        <x:v>0.0196212</x:v>
      </x:c>
      <x:c r="L27" s="150" t="str">
        <x:v>SYN-OB-0010, SYN-OB-0011, SYN-OB-0081, SYN-OB-0089, SYN-OB-0132, SYN-OB-0253</x:v>
      </x:c>
    </x:row>
    <x:row r="28" ht="39" customHeight="1">
      <x:c r="A28" s="150"/>
      <x:c r="B28" s="150"/>
      <x:c r="C28" s="154" t="str">
        <x:v>primary_industry</x:v>
      </x:c>
      <x:c r="D28" s="154" t="str">
        <x:v>AAA through CCC-</x:v>
      </x:c>
      <x:c r="E28" s="154" t="str">
        <x:v>Communications Equipment</x:v>
      </x:c>
      <x:c r="F28" s="150" t="n">
        <x:v>2</x:v>
      </x:c>
      <x:c r="G28" s="150" t="n">
        <x:v>2</x:v>
      </x:c>
      <x:c r="H28" s="178" t="n">
        <x:v>2364000</x:v>
      </x:c>
      <x:c r="I28" s="163" t="n">
        <x:v>0.17</x:v>
      </x:c>
      <x:c r="J28" s="80" t="n">
        <x:f>H28*(1-I28)</x:f>
        <x:v>1962120</x:v>
      </x:c>
      <x:c r="K28" s="75" t="n">
        <x:f>IF(Portfolio_Par&gt;0,J28/Portfolio_Par,"")</x:f>
        <x:v>0.0065404</x:v>
      </x:c>
      <x:c r="L28" s="150" t="str">
        <x:v>SYN-OB-0225, SYN-OB-0265</x:v>
      </x:c>
    </x:row>
    <x:row r="29" ht="39" customHeight="1">
      <x:c r="A29" s="150"/>
      <x:c r="B29" s="150"/>
      <x:c r="C29" s="154" t="str">
        <x:v>primary_industry</x:v>
      </x:c>
      <x:c r="D29" s="154" t="str">
        <x:v>AAA through CCC-</x:v>
      </x:c>
      <x:c r="E29" s="154" t="str">
        <x:v>Construction &amp; Engineering</x:v>
      </x:c>
      <x:c r="F29" s="150" t="n">
        <x:v>3</x:v>
      </x:c>
      <x:c r="G29" s="150" t="n">
        <x:v>3</x:v>
      </x:c>
      <x:c r="H29" s="178" t="n">
        <x:v>2994000</x:v>
      </x:c>
      <x:c r="I29" s="163" t="n">
        <x:v>0.17</x:v>
      </x:c>
      <x:c r="J29" s="80" t="n">
        <x:f>H29*(1-I29)</x:f>
        <x:v>2485020</x:v>
      </x:c>
      <x:c r="K29" s="75" t="n">
        <x:f>IF(Portfolio_Par&gt;0,J29/Portfolio_Par,"")</x:f>
        <x:v>0.0082834</x:v>
      </x:c>
      <x:c r="L29" s="150" t="str">
        <x:v>SYN-OB-0079, SYN-OB-0105, SYN-OB-0050</x:v>
      </x:c>
    </x:row>
    <x:row r="30" ht="39" customHeight="1">
      <x:c r="A30" s="150"/>
      <x:c r="B30" s="150"/>
      <x:c r="C30" s="154" t="str">
        <x:v>primary_industry</x:v>
      </x:c>
      <x:c r="D30" s="154" t="str">
        <x:v>AAA through CCC-</x:v>
      </x:c>
      <x:c r="E30" s="154" t="str">
        <x:v>Construction Materials</x:v>
      </x:c>
      <x:c r="F30" s="150" t="n">
        <x:v>4</x:v>
      </x:c>
      <x:c r="G30" s="150" t="n">
        <x:v>4</x:v>
      </x:c>
      <x:c r="H30" s="178" t="n">
        <x:v>4176000</x:v>
      </x:c>
      <x:c r="I30" s="163" t="n">
        <x:v>0.17</x:v>
      </x:c>
      <x:c r="J30" s="80" t="n">
        <x:f>H30*(1-I30)</x:f>
        <x:v>3466080</x:v>
      </x:c>
      <x:c r="K30" s="75" t="n">
        <x:f>IF(Portfolio_Par&gt;0,J30/Portfolio_Par,"")</x:f>
        <x:v>0.0115536</x:v>
      </x:c>
      <x:c r="L30" s="150" t="str">
        <x:v>SYN-OB-0013, SYN-OB-0204, SYN-OB-0266, SYN-OB-0251</x:v>
      </x:c>
    </x:row>
    <x:row r="31" ht="39" customHeight="1">
      <x:c r="A31" s="150"/>
      <x:c r="B31" s="150"/>
      <x:c r="C31" s="154" t="str">
        <x:v>primary_industry</x:v>
      </x:c>
      <x:c r="D31" s="154" t="str">
        <x:v>AAA through CCC-</x:v>
      </x:c>
      <x:c r="E31" s="154" t="str">
        <x:v>Consumer Finance</x:v>
      </x:c>
      <x:c r="F31" s="150" t="n">
        <x:v>4</x:v>
      </x:c>
      <x:c r="G31" s="150" t="n">
        <x:v>4</x:v>
      </x:c>
      <x:c r="H31" s="178" t="n">
        <x:v>3624000</x:v>
      </x:c>
      <x:c r="I31" s="163" t="n">
        <x:v>0.17</x:v>
      </x:c>
      <x:c r="J31" s="80" t="n">
        <x:f>H31*(1-I31)</x:f>
        <x:v>3007920</x:v>
      </x:c>
      <x:c r="K31" s="75" t="n">
        <x:f>IF(Portfolio_Par&gt;0,J31/Portfolio_Par,"")</x:f>
        <x:v>0.0100264</x:v>
      </x:c>
      <x:c r="L31" s="150" t="str">
        <x:v>SYN-OB-0101, SYN-OB-0118, SYN-OB-0178, SYN-OB-0185</x:v>
      </x:c>
    </x:row>
    <x:row r="32" ht="39" customHeight="1">
      <x:c r="A32" s="150"/>
      <x:c r="B32" s="150"/>
      <x:c r="C32" s="154" t="str">
        <x:v>primary_industry</x:v>
      </x:c>
      <x:c r="D32" s="154" t="str">
        <x:v>AAA through CCC-</x:v>
      </x:c>
      <x:c r="E32" s="154" t="str">
        <x:v>Containers &amp; Packaging</x:v>
      </x:c>
      <x:c r="F32" s="150" t="n">
        <x:v>6</x:v>
      </x:c>
      <x:c r="G32" s="150" t="n">
        <x:v>6</x:v>
      </x:c>
      <x:c r="H32" s="178" t="n">
        <x:v>7092000</x:v>
      </x:c>
      <x:c r="I32" s="163" t="n">
        <x:v>0.17</x:v>
      </x:c>
      <x:c r="J32" s="80" t="n">
        <x:f>H32*(1-I32)</x:f>
        <x:v>5886360</x:v>
      </x:c>
      <x:c r="K32" s="75" t="n">
        <x:f>IF(Portfolio_Par&gt;0,J32/Portfolio_Par,"")</x:f>
        <x:v>0.0196212</x:v>
      </x:c>
      <x:c r="L32" s="150" t="str">
        <x:v>SYN-OB-0023, SYN-OB-0142, SYN-OB-0195, SYN-OB-0220, SYN-OB-0259, SYN-OB-0260</x:v>
      </x:c>
    </x:row>
    <x:row r="33" ht="39" customHeight="1">
      <x:c r="A33" s="150"/>
      <x:c r="B33" s="150"/>
      <x:c r="C33" s="154" t="str">
        <x:v>primary_industry</x:v>
      </x:c>
      <x:c r="D33" s="154" t="str">
        <x:v>AAA through CCC-</x:v>
      </x:c>
      <x:c r="E33" s="154" t="str">
        <x:v>Distributors</x:v>
      </x:c>
      <x:c r="F33" s="150" t="n">
        <x:v>1</x:v>
      </x:c>
      <x:c r="G33" s="150" t="n">
        <x:v>1</x:v>
      </x:c>
      <x:c r="H33" s="178" t="n">
        <x:v>1182000</x:v>
      </x:c>
      <x:c r="I33" s="163" t="n">
        <x:v>0.17</x:v>
      </x:c>
      <x:c r="J33" s="80" t="n">
        <x:f>H33*(1-I33)</x:f>
        <x:v>981060</x:v>
      </x:c>
      <x:c r="K33" s="75" t="n">
        <x:f>IF(Portfolio_Par&gt;0,J33/Portfolio_Par,"")</x:f>
        <x:v>0.0032702</x:v>
      </x:c>
      <x:c r="L33" s="150" t="str">
        <x:v>SYN-OB-0211</x:v>
      </x:c>
    </x:row>
    <x:row r="34" ht="39" customHeight="1">
      <x:c r="A34" s="150"/>
      <x:c r="B34" s="150"/>
      <x:c r="C34" s="154" t="str">
        <x:v>primary_industry</x:v>
      </x:c>
      <x:c r="D34" s="154" t="str">
        <x:v>AAA through CCC-</x:v>
      </x:c>
      <x:c r="E34" s="154" t="str">
        <x:v>Diversified Consumer Services</x:v>
      </x:c>
      <x:c r="F34" s="150" t="n">
        <x:v>7</x:v>
      </x:c>
      <x:c r="G34" s="150" t="n">
        <x:v>7</x:v>
      </x:c>
      <x:c r="H34" s="178" t="n">
        <x:v>7722000</x:v>
      </x:c>
      <x:c r="I34" s="163" t="n">
        <x:v>0.17</x:v>
      </x:c>
      <x:c r="J34" s="80" t="n">
        <x:f>H34*(1-I34)</x:f>
        <x:v>6409260</x:v>
      </x:c>
      <x:c r="K34" s="75" t="n">
        <x:f>IF(Portfolio_Par&gt;0,J34/Portfolio_Par,"")</x:f>
        <x:v>0.0213642</x:v>
      </x:c>
      <x:c r="L34" s="150" t="str">
        <x:v>SYN-OB-0060, SYN-OB-0069, SYN-OB-0074, SYN-OB-0144, SYN-OB-0215, SYN-OB-0264, SYN-OB-0107</x:v>
      </x:c>
    </x:row>
    <x:row r="35" ht="39" customHeight="1">
      <x:c r="A35" s="150"/>
      <x:c r="B35" s="150"/>
      <x:c r="C35" s="154" t="str">
        <x:v>primary_industry</x:v>
      </x:c>
      <x:c r="D35" s="154" t="str">
        <x:v>AAA through CCC-</x:v>
      </x:c>
      <x:c r="E35" s="154" t="str">
        <x:v>Diversified Telecommunication Services</x:v>
      </x:c>
      <x:c r="F35" s="150" t="n">
        <x:v>8</x:v>
      </x:c>
      <x:c r="G35" s="150" t="n">
        <x:v>8</x:v>
      </x:c>
      <x:c r="H35" s="178" t="n">
        <x:v>8904000</x:v>
      </x:c>
      <x:c r="I35" s="163" t="n">
        <x:v>0.17</x:v>
      </x:c>
      <x:c r="J35" s="80" t="n">
        <x:f>H35*(1-I35)</x:f>
        <x:v>7390320</x:v>
      </x:c>
      <x:c r="K35" s="75" t="n">
        <x:f>IF(Portfolio_Par&gt;0,J35/Portfolio_Par,"")</x:f>
        <x:v>0.0246344</x:v>
      </x:c>
      <x:c r="L35" s="150" t="str">
        <x:v>SYN-OB-0009, SYN-OB-0047, SYN-OB-0054, SYN-OB-0067, SYN-OB-0080, SYN-OB-0086, SYN-OB-0098, SYN-OB-0245</x:v>
      </x:c>
    </x:row>
    <x:row r="36" ht="39" customHeight="1">
      <x:c r="A36" s="150"/>
      <x:c r="B36" s="150"/>
      <x:c r="C36" s="154" t="str">
        <x:v>primary_industry</x:v>
      </x:c>
      <x:c r="D36" s="154" t="str">
        <x:v>AAA through CCC-</x:v>
      </x:c>
      <x:c r="E36" s="154" t="str">
        <x:v>Electric Utilities</x:v>
      </x:c>
      <x:c r="F36" s="150" t="n">
        <x:v>8</x:v>
      </x:c>
      <x:c r="G36" s="150" t="n">
        <x:v>8</x:v>
      </x:c>
      <x:c r="H36" s="178" t="n">
        <x:v>8904000</x:v>
      </x:c>
      <x:c r="I36" s="163" t="n">
        <x:v>0.17</x:v>
      </x:c>
      <x:c r="J36" s="80" t="n">
        <x:f>H36*(1-I36)</x:f>
        <x:v>7390320</x:v>
      </x:c>
      <x:c r="K36" s="75" t="n">
        <x:f>IF(Portfolio_Par&gt;0,J36/Portfolio_Par,"")</x:f>
        <x:v>0.0246344</x:v>
      </x:c>
      <x:c r="L36" s="150" t="str">
        <x:v>SYN-OB-0044, SYN-OB-0062, SYN-OB-0106, SYN-OB-0176, SYN-OB-0179, SYN-OB-0199, SYN-OB-0219, SYN-OB-0061</x:v>
      </x:c>
    </x:row>
    <x:row r="37" ht="39" customHeight="1">
      <x:c r="A37" s="150"/>
      <x:c r="B37" s="150"/>
      <x:c r="C37" s="154" t="str">
        <x:v>primary_industry</x:v>
      </x:c>
      <x:c r="D37" s="154" t="str">
        <x:v>AAA through CCC-</x:v>
      </x:c>
      <x:c r="E37" s="154" t="str">
        <x:v>Electrical Equipment</x:v>
      </x:c>
      <x:c r="F37" s="150" t="n">
        <x:v>2</x:v>
      </x:c>
      <x:c r="G37" s="150" t="n">
        <x:v>2</x:v>
      </x:c>
      <x:c r="H37" s="178" t="n">
        <x:v>1260000</x:v>
      </x:c>
      <x:c r="I37" s="163" t="n">
        <x:v>0.17</x:v>
      </x:c>
      <x:c r="J37" s="80" t="n">
        <x:f>H37*(1-I37)</x:f>
        <x:v>1045800</x:v>
      </x:c>
      <x:c r="K37" s="75" t="n">
        <x:f>IF(Portfolio_Par&gt;0,J37/Portfolio_Par,"")</x:f>
        <x:v>0.003486</x:v>
      </x:c>
      <x:c r="L37" s="150" t="str">
        <x:v>SYN-OB-0070, SYN-OB-0088</x:v>
      </x:c>
    </x:row>
    <x:row r="38" ht="39" customHeight="1">
      <x:c r="A38" s="150"/>
      <x:c r="B38" s="150"/>
      <x:c r="C38" s="154" t="str">
        <x:v>primary_industry</x:v>
      </x:c>
      <x:c r="D38" s="154" t="str">
        <x:v>AAA through CCC-</x:v>
      </x:c>
      <x:c r="E38" s="154" t="str">
        <x:v>Electronic Equipment, Instruments &amp; Components</x:v>
      </x:c>
      <x:c r="F38" s="150" t="n">
        <x:v>1</x:v>
      </x:c>
      <x:c r="G38" s="150" t="n">
        <x:v>1</x:v>
      </x:c>
      <x:c r="H38" s="178" t="n">
        <x:v>1182000</x:v>
      </x:c>
      <x:c r="I38" s="163" t="n">
        <x:v>0.17</x:v>
      </x:c>
      <x:c r="J38" s="80" t="n">
        <x:f>H38*(1-I38)</x:f>
        <x:v>981060</x:v>
      </x:c>
      <x:c r="K38" s="75" t="n">
        <x:f>IF(Portfolio_Par&gt;0,J38/Portfolio_Par,"")</x:f>
        <x:v>0.0032702</x:v>
      </x:c>
      <x:c r="L38" s="150" t="str">
        <x:v>SYN-OB-0096</x:v>
      </x:c>
    </x:row>
    <x:row r="39" ht="39" customHeight="1">
      <x:c r="A39" s="150"/>
      <x:c r="B39" s="150"/>
      <x:c r="C39" s="154" t="str">
        <x:v>primary_industry</x:v>
      </x:c>
      <x:c r="D39" s="154" t="str">
        <x:v>AAA through CCC-</x:v>
      </x:c>
      <x:c r="E39" s="154" t="str">
        <x:v>Energy Equipment &amp; Services</x:v>
      </x:c>
      <x:c r="F39" s="150" t="n">
        <x:v>3</x:v>
      </x:c>
      <x:c r="G39" s="150" t="n">
        <x:v>3</x:v>
      </x:c>
      <x:c r="H39" s="178" t="n">
        <x:v>3546000</x:v>
      </x:c>
      <x:c r="I39" s="163" t="n">
        <x:v>0.17</x:v>
      </x:c>
      <x:c r="J39" s="80" t="n">
        <x:f>H39*(1-I39)</x:f>
        <x:v>2943180</x:v>
      </x:c>
      <x:c r="K39" s="75" t="n">
        <x:f>IF(Portfolio_Par&gt;0,J39/Portfolio_Par,"")</x:f>
        <x:v>0.0098106</x:v>
      </x:c>
      <x:c r="L39" s="150" t="str">
        <x:v>SYN-OB-0037, SYN-OB-0127, SYN-OB-0182</x:v>
      </x:c>
    </x:row>
    <x:row r="40" ht="39" customHeight="1">
      <x:c r="A40" s="150"/>
      <x:c r="B40" s="150"/>
      <x:c r="C40" s="154" t="str">
        <x:v>primary_industry</x:v>
      </x:c>
      <x:c r="D40" s="154" t="str">
        <x:v>AAA through CCC-</x:v>
      </x:c>
      <x:c r="E40" s="154" t="str">
        <x:v>Financial services</x:v>
      </x:c>
      <x:c r="F40" s="150" t="n">
        <x:v>10</x:v>
      </x:c>
      <x:c r="G40" s="150" t="n">
        <x:v>10</x:v>
      </x:c>
      <x:c r="H40" s="178" t="n">
        <x:v>11268000</x:v>
      </x:c>
      <x:c r="I40" s="163" t="n">
        <x:v>0.17</x:v>
      </x:c>
      <x:c r="J40" s="80" t="n">
        <x:f>H40*(1-I40)</x:f>
        <x:v>9352440</x:v>
      </x:c>
      <x:c r="K40" s="75" t="n">
        <x:f>IF(Portfolio_Par&gt;0,J40/Portfolio_Par,"")</x:f>
        <x:v>0.0311748</x:v>
      </x:c>
      <x:c r="L40" s="150" t="str">
        <x:v>SYN-OB-0004, SYN-OB-0028, SYN-OB-0064, SYN-OB-0066, SYN-OB-0099, SYN-OB-0119, SYN-OB-0148, SYN-OB-0149, SYN-OB-0165, SYN-OB-0048</x:v>
      </x:c>
    </x:row>
    <x:row r="41" ht="39" customHeight="1">
      <x:c r="A41" s="150"/>
      <x:c r="B41" s="150"/>
      <x:c r="C41" s="154" t="str">
        <x:v>primary_industry</x:v>
      </x:c>
      <x:c r="D41" s="154" t="str">
        <x:v>AAA through CCC-</x:v>
      </x:c>
      <x:c r="E41" s="154" t="str">
        <x:v>Food Products</x:v>
      </x:c>
      <x:c r="F41" s="150" t="n">
        <x:v>9</x:v>
      </x:c>
      <x:c r="G41" s="150" t="n">
        <x:v>9</x:v>
      </x:c>
      <x:c r="H41" s="178" t="n">
        <x:v>9534000</x:v>
      </x:c>
      <x:c r="I41" s="163" t="n">
        <x:v>0.17</x:v>
      </x:c>
      <x:c r="J41" s="80" t="n">
        <x:f>H41*(1-I41)</x:f>
        <x:v>7913220</x:v>
      </x:c>
      <x:c r="K41" s="75" t="n">
        <x:f>IF(Portfolio_Par&gt;0,J41/Portfolio_Par,"")</x:f>
        <x:v>0.0263774</x:v>
      </x:c>
      <x:c r="L41" s="150" t="str">
        <x:v>SYN-OB-0051, SYN-OB-0177, SYN-OB-0214, SYN-OB-0231, SYN-OB-0261, SYN-OB-0267, SYN-OB-0268, SYN-OB-0200, SYN-OB-0202</x:v>
      </x:c>
    </x:row>
    <x:row r="42" ht="39" customHeight="1">
      <x:c r="A42" s="150"/>
      <x:c r="B42" s="150"/>
      <x:c r="C42" s="154" t="str">
        <x:v>primary_industry</x:v>
      </x:c>
      <x:c r="D42" s="154" t="str">
        <x:v>AAA through CCC-</x:v>
      </x:c>
      <x:c r="E42" s="154" t="str">
        <x:v>Gas Utilities</x:v>
      </x:c>
      <x:c r="F42" s="150" t="n">
        <x:v>3</x:v>
      </x:c>
      <x:c r="G42" s="150" t="n">
        <x:v>3</x:v>
      </x:c>
      <x:c r="H42" s="178" t="n">
        <x:v>2994000</x:v>
      </x:c>
      <x:c r="I42" s="163" t="n">
        <x:v>0.17</x:v>
      </x:c>
      <x:c r="J42" s="80" t="n">
        <x:f>H42*(1-I42)</x:f>
        <x:v>2485020</x:v>
      </x:c>
      <x:c r="K42" s="75" t="n">
        <x:f>IF(Portfolio_Par&gt;0,J42/Portfolio_Par,"")</x:f>
        <x:v>0.0082834</x:v>
      </x:c>
      <x:c r="L42" s="150" t="str">
        <x:v>SYN-OB-0035, SYN-OB-0120, SYN-OB-0092</x:v>
      </x:c>
    </x:row>
    <x:row r="43" ht="39" customHeight="1">
      <x:c r="A43" s="150"/>
      <x:c r="B43" s="150"/>
      <x:c r="C43" s="154" t="str">
        <x:v>primary_industry</x:v>
      </x:c>
      <x:c r="D43" s="154" t="str">
        <x:v>AAA through CCC-</x:v>
      </x:c>
      <x:c r="E43" s="154" t="str">
        <x:v>Ground transportation</x:v>
      </x:c>
      <x:c r="F43" s="150" t="n">
        <x:v>3</x:v>
      </x:c>
      <x:c r="G43" s="150" t="n">
        <x:v>3</x:v>
      </x:c>
      <x:c r="H43" s="178" t="n">
        <x:v>2994000</x:v>
      </x:c>
      <x:c r="I43" s="163" t="n">
        <x:v>0.17</x:v>
      </x:c>
      <x:c r="J43" s="80" t="n">
        <x:f>H43*(1-I43)</x:f>
        <x:v>2485020</x:v>
      </x:c>
      <x:c r="K43" s="75" t="n">
        <x:f>IF(Portfolio_Par&gt;0,J43/Portfolio_Par,"")</x:f>
        <x:v>0.0082834</x:v>
      </x:c>
      <x:c r="L43" s="150" t="str">
        <x:v>SYN-OB-0228, SYN-OB-0229, SYN-OB-0162</x:v>
      </x:c>
    </x:row>
    <x:row r="44" ht="39" customHeight="1">
      <x:c r="A44" s="150"/>
      <x:c r="B44" s="150"/>
      <x:c r="C44" s="154" t="str">
        <x:v>primary_industry</x:v>
      </x:c>
      <x:c r="D44" s="154" t="str">
        <x:v>AAA through CCC-</x:v>
      </x:c>
      <x:c r="E44" s="154" t="str">
        <x:v>Healthcare Equipment &amp; Supplies</x:v>
      </x:c>
      <x:c r="F44" s="150" t="n">
        <x:v>5</x:v>
      </x:c>
      <x:c r="G44" s="150" t="n">
        <x:v>5</x:v>
      </x:c>
      <x:c r="H44" s="178" t="n">
        <x:v>5910000</x:v>
      </x:c>
      <x:c r="I44" s="163" t="n">
        <x:v>0.17</x:v>
      </x:c>
      <x:c r="J44" s="80" t="n">
        <x:f>H44*(1-I44)</x:f>
        <x:v>4905300</x:v>
      </x:c>
      <x:c r="K44" s="75" t="n">
        <x:f>IF(Portfolio_Par&gt;0,J44/Portfolio_Par,"")</x:f>
        <x:v>0.016351</x:v>
      </x:c>
      <x:c r="L44" s="150" t="str">
        <x:v>SYN-OB-0097, SYN-OB-0128, SYN-OB-0155, SYN-OB-0197, SYN-OB-0218</x:v>
      </x:c>
    </x:row>
    <x:row r="45" ht="39" customHeight="1">
      <x:c r="A45" s="150"/>
      <x:c r="B45" s="150"/>
      <x:c r="C45" s="154" t="str">
        <x:v>primary_industry</x:v>
      </x:c>
      <x:c r="D45" s="154" t="str">
        <x:v>AAA through CCC-</x:v>
      </x:c>
      <x:c r="E45" s="154" t="str">
        <x:v>Healthcare Providers &amp; Services</x:v>
      </x:c>
      <x:c r="F45" s="150" t="n">
        <x:v>17</x:v>
      </x:c>
      <x:c r="G45" s="150" t="n">
        <x:v>17</x:v>
      </x:c>
      <x:c r="H45" s="178" t="n">
        <x:v>19685000</x:v>
      </x:c>
      <x:c r="I45" s="163" t="n">
        <x:v>0.17</x:v>
      </x:c>
      <x:c r="J45" s="80" t="n">
        <x:f>H45*(1-I45)</x:f>
        <x:v>16338550</x:v>
      </x:c>
      <x:c r="K45" s="75" t="n">
        <x:f>IF(Portfolio_Par&gt;0,J45/Portfolio_Par,"")</x:f>
        <x:v>0.054461833333333334</x:v>
      </x:c>
      <x:c r="L45" s="150" t="str">
        <x:v>SYN-OB-0114, SYN-OB-0109, SYN-OB-0174, SYN-OB-0243, SYN-OB-0186, SYN-OB-0233, SYN-OB-0005, SYN-OB-0043, SYN-OB-0140, SYN-OB-0147, SYN-OB-0184, SYN-OB-0187, SYN-OB-0223, SYN-OB-0237, SYN-OB-0244, SYN-OB-0262, SYN-OB-0055</x:v>
      </x:c>
    </x:row>
    <x:row r="46" ht="39" customHeight="1">
      <x:c r="A46" s="150"/>
      <x:c r="B46" s="150"/>
      <x:c r="C46" s="154" t="str">
        <x:v>primary_industry</x:v>
      </x:c>
      <x:c r="D46" s="154" t="str">
        <x:v>AAA through CCC-</x:v>
      </x:c>
      <x:c r="E46" s="154" t="str">
        <x:v>Healthcare Technology</x:v>
      </x:c>
      <x:c r="F46" s="150" t="n">
        <x:v>4</x:v>
      </x:c>
      <x:c r="G46" s="150" t="n">
        <x:v>4</x:v>
      </x:c>
      <x:c r="H46" s="178" t="n">
        <x:v>4728000</x:v>
      </x:c>
      <x:c r="I46" s="163" t="n">
        <x:v>0.17</x:v>
      </x:c>
      <x:c r="J46" s="80" t="n">
        <x:f>H46*(1-I46)</x:f>
        <x:v>3924240</x:v>
      </x:c>
      <x:c r="K46" s="75" t="n">
        <x:f>IF(Portfolio_Par&gt;0,J46/Portfolio_Par,"")</x:f>
        <x:v>0.0130808</x:v>
      </x:c>
      <x:c r="L46" s="150" t="str">
        <x:v>SYN-OB-0021, SYN-OB-0033, SYN-OB-0073, SYN-OB-0113</x:v>
      </x:c>
    </x:row>
    <x:row r="47" ht="39" customHeight="1">
      <x:c r="A47" s="150"/>
      <x:c r="B47" s="150"/>
      <x:c r="C47" s="154" t="str">
        <x:v>primary_industry</x:v>
      </x:c>
      <x:c r="D47" s="154" t="str">
        <x:v>AAA through CCC-</x:v>
      </x:c>
      <x:c r="E47" s="154" t="str">
        <x:v>Hotels, Restaurants &amp; Leisure</x:v>
      </x:c>
      <x:c r="F47" s="150" t="n">
        <x:v>12</x:v>
      </x:c>
      <x:c r="G47" s="150" t="n">
        <x:v>12</x:v>
      </x:c>
      <x:c r="H47" s="178" t="n">
        <x:v>13080000</x:v>
      </x:c>
      <x:c r="I47" s="163" t="n">
        <x:v>0.17</x:v>
      </x:c>
      <x:c r="J47" s="80" t="n">
        <x:f>H47*(1-I47)</x:f>
        <x:v>10856400</x:v>
      </x:c>
      <x:c r="K47" s="75" t="n">
        <x:f>IF(Portfolio_Par&gt;0,J47/Portfolio_Par,"")</x:f>
        <x:v>0.036188</x:v>
      </x:c>
      <x:c r="L47" s="150" t="str">
        <x:v>SYN-OB-0001, SYN-OB-0014, SYN-OB-0022, SYN-OB-0065, SYN-OB-0094, SYN-OB-0124, SYN-OB-0126, SYN-OB-0137, SYN-OB-0181, SYN-OB-0249, SYN-OB-0117, SYN-OB-0208</x:v>
      </x:c>
    </x:row>
    <x:row r="48" ht="39" customHeight="1">
      <x:c r="A48" s="150"/>
      <x:c r="B48" s="150"/>
      <x:c r="C48" s="154" t="str">
        <x:v>primary_industry</x:v>
      </x:c>
      <x:c r="D48" s="154" t="str">
        <x:v>AAA through CCC-</x:v>
      </x:c>
      <x:c r="E48" s="154" t="str">
        <x:v>Household Durables</x:v>
      </x:c>
      <x:c r="F48" s="150" t="n">
        <x:v>2</x:v>
      </x:c>
      <x:c r="G48" s="150" t="n">
        <x:v>2</x:v>
      </x:c>
      <x:c r="H48" s="178" t="n">
        <x:v>2364000</x:v>
      </x:c>
      <x:c r="I48" s="163" t="n">
        <x:v>0.17</x:v>
      </x:c>
      <x:c r="J48" s="80" t="n">
        <x:f>H48*(1-I48)</x:f>
        <x:v>1962120</x:v>
      </x:c>
      <x:c r="K48" s="75" t="n">
        <x:f>IF(Portfolio_Par&gt;0,J48/Portfolio_Par,"")</x:f>
        <x:v>0.0065404</x:v>
      </x:c>
      <x:c r="L48" s="150" t="str">
        <x:v>SYN-OB-0154, SYN-OB-0269</x:v>
      </x:c>
    </x:row>
    <x:row r="49" ht="39" customHeight="1">
      <x:c r="A49" s="150"/>
      <x:c r="B49" s="150"/>
      <x:c r="C49" s="154" t="str">
        <x:v>primary_industry</x:v>
      </x:c>
      <x:c r="D49" s="154" t="str">
        <x:v>AAA through CCC-</x:v>
      </x:c>
      <x:c r="E49" s="154" t="str">
        <x:v>Household Products</x:v>
      </x:c>
      <x:c r="F49" s="150" t="n">
        <x:v>3</x:v>
      </x:c>
      <x:c r="G49" s="150" t="n">
        <x:v>3</x:v>
      </x:c>
      <x:c r="H49" s="178" t="n">
        <x:v>3546000</x:v>
      </x:c>
      <x:c r="I49" s="163" t="n">
        <x:v>0.17</x:v>
      </x:c>
      <x:c r="J49" s="80" t="n">
        <x:f>H49*(1-I49)</x:f>
        <x:v>2943180</x:v>
      </x:c>
      <x:c r="K49" s="75" t="n">
        <x:f>IF(Portfolio_Par&gt;0,J49/Portfolio_Par,"")</x:f>
        <x:v>0.0098106</x:v>
      </x:c>
      <x:c r="L49" s="150" t="str">
        <x:v>SYN-OB-0026, SYN-OB-0058, SYN-OB-0171</x:v>
      </x:c>
    </x:row>
    <x:row r="50" ht="39" customHeight="1">
      <x:c r="A50" s="150"/>
      <x:c r="B50" s="150"/>
      <x:c r="C50" s="154" t="str">
        <x:v>primary_industry</x:v>
      </x:c>
      <x:c r="D50" s="154" t="str">
        <x:v>AAA through CCC-</x:v>
      </x:c>
      <x:c r="E50" s="154" t="str">
        <x:v>IT Services</x:v>
      </x:c>
      <x:c r="F50" s="150" t="n">
        <x:v>7</x:v>
      </x:c>
      <x:c r="G50" s="150" t="n">
        <x:v>7</x:v>
      </x:c>
      <x:c r="H50" s="178" t="n">
        <x:v>7678000</x:v>
      </x:c>
      <x:c r="I50" s="163" t="n">
        <x:v>0.17</x:v>
      </x:c>
      <x:c r="J50" s="80" t="n">
        <x:f>H50*(1-I50)</x:f>
        <x:v>6372740</x:v>
      </x:c>
      <x:c r="K50" s="75" t="n">
        <x:f>IF(Portfolio_Par&gt;0,J50/Portfolio_Par,"")</x:f>
        <x:v>0.021242466666666668</x:v>
      </x:c>
      <x:c r="L50" s="150" t="str">
        <x:v>SYN-OB-0041, SYN-OB-0077, SYN-OB-0078, SYN-OB-0112, SYN-OB-0133, SYN-OB-0161, SYN-OB-0002</x:v>
      </x:c>
    </x:row>
    <x:row r="51" ht="39" customHeight="1">
      <x:c r="A51" s="150"/>
      <x:c r="B51" s="150"/>
      <x:c r="C51" s="154" t="str">
        <x:v>primary_industry</x:v>
      </x:c>
      <x:c r="D51" s="154" t="str">
        <x:v>AAA through CCC-</x:v>
      </x:c>
      <x:c r="E51" s="154" t="str">
        <x:v>Independent Power and Renewable Electricity Producers</x:v>
      </x:c>
      <x:c r="F51" s="150" t="n">
        <x:v>2</x:v>
      </x:c>
      <x:c r="G51" s="150" t="n">
        <x:v>2</x:v>
      </x:c>
      <x:c r="H51" s="178" t="n">
        <x:v>2364000</x:v>
      </x:c>
      <x:c r="I51" s="163" t="n">
        <x:v>0.17</x:v>
      </x:c>
      <x:c r="J51" s="80" t="n">
        <x:f>H51*(1-I51)</x:f>
        <x:v>1962120</x:v>
      </x:c>
      <x:c r="K51" s="75" t="n">
        <x:f>IF(Portfolio_Par&gt;0,J51/Portfolio_Par,"")</x:f>
        <x:v>0.0065404</x:v>
      </x:c>
      <x:c r="L51" s="150" t="str">
        <x:v>SYN-OB-0102, SYN-OB-0250</x:v>
      </x:c>
    </x:row>
    <x:row r="52" ht="39" customHeight="1">
      <x:c r="A52" s="150"/>
      <x:c r="B52" s="150"/>
      <x:c r="C52" s="154" t="str">
        <x:v>primary_industry</x:v>
      </x:c>
      <x:c r="D52" s="154" t="str">
        <x:v>AAA through CCC-</x:v>
      </x:c>
      <x:c r="E52" s="154" t="str">
        <x:v>Industrial Conglomerates</x:v>
      </x:c>
      <x:c r="F52" s="150" t="n">
        <x:v>10</x:v>
      </x:c>
      <x:c r="G52" s="150" t="n">
        <x:v>10</x:v>
      </x:c>
      <x:c r="H52" s="178" t="n">
        <x:v>11820000</x:v>
      </x:c>
      <x:c r="I52" s="163" t="n">
        <x:v>0.17</x:v>
      </x:c>
      <x:c r="J52" s="80" t="n">
        <x:f>H52*(1-I52)</x:f>
        <x:v>9810600</x:v>
      </x:c>
      <x:c r="K52" s="75" t="n">
        <x:f>IF(Portfolio_Par&gt;0,J52/Portfolio_Par,"")</x:f>
        <x:v>0.032702</x:v>
      </x:c>
      <x:c r="L52" s="150" t="str">
        <x:v>SYN-OB-0003, SYN-OB-0008, SYN-OB-0012, SYN-OB-0019, SYN-OB-0030, SYN-OB-0053, SYN-OB-0129, SYN-OB-0190, SYN-OB-0201, SYN-OB-0256</x:v>
      </x:c>
    </x:row>
    <x:row r="53" ht="39" customHeight="1">
      <x:c r="A53" s="150"/>
      <x:c r="B53" s="150"/>
      <x:c r="C53" s="154" t="str">
        <x:v>primary_industry</x:v>
      </x:c>
      <x:c r="D53" s="154" t="str">
        <x:v>AAA through CCC-</x:v>
      </x:c>
      <x:c r="E53" s="154" t="str">
        <x:v>Insurance</x:v>
      </x:c>
      <x:c r="F53" s="150" t="n">
        <x:v>6</x:v>
      </x:c>
      <x:c r="G53" s="150" t="n">
        <x:v>6</x:v>
      </x:c>
      <x:c r="H53" s="178" t="n">
        <x:v>7092000</x:v>
      </x:c>
      <x:c r="I53" s="163" t="n">
        <x:v>0.17</x:v>
      </x:c>
      <x:c r="J53" s="80" t="n">
        <x:f>H53*(1-I53)</x:f>
        <x:v>5886360</x:v>
      </x:c>
      <x:c r="K53" s="75" t="n">
        <x:f>IF(Portfolio_Par&gt;0,J53/Portfolio_Par,"")</x:f>
        <x:v>0.0196212</x:v>
      </x:c>
      <x:c r="L53" s="150" t="str">
        <x:v>SYN-OB-0075, SYN-OB-0125, SYN-OB-0192, SYN-OB-0255, SYN-OB-0257, SYN-OB-0258</x:v>
      </x:c>
    </x:row>
    <x:row r="54" ht="39" customHeight="1">
      <x:c r="A54" s="150"/>
      <x:c r="B54" s="150"/>
      <x:c r="C54" s="154" t="str">
        <x:v>primary_industry</x:v>
      </x:c>
      <x:c r="D54" s="154" t="str">
        <x:v>AAA through CCC-</x:v>
      </x:c>
      <x:c r="E54" s="154" t="str">
        <x:v>Interactive media and services</x:v>
      </x:c>
      <x:c r="F54" s="150" t="n">
        <x:v>1</x:v>
      </x:c>
      <x:c r="G54" s="150" t="n">
        <x:v>1</x:v>
      </x:c>
      <x:c r="H54" s="178" t="n">
        <x:v>1182000</x:v>
      </x:c>
      <x:c r="I54" s="163" t="n">
        <x:v>0.17</x:v>
      </x:c>
      <x:c r="J54" s="80" t="n">
        <x:f>H54*(1-I54)</x:f>
        <x:v>981060</x:v>
      </x:c>
      <x:c r="K54" s="75" t="n">
        <x:f>IF(Portfolio_Par&gt;0,J54/Portfolio_Par,"")</x:f>
        <x:v>0.0032702</x:v>
      </x:c>
      <x:c r="L54" s="150" t="str">
        <x:v>SYN-OB-0040</x:v>
      </x:c>
    </x:row>
    <x:row r="55" ht="39" customHeight="1">
      <x:c r="A55" s="150"/>
      <x:c r="B55" s="150"/>
      <x:c r="C55" s="154" t="str">
        <x:v>primary_industry</x:v>
      </x:c>
      <x:c r="D55" s="154" t="str">
        <x:v>AAA through CCC-</x:v>
      </x:c>
      <x:c r="E55" s="154" t="str">
        <x:v>Leisure Products</x:v>
      </x:c>
      <x:c r="F55" s="150" t="n">
        <x:v>4</x:v>
      </x:c>
      <x:c r="G55" s="150" t="n">
        <x:v>4</x:v>
      </x:c>
      <x:c r="H55" s="178" t="n">
        <x:v>3624000</x:v>
      </x:c>
      <x:c r="I55" s="163" t="n">
        <x:v>0.17</x:v>
      </x:c>
      <x:c r="J55" s="80" t="n">
        <x:f>H55*(1-I55)</x:f>
        <x:v>3007920</x:v>
      </x:c>
      <x:c r="K55" s="75" t="n">
        <x:f>IF(Portfolio_Par&gt;0,J55/Portfolio_Par,"")</x:f>
        <x:v>0.0100264</x:v>
      </x:c>
      <x:c r="L55" s="150" t="str">
        <x:v>SYN-OB-0057, SYN-OB-0222, SYN-OB-0056, SYN-OB-0084</x:v>
      </x:c>
    </x:row>
    <x:row r="56" ht="39" customHeight="1">
      <x:c r="A56" s="150"/>
      <x:c r="B56" s="150"/>
      <x:c r="C56" s="154" t="str">
        <x:v>primary_industry</x:v>
      </x:c>
      <x:c r="D56" s="154" t="str">
        <x:v>AAA through CCC-</x:v>
      </x:c>
      <x:c r="E56" s="154" t="str">
        <x:v>Life Sciences Tools &amp; Services</x:v>
      </x:c>
      <x:c r="F56" s="150" t="n">
        <x:v>1</x:v>
      </x:c>
      <x:c r="G56" s="150" t="n">
        <x:v>1</x:v>
      </x:c>
      <x:c r="H56" s="178" t="n">
        <x:v>1182000</x:v>
      </x:c>
      <x:c r="I56" s="163" t="n">
        <x:v>0.17</x:v>
      </x:c>
      <x:c r="J56" s="80" t="n">
        <x:f>H56*(1-I56)</x:f>
        <x:v>981060</x:v>
      </x:c>
      <x:c r="K56" s="75" t="n">
        <x:f>IF(Portfolio_Par&gt;0,J56/Portfolio_Par,"")</x:f>
        <x:v>0.0032702</x:v>
      </x:c>
      <x:c r="L56" s="150" t="str">
        <x:v>SYN-OB-0115</x:v>
      </x:c>
    </x:row>
    <x:row r="57" ht="39" customHeight="1">
      <x:c r="A57" s="150"/>
      <x:c r="B57" s="150"/>
      <x:c r="C57" s="154" t="str">
        <x:v>primary_industry</x:v>
      </x:c>
      <x:c r="D57" s="154" t="str">
        <x:v>AAA through CCC-</x:v>
      </x:c>
      <x:c r="E57" s="154" t="str">
        <x:v>Machinery</x:v>
      </x:c>
      <x:c r="F57" s="150" t="n">
        <x:v>6</x:v>
      </x:c>
      <x:c r="G57" s="150" t="n">
        <x:v>6</x:v>
      </x:c>
      <x:c r="H57" s="178" t="n">
        <x:v>7092000</x:v>
      </x:c>
      <x:c r="I57" s="163" t="n">
        <x:v>0.17</x:v>
      </x:c>
      <x:c r="J57" s="80" t="n">
        <x:f>H57*(1-I57)</x:f>
        <x:v>5886360</x:v>
      </x:c>
      <x:c r="K57" s="75" t="n">
        <x:f>IF(Portfolio_Par&gt;0,J57/Portfolio_Par,"")</x:f>
        <x:v>0.0196212</x:v>
      </x:c>
      <x:c r="L57" s="150" t="str">
        <x:v>SYN-OB-0036, SYN-OB-0100, SYN-OB-0156, SYN-OB-0172, SYN-OB-0198, SYN-OB-0234</x:v>
      </x:c>
    </x:row>
    <x:row r="58" ht="39" customHeight="1">
      <x:c r="A58" s="150"/>
      <x:c r="B58" s="150"/>
      <x:c r="C58" s="154" t="str">
        <x:v>primary_industry</x:v>
      </x:c>
      <x:c r="D58" s="154" t="str">
        <x:v>AAA through CCC-</x:v>
      </x:c>
      <x:c r="E58" s="154" t="str">
        <x:v>Media</x:v>
      </x:c>
      <x:c r="F58" s="150" t="n">
        <x:v>9</x:v>
      </x:c>
      <x:c r="G58" s="150" t="n">
        <x:v>9</x:v>
      </x:c>
      <x:c r="H58" s="178" t="n">
        <x:v>10086000</x:v>
      </x:c>
      <x:c r="I58" s="163" t="n">
        <x:v>0.17</x:v>
      </x:c>
      <x:c r="J58" s="80" t="n">
        <x:f>H58*(1-I58)</x:f>
        <x:v>8371380</x:v>
      </x:c>
      <x:c r="K58" s="75" t="n">
        <x:f>IF(Portfolio_Par&gt;0,J58/Portfolio_Par,"")</x:f>
        <x:v>0.0279046</x:v>
      </x:c>
      <x:c r="L58" s="150" t="str">
        <x:v>SYN-OB-0087, SYN-OB-0091, SYN-OB-0111, SYN-OB-0123, SYN-OB-0168, SYN-OB-0170, SYN-OB-0189, SYN-OB-0242, SYN-OB-0082</x:v>
      </x:c>
    </x:row>
    <x:row r="59" ht="39" customHeight="1">
      <x:c r="A59" s="150"/>
      <x:c r="B59" s="150"/>
      <x:c r="C59" s="154" t="str">
        <x:v>primary_industry</x:v>
      </x:c>
      <x:c r="D59" s="154" t="str">
        <x:v>AAA through CCC-</x:v>
      </x:c>
      <x:c r="E59" s="154" t="str">
        <x:v>Oil, Gas &amp; Consumable Fuels</x:v>
      </x:c>
      <x:c r="F59" s="150" t="n">
        <x:v>6</x:v>
      </x:c>
      <x:c r="G59" s="150" t="n">
        <x:v>6</x:v>
      </x:c>
      <x:c r="H59" s="178" t="n">
        <x:v>6540000</x:v>
      </x:c>
      <x:c r="I59" s="163" t="n">
        <x:v>0.17</x:v>
      </x:c>
      <x:c r="J59" s="80" t="n">
        <x:f>H59*(1-I59)</x:f>
        <x:v>5428200</x:v>
      </x:c>
      <x:c r="K59" s="75" t="n">
        <x:f>IF(Portfolio_Par&gt;0,J59/Portfolio_Par,"")</x:f>
        <x:v>0.018094</x:v>
      </x:c>
      <x:c r="L59" s="150" t="str">
        <x:v>SYN-OB-0076, SYN-OB-0122, SYN-OB-0194, SYN-OB-0216, SYN-OB-0252, SYN-OB-0230</x:v>
      </x:c>
    </x:row>
    <x:row r="60" ht="39" customHeight="1">
      <x:c r="A60" s="150"/>
      <x:c r="B60" s="150"/>
      <x:c r="C60" s="154" t="str">
        <x:v>primary_industry</x:v>
      </x:c>
      <x:c r="D60" s="154" t="str">
        <x:v>AAA through CCC-</x:v>
      </x:c>
      <x:c r="E60" s="154" t="str">
        <x:v>Passenger airlines</x:v>
      </x:c>
      <x:c r="F60" s="150" t="n">
        <x:v>6</x:v>
      </x:c>
      <x:c r="G60" s="150" t="n">
        <x:v>6</x:v>
      </x:c>
      <x:c r="H60" s="178" t="n">
        <x:v>5988000</x:v>
      </x:c>
      <x:c r="I60" s="163" t="n">
        <x:v>0.17</x:v>
      </x:c>
      <x:c r="J60" s="80" t="n">
        <x:f>H60*(1-I60)</x:f>
        <x:v>4970040</x:v>
      </x:c>
      <x:c r="K60" s="75" t="n">
        <x:f>IF(Portfolio_Par&gt;0,J60/Portfolio_Par,"")</x:f>
        <x:v>0.0165668</x:v>
      </x:c>
      <x:c r="L60" s="150" t="str">
        <x:v>SYN-OB-0018, SYN-OB-0135, SYN-OB-0141, SYN-OB-0145, SYN-OB-0213, SYN-OB-0263</x:v>
      </x:c>
    </x:row>
    <x:row r="61" ht="39" customHeight="1">
      <x:c r="A61" s="150"/>
      <x:c r="B61" s="150"/>
      <x:c r="C61" s="154" t="str">
        <x:v>primary_industry</x:v>
      </x:c>
      <x:c r="D61" s="154" t="str">
        <x:v>AAA through CCC-</x:v>
      </x:c>
      <x:c r="E61" s="154" t="str">
        <x:v>Pharmaceuticals</x:v>
      </x:c>
      <x:c r="F61" s="150" t="n">
        <x:v>2</x:v>
      </x:c>
      <x:c r="G61" s="150" t="n">
        <x:v>2</x:v>
      </x:c>
      <x:c r="H61" s="178" t="n">
        <x:v>2364000</x:v>
      </x:c>
      <x:c r="I61" s="163" t="n">
        <x:v>0.17</x:v>
      </x:c>
      <x:c r="J61" s="80" t="n">
        <x:f>H61*(1-I61)</x:f>
        <x:v>1962120</x:v>
      </x:c>
      <x:c r="K61" s="75" t="n">
        <x:f>IF(Portfolio_Par&gt;0,J61/Portfolio_Par,"")</x:f>
        <x:v>0.0065404</x:v>
      </x:c>
      <x:c r="L61" s="150" t="str">
        <x:v>SYN-OB-0095, SYN-OB-0270</x:v>
      </x:c>
    </x:row>
    <x:row r="62" ht="39" customHeight="1">
      <x:c r="A62" s="150"/>
      <x:c r="B62" s="150"/>
      <x:c r="C62" s="154" t="str">
        <x:v>primary_industry</x:v>
      </x:c>
      <x:c r="D62" s="154" t="str">
        <x:v>AAA through CCC-</x:v>
      </x:c>
      <x:c r="E62" s="154" t="str">
        <x:v>Professional Services</x:v>
      </x:c>
      <x:c r="F62" s="150" t="n">
        <x:v>3</x:v>
      </x:c>
      <x:c r="G62" s="150" t="n">
        <x:v>3</x:v>
      </x:c>
      <x:c r="H62" s="178" t="n">
        <x:v>3546000</x:v>
      </x:c>
      <x:c r="I62" s="163" t="n">
        <x:v>0.17</x:v>
      </x:c>
      <x:c r="J62" s="80" t="n">
        <x:f>H62*(1-I62)</x:f>
        <x:v>2943180</x:v>
      </x:c>
      <x:c r="K62" s="75" t="n">
        <x:f>IF(Portfolio_Par&gt;0,J62/Portfolio_Par,"")</x:f>
        <x:v>0.0098106</x:v>
      </x:c>
      <x:c r="L62" s="150" t="str">
        <x:v>SYN-OB-0031, SYN-OB-0150, SYN-OB-0175</x:v>
      </x:c>
    </x:row>
    <x:row r="63" ht="39" customHeight="1">
      <x:c r="A63" s="150"/>
      <x:c r="B63" s="150"/>
      <x:c r="C63" s="154" t="str">
        <x:v>primary_industry</x:v>
      </x:c>
      <x:c r="D63" s="154" t="str">
        <x:v>AAA through CCC-</x:v>
      </x:c>
      <x:c r="E63" s="154" t="str">
        <x:v>Real Estate Management &amp; Development</x:v>
      </x:c>
      <x:c r="F63" s="150" t="n">
        <x:v>1</x:v>
      </x:c>
      <x:c r="G63" s="150" t="n">
        <x:v>1</x:v>
      </x:c>
      <x:c r="H63" s="178" t="n">
        <x:v>1182000</x:v>
      </x:c>
      <x:c r="I63" s="163" t="n">
        <x:v>0.17</x:v>
      </x:c>
      <x:c r="J63" s="80" t="n">
        <x:f>H63*(1-I63)</x:f>
        <x:v>981060</x:v>
      </x:c>
      <x:c r="K63" s="75" t="n">
        <x:f>IF(Portfolio_Par&gt;0,J63/Portfolio_Par,"")</x:f>
        <x:v>0.0032702</x:v>
      </x:c>
      <x:c r="L63" s="150" t="str">
        <x:v>SYN-OB-0103</x:v>
      </x:c>
    </x:row>
    <x:row r="64" ht="39" customHeight="1">
      <x:c r="A64" s="150"/>
      <x:c r="B64" s="150"/>
      <x:c r="C64" s="154" t="str">
        <x:v>primary_industry</x:v>
      </x:c>
      <x:c r="D64" s="154" t="str">
        <x:v>AAA through CCC-</x:v>
      </x:c>
      <x:c r="E64" s="154" t="str">
        <x:v>Semiconductors &amp; Semiconductor Equipment</x:v>
      </x:c>
      <x:c r="F64" s="150" t="n">
        <x:v>3</x:v>
      </x:c>
      <x:c r="G64" s="150" t="n">
        <x:v>3</x:v>
      </x:c>
      <x:c r="H64" s="178" t="n">
        <x:v>3546000</x:v>
      </x:c>
      <x:c r="I64" s="163" t="n">
        <x:v>0.17</x:v>
      </x:c>
      <x:c r="J64" s="80" t="n">
        <x:f>H64*(1-I64)</x:f>
        <x:v>2943180</x:v>
      </x:c>
      <x:c r="K64" s="75" t="n">
        <x:f>IF(Portfolio_Par&gt;0,J64/Portfolio_Par,"")</x:f>
        <x:v>0.0098106</x:v>
      </x:c>
      <x:c r="L64" s="150" t="str">
        <x:v>SYN-OB-0029, SYN-OB-0032, SYN-OB-0042</x:v>
      </x:c>
    </x:row>
    <x:row r="65" ht="39" customHeight="1">
      <x:c r="A65" s="150"/>
      <x:c r="B65" s="150"/>
      <x:c r="C65" s="154" t="str">
        <x:v>primary_industry</x:v>
      </x:c>
      <x:c r="D65" s="154" t="str">
        <x:v>AAA through CCC-</x:v>
      </x:c>
      <x:c r="E65" s="154" t="str">
        <x:v>Software</x:v>
      </x:c>
      <x:c r="F65" s="150" t="n">
        <x:v>16</x:v>
      </x:c>
      <x:c r="G65" s="150" t="n">
        <x:v>16</x:v>
      </x:c>
      <x:c r="H65" s="178" t="n">
        <x:v>17889000</x:v>
      </x:c>
      <x:c r="I65" s="163" t="n">
        <x:v>0.17</x:v>
      </x:c>
      <x:c r="J65" s="80" t="n">
        <x:f>H65*(1-I65)</x:f>
        <x:v>14847870</x:v>
      </x:c>
      <x:c r="K65" s="75" t="n">
        <x:f>IF(Portfolio_Par&gt;0,J65/Portfolio_Par,"")</x:f>
        <x:v>0.0494929</x:v>
      </x:c>
      <x:c r="L65" s="150" t="str">
        <x:v>SYN-OB-0160, SYN-OB-0166, SYN-OB-0134, SYN-OB-0146, SYN-OB-0052, SYN-OB-0063, SYN-OB-0121, SYN-OB-0193, SYN-OB-0212, SYN-OB-0235, SYN-OB-0239, SYN-OB-0240, SYN-OB-0241, SYN-OB-0254, SYN-OB-0104, SYN-OB-0143</x:v>
      </x:c>
    </x:row>
    <x:row r="66" ht="39" customHeight="1">
      <x:c r="A66" s="150"/>
      <x:c r="B66" s="150"/>
      <x:c r="C66" s="154" t="str">
        <x:v>primary_industry</x:v>
      </x:c>
      <x:c r="D66" s="154" t="str">
        <x:v>AAA through CCC-</x:v>
      </x:c>
      <x:c r="E66" s="154" t="str">
        <x:v>Specialty Retail</x:v>
      </x:c>
      <x:c r="F66" s="150" t="n">
        <x:v>3</x:v>
      </x:c>
      <x:c r="G66" s="150" t="n">
        <x:v>3</x:v>
      </x:c>
      <x:c r="H66" s="178" t="n">
        <x:v>2994000</x:v>
      </x:c>
      <x:c r="I66" s="163" t="n">
        <x:v>0.17</x:v>
      </x:c>
      <x:c r="J66" s="80" t="n">
        <x:f>H66*(1-I66)</x:f>
        <x:v>2485020</x:v>
      </x:c>
      <x:c r="K66" s="75" t="n">
        <x:f>IF(Portfolio_Par&gt;0,J66/Portfolio_Par,"")</x:f>
        <x:v>0.0082834</x:v>
      </x:c>
      <x:c r="L66" s="150" t="str">
        <x:v>SYN-OB-0071, SYN-OB-0083, SYN-OB-0139</x:v>
      </x:c>
    </x:row>
    <x:row r="67" ht="39" customHeight="1">
      <x:c r="A67" s="150"/>
      <x:c r="B67" s="150"/>
      <x:c r="C67" s="154" t="str">
        <x:v>primary_industry</x:v>
      </x:c>
      <x:c r="D67" s="154" t="str">
        <x:v>AAA through CCC-</x:v>
      </x:c>
      <x:c r="E67" s="154" t="str">
        <x:v>Technology Hardware, Storage &amp; Peripherals</x:v>
      </x:c>
      <x:c r="F67" s="150" t="n">
        <x:v>3</x:v>
      </x:c>
      <x:c r="G67" s="150" t="n">
        <x:v>3</x:v>
      </x:c>
      <x:c r="H67" s="178" t="n">
        <x:v>3546000</x:v>
      </x:c>
      <x:c r="I67" s="163" t="n">
        <x:v>0.17</x:v>
      </x:c>
      <x:c r="J67" s="80" t="n">
        <x:f>H67*(1-I67)</x:f>
        <x:v>2943180</x:v>
      </x:c>
      <x:c r="K67" s="75" t="n">
        <x:f>IF(Portfolio_Par&gt;0,J67/Portfolio_Par,"")</x:f>
        <x:v>0.0098106</x:v>
      </x:c>
      <x:c r="L67" s="150" t="str">
        <x:v>SYN-OB-0167, SYN-OB-0191, SYN-OB-0196</x:v>
      </x:c>
    </x:row>
    <x:row r="68" ht="39" customHeight="1">
      <x:c r="A68" s="150"/>
      <x:c r="B68" s="150"/>
      <x:c r="C68" s="154" t="str">
        <x:v>primary_industry</x:v>
      </x:c>
      <x:c r="D68" s="154" t="str">
        <x:v>AAA through CCC-</x:v>
      </x:c>
      <x:c r="E68" s="154" t="str">
        <x:v>Textiles, Apparel &amp; Luxury Goods</x:v>
      </x:c>
      <x:c r="F68" s="150" t="n">
        <x:v>2</x:v>
      </x:c>
      <x:c r="G68" s="150" t="n">
        <x:v>2</x:v>
      </x:c>
      <x:c r="H68" s="178" t="n">
        <x:v>1812000</x:v>
      </x:c>
      <x:c r="I68" s="163" t="n">
        <x:v>0.17</x:v>
      </x:c>
      <x:c r="J68" s="80" t="n">
        <x:f>H68*(1-I68)</x:f>
        <x:v>1503960</x:v>
      </x:c>
      <x:c r="K68" s="75" t="n">
        <x:f>IF(Portfolio_Par&gt;0,J68/Portfolio_Par,"")</x:f>
        <x:v>0.0050132</x:v>
      </x:c>
      <x:c r="L68" s="150" t="str">
        <x:v>SYN-OB-0093, SYN-OB-0205</x:v>
      </x:c>
    </x:row>
    <x:row r="69" ht="39" customHeight="1">
      <x:c r="A69" s="150"/>
      <x:c r="B69" s="150"/>
      <x:c r="C69" s="154" t="str">
        <x:v>primary_industry</x:v>
      </x:c>
      <x:c r="D69" s="154" t="str">
        <x:v>AAA through CCC-</x:v>
      </x:c>
      <x:c r="E69" s="154" t="str">
        <x:v>Trading Companies &amp; Distributors</x:v>
      </x:c>
      <x:c r="F69" s="150" t="n">
        <x:v>1</x:v>
      </x:c>
      <x:c r="G69" s="150" t="n">
        <x:v>1</x:v>
      </x:c>
      <x:c r="H69" s="178" t="n">
        <x:v>1182000</x:v>
      </x:c>
      <x:c r="I69" s="163" t="n">
        <x:v>0.17</x:v>
      </x:c>
      <x:c r="J69" s="80" t="n">
        <x:f>H69*(1-I69)</x:f>
        <x:v>981060</x:v>
      </x:c>
      <x:c r="K69" s="75" t="n">
        <x:f>IF(Portfolio_Par&gt;0,J69/Portfolio_Par,"")</x:f>
        <x:v>0.0032702</x:v>
      </x:c>
      <x:c r="L69" s="150" t="str">
        <x:v>SYN-OB-0246</x:v>
      </x:c>
    </x:row>
    <x:row r="70" ht="39" customHeight="1">
      <x:c r="A70" s="150"/>
      <x:c r="B70" s="150"/>
      <x:c r="C70" s="154" t="str">
        <x:v>primary_industry</x:v>
      </x:c>
      <x:c r="D70" s="154" t="str">
        <x:v>AAA through CCC-</x:v>
      </x:c>
      <x:c r="E70" s="154" t="str">
        <x:v>Transportation Infrastructure</x:v>
      </x:c>
      <x:c r="F70" s="150" t="n">
        <x:v>6</x:v>
      </x:c>
      <x:c r="G70" s="150" t="n">
        <x:v>6</x:v>
      </x:c>
      <x:c r="H70" s="178" t="n">
        <x:v>7092000</x:v>
      </x:c>
      <x:c r="I70" s="163" t="n">
        <x:v>0.17</x:v>
      </x:c>
      <x:c r="J70" s="80" t="n">
        <x:f>H70*(1-I70)</x:f>
        <x:v>5886360</x:v>
      </x:c>
      <x:c r="K70" s="75" t="n">
        <x:f>IF(Portfolio_Par&gt;0,J70/Portfolio_Par,"")</x:f>
        <x:v>0.0196212</x:v>
      </x:c>
      <x:c r="L70" s="150" t="str">
        <x:v>SYN-OB-0017, SYN-OB-0059, SYN-OB-0152, SYN-OB-0164, SYN-OB-0221, SYN-OB-0236</x:v>
      </x:c>
    </x:row>
    <x:row r="71" ht="39" customHeight="1">
      <x:c r="A71" s="150"/>
      <x:c r="B71" s="150"/>
      <x:c r="C71" s="154" t="str">
        <x:v>primary_industry</x:v>
      </x:c>
      <x:c r="D71" s="154" t="str">
        <x:v>AAA through CCC-</x:v>
      </x:c>
      <x:c r="E71" s="154" t="str">
        <x:v>Wireless Telecommunication Services</x:v>
      </x:c>
      <x:c r="F71" s="150" t="n">
        <x:v>1</x:v>
      </x:c>
      <x:c r="G71" s="150" t="n">
        <x:v>1</x:v>
      </x:c>
      <x:c r="H71" s="178" t="n">
        <x:v>630000</x:v>
      </x:c>
      <x:c r="I71" s="163" t="n">
        <x:v>0.17</x:v>
      </x:c>
      <x:c r="J71" s="80" t="n">
        <x:f>H71*(1-I71)</x:f>
        <x:v>522900</x:v>
      </x:c>
      <x:c r="K71" s="75" t="n">
        <x:f>IF(Portfolio_Par&gt;0,J71/Portfolio_Par,"")</x:f>
        <x:v>0.001743</x:v>
      </x:c>
      <x:c r="L71" s="150" t="str">
        <x:v>SYN-OB-0108</x:v>
      </x:c>
    </x:row>
    <x:row r="72" ht="39" customHeight="1">
      <x:c r="A72" s="150"/>
      <x:c r="B72" s="150"/>
      <x:c r="C72" s="154" t="str">
        <x:v>alternative_industry</x:v>
      </x:c>
      <x:c r="D72" s="154" t="str">
        <x:v>AAA through CCC-</x:v>
      </x:c>
      <x:c r="E72" s="154" t="str">
        <x:v>Aerospace &amp; Defense</x:v>
      </x:c>
      <x:c r="F72" s="150" t="n">
        <x:v>4</x:v>
      </x:c>
      <x:c r="G72" s="150" t="n">
        <x:v>4</x:v>
      </x:c>
      <x:c r="H72" s="178" t="n">
        <x:v>4728000</x:v>
      </x:c>
      <x:c r="I72" s="163" t="n">
        <x:v>0.05</x:v>
      </x:c>
      <x:c r="J72" s="80" t="n">
        <x:f>H72*(1-I72)</x:f>
        <x:v>4491600</x:v>
      </x:c>
      <x:c r="K72" s="75" t="n">
        <x:f>IF(Portfolio_Par&gt;0,J72/Portfolio_Par,"")</x:f>
        <x:v>0.014972</x:v>
      </x:c>
      <x:c r="L72" s="150" t="str">
        <x:v>SYN-OB-0024, SYN-OB-0039, SYN-OB-0045, SYN-OB-0046</x:v>
      </x:c>
    </x:row>
    <x:row r="73" ht="39" customHeight="1">
      <x:c r="A73" s="150"/>
      <x:c r="B73" s="150"/>
      <x:c r="C73" s="154" t="str">
        <x:v>alternative_industry</x:v>
      </x:c>
      <x:c r="D73" s="154" t="str">
        <x:v>AA+ through CCC-</x:v>
      </x:c>
      <x:c r="E73" s="154" t="str">
        <x:v>Aerospace &amp; Defense</x:v>
      </x:c>
      <x:c r="F73" s="150" t="n">
        <x:v>6</x:v>
      </x:c>
      <x:c r="G73" s="150" t="n">
        <x:v>6</x:v>
      </x:c>
      <x:c r="H73" s="178" t="n">
        <x:v>7092000</x:v>
      </x:c>
      <x:c r="I73" s="163" t="n">
        <x:v>0.05</x:v>
      </x:c>
      <x:c r="J73" s="80" t="n">
        <x:f>H73*(1-I73)</x:f>
        <x:v>6737400</x:v>
      </x:c>
      <x:c r="K73" s="75" t="n">
        <x:f>IF(Portfolio_Par&gt;0,J73/Portfolio_Par,"")</x:f>
        <x:v>0.022458</x:v>
      </x:c>
      <x:c r="L73" s="150" t="str">
        <x:v>SYN-OB-0024, SYN-OB-0039, SYN-OB-0045, SYN-OB-0046, SYN-OB-0136, SYN-OB-0151</x:v>
      </x:c>
    </x:row>
    <x:row r="74" ht="39" customHeight="1">
      <x:c r="A74" s="150"/>
      <x:c r="B74" s="150"/>
      <x:c r="C74" s="154" t="str">
        <x:v>alternative_industry</x:v>
      </x:c>
      <x:c r="D74" s="154" t="str">
        <x:v>A+ through CCC-</x:v>
      </x:c>
      <x:c r="E74" s="154" t="str">
        <x:v>Aerospace &amp; Defense</x:v>
      </x:c>
      <x:c r="F74" s="150" t="n">
        <x:v>8</x:v>
      </x:c>
      <x:c r="G74" s="150" t="n">
        <x:v>8</x:v>
      </x:c>
      <x:c r="H74" s="178" t="n">
        <x:v>9456000</x:v>
      </x:c>
      <x:c r="I74" s="163" t="n">
        <x:v>0.05</x:v>
      </x:c>
      <x:c r="J74" s="80" t="n">
        <x:f>H74*(1-I74)</x:f>
        <x:v>8983200</x:v>
      </x:c>
      <x:c r="K74" s="75" t="n">
        <x:f>IF(Portfolio_Par&gt;0,J74/Portfolio_Par,"")</x:f>
        <x:v>0.029944</x:v>
      </x:c>
      <x:c r="L74" s="150" t="str">
        <x:v>SYN-OB-0024, SYN-OB-0039, SYN-OB-0045, SYN-OB-0046, SYN-OB-0136, SYN-OB-0151, SYN-OB-0206, SYN-OB-0209</x:v>
      </x:c>
    </x:row>
    <x:row r="75" ht="39" customHeight="1">
      <x:c r="A75" s="150"/>
      <x:c r="B75" s="150"/>
      <x:c r="C75" s="154" t="str">
        <x:v>alternative_industry</x:v>
      </x:c>
      <x:c r="D75" s="154" t="str">
        <x:v>BBB+ through CCC-</x:v>
      </x:c>
      <x:c r="E75" s="154" t="str">
        <x:v>Aerospace &amp; Defense</x:v>
      </x:c>
      <x:c r="F75" s="150" t="n">
        <x:v>12</x:v>
      </x:c>
      <x:c r="G75" s="150" t="n">
        <x:v>11</x:v>
      </x:c>
      <x:c r="H75" s="178" t="n">
        <x:v>12450000</x:v>
      </x:c>
      <x:c r="I75" s="163" t="n">
        <x:v>0.05</x:v>
      </x:c>
      <x:c r="J75" s="80" t="n">
        <x:f>H75*(1-I75)</x:f>
        <x:v>11827500</x:v>
      </x:c>
      <x:c r="K75" s="75" t="n">
        <x:f>IF(Portfolio_Par&gt;0,J75/Portfolio_Par,"")</x:f>
        <x:v>0.039425</x:v>
      </x:c>
      <x:c r="L75" s="150" t="str">
        <x:v>SYN-OB-0024, SYN-OB-0039, SYN-OB-0045, SYN-OB-0046, SYN-OB-0136, SYN-OB-0151, SYN-OB-0206, SYN-OB-0209, SYN-OB-0226, SYN-OB-0247, SYN-OB-0027</x:v>
      </x:c>
    </x:row>
    <x:row r="76" ht="39" customHeight="1">
      <x:c r="A76" s="150"/>
      <x:c r="B76" s="150"/>
      <x:c r="C76" s="154" t="str">
        <x:v>alternative_industry</x:v>
      </x:c>
      <x:c r="D76" s="154" t="str">
        <x:v>BB+ through CCC-</x:v>
      </x:c>
      <x:c r="E76" s="154" t="str">
        <x:v>Aerospace &amp; Defense</x:v>
      </x:c>
      <x:c r="F76" s="150" t="n">
        <x:v>16</x:v>
      </x:c>
      <x:c r="G76" s="150" t="n">
        <x:v>11</x:v>
      </x:c>
      <x:c r="H76" s="178" t="n">
        <x:v>12450000</x:v>
      </x:c>
      <x:c r="I76" s="163" t="n">
        <x:v>0.05</x:v>
      </x:c>
      <x:c r="J76" s="80" t="n">
        <x:f>H76*(1-I76)</x:f>
        <x:v>11827500</x:v>
      </x:c>
      <x:c r="K76" s="75" t="n">
        <x:f>IF(Portfolio_Par&gt;0,J76/Portfolio_Par,"")</x:f>
        <x:v>0.039425</x:v>
      </x:c>
      <x:c r="L76" s="150" t="str">
        <x:v>SYN-OB-0024, SYN-OB-0039, SYN-OB-0045, SYN-OB-0046, SYN-OB-0136, SYN-OB-0151, SYN-OB-0206, SYN-OB-0209, SYN-OB-0226, SYN-OB-0247, SYN-OB-0027</x:v>
      </x:c>
    </x:row>
    <x:row r="77" ht="39" customHeight="1">
      <x:c r="A77" s="150"/>
      <x:c r="B77" s="150"/>
      <x:c r="C77" s="154" t="str">
        <x:v>alternative_industry</x:v>
      </x:c>
      <x:c r="D77" s="154" t="str">
        <x:v>B+ through CCC-</x:v>
      </x:c>
      <x:c r="E77" s="154" t="str">
        <x:v>Aerospace &amp; Defense</x:v>
      </x:c>
      <x:c r="F77" s="150" t="n">
        <x:v>20</x:v>
      </x:c>
      <x:c r="G77" s="150" t="n">
        <x:v>11</x:v>
      </x:c>
      <x:c r="H77" s="178" t="n">
        <x:v>12450000</x:v>
      </x:c>
      <x:c r="I77" s="163" t="n">
        <x:v>0.05</x:v>
      </x:c>
      <x:c r="J77" s="80" t="n">
        <x:f>H77*(1-I77)</x:f>
        <x:v>11827500</x:v>
      </x:c>
      <x:c r="K77" s="75" t="n">
        <x:f>IF(Portfolio_Par&gt;0,J77/Portfolio_Par,"")</x:f>
        <x:v>0.039425</x:v>
      </x:c>
      <x:c r="L77" s="150" t="str">
        <x:v>SYN-OB-0024, SYN-OB-0039, SYN-OB-0045, SYN-OB-0046, SYN-OB-0136, SYN-OB-0151, SYN-OB-0206, SYN-OB-0209, SYN-OB-0226, SYN-OB-0247, SYN-OB-0027</x:v>
      </x:c>
    </x:row>
    <x:row r="78" ht="39" customHeight="1">
      <x:c r="A78" s="150"/>
      <x:c r="B78" s="150"/>
      <x:c r="C78" s="154" t="str">
        <x:v>alternative_industry</x:v>
      </x:c>
      <x:c r="D78" s="154" t="str">
        <x:v>CCC+ through CCC-</x:v>
      </x:c>
      <x:c r="E78" s="154" t="str">
        <x:v>Aerospace &amp; Defense</x:v>
      </x:c>
      <x:c r="F78" s="150" t="n">
        <x:v>24</x:v>
      </x:c>
      <x:c r="G78" s="150" t="n">
        <x:v>0</x:v>
      </x:c>
      <x:c r="H78" s="178" t="n">
        <x:v>0</x:v>
      </x:c>
      <x:c r="I78" s="163" t="n">
        <x:v>0.05</x:v>
      </x:c>
      <x:c r="J78" s="80" t="n">
        <x:f>H78*(1-I78)</x:f>
        <x:v>0</x:v>
      </x:c>
      <x:c r="K78" s="75" t="n">
        <x:f>IF(Portfolio_Par&gt;0,J78/Portfolio_Par,"")</x:f>
        <x:v>0</x:v>
      </x:c>
      <x:c r="L78" s="150" t="str"/>
    </x:row>
    <x:row r="79" ht="39" customHeight="1">
      <x:c r="A79" s="150"/>
      <x:c r="B79" s="150"/>
      <x:c r="C79" s="154" t="str">
        <x:v>alternative_industry</x:v>
      </x:c>
      <x:c r="D79" s="154" t="str">
        <x:v>AAA through CCC-</x:v>
      </x:c>
      <x:c r="E79" s="154" t="str">
        <x:v>Auto Components</x:v>
      </x:c>
      <x:c r="F79" s="150" t="n">
        <x:v>4</x:v>
      </x:c>
      <x:c r="G79" s="150" t="n">
        <x:v>4</x:v>
      </x:c>
      <x:c r="H79" s="178" t="n">
        <x:v>4176000</x:v>
      </x:c>
      <x:c r="I79" s="163" t="n">
        <x:v>0.05</x:v>
      </x:c>
      <x:c r="J79" s="80" t="n">
        <x:f>H79*(1-I79)</x:f>
        <x:v>3967200</x:v>
      </x:c>
      <x:c r="K79" s="75" t="n">
        <x:f>IF(Portfolio_Par&gt;0,J79/Portfolio_Par,"")</x:f>
        <x:v>0.013224</x:v>
      </x:c>
      <x:c r="L79" s="150" t="str">
        <x:v>SYN-OB-0090, SYN-OB-0138, SYN-OB-0232, SYN-OB-0038</x:v>
      </x:c>
    </x:row>
    <x:row r="80" ht="39" customHeight="1">
      <x:c r="A80" s="150"/>
      <x:c r="B80" s="150"/>
      <x:c r="C80" s="154" t="str">
        <x:v>alternative_industry</x:v>
      </x:c>
      <x:c r="D80" s="154" t="str">
        <x:v>AA+ through CCC-</x:v>
      </x:c>
      <x:c r="E80" s="154" t="str">
        <x:v>Auto Components</x:v>
      </x:c>
      <x:c r="F80" s="150" t="n">
        <x:v>6</x:v>
      </x:c>
      <x:c r="G80" s="150" t="n">
        <x:v>5</x:v>
      </x:c>
      <x:c r="H80" s="178" t="n">
        <x:v>4806000</x:v>
      </x:c>
      <x:c r="I80" s="163" t="n">
        <x:v>0.05</x:v>
      </x:c>
      <x:c r="J80" s="80" t="n">
        <x:f>H80*(1-I80)</x:f>
        <x:v>4565700</x:v>
      </x:c>
      <x:c r="K80" s="75" t="n">
        <x:f>IF(Portfolio_Par&gt;0,J80/Portfolio_Par,"")</x:f>
        <x:v>0.015219</x:v>
      </x:c>
      <x:c r="L80" s="150" t="str">
        <x:v>SYN-OB-0090, SYN-OB-0138, SYN-OB-0232, SYN-OB-0038, SYN-OB-0173</x:v>
      </x:c>
    </x:row>
    <x:row r="81" ht="39" customHeight="1">
      <x:c r="A81" s="150"/>
      <x:c r="B81" s="150"/>
      <x:c r="C81" s="154" t="str">
        <x:v>alternative_industry</x:v>
      </x:c>
      <x:c r="D81" s="154" t="str">
        <x:v>A+ through CCC-</x:v>
      </x:c>
      <x:c r="E81" s="154" t="str">
        <x:v>Auto Components</x:v>
      </x:c>
      <x:c r="F81" s="150" t="n">
        <x:v>8</x:v>
      </x:c>
      <x:c r="G81" s="150" t="n">
        <x:v>5</x:v>
      </x:c>
      <x:c r="H81" s="178" t="n">
        <x:v>4806000</x:v>
      </x:c>
      <x:c r="I81" s="163" t="n">
        <x:v>0.05</x:v>
      </x:c>
      <x:c r="J81" s="80" t="n">
        <x:f>H81*(1-I81)</x:f>
        <x:v>4565700</x:v>
      </x:c>
      <x:c r="K81" s="75" t="n">
        <x:f>IF(Portfolio_Par&gt;0,J81/Portfolio_Par,"")</x:f>
        <x:v>0.015219</x:v>
      </x:c>
      <x:c r="L81" s="150" t="str">
        <x:v>SYN-OB-0090, SYN-OB-0138, SYN-OB-0232, SYN-OB-0038, SYN-OB-0173</x:v>
      </x:c>
    </x:row>
    <x:row r="82" ht="39" customHeight="1">
      <x:c r="A82" s="150"/>
      <x:c r="B82" s="150"/>
      <x:c r="C82" s="154" t="str">
        <x:v>alternative_industry</x:v>
      </x:c>
      <x:c r="D82" s="154" t="str">
        <x:v>BBB+ through CCC-</x:v>
      </x:c>
      <x:c r="E82" s="154" t="str">
        <x:v>Auto Components</x:v>
      </x:c>
      <x:c r="F82" s="150" t="n">
        <x:v>12</x:v>
      </x:c>
      <x:c r="G82" s="150" t="n">
        <x:v>5</x:v>
      </x:c>
      <x:c r="H82" s="178" t="n">
        <x:v>4806000</x:v>
      </x:c>
      <x:c r="I82" s="163" t="n">
        <x:v>0.05</x:v>
      </x:c>
      <x:c r="J82" s="80" t="n">
        <x:f>H82*(1-I82)</x:f>
        <x:v>4565700</x:v>
      </x:c>
      <x:c r="K82" s="75" t="n">
        <x:f>IF(Portfolio_Par&gt;0,J82/Portfolio_Par,"")</x:f>
        <x:v>0.015219</x:v>
      </x:c>
      <x:c r="L82" s="150" t="str">
        <x:v>SYN-OB-0090, SYN-OB-0138, SYN-OB-0232, SYN-OB-0038, SYN-OB-0173</x:v>
      </x:c>
    </x:row>
    <x:row r="83" ht="39" customHeight="1">
      <x:c r="A83" s="150"/>
      <x:c r="B83" s="150"/>
      <x:c r="C83" s="154" t="str">
        <x:v>alternative_industry</x:v>
      </x:c>
      <x:c r="D83" s="154" t="str">
        <x:v>BB+ through CCC-</x:v>
      </x:c>
      <x:c r="E83" s="154" t="str">
        <x:v>Auto Components</x:v>
      </x:c>
      <x:c r="F83" s="150" t="n">
        <x:v>16</x:v>
      </x:c>
      <x:c r="G83" s="150" t="n">
        <x:v>4</x:v>
      </x:c>
      <x:c r="H83" s="178" t="n">
        <x:v>4176000</x:v>
      </x:c>
      <x:c r="I83" s="163" t="n">
        <x:v>0.05</x:v>
      </x:c>
      <x:c r="J83" s="80" t="n">
        <x:f>H83*(1-I83)</x:f>
        <x:v>3967200</x:v>
      </x:c>
      <x:c r="K83" s="75" t="n">
        <x:f>IF(Portfolio_Par&gt;0,J83/Portfolio_Par,"")</x:f>
        <x:v>0.013224</x:v>
      </x:c>
      <x:c r="L83" s="150" t="str">
        <x:v>SYN-OB-0090, SYN-OB-0138, SYN-OB-0232, SYN-OB-0038</x:v>
      </x:c>
    </x:row>
    <x:row r="84" ht="39" customHeight="1">
      <x:c r="A84" s="150"/>
      <x:c r="B84" s="150"/>
      <x:c r="C84" s="154" t="str">
        <x:v>alternative_industry</x:v>
      </x:c>
      <x:c r="D84" s="154" t="str">
        <x:v>B+ through CCC-</x:v>
      </x:c>
      <x:c r="E84" s="154" t="str">
        <x:v>Auto Components</x:v>
      </x:c>
      <x:c r="F84" s="150" t="n">
        <x:v>20</x:v>
      </x:c>
      <x:c r="G84" s="150" t="n">
        <x:v>3</x:v>
      </x:c>
      <x:c r="H84" s="178" t="n">
        <x:v>3546000</x:v>
      </x:c>
      <x:c r="I84" s="163" t="n">
        <x:v>0.05</x:v>
      </x:c>
      <x:c r="J84" s="80" t="n">
        <x:f>H84*(1-I84)</x:f>
        <x:v>3368700</x:v>
      </x:c>
      <x:c r="K84" s="75" t="n">
        <x:f>IF(Portfolio_Par&gt;0,J84/Portfolio_Par,"")</x:f>
        <x:v>0.011229</x:v>
      </x:c>
      <x:c r="L84" s="150" t="str">
        <x:v>SYN-OB-0090, SYN-OB-0138, SYN-OB-0232</x:v>
      </x:c>
    </x:row>
    <x:row r="85" ht="39" customHeight="1">
      <x:c r="A85" s="150"/>
      <x:c r="B85" s="150"/>
      <x:c r="C85" s="154" t="str">
        <x:v>alternative_industry</x:v>
      </x:c>
      <x:c r="D85" s="154" t="str">
        <x:v>CCC+ through CCC-</x:v>
      </x:c>
      <x:c r="E85" s="154" t="str">
        <x:v>Auto Components</x:v>
      </x:c>
      <x:c r="F85" s="150" t="n">
        <x:v>24</x:v>
      </x:c>
      <x:c r="G85" s="150" t="n">
        <x:v>0</x:v>
      </x:c>
      <x:c r="H85" s="178" t="n">
        <x:v>0</x:v>
      </x:c>
      <x:c r="I85" s="163" t="n">
        <x:v>0.05</x:v>
      </x:c>
      <x:c r="J85" s="80" t="n">
        <x:f>H85*(1-I85)</x:f>
        <x:v>0</x:v>
      </x:c>
      <x:c r="K85" s="75" t="n">
        <x:f>IF(Portfolio_Par&gt;0,J85/Portfolio_Par,"")</x:f>
        <x:v>0</x:v>
      </x:c>
      <x:c r="L85" s="150" t="str"/>
    </x:row>
    <x:row r="86" ht="39" customHeight="1">
      <x:c r="A86" s="150"/>
      <x:c r="B86" s="150"/>
      <x:c r="C86" s="154" t="str">
        <x:v>alternative_industry</x:v>
      </x:c>
      <x:c r="D86" s="154" t="str">
        <x:v>AAA through CCC-</x:v>
      </x:c>
      <x:c r="E86" s="154" t="str">
        <x:v>Automobiles</x:v>
      </x:c>
      <x:c r="F86" s="150" t="n">
        <x:v>4</x:v>
      </x:c>
      <x:c r="G86" s="150" t="n">
        <x:v>2</x:v>
      </x:c>
      <x:c r="H86" s="178" t="n">
        <x:v>2364000</x:v>
      </x:c>
      <x:c r="I86" s="163" t="n">
        <x:v>0.05</x:v>
      </x:c>
      <x:c r="J86" s="80" t="n">
        <x:f>H86*(1-I86)</x:f>
        <x:v>2245800</x:v>
      </x:c>
      <x:c r="K86" s="75" t="n">
        <x:f>IF(Portfolio_Par&gt;0,J86/Portfolio_Par,"")</x:f>
        <x:v>0.007486</x:v>
      </x:c>
      <x:c r="L86" s="150" t="str">
        <x:v>SYN-OB-0157, SYN-OB-0224</x:v>
      </x:c>
    </x:row>
    <x:row r="87" ht="39" customHeight="1">
      <x:c r="A87" s="150"/>
      <x:c r="B87" s="150"/>
      <x:c r="C87" s="154" t="str">
        <x:v>alternative_industry</x:v>
      </x:c>
      <x:c r="D87" s="154" t="str">
        <x:v>AA+ through CCC-</x:v>
      </x:c>
      <x:c r="E87" s="154" t="str">
        <x:v>Automobiles</x:v>
      </x:c>
      <x:c r="F87" s="150" t="n">
        <x:v>6</x:v>
      </x:c>
      <x:c r="G87" s="150" t="n">
        <x:v>2</x:v>
      </x:c>
      <x:c r="H87" s="178" t="n">
        <x:v>2364000</x:v>
      </x:c>
      <x:c r="I87" s="163" t="n">
        <x:v>0.05</x:v>
      </x:c>
      <x:c r="J87" s="80" t="n">
        <x:f>H87*(1-I87)</x:f>
        <x:v>2245800</x:v>
      </x:c>
      <x:c r="K87" s="75" t="n">
        <x:f>IF(Portfolio_Par&gt;0,J87/Portfolio_Par,"")</x:f>
        <x:v>0.007486</x:v>
      </x:c>
      <x:c r="L87" s="150" t="str">
        <x:v>SYN-OB-0157, SYN-OB-0224</x:v>
      </x:c>
    </x:row>
    <x:row r="88" ht="39" customHeight="1">
      <x:c r="A88" s="150"/>
      <x:c r="B88" s="150"/>
      <x:c r="C88" s="154" t="str">
        <x:v>alternative_industry</x:v>
      </x:c>
      <x:c r="D88" s="154" t="str">
        <x:v>A+ through CCC-</x:v>
      </x:c>
      <x:c r="E88" s="154" t="str">
        <x:v>Automobiles</x:v>
      </x:c>
      <x:c r="F88" s="150" t="n">
        <x:v>8</x:v>
      </x:c>
      <x:c r="G88" s="150" t="n">
        <x:v>2</x:v>
      </x:c>
      <x:c r="H88" s="178" t="n">
        <x:v>2364000</x:v>
      </x:c>
      <x:c r="I88" s="163" t="n">
        <x:v>0.05</x:v>
      </x:c>
      <x:c r="J88" s="80" t="n">
        <x:f>H88*(1-I88)</x:f>
        <x:v>2245800</x:v>
      </x:c>
      <x:c r="K88" s="75" t="n">
        <x:f>IF(Portfolio_Par&gt;0,J88/Portfolio_Par,"")</x:f>
        <x:v>0.007486</x:v>
      </x:c>
      <x:c r="L88" s="150" t="str">
        <x:v>SYN-OB-0157, SYN-OB-0224</x:v>
      </x:c>
    </x:row>
    <x:row r="89" ht="39" customHeight="1">
      <x:c r="A89" s="150"/>
      <x:c r="B89" s="150"/>
      <x:c r="C89" s="154" t="str">
        <x:v>alternative_industry</x:v>
      </x:c>
      <x:c r="D89" s="154" t="str">
        <x:v>BBB+ through CCC-</x:v>
      </x:c>
      <x:c r="E89" s="154" t="str">
        <x:v>Automobiles</x:v>
      </x:c>
      <x:c r="F89" s="150" t="n">
        <x:v>12</x:v>
      </x:c>
      <x:c r="G89" s="150" t="n">
        <x:v>2</x:v>
      </x:c>
      <x:c r="H89" s="178" t="n">
        <x:v>2364000</x:v>
      </x:c>
      <x:c r="I89" s="163" t="n">
        <x:v>0.05</x:v>
      </x:c>
      <x:c r="J89" s="80" t="n">
        <x:f>H89*(1-I89)</x:f>
        <x:v>2245800</x:v>
      </x:c>
      <x:c r="K89" s="75" t="n">
        <x:f>IF(Portfolio_Par&gt;0,J89/Portfolio_Par,"")</x:f>
        <x:v>0.007486</x:v>
      </x:c>
      <x:c r="L89" s="150" t="str">
        <x:v>SYN-OB-0157, SYN-OB-0224</x:v>
      </x:c>
    </x:row>
    <x:row r="90" ht="39" customHeight="1">
      <x:c r="A90" s="150"/>
      <x:c r="B90" s="150"/>
      <x:c r="C90" s="154" t="str">
        <x:v>alternative_industry</x:v>
      </x:c>
      <x:c r="D90" s="154" t="str">
        <x:v>BB+ through CCC-</x:v>
      </x:c>
      <x:c r="E90" s="154" t="str">
        <x:v>Automobiles</x:v>
      </x:c>
      <x:c r="F90" s="150" t="n">
        <x:v>16</x:v>
      </x:c>
      <x:c r="G90" s="150" t="n">
        <x:v>2</x:v>
      </x:c>
      <x:c r="H90" s="178" t="n">
        <x:v>2364000</x:v>
      </x:c>
      <x:c r="I90" s="163" t="n">
        <x:v>0.05</x:v>
      </x:c>
      <x:c r="J90" s="80" t="n">
        <x:f>H90*(1-I90)</x:f>
        <x:v>2245800</x:v>
      </x:c>
      <x:c r="K90" s="75" t="n">
        <x:f>IF(Portfolio_Par&gt;0,J90/Portfolio_Par,"")</x:f>
        <x:v>0.007486</x:v>
      </x:c>
      <x:c r="L90" s="150" t="str">
        <x:v>SYN-OB-0157, SYN-OB-0224</x:v>
      </x:c>
    </x:row>
    <x:row r="91" ht="39" customHeight="1">
      <x:c r="A91" s="150"/>
      <x:c r="B91" s="150"/>
      <x:c r="C91" s="154" t="str">
        <x:v>alternative_industry</x:v>
      </x:c>
      <x:c r="D91" s="154" t="str">
        <x:v>B+ through CCC-</x:v>
      </x:c>
      <x:c r="E91" s="154" t="str">
        <x:v>Automobiles</x:v>
      </x:c>
      <x:c r="F91" s="150" t="n">
        <x:v>20</x:v>
      </x:c>
      <x:c r="G91" s="150" t="n">
        <x:v>0</x:v>
      </x:c>
      <x:c r="H91" s="178" t="n">
        <x:v>0</x:v>
      </x:c>
      <x:c r="I91" s="163" t="n">
        <x:v>0.05</x:v>
      </x:c>
      <x:c r="J91" s="80" t="n">
        <x:f>H91*(1-I91)</x:f>
        <x:v>0</x:v>
      </x:c>
      <x:c r="K91" s="75" t="n">
        <x:f>IF(Portfolio_Par&gt;0,J91/Portfolio_Par,"")</x:f>
        <x:v>0</x:v>
      </x:c>
      <x:c r="L91" s="150" t="str"/>
    </x:row>
    <x:row r="92" ht="39" customHeight="1">
      <x:c r="A92" s="150"/>
      <x:c r="B92" s="150"/>
      <x:c r="C92" s="154" t="str">
        <x:v>alternative_industry</x:v>
      </x:c>
      <x:c r="D92" s="154" t="str">
        <x:v>CCC+ through CCC-</x:v>
      </x:c>
      <x:c r="E92" s="154" t="str">
        <x:v>Automobiles</x:v>
      </x:c>
      <x:c r="F92" s="150" t="n">
        <x:v>24</x:v>
      </x:c>
      <x:c r="G92" s="150" t="n">
        <x:v>0</x:v>
      </x:c>
      <x:c r="H92" s="178" t="n">
        <x:v>0</x:v>
      </x:c>
      <x:c r="I92" s="163" t="n">
        <x:v>0.05</x:v>
      </x:c>
      <x:c r="J92" s="80" t="n">
        <x:f>H92*(1-I92)</x:f>
        <x:v>0</x:v>
      </x:c>
      <x:c r="K92" s="75" t="n">
        <x:f>IF(Portfolio_Par&gt;0,J92/Portfolio_Par,"")</x:f>
        <x:v>0</x:v>
      </x:c>
      <x:c r="L92" s="150" t="str"/>
    </x:row>
    <x:row r="93" ht="39" customHeight="1">
      <x:c r="A93" s="150"/>
      <x:c r="B93" s="150"/>
      <x:c r="C93" s="154" t="str">
        <x:v>alternative_industry</x:v>
      </x:c>
      <x:c r="D93" s="154" t="str">
        <x:v>AAA through CCC-</x:v>
      </x:c>
      <x:c r="E93" s="154" t="str">
        <x:v>Banks</x:v>
      </x:c>
      <x:c r="F93" s="150" t="n">
        <x:v>4</x:v>
      </x:c>
      <x:c r="G93" s="150" t="n">
        <x:v>3</x:v>
      </x:c>
      <x:c r="H93" s="178" t="n">
        <x:v>3546000</x:v>
      </x:c>
      <x:c r="I93" s="163" t="n">
        <x:v>0.05</x:v>
      </x:c>
      <x:c r="J93" s="80" t="n">
        <x:f>H93*(1-I93)</x:f>
        <x:v>3368700</x:v>
      </x:c>
      <x:c r="K93" s="75" t="n">
        <x:f>IF(Portfolio_Par&gt;0,J93/Portfolio_Par,"")</x:f>
        <x:v>0.011229</x:v>
      </x:c>
      <x:c r="L93" s="150" t="str">
        <x:v>SYN-OB-0016, SYN-OB-0049, SYN-OB-0158</x:v>
      </x:c>
    </x:row>
    <x:row r="94" ht="39" customHeight="1">
      <x:c r="A94" s="150"/>
      <x:c r="B94" s="150"/>
      <x:c r="C94" s="154" t="str">
        <x:v>alternative_industry</x:v>
      </x:c>
      <x:c r="D94" s="154" t="str">
        <x:v>AA+ through CCC-</x:v>
      </x:c>
      <x:c r="E94" s="154" t="str">
        <x:v>Banks</x:v>
      </x:c>
      <x:c r="F94" s="150" t="n">
        <x:v>6</x:v>
      </x:c>
      <x:c r="G94" s="150" t="n">
        <x:v>3</x:v>
      </x:c>
      <x:c r="H94" s="178" t="n">
        <x:v>3546000</x:v>
      </x:c>
      <x:c r="I94" s="163" t="n">
        <x:v>0.05</x:v>
      </x:c>
      <x:c r="J94" s="80" t="n">
        <x:f>H94*(1-I94)</x:f>
        <x:v>3368700</x:v>
      </x:c>
      <x:c r="K94" s="75" t="n">
        <x:f>IF(Portfolio_Par&gt;0,J94/Portfolio_Par,"")</x:f>
        <x:v>0.011229</x:v>
      </x:c>
      <x:c r="L94" s="150" t="str">
        <x:v>SYN-OB-0016, SYN-OB-0049, SYN-OB-0158</x:v>
      </x:c>
    </x:row>
    <x:row r="95" ht="39" customHeight="1">
      <x:c r="A95" s="150"/>
      <x:c r="B95" s="150"/>
      <x:c r="C95" s="154" t="str">
        <x:v>alternative_industry</x:v>
      </x:c>
      <x:c r="D95" s="154" t="str">
        <x:v>A+ through CCC-</x:v>
      </x:c>
      <x:c r="E95" s="154" t="str">
        <x:v>Banks</x:v>
      </x:c>
      <x:c r="F95" s="150" t="n">
        <x:v>8</x:v>
      </x:c>
      <x:c r="G95" s="150" t="n">
        <x:v>3</x:v>
      </x:c>
      <x:c r="H95" s="178" t="n">
        <x:v>3546000</x:v>
      </x:c>
      <x:c r="I95" s="163" t="n">
        <x:v>0.05</x:v>
      </x:c>
      <x:c r="J95" s="80" t="n">
        <x:f>H95*(1-I95)</x:f>
        <x:v>3368700</x:v>
      </x:c>
      <x:c r="K95" s="75" t="n">
        <x:f>IF(Portfolio_Par&gt;0,J95/Portfolio_Par,"")</x:f>
        <x:v>0.011229</x:v>
      </x:c>
      <x:c r="L95" s="150" t="str">
        <x:v>SYN-OB-0016, SYN-OB-0049, SYN-OB-0158</x:v>
      </x:c>
    </x:row>
    <x:row r="96" ht="39" customHeight="1">
      <x:c r="A96" s="150"/>
      <x:c r="B96" s="150"/>
      <x:c r="C96" s="154" t="str">
        <x:v>alternative_industry</x:v>
      </x:c>
      <x:c r="D96" s="154" t="str">
        <x:v>BBB+ through CCC-</x:v>
      </x:c>
      <x:c r="E96" s="154" t="str">
        <x:v>Banks</x:v>
      </x:c>
      <x:c r="F96" s="150" t="n">
        <x:v>12</x:v>
      </x:c>
      <x:c r="G96" s="150" t="n">
        <x:v>3</x:v>
      </x:c>
      <x:c r="H96" s="178" t="n">
        <x:v>3546000</x:v>
      </x:c>
      <x:c r="I96" s="163" t="n">
        <x:v>0.05</x:v>
      </x:c>
      <x:c r="J96" s="80" t="n">
        <x:f>H96*(1-I96)</x:f>
        <x:v>3368700</x:v>
      </x:c>
      <x:c r="K96" s="75" t="n">
        <x:f>IF(Portfolio_Par&gt;0,J96/Portfolio_Par,"")</x:f>
        <x:v>0.011229</x:v>
      </x:c>
      <x:c r="L96" s="150" t="str">
        <x:v>SYN-OB-0016, SYN-OB-0049, SYN-OB-0158</x:v>
      </x:c>
    </x:row>
    <x:row r="97" ht="39" customHeight="1">
      <x:c r="A97" s="150"/>
      <x:c r="B97" s="150"/>
      <x:c r="C97" s="154" t="str">
        <x:v>alternative_industry</x:v>
      </x:c>
      <x:c r="D97" s="154" t="str">
        <x:v>BB+ through CCC-</x:v>
      </x:c>
      <x:c r="E97" s="154" t="str">
        <x:v>Banks</x:v>
      </x:c>
      <x:c r="F97" s="150" t="n">
        <x:v>16</x:v>
      </x:c>
      <x:c r="G97" s="150" t="n">
        <x:v>3</x:v>
      </x:c>
      <x:c r="H97" s="178" t="n">
        <x:v>3546000</x:v>
      </x:c>
      <x:c r="I97" s="163" t="n">
        <x:v>0.05</x:v>
      </x:c>
      <x:c r="J97" s="80" t="n">
        <x:f>H97*(1-I97)</x:f>
        <x:v>3368700</x:v>
      </x:c>
      <x:c r="K97" s="75" t="n">
        <x:f>IF(Portfolio_Par&gt;0,J97/Portfolio_Par,"")</x:f>
        <x:v>0.011229</x:v>
      </x:c>
      <x:c r="L97" s="150" t="str">
        <x:v>SYN-OB-0016, SYN-OB-0049, SYN-OB-0158</x:v>
      </x:c>
    </x:row>
    <x:row r="98" ht="39" customHeight="1">
      <x:c r="A98" s="150"/>
      <x:c r="B98" s="150"/>
      <x:c r="C98" s="154" t="str">
        <x:v>alternative_industry</x:v>
      </x:c>
      <x:c r="D98" s="154" t="str">
        <x:v>B+ through CCC-</x:v>
      </x:c>
      <x:c r="E98" s="154" t="str">
        <x:v>Banks</x:v>
      </x:c>
      <x:c r="F98" s="150" t="n">
        <x:v>20</x:v>
      </x:c>
      <x:c r="G98" s="150" t="n">
        <x:v>0</x:v>
      </x:c>
      <x:c r="H98" s="178" t="n">
        <x:v>0</x:v>
      </x:c>
      <x:c r="I98" s="163" t="n">
        <x:v>0.05</x:v>
      </x:c>
      <x:c r="J98" s="80" t="n">
        <x:f>H98*(1-I98)</x:f>
        <x:v>0</x:v>
      </x:c>
      <x:c r="K98" s="75" t="n">
        <x:f>IF(Portfolio_Par&gt;0,J98/Portfolio_Par,"")</x:f>
        <x:v>0</x:v>
      </x:c>
      <x:c r="L98" s="150" t="str"/>
    </x:row>
    <x:row r="99" ht="39" customHeight="1">
      <x:c r="A99" s="150"/>
      <x:c r="B99" s="150"/>
      <x:c r="C99" s="154" t="str">
        <x:v>alternative_industry</x:v>
      </x:c>
      <x:c r="D99" s="154" t="str">
        <x:v>CCC+ through CCC-</x:v>
      </x:c>
      <x:c r="E99" s="154" t="str">
        <x:v>Banks</x:v>
      </x:c>
      <x:c r="F99" s="150" t="n">
        <x:v>24</x:v>
      </x:c>
      <x:c r="G99" s="150" t="n">
        <x:v>0</x:v>
      </x:c>
      <x:c r="H99" s="178" t="n">
        <x:v>0</x:v>
      </x:c>
      <x:c r="I99" s="163" t="n">
        <x:v>0.05</x:v>
      </x:c>
      <x:c r="J99" s="80" t="n">
        <x:f>H99*(1-I99)</x:f>
        <x:v>0</x:v>
      </x:c>
      <x:c r="K99" s="75" t="n">
        <x:f>IF(Portfolio_Par&gt;0,J99/Portfolio_Par,"")</x:f>
        <x:v>0</x:v>
      </x:c>
      <x:c r="L99" s="150" t="str"/>
    </x:row>
    <x:row r="100" ht="39" customHeight="1">
      <x:c r="A100" s="150"/>
      <x:c r="B100" s="150"/>
      <x:c r="C100" s="154" t="str">
        <x:v>alternative_industry</x:v>
      </x:c>
      <x:c r="D100" s="154" t="str">
        <x:v>AAA through CCC-</x:v>
      </x:c>
      <x:c r="E100" s="154" t="str">
        <x:v>Beverages</x:v>
      </x:c>
      <x:c r="F100" s="150" t="n">
        <x:v>4</x:v>
      </x:c>
      <x:c r="G100" s="150" t="n">
        <x:v>2</x:v>
      </x:c>
      <x:c r="H100" s="178" t="n">
        <x:v>1260000</x:v>
      </x:c>
      <x:c r="I100" s="163" t="n">
        <x:v>0.05</x:v>
      </x:c>
      <x:c r="J100" s="80" t="n">
        <x:f>H100*(1-I100)</x:f>
        <x:v>1197000</x:v>
      </x:c>
      <x:c r="K100" s="75" t="n">
        <x:f>IF(Portfolio_Par&gt;0,J100/Portfolio_Par,"")</x:f>
        <x:v>0.00399</x:v>
      </x:c>
      <x:c r="L100" s="150" t="str">
        <x:v>SYN-OB-0015, SYN-OB-0248</x:v>
      </x:c>
    </x:row>
    <x:row r="101" ht="39" customHeight="1">
      <x:c r="A101" s="150"/>
      <x:c r="B101" s="150"/>
      <x:c r="C101" s="154" t="str">
        <x:v>alternative_industry</x:v>
      </x:c>
      <x:c r="D101" s="154" t="str">
        <x:v>AA+ through CCC-</x:v>
      </x:c>
      <x:c r="E101" s="154" t="str">
        <x:v>Beverages</x:v>
      </x:c>
      <x:c r="F101" s="150" t="n">
        <x:v>6</x:v>
      </x:c>
      <x:c r="G101" s="150" t="n">
        <x:v>2</x:v>
      </x:c>
      <x:c r="H101" s="178" t="n">
        <x:v>1260000</x:v>
      </x:c>
      <x:c r="I101" s="163" t="n">
        <x:v>0.05</x:v>
      </x:c>
      <x:c r="J101" s="80" t="n">
        <x:f>H101*(1-I101)</x:f>
        <x:v>1197000</x:v>
      </x:c>
      <x:c r="K101" s="75" t="n">
        <x:f>IF(Portfolio_Par&gt;0,J101/Portfolio_Par,"")</x:f>
        <x:v>0.00399</x:v>
      </x:c>
      <x:c r="L101" s="150" t="str">
        <x:v>SYN-OB-0015, SYN-OB-0248</x:v>
      </x:c>
    </x:row>
    <x:row r="102" ht="39" customHeight="1">
      <x:c r="A102" s="150"/>
      <x:c r="B102" s="150"/>
      <x:c r="C102" s="154" t="str">
        <x:v>alternative_industry</x:v>
      </x:c>
      <x:c r="D102" s="154" t="str">
        <x:v>A+ through CCC-</x:v>
      </x:c>
      <x:c r="E102" s="154" t="str">
        <x:v>Beverages</x:v>
      </x:c>
      <x:c r="F102" s="150" t="n">
        <x:v>8</x:v>
      </x:c>
      <x:c r="G102" s="150" t="n">
        <x:v>2</x:v>
      </x:c>
      <x:c r="H102" s="178" t="n">
        <x:v>1260000</x:v>
      </x:c>
      <x:c r="I102" s="163" t="n">
        <x:v>0.05</x:v>
      </x:c>
      <x:c r="J102" s="80" t="n">
        <x:f>H102*(1-I102)</x:f>
        <x:v>1197000</x:v>
      </x:c>
      <x:c r="K102" s="75" t="n">
        <x:f>IF(Portfolio_Par&gt;0,J102/Portfolio_Par,"")</x:f>
        <x:v>0.00399</x:v>
      </x:c>
      <x:c r="L102" s="150" t="str">
        <x:v>SYN-OB-0015, SYN-OB-0248</x:v>
      </x:c>
    </x:row>
    <x:row r="103" ht="39" customHeight="1">
      <x:c r="A103" s="150"/>
      <x:c r="B103" s="150"/>
      <x:c r="C103" s="154" t="str">
        <x:v>alternative_industry</x:v>
      </x:c>
      <x:c r="D103" s="154" t="str">
        <x:v>BBB+ through CCC-</x:v>
      </x:c>
      <x:c r="E103" s="154" t="str">
        <x:v>Beverages</x:v>
      </x:c>
      <x:c r="F103" s="150" t="n">
        <x:v>12</x:v>
      </x:c>
      <x:c r="G103" s="150" t="n">
        <x:v>2</x:v>
      </x:c>
      <x:c r="H103" s="178" t="n">
        <x:v>1260000</x:v>
      </x:c>
      <x:c r="I103" s="163" t="n">
        <x:v>0.05</x:v>
      </x:c>
      <x:c r="J103" s="80" t="n">
        <x:f>H103*(1-I103)</x:f>
        <x:v>1197000</x:v>
      </x:c>
      <x:c r="K103" s="75" t="n">
        <x:f>IF(Portfolio_Par&gt;0,J103/Portfolio_Par,"")</x:f>
        <x:v>0.00399</x:v>
      </x:c>
      <x:c r="L103" s="150" t="str">
        <x:v>SYN-OB-0015, SYN-OB-0248</x:v>
      </x:c>
    </x:row>
    <x:row r="104" ht="39" customHeight="1">
      <x:c r="A104" s="150"/>
      <x:c r="B104" s="150"/>
      <x:c r="C104" s="154" t="str">
        <x:v>alternative_industry</x:v>
      </x:c>
      <x:c r="D104" s="154" t="str">
        <x:v>BB+ through CCC-</x:v>
      </x:c>
      <x:c r="E104" s="154" t="str">
        <x:v>Beverages</x:v>
      </x:c>
      <x:c r="F104" s="150" t="n">
        <x:v>16</x:v>
      </x:c>
      <x:c r="G104" s="150" t="n">
        <x:v>2</x:v>
      </x:c>
      <x:c r="H104" s="178" t="n">
        <x:v>1260000</x:v>
      </x:c>
      <x:c r="I104" s="163" t="n">
        <x:v>0.05</x:v>
      </x:c>
      <x:c r="J104" s="80" t="n">
        <x:f>H104*(1-I104)</x:f>
        <x:v>1197000</x:v>
      </x:c>
      <x:c r="K104" s="75" t="n">
        <x:f>IF(Portfolio_Par&gt;0,J104/Portfolio_Par,"")</x:f>
        <x:v>0.00399</x:v>
      </x:c>
      <x:c r="L104" s="150" t="str">
        <x:v>SYN-OB-0015, SYN-OB-0248</x:v>
      </x:c>
    </x:row>
    <x:row r="105" ht="39" customHeight="1">
      <x:c r="A105" s="150"/>
      <x:c r="B105" s="150"/>
      <x:c r="C105" s="154" t="str">
        <x:v>alternative_industry</x:v>
      </x:c>
      <x:c r="D105" s="154" t="str">
        <x:v>B+ through CCC-</x:v>
      </x:c>
      <x:c r="E105" s="154" t="str">
        <x:v>Beverages</x:v>
      </x:c>
      <x:c r="F105" s="150" t="n">
        <x:v>20</x:v>
      </x:c>
      <x:c r="G105" s="150" t="n">
        <x:v>0</x:v>
      </x:c>
      <x:c r="H105" s="178" t="n">
        <x:v>0</x:v>
      </x:c>
      <x:c r="I105" s="163" t="n">
        <x:v>0.05</x:v>
      </x:c>
      <x:c r="J105" s="80" t="n">
        <x:f>H105*(1-I105)</x:f>
        <x:v>0</x:v>
      </x:c>
      <x:c r="K105" s="75" t="n">
        <x:f>IF(Portfolio_Par&gt;0,J105/Portfolio_Par,"")</x:f>
        <x:v>0</x:v>
      </x:c>
      <x:c r="L105" s="150" t="str"/>
    </x:row>
    <x:row r="106" ht="39" customHeight="1">
      <x:c r="A106" s="150"/>
      <x:c r="B106" s="150"/>
      <x:c r="C106" s="154" t="str">
        <x:v>alternative_industry</x:v>
      </x:c>
      <x:c r="D106" s="154" t="str">
        <x:v>CCC+ through CCC-</x:v>
      </x:c>
      <x:c r="E106" s="154" t="str">
        <x:v>Beverages</x:v>
      </x:c>
      <x:c r="F106" s="150" t="n">
        <x:v>24</x:v>
      </x:c>
      <x:c r="G106" s="150" t="n">
        <x:v>0</x:v>
      </x:c>
      <x:c r="H106" s="178" t="n">
        <x:v>0</x:v>
      </x:c>
      <x:c r="I106" s="163" t="n">
        <x:v>0.05</x:v>
      </x:c>
      <x:c r="J106" s="80" t="n">
        <x:f>H106*(1-I106)</x:f>
        <x:v>0</x:v>
      </x:c>
      <x:c r="K106" s="75" t="n">
        <x:f>IF(Portfolio_Par&gt;0,J106/Portfolio_Par,"")</x:f>
        <x:v>0</x:v>
      </x:c>
      <x:c r="L106" s="150" t="str"/>
    </x:row>
    <x:row r="107" ht="39" customHeight="1">
      <x:c r="A107" s="150"/>
      <x:c r="B107" s="150"/>
      <x:c r="C107" s="154" t="str">
        <x:v>alternative_industry</x:v>
      </x:c>
      <x:c r="D107" s="154" t="str">
        <x:v>AAA through CCC-</x:v>
      </x:c>
      <x:c r="E107" s="154" t="str">
        <x:v>Broadline retail</x:v>
      </x:c>
      <x:c r="F107" s="150" t="n">
        <x:v>4</x:v>
      </x:c>
      <x:c r="G107" s="150" t="n">
        <x:v>3</x:v>
      </x:c>
      <x:c r="H107" s="178" t="n">
        <x:v>3546000</x:v>
      </x:c>
      <x:c r="I107" s="163" t="n">
        <x:v>0.05</x:v>
      </x:c>
      <x:c r="J107" s="80" t="n">
        <x:f>H107*(1-I107)</x:f>
        <x:v>3368700</x:v>
      </x:c>
      <x:c r="K107" s="75" t="n">
        <x:f>IF(Portfolio_Par&gt;0,J107/Portfolio_Par,"")</x:f>
        <x:v>0.011229</x:v>
      </x:c>
      <x:c r="L107" s="150" t="str">
        <x:v>SYN-OB-0025, SYN-OB-0207, SYN-OB-0227</x:v>
      </x:c>
    </x:row>
    <x:row r="108" ht="39" customHeight="1">
      <x:c r="A108" s="150"/>
      <x:c r="B108" s="150"/>
      <x:c r="C108" s="154" t="str">
        <x:v>alternative_industry</x:v>
      </x:c>
      <x:c r="D108" s="154" t="str">
        <x:v>AA+ through CCC-</x:v>
      </x:c>
      <x:c r="E108" s="154" t="str">
        <x:v>Broadline retail</x:v>
      </x:c>
      <x:c r="F108" s="150" t="n">
        <x:v>6</x:v>
      </x:c>
      <x:c r="G108" s="150" t="n">
        <x:v>3</x:v>
      </x:c>
      <x:c r="H108" s="178" t="n">
        <x:v>3546000</x:v>
      </x:c>
      <x:c r="I108" s="163" t="n">
        <x:v>0.05</x:v>
      </x:c>
      <x:c r="J108" s="80" t="n">
        <x:f>H108*(1-I108)</x:f>
        <x:v>3368700</x:v>
      </x:c>
      <x:c r="K108" s="75" t="n">
        <x:f>IF(Portfolio_Par&gt;0,J108/Portfolio_Par,"")</x:f>
        <x:v>0.011229</x:v>
      </x:c>
      <x:c r="L108" s="150" t="str">
        <x:v>SYN-OB-0025, SYN-OB-0207, SYN-OB-0227</x:v>
      </x:c>
    </x:row>
    <x:row r="109" ht="39" customHeight="1">
      <x:c r="A109" s="150"/>
      <x:c r="B109" s="150"/>
      <x:c r="C109" s="154" t="str">
        <x:v>alternative_industry</x:v>
      </x:c>
      <x:c r="D109" s="154" t="str">
        <x:v>A+ through CCC-</x:v>
      </x:c>
      <x:c r="E109" s="154" t="str">
        <x:v>Broadline retail</x:v>
      </x:c>
      <x:c r="F109" s="150" t="n">
        <x:v>8</x:v>
      </x:c>
      <x:c r="G109" s="150" t="n">
        <x:v>3</x:v>
      </x:c>
      <x:c r="H109" s="178" t="n">
        <x:v>3546000</x:v>
      </x:c>
      <x:c r="I109" s="163" t="n">
        <x:v>0.05</x:v>
      </x:c>
      <x:c r="J109" s="80" t="n">
        <x:f>H109*(1-I109)</x:f>
        <x:v>3368700</x:v>
      </x:c>
      <x:c r="K109" s="75" t="n">
        <x:f>IF(Portfolio_Par&gt;0,J109/Portfolio_Par,"")</x:f>
        <x:v>0.011229</x:v>
      </x:c>
      <x:c r="L109" s="150" t="str">
        <x:v>SYN-OB-0025, SYN-OB-0207, SYN-OB-0227</x:v>
      </x:c>
    </x:row>
    <x:row r="110" ht="39" customHeight="1">
      <x:c r="A110" s="150"/>
      <x:c r="B110" s="150"/>
      <x:c r="C110" s="154" t="str">
        <x:v>alternative_industry</x:v>
      </x:c>
      <x:c r="D110" s="154" t="str">
        <x:v>BBB+ through CCC-</x:v>
      </x:c>
      <x:c r="E110" s="154" t="str">
        <x:v>Broadline retail</x:v>
      </x:c>
      <x:c r="F110" s="150" t="n">
        <x:v>12</x:v>
      </x:c>
      <x:c r="G110" s="150" t="n">
        <x:v>3</x:v>
      </x:c>
      <x:c r="H110" s="178" t="n">
        <x:v>3546000</x:v>
      </x:c>
      <x:c r="I110" s="163" t="n">
        <x:v>0.05</x:v>
      </x:c>
      <x:c r="J110" s="80" t="n">
        <x:f>H110*(1-I110)</x:f>
        <x:v>3368700</x:v>
      </x:c>
      <x:c r="K110" s="75" t="n">
        <x:f>IF(Portfolio_Par&gt;0,J110/Portfolio_Par,"")</x:f>
        <x:v>0.011229</x:v>
      </x:c>
      <x:c r="L110" s="150" t="str">
        <x:v>SYN-OB-0025, SYN-OB-0207, SYN-OB-0227</x:v>
      </x:c>
    </x:row>
    <x:row r="111" ht="39" customHeight="1">
      <x:c r="A111" s="150"/>
      <x:c r="B111" s="150"/>
      <x:c r="C111" s="154" t="str">
        <x:v>alternative_industry</x:v>
      </x:c>
      <x:c r="D111" s="154" t="str">
        <x:v>BB+ through CCC-</x:v>
      </x:c>
      <x:c r="E111" s="154" t="str">
        <x:v>Broadline retail</x:v>
      </x:c>
      <x:c r="F111" s="150" t="n">
        <x:v>16</x:v>
      </x:c>
      <x:c r="G111" s="150" t="n">
        <x:v>3</x:v>
      </x:c>
      <x:c r="H111" s="178" t="n">
        <x:v>3546000</x:v>
      </x:c>
      <x:c r="I111" s="163" t="n">
        <x:v>0.05</x:v>
      </x:c>
      <x:c r="J111" s="80" t="n">
        <x:f>H111*(1-I111)</x:f>
        <x:v>3368700</x:v>
      </x:c>
      <x:c r="K111" s="75" t="n">
        <x:f>IF(Portfolio_Par&gt;0,J111/Portfolio_Par,"")</x:f>
        <x:v>0.011229</x:v>
      </x:c>
      <x:c r="L111" s="150" t="str">
        <x:v>SYN-OB-0025, SYN-OB-0207, SYN-OB-0227</x:v>
      </x:c>
    </x:row>
    <x:row r="112" ht="39" customHeight="1">
      <x:c r="A112" s="150"/>
      <x:c r="B112" s="150"/>
      <x:c r="C112" s="154" t="str">
        <x:v>alternative_industry</x:v>
      </x:c>
      <x:c r="D112" s="154" t="str">
        <x:v>B+ through CCC-</x:v>
      </x:c>
      <x:c r="E112" s="154" t="str">
        <x:v>Broadline retail</x:v>
      </x:c>
      <x:c r="F112" s="150" t="n">
        <x:v>20</x:v>
      </x:c>
      <x:c r="G112" s="150" t="n">
        <x:v>0</x:v>
      </x:c>
      <x:c r="H112" s="178" t="n">
        <x:v>0</x:v>
      </x:c>
      <x:c r="I112" s="163" t="n">
        <x:v>0.05</x:v>
      </x:c>
      <x:c r="J112" s="80" t="n">
        <x:f>H112*(1-I112)</x:f>
        <x:v>0</x:v>
      </x:c>
      <x:c r="K112" s="75" t="n">
        <x:f>IF(Portfolio_Par&gt;0,J112/Portfolio_Par,"")</x:f>
        <x:v>0</x:v>
      </x:c>
      <x:c r="L112" s="150" t="str"/>
    </x:row>
    <x:row r="113" ht="39" customHeight="1">
      <x:c r="A113" s="150"/>
      <x:c r="B113" s="150"/>
      <x:c r="C113" s="154" t="str">
        <x:v>alternative_industry</x:v>
      </x:c>
      <x:c r="D113" s="154" t="str">
        <x:v>CCC+ through CCC-</x:v>
      </x:c>
      <x:c r="E113" s="154" t="str">
        <x:v>Broadline retail</x:v>
      </x:c>
      <x:c r="F113" s="150" t="n">
        <x:v>24</x:v>
      </x:c>
      <x:c r="G113" s="150" t="n">
        <x:v>0</x:v>
      </x:c>
      <x:c r="H113" s="178" t="n">
        <x:v>0</x:v>
      </x:c>
      <x:c r="I113" s="163" t="n">
        <x:v>0.05</x:v>
      </x:c>
      <x:c r="J113" s="80" t="n">
        <x:f>H113*(1-I113)</x:f>
        <x:v>0</x:v>
      </x:c>
      <x:c r="K113" s="75" t="n">
        <x:f>IF(Portfolio_Par&gt;0,J113/Portfolio_Par,"")</x:f>
        <x:v>0</x:v>
      </x:c>
      <x:c r="L113" s="150" t="str"/>
    </x:row>
    <x:row r="114" ht="39" customHeight="1">
      <x:c r="A114" s="150"/>
      <x:c r="B114" s="150"/>
      <x:c r="C114" s="154" t="str">
        <x:v>alternative_industry</x:v>
      </x:c>
      <x:c r="D114" s="154" t="str">
        <x:v>AAA through CCC-</x:v>
      </x:c>
      <x:c r="E114" s="154" t="str">
        <x:v>Building Products</x:v>
      </x:c>
      <x:c r="F114" s="150" t="n">
        <x:v>4</x:v>
      </x:c>
      <x:c r="G114" s="150" t="n">
        <x:v>4</x:v>
      </x:c>
      <x:c r="H114" s="178" t="n">
        <x:v>4728000</x:v>
      </x:c>
      <x:c r="I114" s="163" t="n">
        <x:v>0.05</x:v>
      </x:c>
      <x:c r="J114" s="80" t="n">
        <x:f>H114*(1-I114)</x:f>
        <x:v>4491600</x:v>
      </x:c>
      <x:c r="K114" s="75" t="n">
        <x:f>IF(Portfolio_Par&gt;0,J114/Portfolio_Par,"")</x:f>
        <x:v>0.014972</x:v>
      </x:c>
      <x:c r="L114" s="150" t="str">
        <x:v>SYN-OB-0007, SYN-OB-0034, SYN-OB-0085, SYN-OB-0180</x:v>
      </x:c>
    </x:row>
    <x:row r="115" ht="39" customHeight="1">
      <x:c r="A115" s="150"/>
      <x:c r="B115" s="150"/>
      <x:c r="C115" s="154" t="str">
        <x:v>alternative_industry</x:v>
      </x:c>
      <x:c r="D115" s="154" t="str">
        <x:v>AA+ through CCC-</x:v>
      </x:c>
      <x:c r="E115" s="154" t="str">
        <x:v>Building Products</x:v>
      </x:c>
      <x:c r="F115" s="150" t="n">
        <x:v>6</x:v>
      </x:c>
      <x:c r="G115" s="150" t="n">
        <x:v>6</x:v>
      </x:c>
      <x:c r="H115" s="178" t="n">
        <x:v>6540000</x:v>
      </x:c>
      <x:c r="I115" s="163" t="n">
        <x:v>0.05</x:v>
      </x:c>
      <x:c r="J115" s="80" t="n">
        <x:f>H115*(1-I115)</x:f>
        <x:v>6213000</x:v>
      </x:c>
      <x:c r="K115" s="75" t="n">
        <x:f>IF(Portfolio_Par&gt;0,J115/Portfolio_Par,"")</x:f>
        <x:v>0.02071</x:v>
      </x:c>
      <x:c r="L115" s="150" t="str">
        <x:v>SYN-OB-0007, SYN-OB-0034, SYN-OB-0085, SYN-OB-0180, SYN-OB-0203, SYN-OB-0072</x:v>
      </x:c>
    </x:row>
    <x:row r="116" ht="39" customHeight="1">
      <x:c r="A116" s="150"/>
      <x:c r="B116" s="150"/>
      <x:c r="C116" s="154" t="str">
        <x:v>alternative_industry</x:v>
      </x:c>
      <x:c r="D116" s="154" t="str">
        <x:v>A+ through CCC-</x:v>
      </x:c>
      <x:c r="E116" s="154" t="str">
        <x:v>Building Products</x:v>
      </x:c>
      <x:c r="F116" s="150" t="n">
        <x:v>8</x:v>
      </x:c>
      <x:c r="G116" s="150" t="n">
        <x:v>6</x:v>
      </x:c>
      <x:c r="H116" s="178" t="n">
        <x:v>6540000</x:v>
      </x:c>
      <x:c r="I116" s="163" t="n">
        <x:v>0.05</x:v>
      </x:c>
      <x:c r="J116" s="80" t="n">
        <x:f>H116*(1-I116)</x:f>
        <x:v>6213000</x:v>
      </x:c>
      <x:c r="K116" s="75" t="n">
        <x:f>IF(Portfolio_Par&gt;0,J116/Portfolio_Par,"")</x:f>
        <x:v>0.02071</x:v>
      </x:c>
      <x:c r="L116" s="150" t="str">
        <x:v>SYN-OB-0007, SYN-OB-0034, SYN-OB-0085, SYN-OB-0180, SYN-OB-0203, SYN-OB-0072</x:v>
      </x:c>
    </x:row>
    <x:row r="117" ht="39" customHeight="1">
      <x:c r="A117" s="150"/>
      <x:c r="B117" s="150"/>
      <x:c r="C117" s="154" t="str">
        <x:v>alternative_industry</x:v>
      </x:c>
      <x:c r="D117" s="154" t="str">
        <x:v>BBB+ through CCC-</x:v>
      </x:c>
      <x:c r="E117" s="154" t="str">
        <x:v>Building Products</x:v>
      </x:c>
      <x:c r="F117" s="150" t="n">
        <x:v>12</x:v>
      </x:c>
      <x:c r="G117" s="150" t="n">
        <x:v>5</x:v>
      </x:c>
      <x:c r="H117" s="178" t="n">
        <x:v>5910000</x:v>
      </x:c>
      <x:c r="I117" s="163" t="n">
        <x:v>0.05</x:v>
      </x:c>
      <x:c r="J117" s="80" t="n">
        <x:f>H117*(1-I117)</x:f>
        <x:v>5614500</x:v>
      </x:c>
      <x:c r="K117" s="75" t="n">
        <x:f>IF(Portfolio_Par&gt;0,J117/Portfolio_Par,"")</x:f>
        <x:v>0.018715</x:v>
      </x:c>
      <x:c r="L117" s="150" t="str">
        <x:v>SYN-OB-0007, SYN-OB-0034, SYN-OB-0085, SYN-OB-0180, SYN-OB-0203</x:v>
      </x:c>
    </x:row>
    <x:row r="118" ht="39" customHeight="1">
      <x:c r="A118" s="150"/>
      <x:c r="B118" s="150"/>
      <x:c r="C118" s="154" t="str">
        <x:v>alternative_industry</x:v>
      </x:c>
      <x:c r="D118" s="154" t="str">
        <x:v>BB+ through CCC-</x:v>
      </x:c>
      <x:c r="E118" s="154" t="str">
        <x:v>Building Products</x:v>
      </x:c>
      <x:c r="F118" s="150" t="n">
        <x:v>16</x:v>
      </x:c>
      <x:c r="G118" s="150" t="n">
        <x:v>5</x:v>
      </x:c>
      <x:c r="H118" s="178" t="n">
        <x:v>5910000</x:v>
      </x:c>
      <x:c r="I118" s="163" t="n">
        <x:v>0.05</x:v>
      </x:c>
      <x:c r="J118" s="80" t="n">
        <x:f>H118*(1-I118)</x:f>
        <x:v>5614500</x:v>
      </x:c>
      <x:c r="K118" s="75" t="n">
        <x:f>IF(Portfolio_Par&gt;0,J118/Portfolio_Par,"")</x:f>
        <x:v>0.018715</x:v>
      </x:c>
      <x:c r="L118" s="150" t="str">
        <x:v>SYN-OB-0007, SYN-OB-0034, SYN-OB-0085, SYN-OB-0180, SYN-OB-0203</x:v>
      </x:c>
    </x:row>
    <x:row r="119" ht="39" customHeight="1">
      <x:c r="A119" s="150"/>
      <x:c r="B119" s="150"/>
      <x:c r="C119" s="154" t="str">
        <x:v>alternative_industry</x:v>
      </x:c>
      <x:c r="D119" s="154" t="str">
        <x:v>B+ through CCC-</x:v>
      </x:c>
      <x:c r="E119" s="154" t="str">
        <x:v>Building Products</x:v>
      </x:c>
      <x:c r="F119" s="150" t="n">
        <x:v>20</x:v>
      </x:c>
      <x:c r="G119" s="150" t="n">
        <x:v>5</x:v>
      </x:c>
      <x:c r="H119" s="178" t="n">
        <x:v>5910000</x:v>
      </x:c>
      <x:c r="I119" s="163" t="n">
        <x:v>0.05</x:v>
      </x:c>
      <x:c r="J119" s="80" t="n">
        <x:f>H119*(1-I119)</x:f>
        <x:v>5614500</x:v>
      </x:c>
      <x:c r="K119" s="75" t="n">
        <x:f>IF(Portfolio_Par&gt;0,J119/Portfolio_Par,"")</x:f>
        <x:v>0.018715</x:v>
      </x:c>
      <x:c r="L119" s="150" t="str">
        <x:v>SYN-OB-0007, SYN-OB-0034, SYN-OB-0085, SYN-OB-0180, SYN-OB-0203</x:v>
      </x:c>
    </x:row>
    <x:row r="120" ht="39" customHeight="1">
      <x:c r="A120" s="150"/>
      <x:c r="B120" s="150"/>
      <x:c r="C120" s="154" t="str">
        <x:v>alternative_industry</x:v>
      </x:c>
      <x:c r="D120" s="154" t="str">
        <x:v>CCC+ through CCC-</x:v>
      </x:c>
      <x:c r="E120" s="154" t="str">
        <x:v>Building Products</x:v>
      </x:c>
      <x:c r="F120" s="150" t="n">
        <x:v>24</x:v>
      </x:c>
      <x:c r="G120" s="150" t="n">
        <x:v>0</x:v>
      </x:c>
      <x:c r="H120" s="178" t="n">
        <x:v>0</x:v>
      </x:c>
      <x:c r="I120" s="163" t="n">
        <x:v>0.05</x:v>
      </x:c>
      <x:c r="J120" s="80" t="n">
        <x:f>H120*(1-I120)</x:f>
        <x:v>0</x:v>
      </x:c>
      <x:c r="K120" s="75" t="n">
        <x:f>IF(Portfolio_Par&gt;0,J120/Portfolio_Par,"")</x:f>
        <x:v>0</x:v>
      </x:c>
      <x:c r="L120" s="150" t="str"/>
    </x:row>
    <x:row r="121" ht="39" customHeight="1">
      <x:c r="A121" s="150"/>
      <x:c r="B121" s="150"/>
      <x:c r="C121" s="154" t="str">
        <x:v>alternative_industry</x:v>
      </x:c>
      <x:c r="D121" s="154" t="str">
        <x:v>AAA through CCC-</x:v>
      </x:c>
      <x:c r="E121" s="154" t="str">
        <x:v>Capital Markets</x:v>
      </x:c>
      <x:c r="F121" s="150" t="n">
        <x:v>4</x:v>
      </x:c>
      <x:c r="G121" s="150" t="n">
        <x:v>4</x:v>
      </x:c>
      <x:c r="H121" s="178" t="n">
        <x:v>4728000</x:v>
      </x:c>
      <x:c r="I121" s="163" t="n">
        <x:v>0.05</x:v>
      </x:c>
      <x:c r="J121" s="80" t="n">
        <x:f>H121*(1-I121)</x:f>
        <x:v>4491600</x:v>
      </x:c>
      <x:c r="K121" s="75" t="n">
        <x:f>IF(Portfolio_Par&gt;0,J121/Portfolio_Par,"")</x:f>
        <x:v>0.014972</x:v>
      </x:c>
      <x:c r="L121" s="150" t="str">
        <x:v>SYN-OB-0020, SYN-OB-0163, SYN-OB-0188, SYN-OB-0210</x:v>
      </x:c>
    </x:row>
    <x:row r="122" ht="39" customHeight="1">
      <x:c r="A122" s="150"/>
      <x:c r="B122" s="150"/>
      <x:c r="C122" s="154" t="str">
        <x:v>alternative_industry</x:v>
      </x:c>
      <x:c r="D122" s="154" t="str">
        <x:v>AA+ through CCC-</x:v>
      </x:c>
      <x:c r="E122" s="154" t="str">
        <x:v>Capital Markets</x:v>
      </x:c>
      <x:c r="F122" s="150" t="n">
        <x:v>6</x:v>
      </x:c>
      <x:c r="G122" s="150" t="n">
        <x:v>5</x:v>
      </x:c>
      <x:c r="H122" s="178" t="n">
        <x:v>5910000</x:v>
      </x:c>
      <x:c r="I122" s="163" t="n">
        <x:v>0.05</x:v>
      </x:c>
      <x:c r="J122" s="80" t="n">
        <x:f>H122*(1-I122)</x:f>
        <x:v>5614500</x:v>
      </x:c>
      <x:c r="K122" s="75" t="n">
        <x:f>IF(Portfolio_Par&gt;0,J122/Portfolio_Par,"")</x:f>
        <x:v>0.018715</x:v>
      </x:c>
      <x:c r="L122" s="150" t="str">
        <x:v>SYN-OB-0020, SYN-OB-0163, SYN-OB-0188, SYN-OB-0210, SYN-OB-0217</x:v>
      </x:c>
    </x:row>
    <x:row r="123" ht="39" customHeight="1">
      <x:c r="A123" s="150"/>
      <x:c r="B123" s="150"/>
      <x:c r="C123" s="154" t="str">
        <x:v>alternative_industry</x:v>
      </x:c>
      <x:c r="D123" s="154" t="str">
        <x:v>A+ through CCC-</x:v>
      </x:c>
      <x:c r="E123" s="154" t="str">
        <x:v>Capital Markets</x:v>
      </x:c>
      <x:c r="F123" s="150" t="n">
        <x:v>8</x:v>
      </x:c>
      <x:c r="G123" s="150" t="n">
        <x:v>5</x:v>
      </x:c>
      <x:c r="H123" s="178" t="n">
        <x:v>5910000</x:v>
      </x:c>
      <x:c r="I123" s="163" t="n">
        <x:v>0.05</x:v>
      </x:c>
      <x:c r="J123" s="80" t="n">
        <x:f>H123*(1-I123)</x:f>
        <x:v>5614500</x:v>
      </x:c>
      <x:c r="K123" s="75" t="n">
        <x:f>IF(Portfolio_Par&gt;0,J123/Portfolio_Par,"")</x:f>
        <x:v>0.018715</x:v>
      </x:c>
      <x:c r="L123" s="150" t="str">
        <x:v>SYN-OB-0020, SYN-OB-0163, SYN-OB-0188, SYN-OB-0210, SYN-OB-0217</x:v>
      </x:c>
    </x:row>
    <x:row r="124" ht="39" customHeight="1">
      <x:c r="A124" s="150"/>
      <x:c r="B124" s="150"/>
      <x:c r="C124" s="154" t="str">
        <x:v>alternative_industry</x:v>
      </x:c>
      <x:c r="D124" s="154" t="str">
        <x:v>BBB+ through CCC-</x:v>
      </x:c>
      <x:c r="E124" s="154" t="str">
        <x:v>Capital Markets</x:v>
      </x:c>
      <x:c r="F124" s="150" t="n">
        <x:v>12</x:v>
      </x:c>
      <x:c r="G124" s="150" t="n">
        <x:v>5</x:v>
      </x:c>
      <x:c r="H124" s="178" t="n">
        <x:v>5910000</x:v>
      </x:c>
      <x:c r="I124" s="163" t="n">
        <x:v>0.05</x:v>
      </x:c>
      <x:c r="J124" s="80" t="n">
        <x:f>H124*(1-I124)</x:f>
        <x:v>5614500</x:v>
      </x:c>
      <x:c r="K124" s="75" t="n">
        <x:f>IF(Portfolio_Par&gt;0,J124/Portfolio_Par,"")</x:f>
        <x:v>0.018715</x:v>
      </x:c>
      <x:c r="L124" s="150" t="str">
        <x:v>SYN-OB-0020, SYN-OB-0163, SYN-OB-0188, SYN-OB-0210, SYN-OB-0217</x:v>
      </x:c>
    </x:row>
    <x:row r="125" ht="39" customHeight="1">
      <x:c r="A125" s="150"/>
      <x:c r="B125" s="150"/>
      <x:c r="C125" s="154" t="str">
        <x:v>alternative_industry</x:v>
      </x:c>
      <x:c r="D125" s="154" t="str">
        <x:v>BB+ through CCC-</x:v>
      </x:c>
      <x:c r="E125" s="154" t="str">
        <x:v>Capital Markets</x:v>
      </x:c>
      <x:c r="F125" s="150" t="n">
        <x:v>16</x:v>
      </x:c>
      <x:c r="G125" s="150" t="n">
        <x:v>4</x:v>
      </x:c>
      <x:c r="H125" s="178" t="n">
        <x:v>4728000</x:v>
      </x:c>
      <x:c r="I125" s="163" t="n">
        <x:v>0.05</x:v>
      </x:c>
      <x:c r="J125" s="80" t="n">
        <x:f>H125*(1-I125)</x:f>
        <x:v>4491600</x:v>
      </x:c>
      <x:c r="K125" s="75" t="n">
        <x:f>IF(Portfolio_Par&gt;0,J125/Portfolio_Par,"")</x:f>
        <x:v>0.014972</x:v>
      </x:c>
      <x:c r="L125" s="150" t="str">
        <x:v>SYN-OB-0163, SYN-OB-0188, SYN-OB-0210, SYN-OB-0217</x:v>
      </x:c>
    </x:row>
    <x:row r="126" ht="39" customHeight="1">
      <x:c r="A126" s="150"/>
      <x:c r="B126" s="150"/>
      <x:c r="C126" s="154" t="str">
        <x:v>alternative_industry</x:v>
      </x:c>
      <x:c r="D126" s="154" t="str">
        <x:v>B+ through CCC-</x:v>
      </x:c>
      <x:c r="E126" s="154" t="str">
        <x:v>Capital Markets</x:v>
      </x:c>
      <x:c r="F126" s="150" t="n">
        <x:v>20</x:v>
      </x:c>
      <x:c r="G126" s="150" t="n">
        <x:v>3</x:v>
      </x:c>
      <x:c r="H126" s="178" t="n">
        <x:v>3546000</x:v>
      </x:c>
      <x:c r="I126" s="163" t="n">
        <x:v>0.05</x:v>
      </x:c>
      <x:c r="J126" s="80" t="n">
        <x:f>H126*(1-I126)</x:f>
        <x:v>3368700</x:v>
      </x:c>
      <x:c r="K126" s="75" t="n">
        <x:f>IF(Portfolio_Par&gt;0,J126/Portfolio_Par,"")</x:f>
        <x:v>0.011229</x:v>
      </x:c>
      <x:c r="L126" s="150" t="str">
        <x:v>SYN-OB-0163, SYN-OB-0188, SYN-OB-0217</x:v>
      </x:c>
    </x:row>
    <x:row r="127" ht="39" customHeight="1">
      <x:c r="A127" s="150"/>
      <x:c r="B127" s="150"/>
      <x:c r="C127" s="154" t="str">
        <x:v>alternative_industry</x:v>
      </x:c>
      <x:c r="D127" s="154" t="str">
        <x:v>CCC+ through CCC-</x:v>
      </x:c>
      <x:c r="E127" s="154" t="str">
        <x:v>Capital Markets</x:v>
      </x:c>
      <x:c r="F127" s="150" t="n">
        <x:v>24</x:v>
      </x:c>
      <x:c r="G127" s="150" t="n">
        <x:v>0</x:v>
      </x:c>
      <x:c r="H127" s="178" t="n">
        <x:v>0</x:v>
      </x:c>
      <x:c r="I127" s="163" t="n">
        <x:v>0.05</x:v>
      </x:c>
      <x:c r="J127" s="80" t="n">
        <x:f>H127*(1-I127)</x:f>
        <x:v>0</x:v>
      </x:c>
      <x:c r="K127" s="75" t="n">
        <x:f>IF(Portfolio_Par&gt;0,J127/Portfolio_Par,"")</x:f>
        <x:v>0</x:v>
      </x:c>
      <x:c r="L127" s="150" t="str"/>
    </x:row>
    <x:row r="128" ht="39" customHeight="1">
      <x:c r="A128" s="150"/>
      <x:c r="B128" s="150"/>
      <x:c r="C128" s="154" t="str">
        <x:v>alternative_industry</x:v>
      </x:c>
      <x:c r="D128" s="154" t="str">
        <x:v>AAA through CCC-</x:v>
      </x:c>
      <x:c r="E128" s="154" t="str">
        <x:v>Chemicals</x:v>
      </x:c>
      <x:c r="F128" s="150" t="n">
        <x:v>4</x:v>
      </x:c>
      <x:c r="G128" s="150" t="n">
        <x:v>4</x:v>
      </x:c>
      <x:c r="H128" s="178" t="n">
        <x:v>4728000</x:v>
      </x:c>
      <x:c r="I128" s="163" t="n">
        <x:v>0.05</x:v>
      </x:c>
      <x:c r="J128" s="80" t="n">
        <x:f>H128*(1-I128)</x:f>
        <x:v>4491600</x:v>
      </x:c>
      <x:c r="K128" s="75" t="n">
        <x:f>IF(Portfolio_Par&gt;0,J128/Portfolio_Par,"")</x:f>
        <x:v>0.014972</x:v>
      </x:c>
      <x:c r="L128" s="150" t="str">
        <x:v>SYN-OB-0006, SYN-OB-0068, SYN-OB-0110, SYN-OB-0116</x:v>
      </x:c>
    </x:row>
    <x:row r="129" ht="39" customHeight="1">
      <x:c r="A129" s="150"/>
      <x:c r="B129" s="150"/>
      <x:c r="C129" s="154" t="str">
        <x:v>alternative_industry</x:v>
      </x:c>
      <x:c r="D129" s="154" t="str">
        <x:v>AA+ through CCC-</x:v>
      </x:c>
      <x:c r="E129" s="154" t="str">
        <x:v>Chemicals</x:v>
      </x:c>
      <x:c r="F129" s="150" t="n">
        <x:v>6</x:v>
      </x:c>
      <x:c r="G129" s="150" t="n">
        <x:v>6</x:v>
      </x:c>
      <x:c r="H129" s="178" t="n">
        <x:v>7092000</x:v>
      </x:c>
      <x:c r="I129" s="163" t="n">
        <x:v>0.05</x:v>
      </x:c>
      <x:c r="J129" s="80" t="n">
        <x:f>H129*(1-I129)</x:f>
        <x:v>6737400</x:v>
      </x:c>
      <x:c r="K129" s="75" t="n">
        <x:f>IF(Portfolio_Par&gt;0,J129/Portfolio_Par,"")</x:f>
        <x:v>0.022458</x:v>
      </x:c>
      <x:c r="L129" s="150" t="str">
        <x:v>SYN-OB-0006, SYN-OB-0068, SYN-OB-0110, SYN-OB-0116, SYN-OB-0130, SYN-OB-0131</x:v>
      </x:c>
    </x:row>
    <x:row r="130" ht="39" customHeight="1">
      <x:c r="A130" s="150"/>
      <x:c r="B130" s="150"/>
      <x:c r="C130" s="154" t="str">
        <x:v>alternative_industry</x:v>
      </x:c>
      <x:c r="D130" s="154" t="str">
        <x:v>A+ through CCC-</x:v>
      </x:c>
      <x:c r="E130" s="154" t="str">
        <x:v>Chemicals</x:v>
      </x:c>
      <x:c r="F130" s="150" t="n">
        <x:v>8</x:v>
      </x:c>
      <x:c r="G130" s="150" t="n">
        <x:v>8</x:v>
      </x:c>
      <x:c r="H130" s="178" t="n">
        <x:v>9456000</x:v>
      </x:c>
      <x:c r="I130" s="163" t="n">
        <x:v>0.05</x:v>
      </x:c>
      <x:c r="J130" s="80" t="n">
        <x:f>H130*(1-I130)</x:f>
        <x:v>8983200</x:v>
      </x:c>
      <x:c r="K130" s="75" t="n">
        <x:f>IF(Portfolio_Par&gt;0,J130/Portfolio_Par,"")</x:f>
        <x:v>0.029944</x:v>
      </x:c>
      <x:c r="L130" s="150" t="str">
        <x:v>SYN-OB-0006, SYN-OB-0068, SYN-OB-0110, SYN-OB-0116, SYN-OB-0130, SYN-OB-0131, SYN-OB-0153, SYN-OB-0159</x:v>
      </x:c>
    </x:row>
    <x:row r="131" ht="39" customHeight="1">
      <x:c r="A131" s="150"/>
      <x:c r="B131" s="150"/>
      <x:c r="C131" s="154" t="str">
        <x:v>alternative_industry</x:v>
      </x:c>
      <x:c r="D131" s="154" t="str">
        <x:v>BBB+ through CCC-</x:v>
      </x:c>
      <x:c r="E131" s="154" t="str">
        <x:v>Chemicals</x:v>
      </x:c>
      <x:c r="F131" s="150" t="n">
        <x:v>12</x:v>
      </x:c>
      <x:c r="G131" s="150" t="n">
        <x:v>11</x:v>
      </x:c>
      <x:c r="H131" s="178" t="n">
        <x:v>13002000</x:v>
      </x:c>
      <x:c r="I131" s="163" t="n">
        <x:v>0.05</x:v>
      </x:c>
      <x:c r="J131" s="80" t="n">
        <x:f>H131*(1-I131)</x:f>
        <x:v>12351900</x:v>
      </x:c>
      <x:c r="K131" s="75" t="n">
        <x:f>IF(Portfolio_Par&gt;0,J131/Portfolio_Par,"")</x:f>
        <x:v>0.041173</x:v>
      </x:c>
      <x:c r="L131" s="150" t="str">
        <x:v>SYN-OB-0006, SYN-OB-0068, SYN-OB-0110, SYN-OB-0116, SYN-OB-0130, SYN-OB-0131, SYN-OB-0153, SYN-OB-0159, SYN-OB-0169, SYN-OB-0183, SYN-OB-0238</x:v>
      </x:c>
    </x:row>
    <x:row r="132" ht="39" customHeight="1">
      <x:c r="A132" s="150"/>
      <x:c r="B132" s="150"/>
      <x:c r="C132" s="154" t="str">
        <x:v>alternative_industry</x:v>
      </x:c>
      <x:c r="D132" s="154" t="str">
        <x:v>BB+ through CCC-</x:v>
      </x:c>
      <x:c r="E132" s="154" t="str">
        <x:v>Chemicals</x:v>
      </x:c>
      <x:c r="F132" s="150" t="n">
        <x:v>16</x:v>
      </x:c>
      <x:c r="G132" s="150" t="n">
        <x:v>11</x:v>
      </x:c>
      <x:c r="H132" s="178" t="n">
        <x:v>13002000</x:v>
      </x:c>
      <x:c r="I132" s="163" t="n">
        <x:v>0.05</x:v>
      </x:c>
      <x:c r="J132" s="80" t="n">
        <x:f>H132*(1-I132)</x:f>
        <x:v>12351900</x:v>
      </x:c>
      <x:c r="K132" s="75" t="n">
        <x:f>IF(Portfolio_Par&gt;0,J132/Portfolio_Par,"")</x:f>
        <x:v>0.041173</x:v>
      </x:c>
      <x:c r="L132" s="150" t="str">
        <x:v>SYN-OB-0006, SYN-OB-0068, SYN-OB-0110, SYN-OB-0116, SYN-OB-0130, SYN-OB-0131, SYN-OB-0153, SYN-OB-0159, SYN-OB-0169, SYN-OB-0183, SYN-OB-0238</x:v>
      </x:c>
    </x:row>
    <x:row r="133" ht="39" customHeight="1">
      <x:c r="A133" s="150"/>
      <x:c r="B133" s="150"/>
      <x:c r="C133" s="154" t="str">
        <x:v>alternative_industry</x:v>
      </x:c>
      <x:c r="D133" s="154" t="str">
        <x:v>B+ through CCC-</x:v>
      </x:c>
      <x:c r="E133" s="154" t="str">
        <x:v>Chemicals</x:v>
      </x:c>
      <x:c r="F133" s="150" t="n">
        <x:v>20</x:v>
      </x:c>
      <x:c r="G133" s="150" t="n">
        <x:v>11</x:v>
      </x:c>
      <x:c r="H133" s="178" t="n">
        <x:v>13002000</x:v>
      </x:c>
      <x:c r="I133" s="163" t="n">
        <x:v>0.05</x:v>
      </x:c>
      <x:c r="J133" s="80" t="n">
        <x:f>H133*(1-I133)</x:f>
        <x:v>12351900</x:v>
      </x:c>
      <x:c r="K133" s="75" t="n">
        <x:f>IF(Portfolio_Par&gt;0,J133/Portfolio_Par,"")</x:f>
        <x:v>0.041173</x:v>
      </x:c>
      <x:c r="L133" s="150" t="str">
        <x:v>SYN-OB-0006, SYN-OB-0068, SYN-OB-0110, SYN-OB-0116, SYN-OB-0130, SYN-OB-0131, SYN-OB-0153, SYN-OB-0159, SYN-OB-0169, SYN-OB-0183, SYN-OB-0238</x:v>
      </x:c>
    </x:row>
    <x:row r="134" ht="39" customHeight="1">
      <x:c r="A134" s="150"/>
      <x:c r="B134" s="150"/>
      <x:c r="C134" s="154" t="str">
        <x:v>alternative_industry</x:v>
      </x:c>
      <x:c r="D134" s="154" t="str">
        <x:v>CCC+ through CCC-</x:v>
      </x:c>
      <x:c r="E134" s="154" t="str">
        <x:v>Chemicals</x:v>
      </x:c>
      <x:c r="F134" s="150" t="n">
        <x:v>24</x:v>
      </x:c>
      <x:c r="G134" s="150" t="n">
        <x:v>0</x:v>
      </x:c>
      <x:c r="H134" s="178" t="n">
        <x:v>0</x:v>
      </x:c>
      <x:c r="I134" s="163" t="n">
        <x:v>0.05</x:v>
      </x:c>
      <x:c r="J134" s="80" t="n">
        <x:f>H134*(1-I134)</x:f>
        <x:v>0</x:v>
      </x:c>
      <x:c r="K134" s="75" t="n">
        <x:f>IF(Portfolio_Par&gt;0,J134/Portfolio_Par,"")</x:f>
        <x:v>0</x:v>
      </x:c>
      <x:c r="L134" s="150" t="str"/>
    </x:row>
    <x:row r="135" ht="39" customHeight="1">
      <x:c r="A135" s="150"/>
      <x:c r="B135" s="150"/>
      <x:c r="C135" s="154" t="str">
        <x:v>alternative_industry</x:v>
      </x:c>
      <x:c r="D135" s="154" t="str">
        <x:v>AAA through CCC-</x:v>
      </x:c>
      <x:c r="E135" s="154" t="str">
        <x:v>Commercial Services &amp; Supplies</x:v>
      </x:c>
      <x:c r="F135" s="150" t="n">
        <x:v>4</x:v>
      </x:c>
      <x:c r="G135" s="150" t="n">
        <x:v>4</x:v>
      </x:c>
      <x:c r="H135" s="178" t="n">
        <x:v>4728000</x:v>
      </x:c>
      <x:c r="I135" s="163" t="n">
        <x:v>0.05</x:v>
      </x:c>
      <x:c r="J135" s="80" t="n">
        <x:f>H135*(1-I135)</x:f>
        <x:v>4491600</x:v>
      </x:c>
      <x:c r="K135" s="75" t="n">
        <x:f>IF(Portfolio_Par&gt;0,J135/Portfolio_Par,"")</x:f>
        <x:v>0.014972</x:v>
      </x:c>
      <x:c r="L135" s="150" t="str">
        <x:v>SYN-OB-0010, SYN-OB-0011, SYN-OB-0081, SYN-OB-0089</x:v>
      </x:c>
    </x:row>
    <x:row r="136" ht="39" customHeight="1">
      <x:c r="A136" s="150"/>
      <x:c r="B136" s="150"/>
      <x:c r="C136" s="154" t="str">
        <x:v>alternative_industry</x:v>
      </x:c>
      <x:c r="D136" s="154" t="str">
        <x:v>AA+ through CCC-</x:v>
      </x:c>
      <x:c r="E136" s="154" t="str">
        <x:v>Commercial Services &amp; Supplies</x:v>
      </x:c>
      <x:c r="F136" s="150" t="n">
        <x:v>6</x:v>
      </x:c>
      <x:c r="G136" s="150" t="n">
        <x:v>6</x:v>
      </x:c>
      <x:c r="H136" s="178" t="n">
        <x:v>7092000</x:v>
      </x:c>
      <x:c r="I136" s="163" t="n">
        <x:v>0.05</x:v>
      </x:c>
      <x:c r="J136" s="80" t="n">
        <x:f>H136*(1-I136)</x:f>
        <x:v>6737400</x:v>
      </x:c>
      <x:c r="K136" s="75" t="n">
        <x:f>IF(Portfolio_Par&gt;0,J136/Portfolio_Par,"")</x:f>
        <x:v>0.022458</x:v>
      </x:c>
      <x:c r="L136" s="150" t="str">
        <x:v>SYN-OB-0010, SYN-OB-0011, SYN-OB-0081, SYN-OB-0089, SYN-OB-0132, SYN-OB-0253</x:v>
      </x:c>
    </x:row>
    <x:row r="137" ht="39" customHeight="1">
      <x:c r="A137" s="150"/>
      <x:c r="B137" s="150"/>
      <x:c r="C137" s="154" t="str">
        <x:v>alternative_industry</x:v>
      </x:c>
      <x:c r="D137" s="154" t="str">
        <x:v>A+ through CCC-</x:v>
      </x:c>
      <x:c r="E137" s="154" t="str">
        <x:v>Commercial Services &amp; Supplies</x:v>
      </x:c>
      <x:c r="F137" s="150" t="n">
        <x:v>8</x:v>
      </x:c>
      <x:c r="G137" s="150" t="n">
        <x:v>6</x:v>
      </x:c>
      <x:c r="H137" s="178" t="n">
        <x:v>7092000</x:v>
      </x:c>
      <x:c r="I137" s="163" t="n">
        <x:v>0.05</x:v>
      </x:c>
      <x:c r="J137" s="80" t="n">
        <x:f>H137*(1-I137)</x:f>
        <x:v>6737400</x:v>
      </x:c>
      <x:c r="K137" s="75" t="n">
        <x:f>IF(Portfolio_Par&gt;0,J137/Portfolio_Par,"")</x:f>
        <x:v>0.022458</x:v>
      </x:c>
      <x:c r="L137" s="150" t="str">
        <x:v>SYN-OB-0010, SYN-OB-0011, SYN-OB-0081, SYN-OB-0089, SYN-OB-0132, SYN-OB-0253</x:v>
      </x:c>
    </x:row>
    <x:row r="138" ht="39" customHeight="1">
      <x:c r="A138" s="150"/>
      <x:c r="B138" s="150"/>
      <x:c r="C138" s="154" t="str">
        <x:v>alternative_industry</x:v>
      </x:c>
      <x:c r="D138" s="154" t="str">
        <x:v>BBB+ through CCC-</x:v>
      </x:c>
      <x:c r="E138" s="154" t="str">
        <x:v>Commercial Services &amp; Supplies</x:v>
      </x:c>
      <x:c r="F138" s="150" t="n">
        <x:v>12</x:v>
      </x:c>
      <x:c r="G138" s="150" t="n">
        <x:v>6</x:v>
      </x:c>
      <x:c r="H138" s="178" t="n">
        <x:v>7092000</x:v>
      </x:c>
      <x:c r="I138" s="163" t="n">
        <x:v>0.05</x:v>
      </x:c>
      <x:c r="J138" s="80" t="n">
        <x:f>H138*(1-I138)</x:f>
        <x:v>6737400</x:v>
      </x:c>
      <x:c r="K138" s="75" t="n">
        <x:f>IF(Portfolio_Par&gt;0,J138/Portfolio_Par,"")</x:f>
        <x:v>0.022458</x:v>
      </x:c>
      <x:c r="L138" s="150" t="str">
        <x:v>SYN-OB-0010, SYN-OB-0011, SYN-OB-0081, SYN-OB-0089, SYN-OB-0132, SYN-OB-0253</x:v>
      </x:c>
    </x:row>
    <x:row r="139" ht="39" customHeight="1">
      <x:c r="A139" s="150"/>
      <x:c r="B139" s="150"/>
      <x:c r="C139" s="154" t="str">
        <x:v>alternative_industry</x:v>
      </x:c>
      <x:c r="D139" s="154" t="str">
        <x:v>BB+ through CCC-</x:v>
      </x:c>
      <x:c r="E139" s="154" t="str">
        <x:v>Commercial Services &amp; Supplies</x:v>
      </x:c>
      <x:c r="F139" s="150" t="n">
        <x:v>16</x:v>
      </x:c>
      <x:c r="G139" s="150" t="n">
        <x:v>6</x:v>
      </x:c>
      <x:c r="H139" s="178" t="n">
        <x:v>7092000</x:v>
      </x:c>
      <x:c r="I139" s="163" t="n">
        <x:v>0.05</x:v>
      </x:c>
      <x:c r="J139" s="80" t="n">
        <x:f>H139*(1-I139)</x:f>
        <x:v>6737400</x:v>
      </x:c>
      <x:c r="K139" s="75" t="n">
        <x:f>IF(Portfolio_Par&gt;0,J139/Portfolio_Par,"")</x:f>
        <x:v>0.022458</x:v>
      </x:c>
      <x:c r="L139" s="150" t="str">
        <x:v>SYN-OB-0010, SYN-OB-0011, SYN-OB-0081, SYN-OB-0089, SYN-OB-0132, SYN-OB-0253</x:v>
      </x:c>
    </x:row>
    <x:row r="140" ht="39" customHeight="1">
      <x:c r="A140" s="150"/>
      <x:c r="B140" s="150"/>
      <x:c r="C140" s="154" t="str">
        <x:v>alternative_industry</x:v>
      </x:c>
      <x:c r="D140" s="154" t="str">
        <x:v>B+ through CCC-</x:v>
      </x:c>
      <x:c r="E140" s="154" t="str">
        <x:v>Commercial Services &amp; Supplies</x:v>
      </x:c>
      <x:c r="F140" s="150" t="n">
        <x:v>20</x:v>
      </x:c>
      <x:c r="G140" s="150" t="n">
        <x:v>1</x:v>
      </x:c>
      <x:c r="H140" s="178" t="n">
        <x:v>1182000</x:v>
      </x:c>
      <x:c r="I140" s="163" t="n">
        <x:v>0.05</x:v>
      </x:c>
      <x:c r="J140" s="80" t="n">
        <x:f>H140*(1-I140)</x:f>
        <x:v>1122900</x:v>
      </x:c>
      <x:c r="K140" s="75" t="n">
        <x:f>IF(Portfolio_Par&gt;0,J140/Portfolio_Par,"")</x:f>
        <x:v>0.003743</x:v>
      </x:c>
      <x:c r="L140" s="150" t="str">
        <x:v>SYN-OB-0011</x:v>
      </x:c>
    </x:row>
    <x:row r="141" ht="39" customHeight="1">
      <x:c r="A141" s="150"/>
      <x:c r="B141" s="150"/>
      <x:c r="C141" s="154" t="str">
        <x:v>alternative_industry</x:v>
      </x:c>
      <x:c r="D141" s="154" t="str">
        <x:v>CCC+ through CCC-</x:v>
      </x:c>
      <x:c r="E141" s="154" t="str">
        <x:v>Commercial Services &amp; Supplies</x:v>
      </x:c>
      <x:c r="F141" s="150" t="n">
        <x:v>24</x:v>
      </x:c>
      <x:c r="G141" s="150" t="n">
        <x:v>0</x:v>
      </x:c>
      <x:c r="H141" s="178" t="n">
        <x:v>0</x:v>
      </x:c>
      <x:c r="I141" s="163" t="n">
        <x:v>0.05</x:v>
      </x:c>
      <x:c r="J141" s="80" t="n">
        <x:f>H141*(1-I141)</x:f>
        <x:v>0</x:v>
      </x:c>
      <x:c r="K141" s="75" t="n">
        <x:f>IF(Portfolio_Par&gt;0,J141/Portfolio_Par,"")</x:f>
        <x:v>0</x:v>
      </x:c>
      <x:c r="L141" s="150" t="str"/>
    </x:row>
    <x:row r="142" ht="39" customHeight="1">
      <x:c r="A142" s="150"/>
      <x:c r="B142" s="150"/>
      <x:c r="C142" s="154" t="str">
        <x:v>alternative_industry</x:v>
      </x:c>
      <x:c r="D142" s="154" t="str">
        <x:v>AAA through CCC-</x:v>
      </x:c>
      <x:c r="E142" s="154" t="str">
        <x:v>Communications Equipment</x:v>
      </x:c>
      <x:c r="F142" s="150" t="n">
        <x:v>4</x:v>
      </x:c>
      <x:c r="G142" s="150" t="n">
        <x:v>2</x:v>
      </x:c>
      <x:c r="H142" s="178" t="n">
        <x:v>2364000</x:v>
      </x:c>
      <x:c r="I142" s="163" t="n">
        <x:v>0.05</x:v>
      </x:c>
      <x:c r="J142" s="80" t="n">
        <x:f>H142*(1-I142)</x:f>
        <x:v>2245800</x:v>
      </x:c>
      <x:c r="K142" s="75" t="n">
        <x:f>IF(Portfolio_Par&gt;0,J142/Portfolio_Par,"")</x:f>
        <x:v>0.007486</x:v>
      </x:c>
      <x:c r="L142" s="150" t="str">
        <x:v>SYN-OB-0225, SYN-OB-0265</x:v>
      </x:c>
    </x:row>
    <x:row r="143" ht="39" customHeight="1">
      <x:c r="A143" s="150"/>
      <x:c r="B143" s="150"/>
      <x:c r="C143" s="154" t="str">
        <x:v>alternative_industry</x:v>
      </x:c>
      <x:c r="D143" s="154" t="str">
        <x:v>AA+ through CCC-</x:v>
      </x:c>
      <x:c r="E143" s="154" t="str">
        <x:v>Communications Equipment</x:v>
      </x:c>
      <x:c r="F143" s="150" t="n">
        <x:v>6</x:v>
      </x:c>
      <x:c r="G143" s="150" t="n">
        <x:v>2</x:v>
      </x:c>
      <x:c r="H143" s="178" t="n">
        <x:v>2364000</x:v>
      </x:c>
      <x:c r="I143" s="163" t="n">
        <x:v>0.05</x:v>
      </x:c>
      <x:c r="J143" s="80" t="n">
        <x:f>H143*(1-I143)</x:f>
        <x:v>2245800</x:v>
      </x:c>
      <x:c r="K143" s="75" t="n">
        <x:f>IF(Portfolio_Par&gt;0,J143/Portfolio_Par,"")</x:f>
        <x:v>0.007486</x:v>
      </x:c>
      <x:c r="L143" s="150" t="str">
        <x:v>SYN-OB-0225, SYN-OB-0265</x:v>
      </x:c>
    </x:row>
    <x:row r="144" ht="39" customHeight="1">
      <x:c r="A144" s="150"/>
      <x:c r="B144" s="150"/>
      <x:c r="C144" s="154" t="str">
        <x:v>alternative_industry</x:v>
      </x:c>
      <x:c r="D144" s="154" t="str">
        <x:v>A+ through CCC-</x:v>
      </x:c>
      <x:c r="E144" s="154" t="str">
        <x:v>Communications Equipment</x:v>
      </x:c>
      <x:c r="F144" s="150" t="n">
        <x:v>8</x:v>
      </x:c>
      <x:c r="G144" s="150" t="n">
        <x:v>2</x:v>
      </x:c>
      <x:c r="H144" s="178" t="n">
        <x:v>2364000</x:v>
      </x:c>
      <x:c r="I144" s="163" t="n">
        <x:v>0.05</x:v>
      </x:c>
      <x:c r="J144" s="80" t="n">
        <x:f>H144*(1-I144)</x:f>
        <x:v>2245800</x:v>
      </x:c>
      <x:c r="K144" s="75" t="n">
        <x:f>IF(Portfolio_Par&gt;0,J144/Portfolio_Par,"")</x:f>
        <x:v>0.007486</x:v>
      </x:c>
      <x:c r="L144" s="150" t="str">
        <x:v>SYN-OB-0225, SYN-OB-0265</x:v>
      </x:c>
    </x:row>
    <x:row r="145" ht="39" customHeight="1">
      <x:c r="A145" s="150"/>
      <x:c r="B145" s="150"/>
      <x:c r="C145" s="154" t="str">
        <x:v>alternative_industry</x:v>
      </x:c>
      <x:c r="D145" s="154" t="str">
        <x:v>BBB+ through CCC-</x:v>
      </x:c>
      <x:c r="E145" s="154" t="str">
        <x:v>Communications Equipment</x:v>
      </x:c>
      <x:c r="F145" s="150" t="n">
        <x:v>12</x:v>
      </x:c>
      <x:c r="G145" s="150" t="n">
        <x:v>2</x:v>
      </x:c>
      <x:c r="H145" s="178" t="n">
        <x:v>2364000</x:v>
      </x:c>
      <x:c r="I145" s="163" t="n">
        <x:v>0.05</x:v>
      </x:c>
      <x:c r="J145" s="80" t="n">
        <x:f>H145*(1-I145)</x:f>
        <x:v>2245800</x:v>
      </x:c>
      <x:c r="K145" s="75" t="n">
        <x:f>IF(Portfolio_Par&gt;0,J145/Portfolio_Par,"")</x:f>
        <x:v>0.007486</x:v>
      </x:c>
      <x:c r="L145" s="150" t="str">
        <x:v>SYN-OB-0225, SYN-OB-0265</x:v>
      </x:c>
    </x:row>
    <x:row r="146" ht="39" customHeight="1">
      <x:c r="A146" s="150"/>
      <x:c r="B146" s="150"/>
      <x:c r="C146" s="154" t="str">
        <x:v>alternative_industry</x:v>
      </x:c>
      <x:c r="D146" s="154" t="str">
        <x:v>BB+ through CCC-</x:v>
      </x:c>
      <x:c r="E146" s="154" t="str">
        <x:v>Communications Equipment</x:v>
      </x:c>
      <x:c r="F146" s="150" t="n">
        <x:v>16</x:v>
      </x:c>
      <x:c r="G146" s="150" t="n">
        <x:v>2</x:v>
      </x:c>
      <x:c r="H146" s="178" t="n">
        <x:v>2364000</x:v>
      </x:c>
      <x:c r="I146" s="163" t="n">
        <x:v>0.05</x:v>
      </x:c>
      <x:c r="J146" s="80" t="n">
        <x:f>H146*(1-I146)</x:f>
        <x:v>2245800</x:v>
      </x:c>
      <x:c r="K146" s="75" t="n">
        <x:f>IF(Portfolio_Par&gt;0,J146/Portfolio_Par,"")</x:f>
        <x:v>0.007486</x:v>
      </x:c>
      <x:c r="L146" s="150" t="str">
        <x:v>SYN-OB-0225, SYN-OB-0265</x:v>
      </x:c>
    </x:row>
    <x:row r="147" ht="39" customHeight="1">
      <x:c r="A147" s="150"/>
      <x:c r="B147" s="150"/>
      <x:c r="C147" s="154" t="str">
        <x:v>alternative_industry</x:v>
      </x:c>
      <x:c r="D147" s="154" t="str">
        <x:v>B+ through CCC-</x:v>
      </x:c>
      <x:c r="E147" s="154" t="str">
        <x:v>Communications Equipment</x:v>
      </x:c>
      <x:c r="F147" s="150" t="n">
        <x:v>20</x:v>
      </x:c>
      <x:c r="G147" s="150" t="n">
        <x:v>1</x:v>
      </x:c>
      <x:c r="H147" s="178" t="n">
        <x:v>1182000</x:v>
      </x:c>
      <x:c r="I147" s="163" t="n">
        <x:v>0.05</x:v>
      </x:c>
      <x:c r="J147" s="80" t="n">
        <x:f>H147*(1-I147)</x:f>
        <x:v>1122900</x:v>
      </x:c>
      <x:c r="K147" s="75" t="n">
        <x:f>IF(Portfolio_Par&gt;0,J147/Portfolio_Par,"")</x:f>
        <x:v>0.003743</x:v>
      </x:c>
      <x:c r="L147" s="150" t="str">
        <x:v>SYN-OB-0265</x:v>
      </x:c>
    </x:row>
    <x:row r="148" ht="39" customHeight="1">
      <x:c r="A148" s="150"/>
      <x:c r="B148" s="150"/>
      <x:c r="C148" s="154" t="str">
        <x:v>alternative_industry</x:v>
      </x:c>
      <x:c r="D148" s="154" t="str">
        <x:v>CCC+ through CCC-</x:v>
      </x:c>
      <x:c r="E148" s="154" t="str">
        <x:v>Communications Equipment</x:v>
      </x:c>
      <x:c r="F148" s="150" t="n">
        <x:v>24</x:v>
      </x:c>
      <x:c r="G148" s="150" t="n">
        <x:v>0</x:v>
      </x:c>
      <x:c r="H148" s="178" t="n">
        <x:v>0</x:v>
      </x:c>
      <x:c r="I148" s="163" t="n">
        <x:v>0.05</x:v>
      </x:c>
      <x:c r="J148" s="80" t="n">
        <x:f>H148*(1-I148)</x:f>
        <x:v>0</x:v>
      </x:c>
      <x:c r="K148" s="75" t="n">
        <x:f>IF(Portfolio_Par&gt;0,J148/Portfolio_Par,"")</x:f>
        <x:v>0</x:v>
      </x:c>
      <x:c r="L148" s="150" t="str"/>
    </x:row>
    <x:row r="149" ht="39" customHeight="1">
      <x:c r="A149" s="150"/>
      <x:c r="B149" s="150"/>
      <x:c r="C149" s="154" t="str">
        <x:v>alternative_industry</x:v>
      </x:c>
      <x:c r="D149" s="154" t="str">
        <x:v>AAA through CCC-</x:v>
      </x:c>
      <x:c r="E149" s="154" t="str">
        <x:v>Construction &amp; Engineering</x:v>
      </x:c>
      <x:c r="F149" s="150" t="n">
        <x:v>4</x:v>
      </x:c>
      <x:c r="G149" s="150" t="n">
        <x:v>3</x:v>
      </x:c>
      <x:c r="H149" s="178" t="n">
        <x:v>2994000</x:v>
      </x:c>
      <x:c r="I149" s="163" t="n">
        <x:v>0.05</x:v>
      </x:c>
      <x:c r="J149" s="80" t="n">
        <x:f>H149*(1-I149)</x:f>
        <x:v>2844300</x:v>
      </x:c>
      <x:c r="K149" s="75" t="n">
        <x:f>IF(Portfolio_Par&gt;0,J149/Portfolio_Par,"")</x:f>
        <x:v>0.009481</x:v>
      </x:c>
      <x:c r="L149" s="150" t="str">
        <x:v>SYN-OB-0079, SYN-OB-0105, SYN-OB-0050</x:v>
      </x:c>
    </x:row>
    <x:row r="150" ht="39" customHeight="1">
      <x:c r="A150" s="150"/>
      <x:c r="B150" s="150"/>
      <x:c r="C150" s="154" t="str">
        <x:v>alternative_industry</x:v>
      </x:c>
      <x:c r="D150" s="154" t="str">
        <x:v>AA+ through CCC-</x:v>
      </x:c>
      <x:c r="E150" s="154" t="str">
        <x:v>Construction &amp; Engineering</x:v>
      </x:c>
      <x:c r="F150" s="150" t="n">
        <x:v>6</x:v>
      </x:c>
      <x:c r="G150" s="150" t="n">
        <x:v>3</x:v>
      </x:c>
      <x:c r="H150" s="178" t="n">
        <x:v>2994000</x:v>
      </x:c>
      <x:c r="I150" s="163" t="n">
        <x:v>0.05</x:v>
      </x:c>
      <x:c r="J150" s="80" t="n">
        <x:f>H150*(1-I150)</x:f>
        <x:v>2844300</x:v>
      </x:c>
      <x:c r="K150" s="75" t="n">
        <x:f>IF(Portfolio_Par&gt;0,J150/Portfolio_Par,"")</x:f>
        <x:v>0.009481</x:v>
      </x:c>
      <x:c r="L150" s="150" t="str">
        <x:v>SYN-OB-0079, SYN-OB-0105, SYN-OB-0050</x:v>
      </x:c>
    </x:row>
    <x:row r="151" ht="39" customHeight="1">
      <x:c r="A151" s="150"/>
      <x:c r="B151" s="150"/>
      <x:c r="C151" s="154" t="str">
        <x:v>alternative_industry</x:v>
      </x:c>
      <x:c r="D151" s="154" t="str">
        <x:v>A+ through CCC-</x:v>
      </x:c>
      <x:c r="E151" s="154" t="str">
        <x:v>Construction &amp; Engineering</x:v>
      </x:c>
      <x:c r="F151" s="150" t="n">
        <x:v>8</x:v>
      </x:c>
      <x:c r="G151" s="150" t="n">
        <x:v>3</x:v>
      </x:c>
      <x:c r="H151" s="178" t="n">
        <x:v>2994000</x:v>
      </x:c>
      <x:c r="I151" s="163" t="n">
        <x:v>0.05</x:v>
      </x:c>
      <x:c r="J151" s="80" t="n">
        <x:f>H151*(1-I151)</x:f>
        <x:v>2844300</x:v>
      </x:c>
      <x:c r="K151" s="75" t="n">
        <x:f>IF(Portfolio_Par&gt;0,J151/Portfolio_Par,"")</x:f>
        <x:v>0.009481</x:v>
      </x:c>
      <x:c r="L151" s="150" t="str">
        <x:v>SYN-OB-0079, SYN-OB-0105, SYN-OB-0050</x:v>
      </x:c>
    </x:row>
    <x:row r="152" ht="39" customHeight="1">
      <x:c r="A152" s="150"/>
      <x:c r="B152" s="150"/>
      <x:c r="C152" s="154" t="str">
        <x:v>alternative_industry</x:v>
      </x:c>
      <x:c r="D152" s="154" t="str">
        <x:v>BBB+ through CCC-</x:v>
      </x:c>
      <x:c r="E152" s="154" t="str">
        <x:v>Construction &amp; Engineering</x:v>
      </x:c>
      <x:c r="F152" s="150" t="n">
        <x:v>12</x:v>
      </x:c>
      <x:c r="G152" s="150" t="n">
        <x:v>3</x:v>
      </x:c>
      <x:c r="H152" s="178" t="n">
        <x:v>2994000</x:v>
      </x:c>
      <x:c r="I152" s="163" t="n">
        <x:v>0.05</x:v>
      </x:c>
      <x:c r="J152" s="80" t="n">
        <x:f>H152*(1-I152)</x:f>
        <x:v>2844300</x:v>
      </x:c>
      <x:c r="K152" s="75" t="n">
        <x:f>IF(Portfolio_Par&gt;0,J152/Portfolio_Par,"")</x:f>
        <x:v>0.009481</x:v>
      </x:c>
      <x:c r="L152" s="150" t="str">
        <x:v>SYN-OB-0079, SYN-OB-0105, SYN-OB-0050</x:v>
      </x:c>
    </x:row>
    <x:row r="153" ht="39" customHeight="1">
      <x:c r="A153" s="150"/>
      <x:c r="B153" s="150"/>
      <x:c r="C153" s="154" t="str">
        <x:v>alternative_industry</x:v>
      </x:c>
      <x:c r="D153" s="154" t="str">
        <x:v>BB+ through CCC-</x:v>
      </x:c>
      <x:c r="E153" s="154" t="str">
        <x:v>Construction &amp; Engineering</x:v>
      </x:c>
      <x:c r="F153" s="150" t="n">
        <x:v>16</x:v>
      </x:c>
      <x:c r="G153" s="150" t="n">
        <x:v>3</x:v>
      </x:c>
      <x:c r="H153" s="178" t="n">
        <x:v>2994000</x:v>
      </x:c>
      <x:c r="I153" s="163" t="n">
        <x:v>0.05</x:v>
      </x:c>
      <x:c r="J153" s="80" t="n">
        <x:f>H153*(1-I153)</x:f>
        <x:v>2844300</x:v>
      </x:c>
      <x:c r="K153" s="75" t="n">
        <x:f>IF(Portfolio_Par&gt;0,J153/Portfolio_Par,"")</x:f>
        <x:v>0.009481</x:v>
      </x:c>
      <x:c r="L153" s="150" t="str">
        <x:v>SYN-OB-0079, SYN-OB-0105, SYN-OB-0050</x:v>
      </x:c>
    </x:row>
    <x:row r="154" ht="39" customHeight="1">
      <x:c r="A154" s="150"/>
      <x:c r="B154" s="150"/>
      <x:c r="C154" s="154" t="str">
        <x:v>alternative_industry</x:v>
      </x:c>
      <x:c r="D154" s="154" t="str">
        <x:v>B+ through CCC-</x:v>
      </x:c>
      <x:c r="E154" s="154" t="str">
        <x:v>Construction &amp; Engineering</x:v>
      </x:c>
      <x:c r="F154" s="150" t="n">
        <x:v>20</x:v>
      </x:c>
      <x:c r="G154" s="150" t="n">
        <x:v>2</x:v>
      </x:c>
      <x:c r="H154" s="178" t="n">
        <x:v>2364000</x:v>
      </x:c>
      <x:c r="I154" s="163" t="n">
        <x:v>0.05</x:v>
      </x:c>
      <x:c r="J154" s="80" t="n">
        <x:f>H154*(1-I154)</x:f>
        <x:v>2245800</x:v>
      </x:c>
      <x:c r="K154" s="75" t="n">
        <x:f>IF(Portfolio_Par&gt;0,J154/Portfolio_Par,"")</x:f>
        <x:v>0.007486</x:v>
      </x:c>
      <x:c r="L154" s="150" t="str">
        <x:v>SYN-OB-0079, SYN-OB-0105</x:v>
      </x:c>
    </x:row>
    <x:row r="155" ht="39" customHeight="1">
      <x:c r="A155" s="150"/>
      <x:c r="B155" s="150"/>
      <x:c r="C155" s="154" t="str">
        <x:v>alternative_industry</x:v>
      </x:c>
      <x:c r="D155" s="154" t="str">
        <x:v>CCC+ through CCC-</x:v>
      </x:c>
      <x:c r="E155" s="154" t="str">
        <x:v>Construction &amp; Engineering</x:v>
      </x:c>
      <x:c r="F155" s="150" t="n">
        <x:v>24</x:v>
      </x:c>
      <x:c r="G155" s="150" t="n">
        <x:v>0</x:v>
      </x:c>
      <x:c r="H155" s="178" t="n">
        <x:v>0</x:v>
      </x:c>
      <x:c r="I155" s="163" t="n">
        <x:v>0.05</x:v>
      </x:c>
      <x:c r="J155" s="80" t="n">
        <x:f>H155*(1-I155)</x:f>
        <x:v>0</x:v>
      </x:c>
      <x:c r="K155" s="75" t="n">
        <x:f>IF(Portfolio_Par&gt;0,J155/Portfolio_Par,"")</x:f>
        <x:v>0</x:v>
      </x:c>
      <x:c r="L155" s="150" t="str"/>
    </x:row>
    <x:row r="156" ht="39" customHeight="1">
      <x:c r="A156" s="150"/>
      <x:c r="B156" s="150"/>
      <x:c r="C156" s="154" t="str">
        <x:v>alternative_industry</x:v>
      </x:c>
      <x:c r="D156" s="154" t="str">
        <x:v>AAA through CCC-</x:v>
      </x:c>
      <x:c r="E156" s="154" t="str">
        <x:v>Construction Materials</x:v>
      </x:c>
      <x:c r="F156" s="150" t="n">
        <x:v>4</x:v>
      </x:c>
      <x:c r="G156" s="150" t="n">
        <x:v>4</x:v>
      </x:c>
      <x:c r="H156" s="178" t="n">
        <x:v>4176000</x:v>
      </x:c>
      <x:c r="I156" s="163" t="n">
        <x:v>0.05</x:v>
      </x:c>
      <x:c r="J156" s="80" t="n">
        <x:f>H156*(1-I156)</x:f>
        <x:v>3967200</x:v>
      </x:c>
      <x:c r="K156" s="75" t="n">
        <x:f>IF(Portfolio_Par&gt;0,J156/Portfolio_Par,"")</x:f>
        <x:v>0.013224</x:v>
      </x:c>
      <x:c r="L156" s="150" t="str">
        <x:v>SYN-OB-0013, SYN-OB-0204, SYN-OB-0266, SYN-OB-0251</x:v>
      </x:c>
    </x:row>
    <x:row r="157" ht="39" customHeight="1">
      <x:c r="A157" s="150"/>
      <x:c r="B157" s="150"/>
      <x:c r="C157" s="154" t="str">
        <x:v>alternative_industry</x:v>
      </x:c>
      <x:c r="D157" s="154" t="str">
        <x:v>AA+ through CCC-</x:v>
      </x:c>
      <x:c r="E157" s="154" t="str">
        <x:v>Construction Materials</x:v>
      </x:c>
      <x:c r="F157" s="150" t="n">
        <x:v>6</x:v>
      </x:c>
      <x:c r="G157" s="150" t="n">
        <x:v>4</x:v>
      </x:c>
      <x:c r="H157" s="178" t="n">
        <x:v>4176000</x:v>
      </x:c>
      <x:c r="I157" s="163" t="n">
        <x:v>0.05</x:v>
      </x:c>
      <x:c r="J157" s="80" t="n">
        <x:f>H157*(1-I157)</x:f>
        <x:v>3967200</x:v>
      </x:c>
      <x:c r="K157" s="75" t="n">
        <x:f>IF(Portfolio_Par&gt;0,J157/Portfolio_Par,"")</x:f>
        <x:v>0.013224</x:v>
      </x:c>
      <x:c r="L157" s="150" t="str">
        <x:v>SYN-OB-0013, SYN-OB-0204, SYN-OB-0266, SYN-OB-0251</x:v>
      </x:c>
    </x:row>
    <x:row r="158" ht="39" customHeight="1">
      <x:c r="A158" s="150"/>
      <x:c r="B158" s="150"/>
      <x:c r="C158" s="154" t="str">
        <x:v>alternative_industry</x:v>
      </x:c>
      <x:c r="D158" s="154" t="str">
        <x:v>A+ through CCC-</x:v>
      </x:c>
      <x:c r="E158" s="154" t="str">
        <x:v>Construction Materials</x:v>
      </x:c>
      <x:c r="F158" s="150" t="n">
        <x:v>8</x:v>
      </x:c>
      <x:c r="G158" s="150" t="n">
        <x:v>4</x:v>
      </x:c>
      <x:c r="H158" s="178" t="n">
        <x:v>4176000</x:v>
      </x:c>
      <x:c r="I158" s="163" t="n">
        <x:v>0.05</x:v>
      </x:c>
      <x:c r="J158" s="80" t="n">
        <x:f>H158*(1-I158)</x:f>
        <x:v>3967200</x:v>
      </x:c>
      <x:c r="K158" s="75" t="n">
        <x:f>IF(Portfolio_Par&gt;0,J158/Portfolio_Par,"")</x:f>
        <x:v>0.013224</x:v>
      </x:c>
      <x:c r="L158" s="150" t="str">
        <x:v>SYN-OB-0013, SYN-OB-0204, SYN-OB-0266, SYN-OB-0251</x:v>
      </x:c>
    </x:row>
    <x:row r="159" ht="39" customHeight="1">
      <x:c r="A159" s="150"/>
      <x:c r="B159" s="150"/>
      <x:c r="C159" s="154" t="str">
        <x:v>alternative_industry</x:v>
      </x:c>
      <x:c r="D159" s="154" t="str">
        <x:v>BBB+ through CCC-</x:v>
      </x:c>
      <x:c r="E159" s="154" t="str">
        <x:v>Construction Materials</x:v>
      </x:c>
      <x:c r="F159" s="150" t="n">
        <x:v>12</x:v>
      </x:c>
      <x:c r="G159" s="150" t="n">
        <x:v>4</x:v>
      </x:c>
      <x:c r="H159" s="178" t="n">
        <x:v>4176000</x:v>
      </x:c>
      <x:c r="I159" s="163" t="n">
        <x:v>0.05</x:v>
      </x:c>
      <x:c r="J159" s="80" t="n">
        <x:f>H159*(1-I159)</x:f>
        <x:v>3967200</x:v>
      </x:c>
      <x:c r="K159" s="75" t="n">
        <x:f>IF(Portfolio_Par&gt;0,J159/Portfolio_Par,"")</x:f>
        <x:v>0.013224</x:v>
      </x:c>
      <x:c r="L159" s="150" t="str">
        <x:v>SYN-OB-0013, SYN-OB-0204, SYN-OB-0266, SYN-OB-0251</x:v>
      </x:c>
    </x:row>
    <x:row r="160" ht="39" customHeight="1">
      <x:c r="A160" s="150"/>
      <x:c r="B160" s="150"/>
      <x:c r="C160" s="154" t="str">
        <x:v>alternative_industry</x:v>
      </x:c>
      <x:c r="D160" s="154" t="str">
        <x:v>BB+ through CCC-</x:v>
      </x:c>
      <x:c r="E160" s="154" t="str">
        <x:v>Construction Materials</x:v>
      </x:c>
      <x:c r="F160" s="150" t="n">
        <x:v>16</x:v>
      </x:c>
      <x:c r="G160" s="150" t="n">
        <x:v>4</x:v>
      </x:c>
      <x:c r="H160" s="178" t="n">
        <x:v>4176000</x:v>
      </x:c>
      <x:c r="I160" s="163" t="n">
        <x:v>0.05</x:v>
      </x:c>
      <x:c r="J160" s="80" t="n">
        <x:f>H160*(1-I160)</x:f>
        <x:v>3967200</x:v>
      </x:c>
      <x:c r="K160" s="75" t="n">
        <x:f>IF(Portfolio_Par&gt;0,J160/Portfolio_Par,"")</x:f>
        <x:v>0.013224</x:v>
      </x:c>
      <x:c r="L160" s="150" t="str">
        <x:v>SYN-OB-0013, SYN-OB-0204, SYN-OB-0266, SYN-OB-0251</x:v>
      </x:c>
    </x:row>
    <x:row r="161" ht="39" customHeight="1">
      <x:c r="A161" s="150"/>
      <x:c r="B161" s="150"/>
      <x:c r="C161" s="154" t="str">
        <x:v>alternative_industry</x:v>
      </x:c>
      <x:c r="D161" s="154" t="str">
        <x:v>B+ through CCC-</x:v>
      </x:c>
      <x:c r="E161" s="154" t="str">
        <x:v>Construction Materials</x:v>
      </x:c>
      <x:c r="F161" s="150" t="n">
        <x:v>20</x:v>
      </x:c>
      <x:c r="G161" s="150" t="n">
        <x:v>0</x:v>
      </x:c>
      <x:c r="H161" s="178" t="n">
        <x:v>0</x:v>
      </x:c>
      <x:c r="I161" s="163" t="n">
        <x:v>0.05</x:v>
      </x:c>
      <x:c r="J161" s="80" t="n">
        <x:f>H161*(1-I161)</x:f>
        <x:v>0</x:v>
      </x:c>
      <x:c r="K161" s="75" t="n">
        <x:f>IF(Portfolio_Par&gt;0,J161/Portfolio_Par,"")</x:f>
        <x:v>0</x:v>
      </x:c>
      <x:c r="L161" s="150" t="str"/>
    </x:row>
    <x:row r="162" ht="39" customHeight="1">
      <x:c r="A162" s="150"/>
      <x:c r="B162" s="150"/>
      <x:c r="C162" s="154" t="str">
        <x:v>alternative_industry</x:v>
      </x:c>
      <x:c r="D162" s="154" t="str">
        <x:v>CCC+ through CCC-</x:v>
      </x:c>
      <x:c r="E162" s="154" t="str">
        <x:v>Construction Materials</x:v>
      </x:c>
      <x:c r="F162" s="150" t="n">
        <x:v>24</x:v>
      </x:c>
      <x:c r="G162" s="150" t="n">
        <x:v>0</x:v>
      </x:c>
      <x:c r="H162" s="178" t="n">
        <x:v>0</x:v>
      </x:c>
      <x:c r="I162" s="163" t="n">
        <x:v>0.05</x:v>
      </x:c>
      <x:c r="J162" s="80" t="n">
        <x:f>H162*(1-I162)</x:f>
        <x:v>0</x:v>
      </x:c>
      <x:c r="K162" s="75" t="n">
        <x:f>IF(Portfolio_Par&gt;0,J162/Portfolio_Par,"")</x:f>
        <x:v>0</x:v>
      </x:c>
      <x:c r="L162" s="150" t="str"/>
    </x:row>
    <x:row r="163" ht="39" customHeight="1">
      <x:c r="A163" s="150"/>
      <x:c r="B163" s="150"/>
      <x:c r="C163" s="154" t="str">
        <x:v>alternative_industry</x:v>
      </x:c>
      <x:c r="D163" s="154" t="str">
        <x:v>AAA through CCC-</x:v>
      </x:c>
      <x:c r="E163" s="154" t="str">
        <x:v>Consumer Finance</x:v>
      </x:c>
      <x:c r="F163" s="150" t="n">
        <x:v>4</x:v>
      </x:c>
      <x:c r="G163" s="150" t="n">
        <x:v>4</x:v>
      </x:c>
      <x:c r="H163" s="178" t="n">
        <x:v>3624000</x:v>
      </x:c>
      <x:c r="I163" s="163" t="n">
        <x:v>0.05</x:v>
      </x:c>
      <x:c r="J163" s="80" t="n">
        <x:f>H163*(1-I163)</x:f>
        <x:v>3442800</x:v>
      </x:c>
      <x:c r="K163" s="75" t="n">
        <x:f>IF(Portfolio_Par&gt;0,J163/Portfolio_Par,"")</x:f>
        <x:v>0.011476</x:v>
      </x:c>
      <x:c r="L163" s="150" t="str">
        <x:v>SYN-OB-0101, SYN-OB-0118, SYN-OB-0178, SYN-OB-0185</x:v>
      </x:c>
    </x:row>
    <x:row r="164" ht="39" customHeight="1">
      <x:c r="A164" s="150"/>
      <x:c r="B164" s="150"/>
      <x:c r="C164" s="154" t="str">
        <x:v>alternative_industry</x:v>
      </x:c>
      <x:c r="D164" s="154" t="str">
        <x:v>AA+ through CCC-</x:v>
      </x:c>
      <x:c r="E164" s="154" t="str">
        <x:v>Consumer Finance</x:v>
      </x:c>
      <x:c r="F164" s="150" t="n">
        <x:v>6</x:v>
      </x:c>
      <x:c r="G164" s="150" t="n">
        <x:v>4</x:v>
      </x:c>
      <x:c r="H164" s="178" t="n">
        <x:v>3624000</x:v>
      </x:c>
      <x:c r="I164" s="163" t="n">
        <x:v>0.05</x:v>
      </x:c>
      <x:c r="J164" s="80" t="n">
        <x:f>H164*(1-I164)</x:f>
        <x:v>3442800</x:v>
      </x:c>
      <x:c r="K164" s="75" t="n">
        <x:f>IF(Portfolio_Par&gt;0,J164/Portfolio_Par,"")</x:f>
        <x:v>0.011476</x:v>
      </x:c>
      <x:c r="L164" s="150" t="str">
        <x:v>SYN-OB-0101, SYN-OB-0118, SYN-OB-0178, SYN-OB-0185</x:v>
      </x:c>
    </x:row>
    <x:row r="165" ht="39" customHeight="1">
      <x:c r="A165" s="150"/>
      <x:c r="B165" s="150"/>
      <x:c r="C165" s="154" t="str">
        <x:v>alternative_industry</x:v>
      </x:c>
      <x:c r="D165" s="154" t="str">
        <x:v>A+ through CCC-</x:v>
      </x:c>
      <x:c r="E165" s="154" t="str">
        <x:v>Consumer Finance</x:v>
      </x:c>
      <x:c r="F165" s="150" t="n">
        <x:v>8</x:v>
      </x:c>
      <x:c r="G165" s="150" t="n">
        <x:v>4</x:v>
      </x:c>
      <x:c r="H165" s="178" t="n">
        <x:v>3624000</x:v>
      </x:c>
      <x:c r="I165" s="163" t="n">
        <x:v>0.05</x:v>
      </x:c>
      <x:c r="J165" s="80" t="n">
        <x:f>H165*(1-I165)</x:f>
        <x:v>3442800</x:v>
      </x:c>
      <x:c r="K165" s="75" t="n">
        <x:f>IF(Portfolio_Par&gt;0,J165/Portfolio_Par,"")</x:f>
        <x:v>0.011476</x:v>
      </x:c>
      <x:c r="L165" s="150" t="str">
        <x:v>SYN-OB-0101, SYN-OB-0118, SYN-OB-0178, SYN-OB-0185</x:v>
      </x:c>
    </x:row>
    <x:row r="166" ht="39" customHeight="1">
      <x:c r="A166" s="150"/>
      <x:c r="B166" s="150"/>
      <x:c r="C166" s="154" t="str">
        <x:v>alternative_industry</x:v>
      </x:c>
      <x:c r="D166" s="154" t="str">
        <x:v>BBB+ through CCC-</x:v>
      </x:c>
      <x:c r="E166" s="154" t="str">
        <x:v>Consumer Finance</x:v>
      </x:c>
      <x:c r="F166" s="150" t="n">
        <x:v>12</x:v>
      </x:c>
      <x:c r="G166" s="150" t="n">
        <x:v>4</x:v>
      </x:c>
      <x:c r="H166" s="178" t="n">
        <x:v>3624000</x:v>
      </x:c>
      <x:c r="I166" s="163" t="n">
        <x:v>0.05</x:v>
      </x:c>
      <x:c r="J166" s="80" t="n">
        <x:f>H166*(1-I166)</x:f>
        <x:v>3442800</x:v>
      </x:c>
      <x:c r="K166" s="75" t="n">
        <x:f>IF(Portfolio_Par&gt;0,J166/Portfolio_Par,"")</x:f>
        <x:v>0.011476</x:v>
      </x:c>
      <x:c r="L166" s="150" t="str">
        <x:v>SYN-OB-0101, SYN-OB-0118, SYN-OB-0178, SYN-OB-0185</x:v>
      </x:c>
    </x:row>
    <x:row r="167" ht="39" customHeight="1">
      <x:c r="A167" s="150"/>
      <x:c r="B167" s="150"/>
      <x:c r="C167" s="154" t="str">
        <x:v>alternative_industry</x:v>
      </x:c>
      <x:c r="D167" s="154" t="str">
        <x:v>BB+ through CCC-</x:v>
      </x:c>
      <x:c r="E167" s="154" t="str">
        <x:v>Consumer Finance</x:v>
      </x:c>
      <x:c r="F167" s="150" t="n">
        <x:v>16</x:v>
      </x:c>
      <x:c r="G167" s="150" t="n">
        <x:v>3</x:v>
      </x:c>
      <x:c r="H167" s="178" t="n">
        <x:v>2994000</x:v>
      </x:c>
      <x:c r="I167" s="163" t="n">
        <x:v>0.05</x:v>
      </x:c>
      <x:c r="J167" s="80" t="n">
        <x:f>H167*(1-I167)</x:f>
        <x:v>2844300</x:v>
      </x:c>
      <x:c r="K167" s="75" t="n">
        <x:f>IF(Portfolio_Par&gt;0,J167/Portfolio_Par,"")</x:f>
        <x:v>0.009481</x:v>
      </x:c>
      <x:c r="L167" s="150" t="str">
        <x:v>SYN-OB-0101, SYN-OB-0118, SYN-OB-0185</x:v>
      </x:c>
    </x:row>
    <x:row r="168" ht="39" customHeight="1">
      <x:c r="A168" s="150"/>
      <x:c r="B168" s="150"/>
      <x:c r="C168" s="154" t="str">
        <x:v>alternative_industry</x:v>
      </x:c>
      <x:c r="D168" s="154" t="str">
        <x:v>B+ through CCC-</x:v>
      </x:c>
      <x:c r="E168" s="154" t="str">
        <x:v>Consumer Finance</x:v>
      </x:c>
      <x:c r="F168" s="150" t="n">
        <x:v>20</x:v>
      </x:c>
      <x:c r="G168" s="150" t="n">
        <x:v>2</x:v>
      </x:c>
      <x:c r="H168" s="178" t="n">
        <x:v>2364000</x:v>
      </x:c>
      <x:c r="I168" s="163" t="n">
        <x:v>0.05</x:v>
      </x:c>
      <x:c r="J168" s="80" t="n">
        <x:f>H168*(1-I168)</x:f>
        <x:v>2245800</x:v>
      </x:c>
      <x:c r="K168" s="75" t="n">
        <x:f>IF(Portfolio_Par&gt;0,J168/Portfolio_Par,"")</x:f>
        <x:v>0.007486</x:v>
      </x:c>
      <x:c r="L168" s="150" t="str">
        <x:v>SYN-OB-0101, SYN-OB-0118</x:v>
      </x:c>
    </x:row>
    <x:row r="169" ht="39" customHeight="1">
      <x:c r="A169" s="150"/>
      <x:c r="B169" s="150"/>
      <x:c r="C169" s="154" t="str">
        <x:v>alternative_industry</x:v>
      </x:c>
      <x:c r="D169" s="154" t="str">
        <x:v>CCC+ through CCC-</x:v>
      </x:c>
      <x:c r="E169" s="154" t="str">
        <x:v>Consumer Finance</x:v>
      </x:c>
      <x:c r="F169" s="150" t="n">
        <x:v>24</x:v>
      </x:c>
      <x:c r="G169" s="150" t="n">
        <x:v>0</x:v>
      </x:c>
      <x:c r="H169" s="178" t="n">
        <x:v>0</x:v>
      </x:c>
      <x:c r="I169" s="163" t="n">
        <x:v>0.05</x:v>
      </x:c>
      <x:c r="J169" s="80" t="n">
        <x:f>H169*(1-I169)</x:f>
        <x:v>0</x:v>
      </x:c>
      <x:c r="K169" s="75" t="n">
        <x:f>IF(Portfolio_Par&gt;0,J169/Portfolio_Par,"")</x:f>
        <x:v>0</x:v>
      </x:c>
      <x:c r="L169" s="150" t="str"/>
    </x:row>
    <x:row r="170" ht="39" customHeight="1">
      <x:c r="A170" s="150"/>
      <x:c r="B170" s="150"/>
      <x:c r="C170" s="154" t="str">
        <x:v>alternative_industry</x:v>
      </x:c>
      <x:c r="D170" s="154" t="str">
        <x:v>AAA through CCC-</x:v>
      </x:c>
      <x:c r="E170" s="154" t="str">
        <x:v>Containers &amp; Packaging</x:v>
      </x:c>
      <x:c r="F170" s="150" t="n">
        <x:v>4</x:v>
      </x:c>
      <x:c r="G170" s="150" t="n">
        <x:v>4</x:v>
      </x:c>
      <x:c r="H170" s="178" t="n">
        <x:v>4728000</x:v>
      </x:c>
      <x:c r="I170" s="163" t="n">
        <x:v>0.05</x:v>
      </x:c>
      <x:c r="J170" s="80" t="n">
        <x:f>H170*(1-I170)</x:f>
        <x:v>4491600</x:v>
      </x:c>
      <x:c r="K170" s="75" t="n">
        <x:f>IF(Portfolio_Par&gt;0,J170/Portfolio_Par,"")</x:f>
        <x:v>0.014972</x:v>
      </x:c>
      <x:c r="L170" s="150" t="str">
        <x:v>SYN-OB-0023, SYN-OB-0142, SYN-OB-0195, SYN-OB-0220</x:v>
      </x:c>
    </x:row>
    <x:row r="171" ht="39" customHeight="1">
      <x:c r="A171" s="150"/>
      <x:c r="B171" s="150"/>
      <x:c r="C171" s="154" t="str">
        <x:v>alternative_industry</x:v>
      </x:c>
      <x:c r="D171" s="154" t="str">
        <x:v>AA+ through CCC-</x:v>
      </x:c>
      <x:c r="E171" s="154" t="str">
        <x:v>Containers &amp; Packaging</x:v>
      </x:c>
      <x:c r="F171" s="150" t="n">
        <x:v>6</x:v>
      </x:c>
      <x:c r="G171" s="150" t="n">
        <x:v>6</x:v>
      </x:c>
      <x:c r="H171" s="178" t="n">
        <x:v>7092000</x:v>
      </x:c>
      <x:c r="I171" s="163" t="n">
        <x:v>0.05</x:v>
      </x:c>
      <x:c r="J171" s="80" t="n">
        <x:f>H171*(1-I171)</x:f>
        <x:v>6737400</x:v>
      </x:c>
      <x:c r="K171" s="75" t="n">
        <x:f>IF(Portfolio_Par&gt;0,J171/Portfolio_Par,"")</x:f>
        <x:v>0.022458</x:v>
      </x:c>
      <x:c r="L171" s="150" t="str">
        <x:v>SYN-OB-0023, SYN-OB-0142, SYN-OB-0195, SYN-OB-0220, SYN-OB-0259, SYN-OB-0260</x:v>
      </x:c>
    </x:row>
    <x:row r="172" ht="39" customHeight="1">
      <x:c r="A172" s="150"/>
      <x:c r="B172" s="150"/>
      <x:c r="C172" s="154" t="str">
        <x:v>alternative_industry</x:v>
      </x:c>
      <x:c r="D172" s="154" t="str">
        <x:v>A+ through CCC-</x:v>
      </x:c>
      <x:c r="E172" s="154" t="str">
        <x:v>Containers &amp; Packaging</x:v>
      </x:c>
      <x:c r="F172" s="150" t="n">
        <x:v>8</x:v>
      </x:c>
      <x:c r="G172" s="150" t="n">
        <x:v>6</x:v>
      </x:c>
      <x:c r="H172" s="178" t="n">
        <x:v>7092000</x:v>
      </x:c>
      <x:c r="I172" s="163" t="n">
        <x:v>0.05</x:v>
      </x:c>
      <x:c r="J172" s="80" t="n">
        <x:f>H172*(1-I172)</x:f>
        <x:v>6737400</x:v>
      </x:c>
      <x:c r="K172" s="75" t="n">
        <x:f>IF(Portfolio_Par&gt;0,J172/Portfolio_Par,"")</x:f>
        <x:v>0.022458</x:v>
      </x:c>
      <x:c r="L172" s="150" t="str">
        <x:v>SYN-OB-0023, SYN-OB-0142, SYN-OB-0195, SYN-OB-0220, SYN-OB-0259, SYN-OB-0260</x:v>
      </x:c>
    </x:row>
    <x:row r="173" ht="39" customHeight="1">
      <x:c r="A173" s="150"/>
      <x:c r="B173" s="150"/>
      <x:c r="C173" s="154" t="str">
        <x:v>alternative_industry</x:v>
      </x:c>
      <x:c r="D173" s="154" t="str">
        <x:v>BBB+ through CCC-</x:v>
      </x:c>
      <x:c r="E173" s="154" t="str">
        <x:v>Containers &amp; Packaging</x:v>
      </x:c>
      <x:c r="F173" s="150" t="n">
        <x:v>12</x:v>
      </x:c>
      <x:c r="G173" s="150" t="n">
        <x:v>6</x:v>
      </x:c>
      <x:c r="H173" s="178" t="n">
        <x:v>7092000</x:v>
      </x:c>
      <x:c r="I173" s="163" t="n">
        <x:v>0.05</x:v>
      </x:c>
      <x:c r="J173" s="80" t="n">
        <x:f>H173*(1-I173)</x:f>
        <x:v>6737400</x:v>
      </x:c>
      <x:c r="K173" s="75" t="n">
        <x:f>IF(Portfolio_Par&gt;0,J173/Portfolio_Par,"")</x:f>
        <x:v>0.022458</x:v>
      </x:c>
      <x:c r="L173" s="150" t="str">
        <x:v>SYN-OB-0023, SYN-OB-0142, SYN-OB-0195, SYN-OB-0220, SYN-OB-0259, SYN-OB-0260</x:v>
      </x:c>
    </x:row>
    <x:row r="174" ht="39" customHeight="1">
      <x:c r="A174" s="150"/>
      <x:c r="B174" s="150"/>
      <x:c r="C174" s="154" t="str">
        <x:v>alternative_industry</x:v>
      </x:c>
      <x:c r="D174" s="154" t="str">
        <x:v>BB+ through CCC-</x:v>
      </x:c>
      <x:c r="E174" s="154" t="str">
        <x:v>Containers &amp; Packaging</x:v>
      </x:c>
      <x:c r="F174" s="150" t="n">
        <x:v>16</x:v>
      </x:c>
      <x:c r="G174" s="150" t="n">
        <x:v>6</x:v>
      </x:c>
      <x:c r="H174" s="178" t="n">
        <x:v>7092000</x:v>
      </x:c>
      <x:c r="I174" s="163" t="n">
        <x:v>0.05</x:v>
      </x:c>
      <x:c r="J174" s="80" t="n">
        <x:f>H174*(1-I174)</x:f>
        <x:v>6737400</x:v>
      </x:c>
      <x:c r="K174" s="75" t="n">
        <x:f>IF(Portfolio_Par&gt;0,J174/Portfolio_Par,"")</x:f>
        <x:v>0.022458</x:v>
      </x:c>
      <x:c r="L174" s="150" t="str">
        <x:v>SYN-OB-0023, SYN-OB-0142, SYN-OB-0195, SYN-OB-0220, SYN-OB-0259, SYN-OB-0260</x:v>
      </x:c>
    </x:row>
    <x:row r="175" ht="39" customHeight="1">
      <x:c r="A175" s="150"/>
      <x:c r="B175" s="150"/>
      <x:c r="C175" s="154" t="str">
        <x:v>alternative_industry</x:v>
      </x:c>
      <x:c r="D175" s="154" t="str">
        <x:v>B+ through CCC-</x:v>
      </x:c>
      <x:c r="E175" s="154" t="str">
        <x:v>Containers &amp; Packaging</x:v>
      </x:c>
      <x:c r="F175" s="150" t="n">
        <x:v>20</x:v>
      </x:c>
      <x:c r="G175" s="150" t="n">
        <x:v>6</x:v>
      </x:c>
      <x:c r="H175" s="178" t="n">
        <x:v>7092000</x:v>
      </x:c>
      <x:c r="I175" s="163" t="n">
        <x:v>0.05</x:v>
      </x:c>
      <x:c r="J175" s="80" t="n">
        <x:f>H175*(1-I175)</x:f>
        <x:v>6737400</x:v>
      </x:c>
      <x:c r="K175" s="75" t="n">
        <x:f>IF(Portfolio_Par&gt;0,J175/Portfolio_Par,"")</x:f>
        <x:v>0.022458</x:v>
      </x:c>
      <x:c r="L175" s="150" t="str">
        <x:v>SYN-OB-0023, SYN-OB-0142, SYN-OB-0195, SYN-OB-0220, SYN-OB-0259, SYN-OB-0260</x:v>
      </x:c>
    </x:row>
    <x:row r="176" ht="39" customHeight="1">
      <x:c r="A176" s="150"/>
      <x:c r="B176" s="150"/>
      <x:c r="C176" s="154" t="str">
        <x:v>alternative_industry</x:v>
      </x:c>
      <x:c r="D176" s="154" t="str">
        <x:v>CCC+ through CCC-</x:v>
      </x:c>
      <x:c r="E176" s="154" t="str">
        <x:v>Containers &amp; Packaging</x:v>
      </x:c>
      <x:c r="F176" s="150" t="n">
        <x:v>24</x:v>
      </x:c>
      <x:c r="G176" s="150" t="n">
        <x:v>0</x:v>
      </x:c>
      <x:c r="H176" s="178" t="n">
        <x:v>0</x:v>
      </x:c>
      <x:c r="I176" s="163" t="n">
        <x:v>0.05</x:v>
      </x:c>
      <x:c r="J176" s="80" t="n">
        <x:f>H176*(1-I176)</x:f>
        <x:v>0</x:v>
      </x:c>
      <x:c r="K176" s="75" t="n">
        <x:f>IF(Portfolio_Par&gt;0,J176/Portfolio_Par,"")</x:f>
        <x:v>0</x:v>
      </x:c>
      <x:c r="L176" s="150" t="str"/>
    </x:row>
    <x:row r="177" ht="39" customHeight="1">
      <x:c r="A177" s="150"/>
      <x:c r="B177" s="150"/>
      <x:c r="C177" s="154" t="str">
        <x:v>alternative_industry</x:v>
      </x:c>
      <x:c r="D177" s="154" t="str">
        <x:v>AAA through CCC-</x:v>
      </x:c>
      <x:c r="E177" s="154" t="str">
        <x:v>Distributors</x:v>
      </x:c>
      <x:c r="F177" s="150" t="n">
        <x:v>4</x:v>
      </x:c>
      <x:c r="G177" s="150" t="n">
        <x:v>1</x:v>
      </x:c>
      <x:c r="H177" s="178" t="n">
        <x:v>1182000</x:v>
      </x:c>
      <x:c r="I177" s="163" t="n">
        <x:v>0.05</x:v>
      </x:c>
      <x:c r="J177" s="80" t="n">
        <x:f>H177*(1-I177)</x:f>
        <x:v>1122900</x:v>
      </x:c>
      <x:c r="K177" s="75" t="n">
        <x:f>IF(Portfolio_Par&gt;0,J177/Portfolio_Par,"")</x:f>
        <x:v>0.003743</x:v>
      </x:c>
      <x:c r="L177" s="150" t="str">
        <x:v>SYN-OB-0211</x:v>
      </x:c>
    </x:row>
    <x:row r="178" ht="39" customHeight="1">
      <x:c r="A178" s="150"/>
      <x:c r="B178" s="150"/>
      <x:c r="C178" s="154" t="str">
        <x:v>alternative_industry</x:v>
      </x:c>
      <x:c r="D178" s="154" t="str">
        <x:v>AA+ through CCC-</x:v>
      </x:c>
      <x:c r="E178" s="154" t="str">
        <x:v>Distributors</x:v>
      </x:c>
      <x:c r="F178" s="150" t="n">
        <x:v>6</x:v>
      </x:c>
      <x:c r="G178" s="150" t="n">
        <x:v>1</x:v>
      </x:c>
      <x:c r="H178" s="178" t="n">
        <x:v>1182000</x:v>
      </x:c>
      <x:c r="I178" s="163" t="n">
        <x:v>0.05</x:v>
      </x:c>
      <x:c r="J178" s="80" t="n">
        <x:f>H178*(1-I178)</x:f>
        <x:v>1122900</x:v>
      </x:c>
      <x:c r="K178" s="75" t="n">
        <x:f>IF(Portfolio_Par&gt;0,J178/Portfolio_Par,"")</x:f>
        <x:v>0.003743</x:v>
      </x:c>
      <x:c r="L178" s="150" t="str">
        <x:v>SYN-OB-0211</x:v>
      </x:c>
    </x:row>
    <x:row r="179" ht="39" customHeight="1">
      <x:c r="A179" s="150"/>
      <x:c r="B179" s="150"/>
      <x:c r="C179" s="154" t="str">
        <x:v>alternative_industry</x:v>
      </x:c>
      <x:c r="D179" s="154" t="str">
        <x:v>A+ through CCC-</x:v>
      </x:c>
      <x:c r="E179" s="154" t="str">
        <x:v>Distributors</x:v>
      </x:c>
      <x:c r="F179" s="150" t="n">
        <x:v>8</x:v>
      </x:c>
      <x:c r="G179" s="150" t="n">
        <x:v>1</x:v>
      </x:c>
      <x:c r="H179" s="178" t="n">
        <x:v>1182000</x:v>
      </x:c>
      <x:c r="I179" s="163" t="n">
        <x:v>0.05</x:v>
      </x:c>
      <x:c r="J179" s="80" t="n">
        <x:f>H179*(1-I179)</x:f>
        <x:v>1122900</x:v>
      </x:c>
      <x:c r="K179" s="75" t="n">
        <x:f>IF(Portfolio_Par&gt;0,J179/Portfolio_Par,"")</x:f>
        <x:v>0.003743</x:v>
      </x:c>
      <x:c r="L179" s="150" t="str">
        <x:v>SYN-OB-0211</x:v>
      </x:c>
    </x:row>
    <x:row r="180" ht="39" customHeight="1">
      <x:c r="A180" s="150"/>
      <x:c r="B180" s="150"/>
      <x:c r="C180" s="154" t="str">
        <x:v>alternative_industry</x:v>
      </x:c>
      <x:c r="D180" s="154" t="str">
        <x:v>BBB+ through CCC-</x:v>
      </x:c>
      <x:c r="E180" s="154" t="str">
        <x:v>Distributors</x:v>
      </x:c>
      <x:c r="F180" s="150" t="n">
        <x:v>12</x:v>
      </x:c>
      <x:c r="G180" s="150" t="n">
        <x:v>1</x:v>
      </x:c>
      <x:c r="H180" s="178" t="n">
        <x:v>1182000</x:v>
      </x:c>
      <x:c r="I180" s="163" t="n">
        <x:v>0.05</x:v>
      </x:c>
      <x:c r="J180" s="80" t="n">
        <x:f>H180*(1-I180)</x:f>
        <x:v>1122900</x:v>
      </x:c>
      <x:c r="K180" s="75" t="n">
        <x:f>IF(Portfolio_Par&gt;0,J180/Portfolio_Par,"")</x:f>
        <x:v>0.003743</x:v>
      </x:c>
      <x:c r="L180" s="150" t="str">
        <x:v>SYN-OB-0211</x:v>
      </x:c>
    </x:row>
    <x:row r="181" ht="39" customHeight="1">
      <x:c r="A181" s="150"/>
      <x:c r="B181" s="150"/>
      <x:c r="C181" s="154" t="str">
        <x:v>alternative_industry</x:v>
      </x:c>
      <x:c r="D181" s="154" t="str">
        <x:v>BB+ through CCC-</x:v>
      </x:c>
      <x:c r="E181" s="154" t="str">
        <x:v>Distributors</x:v>
      </x:c>
      <x:c r="F181" s="150" t="n">
        <x:v>16</x:v>
      </x:c>
      <x:c r="G181" s="150" t="n">
        <x:v>1</x:v>
      </x:c>
      <x:c r="H181" s="178" t="n">
        <x:v>1182000</x:v>
      </x:c>
      <x:c r="I181" s="163" t="n">
        <x:v>0.05</x:v>
      </x:c>
      <x:c r="J181" s="80" t="n">
        <x:f>H181*(1-I181)</x:f>
        <x:v>1122900</x:v>
      </x:c>
      <x:c r="K181" s="75" t="n">
        <x:f>IF(Portfolio_Par&gt;0,J181/Portfolio_Par,"")</x:f>
        <x:v>0.003743</x:v>
      </x:c>
      <x:c r="L181" s="150" t="str">
        <x:v>SYN-OB-0211</x:v>
      </x:c>
    </x:row>
    <x:row r="182" ht="39" customHeight="1">
      <x:c r="A182" s="150"/>
      <x:c r="B182" s="150"/>
      <x:c r="C182" s="154" t="str">
        <x:v>alternative_industry</x:v>
      </x:c>
      <x:c r="D182" s="154" t="str">
        <x:v>B+ through CCC-</x:v>
      </x:c>
      <x:c r="E182" s="154" t="str">
        <x:v>Distributors</x:v>
      </x:c>
      <x:c r="F182" s="150" t="n">
        <x:v>20</x:v>
      </x:c>
      <x:c r="G182" s="150" t="n">
        <x:v>1</x:v>
      </x:c>
      <x:c r="H182" s="178" t="n">
        <x:v>1182000</x:v>
      </x:c>
      <x:c r="I182" s="163" t="n">
        <x:v>0.05</x:v>
      </x:c>
      <x:c r="J182" s="80" t="n">
        <x:f>H182*(1-I182)</x:f>
        <x:v>1122900</x:v>
      </x:c>
      <x:c r="K182" s="75" t="n">
        <x:f>IF(Portfolio_Par&gt;0,J182/Portfolio_Par,"")</x:f>
        <x:v>0.003743</x:v>
      </x:c>
      <x:c r="L182" s="150" t="str">
        <x:v>SYN-OB-0211</x:v>
      </x:c>
    </x:row>
    <x:row r="183" ht="39" customHeight="1">
      <x:c r="A183" s="150"/>
      <x:c r="B183" s="150"/>
      <x:c r="C183" s="154" t="str">
        <x:v>alternative_industry</x:v>
      </x:c>
      <x:c r="D183" s="154" t="str">
        <x:v>CCC+ through CCC-</x:v>
      </x:c>
      <x:c r="E183" s="154" t="str">
        <x:v>Distributors</x:v>
      </x:c>
      <x:c r="F183" s="150" t="n">
        <x:v>24</x:v>
      </x:c>
      <x:c r="G183" s="150" t="n">
        <x:v>0</x:v>
      </x:c>
      <x:c r="H183" s="178" t="n">
        <x:v>0</x:v>
      </x:c>
      <x:c r="I183" s="163" t="n">
        <x:v>0.05</x:v>
      </x:c>
      <x:c r="J183" s="80" t="n">
        <x:f>H183*(1-I183)</x:f>
        <x:v>0</x:v>
      </x:c>
      <x:c r="K183" s="75" t="n">
        <x:f>IF(Portfolio_Par&gt;0,J183/Portfolio_Par,"")</x:f>
        <x:v>0</x:v>
      </x:c>
      <x:c r="L183" s="150" t="str"/>
    </x:row>
    <x:row r="184" ht="39" customHeight="1">
      <x:c r="A184" s="150"/>
      <x:c r="B184" s="150"/>
      <x:c r="C184" s="154" t="str">
        <x:v>alternative_industry</x:v>
      </x:c>
      <x:c r="D184" s="154" t="str">
        <x:v>AAA through CCC-</x:v>
      </x:c>
      <x:c r="E184" s="154" t="str">
        <x:v>Diversified Consumer Services</x:v>
      </x:c>
      <x:c r="F184" s="150" t="n">
        <x:v>4</x:v>
      </x:c>
      <x:c r="G184" s="150" t="n">
        <x:v>4</x:v>
      </x:c>
      <x:c r="H184" s="178" t="n">
        <x:v>4728000</x:v>
      </x:c>
      <x:c r="I184" s="163" t="n">
        <x:v>0.05</x:v>
      </x:c>
      <x:c r="J184" s="80" t="n">
        <x:f>H184*(1-I184)</x:f>
        <x:v>4491600</x:v>
      </x:c>
      <x:c r="K184" s="75" t="n">
        <x:f>IF(Portfolio_Par&gt;0,J184/Portfolio_Par,"")</x:f>
        <x:v>0.014972</x:v>
      </x:c>
      <x:c r="L184" s="150" t="str">
        <x:v>SYN-OB-0060, SYN-OB-0069, SYN-OB-0074, SYN-OB-0144</x:v>
      </x:c>
    </x:row>
    <x:row r="185" ht="39" customHeight="1">
      <x:c r="A185" s="150"/>
      <x:c r="B185" s="150"/>
      <x:c r="C185" s="154" t="str">
        <x:v>alternative_industry</x:v>
      </x:c>
      <x:c r="D185" s="154" t="str">
        <x:v>AA+ through CCC-</x:v>
      </x:c>
      <x:c r="E185" s="154" t="str">
        <x:v>Diversified Consumer Services</x:v>
      </x:c>
      <x:c r="F185" s="150" t="n">
        <x:v>6</x:v>
      </x:c>
      <x:c r="G185" s="150" t="n">
        <x:v>6</x:v>
      </x:c>
      <x:c r="H185" s="178" t="n">
        <x:v>7092000</x:v>
      </x:c>
      <x:c r="I185" s="163" t="n">
        <x:v>0.05</x:v>
      </x:c>
      <x:c r="J185" s="80" t="n">
        <x:f>H185*(1-I185)</x:f>
        <x:v>6737400</x:v>
      </x:c>
      <x:c r="K185" s="75" t="n">
        <x:f>IF(Portfolio_Par&gt;0,J185/Portfolio_Par,"")</x:f>
        <x:v>0.022458</x:v>
      </x:c>
      <x:c r="L185" s="150" t="str">
        <x:v>SYN-OB-0060, SYN-OB-0069, SYN-OB-0074, SYN-OB-0144, SYN-OB-0215, SYN-OB-0264</x:v>
      </x:c>
    </x:row>
    <x:row r="186" ht="39" customHeight="1">
      <x:c r="A186" s="150"/>
      <x:c r="B186" s="150"/>
      <x:c r="C186" s="154" t="str">
        <x:v>alternative_industry</x:v>
      </x:c>
      <x:c r="D186" s="154" t="str">
        <x:v>A+ through CCC-</x:v>
      </x:c>
      <x:c r="E186" s="154" t="str">
        <x:v>Diversified Consumer Services</x:v>
      </x:c>
      <x:c r="F186" s="150" t="n">
        <x:v>8</x:v>
      </x:c>
      <x:c r="G186" s="150" t="n">
        <x:v>7</x:v>
      </x:c>
      <x:c r="H186" s="178" t="n">
        <x:v>7722000</x:v>
      </x:c>
      <x:c r="I186" s="163" t="n">
        <x:v>0.05</x:v>
      </x:c>
      <x:c r="J186" s="80" t="n">
        <x:f>H186*(1-I186)</x:f>
        <x:v>7335900</x:v>
      </x:c>
      <x:c r="K186" s="75" t="n">
        <x:f>IF(Portfolio_Par&gt;0,J186/Portfolio_Par,"")</x:f>
        <x:v>0.024453</x:v>
      </x:c>
      <x:c r="L186" s="150" t="str">
        <x:v>SYN-OB-0060, SYN-OB-0069, SYN-OB-0074, SYN-OB-0144, SYN-OB-0215, SYN-OB-0264, SYN-OB-0107</x:v>
      </x:c>
    </x:row>
    <x:row r="187" ht="39" customHeight="1">
      <x:c r="A187" s="150"/>
      <x:c r="B187" s="150"/>
      <x:c r="C187" s="154" t="str">
        <x:v>alternative_industry</x:v>
      </x:c>
      <x:c r="D187" s="154" t="str">
        <x:v>BBB+ through CCC-</x:v>
      </x:c>
      <x:c r="E187" s="154" t="str">
        <x:v>Diversified Consumer Services</x:v>
      </x:c>
      <x:c r="F187" s="150" t="n">
        <x:v>12</x:v>
      </x:c>
      <x:c r="G187" s="150" t="n">
        <x:v>6</x:v>
      </x:c>
      <x:c r="H187" s="178" t="n">
        <x:v>7092000</x:v>
      </x:c>
      <x:c r="I187" s="163" t="n">
        <x:v>0.05</x:v>
      </x:c>
      <x:c r="J187" s="80" t="n">
        <x:f>H187*(1-I187)</x:f>
        <x:v>6737400</x:v>
      </x:c>
      <x:c r="K187" s="75" t="n">
        <x:f>IF(Portfolio_Par&gt;0,J187/Portfolio_Par,"")</x:f>
        <x:v>0.022458</x:v>
      </x:c>
      <x:c r="L187" s="150" t="str">
        <x:v>SYN-OB-0060, SYN-OB-0069, SYN-OB-0074, SYN-OB-0144, SYN-OB-0215, SYN-OB-0264</x:v>
      </x:c>
    </x:row>
    <x:row r="188" ht="39" customHeight="1">
      <x:c r="A188" s="150"/>
      <x:c r="B188" s="150"/>
      <x:c r="C188" s="154" t="str">
        <x:v>alternative_industry</x:v>
      </x:c>
      <x:c r="D188" s="154" t="str">
        <x:v>BB+ through CCC-</x:v>
      </x:c>
      <x:c r="E188" s="154" t="str">
        <x:v>Diversified Consumer Services</x:v>
      </x:c>
      <x:c r="F188" s="150" t="n">
        <x:v>16</x:v>
      </x:c>
      <x:c r="G188" s="150" t="n">
        <x:v>6</x:v>
      </x:c>
      <x:c r="H188" s="178" t="n">
        <x:v>7092000</x:v>
      </x:c>
      <x:c r="I188" s="163" t="n">
        <x:v>0.05</x:v>
      </x:c>
      <x:c r="J188" s="80" t="n">
        <x:f>H188*(1-I188)</x:f>
        <x:v>6737400</x:v>
      </x:c>
      <x:c r="K188" s="75" t="n">
        <x:f>IF(Portfolio_Par&gt;0,J188/Portfolio_Par,"")</x:f>
        <x:v>0.022458</x:v>
      </x:c>
      <x:c r="L188" s="150" t="str">
        <x:v>SYN-OB-0060, SYN-OB-0069, SYN-OB-0074, SYN-OB-0144, SYN-OB-0215, SYN-OB-0264</x:v>
      </x:c>
    </x:row>
    <x:row r="189" ht="39" customHeight="1">
      <x:c r="A189" s="150"/>
      <x:c r="B189" s="150"/>
      <x:c r="C189" s="154" t="str">
        <x:v>alternative_industry</x:v>
      </x:c>
      <x:c r="D189" s="154" t="str">
        <x:v>B+ through CCC-</x:v>
      </x:c>
      <x:c r="E189" s="154" t="str">
        <x:v>Diversified Consumer Services</x:v>
      </x:c>
      <x:c r="F189" s="150" t="n">
        <x:v>20</x:v>
      </x:c>
      <x:c r="G189" s="150" t="n">
        <x:v>6</x:v>
      </x:c>
      <x:c r="H189" s="178" t="n">
        <x:v>7092000</x:v>
      </x:c>
      <x:c r="I189" s="163" t="n">
        <x:v>0.05</x:v>
      </x:c>
      <x:c r="J189" s="80" t="n">
        <x:f>H189*(1-I189)</x:f>
        <x:v>6737400</x:v>
      </x:c>
      <x:c r="K189" s="75" t="n">
        <x:f>IF(Portfolio_Par&gt;0,J189/Portfolio_Par,"")</x:f>
        <x:v>0.022458</x:v>
      </x:c>
      <x:c r="L189" s="150" t="str">
        <x:v>SYN-OB-0060, SYN-OB-0069, SYN-OB-0074, SYN-OB-0144, SYN-OB-0215, SYN-OB-0264</x:v>
      </x:c>
    </x:row>
    <x:row r="190" ht="39" customHeight="1">
      <x:c r="A190" s="150"/>
      <x:c r="B190" s="150"/>
      <x:c r="C190" s="154" t="str">
        <x:v>alternative_industry</x:v>
      </x:c>
      <x:c r="D190" s="154" t="str">
        <x:v>CCC+ through CCC-</x:v>
      </x:c>
      <x:c r="E190" s="154" t="str">
        <x:v>Diversified Consumer Services</x:v>
      </x:c>
      <x:c r="F190" s="150" t="n">
        <x:v>24</x:v>
      </x:c>
      <x:c r="G190" s="150" t="n">
        <x:v>0</x:v>
      </x:c>
      <x:c r="H190" s="178" t="n">
        <x:v>0</x:v>
      </x:c>
      <x:c r="I190" s="163" t="n">
        <x:v>0.05</x:v>
      </x:c>
      <x:c r="J190" s="80" t="n">
        <x:f>H190*(1-I190)</x:f>
        <x:v>0</x:v>
      </x:c>
      <x:c r="K190" s="75" t="n">
        <x:f>IF(Portfolio_Par&gt;0,J190/Portfolio_Par,"")</x:f>
        <x:v>0</x:v>
      </x:c>
      <x:c r="L190" s="150" t="str"/>
    </x:row>
    <x:row r="191" ht="39" customHeight="1">
      <x:c r="A191" s="150"/>
      <x:c r="B191" s="150"/>
      <x:c r="C191" s="154" t="str">
        <x:v>alternative_industry</x:v>
      </x:c>
      <x:c r="D191" s="154" t="str">
        <x:v>AAA through CCC-</x:v>
      </x:c>
      <x:c r="E191" s="154" t="str">
        <x:v>Diversified Telecommunication Services</x:v>
      </x:c>
      <x:c r="F191" s="150" t="n">
        <x:v>4</x:v>
      </x:c>
      <x:c r="G191" s="150" t="n">
        <x:v>4</x:v>
      </x:c>
      <x:c r="H191" s="178" t="n">
        <x:v>4728000</x:v>
      </x:c>
      <x:c r="I191" s="163" t="n">
        <x:v>0.05</x:v>
      </x:c>
      <x:c r="J191" s="80" t="n">
        <x:f>H191*(1-I191)</x:f>
        <x:v>4491600</x:v>
      </x:c>
      <x:c r="K191" s="75" t="n">
        <x:f>IF(Portfolio_Par&gt;0,J191/Portfolio_Par,"")</x:f>
        <x:v>0.014972</x:v>
      </x:c>
      <x:c r="L191" s="150" t="str">
        <x:v>SYN-OB-0009, SYN-OB-0047, SYN-OB-0054, SYN-OB-0067</x:v>
      </x:c>
    </x:row>
    <x:row r="192" ht="39" customHeight="1">
      <x:c r="A192" s="150"/>
      <x:c r="B192" s="150"/>
      <x:c r="C192" s="154" t="str">
        <x:v>alternative_industry</x:v>
      </x:c>
      <x:c r="D192" s="154" t="str">
        <x:v>AA+ through CCC-</x:v>
      </x:c>
      <x:c r="E192" s="154" t="str">
        <x:v>Diversified Telecommunication Services</x:v>
      </x:c>
      <x:c r="F192" s="150" t="n">
        <x:v>6</x:v>
      </x:c>
      <x:c r="G192" s="150" t="n">
        <x:v>6</x:v>
      </x:c>
      <x:c r="H192" s="178" t="n">
        <x:v>7092000</x:v>
      </x:c>
      <x:c r="I192" s="163" t="n">
        <x:v>0.05</x:v>
      </x:c>
      <x:c r="J192" s="80" t="n">
        <x:f>H192*(1-I192)</x:f>
        <x:v>6737400</x:v>
      </x:c>
      <x:c r="K192" s="75" t="n">
        <x:f>IF(Portfolio_Par&gt;0,J192/Portfolio_Par,"")</x:f>
        <x:v>0.022458</x:v>
      </x:c>
      <x:c r="L192" s="150" t="str">
        <x:v>SYN-OB-0009, SYN-OB-0047, SYN-OB-0054, SYN-OB-0067, SYN-OB-0080, SYN-OB-0086</x:v>
      </x:c>
    </x:row>
    <x:row r="193" ht="39" customHeight="1">
      <x:c r="A193" s="150"/>
      <x:c r="B193" s="150"/>
      <x:c r="C193" s="154" t="str">
        <x:v>alternative_industry</x:v>
      </x:c>
      <x:c r="D193" s="154" t="str">
        <x:v>A+ through CCC-</x:v>
      </x:c>
      <x:c r="E193" s="154" t="str">
        <x:v>Diversified Telecommunication Services</x:v>
      </x:c>
      <x:c r="F193" s="150" t="n">
        <x:v>8</x:v>
      </x:c>
      <x:c r="G193" s="150" t="n">
        <x:v>8</x:v>
      </x:c>
      <x:c r="H193" s="178" t="n">
        <x:v>8904000</x:v>
      </x:c>
      <x:c r="I193" s="163" t="n">
        <x:v>0.05</x:v>
      </x:c>
      <x:c r="J193" s="80" t="n">
        <x:f>H193*(1-I193)</x:f>
        <x:v>8458800</x:v>
      </x:c>
      <x:c r="K193" s="75" t="n">
        <x:f>IF(Portfolio_Par&gt;0,J193/Portfolio_Par,"")</x:f>
        <x:v>0.028196</x:v>
      </x:c>
      <x:c r="L193" s="150" t="str">
        <x:v>SYN-OB-0009, SYN-OB-0047, SYN-OB-0054, SYN-OB-0067, SYN-OB-0080, SYN-OB-0086, SYN-OB-0098, SYN-OB-0245</x:v>
      </x:c>
    </x:row>
    <x:row r="194" ht="39" customHeight="1">
      <x:c r="A194" s="150"/>
      <x:c r="B194" s="150"/>
      <x:c r="C194" s="154" t="str">
        <x:v>alternative_industry</x:v>
      </x:c>
      <x:c r="D194" s="154" t="str">
        <x:v>BBB+ through CCC-</x:v>
      </x:c>
      <x:c r="E194" s="154" t="str">
        <x:v>Diversified Telecommunication Services</x:v>
      </x:c>
      <x:c r="F194" s="150" t="n">
        <x:v>12</x:v>
      </x:c>
      <x:c r="G194" s="150" t="n">
        <x:v>8</x:v>
      </x:c>
      <x:c r="H194" s="178" t="n">
        <x:v>8904000</x:v>
      </x:c>
      <x:c r="I194" s="163" t="n">
        <x:v>0.05</x:v>
      </x:c>
      <x:c r="J194" s="80" t="n">
        <x:f>H194*(1-I194)</x:f>
        <x:v>8458800</x:v>
      </x:c>
      <x:c r="K194" s="75" t="n">
        <x:f>IF(Portfolio_Par&gt;0,J194/Portfolio_Par,"")</x:f>
        <x:v>0.028196</x:v>
      </x:c>
      <x:c r="L194" s="150" t="str">
        <x:v>SYN-OB-0009, SYN-OB-0047, SYN-OB-0054, SYN-OB-0067, SYN-OB-0080, SYN-OB-0086, SYN-OB-0098, SYN-OB-0245</x:v>
      </x:c>
    </x:row>
    <x:row r="195" ht="39" customHeight="1">
      <x:c r="A195" s="150"/>
      <x:c r="B195" s="150"/>
      <x:c r="C195" s="154" t="str">
        <x:v>alternative_industry</x:v>
      </x:c>
      <x:c r="D195" s="154" t="str">
        <x:v>BB+ through CCC-</x:v>
      </x:c>
      <x:c r="E195" s="154" t="str">
        <x:v>Diversified Telecommunication Services</x:v>
      </x:c>
      <x:c r="F195" s="150" t="n">
        <x:v>16</x:v>
      </x:c>
      <x:c r="G195" s="150" t="n">
        <x:v>8</x:v>
      </x:c>
      <x:c r="H195" s="178" t="n">
        <x:v>8904000</x:v>
      </x:c>
      <x:c r="I195" s="163" t="n">
        <x:v>0.05</x:v>
      </x:c>
      <x:c r="J195" s="80" t="n">
        <x:f>H195*(1-I195)</x:f>
        <x:v>8458800</x:v>
      </x:c>
      <x:c r="K195" s="75" t="n">
        <x:f>IF(Portfolio_Par&gt;0,J195/Portfolio_Par,"")</x:f>
        <x:v>0.028196</x:v>
      </x:c>
      <x:c r="L195" s="150" t="str">
        <x:v>SYN-OB-0009, SYN-OB-0047, SYN-OB-0054, SYN-OB-0067, SYN-OB-0080, SYN-OB-0086, SYN-OB-0098, SYN-OB-0245</x:v>
      </x:c>
    </x:row>
    <x:row r="196" ht="39" customHeight="1">
      <x:c r="A196" s="150"/>
      <x:c r="B196" s="150"/>
      <x:c r="C196" s="154" t="str">
        <x:v>alternative_industry</x:v>
      </x:c>
      <x:c r="D196" s="154" t="str">
        <x:v>B+ through CCC-</x:v>
      </x:c>
      <x:c r="E196" s="154" t="str">
        <x:v>Diversified Telecommunication Services</x:v>
      </x:c>
      <x:c r="F196" s="150" t="n">
        <x:v>20</x:v>
      </x:c>
      <x:c r="G196" s="150" t="n">
        <x:v>4</x:v>
      </x:c>
      <x:c r="H196" s="178" t="n">
        <x:v>4176000</x:v>
      </x:c>
      <x:c r="I196" s="163" t="n">
        <x:v>0.05</x:v>
      </x:c>
      <x:c r="J196" s="80" t="n">
        <x:f>H196*(1-I196)</x:f>
        <x:v>3967200</x:v>
      </x:c>
      <x:c r="K196" s="75" t="n">
        <x:f>IF(Portfolio_Par&gt;0,J196/Portfolio_Par,"")</x:f>
        <x:v>0.013224</x:v>
      </x:c>
      <x:c r="L196" s="150" t="str">
        <x:v>SYN-OB-0047, SYN-OB-0054, SYN-OB-0080, SYN-OB-0245</x:v>
      </x:c>
    </x:row>
    <x:row r="197" ht="39" customHeight="1">
      <x:c r="A197" s="150"/>
      <x:c r="B197" s="150"/>
      <x:c r="C197" s="154" t="str">
        <x:v>alternative_industry</x:v>
      </x:c>
      <x:c r="D197" s="154" t="str">
        <x:v>CCC+ through CCC-</x:v>
      </x:c>
      <x:c r="E197" s="154" t="str">
        <x:v>Diversified Telecommunication Services</x:v>
      </x:c>
      <x:c r="F197" s="150" t="n">
        <x:v>24</x:v>
      </x:c>
      <x:c r="G197" s="150" t="n">
        <x:v>0</x:v>
      </x:c>
      <x:c r="H197" s="178" t="n">
        <x:v>0</x:v>
      </x:c>
      <x:c r="I197" s="163" t="n">
        <x:v>0.05</x:v>
      </x:c>
      <x:c r="J197" s="80" t="n">
        <x:f>H197*(1-I197)</x:f>
        <x:v>0</x:v>
      </x:c>
      <x:c r="K197" s="75" t="n">
        <x:f>IF(Portfolio_Par&gt;0,J197/Portfolio_Par,"")</x:f>
        <x:v>0</x:v>
      </x:c>
      <x:c r="L197" s="150" t="str"/>
    </x:row>
    <x:row r="198" ht="39" customHeight="1">
      <x:c r="A198" s="150"/>
      <x:c r="B198" s="150"/>
      <x:c r="C198" s="154" t="str">
        <x:v>alternative_industry</x:v>
      </x:c>
      <x:c r="D198" s="154" t="str">
        <x:v>AAA through CCC-</x:v>
      </x:c>
      <x:c r="E198" s="154" t="str">
        <x:v>Electric Utilities</x:v>
      </x:c>
      <x:c r="F198" s="150" t="n">
        <x:v>4</x:v>
      </x:c>
      <x:c r="G198" s="150" t="n">
        <x:v>4</x:v>
      </x:c>
      <x:c r="H198" s="178" t="n">
        <x:v>4728000</x:v>
      </x:c>
      <x:c r="I198" s="163" t="n">
        <x:v>0.05</x:v>
      </x:c>
      <x:c r="J198" s="80" t="n">
        <x:f>H198*(1-I198)</x:f>
        <x:v>4491600</x:v>
      </x:c>
      <x:c r="K198" s="75" t="n">
        <x:f>IF(Portfolio_Par&gt;0,J198/Portfolio_Par,"")</x:f>
        <x:v>0.014972</x:v>
      </x:c>
      <x:c r="L198" s="150" t="str">
        <x:v>SYN-OB-0044, SYN-OB-0062, SYN-OB-0106, SYN-OB-0176</x:v>
      </x:c>
    </x:row>
    <x:row r="199" ht="39" customHeight="1">
      <x:c r="A199" s="150"/>
      <x:c r="B199" s="150"/>
      <x:c r="C199" s="154" t="str">
        <x:v>alternative_industry</x:v>
      </x:c>
      <x:c r="D199" s="154" t="str">
        <x:v>AA+ through CCC-</x:v>
      </x:c>
      <x:c r="E199" s="154" t="str">
        <x:v>Electric Utilities</x:v>
      </x:c>
      <x:c r="F199" s="150" t="n">
        <x:v>6</x:v>
      </x:c>
      <x:c r="G199" s="150" t="n">
        <x:v>6</x:v>
      </x:c>
      <x:c r="H199" s="178" t="n">
        <x:v>7092000</x:v>
      </x:c>
      <x:c r="I199" s="163" t="n">
        <x:v>0.05</x:v>
      </x:c>
      <x:c r="J199" s="80" t="n">
        <x:f>H199*(1-I199)</x:f>
        <x:v>6737400</x:v>
      </x:c>
      <x:c r="K199" s="75" t="n">
        <x:f>IF(Portfolio_Par&gt;0,J199/Portfolio_Par,"")</x:f>
        <x:v>0.022458</x:v>
      </x:c>
      <x:c r="L199" s="150" t="str">
        <x:v>SYN-OB-0044, SYN-OB-0062, SYN-OB-0106, SYN-OB-0176, SYN-OB-0179, SYN-OB-0199</x:v>
      </x:c>
    </x:row>
    <x:row r="200" ht="39" customHeight="1">
      <x:c r="A200" s="150"/>
      <x:c r="B200" s="150"/>
      <x:c r="C200" s="154" t="str">
        <x:v>alternative_industry</x:v>
      </x:c>
      <x:c r="D200" s="154" t="str">
        <x:v>A+ through CCC-</x:v>
      </x:c>
      <x:c r="E200" s="154" t="str">
        <x:v>Electric Utilities</x:v>
      </x:c>
      <x:c r="F200" s="150" t="n">
        <x:v>8</x:v>
      </x:c>
      <x:c r="G200" s="150" t="n">
        <x:v>8</x:v>
      </x:c>
      <x:c r="H200" s="178" t="n">
        <x:v>8904000</x:v>
      </x:c>
      <x:c r="I200" s="163" t="n">
        <x:v>0.05</x:v>
      </x:c>
      <x:c r="J200" s="80" t="n">
        <x:f>H200*(1-I200)</x:f>
        <x:v>8458800</x:v>
      </x:c>
      <x:c r="K200" s="75" t="n">
        <x:f>IF(Portfolio_Par&gt;0,J200/Portfolio_Par,"")</x:f>
        <x:v>0.028196</x:v>
      </x:c>
      <x:c r="L200" s="150" t="str">
        <x:v>SYN-OB-0044, SYN-OB-0062, SYN-OB-0106, SYN-OB-0176, SYN-OB-0179, SYN-OB-0199, SYN-OB-0219, SYN-OB-0061</x:v>
      </x:c>
    </x:row>
    <x:row r="201" ht="39" customHeight="1">
      <x:c r="A201" s="150"/>
      <x:c r="B201" s="150"/>
      <x:c r="C201" s="154" t="str">
        <x:v>alternative_industry</x:v>
      </x:c>
      <x:c r="D201" s="154" t="str">
        <x:v>BBB+ through CCC-</x:v>
      </x:c>
      <x:c r="E201" s="154" t="str">
        <x:v>Electric Utilities</x:v>
      </x:c>
      <x:c r="F201" s="150" t="n">
        <x:v>12</x:v>
      </x:c>
      <x:c r="G201" s="150" t="n">
        <x:v>8</x:v>
      </x:c>
      <x:c r="H201" s="178" t="n">
        <x:v>8904000</x:v>
      </x:c>
      <x:c r="I201" s="163" t="n">
        <x:v>0.05</x:v>
      </x:c>
      <x:c r="J201" s="80" t="n">
        <x:f>H201*(1-I201)</x:f>
        <x:v>8458800</x:v>
      </x:c>
      <x:c r="K201" s="75" t="n">
        <x:f>IF(Portfolio_Par&gt;0,J201/Portfolio_Par,"")</x:f>
        <x:v>0.028196</x:v>
      </x:c>
      <x:c r="L201" s="150" t="str">
        <x:v>SYN-OB-0044, SYN-OB-0062, SYN-OB-0106, SYN-OB-0176, SYN-OB-0179, SYN-OB-0199, SYN-OB-0219, SYN-OB-0061</x:v>
      </x:c>
    </x:row>
    <x:row r="202" ht="39" customHeight="1">
      <x:c r="A202" s="150"/>
      <x:c r="B202" s="150"/>
      <x:c r="C202" s="154" t="str">
        <x:v>alternative_industry</x:v>
      </x:c>
      <x:c r="D202" s="154" t="str">
        <x:v>BB+ through CCC-</x:v>
      </x:c>
      <x:c r="E202" s="154" t="str">
        <x:v>Electric Utilities</x:v>
      </x:c>
      <x:c r="F202" s="150" t="n">
        <x:v>16</x:v>
      </x:c>
      <x:c r="G202" s="150" t="n">
        <x:v>8</x:v>
      </x:c>
      <x:c r="H202" s="178" t="n">
        <x:v>8904000</x:v>
      </x:c>
      <x:c r="I202" s="163" t="n">
        <x:v>0.05</x:v>
      </x:c>
      <x:c r="J202" s="80" t="n">
        <x:f>H202*(1-I202)</x:f>
        <x:v>8458800</x:v>
      </x:c>
      <x:c r="K202" s="75" t="n">
        <x:f>IF(Portfolio_Par&gt;0,J202/Portfolio_Par,"")</x:f>
        <x:v>0.028196</x:v>
      </x:c>
      <x:c r="L202" s="150" t="str">
        <x:v>SYN-OB-0044, SYN-OB-0062, SYN-OB-0106, SYN-OB-0176, SYN-OB-0179, SYN-OB-0199, SYN-OB-0219, SYN-OB-0061</x:v>
      </x:c>
    </x:row>
    <x:row r="203" ht="39" customHeight="1">
      <x:c r="A203" s="150"/>
      <x:c r="B203" s="150"/>
      <x:c r="C203" s="154" t="str">
        <x:v>alternative_industry</x:v>
      </x:c>
      <x:c r="D203" s="154" t="str">
        <x:v>B+ through CCC-</x:v>
      </x:c>
      <x:c r="E203" s="154" t="str">
        <x:v>Electric Utilities</x:v>
      </x:c>
      <x:c r="F203" s="150" t="n">
        <x:v>20</x:v>
      </x:c>
      <x:c r="G203" s="150" t="n">
        <x:v>7</x:v>
      </x:c>
      <x:c r="H203" s="178" t="n">
        <x:v>7722000</x:v>
      </x:c>
      <x:c r="I203" s="163" t="n">
        <x:v>0.05</x:v>
      </x:c>
      <x:c r="J203" s="80" t="n">
        <x:f>H203*(1-I203)</x:f>
        <x:v>7335900</x:v>
      </x:c>
      <x:c r="K203" s="75" t="n">
        <x:f>IF(Portfolio_Par&gt;0,J203/Portfolio_Par,"")</x:f>
        <x:v>0.024453</x:v>
      </x:c>
      <x:c r="L203" s="150" t="str">
        <x:v>SYN-OB-0044, SYN-OB-0062, SYN-OB-0106, SYN-OB-0176, SYN-OB-0179, SYN-OB-0219, SYN-OB-0061</x:v>
      </x:c>
    </x:row>
    <x:row r="204" ht="39" customHeight="1">
      <x:c r="A204" s="150"/>
      <x:c r="B204" s="150"/>
      <x:c r="C204" s="154" t="str">
        <x:v>alternative_industry</x:v>
      </x:c>
      <x:c r="D204" s="154" t="str">
        <x:v>CCC+ through CCC-</x:v>
      </x:c>
      <x:c r="E204" s="154" t="str">
        <x:v>Electric Utilities</x:v>
      </x:c>
      <x:c r="F204" s="150" t="n">
        <x:v>24</x:v>
      </x:c>
      <x:c r="G204" s="150" t="n">
        <x:v>0</x:v>
      </x:c>
      <x:c r="H204" s="178" t="n">
        <x:v>0</x:v>
      </x:c>
      <x:c r="I204" s="163" t="n">
        <x:v>0.05</x:v>
      </x:c>
      <x:c r="J204" s="80" t="n">
        <x:f>H204*(1-I204)</x:f>
        <x:v>0</x:v>
      </x:c>
      <x:c r="K204" s="75" t="n">
        <x:f>IF(Portfolio_Par&gt;0,J204/Portfolio_Par,"")</x:f>
        <x:v>0</x:v>
      </x:c>
      <x:c r="L204" s="150" t="str"/>
    </x:row>
    <x:row r="205" ht="39" customHeight="1">
      <x:c r="A205" s="150"/>
      <x:c r="B205" s="150"/>
      <x:c r="C205" s="154" t="str">
        <x:v>alternative_industry</x:v>
      </x:c>
      <x:c r="D205" s="154" t="str">
        <x:v>AAA through CCC-</x:v>
      </x:c>
      <x:c r="E205" s="154" t="str">
        <x:v>Electrical Equipment</x:v>
      </x:c>
      <x:c r="F205" s="150" t="n">
        <x:v>4</x:v>
      </x:c>
      <x:c r="G205" s="150" t="n">
        <x:v>2</x:v>
      </x:c>
      <x:c r="H205" s="178" t="n">
        <x:v>1260000</x:v>
      </x:c>
      <x:c r="I205" s="163" t="n">
        <x:v>0.05</x:v>
      </x:c>
      <x:c r="J205" s="80" t="n">
        <x:f>H205*(1-I205)</x:f>
        <x:v>1197000</x:v>
      </x:c>
      <x:c r="K205" s="75" t="n">
        <x:f>IF(Portfolio_Par&gt;0,J205/Portfolio_Par,"")</x:f>
        <x:v>0.00399</x:v>
      </x:c>
      <x:c r="L205" s="150" t="str">
        <x:v>SYN-OB-0070, SYN-OB-0088</x:v>
      </x:c>
    </x:row>
    <x:row r="206" ht="39" customHeight="1">
      <x:c r="A206" s="150"/>
      <x:c r="B206" s="150"/>
      <x:c r="C206" s="154" t="str">
        <x:v>alternative_industry</x:v>
      </x:c>
      <x:c r="D206" s="154" t="str">
        <x:v>AA+ through CCC-</x:v>
      </x:c>
      <x:c r="E206" s="154" t="str">
        <x:v>Electrical Equipment</x:v>
      </x:c>
      <x:c r="F206" s="150" t="n">
        <x:v>6</x:v>
      </x:c>
      <x:c r="G206" s="150" t="n">
        <x:v>2</x:v>
      </x:c>
      <x:c r="H206" s="178" t="n">
        <x:v>1260000</x:v>
      </x:c>
      <x:c r="I206" s="163" t="n">
        <x:v>0.05</x:v>
      </x:c>
      <x:c r="J206" s="80" t="n">
        <x:f>H206*(1-I206)</x:f>
        <x:v>1197000</x:v>
      </x:c>
      <x:c r="K206" s="75" t="n">
        <x:f>IF(Portfolio_Par&gt;0,J206/Portfolio_Par,"")</x:f>
        <x:v>0.00399</x:v>
      </x:c>
      <x:c r="L206" s="150" t="str">
        <x:v>SYN-OB-0070, SYN-OB-0088</x:v>
      </x:c>
    </x:row>
    <x:row r="207" ht="39" customHeight="1">
      <x:c r="A207" s="150"/>
      <x:c r="B207" s="150"/>
      <x:c r="C207" s="154" t="str">
        <x:v>alternative_industry</x:v>
      </x:c>
      <x:c r="D207" s="154" t="str">
        <x:v>A+ through CCC-</x:v>
      </x:c>
      <x:c r="E207" s="154" t="str">
        <x:v>Electrical Equipment</x:v>
      </x:c>
      <x:c r="F207" s="150" t="n">
        <x:v>8</x:v>
      </x:c>
      <x:c r="G207" s="150" t="n">
        <x:v>2</x:v>
      </x:c>
      <x:c r="H207" s="178" t="n">
        <x:v>1260000</x:v>
      </x:c>
      <x:c r="I207" s="163" t="n">
        <x:v>0.05</x:v>
      </x:c>
      <x:c r="J207" s="80" t="n">
        <x:f>H207*(1-I207)</x:f>
        <x:v>1197000</x:v>
      </x:c>
      <x:c r="K207" s="75" t="n">
        <x:f>IF(Portfolio_Par&gt;0,J207/Portfolio_Par,"")</x:f>
        <x:v>0.00399</x:v>
      </x:c>
      <x:c r="L207" s="150" t="str">
        <x:v>SYN-OB-0070, SYN-OB-0088</x:v>
      </x:c>
    </x:row>
    <x:row r="208" ht="39" customHeight="1">
      <x:c r="A208" s="150"/>
      <x:c r="B208" s="150"/>
      <x:c r="C208" s="154" t="str">
        <x:v>alternative_industry</x:v>
      </x:c>
      <x:c r="D208" s="154" t="str">
        <x:v>BBB+ through CCC-</x:v>
      </x:c>
      <x:c r="E208" s="154" t="str">
        <x:v>Electrical Equipment</x:v>
      </x:c>
      <x:c r="F208" s="150" t="n">
        <x:v>12</x:v>
      </x:c>
      <x:c r="G208" s="150" t="n">
        <x:v>2</x:v>
      </x:c>
      <x:c r="H208" s="178" t="n">
        <x:v>1260000</x:v>
      </x:c>
      <x:c r="I208" s="163" t="n">
        <x:v>0.05</x:v>
      </x:c>
      <x:c r="J208" s="80" t="n">
        <x:f>H208*(1-I208)</x:f>
        <x:v>1197000</x:v>
      </x:c>
      <x:c r="K208" s="75" t="n">
        <x:f>IF(Portfolio_Par&gt;0,J208/Portfolio_Par,"")</x:f>
        <x:v>0.00399</x:v>
      </x:c>
      <x:c r="L208" s="150" t="str">
        <x:v>SYN-OB-0070, SYN-OB-0088</x:v>
      </x:c>
    </x:row>
    <x:row r="209" ht="39" customHeight="1">
      <x:c r="A209" s="150"/>
      <x:c r="B209" s="150"/>
      <x:c r="C209" s="154" t="str">
        <x:v>alternative_industry</x:v>
      </x:c>
      <x:c r="D209" s="154" t="str">
        <x:v>BB+ through CCC-</x:v>
      </x:c>
      <x:c r="E209" s="154" t="str">
        <x:v>Electrical Equipment</x:v>
      </x:c>
      <x:c r="F209" s="150" t="n">
        <x:v>16</x:v>
      </x:c>
      <x:c r="G209" s="150" t="n">
        <x:v>1</x:v>
      </x:c>
      <x:c r="H209" s="178" t="n">
        <x:v>630000</x:v>
      </x:c>
      <x:c r="I209" s="163" t="n">
        <x:v>0.05</x:v>
      </x:c>
      <x:c r="J209" s="80" t="n">
        <x:f>H209*(1-I209)</x:f>
        <x:v>598500</x:v>
      </x:c>
      <x:c r="K209" s="75" t="n">
        <x:f>IF(Portfolio_Par&gt;0,J209/Portfolio_Par,"")</x:f>
        <x:v>0.001995</x:v>
      </x:c>
      <x:c r="L209" s="150" t="str">
        <x:v>SYN-OB-0070</x:v>
      </x:c>
    </x:row>
    <x:row r="210" ht="39" customHeight="1">
      <x:c r="A210" s="150"/>
      <x:c r="B210" s="150"/>
      <x:c r="C210" s="154" t="str">
        <x:v>alternative_industry</x:v>
      </x:c>
      <x:c r="D210" s="154" t="str">
        <x:v>B+ through CCC-</x:v>
      </x:c>
      <x:c r="E210" s="154" t="str">
        <x:v>Electrical Equipment</x:v>
      </x:c>
      <x:c r="F210" s="150" t="n">
        <x:v>20</x:v>
      </x:c>
      <x:c r="G210" s="150" t="n">
        <x:v>1</x:v>
      </x:c>
      <x:c r="H210" s="178" t="n">
        <x:v>630000</x:v>
      </x:c>
      <x:c r="I210" s="163" t="n">
        <x:v>0.05</x:v>
      </x:c>
      <x:c r="J210" s="80" t="n">
        <x:f>H210*(1-I210)</x:f>
        <x:v>598500</x:v>
      </x:c>
      <x:c r="K210" s="75" t="n">
        <x:f>IF(Portfolio_Par&gt;0,J210/Portfolio_Par,"")</x:f>
        <x:v>0.001995</x:v>
      </x:c>
      <x:c r="L210" s="150" t="str">
        <x:v>SYN-OB-0070</x:v>
      </x:c>
    </x:row>
    <x:row r="211" ht="39" customHeight="1">
      <x:c r="A211" s="150"/>
      <x:c r="B211" s="150"/>
      <x:c r="C211" s="154" t="str">
        <x:v>alternative_industry</x:v>
      </x:c>
      <x:c r="D211" s="154" t="str">
        <x:v>CCC+ through CCC-</x:v>
      </x:c>
      <x:c r="E211" s="154" t="str">
        <x:v>Electrical Equipment</x:v>
      </x:c>
      <x:c r="F211" s="150" t="n">
        <x:v>24</x:v>
      </x:c>
      <x:c r="G211" s="150" t="n">
        <x:v>0</x:v>
      </x:c>
      <x:c r="H211" s="178" t="n">
        <x:v>0</x:v>
      </x:c>
      <x:c r="I211" s="163" t="n">
        <x:v>0.05</x:v>
      </x:c>
      <x:c r="J211" s="80" t="n">
        <x:f>H211*(1-I211)</x:f>
        <x:v>0</x:v>
      </x:c>
      <x:c r="K211" s="75" t="n">
        <x:f>IF(Portfolio_Par&gt;0,J211/Portfolio_Par,"")</x:f>
        <x:v>0</x:v>
      </x:c>
      <x:c r="L211" s="150" t="str"/>
    </x:row>
    <x:row r="212" ht="39" customHeight="1">
      <x:c r="A212" s="150"/>
      <x:c r="B212" s="150"/>
      <x:c r="C212" s="154" t="str">
        <x:v>alternative_industry</x:v>
      </x:c>
      <x:c r="D212" s="154" t="str">
        <x:v>AAA through CCC-</x:v>
      </x:c>
      <x:c r="E212" s="154" t="str">
        <x:v>Electronic Equipment, Instruments &amp; Components</x:v>
      </x:c>
      <x:c r="F212" s="150" t="n">
        <x:v>4</x:v>
      </x:c>
      <x:c r="G212" s="150" t="n">
        <x:v>1</x:v>
      </x:c>
      <x:c r="H212" s="178" t="n">
        <x:v>1182000</x:v>
      </x:c>
      <x:c r="I212" s="163" t="n">
        <x:v>0.05</x:v>
      </x:c>
      <x:c r="J212" s="80" t="n">
        <x:f>H212*(1-I212)</x:f>
        <x:v>1122900</x:v>
      </x:c>
      <x:c r="K212" s="75" t="n">
        <x:f>IF(Portfolio_Par&gt;0,J212/Portfolio_Par,"")</x:f>
        <x:v>0.003743</x:v>
      </x:c>
      <x:c r="L212" s="150" t="str">
        <x:v>SYN-OB-0096</x:v>
      </x:c>
    </x:row>
    <x:row r="213" ht="39" customHeight="1">
      <x:c r="A213" s="150"/>
      <x:c r="B213" s="150"/>
      <x:c r="C213" s="154" t="str">
        <x:v>alternative_industry</x:v>
      </x:c>
      <x:c r="D213" s="154" t="str">
        <x:v>AA+ through CCC-</x:v>
      </x:c>
      <x:c r="E213" s="154" t="str">
        <x:v>Electronic Equipment, Instruments &amp; Components</x:v>
      </x:c>
      <x:c r="F213" s="150" t="n">
        <x:v>6</x:v>
      </x:c>
      <x:c r="G213" s="150" t="n">
        <x:v>1</x:v>
      </x:c>
      <x:c r="H213" s="178" t="n">
        <x:v>1182000</x:v>
      </x:c>
      <x:c r="I213" s="163" t="n">
        <x:v>0.05</x:v>
      </x:c>
      <x:c r="J213" s="80" t="n">
        <x:f>H213*(1-I213)</x:f>
        <x:v>1122900</x:v>
      </x:c>
      <x:c r="K213" s="75" t="n">
        <x:f>IF(Portfolio_Par&gt;0,J213/Portfolio_Par,"")</x:f>
        <x:v>0.003743</x:v>
      </x:c>
      <x:c r="L213" s="150" t="str">
        <x:v>SYN-OB-0096</x:v>
      </x:c>
    </x:row>
    <x:row r="214" ht="39" customHeight="1">
      <x:c r="A214" s="150"/>
      <x:c r="B214" s="150"/>
      <x:c r="C214" s="154" t="str">
        <x:v>alternative_industry</x:v>
      </x:c>
      <x:c r="D214" s="154" t="str">
        <x:v>A+ through CCC-</x:v>
      </x:c>
      <x:c r="E214" s="154" t="str">
        <x:v>Electronic Equipment, Instruments &amp; Components</x:v>
      </x:c>
      <x:c r="F214" s="150" t="n">
        <x:v>8</x:v>
      </x:c>
      <x:c r="G214" s="150" t="n">
        <x:v>1</x:v>
      </x:c>
      <x:c r="H214" s="178" t="n">
        <x:v>1182000</x:v>
      </x:c>
      <x:c r="I214" s="163" t="n">
        <x:v>0.05</x:v>
      </x:c>
      <x:c r="J214" s="80" t="n">
        <x:f>H214*(1-I214)</x:f>
        <x:v>1122900</x:v>
      </x:c>
      <x:c r="K214" s="75" t="n">
        <x:f>IF(Portfolio_Par&gt;0,J214/Portfolio_Par,"")</x:f>
        <x:v>0.003743</x:v>
      </x:c>
      <x:c r="L214" s="150" t="str">
        <x:v>SYN-OB-0096</x:v>
      </x:c>
    </x:row>
    <x:row r="215" ht="39" customHeight="1">
      <x:c r="A215" s="150"/>
      <x:c r="B215" s="150"/>
      <x:c r="C215" s="154" t="str">
        <x:v>alternative_industry</x:v>
      </x:c>
      <x:c r="D215" s="154" t="str">
        <x:v>BBB+ through CCC-</x:v>
      </x:c>
      <x:c r="E215" s="154" t="str">
        <x:v>Electronic Equipment, Instruments &amp; Components</x:v>
      </x:c>
      <x:c r="F215" s="150" t="n">
        <x:v>12</x:v>
      </x:c>
      <x:c r="G215" s="150" t="n">
        <x:v>1</x:v>
      </x:c>
      <x:c r="H215" s="178" t="n">
        <x:v>1182000</x:v>
      </x:c>
      <x:c r="I215" s="163" t="n">
        <x:v>0.05</x:v>
      </x:c>
      <x:c r="J215" s="80" t="n">
        <x:f>H215*(1-I215)</x:f>
        <x:v>1122900</x:v>
      </x:c>
      <x:c r="K215" s="75" t="n">
        <x:f>IF(Portfolio_Par&gt;0,J215/Portfolio_Par,"")</x:f>
        <x:v>0.003743</x:v>
      </x:c>
      <x:c r="L215" s="150" t="str">
        <x:v>SYN-OB-0096</x:v>
      </x:c>
    </x:row>
    <x:row r="216" ht="39" customHeight="1">
      <x:c r="A216" s="150"/>
      <x:c r="B216" s="150"/>
      <x:c r="C216" s="154" t="str">
        <x:v>alternative_industry</x:v>
      </x:c>
      <x:c r="D216" s="154" t="str">
        <x:v>BB+ through CCC-</x:v>
      </x:c>
      <x:c r="E216" s="154" t="str">
        <x:v>Electronic Equipment, Instruments &amp; Components</x:v>
      </x:c>
      <x:c r="F216" s="150" t="n">
        <x:v>16</x:v>
      </x:c>
      <x:c r="G216" s="150" t="n">
        <x:v>1</x:v>
      </x:c>
      <x:c r="H216" s="178" t="n">
        <x:v>1182000</x:v>
      </x:c>
      <x:c r="I216" s="163" t="n">
        <x:v>0.05</x:v>
      </x:c>
      <x:c r="J216" s="80" t="n">
        <x:f>H216*(1-I216)</x:f>
        <x:v>1122900</x:v>
      </x:c>
      <x:c r="K216" s="75" t="n">
        <x:f>IF(Portfolio_Par&gt;0,J216/Portfolio_Par,"")</x:f>
        <x:v>0.003743</x:v>
      </x:c>
      <x:c r="L216" s="150" t="str">
        <x:v>SYN-OB-0096</x:v>
      </x:c>
    </x:row>
    <x:row r="217" ht="39" customHeight="1">
      <x:c r="A217" s="150"/>
      <x:c r="B217" s="150"/>
      <x:c r="C217" s="154" t="str">
        <x:v>alternative_industry</x:v>
      </x:c>
      <x:c r="D217" s="154" t="str">
        <x:v>B+ through CCC-</x:v>
      </x:c>
      <x:c r="E217" s="154" t="str">
        <x:v>Electronic Equipment, Instruments &amp; Components</x:v>
      </x:c>
      <x:c r="F217" s="150" t="n">
        <x:v>20</x:v>
      </x:c>
      <x:c r="G217" s="150" t="n">
        <x:v>1</x:v>
      </x:c>
      <x:c r="H217" s="178" t="n">
        <x:v>1182000</x:v>
      </x:c>
      <x:c r="I217" s="163" t="n">
        <x:v>0.05</x:v>
      </x:c>
      <x:c r="J217" s="80" t="n">
        <x:f>H217*(1-I217)</x:f>
        <x:v>1122900</x:v>
      </x:c>
      <x:c r="K217" s="75" t="n">
        <x:f>IF(Portfolio_Par&gt;0,J217/Portfolio_Par,"")</x:f>
        <x:v>0.003743</x:v>
      </x:c>
      <x:c r="L217" s="150" t="str">
        <x:v>SYN-OB-0096</x:v>
      </x:c>
    </x:row>
    <x:row r="218" ht="39" customHeight="1">
      <x:c r="A218" s="150"/>
      <x:c r="B218" s="150"/>
      <x:c r="C218" s="154" t="str">
        <x:v>alternative_industry</x:v>
      </x:c>
      <x:c r="D218" s="154" t="str">
        <x:v>CCC+ through CCC-</x:v>
      </x:c>
      <x:c r="E218" s="154" t="str">
        <x:v>Electronic Equipment, Instruments &amp; Components</x:v>
      </x:c>
      <x:c r="F218" s="150" t="n">
        <x:v>24</x:v>
      </x:c>
      <x:c r="G218" s="150" t="n">
        <x:v>0</x:v>
      </x:c>
      <x:c r="H218" s="178" t="n">
        <x:v>0</x:v>
      </x:c>
      <x:c r="I218" s="163" t="n">
        <x:v>0.05</x:v>
      </x:c>
      <x:c r="J218" s="80" t="n">
        <x:f>H218*(1-I218)</x:f>
        <x:v>0</x:v>
      </x:c>
      <x:c r="K218" s="75" t="n">
        <x:f>IF(Portfolio_Par&gt;0,J218/Portfolio_Par,"")</x:f>
        <x:v>0</x:v>
      </x:c>
      <x:c r="L218" s="150" t="str"/>
    </x:row>
    <x:row r="219" ht="39" customHeight="1">
      <x:c r="A219" s="150"/>
      <x:c r="B219" s="150"/>
      <x:c r="C219" s="154" t="str">
        <x:v>alternative_industry</x:v>
      </x:c>
      <x:c r="D219" s="154" t="str">
        <x:v>AAA through CCC-</x:v>
      </x:c>
      <x:c r="E219" s="154" t="str">
        <x:v>Energy Equipment &amp; Services</x:v>
      </x:c>
      <x:c r="F219" s="150" t="n">
        <x:v>4</x:v>
      </x:c>
      <x:c r="G219" s="150" t="n">
        <x:v>3</x:v>
      </x:c>
      <x:c r="H219" s="178" t="n">
        <x:v>3546000</x:v>
      </x:c>
      <x:c r="I219" s="163" t="n">
        <x:v>0.05</x:v>
      </x:c>
      <x:c r="J219" s="80" t="n">
        <x:f>H219*(1-I219)</x:f>
        <x:v>3368700</x:v>
      </x:c>
      <x:c r="K219" s="75" t="n">
        <x:f>IF(Portfolio_Par&gt;0,J219/Portfolio_Par,"")</x:f>
        <x:v>0.011229</x:v>
      </x:c>
      <x:c r="L219" s="150" t="str">
        <x:v>SYN-OB-0037, SYN-OB-0127, SYN-OB-0182</x:v>
      </x:c>
    </x:row>
    <x:row r="220" ht="39" customHeight="1">
      <x:c r="A220" s="150"/>
      <x:c r="B220" s="150"/>
      <x:c r="C220" s="154" t="str">
        <x:v>alternative_industry</x:v>
      </x:c>
      <x:c r="D220" s="154" t="str">
        <x:v>AA+ through CCC-</x:v>
      </x:c>
      <x:c r="E220" s="154" t="str">
        <x:v>Energy Equipment &amp; Services</x:v>
      </x:c>
      <x:c r="F220" s="150" t="n">
        <x:v>6</x:v>
      </x:c>
      <x:c r="G220" s="150" t="n">
        <x:v>3</x:v>
      </x:c>
      <x:c r="H220" s="178" t="n">
        <x:v>3546000</x:v>
      </x:c>
      <x:c r="I220" s="163" t="n">
        <x:v>0.05</x:v>
      </x:c>
      <x:c r="J220" s="80" t="n">
        <x:f>H220*(1-I220)</x:f>
        <x:v>3368700</x:v>
      </x:c>
      <x:c r="K220" s="75" t="n">
        <x:f>IF(Portfolio_Par&gt;0,J220/Portfolio_Par,"")</x:f>
        <x:v>0.011229</x:v>
      </x:c>
      <x:c r="L220" s="150" t="str">
        <x:v>SYN-OB-0037, SYN-OB-0127, SYN-OB-0182</x:v>
      </x:c>
    </x:row>
    <x:row r="221" ht="39" customHeight="1">
      <x:c r="A221" s="150"/>
      <x:c r="B221" s="150"/>
      <x:c r="C221" s="154" t="str">
        <x:v>alternative_industry</x:v>
      </x:c>
      <x:c r="D221" s="154" t="str">
        <x:v>A+ through CCC-</x:v>
      </x:c>
      <x:c r="E221" s="154" t="str">
        <x:v>Energy Equipment &amp; Services</x:v>
      </x:c>
      <x:c r="F221" s="150" t="n">
        <x:v>8</x:v>
      </x:c>
      <x:c r="G221" s="150" t="n">
        <x:v>3</x:v>
      </x:c>
      <x:c r="H221" s="178" t="n">
        <x:v>3546000</x:v>
      </x:c>
      <x:c r="I221" s="163" t="n">
        <x:v>0.05</x:v>
      </x:c>
      <x:c r="J221" s="80" t="n">
        <x:f>H221*(1-I221)</x:f>
        <x:v>3368700</x:v>
      </x:c>
      <x:c r="K221" s="75" t="n">
        <x:f>IF(Portfolio_Par&gt;0,J221/Portfolio_Par,"")</x:f>
        <x:v>0.011229</x:v>
      </x:c>
      <x:c r="L221" s="150" t="str">
        <x:v>SYN-OB-0037, SYN-OB-0127, SYN-OB-0182</x:v>
      </x:c>
    </x:row>
    <x:row r="222" ht="39" customHeight="1">
      <x:c r="A222" s="150"/>
      <x:c r="B222" s="150"/>
      <x:c r="C222" s="154" t="str">
        <x:v>alternative_industry</x:v>
      </x:c>
      <x:c r="D222" s="154" t="str">
        <x:v>BBB+ through CCC-</x:v>
      </x:c>
      <x:c r="E222" s="154" t="str">
        <x:v>Energy Equipment &amp; Services</x:v>
      </x:c>
      <x:c r="F222" s="150" t="n">
        <x:v>12</x:v>
      </x:c>
      <x:c r="G222" s="150" t="n">
        <x:v>3</x:v>
      </x:c>
      <x:c r="H222" s="178" t="n">
        <x:v>3546000</x:v>
      </x:c>
      <x:c r="I222" s="163" t="n">
        <x:v>0.05</x:v>
      </x:c>
      <x:c r="J222" s="80" t="n">
        <x:f>H222*(1-I222)</x:f>
        <x:v>3368700</x:v>
      </x:c>
      <x:c r="K222" s="75" t="n">
        <x:f>IF(Portfolio_Par&gt;0,J222/Portfolio_Par,"")</x:f>
        <x:v>0.011229</x:v>
      </x:c>
      <x:c r="L222" s="150" t="str">
        <x:v>SYN-OB-0037, SYN-OB-0127, SYN-OB-0182</x:v>
      </x:c>
    </x:row>
    <x:row r="223" ht="39" customHeight="1">
      <x:c r="A223" s="150"/>
      <x:c r="B223" s="150"/>
      <x:c r="C223" s="154" t="str">
        <x:v>alternative_industry</x:v>
      </x:c>
      <x:c r="D223" s="154" t="str">
        <x:v>BB+ through CCC-</x:v>
      </x:c>
      <x:c r="E223" s="154" t="str">
        <x:v>Energy Equipment &amp; Services</x:v>
      </x:c>
      <x:c r="F223" s="150" t="n">
        <x:v>16</x:v>
      </x:c>
      <x:c r="G223" s="150" t="n">
        <x:v>3</x:v>
      </x:c>
      <x:c r="H223" s="178" t="n">
        <x:v>3546000</x:v>
      </x:c>
      <x:c r="I223" s="163" t="n">
        <x:v>0.05</x:v>
      </x:c>
      <x:c r="J223" s="80" t="n">
        <x:f>H223*(1-I223)</x:f>
        <x:v>3368700</x:v>
      </x:c>
      <x:c r="K223" s="75" t="n">
        <x:f>IF(Portfolio_Par&gt;0,J223/Portfolio_Par,"")</x:f>
        <x:v>0.011229</x:v>
      </x:c>
      <x:c r="L223" s="150" t="str">
        <x:v>SYN-OB-0037, SYN-OB-0127, SYN-OB-0182</x:v>
      </x:c>
    </x:row>
    <x:row r="224" ht="39" customHeight="1">
      <x:c r="A224" s="150"/>
      <x:c r="B224" s="150"/>
      <x:c r="C224" s="154" t="str">
        <x:v>alternative_industry</x:v>
      </x:c>
      <x:c r="D224" s="154" t="str">
        <x:v>B+ through CCC-</x:v>
      </x:c>
      <x:c r="E224" s="154" t="str">
        <x:v>Energy Equipment &amp; Services</x:v>
      </x:c>
      <x:c r="F224" s="150" t="n">
        <x:v>20</x:v>
      </x:c>
      <x:c r="G224" s="150" t="n">
        <x:v>3</x:v>
      </x:c>
      <x:c r="H224" s="178" t="n">
        <x:v>3546000</x:v>
      </x:c>
      <x:c r="I224" s="163" t="n">
        <x:v>0.05</x:v>
      </x:c>
      <x:c r="J224" s="80" t="n">
        <x:f>H224*(1-I224)</x:f>
        <x:v>3368700</x:v>
      </x:c>
      <x:c r="K224" s="75" t="n">
        <x:f>IF(Portfolio_Par&gt;0,J224/Portfolio_Par,"")</x:f>
        <x:v>0.011229</x:v>
      </x:c>
      <x:c r="L224" s="150" t="str">
        <x:v>SYN-OB-0037, SYN-OB-0127, SYN-OB-0182</x:v>
      </x:c>
    </x:row>
    <x:row r="225" ht="39" customHeight="1">
      <x:c r="A225" s="150"/>
      <x:c r="B225" s="150"/>
      <x:c r="C225" s="154" t="str">
        <x:v>alternative_industry</x:v>
      </x:c>
      <x:c r="D225" s="154" t="str">
        <x:v>CCC+ through CCC-</x:v>
      </x:c>
      <x:c r="E225" s="154" t="str">
        <x:v>Energy Equipment &amp; Services</x:v>
      </x:c>
      <x:c r="F225" s="150" t="n">
        <x:v>24</x:v>
      </x:c>
      <x:c r="G225" s="150" t="n">
        <x:v>0</x:v>
      </x:c>
      <x:c r="H225" s="178" t="n">
        <x:v>0</x:v>
      </x:c>
      <x:c r="I225" s="163" t="n">
        <x:v>0.05</x:v>
      </x:c>
      <x:c r="J225" s="80" t="n">
        <x:f>H225*(1-I225)</x:f>
        <x:v>0</x:v>
      </x:c>
      <x:c r="K225" s="75" t="n">
        <x:f>IF(Portfolio_Par&gt;0,J225/Portfolio_Par,"")</x:f>
        <x:v>0</x:v>
      </x:c>
      <x:c r="L225" s="150" t="str"/>
    </x:row>
    <x:row r="226" ht="39" customHeight="1">
      <x:c r="A226" s="150"/>
      <x:c r="B226" s="150"/>
      <x:c r="C226" s="154" t="str">
        <x:v>alternative_industry</x:v>
      </x:c>
      <x:c r="D226" s="154" t="str">
        <x:v>AAA through CCC-</x:v>
      </x:c>
      <x:c r="E226" s="154" t="str">
        <x:v>Financial services</x:v>
      </x:c>
      <x:c r="F226" s="150" t="n">
        <x:v>4</x:v>
      </x:c>
      <x:c r="G226" s="150" t="n">
        <x:v>4</x:v>
      </x:c>
      <x:c r="H226" s="178" t="n">
        <x:v>4728000</x:v>
      </x:c>
      <x:c r="I226" s="163" t="n">
        <x:v>0.05</x:v>
      </x:c>
      <x:c r="J226" s="80" t="n">
        <x:f>H226*(1-I226)</x:f>
        <x:v>4491600</x:v>
      </x:c>
      <x:c r="K226" s="75" t="n">
        <x:f>IF(Portfolio_Par&gt;0,J226/Portfolio_Par,"")</x:f>
        <x:v>0.014972</x:v>
      </x:c>
      <x:c r="L226" s="150" t="str">
        <x:v>SYN-OB-0004, SYN-OB-0028, SYN-OB-0064, SYN-OB-0066</x:v>
      </x:c>
    </x:row>
    <x:row r="227" ht="39" customHeight="1">
      <x:c r="A227" s="150"/>
      <x:c r="B227" s="150"/>
      <x:c r="C227" s="154" t="str">
        <x:v>alternative_industry</x:v>
      </x:c>
      <x:c r="D227" s="154" t="str">
        <x:v>AA+ through CCC-</x:v>
      </x:c>
      <x:c r="E227" s="154" t="str">
        <x:v>Financial services</x:v>
      </x:c>
      <x:c r="F227" s="150" t="n">
        <x:v>6</x:v>
      </x:c>
      <x:c r="G227" s="150" t="n">
        <x:v>6</x:v>
      </x:c>
      <x:c r="H227" s="178" t="n">
        <x:v>7092000</x:v>
      </x:c>
      <x:c r="I227" s="163" t="n">
        <x:v>0.05</x:v>
      </x:c>
      <x:c r="J227" s="80" t="n">
        <x:f>H227*(1-I227)</x:f>
        <x:v>6737400</x:v>
      </x:c>
      <x:c r="K227" s="75" t="n">
        <x:f>IF(Portfolio_Par&gt;0,J227/Portfolio_Par,"")</x:f>
        <x:v>0.022458</x:v>
      </x:c>
      <x:c r="L227" s="150" t="str">
        <x:v>SYN-OB-0004, SYN-OB-0028, SYN-OB-0064, SYN-OB-0066, SYN-OB-0099, SYN-OB-0119</x:v>
      </x:c>
    </x:row>
    <x:row r="228" ht="39" customHeight="1">
      <x:c r="A228" s="150"/>
      <x:c r="B228" s="150"/>
      <x:c r="C228" s="154" t="str">
        <x:v>alternative_industry</x:v>
      </x:c>
      <x:c r="D228" s="154" t="str">
        <x:v>A+ through CCC-</x:v>
      </x:c>
      <x:c r="E228" s="154" t="str">
        <x:v>Financial services</x:v>
      </x:c>
      <x:c r="F228" s="150" t="n">
        <x:v>8</x:v>
      </x:c>
      <x:c r="G228" s="150" t="n">
        <x:v>8</x:v>
      </x:c>
      <x:c r="H228" s="178" t="n">
        <x:v>9456000</x:v>
      </x:c>
      <x:c r="I228" s="163" t="n">
        <x:v>0.05</x:v>
      </x:c>
      <x:c r="J228" s="80" t="n">
        <x:f>H228*(1-I228)</x:f>
        <x:v>8983200</x:v>
      </x:c>
      <x:c r="K228" s="75" t="n">
        <x:f>IF(Portfolio_Par&gt;0,J228/Portfolio_Par,"")</x:f>
        <x:v>0.029944</x:v>
      </x:c>
      <x:c r="L228" s="150" t="str">
        <x:v>SYN-OB-0004, SYN-OB-0028, SYN-OB-0064, SYN-OB-0066, SYN-OB-0099, SYN-OB-0119, SYN-OB-0148, SYN-OB-0149</x:v>
      </x:c>
    </x:row>
    <x:row r="229" ht="39" customHeight="1">
      <x:c r="A229" s="150"/>
      <x:c r="B229" s="150"/>
      <x:c r="C229" s="154" t="str">
        <x:v>alternative_industry</x:v>
      </x:c>
      <x:c r="D229" s="154" t="str">
        <x:v>BBB+ through CCC-</x:v>
      </x:c>
      <x:c r="E229" s="154" t="str">
        <x:v>Financial services</x:v>
      </x:c>
      <x:c r="F229" s="150" t="n">
        <x:v>12</x:v>
      </x:c>
      <x:c r="G229" s="150" t="n">
        <x:v>10</x:v>
      </x:c>
      <x:c r="H229" s="178" t="n">
        <x:v>11268000</x:v>
      </x:c>
      <x:c r="I229" s="163" t="n">
        <x:v>0.05</x:v>
      </x:c>
      <x:c r="J229" s="80" t="n">
        <x:f>H229*(1-I229)</x:f>
        <x:v>10704600</x:v>
      </x:c>
      <x:c r="K229" s="75" t="n">
        <x:f>IF(Portfolio_Par&gt;0,J229/Portfolio_Par,"")</x:f>
        <x:v>0.035682</x:v>
      </x:c>
      <x:c r="L229" s="150" t="str">
        <x:v>SYN-OB-0004, SYN-OB-0028, SYN-OB-0064, SYN-OB-0066, SYN-OB-0099, SYN-OB-0119, SYN-OB-0148, SYN-OB-0149, SYN-OB-0165, SYN-OB-0048</x:v>
      </x:c>
    </x:row>
    <x:row r="230" ht="39" customHeight="1">
      <x:c r="A230" s="150"/>
      <x:c r="B230" s="150"/>
      <x:c r="C230" s="154" t="str">
        <x:v>alternative_industry</x:v>
      </x:c>
      <x:c r="D230" s="154" t="str">
        <x:v>BB+ through CCC-</x:v>
      </x:c>
      <x:c r="E230" s="154" t="str">
        <x:v>Financial services</x:v>
      </x:c>
      <x:c r="F230" s="150" t="n">
        <x:v>16</x:v>
      </x:c>
      <x:c r="G230" s="150" t="n">
        <x:v>9</x:v>
      </x:c>
      <x:c r="H230" s="178" t="n">
        <x:v>10638000</x:v>
      </x:c>
      <x:c r="I230" s="163" t="n">
        <x:v>0.05</x:v>
      </x:c>
      <x:c r="J230" s="80" t="n">
        <x:f>H230*(1-I230)</x:f>
        <x:v>10106100</x:v>
      </x:c>
      <x:c r="K230" s="75" t="n">
        <x:f>IF(Portfolio_Par&gt;0,J230/Portfolio_Par,"")</x:f>
        <x:v>0.033687</x:v>
      </x:c>
      <x:c r="L230" s="150" t="str">
        <x:v>SYN-OB-0004, SYN-OB-0028, SYN-OB-0064, SYN-OB-0066, SYN-OB-0099, SYN-OB-0119, SYN-OB-0148, SYN-OB-0149, SYN-OB-0165</x:v>
      </x:c>
    </x:row>
    <x:row r="231" ht="39" customHeight="1">
      <x:c r="A231" s="150"/>
      <x:c r="B231" s="150"/>
      <x:c r="C231" s="154" t="str">
        <x:v>alternative_industry</x:v>
      </x:c>
      <x:c r="D231" s="154" t="str">
        <x:v>B+ through CCC-</x:v>
      </x:c>
      <x:c r="E231" s="154" t="str">
        <x:v>Financial services</x:v>
      </x:c>
      <x:c r="F231" s="150" t="n">
        <x:v>20</x:v>
      </x:c>
      <x:c r="G231" s="150" t="n">
        <x:v>9</x:v>
      </x:c>
      <x:c r="H231" s="178" t="n">
        <x:v>10638000</x:v>
      </x:c>
      <x:c r="I231" s="163" t="n">
        <x:v>0.05</x:v>
      </x:c>
      <x:c r="J231" s="80" t="n">
        <x:f>H231*(1-I231)</x:f>
        <x:v>10106100</x:v>
      </x:c>
      <x:c r="K231" s="75" t="n">
        <x:f>IF(Portfolio_Par&gt;0,J231/Portfolio_Par,"")</x:f>
        <x:v>0.033687</x:v>
      </x:c>
      <x:c r="L231" s="150" t="str">
        <x:v>SYN-OB-0004, SYN-OB-0028, SYN-OB-0064, SYN-OB-0066, SYN-OB-0099, SYN-OB-0119, SYN-OB-0148, SYN-OB-0149, SYN-OB-0165</x:v>
      </x:c>
    </x:row>
    <x:row r="232" ht="39" customHeight="1">
      <x:c r="A232" s="150"/>
      <x:c r="B232" s="150"/>
      <x:c r="C232" s="154" t="str">
        <x:v>alternative_industry</x:v>
      </x:c>
      <x:c r="D232" s="154" t="str">
        <x:v>CCC+ through CCC-</x:v>
      </x:c>
      <x:c r="E232" s="154" t="str">
        <x:v>Financial services</x:v>
      </x:c>
      <x:c r="F232" s="150" t="n">
        <x:v>24</x:v>
      </x:c>
      <x:c r="G232" s="150" t="n">
        <x:v>0</x:v>
      </x:c>
      <x:c r="H232" s="178" t="n">
        <x:v>0</x:v>
      </x:c>
      <x:c r="I232" s="163" t="n">
        <x:v>0.05</x:v>
      </x:c>
      <x:c r="J232" s="80" t="n">
        <x:f>H232*(1-I232)</x:f>
        <x:v>0</x:v>
      </x:c>
      <x:c r="K232" s="75" t="n">
        <x:f>IF(Portfolio_Par&gt;0,J232/Portfolio_Par,"")</x:f>
        <x:v>0</x:v>
      </x:c>
      <x:c r="L232" s="150" t="str"/>
    </x:row>
    <x:row r="233" ht="39" customHeight="1">
      <x:c r="A233" s="150"/>
      <x:c r="B233" s="150"/>
      <x:c r="C233" s="154" t="str">
        <x:v>alternative_industry</x:v>
      </x:c>
      <x:c r="D233" s="154" t="str">
        <x:v>AAA through CCC-</x:v>
      </x:c>
      <x:c r="E233" s="154" t="str">
        <x:v>Food Products</x:v>
      </x:c>
      <x:c r="F233" s="150" t="n">
        <x:v>4</x:v>
      </x:c>
      <x:c r="G233" s="150" t="n">
        <x:v>4</x:v>
      </x:c>
      <x:c r="H233" s="178" t="n">
        <x:v>4728000</x:v>
      </x:c>
      <x:c r="I233" s="163" t="n">
        <x:v>0.05</x:v>
      </x:c>
      <x:c r="J233" s="80" t="n">
        <x:f>H233*(1-I233)</x:f>
        <x:v>4491600</x:v>
      </x:c>
      <x:c r="K233" s="75" t="n">
        <x:f>IF(Portfolio_Par&gt;0,J233/Portfolio_Par,"")</x:f>
        <x:v>0.014972</x:v>
      </x:c>
      <x:c r="L233" s="150" t="str">
        <x:v>SYN-OB-0051, SYN-OB-0177, SYN-OB-0214, SYN-OB-0231</x:v>
      </x:c>
    </x:row>
    <x:row r="234" ht="39" customHeight="1">
      <x:c r="A234" s="150"/>
      <x:c r="B234" s="150"/>
      <x:c r="C234" s="154" t="str">
        <x:v>alternative_industry</x:v>
      </x:c>
      <x:c r="D234" s="154" t="str">
        <x:v>AA+ through CCC-</x:v>
      </x:c>
      <x:c r="E234" s="154" t="str">
        <x:v>Food Products</x:v>
      </x:c>
      <x:c r="F234" s="150" t="n">
        <x:v>6</x:v>
      </x:c>
      <x:c r="G234" s="150" t="n">
        <x:v>6</x:v>
      </x:c>
      <x:c r="H234" s="178" t="n">
        <x:v>7092000</x:v>
      </x:c>
      <x:c r="I234" s="163" t="n">
        <x:v>0.05</x:v>
      </x:c>
      <x:c r="J234" s="80" t="n">
        <x:f>H234*(1-I234)</x:f>
        <x:v>6737400</x:v>
      </x:c>
      <x:c r="K234" s="75" t="n">
        <x:f>IF(Portfolio_Par&gt;0,J234/Portfolio_Par,"")</x:f>
        <x:v>0.022458</x:v>
      </x:c>
      <x:c r="L234" s="150" t="str">
        <x:v>SYN-OB-0051, SYN-OB-0177, SYN-OB-0214, SYN-OB-0231, SYN-OB-0261, SYN-OB-0267</x:v>
      </x:c>
    </x:row>
    <x:row r="235" ht="39" customHeight="1">
      <x:c r="A235" s="150"/>
      <x:c r="B235" s="150"/>
      <x:c r="C235" s="154" t="str">
        <x:v>alternative_industry</x:v>
      </x:c>
      <x:c r="D235" s="154" t="str">
        <x:v>A+ through CCC-</x:v>
      </x:c>
      <x:c r="E235" s="154" t="str">
        <x:v>Food Products</x:v>
      </x:c>
      <x:c r="F235" s="150" t="n">
        <x:v>8</x:v>
      </x:c>
      <x:c r="G235" s="150" t="n">
        <x:v>8</x:v>
      </x:c>
      <x:c r="H235" s="178" t="n">
        <x:v>8904000</x:v>
      </x:c>
      <x:c r="I235" s="163" t="n">
        <x:v>0.05</x:v>
      </x:c>
      <x:c r="J235" s="80" t="n">
        <x:f>H235*(1-I235)</x:f>
        <x:v>8458800</x:v>
      </x:c>
      <x:c r="K235" s="75" t="n">
        <x:f>IF(Portfolio_Par&gt;0,J235/Portfolio_Par,"")</x:f>
        <x:v>0.028196</x:v>
      </x:c>
      <x:c r="L235" s="150" t="str">
        <x:v>SYN-OB-0051, SYN-OB-0177, SYN-OB-0214, SYN-OB-0231, SYN-OB-0261, SYN-OB-0267, SYN-OB-0268, SYN-OB-0200</x:v>
      </x:c>
    </x:row>
    <x:row r="236" ht="39" customHeight="1">
      <x:c r="A236" s="150"/>
      <x:c r="B236" s="150"/>
      <x:c r="C236" s="154" t="str">
        <x:v>alternative_industry</x:v>
      </x:c>
      <x:c r="D236" s="154" t="str">
        <x:v>BBB+ through CCC-</x:v>
      </x:c>
      <x:c r="E236" s="154" t="str">
        <x:v>Food Products</x:v>
      </x:c>
      <x:c r="F236" s="150" t="n">
        <x:v>12</x:v>
      </x:c>
      <x:c r="G236" s="150" t="n">
        <x:v>9</x:v>
      </x:c>
      <x:c r="H236" s="178" t="n">
        <x:v>9534000</x:v>
      </x:c>
      <x:c r="I236" s="163" t="n">
        <x:v>0.05</x:v>
      </x:c>
      <x:c r="J236" s="80" t="n">
        <x:f>H236*(1-I236)</x:f>
        <x:v>9057300</x:v>
      </x:c>
      <x:c r="K236" s="75" t="n">
        <x:f>IF(Portfolio_Par&gt;0,J236/Portfolio_Par,"")</x:f>
        <x:v>0.030191</x:v>
      </x:c>
      <x:c r="L236" s="150" t="str">
        <x:v>SYN-OB-0051, SYN-OB-0177, SYN-OB-0214, SYN-OB-0231, SYN-OB-0261, SYN-OB-0267, SYN-OB-0268, SYN-OB-0200, SYN-OB-0202</x:v>
      </x:c>
    </x:row>
    <x:row r="237" ht="39" customHeight="1">
      <x:c r="A237" s="150"/>
      <x:c r="B237" s="150"/>
      <x:c r="C237" s="154" t="str">
        <x:v>alternative_industry</x:v>
      </x:c>
      <x:c r="D237" s="154" t="str">
        <x:v>BB+ through CCC-</x:v>
      </x:c>
      <x:c r="E237" s="154" t="str">
        <x:v>Food Products</x:v>
      </x:c>
      <x:c r="F237" s="150" t="n">
        <x:v>16</x:v>
      </x:c>
      <x:c r="G237" s="150" t="n">
        <x:v>9</x:v>
      </x:c>
      <x:c r="H237" s="178" t="n">
        <x:v>9534000</x:v>
      </x:c>
      <x:c r="I237" s="163" t="n">
        <x:v>0.05</x:v>
      </x:c>
      <x:c r="J237" s="80" t="n">
        <x:f>H237*(1-I237)</x:f>
        <x:v>9057300</x:v>
      </x:c>
      <x:c r="K237" s="75" t="n">
        <x:f>IF(Portfolio_Par&gt;0,J237/Portfolio_Par,"")</x:f>
        <x:v>0.030191</x:v>
      </x:c>
      <x:c r="L237" s="150" t="str">
        <x:v>SYN-OB-0051, SYN-OB-0177, SYN-OB-0214, SYN-OB-0231, SYN-OB-0261, SYN-OB-0267, SYN-OB-0268, SYN-OB-0200, SYN-OB-0202</x:v>
      </x:c>
    </x:row>
    <x:row r="238" ht="39" customHeight="1">
      <x:c r="A238" s="150"/>
      <x:c r="B238" s="150"/>
      <x:c r="C238" s="154" t="str">
        <x:v>alternative_industry</x:v>
      </x:c>
      <x:c r="D238" s="154" t="str">
        <x:v>B+ through CCC-</x:v>
      </x:c>
      <x:c r="E238" s="154" t="str">
        <x:v>Food Products</x:v>
      </x:c>
      <x:c r="F238" s="150" t="n">
        <x:v>20</x:v>
      </x:c>
      <x:c r="G238" s="150" t="n">
        <x:v>2</x:v>
      </x:c>
      <x:c r="H238" s="178" t="n">
        <x:v>1812000</x:v>
      </x:c>
      <x:c r="I238" s="163" t="n">
        <x:v>0.05</x:v>
      </x:c>
      <x:c r="J238" s="80" t="n">
        <x:f>H238*(1-I238)</x:f>
        <x:v>1721400</x:v>
      </x:c>
      <x:c r="K238" s="75" t="n">
        <x:f>IF(Portfolio_Par&gt;0,J238/Portfolio_Par,"")</x:f>
        <x:v>0.005738</x:v>
      </x:c>
      <x:c r="L238" s="150" t="str">
        <x:v>SYN-OB-0231, SYN-OB-0200</x:v>
      </x:c>
    </x:row>
    <x:row r="239" ht="39" customHeight="1">
      <x:c r="A239" s="150"/>
      <x:c r="B239" s="150"/>
      <x:c r="C239" s="154" t="str">
        <x:v>alternative_industry</x:v>
      </x:c>
      <x:c r="D239" s="154" t="str">
        <x:v>CCC+ through CCC-</x:v>
      </x:c>
      <x:c r="E239" s="154" t="str">
        <x:v>Food Products</x:v>
      </x:c>
      <x:c r="F239" s="150" t="n">
        <x:v>24</x:v>
      </x:c>
      <x:c r="G239" s="150" t="n">
        <x:v>0</x:v>
      </x:c>
      <x:c r="H239" s="178" t="n">
        <x:v>0</x:v>
      </x:c>
      <x:c r="I239" s="163" t="n">
        <x:v>0.05</x:v>
      </x:c>
      <x:c r="J239" s="80" t="n">
        <x:f>H239*(1-I239)</x:f>
        <x:v>0</x:v>
      </x:c>
      <x:c r="K239" s="75" t="n">
        <x:f>IF(Portfolio_Par&gt;0,J239/Portfolio_Par,"")</x:f>
        <x:v>0</x:v>
      </x:c>
      <x:c r="L239" s="150" t="str"/>
    </x:row>
    <x:row r="240" ht="39" customHeight="1">
      <x:c r="A240" s="150"/>
      <x:c r="B240" s="150"/>
      <x:c r="C240" s="154" t="str">
        <x:v>alternative_industry</x:v>
      </x:c>
      <x:c r="D240" s="154" t="str">
        <x:v>AAA through CCC-</x:v>
      </x:c>
      <x:c r="E240" s="154" t="str">
        <x:v>Gas Utilities</x:v>
      </x:c>
      <x:c r="F240" s="150" t="n">
        <x:v>4</x:v>
      </x:c>
      <x:c r="G240" s="150" t="n">
        <x:v>3</x:v>
      </x:c>
      <x:c r="H240" s="178" t="n">
        <x:v>2994000</x:v>
      </x:c>
      <x:c r="I240" s="163" t="n">
        <x:v>0.05</x:v>
      </x:c>
      <x:c r="J240" s="80" t="n">
        <x:f>H240*(1-I240)</x:f>
        <x:v>2844300</x:v>
      </x:c>
      <x:c r="K240" s="75" t="n">
        <x:f>IF(Portfolio_Par&gt;0,J240/Portfolio_Par,"")</x:f>
        <x:v>0.009481</x:v>
      </x:c>
      <x:c r="L240" s="150" t="str">
        <x:v>SYN-OB-0035, SYN-OB-0120, SYN-OB-0092</x:v>
      </x:c>
    </x:row>
    <x:row r="241" ht="39" customHeight="1">
      <x:c r="A241" s="150"/>
      <x:c r="B241" s="150"/>
      <x:c r="C241" s="154" t="str">
        <x:v>alternative_industry</x:v>
      </x:c>
      <x:c r="D241" s="154" t="str">
        <x:v>AA+ through CCC-</x:v>
      </x:c>
      <x:c r="E241" s="154" t="str">
        <x:v>Gas Utilities</x:v>
      </x:c>
      <x:c r="F241" s="150" t="n">
        <x:v>6</x:v>
      </x:c>
      <x:c r="G241" s="150" t="n">
        <x:v>3</x:v>
      </x:c>
      <x:c r="H241" s="178" t="n">
        <x:v>2994000</x:v>
      </x:c>
      <x:c r="I241" s="163" t="n">
        <x:v>0.05</x:v>
      </x:c>
      <x:c r="J241" s="80" t="n">
        <x:f>H241*(1-I241)</x:f>
        <x:v>2844300</x:v>
      </x:c>
      <x:c r="K241" s="75" t="n">
        <x:f>IF(Portfolio_Par&gt;0,J241/Portfolio_Par,"")</x:f>
        <x:v>0.009481</x:v>
      </x:c>
      <x:c r="L241" s="150" t="str">
        <x:v>SYN-OB-0035, SYN-OB-0120, SYN-OB-0092</x:v>
      </x:c>
    </x:row>
    <x:row r="242" ht="39" customHeight="1">
      <x:c r="A242" s="150"/>
      <x:c r="B242" s="150"/>
      <x:c r="C242" s="154" t="str">
        <x:v>alternative_industry</x:v>
      </x:c>
      <x:c r="D242" s="154" t="str">
        <x:v>A+ through CCC-</x:v>
      </x:c>
      <x:c r="E242" s="154" t="str">
        <x:v>Gas Utilities</x:v>
      </x:c>
      <x:c r="F242" s="150" t="n">
        <x:v>8</x:v>
      </x:c>
      <x:c r="G242" s="150" t="n">
        <x:v>3</x:v>
      </x:c>
      <x:c r="H242" s="178" t="n">
        <x:v>2994000</x:v>
      </x:c>
      <x:c r="I242" s="163" t="n">
        <x:v>0.05</x:v>
      </x:c>
      <x:c r="J242" s="80" t="n">
        <x:f>H242*(1-I242)</x:f>
        <x:v>2844300</x:v>
      </x:c>
      <x:c r="K242" s="75" t="n">
        <x:f>IF(Portfolio_Par&gt;0,J242/Portfolio_Par,"")</x:f>
        <x:v>0.009481</x:v>
      </x:c>
      <x:c r="L242" s="150" t="str">
        <x:v>SYN-OB-0035, SYN-OB-0120, SYN-OB-0092</x:v>
      </x:c>
    </x:row>
    <x:row r="243" ht="39" customHeight="1">
      <x:c r="A243" s="150"/>
      <x:c r="B243" s="150"/>
      <x:c r="C243" s="154" t="str">
        <x:v>alternative_industry</x:v>
      </x:c>
      <x:c r="D243" s="154" t="str">
        <x:v>BBB+ through CCC-</x:v>
      </x:c>
      <x:c r="E243" s="154" t="str">
        <x:v>Gas Utilities</x:v>
      </x:c>
      <x:c r="F243" s="150" t="n">
        <x:v>12</x:v>
      </x:c>
      <x:c r="G243" s="150" t="n">
        <x:v>3</x:v>
      </x:c>
      <x:c r="H243" s="178" t="n">
        <x:v>2994000</x:v>
      </x:c>
      <x:c r="I243" s="163" t="n">
        <x:v>0.05</x:v>
      </x:c>
      <x:c r="J243" s="80" t="n">
        <x:f>H243*(1-I243)</x:f>
        <x:v>2844300</x:v>
      </x:c>
      <x:c r="K243" s="75" t="n">
        <x:f>IF(Portfolio_Par&gt;0,J243/Portfolio_Par,"")</x:f>
        <x:v>0.009481</x:v>
      </x:c>
      <x:c r="L243" s="150" t="str">
        <x:v>SYN-OB-0035, SYN-OB-0120, SYN-OB-0092</x:v>
      </x:c>
    </x:row>
    <x:row r="244" ht="39" customHeight="1">
      <x:c r="A244" s="150"/>
      <x:c r="B244" s="150"/>
      <x:c r="C244" s="154" t="str">
        <x:v>alternative_industry</x:v>
      </x:c>
      <x:c r="D244" s="154" t="str">
        <x:v>BB+ through CCC-</x:v>
      </x:c>
      <x:c r="E244" s="154" t="str">
        <x:v>Gas Utilities</x:v>
      </x:c>
      <x:c r="F244" s="150" t="n">
        <x:v>16</x:v>
      </x:c>
      <x:c r="G244" s="150" t="n">
        <x:v>3</x:v>
      </x:c>
      <x:c r="H244" s="178" t="n">
        <x:v>2994000</x:v>
      </x:c>
      <x:c r="I244" s="163" t="n">
        <x:v>0.05</x:v>
      </x:c>
      <x:c r="J244" s="80" t="n">
        <x:f>H244*(1-I244)</x:f>
        <x:v>2844300</x:v>
      </x:c>
      <x:c r="K244" s="75" t="n">
        <x:f>IF(Portfolio_Par&gt;0,J244/Portfolio_Par,"")</x:f>
        <x:v>0.009481</x:v>
      </x:c>
      <x:c r="L244" s="150" t="str">
        <x:v>SYN-OB-0035, SYN-OB-0120, SYN-OB-0092</x:v>
      </x:c>
    </x:row>
    <x:row r="245" ht="39" customHeight="1">
      <x:c r="A245" s="150"/>
      <x:c r="B245" s="150"/>
      <x:c r="C245" s="154" t="str">
        <x:v>alternative_industry</x:v>
      </x:c>
      <x:c r="D245" s="154" t="str">
        <x:v>B+ through CCC-</x:v>
      </x:c>
      <x:c r="E245" s="154" t="str">
        <x:v>Gas Utilities</x:v>
      </x:c>
      <x:c r="F245" s="150" t="n">
        <x:v>20</x:v>
      </x:c>
      <x:c r="G245" s="150" t="n">
        <x:v>1</x:v>
      </x:c>
      <x:c r="H245" s="178" t="n">
        <x:v>630000</x:v>
      </x:c>
      <x:c r="I245" s="163" t="n">
        <x:v>0.05</x:v>
      </x:c>
      <x:c r="J245" s="80" t="n">
        <x:f>H245*(1-I245)</x:f>
        <x:v>598500</x:v>
      </x:c>
      <x:c r="K245" s="75" t="n">
        <x:f>IF(Portfolio_Par&gt;0,J245/Portfolio_Par,"")</x:f>
        <x:v>0.001995</x:v>
      </x:c>
      <x:c r="L245" s="150" t="str">
        <x:v>SYN-OB-0092</x:v>
      </x:c>
    </x:row>
    <x:row r="246" ht="39" customHeight="1">
      <x:c r="A246" s="150"/>
      <x:c r="B246" s="150"/>
      <x:c r="C246" s="154" t="str">
        <x:v>alternative_industry</x:v>
      </x:c>
      <x:c r="D246" s="154" t="str">
        <x:v>CCC+ through CCC-</x:v>
      </x:c>
      <x:c r="E246" s="154" t="str">
        <x:v>Gas Utilities</x:v>
      </x:c>
      <x:c r="F246" s="150" t="n">
        <x:v>24</x:v>
      </x:c>
      <x:c r="G246" s="150" t="n">
        <x:v>0</x:v>
      </x:c>
      <x:c r="H246" s="178" t="n">
        <x:v>0</x:v>
      </x:c>
      <x:c r="I246" s="163" t="n">
        <x:v>0.05</x:v>
      </x:c>
      <x:c r="J246" s="80" t="n">
        <x:f>H246*(1-I246)</x:f>
        <x:v>0</x:v>
      </x:c>
      <x:c r="K246" s="75" t="n">
        <x:f>IF(Portfolio_Par&gt;0,J246/Portfolio_Par,"")</x:f>
        <x:v>0</x:v>
      </x:c>
      <x:c r="L246" s="150" t="str"/>
    </x:row>
    <x:row r="247" ht="39" customHeight="1">
      <x:c r="A247" s="150"/>
      <x:c r="B247" s="150"/>
      <x:c r="C247" s="154" t="str">
        <x:v>alternative_industry</x:v>
      </x:c>
      <x:c r="D247" s="154" t="str">
        <x:v>AAA through CCC-</x:v>
      </x:c>
      <x:c r="E247" s="154" t="str">
        <x:v>Ground transportation</x:v>
      </x:c>
      <x:c r="F247" s="150" t="n">
        <x:v>4</x:v>
      </x:c>
      <x:c r="G247" s="150" t="n">
        <x:v>3</x:v>
      </x:c>
      <x:c r="H247" s="178" t="n">
        <x:v>2994000</x:v>
      </x:c>
      <x:c r="I247" s="163" t="n">
        <x:v>0.05</x:v>
      </x:c>
      <x:c r="J247" s="80" t="n">
        <x:f>H247*(1-I247)</x:f>
        <x:v>2844300</x:v>
      </x:c>
      <x:c r="K247" s="75" t="n">
        <x:f>IF(Portfolio_Par&gt;0,J247/Portfolio_Par,"")</x:f>
        <x:v>0.009481</x:v>
      </x:c>
      <x:c r="L247" s="150" t="str">
        <x:v>SYN-OB-0228, SYN-OB-0229, SYN-OB-0162</x:v>
      </x:c>
    </x:row>
    <x:row r="248" ht="39" customHeight="1">
      <x:c r="A248" s="150"/>
      <x:c r="B248" s="150"/>
      <x:c r="C248" s="154" t="str">
        <x:v>alternative_industry</x:v>
      </x:c>
      <x:c r="D248" s="154" t="str">
        <x:v>AA+ through CCC-</x:v>
      </x:c>
      <x:c r="E248" s="154" t="str">
        <x:v>Ground transportation</x:v>
      </x:c>
      <x:c r="F248" s="150" t="n">
        <x:v>6</x:v>
      </x:c>
      <x:c r="G248" s="150" t="n">
        <x:v>3</x:v>
      </x:c>
      <x:c r="H248" s="178" t="n">
        <x:v>2994000</x:v>
      </x:c>
      <x:c r="I248" s="163" t="n">
        <x:v>0.05</x:v>
      </x:c>
      <x:c r="J248" s="80" t="n">
        <x:f>H248*(1-I248)</x:f>
        <x:v>2844300</x:v>
      </x:c>
      <x:c r="K248" s="75" t="n">
        <x:f>IF(Portfolio_Par&gt;0,J248/Portfolio_Par,"")</x:f>
        <x:v>0.009481</x:v>
      </x:c>
      <x:c r="L248" s="150" t="str">
        <x:v>SYN-OB-0228, SYN-OB-0229, SYN-OB-0162</x:v>
      </x:c>
    </x:row>
    <x:row r="249" ht="39" customHeight="1">
      <x:c r="A249" s="150"/>
      <x:c r="B249" s="150"/>
      <x:c r="C249" s="154" t="str">
        <x:v>alternative_industry</x:v>
      </x:c>
      <x:c r="D249" s="154" t="str">
        <x:v>A+ through CCC-</x:v>
      </x:c>
      <x:c r="E249" s="154" t="str">
        <x:v>Ground transportation</x:v>
      </x:c>
      <x:c r="F249" s="150" t="n">
        <x:v>8</x:v>
      </x:c>
      <x:c r="G249" s="150" t="n">
        <x:v>3</x:v>
      </x:c>
      <x:c r="H249" s="178" t="n">
        <x:v>2994000</x:v>
      </x:c>
      <x:c r="I249" s="163" t="n">
        <x:v>0.05</x:v>
      </x:c>
      <x:c r="J249" s="80" t="n">
        <x:f>H249*(1-I249)</x:f>
        <x:v>2844300</x:v>
      </x:c>
      <x:c r="K249" s="75" t="n">
        <x:f>IF(Portfolio_Par&gt;0,J249/Portfolio_Par,"")</x:f>
        <x:v>0.009481</x:v>
      </x:c>
      <x:c r="L249" s="150" t="str">
        <x:v>SYN-OB-0228, SYN-OB-0229, SYN-OB-0162</x:v>
      </x:c>
    </x:row>
    <x:row r="250" ht="39" customHeight="1">
      <x:c r="A250" s="150"/>
      <x:c r="B250" s="150"/>
      <x:c r="C250" s="154" t="str">
        <x:v>alternative_industry</x:v>
      </x:c>
      <x:c r="D250" s="154" t="str">
        <x:v>BBB+ through CCC-</x:v>
      </x:c>
      <x:c r="E250" s="154" t="str">
        <x:v>Ground transportation</x:v>
      </x:c>
      <x:c r="F250" s="150" t="n">
        <x:v>12</x:v>
      </x:c>
      <x:c r="G250" s="150" t="n">
        <x:v>3</x:v>
      </x:c>
      <x:c r="H250" s="178" t="n">
        <x:v>2994000</x:v>
      </x:c>
      <x:c r="I250" s="163" t="n">
        <x:v>0.05</x:v>
      </x:c>
      <x:c r="J250" s="80" t="n">
        <x:f>H250*(1-I250)</x:f>
        <x:v>2844300</x:v>
      </x:c>
      <x:c r="K250" s="75" t="n">
        <x:f>IF(Portfolio_Par&gt;0,J250/Portfolio_Par,"")</x:f>
        <x:v>0.009481</x:v>
      </x:c>
      <x:c r="L250" s="150" t="str">
        <x:v>SYN-OB-0228, SYN-OB-0229, SYN-OB-0162</x:v>
      </x:c>
    </x:row>
    <x:row r="251" ht="39" customHeight="1">
      <x:c r="A251" s="150"/>
      <x:c r="B251" s="150"/>
      <x:c r="C251" s="154" t="str">
        <x:v>alternative_industry</x:v>
      </x:c>
      <x:c r="D251" s="154" t="str">
        <x:v>BB+ through CCC-</x:v>
      </x:c>
      <x:c r="E251" s="154" t="str">
        <x:v>Ground transportation</x:v>
      </x:c>
      <x:c r="F251" s="150" t="n">
        <x:v>16</x:v>
      </x:c>
      <x:c r="G251" s="150" t="n">
        <x:v>3</x:v>
      </x:c>
      <x:c r="H251" s="178" t="n">
        <x:v>2994000</x:v>
      </x:c>
      <x:c r="I251" s="163" t="n">
        <x:v>0.05</x:v>
      </x:c>
      <x:c r="J251" s="80" t="n">
        <x:f>H251*(1-I251)</x:f>
        <x:v>2844300</x:v>
      </x:c>
      <x:c r="K251" s="75" t="n">
        <x:f>IF(Portfolio_Par&gt;0,J251/Portfolio_Par,"")</x:f>
        <x:v>0.009481</x:v>
      </x:c>
      <x:c r="L251" s="150" t="str">
        <x:v>SYN-OB-0228, SYN-OB-0229, SYN-OB-0162</x:v>
      </x:c>
    </x:row>
    <x:row r="252" ht="39" customHeight="1">
      <x:c r="A252" s="150"/>
      <x:c r="B252" s="150"/>
      <x:c r="C252" s="154" t="str">
        <x:v>alternative_industry</x:v>
      </x:c>
      <x:c r="D252" s="154" t="str">
        <x:v>B+ through CCC-</x:v>
      </x:c>
      <x:c r="E252" s="154" t="str">
        <x:v>Ground transportation</x:v>
      </x:c>
      <x:c r="F252" s="150" t="n">
        <x:v>20</x:v>
      </x:c>
      <x:c r="G252" s="150" t="n">
        <x:v>1</x:v>
      </x:c>
      <x:c r="H252" s="178" t="n">
        <x:v>1182000</x:v>
      </x:c>
      <x:c r="I252" s="163" t="n">
        <x:v>0.05</x:v>
      </x:c>
      <x:c r="J252" s="80" t="n">
        <x:f>H252*(1-I252)</x:f>
        <x:v>1122900</x:v>
      </x:c>
      <x:c r="K252" s="75" t="n">
        <x:f>IF(Portfolio_Par&gt;0,J252/Portfolio_Par,"")</x:f>
        <x:v>0.003743</x:v>
      </x:c>
      <x:c r="L252" s="150" t="str">
        <x:v>SYN-OB-0229</x:v>
      </x:c>
    </x:row>
    <x:row r="253" ht="39" customHeight="1">
      <x:c r="A253" s="150"/>
      <x:c r="B253" s="150"/>
      <x:c r="C253" s="154" t="str">
        <x:v>alternative_industry</x:v>
      </x:c>
      <x:c r="D253" s="154" t="str">
        <x:v>CCC+ through CCC-</x:v>
      </x:c>
      <x:c r="E253" s="154" t="str">
        <x:v>Ground transportation</x:v>
      </x:c>
      <x:c r="F253" s="150" t="n">
        <x:v>24</x:v>
      </x:c>
      <x:c r="G253" s="150" t="n">
        <x:v>0</x:v>
      </x:c>
      <x:c r="H253" s="178" t="n">
        <x:v>0</x:v>
      </x:c>
      <x:c r="I253" s="163" t="n">
        <x:v>0.05</x:v>
      </x:c>
      <x:c r="J253" s="80" t="n">
        <x:f>H253*(1-I253)</x:f>
        <x:v>0</x:v>
      </x:c>
      <x:c r="K253" s="75" t="n">
        <x:f>IF(Portfolio_Par&gt;0,J253/Portfolio_Par,"")</x:f>
        <x:v>0</x:v>
      </x:c>
      <x:c r="L253" s="150" t="str"/>
    </x:row>
    <x:row r="254" ht="39" customHeight="1">
      <x:c r="A254" s="150"/>
      <x:c r="B254" s="150"/>
      <x:c r="C254" s="154" t="str">
        <x:v>alternative_industry</x:v>
      </x:c>
      <x:c r="D254" s="154" t="str">
        <x:v>AAA through CCC-</x:v>
      </x:c>
      <x:c r="E254" s="154" t="str">
        <x:v>Healthcare Equipment &amp; Supplies</x:v>
      </x:c>
      <x:c r="F254" s="150" t="n">
        <x:v>4</x:v>
      </x:c>
      <x:c r="G254" s="150" t="n">
        <x:v>4</x:v>
      </x:c>
      <x:c r="H254" s="178" t="n">
        <x:v>4728000</x:v>
      </x:c>
      <x:c r="I254" s="163" t="n">
        <x:v>0.05</x:v>
      </x:c>
      <x:c r="J254" s="80" t="n">
        <x:f>H254*(1-I254)</x:f>
        <x:v>4491600</x:v>
      </x:c>
      <x:c r="K254" s="75" t="n">
        <x:f>IF(Portfolio_Par&gt;0,J254/Portfolio_Par,"")</x:f>
        <x:v>0.014972</x:v>
      </x:c>
      <x:c r="L254" s="150" t="str">
        <x:v>SYN-OB-0097, SYN-OB-0128, SYN-OB-0155, SYN-OB-0197</x:v>
      </x:c>
    </x:row>
    <x:row r="255" ht="39" customHeight="1">
      <x:c r="A255" s="150"/>
      <x:c r="B255" s="150"/>
      <x:c r="C255" s="154" t="str">
        <x:v>alternative_industry</x:v>
      </x:c>
      <x:c r="D255" s="154" t="str">
        <x:v>AA+ through CCC-</x:v>
      </x:c>
      <x:c r="E255" s="154" t="str">
        <x:v>Healthcare Equipment &amp; Supplies</x:v>
      </x:c>
      <x:c r="F255" s="150" t="n">
        <x:v>6</x:v>
      </x:c>
      <x:c r="G255" s="150" t="n">
        <x:v>5</x:v>
      </x:c>
      <x:c r="H255" s="178" t="n">
        <x:v>5910000</x:v>
      </x:c>
      <x:c r="I255" s="163" t="n">
        <x:v>0.05</x:v>
      </x:c>
      <x:c r="J255" s="80" t="n">
        <x:f>H255*(1-I255)</x:f>
        <x:v>5614500</x:v>
      </x:c>
      <x:c r="K255" s="75" t="n">
        <x:f>IF(Portfolio_Par&gt;0,J255/Portfolio_Par,"")</x:f>
        <x:v>0.018715</x:v>
      </x:c>
      <x:c r="L255" s="150" t="str">
        <x:v>SYN-OB-0097, SYN-OB-0128, SYN-OB-0155, SYN-OB-0197, SYN-OB-0218</x:v>
      </x:c>
    </x:row>
    <x:row r="256" ht="39" customHeight="1">
      <x:c r="A256" s="150"/>
      <x:c r="B256" s="150"/>
      <x:c r="C256" s="154" t="str">
        <x:v>alternative_industry</x:v>
      </x:c>
      <x:c r="D256" s="154" t="str">
        <x:v>A+ through CCC-</x:v>
      </x:c>
      <x:c r="E256" s="154" t="str">
        <x:v>Healthcare Equipment &amp; Supplies</x:v>
      </x:c>
      <x:c r="F256" s="150" t="n">
        <x:v>8</x:v>
      </x:c>
      <x:c r="G256" s="150" t="n">
        <x:v>5</x:v>
      </x:c>
      <x:c r="H256" s="178" t="n">
        <x:v>5910000</x:v>
      </x:c>
      <x:c r="I256" s="163" t="n">
        <x:v>0.05</x:v>
      </x:c>
      <x:c r="J256" s="80" t="n">
        <x:f>H256*(1-I256)</x:f>
        <x:v>5614500</x:v>
      </x:c>
      <x:c r="K256" s="75" t="n">
        <x:f>IF(Portfolio_Par&gt;0,J256/Portfolio_Par,"")</x:f>
        <x:v>0.018715</x:v>
      </x:c>
      <x:c r="L256" s="150" t="str">
        <x:v>SYN-OB-0097, SYN-OB-0128, SYN-OB-0155, SYN-OB-0197, SYN-OB-0218</x:v>
      </x:c>
    </x:row>
    <x:row r="257" ht="39" customHeight="1">
      <x:c r="A257" s="150"/>
      <x:c r="B257" s="150"/>
      <x:c r="C257" s="154" t="str">
        <x:v>alternative_industry</x:v>
      </x:c>
      <x:c r="D257" s="154" t="str">
        <x:v>BBB+ through CCC-</x:v>
      </x:c>
      <x:c r="E257" s="154" t="str">
        <x:v>Healthcare Equipment &amp; Supplies</x:v>
      </x:c>
      <x:c r="F257" s="150" t="n">
        <x:v>12</x:v>
      </x:c>
      <x:c r="G257" s="150" t="n">
        <x:v>5</x:v>
      </x:c>
      <x:c r="H257" s="178" t="n">
        <x:v>5910000</x:v>
      </x:c>
      <x:c r="I257" s="163" t="n">
        <x:v>0.05</x:v>
      </x:c>
      <x:c r="J257" s="80" t="n">
        <x:f>H257*(1-I257)</x:f>
        <x:v>5614500</x:v>
      </x:c>
      <x:c r="K257" s="75" t="n">
        <x:f>IF(Portfolio_Par&gt;0,J257/Portfolio_Par,"")</x:f>
        <x:v>0.018715</x:v>
      </x:c>
      <x:c r="L257" s="150" t="str">
        <x:v>SYN-OB-0097, SYN-OB-0128, SYN-OB-0155, SYN-OB-0197, SYN-OB-0218</x:v>
      </x:c>
    </x:row>
    <x:row r="258" ht="39" customHeight="1">
      <x:c r="A258" s="150"/>
      <x:c r="B258" s="150"/>
      <x:c r="C258" s="154" t="str">
        <x:v>alternative_industry</x:v>
      </x:c>
      <x:c r="D258" s="154" t="str">
        <x:v>BB+ through CCC-</x:v>
      </x:c>
      <x:c r="E258" s="154" t="str">
        <x:v>Healthcare Equipment &amp; Supplies</x:v>
      </x:c>
      <x:c r="F258" s="150" t="n">
        <x:v>16</x:v>
      </x:c>
      <x:c r="G258" s="150" t="n">
        <x:v>5</x:v>
      </x:c>
      <x:c r="H258" s="178" t="n">
        <x:v>5910000</x:v>
      </x:c>
      <x:c r="I258" s="163" t="n">
        <x:v>0.05</x:v>
      </x:c>
      <x:c r="J258" s="80" t="n">
        <x:f>H258*(1-I258)</x:f>
        <x:v>5614500</x:v>
      </x:c>
      <x:c r="K258" s="75" t="n">
        <x:f>IF(Portfolio_Par&gt;0,J258/Portfolio_Par,"")</x:f>
        <x:v>0.018715</x:v>
      </x:c>
      <x:c r="L258" s="150" t="str">
        <x:v>SYN-OB-0097, SYN-OB-0128, SYN-OB-0155, SYN-OB-0197, SYN-OB-0218</x:v>
      </x:c>
    </x:row>
    <x:row r="259" ht="39" customHeight="1">
      <x:c r="A259" s="150"/>
      <x:c r="B259" s="150"/>
      <x:c r="C259" s="154" t="str">
        <x:v>alternative_industry</x:v>
      </x:c>
      <x:c r="D259" s="154" t="str">
        <x:v>B+ through CCC-</x:v>
      </x:c>
      <x:c r="E259" s="154" t="str">
        <x:v>Healthcare Equipment &amp; Supplies</x:v>
      </x:c>
      <x:c r="F259" s="150" t="n">
        <x:v>20</x:v>
      </x:c>
      <x:c r="G259" s="150" t="n">
        <x:v>5</x:v>
      </x:c>
      <x:c r="H259" s="178" t="n">
        <x:v>5910000</x:v>
      </x:c>
      <x:c r="I259" s="163" t="n">
        <x:v>0.05</x:v>
      </x:c>
      <x:c r="J259" s="80" t="n">
        <x:f>H259*(1-I259)</x:f>
        <x:v>5614500</x:v>
      </x:c>
      <x:c r="K259" s="75" t="n">
        <x:f>IF(Portfolio_Par&gt;0,J259/Portfolio_Par,"")</x:f>
        <x:v>0.018715</x:v>
      </x:c>
      <x:c r="L259" s="150" t="str">
        <x:v>SYN-OB-0097, SYN-OB-0128, SYN-OB-0155, SYN-OB-0197, SYN-OB-0218</x:v>
      </x:c>
    </x:row>
    <x:row r="260" ht="39" customHeight="1">
      <x:c r="A260" s="150"/>
      <x:c r="B260" s="150"/>
      <x:c r="C260" s="154" t="str">
        <x:v>alternative_industry</x:v>
      </x:c>
      <x:c r="D260" s="154" t="str">
        <x:v>CCC+ through CCC-</x:v>
      </x:c>
      <x:c r="E260" s="154" t="str">
        <x:v>Healthcare Equipment &amp; Supplies</x:v>
      </x:c>
      <x:c r="F260" s="150" t="n">
        <x:v>24</x:v>
      </x:c>
      <x:c r="G260" s="150" t="n">
        <x:v>0</x:v>
      </x:c>
      <x:c r="H260" s="178" t="n">
        <x:v>0</x:v>
      </x:c>
      <x:c r="I260" s="163" t="n">
        <x:v>0.05</x:v>
      </x:c>
      <x:c r="J260" s="80" t="n">
        <x:f>H260*(1-I260)</x:f>
        <x:v>0</x:v>
      </x:c>
      <x:c r="K260" s="75" t="n">
        <x:f>IF(Portfolio_Par&gt;0,J260/Portfolio_Par,"")</x:f>
        <x:v>0</x:v>
      </x:c>
      <x:c r="L260" s="150" t="str"/>
    </x:row>
    <x:row r="261" ht="39" customHeight="1">
      <x:c r="A261" s="150"/>
      <x:c r="B261" s="150"/>
      <x:c r="C261" s="154" t="str">
        <x:v>alternative_industry</x:v>
      </x:c>
      <x:c r="D261" s="154" t="str">
        <x:v>AAA through CCC-</x:v>
      </x:c>
      <x:c r="E261" s="154" t="str">
        <x:v>Healthcare Providers &amp; Services</x:v>
      </x:c>
      <x:c r="F261" s="150" t="n">
        <x:v>4</x:v>
      </x:c>
      <x:c r="G261" s="150" t="n">
        <x:v>4</x:v>
      </x:c>
      <x:c r="H261" s="178" t="n">
        <x:v>4857000</x:v>
      </x:c>
      <x:c r="I261" s="163" t="n">
        <x:v>0.05</x:v>
      </x:c>
      <x:c r="J261" s="80" t="n">
        <x:f>H261*(1-I261)</x:f>
        <x:v>4614150</x:v>
      </x:c>
      <x:c r="K261" s="75" t="n">
        <x:f>IF(Portfolio_Par&gt;0,J261/Portfolio_Par,"")</x:f>
        <x:v>0.0153805</x:v>
      </x:c>
      <x:c r="L261" s="150" t="str">
        <x:v>SYN-OB-0114, SYN-OB-0109, SYN-OB-0174, SYN-OB-0243</x:v>
      </x:c>
    </x:row>
    <x:row r="262" ht="39" customHeight="1">
      <x:c r="A262" s="150"/>
      <x:c r="B262" s="150"/>
      <x:c r="C262" s="154" t="str">
        <x:v>alternative_industry</x:v>
      </x:c>
      <x:c r="D262" s="154" t="str">
        <x:v>AA+ through CCC-</x:v>
      </x:c>
      <x:c r="E262" s="154" t="str">
        <x:v>Healthcare Providers &amp; Services</x:v>
      </x:c>
      <x:c r="F262" s="150" t="n">
        <x:v>6</x:v>
      </x:c>
      <x:c r="G262" s="150" t="n">
        <x:v>6</x:v>
      </x:c>
      <x:c r="H262" s="178" t="n">
        <x:v>7235000</x:v>
      </x:c>
      <x:c r="I262" s="163" t="n">
        <x:v>0.05</x:v>
      </x:c>
      <x:c r="J262" s="80" t="n">
        <x:f>H262*(1-I262)</x:f>
        <x:v>6873250</x:v>
      </x:c>
      <x:c r="K262" s="75" t="n">
        <x:f>IF(Portfolio_Par&gt;0,J262/Portfolio_Par,"")</x:f>
        <x:v>0.02291083333333333</x:v>
      </x:c>
      <x:c r="L262" s="150" t="str">
        <x:v>SYN-OB-0114, SYN-OB-0109, SYN-OB-0174, SYN-OB-0243, SYN-OB-0186, SYN-OB-0233</x:v>
      </x:c>
    </x:row>
    <x:row r="263" ht="39" customHeight="1">
      <x:c r="A263" s="150"/>
      <x:c r="B263" s="150"/>
      <x:c r="C263" s="154" t="str">
        <x:v>alternative_industry</x:v>
      </x:c>
      <x:c r="D263" s="154" t="str">
        <x:v>A+ through CCC-</x:v>
      </x:c>
      <x:c r="E263" s="154" t="str">
        <x:v>Healthcare Providers &amp; Services</x:v>
      </x:c>
      <x:c r="F263" s="150" t="n">
        <x:v>8</x:v>
      </x:c>
      <x:c r="G263" s="150" t="n">
        <x:v>8</x:v>
      </x:c>
      <x:c r="H263" s="178" t="n">
        <x:v>9599000</x:v>
      </x:c>
      <x:c r="I263" s="163" t="n">
        <x:v>0.05</x:v>
      </x:c>
      <x:c r="J263" s="80" t="n">
        <x:f>H263*(1-I263)</x:f>
        <x:v>9119050</x:v>
      </x:c>
      <x:c r="K263" s="75" t="n">
        <x:f>IF(Portfolio_Par&gt;0,J263/Portfolio_Par,"")</x:f>
        <x:v>0.030396833333333335</x:v>
      </x:c>
      <x:c r="L263" s="150" t="str">
        <x:v>SYN-OB-0114, SYN-OB-0109, SYN-OB-0174, SYN-OB-0243, SYN-OB-0186, SYN-OB-0233, SYN-OB-0005, SYN-OB-0043</x:v>
      </x:c>
    </x:row>
    <x:row r="264" ht="39" customHeight="1">
      <x:c r="A264" s="150"/>
      <x:c r="B264" s="150"/>
      <x:c r="C264" s="154" t="str">
        <x:v>alternative_industry</x:v>
      </x:c>
      <x:c r="D264" s="154" t="str">
        <x:v>BBB+ through CCC-</x:v>
      </x:c>
      <x:c r="E264" s="154" t="str">
        <x:v>Healthcare Providers &amp; Services</x:v>
      </x:c>
      <x:c r="F264" s="150" t="n">
        <x:v>12</x:v>
      </x:c>
      <x:c r="G264" s="150" t="n">
        <x:v>12</x:v>
      </x:c>
      <x:c r="H264" s="178" t="n">
        <x:v>14327000</x:v>
      </x:c>
      <x:c r="I264" s="163" t="n">
        <x:v>0.05</x:v>
      </x:c>
      <x:c r="J264" s="80" t="n">
        <x:f>H264*(1-I264)</x:f>
        <x:v>13610650</x:v>
      </x:c>
      <x:c r="K264" s="75" t="n">
        <x:f>IF(Portfolio_Par&gt;0,J264/Portfolio_Par,"")</x:f>
        <x:v>0.04536883333333333</x:v>
      </x:c>
      <x:c r="L264" s="150" t="str">
        <x:v>SYN-OB-0114, SYN-OB-0109, SYN-OB-0174, SYN-OB-0243, SYN-OB-0186, SYN-OB-0233, SYN-OB-0005, SYN-OB-0043, SYN-OB-0140, SYN-OB-0147, SYN-OB-0184, SYN-OB-0187</x:v>
      </x:c>
    </x:row>
    <x:row r="265" ht="39" customHeight="1">
      <x:c r="A265" s="150"/>
      <x:c r="B265" s="150"/>
      <x:c r="C265" s="154" t="str">
        <x:v>alternative_industry</x:v>
      </x:c>
      <x:c r="D265" s="154" t="str">
        <x:v>BB+ through CCC-</x:v>
      </x:c>
      <x:c r="E265" s="154" t="str">
        <x:v>Healthcare Providers &amp; Services</x:v>
      </x:c>
      <x:c r="F265" s="150" t="n">
        <x:v>16</x:v>
      </x:c>
      <x:c r="G265" s="150" t="n">
        <x:v>16</x:v>
      </x:c>
      <x:c r="H265" s="178" t="n">
        <x:v>19055000</x:v>
      </x:c>
      <x:c r="I265" s="163" t="n">
        <x:v>0.05</x:v>
      </x:c>
      <x:c r="J265" s="80" t="n">
        <x:f>H265*(1-I265)</x:f>
        <x:v>18102250</x:v>
      </x:c>
      <x:c r="K265" s="75" t="n">
        <x:f>IF(Portfolio_Par&gt;0,J265/Portfolio_Par,"")</x:f>
        <x:v>0.06034083333333334</x:v>
      </x:c>
      <x:c r="L265" s="150" t="str">
        <x:v>SYN-OB-0114, SYN-OB-0109, SYN-OB-0174, SYN-OB-0243, SYN-OB-0186, SYN-OB-0233, SYN-OB-0005, SYN-OB-0043, SYN-OB-0140, SYN-OB-0147, SYN-OB-0184, SYN-OB-0187, SYN-OB-0223, SYN-OB-0237, SYN-OB-0244, SYN-OB-0262</x:v>
      </x:c>
    </x:row>
    <x:row r="266" ht="39" customHeight="1">
      <x:c r="A266" s="150"/>
      <x:c r="B266" s="150"/>
      <x:c r="C266" s="154" t="str">
        <x:v>alternative_industry</x:v>
      </x:c>
      <x:c r="D266" s="154" t="str">
        <x:v>B+ through CCC-</x:v>
      </x:c>
      <x:c r="E266" s="154" t="str">
        <x:v>Healthcare Providers &amp; Services</x:v>
      </x:c>
      <x:c r="F266" s="150" t="n">
        <x:v>20</x:v>
      </x:c>
      <x:c r="G266" s="150" t="n">
        <x:v>17</x:v>
      </x:c>
      <x:c r="H266" s="178" t="n">
        <x:v>19685000</x:v>
      </x:c>
      <x:c r="I266" s="163" t="n">
        <x:v>0.05</x:v>
      </x:c>
      <x:c r="J266" s="80" t="n">
        <x:f>H266*(1-I266)</x:f>
        <x:v>18700750</x:v>
      </x:c>
      <x:c r="K266" s="75" t="n">
        <x:f>IF(Portfolio_Par&gt;0,J266/Portfolio_Par,"")</x:f>
        <x:v>0.06233583333333333</x:v>
      </x:c>
      <x:c r="L266" s="150" t="str">
        <x:v>SYN-OB-0114, SYN-OB-0109, SYN-OB-0174, SYN-OB-0243, SYN-OB-0186, SYN-OB-0233, SYN-OB-0005, SYN-OB-0043, SYN-OB-0140, SYN-OB-0147, SYN-OB-0184, SYN-OB-0187, SYN-OB-0223, SYN-OB-0237, SYN-OB-0244, SYN-OB-0262, SYN-OB-0055</x:v>
      </x:c>
    </x:row>
    <x:row r="267" ht="39" customHeight="1">
      <x:c r="A267" s="150"/>
      <x:c r="B267" s="150"/>
      <x:c r="C267" s="154" t="str">
        <x:v>alternative_industry</x:v>
      </x:c>
      <x:c r="D267" s="154" t="str">
        <x:v>CCC+ through CCC-</x:v>
      </x:c>
      <x:c r="E267" s="154" t="str">
        <x:v>Healthcare Providers &amp; Services</x:v>
      </x:c>
      <x:c r="F267" s="150" t="n">
        <x:v>24</x:v>
      </x:c>
      <x:c r="G267" s="150" t="n">
        <x:v>0</x:v>
      </x:c>
      <x:c r="H267" s="178" t="n">
        <x:v>0</x:v>
      </x:c>
      <x:c r="I267" s="163" t="n">
        <x:v>0.05</x:v>
      </x:c>
      <x:c r="J267" s="80" t="n">
        <x:f>H267*(1-I267)</x:f>
        <x:v>0</x:v>
      </x:c>
      <x:c r="K267" s="75" t="n">
        <x:f>IF(Portfolio_Par&gt;0,J267/Portfolio_Par,"")</x:f>
        <x:v>0</x:v>
      </x:c>
      <x:c r="L267" s="150" t="str"/>
    </x:row>
    <x:row r="268" ht="39" customHeight="1">
      <x:c r="A268" s="150"/>
      <x:c r="B268" s="150"/>
      <x:c r="C268" s="154" t="str">
        <x:v>alternative_industry</x:v>
      </x:c>
      <x:c r="D268" s="154" t="str">
        <x:v>AAA through CCC-</x:v>
      </x:c>
      <x:c r="E268" s="154" t="str">
        <x:v>Healthcare Technology</x:v>
      </x:c>
      <x:c r="F268" s="150" t="n">
        <x:v>4</x:v>
      </x:c>
      <x:c r="G268" s="150" t="n">
        <x:v>4</x:v>
      </x:c>
      <x:c r="H268" s="178" t="n">
        <x:v>4728000</x:v>
      </x:c>
      <x:c r="I268" s="163" t="n">
        <x:v>0.05</x:v>
      </x:c>
      <x:c r="J268" s="80" t="n">
        <x:f>H268*(1-I268)</x:f>
        <x:v>4491600</x:v>
      </x:c>
      <x:c r="K268" s="75" t="n">
        <x:f>IF(Portfolio_Par&gt;0,J268/Portfolio_Par,"")</x:f>
        <x:v>0.014972</x:v>
      </x:c>
      <x:c r="L268" s="150" t="str">
        <x:v>SYN-OB-0021, SYN-OB-0033, SYN-OB-0073, SYN-OB-0113</x:v>
      </x:c>
    </x:row>
    <x:row r="269" ht="39" customHeight="1">
      <x:c r="A269" s="150"/>
      <x:c r="B269" s="150"/>
      <x:c r="C269" s="154" t="str">
        <x:v>alternative_industry</x:v>
      </x:c>
      <x:c r="D269" s="154" t="str">
        <x:v>AA+ through CCC-</x:v>
      </x:c>
      <x:c r="E269" s="154" t="str">
        <x:v>Healthcare Technology</x:v>
      </x:c>
      <x:c r="F269" s="150" t="n">
        <x:v>6</x:v>
      </x:c>
      <x:c r="G269" s="150" t="n">
        <x:v>4</x:v>
      </x:c>
      <x:c r="H269" s="178" t="n">
        <x:v>4728000</x:v>
      </x:c>
      <x:c r="I269" s="163" t="n">
        <x:v>0.05</x:v>
      </x:c>
      <x:c r="J269" s="80" t="n">
        <x:f>H269*(1-I269)</x:f>
        <x:v>4491600</x:v>
      </x:c>
      <x:c r="K269" s="75" t="n">
        <x:f>IF(Portfolio_Par&gt;0,J269/Portfolio_Par,"")</x:f>
        <x:v>0.014972</x:v>
      </x:c>
      <x:c r="L269" s="150" t="str">
        <x:v>SYN-OB-0021, SYN-OB-0033, SYN-OB-0073, SYN-OB-0113</x:v>
      </x:c>
    </x:row>
    <x:row r="270" ht="39" customHeight="1">
      <x:c r="A270" s="150"/>
      <x:c r="B270" s="150"/>
      <x:c r="C270" s="154" t="str">
        <x:v>alternative_industry</x:v>
      </x:c>
      <x:c r="D270" s="154" t="str">
        <x:v>A+ through CCC-</x:v>
      </x:c>
      <x:c r="E270" s="154" t="str">
        <x:v>Healthcare Technology</x:v>
      </x:c>
      <x:c r="F270" s="150" t="n">
        <x:v>8</x:v>
      </x:c>
      <x:c r="G270" s="150" t="n">
        <x:v>4</x:v>
      </x:c>
      <x:c r="H270" s="178" t="n">
        <x:v>4728000</x:v>
      </x:c>
      <x:c r="I270" s="163" t="n">
        <x:v>0.05</x:v>
      </x:c>
      <x:c r="J270" s="80" t="n">
        <x:f>H270*(1-I270)</x:f>
        <x:v>4491600</x:v>
      </x:c>
      <x:c r="K270" s="75" t="n">
        <x:f>IF(Portfolio_Par&gt;0,J270/Portfolio_Par,"")</x:f>
        <x:v>0.014972</x:v>
      </x:c>
      <x:c r="L270" s="150" t="str">
        <x:v>SYN-OB-0021, SYN-OB-0033, SYN-OB-0073, SYN-OB-0113</x:v>
      </x:c>
    </x:row>
    <x:row r="271" ht="39" customHeight="1">
      <x:c r="A271" s="150"/>
      <x:c r="B271" s="150"/>
      <x:c r="C271" s="154" t="str">
        <x:v>alternative_industry</x:v>
      </x:c>
      <x:c r="D271" s="154" t="str">
        <x:v>BBB+ through CCC-</x:v>
      </x:c>
      <x:c r="E271" s="154" t="str">
        <x:v>Healthcare Technology</x:v>
      </x:c>
      <x:c r="F271" s="150" t="n">
        <x:v>12</x:v>
      </x:c>
      <x:c r="G271" s="150" t="n">
        <x:v>4</x:v>
      </x:c>
      <x:c r="H271" s="178" t="n">
        <x:v>4728000</x:v>
      </x:c>
      <x:c r="I271" s="163" t="n">
        <x:v>0.05</x:v>
      </x:c>
      <x:c r="J271" s="80" t="n">
        <x:f>H271*(1-I271)</x:f>
        <x:v>4491600</x:v>
      </x:c>
      <x:c r="K271" s="75" t="n">
        <x:f>IF(Portfolio_Par&gt;0,J271/Portfolio_Par,"")</x:f>
        <x:v>0.014972</x:v>
      </x:c>
      <x:c r="L271" s="150" t="str">
        <x:v>SYN-OB-0021, SYN-OB-0033, SYN-OB-0073, SYN-OB-0113</x:v>
      </x:c>
    </x:row>
    <x:row r="272" ht="39" customHeight="1">
      <x:c r="A272" s="150"/>
      <x:c r="B272" s="150"/>
      <x:c r="C272" s="154" t="str">
        <x:v>alternative_industry</x:v>
      </x:c>
      <x:c r="D272" s="154" t="str">
        <x:v>BB+ through CCC-</x:v>
      </x:c>
      <x:c r="E272" s="154" t="str">
        <x:v>Healthcare Technology</x:v>
      </x:c>
      <x:c r="F272" s="150" t="n">
        <x:v>16</x:v>
      </x:c>
      <x:c r="G272" s="150" t="n">
        <x:v>4</x:v>
      </x:c>
      <x:c r="H272" s="178" t="n">
        <x:v>4728000</x:v>
      </x:c>
      <x:c r="I272" s="163" t="n">
        <x:v>0.05</x:v>
      </x:c>
      <x:c r="J272" s="80" t="n">
        <x:f>H272*(1-I272)</x:f>
        <x:v>4491600</x:v>
      </x:c>
      <x:c r="K272" s="75" t="n">
        <x:f>IF(Portfolio_Par&gt;0,J272/Portfolio_Par,"")</x:f>
        <x:v>0.014972</x:v>
      </x:c>
      <x:c r="L272" s="150" t="str">
        <x:v>SYN-OB-0021, SYN-OB-0033, SYN-OB-0073, SYN-OB-0113</x:v>
      </x:c>
    </x:row>
    <x:row r="273" ht="39" customHeight="1">
      <x:c r="A273" s="150"/>
      <x:c r="B273" s="150"/>
      <x:c r="C273" s="154" t="str">
        <x:v>alternative_industry</x:v>
      </x:c>
      <x:c r="D273" s="154" t="str">
        <x:v>B+ through CCC-</x:v>
      </x:c>
      <x:c r="E273" s="154" t="str">
        <x:v>Healthcare Technology</x:v>
      </x:c>
      <x:c r="F273" s="150" t="n">
        <x:v>20</x:v>
      </x:c>
      <x:c r="G273" s="150" t="n">
        <x:v>3</x:v>
      </x:c>
      <x:c r="H273" s="178" t="n">
        <x:v>3546000</x:v>
      </x:c>
      <x:c r="I273" s="163" t="n">
        <x:v>0.05</x:v>
      </x:c>
      <x:c r="J273" s="80" t="n">
        <x:f>H273*(1-I273)</x:f>
        <x:v>3368700</x:v>
      </x:c>
      <x:c r="K273" s="75" t="n">
        <x:f>IF(Portfolio_Par&gt;0,J273/Portfolio_Par,"")</x:f>
        <x:v>0.011229</x:v>
      </x:c>
      <x:c r="L273" s="150" t="str">
        <x:v>SYN-OB-0033, SYN-OB-0073, SYN-OB-0113</x:v>
      </x:c>
    </x:row>
    <x:row r="274" ht="39" customHeight="1">
      <x:c r="A274" s="150"/>
      <x:c r="B274" s="150"/>
      <x:c r="C274" s="154" t="str">
        <x:v>alternative_industry</x:v>
      </x:c>
      <x:c r="D274" s="154" t="str">
        <x:v>CCC+ through CCC-</x:v>
      </x:c>
      <x:c r="E274" s="154" t="str">
        <x:v>Healthcare Technology</x:v>
      </x:c>
      <x:c r="F274" s="150" t="n">
        <x:v>24</x:v>
      </x:c>
      <x:c r="G274" s="150" t="n">
        <x:v>0</x:v>
      </x:c>
      <x:c r="H274" s="178" t="n">
        <x:v>0</x:v>
      </x:c>
      <x:c r="I274" s="163" t="n">
        <x:v>0.05</x:v>
      </x:c>
      <x:c r="J274" s="80" t="n">
        <x:f>H274*(1-I274)</x:f>
        <x:v>0</x:v>
      </x:c>
      <x:c r="K274" s="75" t="n">
        <x:f>IF(Portfolio_Par&gt;0,J274/Portfolio_Par,"")</x:f>
        <x:v>0</x:v>
      </x:c>
      <x:c r="L274" s="150" t="str"/>
    </x:row>
    <x:row r="275" ht="39" customHeight="1">
      <x:c r="A275" s="150"/>
      <x:c r="B275" s="150"/>
      <x:c r="C275" s="154" t="str">
        <x:v>alternative_industry</x:v>
      </x:c>
      <x:c r="D275" s="154" t="str">
        <x:v>AAA through CCC-</x:v>
      </x:c>
      <x:c r="E275" s="154" t="str">
        <x:v>Hotels, Restaurants &amp; Leisure</x:v>
      </x:c>
      <x:c r="F275" s="150" t="n">
        <x:v>4</x:v>
      </x:c>
      <x:c r="G275" s="150" t="n">
        <x:v>4</x:v>
      </x:c>
      <x:c r="H275" s="178" t="n">
        <x:v>4728000</x:v>
      </x:c>
      <x:c r="I275" s="163" t="n">
        <x:v>0.05</x:v>
      </x:c>
      <x:c r="J275" s="80" t="n">
        <x:f>H275*(1-I275)</x:f>
        <x:v>4491600</x:v>
      </x:c>
      <x:c r="K275" s="75" t="n">
        <x:f>IF(Portfolio_Par&gt;0,J275/Portfolio_Par,"")</x:f>
        <x:v>0.014972</x:v>
      </x:c>
      <x:c r="L275" s="150" t="str">
        <x:v>SYN-OB-0001, SYN-OB-0014, SYN-OB-0022, SYN-OB-0065</x:v>
      </x:c>
    </x:row>
    <x:row r="276" ht="39" customHeight="1">
      <x:c r="A276" s="150"/>
      <x:c r="B276" s="150"/>
      <x:c r="C276" s="154" t="str">
        <x:v>alternative_industry</x:v>
      </x:c>
      <x:c r="D276" s="154" t="str">
        <x:v>AA+ through CCC-</x:v>
      </x:c>
      <x:c r="E276" s="154" t="str">
        <x:v>Hotels, Restaurants &amp; Leisure</x:v>
      </x:c>
      <x:c r="F276" s="150" t="n">
        <x:v>6</x:v>
      </x:c>
      <x:c r="G276" s="150" t="n">
        <x:v>6</x:v>
      </x:c>
      <x:c r="H276" s="178" t="n">
        <x:v>7092000</x:v>
      </x:c>
      <x:c r="I276" s="163" t="n">
        <x:v>0.05</x:v>
      </x:c>
      <x:c r="J276" s="80" t="n">
        <x:f>H276*(1-I276)</x:f>
        <x:v>6737400</x:v>
      </x:c>
      <x:c r="K276" s="75" t="n">
        <x:f>IF(Portfolio_Par&gt;0,J276/Portfolio_Par,"")</x:f>
        <x:v>0.022458</x:v>
      </x:c>
      <x:c r="L276" s="150" t="str">
        <x:v>SYN-OB-0001, SYN-OB-0014, SYN-OB-0022, SYN-OB-0065, SYN-OB-0094, SYN-OB-0124</x:v>
      </x:c>
    </x:row>
    <x:row r="277" ht="39" customHeight="1">
      <x:c r="A277" s="150"/>
      <x:c r="B277" s="150"/>
      <x:c r="C277" s="154" t="str">
        <x:v>alternative_industry</x:v>
      </x:c>
      <x:c r="D277" s="154" t="str">
        <x:v>A+ through CCC-</x:v>
      </x:c>
      <x:c r="E277" s="154" t="str">
        <x:v>Hotels, Restaurants &amp; Leisure</x:v>
      </x:c>
      <x:c r="F277" s="150" t="n">
        <x:v>8</x:v>
      </x:c>
      <x:c r="G277" s="150" t="n">
        <x:v>8</x:v>
      </x:c>
      <x:c r="H277" s="178" t="n">
        <x:v>9456000</x:v>
      </x:c>
      <x:c r="I277" s="163" t="n">
        <x:v>0.05</x:v>
      </x:c>
      <x:c r="J277" s="80" t="n">
        <x:f>H277*(1-I277)</x:f>
        <x:v>8983200</x:v>
      </x:c>
      <x:c r="K277" s="75" t="n">
        <x:f>IF(Portfolio_Par&gt;0,J277/Portfolio_Par,"")</x:f>
        <x:v>0.029944</x:v>
      </x:c>
      <x:c r="L277" s="150" t="str">
        <x:v>SYN-OB-0001, SYN-OB-0014, SYN-OB-0022, SYN-OB-0065, SYN-OB-0094, SYN-OB-0124, SYN-OB-0126, SYN-OB-0137</x:v>
      </x:c>
    </x:row>
    <x:row r="278" ht="39" customHeight="1">
      <x:c r="A278" s="150"/>
      <x:c r="B278" s="150"/>
      <x:c r="C278" s="154" t="str">
        <x:v>alternative_industry</x:v>
      </x:c>
      <x:c r="D278" s="154" t="str">
        <x:v>BBB+ through CCC-</x:v>
      </x:c>
      <x:c r="E278" s="154" t="str">
        <x:v>Hotels, Restaurants &amp; Leisure</x:v>
      </x:c>
      <x:c r="F278" s="150" t="n">
        <x:v>12</x:v>
      </x:c>
      <x:c r="G278" s="150" t="n">
        <x:v>12</x:v>
      </x:c>
      <x:c r="H278" s="178" t="n">
        <x:v>13080000</x:v>
      </x:c>
      <x:c r="I278" s="163" t="n">
        <x:v>0.05</x:v>
      </x:c>
      <x:c r="J278" s="80" t="n">
        <x:f>H278*(1-I278)</x:f>
        <x:v>12426000</x:v>
      </x:c>
      <x:c r="K278" s="75" t="n">
        <x:f>IF(Portfolio_Par&gt;0,J278/Portfolio_Par,"")</x:f>
        <x:v>0.04142</x:v>
      </x:c>
      <x:c r="L278" s="150" t="str">
        <x:v>SYN-OB-0001, SYN-OB-0014, SYN-OB-0022, SYN-OB-0065, SYN-OB-0094, SYN-OB-0124, SYN-OB-0126, SYN-OB-0137, SYN-OB-0181, SYN-OB-0249, SYN-OB-0117, SYN-OB-0208</x:v>
      </x:c>
    </x:row>
    <x:row r="279" ht="39" customHeight="1">
      <x:c r="A279" s="150"/>
      <x:c r="B279" s="150"/>
      <x:c r="C279" s="154" t="str">
        <x:v>alternative_industry</x:v>
      </x:c>
      <x:c r="D279" s="154" t="str">
        <x:v>BB+ through CCC-</x:v>
      </x:c>
      <x:c r="E279" s="154" t="str">
        <x:v>Hotels, Restaurants &amp; Leisure</x:v>
      </x:c>
      <x:c r="F279" s="150" t="n">
        <x:v>16</x:v>
      </x:c>
      <x:c r="G279" s="150" t="n">
        <x:v>12</x:v>
      </x:c>
      <x:c r="H279" s="178" t="n">
        <x:v>13080000</x:v>
      </x:c>
      <x:c r="I279" s="163" t="n">
        <x:v>0.05</x:v>
      </x:c>
      <x:c r="J279" s="80" t="n">
        <x:f>H279*(1-I279)</x:f>
        <x:v>12426000</x:v>
      </x:c>
      <x:c r="K279" s="75" t="n">
        <x:f>IF(Portfolio_Par&gt;0,J279/Portfolio_Par,"")</x:f>
        <x:v>0.04142</x:v>
      </x:c>
      <x:c r="L279" s="150" t="str">
        <x:v>SYN-OB-0001, SYN-OB-0014, SYN-OB-0022, SYN-OB-0065, SYN-OB-0094, SYN-OB-0124, SYN-OB-0126, SYN-OB-0137, SYN-OB-0181, SYN-OB-0249, SYN-OB-0117, SYN-OB-0208</x:v>
      </x:c>
    </x:row>
    <x:row r="280" ht="39" customHeight="1">
      <x:c r="A280" s="150"/>
      <x:c r="B280" s="150"/>
      <x:c r="C280" s="154" t="str">
        <x:v>alternative_industry</x:v>
      </x:c>
      <x:c r="D280" s="154" t="str">
        <x:v>B+ through CCC-</x:v>
      </x:c>
      <x:c r="E280" s="154" t="str">
        <x:v>Hotels, Restaurants &amp; Leisure</x:v>
      </x:c>
      <x:c r="F280" s="150" t="n">
        <x:v>20</x:v>
      </x:c>
      <x:c r="G280" s="150" t="n">
        <x:v>3</x:v>
      </x:c>
      <x:c r="H280" s="178" t="n">
        <x:v>2442000</x:v>
      </x:c>
      <x:c r="I280" s="163" t="n">
        <x:v>0.05</x:v>
      </x:c>
      <x:c r="J280" s="80" t="n">
        <x:f>H280*(1-I280)</x:f>
        <x:v>2319900</x:v>
      </x:c>
      <x:c r="K280" s="75" t="n">
        <x:f>IF(Portfolio_Par&gt;0,J280/Portfolio_Par,"")</x:f>
        <x:v>0.007733</x:v>
      </x:c>
      <x:c r="L280" s="150" t="str">
        <x:v>SYN-OB-0022, SYN-OB-0117, SYN-OB-0208</x:v>
      </x:c>
    </x:row>
    <x:row r="281" ht="39" customHeight="1">
      <x:c r="A281" s="150"/>
      <x:c r="B281" s="150"/>
      <x:c r="C281" s="154" t="str">
        <x:v>alternative_industry</x:v>
      </x:c>
      <x:c r="D281" s="154" t="str">
        <x:v>CCC+ through CCC-</x:v>
      </x:c>
      <x:c r="E281" s="154" t="str">
        <x:v>Hotels, Restaurants &amp; Leisure</x:v>
      </x:c>
      <x:c r="F281" s="150" t="n">
        <x:v>24</x:v>
      </x:c>
      <x:c r="G281" s="150" t="n">
        <x:v>0</x:v>
      </x:c>
      <x:c r="H281" s="178" t="n">
        <x:v>0</x:v>
      </x:c>
      <x:c r="I281" s="163" t="n">
        <x:v>0.05</x:v>
      </x:c>
      <x:c r="J281" s="80" t="n">
        <x:f>H281*(1-I281)</x:f>
        <x:v>0</x:v>
      </x:c>
      <x:c r="K281" s="75" t="n">
        <x:f>IF(Portfolio_Par&gt;0,J281/Portfolio_Par,"")</x:f>
        <x:v>0</x:v>
      </x:c>
      <x:c r="L281" s="150" t="str"/>
    </x:row>
    <x:row r="282" ht="39" customHeight="1">
      <x:c r="A282" s="150"/>
      <x:c r="B282" s="150"/>
      <x:c r="C282" s="154" t="str">
        <x:v>alternative_industry</x:v>
      </x:c>
      <x:c r="D282" s="154" t="str">
        <x:v>AAA through CCC-</x:v>
      </x:c>
      <x:c r="E282" s="154" t="str">
        <x:v>Household Durables</x:v>
      </x:c>
      <x:c r="F282" s="150" t="n">
        <x:v>4</x:v>
      </x:c>
      <x:c r="G282" s="150" t="n">
        <x:v>2</x:v>
      </x:c>
      <x:c r="H282" s="178" t="n">
        <x:v>2364000</x:v>
      </x:c>
      <x:c r="I282" s="163" t="n">
        <x:v>0.05</x:v>
      </x:c>
      <x:c r="J282" s="80" t="n">
        <x:f>H282*(1-I282)</x:f>
        <x:v>2245800</x:v>
      </x:c>
      <x:c r="K282" s="75" t="n">
        <x:f>IF(Portfolio_Par&gt;0,J282/Portfolio_Par,"")</x:f>
        <x:v>0.007486</x:v>
      </x:c>
      <x:c r="L282" s="150" t="str">
        <x:v>SYN-OB-0154, SYN-OB-0269</x:v>
      </x:c>
    </x:row>
    <x:row r="283" ht="39" customHeight="1">
      <x:c r="A283" s="150"/>
      <x:c r="B283" s="150"/>
      <x:c r="C283" s="154" t="str">
        <x:v>alternative_industry</x:v>
      </x:c>
      <x:c r="D283" s="154" t="str">
        <x:v>AA+ through CCC-</x:v>
      </x:c>
      <x:c r="E283" s="154" t="str">
        <x:v>Household Durables</x:v>
      </x:c>
      <x:c r="F283" s="150" t="n">
        <x:v>6</x:v>
      </x:c>
      <x:c r="G283" s="150" t="n">
        <x:v>2</x:v>
      </x:c>
      <x:c r="H283" s="178" t="n">
        <x:v>2364000</x:v>
      </x:c>
      <x:c r="I283" s="163" t="n">
        <x:v>0.05</x:v>
      </x:c>
      <x:c r="J283" s="80" t="n">
        <x:f>H283*(1-I283)</x:f>
        <x:v>2245800</x:v>
      </x:c>
      <x:c r="K283" s="75" t="n">
        <x:f>IF(Portfolio_Par&gt;0,J283/Portfolio_Par,"")</x:f>
        <x:v>0.007486</x:v>
      </x:c>
      <x:c r="L283" s="150" t="str">
        <x:v>SYN-OB-0154, SYN-OB-0269</x:v>
      </x:c>
    </x:row>
    <x:row r="284" ht="39" customHeight="1">
      <x:c r="A284" s="150"/>
      <x:c r="B284" s="150"/>
      <x:c r="C284" s="154" t="str">
        <x:v>alternative_industry</x:v>
      </x:c>
      <x:c r="D284" s="154" t="str">
        <x:v>A+ through CCC-</x:v>
      </x:c>
      <x:c r="E284" s="154" t="str">
        <x:v>Household Durables</x:v>
      </x:c>
      <x:c r="F284" s="150" t="n">
        <x:v>8</x:v>
      </x:c>
      <x:c r="G284" s="150" t="n">
        <x:v>2</x:v>
      </x:c>
      <x:c r="H284" s="178" t="n">
        <x:v>2364000</x:v>
      </x:c>
      <x:c r="I284" s="163" t="n">
        <x:v>0.05</x:v>
      </x:c>
      <x:c r="J284" s="80" t="n">
        <x:f>H284*(1-I284)</x:f>
        <x:v>2245800</x:v>
      </x:c>
      <x:c r="K284" s="75" t="n">
        <x:f>IF(Portfolio_Par&gt;0,J284/Portfolio_Par,"")</x:f>
        <x:v>0.007486</x:v>
      </x:c>
      <x:c r="L284" s="150" t="str">
        <x:v>SYN-OB-0154, SYN-OB-0269</x:v>
      </x:c>
    </x:row>
    <x:row r="285" ht="39" customHeight="1">
      <x:c r="A285" s="150"/>
      <x:c r="B285" s="150"/>
      <x:c r="C285" s="154" t="str">
        <x:v>alternative_industry</x:v>
      </x:c>
      <x:c r="D285" s="154" t="str">
        <x:v>BBB+ through CCC-</x:v>
      </x:c>
      <x:c r="E285" s="154" t="str">
        <x:v>Household Durables</x:v>
      </x:c>
      <x:c r="F285" s="150" t="n">
        <x:v>12</x:v>
      </x:c>
      <x:c r="G285" s="150" t="n">
        <x:v>2</x:v>
      </x:c>
      <x:c r="H285" s="178" t="n">
        <x:v>2364000</x:v>
      </x:c>
      <x:c r="I285" s="163" t="n">
        <x:v>0.05</x:v>
      </x:c>
      <x:c r="J285" s="80" t="n">
        <x:f>H285*(1-I285)</x:f>
        <x:v>2245800</x:v>
      </x:c>
      <x:c r="K285" s="75" t="n">
        <x:f>IF(Portfolio_Par&gt;0,J285/Portfolio_Par,"")</x:f>
        <x:v>0.007486</x:v>
      </x:c>
      <x:c r="L285" s="150" t="str">
        <x:v>SYN-OB-0154, SYN-OB-0269</x:v>
      </x:c>
    </x:row>
    <x:row r="286" ht="39" customHeight="1">
      <x:c r="A286" s="150"/>
      <x:c r="B286" s="150"/>
      <x:c r="C286" s="154" t="str">
        <x:v>alternative_industry</x:v>
      </x:c>
      <x:c r="D286" s="154" t="str">
        <x:v>BB+ through CCC-</x:v>
      </x:c>
      <x:c r="E286" s="154" t="str">
        <x:v>Household Durables</x:v>
      </x:c>
      <x:c r="F286" s="150" t="n">
        <x:v>16</x:v>
      </x:c>
      <x:c r="G286" s="150" t="n">
        <x:v>2</x:v>
      </x:c>
      <x:c r="H286" s="178" t="n">
        <x:v>2364000</x:v>
      </x:c>
      <x:c r="I286" s="163" t="n">
        <x:v>0.05</x:v>
      </x:c>
      <x:c r="J286" s="80" t="n">
        <x:f>H286*(1-I286)</x:f>
        <x:v>2245800</x:v>
      </x:c>
      <x:c r="K286" s="75" t="n">
        <x:f>IF(Portfolio_Par&gt;0,J286/Portfolio_Par,"")</x:f>
        <x:v>0.007486</x:v>
      </x:c>
      <x:c r="L286" s="150" t="str">
        <x:v>SYN-OB-0154, SYN-OB-0269</x:v>
      </x:c>
    </x:row>
    <x:row r="287" ht="39" customHeight="1">
      <x:c r="A287" s="150"/>
      <x:c r="B287" s="150"/>
      <x:c r="C287" s="154" t="str">
        <x:v>alternative_industry</x:v>
      </x:c>
      <x:c r="D287" s="154" t="str">
        <x:v>B+ through CCC-</x:v>
      </x:c>
      <x:c r="E287" s="154" t="str">
        <x:v>Household Durables</x:v>
      </x:c>
      <x:c r="F287" s="150" t="n">
        <x:v>20</x:v>
      </x:c>
      <x:c r="G287" s="150" t="n">
        <x:v>0</x:v>
      </x:c>
      <x:c r="H287" s="178" t="n">
        <x:v>0</x:v>
      </x:c>
      <x:c r="I287" s="163" t="n">
        <x:v>0.05</x:v>
      </x:c>
      <x:c r="J287" s="80" t="n">
        <x:f>H287*(1-I287)</x:f>
        <x:v>0</x:v>
      </x:c>
      <x:c r="K287" s="75" t="n">
        <x:f>IF(Portfolio_Par&gt;0,J287/Portfolio_Par,"")</x:f>
        <x:v>0</x:v>
      </x:c>
      <x:c r="L287" s="150" t="str"/>
    </x:row>
    <x:row r="288" ht="39" customHeight="1">
      <x:c r="A288" s="150"/>
      <x:c r="B288" s="150"/>
      <x:c r="C288" s="154" t="str">
        <x:v>alternative_industry</x:v>
      </x:c>
      <x:c r="D288" s="154" t="str">
        <x:v>CCC+ through CCC-</x:v>
      </x:c>
      <x:c r="E288" s="154" t="str">
        <x:v>Household Durables</x:v>
      </x:c>
      <x:c r="F288" s="150" t="n">
        <x:v>24</x:v>
      </x:c>
      <x:c r="G288" s="150" t="n">
        <x:v>0</x:v>
      </x:c>
      <x:c r="H288" s="178" t="n">
        <x:v>0</x:v>
      </x:c>
      <x:c r="I288" s="163" t="n">
        <x:v>0.05</x:v>
      </x:c>
      <x:c r="J288" s="80" t="n">
        <x:f>H288*(1-I288)</x:f>
        <x:v>0</x:v>
      </x:c>
      <x:c r="K288" s="75" t="n">
        <x:f>IF(Portfolio_Par&gt;0,J288/Portfolio_Par,"")</x:f>
        <x:v>0</x:v>
      </x:c>
      <x:c r="L288" s="150" t="str"/>
    </x:row>
    <x:row r="289" ht="39" customHeight="1">
      <x:c r="A289" s="150"/>
      <x:c r="B289" s="150"/>
      <x:c r="C289" s="154" t="str">
        <x:v>alternative_industry</x:v>
      </x:c>
      <x:c r="D289" s="154" t="str">
        <x:v>AAA through CCC-</x:v>
      </x:c>
      <x:c r="E289" s="154" t="str">
        <x:v>Household Products</x:v>
      </x:c>
      <x:c r="F289" s="150" t="n">
        <x:v>4</x:v>
      </x:c>
      <x:c r="G289" s="150" t="n">
        <x:v>3</x:v>
      </x:c>
      <x:c r="H289" s="178" t="n">
        <x:v>3546000</x:v>
      </x:c>
      <x:c r="I289" s="163" t="n">
        <x:v>0.05</x:v>
      </x:c>
      <x:c r="J289" s="80" t="n">
        <x:f>H289*(1-I289)</x:f>
        <x:v>3368700</x:v>
      </x:c>
      <x:c r="K289" s="75" t="n">
        <x:f>IF(Portfolio_Par&gt;0,J289/Portfolio_Par,"")</x:f>
        <x:v>0.011229</x:v>
      </x:c>
      <x:c r="L289" s="150" t="str">
        <x:v>SYN-OB-0026, SYN-OB-0058, SYN-OB-0171</x:v>
      </x:c>
    </x:row>
    <x:row r="290" ht="39" customHeight="1">
      <x:c r="A290" s="150"/>
      <x:c r="B290" s="150"/>
      <x:c r="C290" s="154" t="str">
        <x:v>alternative_industry</x:v>
      </x:c>
      <x:c r="D290" s="154" t="str">
        <x:v>AA+ through CCC-</x:v>
      </x:c>
      <x:c r="E290" s="154" t="str">
        <x:v>Household Products</x:v>
      </x:c>
      <x:c r="F290" s="150" t="n">
        <x:v>6</x:v>
      </x:c>
      <x:c r="G290" s="150" t="n">
        <x:v>3</x:v>
      </x:c>
      <x:c r="H290" s="178" t="n">
        <x:v>3546000</x:v>
      </x:c>
      <x:c r="I290" s="163" t="n">
        <x:v>0.05</x:v>
      </x:c>
      <x:c r="J290" s="80" t="n">
        <x:f>H290*(1-I290)</x:f>
        <x:v>3368700</x:v>
      </x:c>
      <x:c r="K290" s="75" t="n">
        <x:f>IF(Portfolio_Par&gt;0,J290/Portfolio_Par,"")</x:f>
        <x:v>0.011229</x:v>
      </x:c>
      <x:c r="L290" s="150" t="str">
        <x:v>SYN-OB-0026, SYN-OB-0058, SYN-OB-0171</x:v>
      </x:c>
    </x:row>
    <x:row r="291" ht="39" customHeight="1">
      <x:c r="A291" s="150"/>
      <x:c r="B291" s="150"/>
      <x:c r="C291" s="154" t="str">
        <x:v>alternative_industry</x:v>
      </x:c>
      <x:c r="D291" s="154" t="str">
        <x:v>A+ through CCC-</x:v>
      </x:c>
      <x:c r="E291" s="154" t="str">
        <x:v>Household Products</x:v>
      </x:c>
      <x:c r="F291" s="150" t="n">
        <x:v>8</x:v>
      </x:c>
      <x:c r="G291" s="150" t="n">
        <x:v>3</x:v>
      </x:c>
      <x:c r="H291" s="178" t="n">
        <x:v>3546000</x:v>
      </x:c>
      <x:c r="I291" s="163" t="n">
        <x:v>0.05</x:v>
      </x:c>
      <x:c r="J291" s="80" t="n">
        <x:f>H291*(1-I291)</x:f>
        <x:v>3368700</x:v>
      </x:c>
      <x:c r="K291" s="75" t="n">
        <x:f>IF(Portfolio_Par&gt;0,J291/Portfolio_Par,"")</x:f>
        <x:v>0.011229</x:v>
      </x:c>
      <x:c r="L291" s="150" t="str">
        <x:v>SYN-OB-0026, SYN-OB-0058, SYN-OB-0171</x:v>
      </x:c>
    </x:row>
    <x:row r="292" ht="39" customHeight="1">
      <x:c r="A292" s="150"/>
      <x:c r="B292" s="150"/>
      <x:c r="C292" s="154" t="str">
        <x:v>alternative_industry</x:v>
      </x:c>
      <x:c r="D292" s="154" t="str">
        <x:v>BBB+ through CCC-</x:v>
      </x:c>
      <x:c r="E292" s="154" t="str">
        <x:v>Household Products</x:v>
      </x:c>
      <x:c r="F292" s="150" t="n">
        <x:v>12</x:v>
      </x:c>
      <x:c r="G292" s="150" t="n">
        <x:v>3</x:v>
      </x:c>
      <x:c r="H292" s="178" t="n">
        <x:v>3546000</x:v>
      </x:c>
      <x:c r="I292" s="163" t="n">
        <x:v>0.05</x:v>
      </x:c>
      <x:c r="J292" s="80" t="n">
        <x:f>H292*(1-I292)</x:f>
        <x:v>3368700</x:v>
      </x:c>
      <x:c r="K292" s="75" t="n">
        <x:f>IF(Portfolio_Par&gt;0,J292/Portfolio_Par,"")</x:f>
        <x:v>0.011229</x:v>
      </x:c>
      <x:c r="L292" s="150" t="str">
        <x:v>SYN-OB-0026, SYN-OB-0058, SYN-OB-0171</x:v>
      </x:c>
    </x:row>
    <x:row r="293" ht="39" customHeight="1">
      <x:c r="A293" s="150"/>
      <x:c r="B293" s="150"/>
      <x:c r="C293" s="154" t="str">
        <x:v>alternative_industry</x:v>
      </x:c>
      <x:c r="D293" s="154" t="str">
        <x:v>BB+ through CCC-</x:v>
      </x:c>
      <x:c r="E293" s="154" t="str">
        <x:v>Household Products</x:v>
      </x:c>
      <x:c r="F293" s="150" t="n">
        <x:v>16</x:v>
      </x:c>
      <x:c r="G293" s="150" t="n">
        <x:v>3</x:v>
      </x:c>
      <x:c r="H293" s="178" t="n">
        <x:v>3546000</x:v>
      </x:c>
      <x:c r="I293" s="163" t="n">
        <x:v>0.05</x:v>
      </x:c>
      <x:c r="J293" s="80" t="n">
        <x:f>H293*(1-I293)</x:f>
        <x:v>3368700</x:v>
      </x:c>
      <x:c r="K293" s="75" t="n">
        <x:f>IF(Portfolio_Par&gt;0,J293/Portfolio_Par,"")</x:f>
        <x:v>0.011229</x:v>
      </x:c>
      <x:c r="L293" s="150" t="str">
        <x:v>SYN-OB-0026, SYN-OB-0058, SYN-OB-0171</x:v>
      </x:c>
    </x:row>
    <x:row r="294" ht="39" customHeight="1">
      <x:c r="A294" s="150"/>
      <x:c r="B294" s="150"/>
      <x:c r="C294" s="154" t="str">
        <x:v>alternative_industry</x:v>
      </x:c>
      <x:c r="D294" s="154" t="str">
        <x:v>B+ through CCC-</x:v>
      </x:c>
      <x:c r="E294" s="154" t="str">
        <x:v>Household Products</x:v>
      </x:c>
      <x:c r="F294" s="150" t="n">
        <x:v>20</x:v>
      </x:c>
      <x:c r="G294" s="150" t="n">
        <x:v>0</x:v>
      </x:c>
      <x:c r="H294" s="178" t="n">
        <x:v>0</x:v>
      </x:c>
      <x:c r="I294" s="163" t="n">
        <x:v>0.05</x:v>
      </x:c>
      <x:c r="J294" s="80" t="n">
        <x:f>H294*(1-I294)</x:f>
        <x:v>0</x:v>
      </x:c>
      <x:c r="K294" s="75" t="n">
        <x:f>IF(Portfolio_Par&gt;0,J294/Portfolio_Par,"")</x:f>
        <x:v>0</x:v>
      </x:c>
      <x:c r="L294" s="150" t="str"/>
    </x:row>
    <x:row r="295" ht="39" customHeight="1">
      <x:c r="A295" s="150"/>
      <x:c r="B295" s="150"/>
      <x:c r="C295" s="154" t="str">
        <x:v>alternative_industry</x:v>
      </x:c>
      <x:c r="D295" s="154" t="str">
        <x:v>CCC+ through CCC-</x:v>
      </x:c>
      <x:c r="E295" s="154" t="str">
        <x:v>Household Products</x:v>
      </x:c>
      <x:c r="F295" s="150" t="n">
        <x:v>24</x:v>
      </x:c>
      <x:c r="G295" s="150" t="n">
        <x:v>0</x:v>
      </x:c>
      <x:c r="H295" s="178" t="n">
        <x:v>0</x:v>
      </x:c>
      <x:c r="I295" s="163" t="n">
        <x:v>0.05</x:v>
      </x:c>
      <x:c r="J295" s="80" t="n">
        <x:f>H295*(1-I295)</x:f>
        <x:v>0</x:v>
      </x:c>
      <x:c r="K295" s="75" t="n">
        <x:f>IF(Portfolio_Par&gt;0,J295/Portfolio_Par,"")</x:f>
        <x:v>0</x:v>
      </x:c>
      <x:c r="L295" s="150" t="str"/>
    </x:row>
    <x:row r="296" ht="39" customHeight="1">
      <x:c r="A296" s="150"/>
      <x:c r="B296" s="150"/>
      <x:c r="C296" s="154" t="str">
        <x:v>alternative_industry</x:v>
      </x:c>
      <x:c r="D296" s="154" t="str">
        <x:v>AAA through CCC-</x:v>
      </x:c>
      <x:c r="E296" s="154" t="str">
        <x:v>IT Services</x:v>
      </x:c>
      <x:c r="F296" s="150" t="n">
        <x:v>4</x:v>
      </x:c>
      <x:c r="G296" s="150" t="n">
        <x:v>4</x:v>
      </x:c>
      <x:c r="H296" s="178" t="n">
        <x:v>4728000</x:v>
      </x:c>
      <x:c r="I296" s="163" t="n">
        <x:v>0.05</x:v>
      </x:c>
      <x:c r="J296" s="80" t="n">
        <x:f>H296*(1-I296)</x:f>
        <x:v>4491600</x:v>
      </x:c>
      <x:c r="K296" s="75" t="n">
        <x:f>IF(Portfolio_Par&gt;0,J296/Portfolio_Par,"")</x:f>
        <x:v>0.014972</x:v>
      </x:c>
      <x:c r="L296" s="150" t="str">
        <x:v>SYN-OB-0041, SYN-OB-0077, SYN-OB-0078, SYN-OB-0112</x:v>
      </x:c>
    </x:row>
    <x:row r="297" ht="39" customHeight="1">
      <x:c r="A297" s="150"/>
      <x:c r="B297" s="150"/>
      <x:c r="C297" s="154" t="str">
        <x:v>alternative_industry</x:v>
      </x:c>
      <x:c r="D297" s="154" t="str">
        <x:v>AA+ through CCC-</x:v>
      </x:c>
      <x:c r="E297" s="154" t="str">
        <x:v>IT Services</x:v>
      </x:c>
      <x:c r="F297" s="150" t="n">
        <x:v>6</x:v>
      </x:c>
      <x:c r="G297" s="150" t="n">
        <x:v>6</x:v>
      </x:c>
      <x:c r="H297" s="178" t="n">
        <x:v>7092000</x:v>
      </x:c>
      <x:c r="I297" s="163" t="n">
        <x:v>0.05</x:v>
      </x:c>
      <x:c r="J297" s="80" t="n">
        <x:f>H297*(1-I297)</x:f>
        <x:v>6737400</x:v>
      </x:c>
      <x:c r="K297" s="75" t="n">
        <x:f>IF(Portfolio_Par&gt;0,J297/Portfolio_Par,"")</x:f>
        <x:v>0.022458</x:v>
      </x:c>
      <x:c r="L297" s="150" t="str">
        <x:v>SYN-OB-0041, SYN-OB-0077, SYN-OB-0078, SYN-OB-0112, SYN-OB-0133, SYN-OB-0161</x:v>
      </x:c>
    </x:row>
    <x:row r="298" ht="39" customHeight="1">
      <x:c r="A298" s="150"/>
      <x:c r="B298" s="150"/>
      <x:c r="C298" s="154" t="str">
        <x:v>alternative_industry</x:v>
      </x:c>
      <x:c r="D298" s="154" t="str">
        <x:v>A+ through CCC-</x:v>
      </x:c>
      <x:c r="E298" s="154" t="str">
        <x:v>IT Services</x:v>
      </x:c>
      <x:c r="F298" s="150" t="n">
        <x:v>8</x:v>
      </x:c>
      <x:c r="G298" s="150" t="n">
        <x:v>7</x:v>
      </x:c>
      <x:c r="H298" s="178" t="n">
        <x:v>7678000</x:v>
      </x:c>
      <x:c r="I298" s="163" t="n">
        <x:v>0.05</x:v>
      </x:c>
      <x:c r="J298" s="80" t="n">
        <x:f>H298*(1-I298)</x:f>
        <x:v>7294100</x:v>
      </x:c>
      <x:c r="K298" s="75" t="n">
        <x:f>IF(Portfolio_Par&gt;0,J298/Portfolio_Par,"")</x:f>
        <x:v>0.024313666666666667</x:v>
      </x:c>
      <x:c r="L298" s="150" t="str">
        <x:v>SYN-OB-0041, SYN-OB-0077, SYN-OB-0078, SYN-OB-0112, SYN-OB-0133, SYN-OB-0161, SYN-OB-0002</x:v>
      </x:c>
    </x:row>
    <x:row r="299" ht="39" customHeight="1">
      <x:c r="A299" s="150"/>
      <x:c r="B299" s="150"/>
      <x:c r="C299" s="154" t="str">
        <x:v>alternative_industry</x:v>
      </x:c>
      <x:c r="D299" s="154" t="str">
        <x:v>BBB+ through CCC-</x:v>
      </x:c>
      <x:c r="E299" s="154" t="str">
        <x:v>IT Services</x:v>
      </x:c>
      <x:c r="F299" s="150" t="n">
        <x:v>12</x:v>
      </x:c>
      <x:c r="G299" s="150" t="n">
        <x:v>7</x:v>
      </x:c>
      <x:c r="H299" s="178" t="n">
        <x:v>7678000</x:v>
      </x:c>
      <x:c r="I299" s="163" t="n">
        <x:v>0.05</x:v>
      </x:c>
      <x:c r="J299" s="80" t="n">
        <x:f>H299*(1-I299)</x:f>
        <x:v>7294100</x:v>
      </x:c>
      <x:c r="K299" s="75" t="n">
        <x:f>IF(Portfolio_Par&gt;0,J299/Portfolio_Par,"")</x:f>
        <x:v>0.024313666666666667</x:v>
      </x:c>
      <x:c r="L299" s="150" t="str">
        <x:v>SYN-OB-0041, SYN-OB-0077, SYN-OB-0078, SYN-OB-0112, SYN-OB-0133, SYN-OB-0161, SYN-OB-0002</x:v>
      </x:c>
    </x:row>
    <x:row r="300" ht="39" customHeight="1">
      <x:c r="A300" s="150"/>
      <x:c r="B300" s="150"/>
      <x:c r="C300" s="154" t="str">
        <x:v>alternative_industry</x:v>
      </x:c>
      <x:c r="D300" s="154" t="str">
        <x:v>BB+ through CCC-</x:v>
      </x:c>
      <x:c r="E300" s="154" t="str">
        <x:v>IT Services</x:v>
      </x:c>
      <x:c r="F300" s="150" t="n">
        <x:v>16</x:v>
      </x:c>
      <x:c r="G300" s="150" t="n">
        <x:v>6</x:v>
      </x:c>
      <x:c r="H300" s="178" t="n">
        <x:v>7092000</x:v>
      </x:c>
      <x:c r="I300" s="163" t="n">
        <x:v>0.05</x:v>
      </x:c>
      <x:c r="J300" s="80" t="n">
        <x:f>H300*(1-I300)</x:f>
        <x:v>6737400</x:v>
      </x:c>
      <x:c r="K300" s="75" t="n">
        <x:f>IF(Portfolio_Par&gt;0,J300/Portfolio_Par,"")</x:f>
        <x:v>0.022458</x:v>
      </x:c>
      <x:c r="L300" s="150" t="str">
        <x:v>SYN-OB-0041, SYN-OB-0077, SYN-OB-0078, SYN-OB-0112, SYN-OB-0133, SYN-OB-0161</x:v>
      </x:c>
    </x:row>
    <x:row r="301" ht="39" customHeight="1">
      <x:c r="A301" s="150"/>
      <x:c r="B301" s="150"/>
      <x:c r="C301" s="154" t="str">
        <x:v>alternative_industry</x:v>
      </x:c>
      <x:c r="D301" s="154" t="str">
        <x:v>B+ through CCC-</x:v>
      </x:c>
      <x:c r="E301" s="154" t="str">
        <x:v>IT Services</x:v>
      </x:c>
      <x:c r="F301" s="150" t="n">
        <x:v>20</x:v>
      </x:c>
      <x:c r="G301" s="150" t="n">
        <x:v>6</x:v>
      </x:c>
      <x:c r="H301" s="178" t="n">
        <x:v>7092000</x:v>
      </x:c>
      <x:c r="I301" s="163" t="n">
        <x:v>0.05</x:v>
      </x:c>
      <x:c r="J301" s="80" t="n">
        <x:f>H301*(1-I301)</x:f>
        <x:v>6737400</x:v>
      </x:c>
      <x:c r="K301" s="75" t="n">
        <x:f>IF(Portfolio_Par&gt;0,J301/Portfolio_Par,"")</x:f>
        <x:v>0.022458</x:v>
      </x:c>
      <x:c r="L301" s="150" t="str">
        <x:v>SYN-OB-0041, SYN-OB-0077, SYN-OB-0078, SYN-OB-0112, SYN-OB-0133, SYN-OB-0161</x:v>
      </x:c>
    </x:row>
    <x:row r="302" ht="39" customHeight="1">
      <x:c r="A302" s="150"/>
      <x:c r="B302" s="150"/>
      <x:c r="C302" s="154" t="str">
        <x:v>alternative_industry</x:v>
      </x:c>
      <x:c r="D302" s="154" t="str">
        <x:v>CCC+ through CCC-</x:v>
      </x:c>
      <x:c r="E302" s="154" t="str">
        <x:v>IT Services</x:v>
      </x:c>
      <x:c r="F302" s="150" t="n">
        <x:v>24</x:v>
      </x:c>
      <x:c r="G302" s="150" t="n">
        <x:v>0</x:v>
      </x:c>
      <x:c r="H302" s="178" t="n">
        <x:v>0</x:v>
      </x:c>
      <x:c r="I302" s="163" t="n">
        <x:v>0.05</x:v>
      </x:c>
      <x:c r="J302" s="80" t="n">
        <x:f>H302*(1-I302)</x:f>
        <x:v>0</x:v>
      </x:c>
      <x:c r="K302" s="75" t="n">
        <x:f>IF(Portfolio_Par&gt;0,J302/Portfolio_Par,"")</x:f>
        <x:v>0</x:v>
      </x:c>
      <x:c r="L302" s="150" t="str"/>
    </x:row>
    <x:row r="303" ht="39" customHeight="1">
      <x:c r="A303" s="150"/>
      <x:c r="B303" s="150"/>
      <x:c r="C303" s="154" t="str">
        <x:v>alternative_industry</x:v>
      </x:c>
      <x:c r="D303" s="154" t="str">
        <x:v>AAA through CCC-</x:v>
      </x:c>
      <x:c r="E303" s="154" t="str">
        <x:v>Independent Power and Renewable Electricity Producers</x:v>
      </x:c>
      <x:c r="F303" s="150" t="n">
        <x:v>4</x:v>
      </x:c>
      <x:c r="G303" s="150" t="n">
        <x:v>2</x:v>
      </x:c>
      <x:c r="H303" s="178" t="n">
        <x:v>2364000</x:v>
      </x:c>
      <x:c r="I303" s="163" t="n">
        <x:v>0.05</x:v>
      </x:c>
      <x:c r="J303" s="80" t="n">
        <x:f>H303*(1-I303)</x:f>
        <x:v>2245800</x:v>
      </x:c>
      <x:c r="K303" s="75" t="n">
        <x:f>IF(Portfolio_Par&gt;0,J303/Portfolio_Par,"")</x:f>
        <x:v>0.007486</x:v>
      </x:c>
      <x:c r="L303" s="150" t="str">
        <x:v>SYN-OB-0102, SYN-OB-0250</x:v>
      </x:c>
    </x:row>
    <x:row r="304" ht="39" customHeight="1">
      <x:c r="A304" s="150"/>
      <x:c r="B304" s="150"/>
      <x:c r="C304" s="154" t="str">
        <x:v>alternative_industry</x:v>
      </x:c>
      <x:c r="D304" s="154" t="str">
        <x:v>AA+ through CCC-</x:v>
      </x:c>
      <x:c r="E304" s="154" t="str">
        <x:v>Independent Power and Renewable Electricity Producers</x:v>
      </x:c>
      <x:c r="F304" s="150" t="n">
        <x:v>6</x:v>
      </x:c>
      <x:c r="G304" s="150" t="n">
        <x:v>2</x:v>
      </x:c>
      <x:c r="H304" s="178" t="n">
        <x:v>2364000</x:v>
      </x:c>
      <x:c r="I304" s="163" t="n">
        <x:v>0.05</x:v>
      </x:c>
      <x:c r="J304" s="80" t="n">
        <x:f>H304*(1-I304)</x:f>
        <x:v>2245800</x:v>
      </x:c>
      <x:c r="K304" s="75" t="n">
        <x:f>IF(Portfolio_Par&gt;0,J304/Portfolio_Par,"")</x:f>
        <x:v>0.007486</x:v>
      </x:c>
      <x:c r="L304" s="150" t="str">
        <x:v>SYN-OB-0102, SYN-OB-0250</x:v>
      </x:c>
    </x:row>
    <x:row r="305" ht="39" customHeight="1">
      <x:c r="A305" s="150"/>
      <x:c r="B305" s="150"/>
      <x:c r="C305" s="154" t="str">
        <x:v>alternative_industry</x:v>
      </x:c>
      <x:c r="D305" s="154" t="str">
        <x:v>A+ through CCC-</x:v>
      </x:c>
      <x:c r="E305" s="154" t="str">
        <x:v>Independent Power and Renewable Electricity Producers</x:v>
      </x:c>
      <x:c r="F305" s="150" t="n">
        <x:v>8</x:v>
      </x:c>
      <x:c r="G305" s="150" t="n">
        <x:v>2</x:v>
      </x:c>
      <x:c r="H305" s="178" t="n">
        <x:v>2364000</x:v>
      </x:c>
      <x:c r="I305" s="163" t="n">
        <x:v>0.05</x:v>
      </x:c>
      <x:c r="J305" s="80" t="n">
        <x:f>H305*(1-I305)</x:f>
        <x:v>2245800</x:v>
      </x:c>
      <x:c r="K305" s="75" t="n">
        <x:f>IF(Portfolio_Par&gt;0,J305/Portfolio_Par,"")</x:f>
        <x:v>0.007486</x:v>
      </x:c>
      <x:c r="L305" s="150" t="str">
        <x:v>SYN-OB-0102, SYN-OB-0250</x:v>
      </x:c>
    </x:row>
    <x:row r="306" ht="39" customHeight="1">
      <x:c r="A306" s="150"/>
      <x:c r="B306" s="150"/>
      <x:c r="C306" s="154" t="str">
        <x:v>alternative_industry</x:v>
      </x:c>
      <x:c r="D306" s="154" t="str">
        <x:v>BBB+ through CCC-</x:v>
      </x:c>
      <x:c r="E306" s="154" t="str">
        <x:v>Independent Power and Renewable Electricity Producers</x:v>
      </x:c>
      <x:c r="F306" s="150" t="n">
        <x:v>12</x:v>
      </x:c>
      <x:c r="G306" s="150" t="n">
        <x:v>2</x:v>
      </x:c>
      <x:c r="H306" s="178" t="n">
        <x:v>2364000</x:v>
      </x:c>
      <x:c r="I306" s="163" t="n">
        <x:v>0.05</x:v>
      </x:c>
      <x:c r="J306" s="80" t="n">
        <x:f>H306*(1-I306)</x:f>
        <x:v>2245800</x:v>
      </x:c>
      <x:c r="K306" s="75" t="n">
        <x:f>IF(Portfolio_Par&gt;0,J306/Portfolio_Par,"")</x:f>
        <x:v>0.007486</x:v>
      </x:c>
      <x:c r="L306" s="150" t="str">
        <x:v>SYN-OB-0102, SYN-OB-0250</x:v>
      </x:c>
    </x:row>
    <x:row r="307" ht="39" customHeight="1">
      <x:c r="A307" s="150"/>
      <x:c r="B307" s="150"/>
      <x:c r="C307" s="154" t="str">
        <x:v>alternative_industry</x:v>
      </x:c>
      <x:c r="D307" s="154" t="str">
        <x:v>BB+ through CCC-</x:v>
      </x:c>
      <x:c r="E307" s="154" t="str">
        <x:v>Independent Power and Renewable Electricity Producers</x:v>
      </x:c>
      <x:c r="F307" s="150" t="n">
        <x:v>16</x:v>
      </x:c>
      <x:c r="G307" s="150" t="n">
        <x:v>2</x:v>
      </x:c>
      <x:c r="H307" s="178" t="n">
        <x:v>2364000</x:v>
      </x:c>
      <x:c r="I307" s="163" t="n">
        <x:v>0.05</x:v>
      </x:c>
      <x:c r="J307" s="80" t="n">
        <x:f>H307*(1-I307)</x:f>
        <x:v>2245800</x:v>
      </x:c>
      <x:c r="K307" s="75" t="n">
        <x:f>IF(Portfolio_Par&gt;0,J307/Portfolio_Par,"")</x:f>
        <x:v>0.007486</x:v>
      </x:c>
      <x:c r="L307" s="150" t="str">
        <x:v>SYN-OB-0102, SYN-OB-0250</x:v>
      </x:c>
    </x:row>
    <x:row r="308" ht="39" customHeight="1">
      <x:c r="A308" s="150"/>
      <x:c r="B308" s="150"/>
      <x:c r="C308" s="154" t="str">
        <x:v>alternative_industry</x:v>
      </x:c>
      <x:c r="D308" s="154" t="str">
        <x:v>B+ through CCC-</x:v>
      </x:c>
      <x:c r="E308" s="154" t="str">
        <x:v>Independent Power and Renewable Electricity Producers</x:v>
      </x:c>
      <x:c r="F308" s="150" t="n">
        <x:v>20</x:v>
      </x:c>
      <x:c r="G308" s="150" t="n">
        <x:v>2</x:v>
      </x:c>
      <x:c r="H308" s="178" t="n">
        <x:v>2364000</x:v>
      </x:c>
      <x:c r="I308" s="163" t="n">
        <x:v>0.05</x:v>
      </x:c>
      <x:c r="J308" s="80" t="n">
        <x:f>H308*(1-I308)</x:f>
        <x:v>2245800</x:v>
      </x:c>
      <x:c r="K308" s="75" t="n">
        <x:f>IF(Portfolio_Par&gt;0,J308/Portfolio_Par,"")</x:f>
        <x:v>0.007486</x:v>
      </x:c>
      <x:c r="L308" s="150" t="str">
        <x:v>SYN-OB-0102, SYN-OB-0250</x:v>
      </x:c>
    </x:row>
    <x:row r="309" ht="39" customHeight="1">
      <x:c r="A309" s="150"/>
      <x:c r="B309" s="150"/>
      <x:c r="C309" s="154" t="str">
        <x:v>alternative_industry</x:v>
      </x:c>
      <x:c r="D309" s="154" t="str">
        <x:v>CCC+ through CCC-</x:v>
      </x:c>
      <x:c r="E309" s="154" t="str">
        <x:v>Independent Power and Renewable Electricity Producers</x:v>
      </x:c>
      <x:c r="F309" s="150" t="n">
        <x:v>24</x:v>
      </x:c>
      <x:c r="G309" s="150" t="n">
        <x:v>0</x:v>
      </x:c>
      <x:c r="H309" s="178" t="n">
        <x:v>0</x:v>
      </x:c>
      <x:c r="I309" s="163" t="n">
        <x:v>0.05</x:v>
      </x:c>
      <x:c r="J309" s="80" t="n">
        <x:f>H309*(1-I309)</x:f>
        <x:v>0</x:v>
      </x:c>
      <x:c r="K309" s="75" t="n">
        <x:f>IF(Portfolio_Par&gt;0,J309/Portfolio_Par,"")</x:f>
        <x:v>0</x:v>
      </x:c>
      <x:c r="L309" s="150" t="str"/>
    </x:row>
    <x:row r="310" ht="39" customHeight="1">
      <x:c r="A310" s="150"/>
      <x:c r="B310" s="150"/>
      <x:c r="C310" s="154" t="str">
        <x:v>alternative_industry</x:v>
      </x:c>
      <x:c r="D310" s="154" t="str">
        <x:v>AAA through CCC-</x:v>
      </x:c>
      <x:c r="E310" s="154" t="str">
        <x:v>Industrial Conglomerates</x:v>
      </x:c>
      <x:c r="F310" s="150" t="n">
        <x:v>4</x:v>
      </x:c>
      <x:c r="G310" s="150" t="n">
        <x:v>4</x:v>
      </x:c>
      <x:c r="H310" s="178" t="n">
        <x:v>4728000</x:v>
      </x:c>
      <x:c r="I310" s="163" t="n">
        <x:v>0.05</x:v>
      </x:c>
      <x:c r="J310" s="80" t="n">
        <x:f>H310*(1-I310)</x:f>
        <x:v>4491600</x:v>
      </x:c>
      <x:c r="K310" s="75" t="n">
        <x:f>IF(Portfolio_Par&gt;0,J310/Portfolio_Par,"")</x:f>
        <x:v>0.014972</x:v>
      </x:c>
      <x:c r="L310" s="150" t="str">
        <x:v>SYN-OB-0003, SYN-OB-0008, SYN-OB-0012, SYN-OB-0019</x:v>
      </x:c>
    </x:row>
    <x:row r="311" ht="39" customHeight="1">
      <x:c r="A311" s="150"/>
      <x:c r="B311" s="150"/>
      <x:c r="C311" s="154" t="str">
        <x:v>alternative_industry</x:v>
      </x:c>
      <x:c r="D311" s="154" t="str">
        <x:v>AA+ through CCC-</x:v>
      </x:c>
      <x:c r="E311" s="154" t="str">
        <x:v>Industrial Conglomerates</x:v>
      </x:c>
      <x:c r="F311" s="150" t="n">
        <x:v>6</x:v>
      </x:c>
      <x:c r="G311" s="150" t="n">
        <x:v>6</x:v>
      </x:c>
      <x:c r="H311" s="178" t="n">
        <x:v>7092000</x:v>
      </x:c>
      <x:c r="I311" s="163" t="n">
        <x:v>0.05</x:v>
      </x:c>
      <x:c r="J311" s="80" t="n">
        <x:f>H311*(1-I311)</x:f>
        <x:v>6737400</x:v>
      </x:c>
      <x:c r="K311" s="75" t="n">
        <x:f>IF(Portfolio_Par&gt;0,J311/Portfolio_Par,"")</x:f>
        <x:v>0.022458</x:v>
      </x:c>
      <x:c r="L311" s="150" t="str">
        <x:v>SYN-OB-0003, SYN-OB-0008, SYN-OB-0012, SYN-OB-0019, SYN-OB-0030, SYN-OB-0053</x:v>
      </x:c>
    </x:row>
    <x:row r="312" ht="39" customHeight="1">
      <x:c r="A312" s="150"/>
      <x:c r="B312" s="150"/>
      <x:c r="C312" s="154" t="str">
        <x:v>alternative_industry</x:v>
      </x:c>
      <x:c r="D312" s="154" t="str">
        <x:v>A+ through CCC-</x:v>
      </x:c>
      <x:c r="E312" s="154" t="str">
        <x:v>Industrial Conglomerates</x:v>
      </x:c>
      <x:c r="F312" s="150" t="n">
        <x:v>8</x:v>
      </x:c>
      <x:c r="G312" s="150" t="n">
        <x:v>8</x:v>
      </x:c>
      <x:c r="H312" s="178" t="n">
        <x:v>9456000</x:v>
      </x:c>
      <x:c r="I312" s="163" t="n">
        <x:v>0.05</x:v>
      </x:c>
      <x:c r="J312" s="80" t="n">
        <x:f>H312*(1-I312)</x:f>
        <x:v>8983200</x:v>
      </x:c>
      <x:c r="K312" s="75" t="n">
        <x:f>IF(Portfolio_Par&gt;0,J312/Portfolio_Par,"")</x:f>
        <x:v>0.029944</x:v>
      </x:c>
      <x:c r="L312" s="150" t="str">
        <x:v>SYN-OB-0003, SYN-OB-0008, SYN-OB-0012, SYN-OB-0019, SYN-OB-0030, SYN-OB-0053, SYN-OB-0129, SYN-OB-0190</x:v>
      </x:c>
    </x:row>
    <x:row r="313" ht="39" customHeight="1">
      <x:c r="A313" s="150"/>
      <x:c r="B313" s="150"/>
      <x:c r="C313" s="154" t="str">
        <x:v>alternative_industry</x:v>
      </x:c>
      <x:c r="D313" s="154" t="str">
        <x:v>BBB+ through CCC-</x:v>
      </x:c>
      <x:c r="E313" s="154" t="str">
        <x:v>Industrial Conglomerates</x:v>
      </x:c>
      <x:c r="F313" s="150" t="n">
        <x:v>12</x:v>
      </x:c>
      <x:c r="G313" s="150" t="n">
        <x:v>10</x:v>
      </x:c>
      <x:c r="H313" s="178" t="n">
        <x:v>11820000</x:v>
      </x:c>
      <x:c r="I313" s="163" t="n">
        <x:v>0.05</x:v>
      </x:c>
      <x:c r="J313" s="80" t="n">
        <x:f>H313*(1-I313)</x:f>
        <x:v>11229000</x:v>
      </x:c>
      <x:c r="K313" s="75" t="n">
        <x:f>IF(Portfolio_Par&gt;0,J313/Portfolio_Par,"")</x:f>
        <x:v>0.03743</x:v>
      </x:c>
      <x:c r="L313" s="150" t="str">
        <x:v>SYN-OB-0003, SYN-OB-0008, SYN-OB-0012, SYN-OB-0019, SYN-OB-0030, SYN-OB-0053, SYN-OB-0129, SYN-OB-0190, SYN-OB-0201, SYN-OB-0256</x:v>
      </x:c>
    </x:row>
    <x:row r="314" ht="39" customHeight="1">
      <x:c r="A314" s="150"/>
      <x:c r="B314" s="150"/>
      <x:c r="C314" s="154" t="str">
        <x:v>alternative_industry</x:v>
      </x:c>
      <x:c r="D314" s="154" t="str">
        <x:v>BB+ through CCC-</x:v>
      </x:c>
      <x:c r="E314" s="154" t="str">
        <x:v>Industrial Conglomerates</x:v>
      </x:c>
      <x:c r="F314" s="150" t="n">
        <x:v>16</x:v>
      </x:c>
      <x:c r="G314" s="150" t="n">
        <x:v>10</x:v>
      </x:c>
      <x:c r="H314" s="178" t="n">
        <x:v>11820000</x:v>
      </x:c>
      <x:c r="I314" s="163" t="n">
        <x:v>0.05</x:v>
      </x:c>
      <x:c r="J314" s="80" t="n">
        <x:f>H314*(1-I314)</x:f>
        <x:v>11229000</x:v>
      </x:c>
      <x:c r="K314" s="75" t="n">
        <x:f>IF(Portfolio_Par&gt;0,J314/Portfolio_Par,"")</x:f>
        <x:v>0.03743</x:v>
      </x:c>
      <x:c r="L314" s="150" t="str">
        <x:v>SYN-OB-0003, SYN-OB-0008, SYN-OB-0012, SYN-OB-0019, SYN-OB-0030, SYN-OB-0053, SYN-OB-0129, SYN-OB-0190, SYN-OB-0201, SYN-OB-0256</x:v>
      </x:c>
    </x:row>
    <x:row r="315" ht="39" customHeight="1">
      <x:c r="A315" s="150"/>
      <x:c r="B315" s="150"/>
      <x:c r="C315" s="154" t="str">
        <x:v>alternative_industry</x:v>
      </x:c>
      <x:c r="D315" s="154" t="str">
        <x:v>B+ through CCC-</x:v>
      </x:c>
      <x:c r="E315" s="154" t="str">
        <x:v>Industrial Conglomerates</x:v>
      </x:c>
      <x:c r="F315" s="150" t="n">
        <x:v>20</x:v>
      </x:c>
      <x:c r="G315" s="150" t="n">
        <x:v>8</x:v>
      </x:c>
      <x:c r="H315" s="178" t="n">
        <x:v>9456000</x:v>
      </x:c>
      <x:c r="I315" s="163" t="n">
        <x:v>0.05</x:v>
      </x:c>
      <x:c r="J315" s="80" t="n">
        <x:f>H315*(1-I315)</x:f>
        <x:v>8983200</x:v>
      </x:c>
      <x:c r="K315" s="75" t="n">
        <x:f>IF(Portfolio_Par&gt;0,J315/Portfolio_Par,"")</x:f>
        <x:v>0.029944</x:v>
      </x:c>
      <x:c r="L315" s="150" t="str">
        <x:v>SYN-OB-0003, SYN-OB-0008, SYN-OB-0012, SYN-OB-0030, SYN-OB-0053, SYN-OB-0129, SYN-OB-0201, SYN-OB-0256</x:v>
      </x:c>
    </x:row>
    <x:row r="316" ht="39" customHeight="1">
      <x:c r="A316" s="150"/>
      <x:c r="B316" s="150"/>
      <x:c r="C316" s="154" t="str">
        <x:v>alternative_industry</x:v>
      </x:c>
      <x:c r="D316" s="154" t="str">
        <x:v>CCC+ through CCC-</x:v>
      </x:c>
      <x:c r="E316" s="154" t="str">
        <x:v>Industrial Conglomerates</x:v>
      </x:c>
      <x:c r="F316" s="150" t="n">
        <x:v>24</x:v>
      </x:c>
      <x:c r="G316" s="150" t="n">
        <x:v>0</x:v>
      </x:c>
      <x:c r="H316" s="178" t="n">
        <x:v>0</x:v>
      </x:c>
      <x:c r="I316" s="163" t="n">
        <x:v>0.05</x:v>
      </x:c>
      <x:c r="J316" s="80" t="n">
        <x:f>H316*(1-I316)</x:f>
        <x:v>0</x:v>
      </x:c>
      <x:c r="K316" s="75" t="n">
        <x:f>IF(Portfolio_Par&gt;0,J316/Portfolio_Par,"")</x:f>
        <x:v>0</x:v>
      </x:c>
      <x:c r="L316" s="150" t="str"/>
    </x:row>
    <x:row r="317" ht="39" customHeight="1">
      <x:c r="A317" s="150"/>
      <x:c r="B317" s="150"/>
      <x:c r="C317" s="154" t="str">
        <x:v>alternative_industry</x:v>
      </x:c>
      <x:c r="D317" s="154" t="str">
        <x:v>AAA through CCC-</x:v>
      </x:c>
      <x:c r="E317" s="154" t="str">
        <x:v>Insurance</x:v>
      </x:c>
      <x:c r="F317" s="150" t="n">
        <x:v>4</x:v>
      </x:c>
      <x:c r="G317" s="150" t="n">
        <x:v>4</x:v>
      </x:c>
      <x:c r="H317" s="178" t="n">
        <x:v>4728000</x:v>
      </x:c>
      <x:c r="I317" s="163" t="n">
        <x:v>0.05</x:v>
      </x:c>
      <x:c r="J317" s="80" t="n">
        <x:f>H317*(1-I317)</x:f>
        <x:v>4491600</x:v>
      </x:c>
      <x:c r="K317" s="75" t="n">
        <x:f>IF(Portfolio_Par&gt;0,J317/Portfolio_Par,"")</x:f>
        <x:v>0.014972</x:v>
      </x:c>
      <x:c r="L317" s="150" t="str">
        <x:v>SYN-OB-0075, SYN-OB-0125, SYN-OB-0192, SYN-OB-0255</x:v>
      </x:c>
    </x:row>
    <x:row r="318" ht="39" customHeight="1">
      <x:c r="A318" s="150"/>
      <x:c r="B318" s="150"/>
      <x:c r="C318" s="154" t="str">
        <x:v>alternative_industry</x:v>
      </x:c>
      <x:c r="D318" s="154" t="str">
        <x:v>AA+ through CCC-</x:v>
      </x:c>
      <x:c r="E318" s="154" t="str">
        <x:v>Insurance</x:v>
      </x:c>
      <x:c r="F318" s="150" t="n">
        <x:v>6</x:v>
      </x:c>
      <x:c r="G318" s="150" t="n">
        <x:v>6</x:v>
      </x:c>
      <x:c r="H318" s="178" t="n">
        <x:v>7092000</x:v>
      </x:c>
      <x:c r="I318" s="163" t="n">
        <x:v>0.05</x:v>
      </x:c>
      <x:c r="J318" s="80" t="n">
        <x:f>H318*(1-I318)</x:f>
        <x:v>6737400</x:v>
      </x:c>
      <x:c r="K318" s="75" t="n">
        <x:f>IF(Portfolio_Par&gt;0,J318/Portfolio_Par,"")</x:f>
        <x:v>0.022458</x:v>
      </x:c>
      <x:c r="L318" s="150" t="str">
        <x:v>SYN-OB-0075, SYN-OB-0125, SYN-OB-0192, SYN-OB-0255, SYN-OB-0257, SYN-OB-0258</x:v>
      </x:c>
    </x:row>
    <x:row r="319" ht="39" customHeight="1">
      <x:c r="A319" s="150"/>
      <x:c r="B319" s="150"/>
      <x:c r="C319" s="154" t="str">
        <x:v>alternative_industry</x:v>
      </x:c>
      <x:c r="D319" s="154" t="str">
        <x:v>A+ through CCC-</x:v>
      </x:c>
      <x:c r="E319" s="154" t="str">
        <x:v>Insurance</x:v>
      </x:c>
      <x:c r="F319" s="150" t="n">
        <x:v>8</x:v>
      </x:c>
      <x:c r="G319" s="150" t="n">
        <x:v>6</x:v>
      </x:c>
      <x:c r="H319" s="178" t="n">
        <x:v>7092000</x:v>
      </x:c>
      <x:c r="I319" s="163" t="n">
        <x:v>0.05</x:v>
      </x:c>
      <x:c r="J319" s="80" t="n">
        <x:f>H319*(1-I319)</x:f>
        <x:v>6737400</x:v>
      </x:c>
      <x:c r="K319" s="75" t="n">
        <x:f>IF(Portfolio_Par&gt;0,J319/Portfolio_Par,"")</x:f>
        <x:v>0.022458</x:v>
      </x:c>
      <x:c r="L319" s="150" t="str">
        <x:v>SYN-OB-0075, SYN-OB-0125, SYN-OB-0192, SYN-OB-0255, SYN-OB-0257, SYN-OB-0258</x:v>
      </x:c>
    </x:row>
    <x:row r="320" ht="39" customHeight="1">
      <x:c r="A320" s="150"/>
      <x:c r="B320" s="150"/>
      <x:c r="C320" s="154" t="str">
        <x:v>alternative_industry</x:v>
      </x:c>
      <x:c r="D320" s="154" t="str">
        <x:v>BBB+ through CCC-</x:v>
      </x:c>
      <x:c r="E320" s="154" t="str">
        <x:v>Insurance</x:v>
      </x:c>
      <x:c r="F320" s="150" t="n">
        <x:v>12</x:v>
      </x:c>
      <x:c r="G320" s="150" t="n">
        <x:v>6</x:v>
      </x:c>
      <x:c r="H320" s="178" t="n">
        <x:v>7092000</x:v>
      </x:c>
      <x:c r="I320" s="163" t="n">
        <x:v>0.05</x:v>
      </x:c>
      <x:c r="J320" s="80" t="n">
        <x:f>H320*(1-I320)</x:f>
        <x:v>6737400</x:v>
      </x:c>
      <x:c r="K320" s="75" t="n">
        <x:f>IF(Portfolio_Par&gt;0,J320/Portfolio_Par,"")</x:f>
        <x:v>0.022458</x:v>
      </x:c>
      <x:c r="L320" s="150" t="str">
        <x:v>SYN-OB-0075, SYN-OB-0125, SYN-OB-0192, SYN-OB-0255, SYN-OB-0257, SYN-OB-0258</x:v>
      </x:c>
    </x:row>
    <x:row r="321" ht="39" customHeight="1">
      <x:c r="A321" s="150"/>
      <x:c r="B321" s="150"/>
      <x:c r="C321" s="154" t="str">
        <x:v>alternative_industry</x:v>
      </x:c>
      <x:c r="D321" s="154" t="str">
        <x:v>BB+ through CCC-</x:v>
      </x:c>
      <x:c r="E321" s="154" t="str">
        <x:v>Insurance</x:v>
      </x:c>
      <x:c r="F321" s="150" t="n">
        <x:v>16</x:v>
      </x:c>
      <x:c r="G321" s="150" t="n">
        <x:v>6</x:v>
      </x:c>
      <x:c r="H321" s="178" t="n">
        <x:v>7092000</x:v>
      </x:c>
      <x:c r="I321" s="163" t="n">
        <x:v>0.05</x:v>
      </x:c>
      <x:c r="J321" s="80" t="n">
        <x:f>H321*(1-I321)</x:f>
        <x:v>6737400</x:v>
      </x:c>
      <x:c r="K321" s="75" t="n">
        <x:f>IF(Portfolio_Par&gt;0,J321/Portfolio_Par,"")</x:f>
        <x:v>0.022458</x:v>
      </x:c>
      <x:c r="L321" s="150" t="str">
        <x:v>SYN-OB-0075, SYN-OB-0125, SYN-OB-0192, SYN-OB-0255, SYN-OB-0257, SYN-OB-0258</x:v>
      </x:c>
    </x:row>
    <x:row r="322" ht="39" customHeight="1">
      <x:c r="A322" s="150"/>
      <x:c r="B322" s="150"/>
      <x:c r="C322" s="154" t="str">
        <x:v>alternative_industry</x:v>
      </x:c>
      <x:c r="D322" s="154" t="str">
        <x:v>B+ through CCC-</x:v>
      </x:c>
      <x:c r="E322" s="154" t="str">
        <x:v>Insurance</x:v>
      </x:c>
      <x:c r="F322" s="150" t="n">
        <x:v>20</x:v>
      </x:c>
      <x:c r="G322" s="150" t="n">
        <x:v>6</x:v>
      </x:c>
      <x:c r="H322" s="178" t="n">
        <x:v>7092000</x:v>
      </x:c>
      <x:c r="I322" s="163" t="n">
        <x:v>0.05</x:v>
      </x:c>
      <x:c r="J322" s="80" t="n">
        <x:f>H322*(1-I322)</x:f>
        <x:v>6737400</x:v>
      </x:c>
      <x:c r="K322" s="75" t="n">
        <x:f>IF(Portfolio_Par&gt;0,J322/Portfolio_Par,"")</x:f>
        <x:v>0.022458</x:v>
      </x:c>
      <x:c r="L322" s="150" t="str">
        <x:v>SYN-OB-0075, SYN-OB-0125, SYN-OB-0192, SYN-OB-0255, SYN-OB-0257, SYN-OB-0258</x:v>
      </x:c>
    </x:row>
    <x:row r="323" ht="39" customHeight="1">
      <x:c r="A323" s="150"/>
      <x:c r="B323" s="150"/>
      <x:c r="C323" s="154" t="str">
        <x:v>alternative_industry</x:v>
      </x:c>
      <x:c r="D323" s="154" t="str">
        <x:v>CCC+ through CCC-</x:v>
      </x:c>
      <x:c r="E323" s="154" t="str">
        <x:v>Insurance</x:v>
      </x:c>
      <x:c r="F323" s="150" t="n">
        <x:v>24</x:v>
      </x:c>
      <x:c r="G323" s="150" t="n">
        <x:v>0</x:v>
      </x:c>
      <x:c r="H323" s="178" t="n">
        <x:v>0</x:v>
      </x:c>
      <x:c r="I323" s="163" t="n">
        <x:v>0.05</x:v>
      </x:c>
      <x:c r="J323" s="80" t="n">
        <x:f>H323*(1-I323)</x:f>
        <x:v>0</x:v>
      </x:c>
      <x:c r="K323" s="75" t="n">
        <x:f>IF(Portfolio_Par&gt;0,J323/Portfolio_Par,"")</x:f>
        <x:v>0</x:v>
      </x:c>
      <x:c r="L323" s="150" t="str"/>
    </x:row>
    <x:row r="324" ht="39" customHeight="1">
      <x:c r="A324" s="150"/>
      <x:c r="B324" s="150"/>
      <x:c r="C324" s="154" t="str">
        <x:v>alternative_industry</x:v>
      </x:c>
      <x:c r="D324" s="154" t="str">
        <x:v>AAA through CCC-</x:v>
      </x:c>
      <x:c r="E324" s="154" t="str">
        <x:v>Interactive media and services</x:v>
      </x:c>
      <x:c r="F324" s="150" t="n">
        <x:v>4</x:v>
      </x:c>
      <x:c r="G324" s="150" t="n">
        <x:v>1</x:v>
      </x:c>
      <x:c r="H324" s="178" t="n">
        <x:v>1182000</x:v>
      </x:c>
      <x:c r="I324" s="163" t="n">
        <x:v>0.05</x:v>
      </x:c>
      <x:c r="J324" s="80" t="n">
        <x:f>H324*(1-I324)</x:f>
        <x:v>1122900</x:v>
      </x:c>
      <x:c r="K324" s="75" t="n">
        <x:f>IF(Portfolio_Par&gt;0,J324/Portfolio_Par,"")</x:f>
        <x:v>0.003743</x:v>
      </x:c>
      <x:c r="L324" s="150" t="str">
        <x:v>SYN-OB-0040</x:v>
      </x:c>
    </x:row>
    <x:row r="325" ht="39" customHeight="1">
      <x:c r="A325" s="150"/>
      <x:c r="B325" s="150"/>
      <x:c r="C325" s="154" t="str">
        <x:v>alternative_industry</x:v>
      </x:c>
      <x:c r="D325" s="154" t="str">
        <x:v>AA+ through CCC-</x:v>
      </x:c>
      <x:c r="E325" s="154" t="str">
        <x:v>Interactive media and services</x:v>
      </x:c>
      <x:c r="F325" s="150" t="n">
        <x:v>6</x:v>
      </x:c>
      <x:c r="G325" s="150" t="n">
        <x:v>1</x:v>
      </x:c>
      <x:c r="H325" s="178" t="n">
        <x:v>1182000</x:v>
      </x:c>
      <x:c r="I325" s="163" t="n">
        <x:v>0.05</x:v>
      </x:c>
      <x:c r="J325" s="80" t="n">
        <x:f>H325*(1-I325)</x:f>
        <x:v>1122900</x:v>
      </x:c>
      <x:c r="K325" s="75" t="n">
        <x:f>IF(Portfolio_Par&gt;0,J325/Portfolio_Par,"")</x:f>
        <x:v>0.003743</x:v>
      </x:c>
      <x:c r="L325" s="150" t="str">
        <x:v>SYN-OB-0040</x:v>
      </x:c>
    </x:row>
    <x:row r="326" ht="39" customHeight="1">
      <x:c r="A326" s="150"/>
      <x:c r="B326" s="150"/>
      <x:c r="C326" s="154" t="str">
        <x:v>alternative_industry</x:v>
      </x:c>
      <x:c r="D326" s="154" t="str">
        <x:v>A+ through CCC-</x:v>
      </x:c>
      <x:c r="E326" s="154" t="str">
        <x:v>Interactive media and services</x:v>
      </x:c>
      <x:c r="F326" s="150" t="n">
        <x:v>8</x:v>
      </x:c>
      <x:c r="G326" s="150" t="n">
        <x:v>1</x:v>
      </x:c>
      <x:c r="H326" s="178" t="n">
        <x:v>1182000</x:v>
      </x:c>
      <x:c r="I326" s="163" t="n">
        <x:v>0.05</x:v>
      </x:c>
      <x:c r="J326" s="80" t="n">
        <x:f>H326*(1-I326)</x:f>
        <x:v>1122900</x:v>
      </x:c>
      <x:c r="K326" s="75" t="n">
        <x:f>IF(Portfolio_Par&gt;0,J326/Portfolio_Par,"")</x:f>
        <x:v>0.003743</x:v>
      </x:c>
      <x:c r="L326" s="150" t="str">
        <x:v>SYN-OB-0040</x:v>
      </x:c>
    </x:row>
    <x:row r="327" ht="39" customHeight="1">
      <x:c r="A327" s="150"/>
      <x:c r="B327" s="150"/>
      <x:c r="C327" s="154" t="str">
        <x:v>alternative_industry</x:v>
      </x:c>
      <x:c r="D327" s="154" t="str">
        <x:v>BBB+ through CCC-</x:v>
      </x:c>
      <x:c r="E327" s="154" t="str">
        <x:v>Interactive media and services</x:v>
      </x:c>
      <x:c r="F327" s="150" t="n">
        <x:v>12</x:v>
      </x:c>
      <x:c r="G327" s="150" t="n">
        <x:v>1</x:v>
      </x:c>
      <x:c r="H327" s="178" t="n">
        <x:v>1182000</x:v>
      </x:c>
      <x:c r="I327" s="163" t="n">
        <x:v>0.05</x:v>
      </x:c>
      <x:c r="J327" s="80" t="n">
        <x:f>H327*(1-I327)</x:f>
        <x:v>1122900</x:v>
      </x:c>
      <x:c r="K327" s="75" t="n">
        <x:f>IF(Portfolio_Par&gt;0,J327/Portfolio_Par,"")</x:f>
        <x:v>0.003743</x:v>
      </x:c>
      <x:c r="L327" s="150" t="str">
        <x:v>SYN-OB-0040</x:v>
      </x:c>
    </x:row>
    <x:row r="328" ht="39" customHeight="1">
      <x:c r="A328" s="150"/>
      <x:c r="B328" s="150"/>
      <x:c r="C328" s="154" t="str">
        <x:v>alternative_industry</x:v>
      </x:c>
      <x:c r="D328" s="154" t="str">
        <x:v>BB+ through CCC-</x:v>
      </x:c>
      <x:c r="E328" s="154" t="str">
        <x:v>Interactive media and services</x:v>
      </x:c>
      <x:c r="F328" s="150" t="n">
        <x:v>16</x:v>
      </x:c>
      <x:c r="G328" s="150" t="n">
        <x:v>1</x:v>
      </x:c>
      <x:c r="H328" s="178" t="n">
        <x:v>1182000</x:v>
      </x:c>
      <x:c r="I328" s="163" t="n">
        <x:v>0.05</x:v>
      </x:c>
      <x:c r="J328" s="80" t="n">
        <x:f>H328*(1-I328)</x:f>
        <x:v>1122900</x:v>
      </x:c>
      <x:c r="K328" s="75" t="n">
        <x:f>IF(Portfolio_Par&gt;0,J328/Portfolio_Par,"")</x:f>
        <x:v>0.003743</x:v>
      </x:c>
      <x:c r="L328" s="150" t="str">
        <x:v>SYN-OB-0040</x:v>
      </x:c>
    </x:row>
    <x:row r="329" ht="39" customHeight="1">
      <x:c r="A329" s="150"/>
      <x:c r="B329" s="150"/>
      <x:c r="C329" s="154" t="str">
        <x:v>alternative_industry</x:v>
      </x:c>
      <x:c r="D329" s="154" t="str">
        <x:v>B+ through CCC-</x:v>
      </x:c>
      <x:c r="E329" s="154" t="str">
        <x:v>Interactive media and services</x:v>
      </x:c>
      <x:c r="F329" s="150" t="n">
        <x:v>20</x:v>
      </x:c>
      <x:c r="G329" s="150" t="n">
        <x:v>0</x:v>
      </x:c>
      <x:c r="H329" s="178" t="n">
        <x:v>0</x:v>
      </x:c>
      <x:c r="I329" s="163" t="n">
        <x:v>0.05</x:v>
      </x:c>
      <x:c r="J329" s="80" t="n">
        <x:f>H329*(1-I329)</x:f>
        <x:v>0</x:v>
      </x:c>
      <x:c r="K329" s="75" t="n">
        <x:f>IF(Portfolio_Par&gt;0,J329/Portfolio_Par,"")</x:f>
        <x:v>0</x:v>
      </x:c>
      <x:c r="L329" s="150" t="str"/>
    </x:row>
    <x:row r="330" ht="39" customHeight="1">
      <x:c r="A330" s="150"/>
      <x:c r="B330" s="150"/>
      <x:c r="C330" s="154" t="str">
        <x:v>alternative_industry</x:v>
      </x:c>
      <x:c r="D330" s="154" t="str">
        <x:v>CCC+ through CCC-</x:v>
      </x:c>
      <x:c r="E330" s="154" t="str">
        <x:v>Interactive media and services</x:v>
      </x:c>
      <x:c r="F330" s="150" t="n">
        <x:v>24</x:v>
      </x:c>
      <x:c r="G330" s="150" t="n">
        <x:v>0</x:v>
      </x:c>
      <x:c r="H330" s="178" t="n">
        <x:v>0</x:v>
      </x:c>
      <x:c r="I330" s="163" t="n">
        <x:v>0.05</x:v>
      </x:c>
      <x:c r="J330" s="80" t="n">
        <x:f>H330*(1-I330)</x:f>
        <x:v>0</x:v>
      </x:c>
      <x:c r="K330" s="75" t="n">
        <x:f>IF(Portfolio_Par&gt;0,J330/Portfolio_Par,"")</x:f>
        <x:v>0</x:v>
      </x:c>
      <x:c r="L330" s="150" t="str"/>
    </x:row>
    <x:row r="331" ht="39" customHeight="1">
      <x:c r="A331" s="150"/>
      <x:c r="B331" s="150"/>
      <x:c r="C331" s="154" t="str">
        <x:v>alternative_industry</x:v>
      </x:c>
      <x:c r="D331" s="154" t="str">
        <x:v>AAA through CCC-</x:v>
      </x:c>
      <x:c r="E331" s="154" t="str">
        <x:v>Leisure Products</x:v>
      </x:c>
      <x:c r="F331" s="150" t="n">
        <x:v>4</x:v>
      </x:c>
      <x:c r="G331" s="150" t="n">
        <x:v>4</x:v>
      </x:c>
      <x:c r="H331" s="178" t="n">
        <x:v>3624000</x:v>
      </x:c>
      <x:c r="I331" s="163" t="n">
        <x:v>0.05</x:v>
      </x:c>
      <x:c r="J331" s="80" t="n">
        <x:f>H331*(1-I331)</x:f>
        <x:v>3442800</x:v>
      </x:c>
      <x:c r="K331" s="75" t="n">
        <x:f>IF(Portfolio_Par&gt;0,J331/Portfolio_Par,"")</x:f>
        <x:v>0.011476</x:v>
      </x:c>
      <x:c r="L331" s="150" t="str">
        <x:v>SYN-OB-0057, SYN-OB-0222, SYN-OB-0056, SYN-OB-0084</x:v>
      </x:c>
    </x:row>
    <x:row r="332" ht="39" customHeight="1">
      <x:c r="A332" s="150"/>
      <x:c r="B332" s="150"/>
      <x:c r="C332" s="154" t="str">
        <x:v>alternative_industry</x:v>
      </x:c>
      <x:c r="D332" s="154" t="str">
        <x:v>AA+ through CCC-</x:v>
      </x:c>
      <x:c r="E332" s="154" t="str">
        <x:v>Leisure Products</x:v>
      </x:c>
      <x:c r="F332" s="150" t="n">
        <x:v>6</x:v>
      </x:c>
      <x:c r="G332" s="150" t="n">
        <x:v>4</x:v>
      </x:c>
      <x:c r="H332" s="178" t="n">
        <x:v>3624000</x:v>
      </x:c>
      <x:c r="I332" s="163" t="n">
        <x:v>0.05</x:v>
      </x:c>
      <x:c r="J332" s="80" t="n">
        <x:f>H332*(1-I332)</x:f>
        <x:v>3442800</x:v>
      </x:c>
      <x:c r="K332" s="75" t="n">
        <x:f>IF(Portfolio_Par&gt;0,J332/Portfolio_Par,"")</x:f>
        <x:v>0.011476</x:v>
      </x:c>
      <x:c r="L332" s="150" t="str">
        <x:v>SYN-OB-0057, SYN-OB-0222, SYN-OB-0056, SYN-OB-0084</x:v>
      </x:c>
    </x:row>
    <x:row r="333" ht="39" customHeight="1">
      <x:c r="A333" s="150"/>
      <x:c r="B333" s="150"/>
      <x:c r="C333" s="154" t="str">
        <x:v>alternative_industry</x:v>
      </x:c>
      <x:c r="D333" s="154" t="str">
        <x:v>A+ through CCC-</x:v>
      </x:c>
      <x:c r="E333" s="154" t="str">
        <x:v>Leisure Products</x:v>
      </x:c>
      <x:c r="F333" s="150" t="n">
        <x:v>8</x:v>
      </x:c>
      <x:c r="G333" s="150" t="n">
        <x:v>4</x:v>
      </x:c>
      <x:c r="H333" s="178" t="n">
        <x:v>3624000</x:v>
      </x:c>
      <x:c r="I333" s="163" t="n">
        <x:v>0.05</x:v>
      </x:c>
      <x:c r="J333" s="80" t="n">
        <x:f>H333*(1-I333)</x:f>
        <x:v>3442800</x:v>
      </x:c>
      <x:c r="K333" s="75" t="n">
        <x:f>IF(Portfolio_Par&gt;0,J333/Portfolio_Par,"")</x:f>
        <x:v>0.011476</x:v>
      </x:c>
      <x:c r="L333" s="150" t="str">
        <x:v>SYN-OB-0057, SYN-OB-0222, SYN-OB-0056, SYN-OB-0084</x:v>
      </x:c>
    </x:row>
    <x:row r="334" ht="39" customHeight="1">
      <x:c r="A334" s="150"/>
      <x:c r="B334" s="150"/>
      <x:c r="C334" s="154" t="str">
        <x:v>alternative_industry</x:v>
      </x:c>
      <x:c r="D334" s="154" t="str">
        <x:v>BBB+ through CCC-</x:v>
      </x:c>
      <x:c r="E334" s="154" t="str">
        <x:v>Leisure Products</x:v>
      </x:c>
      <x:c r="F334" s="150" t="n">
        <x:v>12</x:v>
      </x:c>
      <x:c r="G334" s="150" t="n">
        <x:v>4</x:v>
      </x:c>
      <x:c r="H334" s="178" t="n">
        <x:v>3624000</x:v>
      </x:c>
      <x:c r="I334" s="163" t="n">
        <x:v>0.05</x:v>
      </x:c>
      <x:c r="J334" s="80" t="n">
        <x:f>H334*(1-I334)</x:f>
        <x:v>3442800</x:v>
      </x:c>
      <x:c r="K334" s="75" t="n">
        <x:f>IF(Portfolio_Par&gt;0,J334/Portfolio_Par,"")</x:f>
        <x:v>0.011476</x:v>
      </x:c>
      <x:c r="L334" s="150" t="str">
        <x:v>SYN-OB-0057, SYN-OB-0222, SYN-OB-0056, SYN-OB-0084</x:v>
      </x:c>
    </x:row>
    <x:row r="335" ht="39" customHeight="1">
      <x:c r="A335" s="150"/>
      <x:c r="B335" s="150"/>
      <x:c r="C335" s="154" t="str">
        <x:v>alternative_industry</x:v>
      </x:c>
      <x:c r="D335" s="154" t="str">
        <x:v>BB+ through CCC-</x:v>
      </x:c>
      <x:c r="E335" s="154" t="str">
        <x:v>Leisure Products</x:v>
      </x:c>
      <x:c r="F335" s="150" t="n">
        <x:v>16</x:v>
      </x:c>
      <x:c r="G335" s="150" t="n">
        <x:v>3</x:v>
      </x:c>
      <x:c r="H335" s="178" t="n">
        <x:v>2994000</x:v>
      </x:c>
      <x:c r="I335" s="163" t="n">
        <x:v>0.05</x:v>
      </x:c>
      <x:c r="J335" s="80" t="n">
        <x:f>H335*(1-I335)</x:f>
        <x:v>2844300</x:v>
      </x:c>
      <x:c r="K335" s="75" t="n">
        <x:f>IF(Portfolio_Par&gt;0,J335/Portfolio_Par,"")</x:f>
        <x:v>0.009481</x:v>
      </x:c>
      <x:c r="L335" s="150" t="str">
        <x:v>SYN-OB-0057, SYN-OB-0222, SYN-OB-0084</x:v>
      </x:c>
    </x:row>
    <x:row r="336" ht="39" customHeight="1">
      <x:c r="A336" s="150"/>
      <x:c r="B336" s="150"/>
      <x:c r="C336" s="154" t="str">
        <x:v>alternative_industry</x:v>
      </x:c>
      <x:c r="D336" s="154" t="str">
        <x:v>B+ through CCC-</x:v>
      </x:c>
      <x:c r="E336" s="154" t="str">
        <x:v>Leisure Products</x:v>
      </x:c>
      <x:c r="F336" s="150" t="n">
        <x:v>20</x:v>
      </x:c>
      <x:c r="G336" s="150" t="n">
        <x:v>0</x:v>
      </x:c>
      <x:c r="H336" s="178" t="n">
        <x:v>0</x:v>
      </x:c>
      <x:c r="I336" s="163" t="n">
        <x:v>0.05</x:v>
      </x:c>
      <x:c r="J336" s="80" t="n">
        <x:f>H336*(1-I336)</x:f>
        <x:v>0</x:v>
      </x:c>
      <x:c r="K336" s="75" t="n">
        <x:f>IF(Portfolio_Par&gt;0,J336/Portfolio_Par,"")</x:f>
        <x:v>0</x:v>
      </x:c>
      <x:c r="L336" s="150" t="str"/>
    </x:row>
    <x:row r="337" ht="39" customHeight="1">
      <x:c r="A337" s="150"/>
      <x:c r="B337" s="150"/>
      <x:c r="C337" s="154" t="str">
        <x:v>alternative_industry</x:v>
      </x:c>
      <x:c r="D337" s="154" t="str">
        <x:v>CCC+ through CCC-</x:v>
      </x:c>
      <x:c r="E337" s="154" t="str">
        <x:v>Leisure Products</x:v>
      </x:c>
      <x:c r="F337" s="150" t="n">
        <x:v>24</x:v>
      </x:c>
      <x:c r="G337" s="150" t="n">
        <x:v>0</x:v>
      </x:c>
      <x:c r="H337" s="178" t="n">
        <x:v>0</x:v>
      </x:c>
      <x:c r="I337" s="163" t="n">
        <x:v>0.05</x:v>
      </x:c>
      <x:c r="J337" s="80" t="n">
        <x:f>H337*(1-I337)</x:f>
        <x:v>0</x:v>
      </x:c>
      <x:c r="K337" s="75" t="n">
        <x:f>IF(Portfolio_Par&gt;0,J337/Portfolio_Par,"")</x:f>
        <x:v>0</x:v>
      </x:c>
      <x:c r="L337" s="150" t="str"/>
    </x:row>
    <x:row r="338" ht="39" customHeight="1">
      <x:c r="A338" s="150"/>
      <x:c r="B338" s="150"/>
      <x:c r="C338" s="154" t="str">
        <x:v>alternative_industry</x:v>
      </x:c>
      <x:c r="D338" s="154" t="str">
        <x:v>AAA through CCC-</x:v>
      </x:c>
      <x:c r="E338" s="154" t="str">
        <x:v>Life Sciences Tools &amp; Services</x:v>
      </x:c>
      <x:c r="F338" s="150" t="n">
        <x:v>4</x:v>
      </x:c>
      <x:c r="G338" s="150" t="n">
        <x:v>1</x:v>
      </x:c>
      <x:c r="H338" s="178" t="n">
        <x:v>1182000</x:v>
      </x:c>
      <x:c r="I338" s="163" t="n">
        <x:v>0.05</x:v>
      </x:c>
      <x:c r="J338" s="80" t="n">
        <x:f>H338*(1-I338)</x:f>
        <x:v>1122900</x:v>
      </x:c>
      <x:c r="K338" s="75" t="n">
        <x:f>IF(Portfolio_Par&gt;0,J338/Portfolio_Par,"")</x:f>
        <x:v>0.003743</x:v>
      </x:c>
      <x:c r="L338" s="150" t="str">
        <x:v>SYN-OB-0115</x:v>
      </x:c>
    </x:row>
    <x:row r="339" ht="39" customHeight="1">
      <x:c r="A339" s="150"/>
      <x:c r="B339" s="150"/>
      <x:c r="C339" s="154" t="str">
        <x:v>alternative_industry</x:v>
      </x:c>
      <x:c r="D339" s="154" t="str">
        <x:v>AA+ through CCC-</x:v>
      </x:c>
      <x:c r="E339" s="154" t="str">
        <x:v>Life Sciences Tools &amp; Services</x:v>
      </x:c>
      <x:c r="F339" s="150" t="n">
        <x:v>6</x:v>
      </x:c>
      <x:c r="G339" s="150" t="n">
        <x:v>1</x:v>
      </x:c>
      <x:c r="H339" s="178" t="n">
        <x:v>1182000</x:v>
      </x:c>
      <x:c r="I339" s="163" t="n">
        <x:v>0.05</x:v>
      </x:c>
      <x:c r="J339" s="80" t="n">
        <x:f>H339*(1-I339)</x:f>
        <x:v>1122900</x:v>
      </x:c>
      <x:c r="K339" s="75" t="n">
        <x:f>IF(Portfolio_Par&gt;0,J339/Portfolio_Par,"")</x:f>
        <x:v>0.003743</x:v>
      </x:c>
      <x:c r="L339" s="150" t="str">
        <x:v>SYN-OB-0115</x:v>
      </x:c>
    </x:row>
    <x:row r="340" ht="39" customHeight="1">
      <x:c r="A340" s="150"/>
      <x:c r="B340" s="150"/>
      <x:c r="C340" s="154" t="str">
        <x:v>alternative_industry</x:v>
      </x:c>
      <x:c r="D340" s="154" t="str">
        <x:v>A+ through CCC-</x:v>
      </x:c>
      <x:c r="E340" s="154" t="str">
        <x:v>Life Sciences Tools &amp; Services</x:v>
      </x:c>
      <x:c r="F340" s="150" t="n">
        <x:v>8</x:v>
      </x:c>
      <x:c r="G340" s="150" t="n">
        <x:v>1</x:v>
      </x:c>
      <x:c r="H340" s="178" t="n">
        <x:v>1182000</x:v>
      </x:c>
      <x:c r="I340" s="163" t="n">
        <x:v>0.05</x:v>
      </x:c>
      <x:c r="J340" s="80" t="n">
        <x:f>H340*(1-I340)</x:f>
        <x:v>1122900</x:v>
      </x:c>
      <x:c r="K340" s="75" t="n">
        <x:f>IF(Portfolio_Par&gt;0,J340/Portfolio_Par,"")</x:f>
        <x:v>0.003743</x:v>
      </x:c>
      <x:c r="L340" s="150" t="str">
        <x:v>SYN-OB-0115</x:v>
      </x:c>
    </x:row>
    <x:row r="341" ht="39" customHeight="1">
      <x:c r="A341" s="150"/>
      <x:c r="B341" s="150"/>
      <x:c r="C341" s="154" t="str">
        <x:v>alternative_industry</x:v>
      </x:c>
      <x:c r="D341" s="154" t="str">
        <x:v>BBB+ through CCC-</x:v>
      </x:c>
      <x:c r="E341" s="154" t="str">
        <x:v>Life Sciences Tools &amp; Services</x:v>
      </x:c>
      <x:c r="F341" s="150" t="n">
        <x:v>12</x:v>
      </x:c>
      <x:c r="G341" s="150" t="n">
        <x:v>1</x:v>
      </x:c>
      <x:c r="H341" s="178" t="n">
        <x:v>1182000</x:v>
      </x:c>
      <x:c r="I341" s="163" t="n">
        <x:v>0.05</x:v>
      </x:c>
      <x:c r="J341" s="80" t="n">
        <x:f>H341*(1-I341)</x:f>
        <x:v>1122900</x:v>
      </x:c>
      <x:c r="K341" s="75" t="n">
        <x:f>IF(Portfolio_Par&gt;0,J341/Portfolio_Par,"")</x:f>
        <x:v>0.003743</x:v>
      </x:c>
      <x:c r="L341" s="150" t="str">
        <x:v>SYN-OB-0115</x:v>
      </x:c>
    </x:row>
    <x:row r="342" ht="39" customHeight="1">
      <x:c r="A342" s="150"/>
      <x:c r="B342" s="150"/>
      <x:c r="C342" s="154" t="str">
        <x:v>alternative_industry</x:v>
      </x:c>
      <x:c r="D342" s="154" t="str">
        <x:v>BB+ through CCC-</x:v>
      </x:c>
      <x:c r="E342" s="154" t="str">
        <x:v>Life Sciences Tools &amp; Services</x:v>
      </x:c>
      <x:c r="F342" s="150" t="n">
        <x:v>16</x:v>
      </x:c>
      <x:c r="G342" s="150" t="n">
        <x:v>1</x:v>
      </x:c>
      <x:c r="H342" s="178" t="n">
        <x:v>1182000</x:v>
      </x:c>
      <x:c r="I342" s="163" t="n">
        <x:v>0.05</x:v>
      </x:c>
      <x:c r="J342" s="80" t="n">
        <x:f>H342*(1-I342)</x:f>
        <x:v>1122900</x:v>
      </x:c>
      <x:c r="K342" s="75" t="n">
        <x:f>IF(Portfolio_Par&gt;0,J342/Portfolio_Par,"")</x:f>
        <x:v>0.003743</x:v>
      </x:c>
      <x:c r="L342" s="150" t="str">
        <x:v>SYN-OB-0115</x:v>
      </x:c>
    </x:row>
    <x:row r="343" ht="39" customHeight="1">
      <x:c r="A343" s="150"/>
      <x:c r="B343" s="150"/>
      <x:c r="C343" s="154" t="str">
        <x:v>alternative_industry</x:v>
      </x:c>
      <x:c r="D343" s="154" t="str">
        <x:v>B+ through CCC-</x:v>
      </x:c>
      <x:c r="E343" s="154" t="str">
        <x:v>Life Sciences Tools &amp; Services</x:v>
      </x:c>
      <x:c r="F343" s="150" t="n">
        <x:v>20</x:v>
      </x:c>
      <x:c r="G343" s="150" t="n">
        <x:v>1</x:v>
      </x:c>
      <x:c r="H343" s="178" t="n">
        <x:v>1182000</x:v>
      </x:c>
      <x:c r="I343" s="163" t="n">
        <x:v>0.05</x:v>
      </x:c>
      <x:c r="J343" s="80" t="n">
        <x:f>H343*(1-I343)</x:f>
        <x:v>1122900</x:v>
      </x:c>
      <x:c r="K343" s="75" t="n">
        <x:f>IF(Portfolio_Par&gt;0,J343/Portfolio_Par,"")</x:f>
        <x:v>0.003743</x:v>
      </x:c>
      <x:c r="L343" s="150" t="str">
        <x:v>SYN-OB-0115</x:v>
      </x:c>
    </x:row>
    <x:row r="344" ht="39" customHeight="1">
      <x:c r="A344" s="150"/>
      <x:c r="B344" s="150"/>
      <x:c r="C344" s="154" t="str">
        <x:v>alternative_industry</x:v>
      </x:c>
      <x:c r="D344" s="154" t="str">
        <x:v>CCC+ through CCC-</x:v>
      </x:c>
      <x:c r="E344" s="154" t="str">
        <x:v>Life Sciences Tools &amp; Services</x:v>
      </x:c>
      <x:c r="F344" s="150" t="n">
        <x:v>24</x:v>
      </x:c>
      <x:c r="G344" s="150" t="n">
        <x:v>0</x:v>
      </x:c>
      <x:c r="H344" s="178" t="n">
        <x:v>0</x:v>
      </x:c>
      <x:c r="I344" s="163" t="n">
        <x:v>0.05</x:v>
      </x:c>
      <x:c r="J344" s="80" t="n">
        <x:f>H344*(1-I344)</x:f>
        <x:v>0</x:v>
      </x:c>
      <x:c r="K344" s="75" t="n">
        <x:f>IF(Portfolio_Par&gt;0,J344/Portfolio_Par,"")</x:f>
        <x:v>0</x:v>
      </x:c>
      <x:c r="L344" s="150" t="str"/>
    </x:row>
    <x:row r="345" ht="39" customHeight="1">
      <x:c r="A345" s="150"/>
      <x:c r="B345" s="150"/>
      <x:c r="C345" s="154" t="str">
        <x:v>alternative_industry</x:v>
      </x:c>
      <x:c r="D345" s="154" t="str">
        <x:v>AAA through CCC-</x:v>
      </x:c>
      <x:c r="E345" s="154" t="str">
        <x:v>Machinery</x:v>
      </x:c>
      <x:c r="F345" s="150" t="n">
        <x:v>4</x:v>
      </x:c>
      <x:c r="G345" s="150" t="n">
        <x:v>4</x:v>
      </x:c>
      <x:c r="H345" s="178" t="n">
        <x:v>4728000</x:v>
      </x:c>
      <x:c r="I345" s="163" t="n">
        <x:v>0.05</x:v>
      </x:c>
      <x:c r="J345" s="80" t="n">
        <x:f>H345*(1-I345)</x:f>
        <x:v>4491600</x:v>
      </x:c>
      <x:c r="K345" s="75" t="n">
        <x:f>IF(Portfolio_Par&gt;0,J345/Portfolio_Par,"")</x:f>
        <x:v>0.014972</x:v>
      </x:c>
      <x:c r="L345" s="150" t="str">
        <x:v>SYN-OB-0036, SYN-OB-0100, SYN-OB-0156, SYN-OB-0172</x:v>
      </x:c>
    </x:row>
    <x:row r="346" ht="39" customHeight="1">
      <x:c r="A346" s="150"/>
      <x:c r="B346" s="150"/>
      <x:c r="C346" s="154" t="str">
        <x:v>alternative_industry</x:v>
      </x:c>
      <x:c r="D346" s="154" t="str">
        <x:v>AA+ through CCC-</x:v>
      </x:c>
      <x:c r="E346" s="154" t="str">
        <x:v>Machinery</x:v>
      </x:c>
      <x:c r="F346" s="150" t="n">
        <x:v>6</x:v>
      </x:c>
      <x:c r="G346" s="150" t="n">
        <x:v>6</x:v>
      </x:c>
      <x:c r="H346" s="178" t="n">
        <x:v>7092000</x:v>
      </x:c>
      <x:c r="I346" s="163" t="n">
        <x:v>0.05</x:v>
      </x:c>
      <x:c r="J346" s="80" t="n">
        <x:f>H346*(1-I346)</x:f>
        <x:v>6737400</x:v>
      </x:c>
      <x:c r="K346" s="75" t="n">
        <x:f>IF(Portfolio_Par&gt;0,J346/Portfolio_Par,"")</x:f>
        <x:v>0.022458</x:v>
      </x:c>
      <x:c r="L346" s="150" t="str">
        <x:v>SYN-OB-0036, SYN-OB-0100, SYN-OB-0156, SYN-OB-0172, SYN-OB-0198, SYN-OB-0234</x:v>
      </x:c>
    </x:row>
    <x:row r="347" ht="39" customHeight="1">
      <x:c r="A347" s="150"/>
      <x:c r="B347" s="150"/>
      <x:c r="C347" s="154" t="str">
        <x:v>alternative_industry</x:v>
      </x:c>
      <x:c r="D347" s="154" t="str">
        <x:v>A+ through CCC-</x:v>
      </x:c>
      <x:c r="E347" s="154" t="str">
        <x:v>Machinery</x:v>
      </x:c>
      <x:c r="F347" s="150" t="n">
        <x:v>8</x:v>
      </x:c>
      <x:c r="G347" s="150" t="n">
        <x:v>6</x:v>
      </x:c>
      <x:c r="H347" s="178" t="n">
        <x:v>7092000</x:v>
      </x:c>
      <x:c r="I347" s="163" t="n">
        <x:v>0.05</x:v>
      </x:c>
      <x:c r="J347" s="80" t="n">
        <x:f>H347*(1-I347)</x:f>
        <x:v>6737400</x:v>
      </x:c>
      <x:c r="K347" s="75" t="n">
        <x:f>IF(Portfolio_Par&gt;0,J347/Portfolio_Par,"")</x:f>
        <x:v>0.022458</x:v>
      </x:c>
      <x:c r="L347" s="150" t="str">
        <x:v>SYN-OB-0036, SYN-OB-0100, SYN-OB-0156, SYN-OB-0172, SYN-OB-0198, SYN-OB-0234</x:v>
      </x:c>
    </x:row>
    <x:row r="348" ht="39" customHeight="1">
      <x:c r="A348" s="150"/>
      <x:c r="B348" s="150"/>
      <x:c r="C348" s="154" t="str">
        <x:v>alternative_industry</x:v>
      </x:c>
      <x:c r="D348" s="154" t="str">
        <x:v>BBB+ through CCC-</x:v>
      </x:c>
      <x:c r="E348" s="154" t="str">
        <x:v>Machinery</x:v>
      </x:c>
      <x:c r="F348" s="150" t="n">
        <x:v>12</x:v>
      </x:c>
      <x:c r="G348" s="150" t="n">
        <x:v>6</x:v>
      </x:c>
      <x:c r="H348" s="178" t="n">
        <x:v>7092000</x:v>
      </x:c>
      <x:c r="I348" s="163" t="n">
        <x:v>0.05</x:v>
      </x:c>
      <x:c r="J348" s="80" t="n">
        <x:f>H348*(1-I348)</x:f>
        <x:v>6737400</x:v>
      </x:c>
      <x:c r="K348" s="75" t="n">
        <x:f>IF(Portfolio_Par&gt;0,J348/Portfolio_Par,"")</x:f>
        <x:v>0.022458</x:v>
      </x:c>
      <x:c r="L348" s="150" t="str">
        <x:v>SYN-OB-0036, SYN-OB-0100, SYN-OB-0156, SYN-OB-0172, SYN-OB-0198, SYN-OB-0234</x:v>
      </x:c>
    </x:row>
    <x:row r="349" ht="39" customHeight="1">
      <x:c r="A349" s="150"/>
      <x:c r="B349" s="150"/>
      <x:c r="C349" s="154" t="str">
        <x:v>alternative_industry</x:v>
      </x:c>
      <x:c r="D349" s="154" t="str">
        <x:v>BB+ through CCC-</x:v>
      </x:c>
      <x:c r="E349" s="154" t="str">
        <x:v>Machinery</x:v>
      </x:c>
      <x:c r="F349" s="150" t="n">
        <x:v>16</x:v>
      </x:c>
      <x:c r="G349" s="150" t="n">
        <x:v>6</x:v>
      </x:c>
      <x:c r="H349" s="178" t="n">
        <x:v>7092000</x:v>
      </x:c>
      <x:c r="I349" s="163" t="n">
        <x:v>0.05</x:v>
      </x:c>
      <x:c r="J349" s="80" t="n">
        <x:f>H349*(1-I349)</x:f>
        <x:v>6737400</x:v>
      </x:c>
      <x:c r="K349" s="75" t="n">
        <x:f>IF(Portfolio_Par&gt;0,J349/Portfolio_Par,"")</x:f>
        <x:v>0.022458</x:v>
      </x:c>
      <x:c r="L349" s="150" t="str">
        <x:v>SYN-OB-0036, SYN-OB-0100, SYN-OB-0156, SYN-OB-0172, SYN-OB-0198, SYN-OB-0234</x:v>
      </x:c>
    </x:row>
    <x:row r="350" ht="39" customHeight="1">
      <x:c r="A350" s="150"/>
      <x:c r="B350" s="150"/>
      <x:c r="C350" s="154" t="str">
        <x:v>alternative_industry</x:v>
      </x:c>
      <x:c r="D350" s="154" t="str">
        <x:v>B+ through CCC-</x:v>
      </x:c>
      <x:c r="E350" s="154" t="str">
        <x:v>Machinery</x:v>
      </x:c>
      <x:c r="F350" s="150" t="n">
        <x:v>20</x:v>
      </x:c>
      <x:c r="G350" s="150" t="n">
        <x:v>5</x:v>
      </x:c>
      <x:c r="H350" s="178" t="n">
        <x:v>5910000</x:v>
      </x:c>
      <x:c r="I350" s="163" t="n">
        <x:v>0.05</x:v>
      </x:c>
      <x:c r="J350" s="80" t="n">
        <x:f>H350*(1-I350)</x:f>
        <x:v>5614500</x:v>
      </x:c>
      <x:c r="K350" s="75" t="n">
        <x:f>IF(Portfolio_Par&gt;0,J350/Portfolio_Par,"")</x:f>
        <x:v>0.018715</x:v>
      </x:c>
      <x:c r="L350" s="150" t="str">
        <x:v>SYN-OB-0036, SYN-OB-0100, SYN-OB-0172, SYN-OB-0198, SYN-OB-0234</x:v>
      </x:c>
    </x:row>
    <x:row r="351" ht="39" customHeight="1">
      <x:c r="A351" s="150"/>
      <x:c r="B351" s="150"/>
      <x:c r="C351" s="154" t="str">
        <x:v>alternative_industry</x:v>
      </x:c>
      <x:c r="D351" s="154" t="str">
        <x:v>CCC+ through CCC-</x:v>
      </x:c>
      <x:c r="E351" s="154" t="str">
        <x:v>Machinery</x:v>
      </x:c>
      <x:c r="F351" s="150" t="n">
        <x:v>24</x:v>
      </x:c>
      <x:c r="G351" s="150" t="n">
        <x:v>0</x:v>
      </x:c>
      <x:c r="H351" s="178" t="n">
        <x:v>0</x:v>
      </x:c>
      <x:c r="I351" s="163" t="n">
        <x:v>0.05</x:v>
      </x:c>
      <x:c r="J351" s="80" t="n">
        <x:f>H351*(1-I351)</x:f>
        <x:v>0</x:v>
      </x:c>
      <x:c r="K351" s="75" t="n">
        <x:f>IF(Portfolio_Par&gt;0,J351/Portfolio_Par,"")</x:f>
        <x:v>0</x:v>
      </x:c>
      <x:c r="L351" s="150" t="str"/>
    </x:row>
    <x:row r="352" ht="39" customHeight="1">
      <x:c r="A352" s="150"/>
      <x:c r="B352" s="150"/>
      <x:c r="C352" s="154" t="str">
        <x:v>alternative_industry</x:v>
      </x:c>
      <x:c r="D352" s="154" t="str">
        <x:v>AAA through CCC-</x:v>
      </x:c>
      <x:c r="E352" s="154" t="str">
        <x:v>Media</x:v>
      </x:c>
      <x:c r="F352" s="150" t="n">
        <x:v>4</x:v>
      </x:c>
      <x:c r="G352" s="150" t="n">
        <x:v>4</x:v>
      </x:c>
      <x:c r="H352" s="178" t="n">
        <x:v>4728000</x:v>
      </x:c>
      <x:c r="I352" s="163" t="n">
        <x:v>0.05</x:v>
      </x:c>
      <x:c r="J352" s="80" t="n">
        <x:f>H352*(1-I352)</x:f>
        <x:v>4491600</x:v>
      </x:c>
      <x:c r="K352" s="75" t="n">
        <x:f>IF(Portfolio_Par&gt;0,J352/Portfolio_Par,"")</x:f>
        <x:v>0.014972</x:v>
      </x:c>
      <x:c r="L352" s="150" t="str">
        <x:v>SYN-OB-0087, SYN-OB-0091, SYN-OB-0111, SYN-OB-0123</x:v>
      </x:c>
    </x:row>
    <x:row r="353" ht="39" customHeight="1">
      <x:c r="A353" s="150"/>
      <x:c r="B353" s="150"/>
      <x:c r="C353" s="154" t="str">
        <x:v>alternative_industry</x:v>
      </x:c>
      <x:c r="D353" s="154" t="str">
        <x:v>AA+ through CCC-</x:v>
      </x:c>
      <x:c r="E353" s="154" t="str">
        <x:v>Media</x:v>
      </x:c>
      <x:c r="F353" s="150" t="n">
        <x:v>6</x:v>
      </x:c>
      <x:c r="G353" s="150" t="n">
        <x:v>6</x:v>
      </x:c>
      <x:c r="H353" s="178" t="n">
        <x:v>7092000</x:v>
      </x:c>
      <x:c r="I353" s="163" t="n">
        <x:v>0.05</x:v>
      </x:c>
      <x:c r="J353" s="80" t="n">
        <x:f>H353*(1-I353)</x:f>
        <x:v>6737400</x:v>
      </x:c>
      <x:c r="K353" s="75" t="n">
        <x:f>IF(Portfolio_Par&gt;0,J353/Portfolio_Par,"")</x:f>
        <x:v>0.022458</x:v>
      </x:c>
      <x:c r="L353" s="150" t="str">
        <x:v>SYN-OB-0087, SYN-OB-0091, SYN-OB-0111, SYN-OB-0123, SYN-OB-0168, SYN-OB-0170</x:v>
      </x:c>
    </x:row>
    <x:row r="354" ht="39" customHeight="1">
      <x:c r="A354" s="150"/>
      <x:c r="B354" s="150"/>
      <x:c r="C354" s="154" t="str">
        <x:v>alternative_industry</x:v>
      </x:c>
      <x:c r="D354" s="154" t="str">
        <x:v>A+ through CCC-</x:v>
      </x:c>
      <x:c r="E354" s="154" t="str">
        <x:v>Media</x:v>
      </x:c>
      <x:c r="F354" s="150" t="n">
        <x:v>8</x:v>
      </x:c>
      <x:c r="G354" s="150" t="n">
        <x:v>8</x:v>
      </x:c>
      <x:c r="H354" s="178" t="n">
        <x:v>9456000</x:v>
      </x:c>
      <x:c r="I354" s="163" t="n">
        <x:v>0.05</x:v>
      </x:c>
      <x:c r="J354" s="80" t="n">
        <x:f>H354*(1-I354)</x:f>
        <x:v>8983200</x:v>
      </x:c>
      <x:c r="K354" s="75" t="n">
        <x:f>IF(Portfolio_Par&gt;0,J354/Portfolio_Par,"")</x:f>
        <x:v>0.029944</x:v>
      </x:c>
      <x:c r="L354" s="150" t="str">
        <x:v>SYN-OB-0087, SYN-OB-0091, SYN-OB-0111, SYN-OB-0123, SYN-OB-0168, SYN-OB-0170, SYN-OB-0189, SYN-OB-0242</x:v>
      </x:c>
    </x:row>
    <x:row r="355" ht="39" customHeight="1">
      <x:c r="A355" s="150"/>
      <x:c r="B355" s="150"/>
      <x:c r="C355" s="154" t="str">
        <x:v>alternative_industry</x:v>
      </x:c>
      <x:c r="D355" s="154" t="str">
        <x:v>BBB+ through CCC-</x:v>
      </x:c>
      <x:c r="E355" s="154" t="str">
        <x:v>Media</x:v>
      </x:c>
      <x:c r="F355" s="150" t="n">
        <x:v>12</x:v>
      </x:c>
      <x:c r="G355" s="150" t="n">
        <x:v>9</x:v>
      </x:c>
      <x:c r="H355" s="178" t="n">
        <x:v>10086000</x:v>
      </x:c>
      <x:c r="I355" s="163" t="n">
        <x:v>0.05</x:v>
      </x:c>
      <x:c r="J355" s="80" t="n">
        <x:f>H355*(1-I355)</x:f>
        <x:v>9581700</x:v>
      </x:c>
      <x:c r="K355" s="75" t="n">
        <x:f>IF(Portfolio_Par&gt;0,J355/Portfolio_Par,"")</x:f>
        <x:v>0.031939</x:v>
      </x:c>
      <x:c r="L355" s="150" t="str">
        <x:v>SYN-OB-0087, SYN-OB-0091, SYN-OB-0111, SYN-OB-0123, SYN-OB-0168, SYN-OB-0170, SYN-OB-0189, SYN-OB-0242, SYN-OB-0082</x:v>
      </x:c>
    </x:row>
    <x:row r="356" ht="39" customHeight="1">
      <x:c r="A356" s="150"/>
      <x:c r="B356" s="150"/>
      <x:c r="C356" s="154" t="str">
        <x:v>alternative_industry</x:v>
      </x:c>
      <x:c r="D356" s="154" t="str">
        <x:v>BB+ through CCC-</x:v>
      </x:c>
      <x:c r="E356" s="154" t="str">
        <x:v>Media</x:v>
      </x:c>
      <x:c r="F356" s="150" t="n">
        <x:v>16</x:v>
      </x:c>
      <x:c r="G356" s="150" t="n">
        <x:v>8</x:v>
      </x:c>
      <x:c r="H356" s="178" t="n">
        <x:v>9456000</x:v>
      </x:c>
      <x:c r="I356" s="163" t="n">
        <x:v>0.05</x:v>
      </x:c>
      <x:c r="J356" s="80" t="n">
        <x:f>H356*(1-I356)</x:f>
        <x:v>8983200</x:v>
      </x:c>
      <x:c r="K356" s="75" t="n">
        <x:f>IF(Portfolio_Par&gt;0,J356/Portfolio_Par,"")</x:f>
        <x:v>0.029944</x:v>
      </x:c>
      <x:c r="L356" s="150" t="str">
        <x:v>SYN-OB-0087, SYN-OB-0091, SYN-OB-0111, SYN-OB-0123, SYN-OB-0168, SYN-OB-0170, SYN-OB-0189, SYN-OB-0242</x:v>
      </x:c>
    </x:row>
    <x:row r="357" ht="39" customHeight="1">
      <x:c r="A357" s="150"/>
      <x:c r="B357" s="150"/>
      <x:c r="C357" s="154" t="str">
        <x:v>alternative_industry</x:v>
      </x:c>
      <x:c r="D357" s="154" t="str">
        <x:v>B+ through CCC-</x:v>
      </x:c>
      <x:c r="E357" s="154" t="str">
        <x:v>Media</x:v>
      </x:c>
      <x:c r="F357" s="150" t="n">
        <x:v>20</x:v>
      </x:c>
      <x:c r="G357" s="150" t="n">
        <x:v>8</x:v>
      </x:c>
      <x:c r="H357" s="178" t="n">
        <x:v>9456000</x:v>
      </x:c>
      <x:c r="I357" s="163" t="n">
        <x:v>0.05</x:v>
      </x:c>
      <x:c r="J357" s="80" t="n">
        <x:f>H357*(1-I357)</x:f>
        <x:v>8983200</x:v>
      </x:c>
      <x:c r="K357" s="75" t="n">
        <x:f>IF(Portfolio_Par&gt;0,J357/Portfolio_Par,"")</x:f>
        <x:v>0.029944</x:v>
      </x:c>
      <x:c r="L357" s="150" t="str">
        <x:v>SYN-OB-0087, SYN-OB-0091, SYN-OB-0111, SYN-OB-0123, SYN-OB-0168, SYN-OB-0170, SYN-OB-0189, SYN-OB-0242</x:v>
      </x:c>
    </x:row>
    <x:row r="358" ht="39" customHeight="1">
      <x:c r="A358" s="150"/>
      <x:c r="B358" s="150"/>
      <x:c r="C358" s="154" t="str">
        <x:v>alternative_industry</x:v>
      </x:c>
      <x:c r="D358" s="154" t="str">
        <x:v>CCC+ through CCC-</x:v>
      </x:c>
      <x:c r="E358" s="154" t="str">
        <x:v>Media</x:v>
      </x:c>
      <x:c r="F358" s="150" t="n">
        <x:v>24</x:v>
      </x:c>
      <x:c r="G358" s="150" t="n">
        <x:v>0</x:v>
      </x:c>
      <x:c r="H358" s="178" t="n">
        <x:v>0</x:v>
      </x:c>
      <x:c r="I358" s="163" t="n">
        <x:v>0.05</x:v>
      </x:c>
      <x:c r="J358" s="80" t="n">
        <x:f>H358*(1-I358)</x:f>
        <x:v>0</x:v>
      </x:c>
      <x:c r="K358" s="75" t="n">
        <x:f>IF(Portfolio_Par&gt;0,J358/Portfolio_Par,"")</x:f>
        <x:v>0</x:v>
      </x:c>
      <x:c r="L358" s="150" t="str"/>
    </x:row>
    <x:row r="359" ht="39" customHeight="1">
      <x:c r="A359" s="150"/>
      <x:c r="B359" s="150"/>
      <x:c r="C359" s="154" t="str">
        <x:v>alternative_industry</x:v>
      </x:c>
      <x:c r="D359" s="154" t="str">
        <x:v>AAA through CCC-</x:v>
      </x:c>
      <x:c r="E359" s="154" t="str">
        <x:v>Oil, Gas &amp; Consumable Fuels</x:v>
      </x:c>
      <x:c r="F359" s="150" t="n">
        <x:v>4</x:v>
      </x:c>
      <x:c r="G359" s="150" t="n">
        <x:v>4</x:v>
      </x:c>
      <x:c r="H359" s="178" t="n">
        <x:v>4728000</x:v>
      </x:c>
      <x:c r="I359" s="163" t="n">
        <x:v>0.05</x:v>
      </x:c>
      <x:c r="J359" s="80" t="n">
        <x:f>H359*(1-I359)</x:f>
        <x:v>4491600</x:v>
      </x:c>
      <x:c r="K359" s="75" t="n">
        <x:f>IF(Portfolio_Par&gt;0,J359/Portfolio_Par,"")</x:f>
        <x:v>0.014972</x:v>
      </x:c>
      <x:c r="L359" s="150" t="str">
        <x:v>SYN-OB-0076, SYN-OB-0122, SYN-OB-0194, SYN-OB-0216</x:v>
      </x:c>
    </x:row>
    <x:row r="360" ht="39" customHeight="1">
      <x:c r="A360" s="150"/>
      <x:c r="B360" s="150"/>
      <x:c r="C360" s="154" t="str">
        <x:v>alternative_industry</x:v>
      </x:c>
      <x:c r="D360" s="154" t="str">
        <x:v>AA+ through CCC-</x:v>
      </x:c>
      <x:c r="E360" s="154" t="str">
        <x:v>Oil, Gas &amp; Consumable Fuels</x:v>
      </x:c>
      <x:c r="F360" s="150" t="n">
        <x:v>6</x:v>
      </x:c>
      <x:c r="G360" s="150" t="n">
        <x:v>6</x:v>
      </x:c>
      <x:c r="H360" s="178" t="n">
        <x:v>6540000</x:v>
      </x:c>
      <x:c r="I360" s="163" t="n">
        <x:v>0.05</x:v>
      </x:c>
      <x:c r="J360" s="80" t="n">
        <x:f>H360*(1-I360)</x:f>
        <x:v>6213000</x:v>
      </x:c>
      <x:c r="K360" s="75" t="n">
        <x:f>IF(Portfolio_Par&gt;0,J360/Portfolio_Par,"")</x:f>
        <x:v>0.02071</x:v>
      </x:c>
      <x:c r="L360" s="150" t="str">
        <x:v>SYN-OB-0076, SYN-OB-0122, SYN-OB-0194, SYN-OB-0216, SYN-OB-0252, SYN-OB-0230</x:v>
      </x:c>
    </x:row>
    <x:row r="361" ht="39" customHeight="1">
      <x:c r="A361" s="150"/>
      <x:c r="B361" s="150"/>
      <x:c r="C361" s="154" t="str">
        <x:v>alternative_industry</x:v>
      </x:c>
      <x:c r="D361" s="154" t="str">
        <x:v>A+ through CCC-</x:v>
      </x:c>
      <x:c r="E361" s="154" t="str">
        <x:v>Oil, Gas &amp; Consumable Fuels</x:v>
      </x:c>
      <x:c r="F361" s="150" t="n">
        <x:v>8</x:v>
      </x:c>
      <x:c r="G361" s="150" t="n">
        <x:v>6</x:v>
      </x:c>
      <x:c r="H361" s="178" t="n">
        <x:v>6540000</x:v>
      </x:c>
      <x:c r="I361" s="163" t="n">
        <x:v>0.05</x:v>
      </x:c>
      <x:c r="J361" s="80" t="n">
        <x:f>H361*(1-I361)</x:f>
        <x:v>6213000</x:v>
      </x:c>
      <x:c r="K361" s="75" t="n">
        <x:f>IF(Portfolio_Par&gt;0,J361/Portfolio_Par,"")</x:f>
        <x:v>0.02071</x:v>
      </x:c>
      <x:c r="L361" s="150" t="str">
        <x:v>SYN-OB-0076, SYN-OB-0122, SYN-OB-0194, SYN-OB-0216, SYN-OB-0252, SYN-OB-0230</x:v>
      </x:c>
    </x:row>
    <x:row r="362" ht="39" customHeight="1">
      <x:c r="A362" s="150"/>
      <x:c r="B362" s="150"/>
      <x:c r="C362" s="154" t="str">
        <x:v>alternative_industry</x:v>
      </x:c>
      <x:c r="D362" s="154" t="str">
        <x:v>BBB+ through CCC-</x:v>
      </x:c>
      <x:c r="E362" s="154" t="str">
        <x:v>Oil, Gas &amp; Consumable Fuels</x:v>
      </x:c>
      <x:c r="F362" s="150" t="n">
        <x:v>12</x:v>
      </x:c>
      <x:c r="G362" s="150" t="n">
        <x:v>6</x:v>
      </x:c>
      <x:c r="H362" s="178" t="n">
        <x:v>6540000</x:v>
      </x:c>
      <x:c r="I362" s="163" t="n">
        <x:v>0.05</x:v>
      </x:c>
      <x:c r="J362" s="80" t="n">
        <x:f>H362*(1-I362)</x:f>
        <x:v>6213000</x:v>
      </x:c>
      <x:c r="K362" s="75" t="n">
        <x:f>IF(Portfolio_Par&gt;0,J362/Portfolio_Par,"")</x:f>
        <x:v>0.02071</x:v>
      </x:c>
      <x:c r="L362" s="150" t="str">
        <x:v>SYN-OB-0076, SYN-OB-0122, SYN-OB-0194, SYN-OB-0216, SYN-OB-0252, SYN-OB-0230</x:v>
      </x:c>
    </x:row>
    <x:row r="363" ht="39" customHeight="1">
      <x:c r="A363" s="150"/>
      <x:c r="B363" s="150"/>
      <x:c r="C363" s="154" t="str">
        <x:v>alternative_industry</x:v>
      </x:c>
      <x:c r="D363" s="154" t="str">
        <x:v>BB+ through CCC-</x:v>
      </x:c>
      <x:c r="E363" s="154" t="str">
        <x:v>Oil, Gas &amp; Consumable Fuels</x:v>
      </x:c>
      <x:c r="F363" s="150" t="n">
        <x:v>16</x:v>
      </x:c>
      <x:c r="G363" s="150" t="n">
        <x:v>5</x:v>
      </x:c>
      <x:c r="H363" s="178" t="n">
        <x:v>5910000</x:v>
      </x:c>
      <x:c r="I363" s="163" t="n">
        <x:v>0.05</x:v>
      </x:c>
      <x:c r="J363" s="80" t="n">
        <x:f>H363*(1-I363)</x:f>
        <x:v>5614500</x:v>
      </x:c>
      <x:c r="K363" s="75" t="n">
        <x:f>IF(Portfolio_Par&gt;0,J363/Portfolio_Par,"")</x:f>
        <x:v>0.018715</x:v>
      </x:c>
      <x:c r="L363" s="150" t="str">
        <x:v>SYN-OB-0076, SYN-OB-0122, SYN-OB-0194, SYN-OB-0216, SYN-OB-0252</x:v>
      </x:c>
    </x:row>
    <x:row r="364" ht="39" customHeight="1">
      <x:c r="A364" s="150"/>
      <x:c r="B364" s="150"/>
      <x:c r="C364" s="154" t="str">
        <x:v>alternative_industry</x:v>
      </x:c>
      <x:c r="D364" s="154" t="str">
        <x:v>B+ through CCC-</x:v>
      </x:c>
      <x:c r="E364" s="154" t="str">
        <x:v>Oil, Gas &amp; Consumable Fuels</x:v>
      </x:c>
      <x:c r="F364" s="150" t="n">
        <x:v>20</x:v>
      </x:c>
      <x:c r="G364" s="150" t="n">
        <x:v>0</x:v>
      </x:c>
      <x:c r="H364" s="178" t="n">
        <x:v>0</x:v>
      </x:c>
      <x:c r="I364" s="163" t="n">
        <x:v>0.05</x:v>
      </x:c>
      <x:c r="J364" s="80" t="n">
        <x:f>H364*(1-I364)</x:f>
        <x:v>0</x:v>
      </x:c>
      <x:c r="K364" s="75" t="n">
        <x:f>IF(Portfolio_Par&gt;0,J364/Portfolio_Par,"")</x:f>
        <x:v>0</x:v>
      </x:c>
      <x:c r="L364" s="150" t="str"/>
    </x:row>
    <x:row r="365" ht="39" customHeight="1">
      <x:c r="A365" s="150"/>
      <x:c r="B365" s="150"/>
      <x:c r="C365" s="154" t="str">
        <x:v>alternative_industry</x:v>
      </x:c>
      <x:c r="D365" s="154" t="str">
        <x:v>CCC+ through CCC-</x:v>
      </x:c>
      <x:c r="E365" s="154" t="str">
        <x:v>Oil, Gas &amp; Consumable Fuels</x:v>
      </x:c>
      <x:c r="F365" s="150" t="n">
        <x:v>24</x:v>
      </x:c>
      <x:c r="G365" s="150" t="n">
        <x:v>0</x:v>
      </x:c>
      <x:c r="H365" s="178" t="n">
        <x:v>0</x:v>
      </x:c>
      <x:c r="I365" s="163" t="n">
        <x:v>0.05</x:v>
      </x:c>
      <x:c r="J365" s="80" t="n">
        <x:f>H365*(1-I365)</x:f>
        <x:v>0</x:v>
      </x:c>
      <x:c r="K365" s="75" t="n">
        <x:f>IF(Portfolio_Par&gt;0,J365/Portfolio_Par,"")</x:f>
        <x:v>0</x:v>
      </x:c>
      <x:c r="L365" s="150" t="str"/>
    </x:row>
    <x:row r="366" ht="39" customHeight="1">
      <x:c r="A366" s="150"/>
      <x:c r="B366" s="150"/>
      <x:c r="C366" s="154" t="str">
        <x:v>alternative_industry</x:v>
      </x:c>
      <x:c r="D366" s="154" t="str">
        <x:v>AAA through CCC-</x:v>
      </x:c>
      <x:c r="E366" s="154" t="str">
        <x:v>Passenger airlines</x:v>
      </x:c>
      <x:c r="F366" s="150" t="n">
        <x:v>4</x:v>
      </x:c>
      <x:c r="G366" s="150" t="n">
        <x:v>4</x:v>
      </x:c>
      <x:c r="H366" s="178" t="n">
        <x:v>4728000</x:v>
      </x:c>
      <x:c r="I366" s="163" t="n">
        <x:v>0.05</x:v>
      </x:c>
      <x:c r="J366" s="80" t="n">
        <x:f>H366*(1-I366)</x:f>
        <x:v>4491600</x:v>
      </x:c>
      <x:c r="K366" s="75" t="n">
        <x:f>IF(Portfolio_Par&gt;0,J366/Portfolio_Par,"")</x:f>
        <x:v>0.014972</x:v>
      </x:c>
      <x:c r="L366" s="150" t="str">
        <x:v>SYN-OB-0018, SYN-OB-0135, SYN-OB-0141, SYN-OB-0145</x:v>
      </x:c>
    </x:row>
    <x:row r="367" ht="39" customHeight="1">
      <x:c r="A367" s="150"/>
      <x:c r="B367" s="150"/>
      <x:c r="C367" s="154" t="str">
        <x:v>alternative_industry</x:v>
      </x:c>
      <x:c r="D367" s="154" t="str">
        <x:v>AA+ through CCC-</x:v>
      </x:c>
      <x:c r="E367" s="154" t="str">
        <x:v>Passenger airlines</x:v>
      </x:c>
      <x:c r="F367" s="150" t="n">
        <x:v>6</x:v>
      </x:c>
      <x:c r="G367" s="150" t="n">
        <x:v>6</x:v>
      </x:c>
      <x:c r="H367" s="178" t="n">
        <x:v>5988000</x:v>
      </x:c>
      <x:c r="I367" s="163" t="n">
        <x:v>0.05</x:v>
      </x:c>
      <x:c r="J367" s="80" t="n">
        <x:f>H367*(1-I367)</x:f>
        <x:v>5688600</x:v>
      </x:c>
      <x:c r="K367" s="75" t="n">
        <x:f>IF(Portfolio_Par&gt;0,J367/Portfolio_Par,"")</x:f>
        <x:v>0.018962</x:v>
      </x:c>
      <x:c r="L367" s="150" t="str">
        <x:v>SYN-OB-0018, SYN-OB-0135, SYN-OB-0141, SYN-OB-0145, SYN-OB-0213, SYN-OB-0263</x:v>
      </x:c>
    </x:row>
    <x:row r="368" ht="39" customHeight="1">
      <x:c r="A368" s="150"/>
      <x:c r="B368" s="150"/>
      <x:c r="C368" s="154" t="str">
        <x:v>alternative_industry</x:v>
      </x:c>
      <x:c r="D368" s="154" t="str">
        <x:v>A+ through CCC-</x:v>
      </x:c>
      <x:c r="E368" s="154" t="str">
        <x:v>Passenger airlines</x:v>
      </x:c>
      <x:c r="F368" s="150" t="n">
        <x:v>8</x:v>
      </x:c>
      <x:c r="G368" s="150" t="n">
        <x:v>6</x:v>
      </x:c>
      <x:c r="H368" s="178" t="n">
        <x:v>5988000</x:v>
      </x:c>
      <x:c r="I368" s="163" t="n">
        <x:v>0.05</x:v>
      </x:c>
      <x:c r="J368" s="80" t="n">
        <x:f>H368*(1-I368)</x:f>
        <x:v>5688600</x:v>
      </x:c>
      <x:c r="K368" s="75" t="n">
        <x:f>IF(Portfolio_Par&gt;0,J368/Portfolio_Par,"")</x:f>
        <x:v>0.018962</x:v>
      </x:c>
      <x:c r="L368" s="150" t="str">
        <x:v>SYN-OB-0018, SYN-OB-0135, SYN-OB-0141, SYN-OB-0145, SYN-OB-0213, SYN-OB-0263</x:v>
      </x:c>
    </x:row>
    <x:row r="369" ht="39" customHeight="1">
      <x:c r="A369" s="150"/>
      <x:c r="B369" s="150"/>
      <x:c r="C369" s="154" t="str">
        <x:v>alternative_industry</x:v>
      </x:c>
      <x:c r="D369" s="154" t="str">
        <x:v>BBB+ through CCC-</x:v>
      </x:c>
      <x:c r="E369" s="154" t="str">
        <x:v>Passenger airlines</x:v>
      </x:c>
      <x:c r="F369" s="150" t="n">
        <x:v>12</x:v>
      </x:c>
      <x:c r="G369" s="150" t="n">
        <x:v>6</x:v>
      </x:c>
      <x:c r="H369" s="178" t="n">
        <x:v>5988000</x:v>
      </x:c>
      <x:c r="I369" s="163" t="n">
        <x:v>0.05</x:v>
      </x:c>
      <x:c r="J369" s="80" t="n">
        <x:f>H369*(1-I369)</x:f>
        <x:v>5688600</x:v>
      </x:c>
      <x:c r="K369" s="75" t="n">
        <x:f>IF(Portfolio_Par&gt;0,J369/Portfolio_Par,"")</x:f>
        <x:v>0.018962</x:v>
      </x:c>
      <x:c r="L369" s="150" t="str">
        <x:v>SYN-OB-0018, SYN-OB-0135, SYN-OB-0141, SYN-OB-0145, SYN-OB-0213, SYN-OB-0263</x:v>
      </x:c>
    </x:row>
    <x:row r="370" ht="39" customHeight="1">
      <x:c r="A370" s="150"/>
      <x:c r="B370" s="150"/>
      <x:c r="C370" s="154" t="str">
        <x:v>alternative_industry</x:v>
      </x:c>
      <x:c r="D370" s="154" t="str">
        <x:v>BB+ through CCC-</x:v>
      </x:c>
      <x:c r="E370" s="154" t="str">
        <x:v>Passenger airlines</x:v>
      </x:c>
      <x:c r="F370" s="150" t="n">
        <x:v>16</x:v>
      </x:c>
      <x:c r="G370" s="150" t="n">
        <x:v>4</x:v>
      </x:c>
      <x:c r="H370" s="178" t="n">
        <x:v>4728000</x:v>
      </x:c>
      <x:c r="I370" s="163" t="n">
        <x:v>0.05</x:v>
      </x:c>
      <x:c r="J370" s="80" t="n">
        <x:f>H370*(1-I370)</x:f>
        <x:v>4491600</x:v>
      </x:c>
      <x:c r="K370" s="75" t="n">
        <x:f>IF(Portfolio_Par&gt;0,J370/Portfolio_Par,"")</x:f>
        <x:v>0.014972</x:v>
      </x:c>
      <x:c r="L370" s="150" t="str">
        <x:v>SYN-OB-0018, SYN-OB-0135, SYN-OB-0141, SYN-OB-0145</x:v>
      </x:c>
    </x:row>
    <x:row r="371" ht="39" customHeight="1">
      <x:c r="A371" s="150"/>
      <x:c r="B371" s="150"/>
      <x:c r="C371" s="154" t="str">
        <x:v>alternative_industry</x:v>
      </x:c>
      <x:c r="D371" s="154" t="str">
        <x:v>B+ through CCC-</x:v>
      </x:c>
      <x:c r="E371" s="154" t="str">
        <x:v>Passenger airlines</x:v>
      </x:c>
      <x:c r="F371" s="150" t="n">
        <x:v>20</x:v>
      </x:c>
      <x:c r="G371" s="150" t="n">
        <x:v>4</x:v>
      </x:c>
      <x:c r="H371" s="178" t="n">
        <x:v>4728000</x:v>
      </x:c>
      <x:c r="I371" s="163" t="n">
        <x:v>0.05</x:v>
      </x:c>
      <x:c r="J371" s="80" t="n">
        <x:f>H371*(1-I371)</x:f>
        <x:v>4491600</x:v>
      </x:c>
      <x:c r="K371" s="75" t="n">
        <x:f>IF(Portfolio_Par&gt;0,J371/Portfolio_Par,"")</x:f>
        <x:v>0.014972</x:v>
      </x:c>
      <x:c r="L371" s="150" t="str">
        <x:v>SYN-OB-0018, SYN-OB-0135, SYN-OB-0141, SYN-OB-0145</x:v>
      </x:c>
    </x:row>
    <x:row r="372" ht="39" customHeight="1">
      <x:c r="A372" s="150"/>
      <x:c r="B372" s="150"/>
      <x:c r="C372" s="154" t="str">
        <x:v>alternative_industry</x:v>
      </x:c>
      <x:c r="D372" s="154" t="str">
        <x:v>CCC+ through CCC-</x:v>
      </x:c>
      <x:c r="E372" s="154" t="str">
        <x:v>Passenger airlines</x:v>
      </x:c>
      <x:c r="F372" s="150" t="n">
        <x:v>24</x:v>
      </x:c>
      <x:c r="G372" s="150" t="n">
        <x:v>0</x:v>
      </x:c>
      <x:c r="H372" s="178" t="n">
        <x:v>0</x:v>
      </x:c>
      <x:c r="I372" s="163" t="n">
        <x:v>0.05</x:v>
      </x:c>
      <x:c r="J372" s="80" t="n">
        <x:f>H372*(1-I372)</x:f>
        <x:v>0</x:v>
      </x:c>
      <x:c r="K372" s="75" t="n">
        <x:f>IF(Portfolio_Par&gt;0,J372/Portfolio_Par,"")</x:f>
        <x:v>0</x:v>
      </x:c>
      <x:c r="L372" s="150" t="str"/>
    </x:row>
    <x:row r="373" ht="39" customHeight="1">
      <x:c r="A373" s="150"/>
      <x:c r="B373" s="150"/>
      <x:c r="C373" s="154" t="str">
        <x:v>alternative_industry</x:v>
      </x:c>
      <x:c r="D373" s="154" t="str">
        <x:v>AAA through CCC-</x:v>
      </x:c>
      <x:c r="E373" s="154" t="str">
        <x:v>Pharmaceuticals</x:v>
      </x:c>
      <x:c r="F373" s="150" t="n">
        <x:v>4</x:v>
      </x:c>
      <x:c r="G373" s="150" t="n">
        <x:v>2</x:v>
      </x:c>
      <x:c r="H373" s="178" t="n">
        <x:v>2364000</x:v>
      </x:c>
      <x:c r="I373" s="163" t="n">
        <x:v>0.05</x:v>
      </x:c>
      <x:c r="J373" s="80" t="n">
        <x:f>H373*(1-I373)</x:f>
        <x:v>2245800</x:v>
      </x:c>
      <x:c r="K373" s="75" t="n">
        <x:f>IF(Portfolio_Par&gt;0,J373/Portfolio_Par,"")</x:f>
        <x:v>0.007486</x:v>
      </x:c>
      <x:c r="L373" s="150" t="str">
        <x:v>SYN-OB-0095, SYN-OB-0270</x:v>
      </x:c>
    </x:row>
    <x:row r="374" ht="39" customHeight="1">
      <x:c r="A374" s="150"/>
      <x:c r="B374" s="150"/>
      <x:c r="C374" s="154" t="str">
        <x:v>alternative_industry</x:v>
      </x:c>
      <x:c r="D374" s="154" t="str">
        <x:v>AA+ through CCC-</x:v>
      </x:c>
      <x:c r="E374" s="154" t="str">
        <x:v>Pharmaceuticals</x:v>
      </x:c>
      <x:c r="F374" s="150" t="n">
        <x:v>6</x:v>
      </x:c>
      <x:c r="G374" s="150" t="n">
        <x:v>2</x:v>
      </x:c>
      <x:c r="H374" s="178" t="n">
        <x:v>2364000</x:v>
      </x:c>
      <x:c r="I374" s="163" t="n">
        <x:v>0.05</x:v>
      </x:c>
      <x:c r="J374" s="80" t="n">
        <x:f>H374*(1-I374)</x:f>
        <x:v>2245800</x:v>
      </x:c>
      <x:c r="K374" s="75" t="n">
        <x:f>IF(Portfolio_Par&gt;0,J374/Portfolio_Par,"")</x:f>
        <x:v>0.007486</x:v>
      </x:c>
      <x:c r="L374" s="150" t="str">
        <x:v>SYN-OB-0095, SYN-OB-0270</x:v>
      </x:c>
    </x:row>
    <x:row r="375" ht="39" customHeight="1">
      <x:c r="A375" s="150"/>
      <x:c r="B375" s="150"/>
      <x:c r="C375" s="154" t="str">
        <x:v>alternative_industry</x:v>
      </x:c>
      <x:c r="D375" s="154" t="str">
        <x:v>A+ through CCC-</x:v>
      </x:c>
      <x:c r="E375" s="154" t="str">
        <x:v>Pharmaceuticals</x:v>
      </x:c>
      <x:c r="F375" s="150" t="n">
        <x:v>8</x:v>
      </x:c>
      <x:c r="G375" s="150" t="n">
        <x:v>2</x:v>
      </x:c>
      <x:c r="H375" s="178" t="n">
        <x:v>2364000</x:v>
      </x:c>
      <x:c r="I375" s="163" t="n">
        <x:v>0.05</x:v>
      </x:c>
      <x:c r="J375" s="80" t="n">
        <x:f>H375*(1-I375)</x:f>
        <x:v>2245800</x:v>
      </x:c>
      <x:c r="K375" s="75" t="n">
        <x:f>IF(Portfolio_Par&gt;0,J375/Portfolio_Par,"")</x:f>
        <x:v>0.007486</x:v>
      </x:c>
      <x:c r="L375" s="150" t="str">
        <x:v>SYN-OB-0095, SYN-OB-0270</x:v>
      </x:c>
    </x:row>
    <x:row r="376" ht="39" customHeight="1">
      <x:c r="A376" s="150"/>
      <x:c r="B376" s="150"/>
      <x:c r="C376" s="154" t="str">
        <x:v>alternative_industry</x:v>
      </x:c>
      <x:c r="D376" s="154" t="str">
        <x:v>BBB+ through CCC-</x:v>
      </x:c>
      <x:c r="E376" s="154" t="str">
        <x:v>Pharmaceuticals</x:v>
      </x:c>
      <x:c r="F376" s="150" t="n">
        <x:v>12</x:v>
      </x:c>
      <x:c r="G376" s="150" t="n">
        <x:v>2</x:v>
      </x:c>
      <x:c r="H376" s="178" t="n">
        <x:v>2364000</x:v>
      </x:c>
      <x:c r="I376" s="163" t="n">
        <x:v>0.05</x:v>
      </x:c>
      <x:c r="J376" s="80" t="n">
        <x:f>H376*(1-I376)</x:f>
        <x:v>2245800</x:v>
      </x:c>
      <x:c r="K376" s="75" t="n">
        <x:f>IF(Portfolio_Par&gt;0,J376/Portfolio_Par,"")</x:f>
        <x:v>0.007486</x:v>
      </x:c>
      <x:c r="L376" s="150" t="str">
        <x:v>SYN-OB-0095, SYN-OB-0270</x:v>
      </x:c>
    </x:row>
    <x:row r="377" ht="39" customHeight="1">
      <x:c r="A377" s="150"/>
      <x:c r="B377" s="150"/>
      <x:c r="C377" s="154" t="str">
        <x:v>alternative_industry</x:v>
      </x:c>
      <x:c r="D377" s="154" t="str">
        <x:v>BB+ through CCC-</x:v>
      </x:c>
      <x:c r="E377" s="154" t="str">
        <x:v>Pharmaceuticals</x:v>
      </x:c>
      <x:c r="F377" s="150" t="n">
        <x:v>16</x:v>
      </x:c>
      <x:c r="G377" s="150" t="n">
        <x:v>2</x:v>
      </x:c>
      <x:c r="H377" s="178" t="n">
        <x:v>2364000</x:v>
      </x:c>
      <x:c r="I377" s="163" t="n">
        <x:v>0.05</x:v>
      </x:c>
      <x:c r="J377" s="80" t="n">
        <x:f>H377*(1-I377)</x:f>
        <x:v>2245800</x:v>
      </x:c>
      <x:c r="K377" s="75" t="n">
        <x:f>IF(Portfolio_Par&gt;0,J377/Portfolio_Par,"")</x:f>
        <x:v>0.007486</x:v>
      </x:c>
      <x:c r="L377" s="150" t="str">
        <x:v>SYN-OB-0095, SYN-OB-0270</x:v>
      </x:c>
    </x:row>
    <x:row r="378" ht="39" customHeight="1">
      <x:c r="A378" s="150"/>
      <x:c r="B378" s="150"/>
      <x:c r="C378" s="154" t="str">
        <x:v>alternative_industry</x:v>
      </x:c>
      <x:c r="D378" s="154" t="str">
        <x:v>B+ through CCC-</x:v>
      </x:c>
      <x:c r="E378" s="154" t="str">
        <x:v>Pharmaceuticals</x:v>
      </x:c>
      <x:c r="F378" s="150" t="n">
        <x:v>20</x:v>
      </x:c>
      <x:c r="G378" s="150" t="n">
        <x:v>1</x:v>
      </x:c>
      <x:c r="H378" s="178" t="n">
        <x:v>1182000</x:v>
      </x:c>
      <x:c r="I378" s="163" t="n">
        <x:v>0.05</x:v>
      </x:c>
      <x:c r="J378" s="80" t="n">
        <x:f>H378*(1-I378)</x:f>
        <x:v>1122900</x:v>
      </x:c>
      <x:c r="K378" s="75" t="n">
        <x:f>IF(Portfolio_Par&gt;0,J378/Portfolio_Par,"")</x:f>
        <x:v>0.003743</x:v>
      </x:c>
      <x:c r="L378" s="150" t="str">
        <x:v>SYN-OB-0270</x:v>
      </x:c>
    </x:row>
    <x:row r="379" ht="39" customHeight="1">
      <x:c r="A379" s="150"/>
      <x:c r="B379" s="150"/>
      <x:c r="C379" s="154" t="str">
        <x:v>alternative_industry</x:v>
      </x:c>
      <x:c r="D379" s="154" t="str">
        <x:v>CCC+ through CCC-</x:v>
      </x:c>
      <x:c r="E379" s="154" t="str">
        <x:v>Pharmaceuticals</x:v>
      </x:c>
      <x:c r="F379" s="150" t="n">
        <x:v>24</x:v>
      </x:c>
      <x:c r="G379" s="150" t="n">
        <x:v>0</x:v>
      </x:c>
      <x:c r="H379" s="178" t="n">
        <x:v>0</x:v>
      </x:c>
      <x:c r="I379" s="163" t="n">
        <x:v>0.05</x:v>
      </x:c>
      <x:c r="J379" s="80" t="n">
        <x:f>H379*(1-I379)</x:f>
        <x:v>0</x:v>
      </x:c>
      <x:c r="K379" s="75" t="n">
        <x:f>IF(Portfolio_Par&gt;0,J379/Portfolio_Par,"")</x:f>
        <x:v>0</x:v>
      </x:c>
      <x:c r="L379" s="150" t="str"/>
    </x:row>
    <x:row r="380" ht="39" customHeight="1">
      <x:c r="A380" s="150"/>
      <x:c r="B380" s="150"/>
      <x:c r="C380" s="154" t="str">
        <x:v>alternative_industry</x:v>
      </x:c>
      <x:c r="D380" s="154" t="str">
        <x:v>AAA through CCC-</x:v>
      </x:c>
      <x:c r="E380" s="154" t="str">
        <x:v>Professional Services</x:v>
      </x:c>
      <x:c r="F380" s="150" t="n">
        <x:v>4</x:v>
      </x:c>
      <x:c r="G380" s="150" t="n">
        <x:v>3</x:v>
      </x:c>
      <x:c r="H380" s="178" t="n">
        <x:v>3546000</x:v>
      </x:c>
      <x:c r="I380" s="163" t="n">
        <x:v>0.05</x:v>
      </x:c>
      <x:c r="J380" s="80" t="n">
        <x:f>H380*(1-I380)</x:f>
        <x:v>3368700</x:v>
      </x:c>
      <x:c r="K380" s="75" t="n">
        <x:f>IF(Portfolio_Par&gt;0,J380/Portfolio_Par,"")</x:f>
        <x:v>0.011229</x:v>
      </x:c>
      <x:c r="L380" s="150" t="str">
        <x:v>SYN-OB-0031, SYN-OB-0150, SYN-OB-0175</x:v>
      </x:c>
    </x:row>
    <x:row r="381" ht="39" customHeight="1">
      <x:c r="A381" s="150"/>
      <x:c r="B381" s="150"/>
      <x:c r="C381" s="154" t="str">
        <x:v>alternative_industry</x:v>
      </x:c>
      <x:c r="D381" s="154" t="str">
        <x:v>AA+ through CCC-</x:v>
      </x:c>
      <x:c r="E381" s="154" t="str">
        <x:v>Professional Services</x:v>
      </x:c>
      <x:c r="F381" s="150" t="n">
        <x:v>6</x:v>
      </x:c>
      <x:c r="G381" s="150" t="n">
        <x:v>3</x:v>
      </x:c>
      <x:c r="H381" s="178" t="n">
        <x:v>3546000</x:v>
      </x:c>
      <x:c r="I381" s="163" t="n">
        <x:v>0.05</x:v>
      </x:c>
      <x:c r="J381" s="80" t="n">
        <x:f>H381*(1-I381)</x:f>
        <x:v>3368700</x:v>
      </x:c>
      <x:c r="K381" s="75" t="n">
        <x:f>IF(Portfolio_Par&gt;0,J381/Portfolio_Par,"")</x:f>
        <x:v>0.011229</x:v>
      </x:c>
      <x:c r="L381" s="150" t="str">
        <x:v>SYN-OB-0031, SYN-OB-0150, SYN-OB-0175</x:v>
      </x:c>
    </x:row>
    <x:row r="382" ht="39" customHeight="1">
      <x:c r="A382" s="150"/>
      <x:c r="B382" s="150"/>
      <x:c r="C382" s="154" t="str">
        <x:v>alternative_industry</x:v>
      </x:c>
      <x:c r="D382" s="154" t="str">
        <x:v>A+ through CCC-</x:v>
      </x:c>
      <x:c r="E382" s="154" t="str">
        <x:v>Professional Services</x:v>
      </x:c>
      <x:c r="F382" s="150" t="n">
        <x:v>8</x:v>
      </x:c>
      <x:c r="G382" s="150" t="n">
        <x:v>3</x:v>
      </x:c>
      <x:c r="H382" s="178" t="n">
        <x:v>3546000</x:v>
      </x:c>
      <x:c r="I382" s="163" t="n">
        <x:v>0.05</x:v>
      </x:c>
      <x:c r="J382" s="80" t="n">
        <x:f>H382*(1-I382)</x:f>
        <x:v>3368700</x:v>
      </x:c>
      <x:c r="K382" s="75" t="n">
        <x:f>IF(Portfolio_Par&gt;0,J382/Portfolio_Par,"")</x:f>
        <x:v>0.011229</x:v>
      </x:c>
      <x:c r="L382" s="150" t="str">
        <x:v>SYN-OB-0031, SYN-OB-0150, SYN-OB-0175</x:v>
      </x:c>
    </x:row>
    <x:row r="383" ht="39" customHeight="1">
      <x:c r="A383" s="150"/>
      <x:c r="B383" s="150"/>
      <x:c r="C383" s="154" t="str">
        <x:v>alternative_industry</x:v>
      </x:c>
      <x:c r="D383" s="154" t="str">
        <x:v>BBB+ through CCC-</x:v>
      </x:c>
      <x:c r="E383" s="154" t="str">
        <x:v>Professional Services</x:v>
      </x:c>
      <x:c r="F383" s="150" t="n">
        <x:v>12</x:v>
      </x:c>
      <x:c r="G383" s="150" t="n">
        <x:v>3</x:v>
      </x:c>
      <x:c r="H383" s="178" t="n">
        <x:v>3546000</x:v>
      </x:c>
      <x:c r="I383" s="163" t="n">
        <x:v>0.05</x:v>
      </x:c>
      <x:c r="J383" s="80" t="n">
        <x:f>H383*(1-I383)</x:f>
        <x:v>3368700</x:v>
      </x:c>
      <x:c r="K383" s="75" t="n">
        <x:f>IF(Portfolio_Par&gt;0,J383/Portfolio_Par,"")</x:f>
        <x:v>0.011229</x:v>
      </x:c>
      <x:c r="L383" s="150" t="str">
        <x:v>SYN-OB-0031, SYN-OB-0150, SYN-OB-0175</x:v>
      </x:c>
    </x:row>
    <x:row r="384" ht="39" customHeight="1">
      <x:c r="A384" s="150"/>
      <x:c r="B384" s="150"/>
      <x:c r="C384" s="154" t="str">
        <x:v>alternative_industry</x:v>
      </x:c>
      <x:c r="D384" s="154" t="str">
        <x:v>BB+ through CCC-</x:v>
      </x:c>
      <x:c r="E384" s="154" t="str">
        <x:v>Professional Services</x:v>
      </x:c>
      <x:c r="F384" s="150" t="n">
        <x:v>16</x:v>
      </x:c>
      <x:c r="G384" s="150" t="n">
        <x:v>3</x:v>
      </x:c>
      <x:c r="H384" s="178" t="n">
        <x:v>3546000</x:v>
      </x:c>
      <x:c r="I384" s="163" t="n">
        <x:v>0.05</x:v>
      </x:c>
      <x:c r="J384" s="80" t="n">
        <x:f>H384*(1-I384)</x:f>
        <x:v>3368700</x:v>
      </x:c>
      <x:c r="K384" s="75" t="n">
        <x:f>IF(Portfolio_Par&gt;0,J384/Portfolio_Par,"")</x:f>
        <x:v>0.011229</x:v>
      </x:c>
      <x:c r="L384" s="150" t="str">
        <x:v>SYN-OB-0031, SYN-OB-0150, SYN-OB-0175</x:v>
      </x:c>
    </x:row>
    <x:row r="385" ht="39" customHeight="1">
      <x:c r="A385" s="150"/>
      <x:c r="B385" s="150"/>
      <x:c r="C385" s="154" t="str">
        <x:v>alternative_industry</x:v>
      </x:c>
      <x:c r="D385" s="154" t="str">
        <x:v>B+ through CCC-</x:v>
      </x:c>
      <x:c r="E385" s="154" t="str">
        <x:v>Professional Services</x:v>
      </x:c>
      <x:c r="F385" s="150" t="n">
        <x:v>20</x:v>
      </x:c>
      <x:c r="G385" s="150" t="n">
        <x:v>2</x:v>
      </x:c>
      <x:c r="H385" s="178" t="n">
        <x:v>2364000</x:v>
      </x:c>
      <x:c r="I385" s="163" t="n">
        <x:v>0.05</x:v>
      </x:c>
      <x:c r="J385" s="80" t="n">
        <x:f>H385*(1-I385)</x:f>
        <x:v>2245800</x:v>
      </x:c>
      <x:c r="K385" s="75" t="n">
        <x:f>IF(Portfolio_Par&gt;0,J385/Portfolio_Par,"")</x:f>
        <x:v>0.007486</x:v>
      </x:c>
      <x:c r="L385" s="150" t="str">
        <x:v>SYN-OB-0031, SYN-OB-0175</x:v>
      </x:c>
    </x:row>
    <x:row r="386" ht="39" customHeight="1">
      <x:c r="A386" s="150"/>
      <x:c r="B386" s="150"/>
      <x:c r="C386" s="154" t="str">
        <x:v>alternative_industry</x:v>
      </x:c>
      <x:c r="D386" s="154" t="str">
        <x:v>CCC+ through CCC-</x:v>
      </x:c>
      <x:c r="E386" s="154" t="str">
        <x:v>Professional Services</x:v>
      </x:c>
      <x:c r="F386" s="150" t="n">
        <x:v>24</x:v>
      </x:c>
      <x:c r="G386" s="150" t="n">
        <x:v>0</x:v>
      </x:c>
      <x:c r="H386" s="178" t="n">
        <x:v>0</x:v>
      </x:c>
      <x:c r="I386" s="163" t="n">
        <x:v>0.05</x:v>
      </x:c>
      <x:c r="J386" s="80" t="n">
        <x:f>H386*(1-I386)</x:f>
        <x:v>0</x:v>
      </x:c>
      <x:c r="K386" s="75" t="n">
        <x:f>IF(Portfolio_Par&gt;0,J386/Portfolio_Par,"")</x:f>
        <x:v>0</x:v>
      </x:c>
      <x:c r="L386" s="150" t="str"/>
    </x:row>
    <x:row r="387" ht="39" customHeight="1">
      <x:c r="A387" s="150"/>
      <x:c r="B387" s="150"/>
      <x:c r="C387" s="154" t="str">
        <x:v>alternative_industry</x:v>
      </x:c>
      <x:c r="D387" s="154" t="str">
        <x:v>AAA through CCC-</x:v>
      </x:c>
      <x:c r="E387" s="154" t="str">
        <x:v>Real Estate Management &amp; Development</x:v>
      </x:c>
      <x:c r="F387" s="150" t="n">
        <x:v>4</x:v>
      </x:c>
      <x:c r="G387" s="150" t="n">
        <x:v>1</x:v>
      </x:c>
      <x:c r="H387" s="178" t="n">
        <x:v>1182000</x:v>
      </x:c>
      <x:c r="I387" s="163" t="n">
        <x:v>0.05</x:v>
      </x:c>
      <x:c r="J387" s="80" t="n">
        <x:f>H387*(1-I387)</x:f>
        <x:v>1122900</x:v>
      </x:c>
      <x:c r="K387" s="75" t="n">
        <x:f>IF(Portfolio_Par&gt;0,J387/Portfolio_Par,"")</x:f>
        <x:v>0.003743</x:v>
      </x:c>
      <x:c r="L387" s="150" t="str">
        <x:v>SYN-OB-0103</x:v>
      </x:c>
    </x:row>
    <x:row r="388" ht="39" customHeight="1">
      <x:c r="A388" s="150"/>
      <x:c r="B388" s="150"/>
      <x:c r="C388" s="154" t="str">
        <x:v>alternative_industry</x:v>
      </x:c>
      <x:c r="D388" s="154" t="str">
        <x:v>AA+ through CCC-</x:v>
      </x:c>
      <x:c r="E388" s="154" t="str">
        <x:v>Real Estate Management &amp; Development</x:v>
      </x:c>
      <x:c r="F388" s="150" t="n">
        <x:v>6</x:v>
      </x:c>
      <x:c r="G388" s="150" t="n">
        <x:v>1</x:v>
      </x:c>
      <x:c r="H388" s="178" t="n">
        <x:v>1182000</x:v>
      </x:c>
      <x:c r="I388" s="163" t="n">
        <x:v>0.05</x:v>
      </x:c>
      <x:c r="J388" s="80" t="n">
        <x:f>H388*(1-I388)</x:f>
        <x:v>1122900</x:v>
      </x:c>
      <x:c r="K388" s="75" t="n">
        <x:f>IF(Portfolio_Par&gt;0,J388/Portfolio_Par,"")</x:f>
        <x:v>0.003743</x:v>
      </x:c>
      <x:c r="L388" s="150" t="str">
        <x:v>SYN-OB-0103</x:v>
      </x:c>
    </x:row>
    <x:row r="389" ht="39" customHeight="1">
      <x:c r="A389" s="150"/>
      <x:c r="B389" s="150"/>
      <x:c r="C389" s="154" t="str">
        <x:v>alternative_industry</x:v>
      </x:c>
      <x:c r="D389" s="154" t="str">
        <x:v>A+ through CCC-</x:v>
      </x:c>
      <x:c r="E389" s="154" t="str">
        <x:v>Real Estate Management &amp; Development</x:v>
      </x:c>
      <x:c r="F389" s="150" t="n">
        <x:v>8</x:v>
      </x:c>
      <x:c r="G389" s="150" t="n">
        <x:v>1</x:v>
      </x:c>
      <x:c r="H389" s="178" t="n">
        <x:v>1182000</x:v>
      </x:c>
      <x:c r="I389" s="163" t="n">
        <x:v>0.05</x:v>
      </x:c>
      <x:c r="J389" s="80" t="n">
        <x:f>H389*(1-I389)</x:f>
        <x:v>1122900</x:v>
      </x:c>
      <x:c r="K389" s="75" t="n">
        <x:f>IF(Portfolio_Par&gt;0,J389/Portfolio_Par,"")</x:f>
        <x:v>0.003743</x:v>
      </x:c>
      <x:c r="L389" s="150" t="str">
        <x:v>SYN-OB-0103</x:v>
      </x:c>
    </x:row>
    <x:row r="390" ht="39" customHeight="1">
      <x:c r="A390" s="150"/>
      <x:c r="B390" s="150"/>
      <x:c r="C390" s="154" t="str">
        <x:v>alternative_industry</x:v>
      </x:c>
      <x:c r="D390" s="154" t="str">
        <x:v>BBB+ through CCC-</x:v>
      </x:c>
      <x:c r="E390" s="154" t="str">
        <x:v>Real Estate Management &amp; Development</x:v>
      </x:c>
      <x:c r="F390" s="150" t="n">
        <x:v>12</x:v>
      </x:c>
      <x:c r="G390" s="150" t="n">
        <x:v>1</x:v>
      </x:c>
      <x:c r="H390" s="178" t="n">
        <x:v>1182000</x:v>
      </x:c>
      <x:c r="I390" s="163" t="n">
        <x:v>0.05</x:v>
      </x:c>
      <x:c r="J390" s="80" t="n">
        <x:f>H390*(1-I390)</x:f>
        <x:v>1122900</x:v>
      </x:c>
      <x:c r="K390" s="75" t="n">
        <x:f>IF(Portfolio_Par&gt;0,J390/Portfolio_Par,"")</x:f>
        <x:v>0.003743</x:v>
      </x:c>
      <x:c r="L390" s="150" t="str">
        <x:v>SYN-OB-0103</x:v>
      </x:c>
    </x:row>
    <x:row r="391" ht="39" customHeight="1">
      <x:c r="A391" s="150"/>
      <x:c r="B391" s="150"/>
      <x:c r="C391" s="154" t="str">
        <x:v>alternative_industry</x:v>
      </x:c>
      <x:c r="D391" s="154" t="str">
        <x:v>BB+ through CCC-</x:v>
      </x:c>
      <x:c r="E391" s="154" t="str">
        <x:v>Real Estate Management &amp; Development</x:v>
      </x:c>
      <x:c r="F391" s="150" t="n">
        <x:v>16</x:v>
      </x:c>
      <x:c r="G391" s="150" t="n">
        <x:v>1</x:v>
      </x:c>
      <x:c r="H391" s="178" t="n">
        <x:v>1182000</x:v>
      </x:c>
      <x:c r="I391" s="163" t="n">
        <x:v>0.05</x:v>
      </x:c>
      <x:c r="J391" s="80" t="n">
        <x:f>H391*(1-I391)</x:f>
        <x:v>1122900</x:v>
      </x:c>
      <x:c r="K391" s="75" t="n">
        <x:f>IF(Portfolio_Par&gt;0,J391/Portfolio_Par,"")</x:f>
        <x:v>0.003743</x:v>
      </x:c>
      <x:c r="L391" s="150" t="str">
        <x:v>SYN-OB-0103</x:v>
      </x:c>
    </x:row>
    <x:row r="392" ht="39" customHeight="1">
      <x:c r="A392" s="150"/>
      <x:c r="B392" s="150"/>
      <x:c r="C392" s="154" t="str">
        <x:v>alternative_industry</x:v>
      </x:c>
      <x:c r="D392" s="154" t="str">
        <x:v>B+ through CCC-</x:v>
      </x:c>
      <x:c r="E392" s="154" t="str">
        <x:v>Real Estate Management &amp; Development</x:v>
      </x:c>
      <x:c r="F392" s="150" t="n">
        <x:v>20</x:v>
      </x:c>
      <x:c r="G392" s="150" t="n">
        <x:v>0</x:v>
      </x:c>
      <x:c r="H392" s="178" t="n">
        <x:v>0</x:v>
      </x:c>
      <x:c r="I392" s="163" t="n">
        <x:v>0.05</x:v>
      </x:c>
      <x:c r="J392" s="80" t="n">
        <x:f>H392*(1-I392)</x:f>
        <x:v>0</x:v>
      </x:c>
      <x:c r="K392" s="75" t="n">
        <x:f>IF(Portfolio_Par&gt;0,J392/Portfolio_Par,"")</x:f>
        <x:v>0</x:v>
      </x:c>
      <x:c r="L392" s="150" t="str"/>
    </x:row>
    <x:row r="393" ht="39" customHeight="1">
      <x:c r="A393" s="150"/>
      <x:c r="B393" s="150"/>
      <x:c r="C393" s="154" t="str">
        <x:v>alternative_industry</x:v>
      </x:c>
      <x:c r="D393" s="154" t="str">
        <x:v>CCC+ through CCC-</x:v>
      </x:c>
      <x:c r="E393" s="154" t="str">
        <x:v>Real Estate Management &amp; Development</x:v>
      </x:c>
      <x:c r="F393" s="150" t="n">
        <x:v>24</x:v>
      </x:c>
      <x:c r="G393" s="150" t="n">
        <x:v>0</x:v>
      </x:c>
      <x:c r="H393" s="178" t="n">
        <x:v>0</x:v>
      </x:c>
      <x:c r="I393" s="163" t="n">
        <x:v>0.05</x:v>
      </x:c>
      <x:c r="J393" s="80" t="n">
        <x:f>H393*(1-I393)</x:f>
        <x:v>0</x:v>
      </x:c>
      <x:c r="K393" s="75" t="n">
        <x:f>IF(Portfolio_Par&gt;0,J393/Portfolio_Par,"")</x:f>
        <x:v>0</x:v>
      </x:c>
      <x:c r="L393" s="150" t="str"/>
    </x:row>
    <x:row r="394" ht="39" customHeight="1">
      <x:c r="A394" s="150"/>
      <x:c r="B394" s="150"/>
      <x:c r="C394" s="154" t="str">
        <x:v>alternative_industry</x:v>
      </x:c>
      <x:c r="D394" s="154" t="str">
        <x:v>AAA through CCC-</x:v>
      </x:c>
      <x:c r="E394" s="154" t="str">
        <x:v>Semiconductors &amp; Semiconductor Equipment</x:v>
      </x:c>
      <x:c r="F394" s="150" t="n">
        <x:v>4</x:v>
      </x:c>
      <x:c r="G394" s="150" t="n">
        <x:v>3</x:v>
      </x:c>
      <x:c r="H394" s="178" t="n">
        <x:v>3546000</x:v>
      </x:c>
      <x:c r="I394" s="163" t="n">
        <x:v>0.05</x:v>
      </x:c>
      <x:c r="J394" s="80" t="n">
        <x:f>H394*(1-I394)</x:f>
        <x:v>3368700</x:v>
      </x:c>
      <x:c r="K394" s="75" t="n">
        <x:f>IF(Portfolio_Par&gt;0,J394/Portfolio_Par,"")</x:f>
        <x:v>0.011229</x:v>
      </x:c>
      <x:c r="L394" s="150" t="str">
        <x:v>SYN-OB-0029, SYN-OB-0032, SYN-OB-0042</x:v>
      </x:c>
    </x:row>
    <x:row r="395" ht="39" customHeight="1">
      <x:c r="A395" s="150"/>
      <x:c r="B395" s="150"/>
      <x:c r="C395" s="154" t="str">
        <x:v>alternative_industry</x:v>
      </x:c>
      <x:c r="D395" s="154" t="str">
        <x:v>AA+ through CCC-</x:v>
      </x:c>
      <x:c r="E395" s="154" t="str">
        <x:v>Semiconductors &amp; Semiconductor Equipment</x:v>
      </x:c>
      <x:c r="F395" s="150" t="n">
        <x:v>6</x:v>
      </x:c>
      <x:c r="G395" s="150" t="n">
        <x:v>3</x:v>
      </x:c>
      <x:c r="H395" s="178" t="n">
        <x:v>3546000</x:v>
      </x:c>
      <x:c r="I395" s="163" t="n">
        <x:v>0.05</x:v>
      </x:c>
      <x:c r="J395" s="80" t="n">
        <x:f>H395*(1-I395)</x:f>
        <x:v>3368700</x:v>
      </x:c>
      <x:c r="K395" s="75" t="n">
        <x:f>IF(Portfolio_Par&gt;0,J395/Portfolio_Par,"")</x:f>
        <x:v>0.011229</x:v>
      </x:c>
      <x:c r="L395" s="150" t="str">
        <x:v>SYN-OB-0029, SYN-OB-0032, SYN-OB-0042</x:v>
      </x:c>
    </x:row>
    <x:row r="396" ht="39" customHeight="1">
      <x:c r="A396" s="150"/>
      <x:c r="B396" s="150"/>
      <x:c r="C396" s="154" t="str">
        <x:v>alternative_industry</x:v>
      </x:c>
      <x:c r="D396" s="154" t="str">
        <x:v>A+ through CCC-</x:v>
      </x:c>
      <x:c r="E396" s="154" t="str">
        <x:v>Semiconductors &amp; Semiconductor Equipment</x:v>
      </x:c>
      <x:c r="F396" s="150" t="n">
        <x:v>8</x:v>
      </x:c>
      <x:c r="G396" s="150" t="n">
        <x:v>3</x:v>
      </x:c>
      <x:c r="H396" s="178" t="n">
        <x:v>3546000</x:v>
      </x:c>
      <x:c r="I396" s="163" t="n">
        <x:v>0.05</x:v>
      </x:c>
      <x:c r="J396" s="80" t="n">
        <x:f>H396*(1-I396)</x:f>
        <x:v>3368700</x:v>
      </x:c>
      <x:c r="K396" s="75" t="n">
        <x:f>IF(Portfolio_Par&gt;0,J396/Portfolio_Par,"")</x:f>
        <x:v>0.011229</x:v>
      </x:c>
      <x:c r="L396" s="150" t="str">
        <x:v>SYN-OB-0029, SYN-OB-0032, SYN-OB-0042</x:v>
      </x:c>
    </x:row>
    <x:row r="397" ht="39" customHeight="1">
      <x:c r="A397" s="150"/>
      <x:c r="B397" s="150"/>
      <x:c r="C397" s="154" t="str">
        <x:v>alternative_industry</x:v>
      </x:c>
      <x:c r="D397" s="154" t="str">
        <x:v>BBB+ through CCC-</x:v>
      </x:c>
      <x:c r="E397" s="154" t="str">
        <x:v>Semiconductors &amp; Semiconductor Equipment</x:v>
      </x:c>
      <x:c r="F397" s="150" t="n">
        <x:v>12</x:v>
      </x:c>
      <x:c r="G397" s="150" t="n">
        <x:v>3</x:v>
      </x:c>
      <x:c r="H397" s="178" t="n">
        <x:v>3546000</x:v>
      </x:c>
      <x:c r="I397" s="163" t="n">
        <x:v>0.05</x:v>
      </x:c>
      <x:c r="J397" s="80" t="n">
        <x:f>H397*(1-I397)</x:f>
        <x:v>3368700</x:v>
      </x:c>
      <x:c r="K397" s="75" t="n">
        <x:f>IF(Portfolio_Par&gt;0,J397/Portfolio_Par,"")</x:f>
        <x:v>0.011229</x:v>
      </x:c>
      <x:c r="L397" s="150" t="str">
        <x:v>SYN-OB-0029, SYN-OB-0032, SYN-OB-0042</x:v>
      </x:c>
    </x:row>
    <x:row r="398" ht="39" customHeight="1">
      <x:c r="A398" s="150"/>
      <x:c r="B398" s="150"/>
      <x:c r="C398" s="154" t="str">
        <x:v>alternative_industry</x:v>
      </x:c>
      <x:c r="D398" s="154" t="str">
        <x:v>BB+ through CCC-</x:v>
      </x:c>
      <x:c r="E398" s="154" t="str">
        <x:v>Semiconductors &amp; Semiconductor Equipment</x:v>
      </x:c>
      <x:c r="F398" s="150" t="n">
        <x:v>16</x:v>
      </x:c>
      <x:c r="G398" s="150" t="n">
        <x:v>3</x:v>
      </x:c>
      <x:c r="H398" s="178" t="n">
        <x:v>3546000</x:v>
      </x:c>
      <x:c r="I398" s="163" t="n">
        <x:v>0.05</x:v>
      </x:c>
      <x:c r="J398" s="80" t="n">
        <x:f>H398*(1-I398)</x:f>
        <x:v>3368700</x:v>
      </x:c>
      <x:c r="K398" s="75" t="n">
        <x:f>IF(Portfolio_Par&gt;0,J398/Portfolio_Par,"")</x:f>
        <x:v>0.011229</x:v>
      </x:c>
      <x:c r="L398" s="150" t="str">
        <x:v>SYN-OB-0029, SYN-OB-0032, SYN-OB-0042</x:v>
      </x:c>
    </x:row>
    <x:row r="399" ht="39" customHeight="1">
      <x:c r="A399" s="150"/>
      <x:c r="B399" s="150"/>
      <x:c r="C399" s="154" t="str">
        <x:v>alternative_industry</x:v>
      </x:c>
      <x:c r="D399" s="154" t="str">
        <x:v>B+ through CCC-</x:v>
      </x:c>
      <x:c r="E399" s="154" t="str">
        <x:v>Semiconductors &amp; Semiconductor Equipment</x:v>
      </x:c>
      <x:c r="F399" s="150" t="n">
        <x:v>20</x:v>
      </x:c>
      <x:c r="G399" s="150" t="n">
        <x:v>3</x:v>
      </x:c>
      <x:c r="H399" s="178" t="n">
        <x:v>3546000</x:v>
      </x:c>
      <x:c r="I399" s="163" t="n">
        <x:v>0.05</x:v>
      </x:c>
      <x:c r="J399" s="80" t="n">
        <x:f>H399*(1-I399)</x:f>
        <x:v>3368700</x:v>
      </x:c>
      <x:c r="K399" s="75" t="n">
        <x:f>IF(Portfolio_Par&gt;0,J399/Portfolio_Par,"")</x:f>
        <x:v>0.011229</x:v>
      </x:c>
      <x:c r="L399" s="150" t="str">
        <x:v>SYN-OB-0029, SYN-OB-0032, SYN-OB-0042</x:v>
      </x:c>
    </x:row>
    <x:row r="400" ht="39" customHeight="1">
      <x:c r="A400" s="150"/>
      <x:c r="B400" s="150"/>
      <x:c r="C400" s="154" t="str">
        <x:v>alternative_industry</x:v>
      </x:c>
      <x:c r="D400" s="154" t="str">
        <x:v>CCC+ through CCC-</x:v>
      </x:c>
      <x:c r="E400" s="154" t="str">
        <x:v>Semiconductors &amp; Semiconductor Equipment</x:v>
      </x:c>
      <x:c r="F400" s="150" t="n">
        <x:v>24</x:v>
      </x:c>
      <x:c r="G400" s="150" t="n">
        <x:v>0</x:v>
      </x:c>
      <x:c r="H400" s="178" t="n">
        <x:v>0</x:v>
      </x:c>
      <x:c r="I400" s="163" t="n">
        <x:v>0.05</x:v>
      </x:c>
      <x:c r="J400" s="80" t="n">
        <x:f>H400*(1-I400)</x:f>
        <x:v>0</x:v>
      </x:c>
      <x:c r="K400" s="75" t="n">
        <x:f>IF(Portfolio_Par&gt;0,J400/Portfolio_Par,"")</x:f>
        <x:v>0</x:v>
      </x:c>
      <x:c r="L400" s="150" t="str"/>
    </x:row>
    <x:row r="401" ht="39" customHeight="1">
      <x:c r="A401" s="150"/>
      <x:c r="B401" s="150"/>
      <x:c r="C401" s="154" t="str">
        <x:v>alternative_industry</x:v>
      </x:c>
      <x:c r="D401" s="154" t="str">
        <x:v>AAA through CCC-</x:v>
      </x:c>
      <x:c r="E401" s="154" t="str">
        <x:v>Software</x:v>
      </x:c>
      <x:c r="F401" s="150" t="n">
        <x:v>4</x:v>
      </x:c>
      <x:c r="G401" s="150" t="n">
        <x:v>4</x:v>
      </x:c>
      <x:c r="H401" s="178" t="n">
        <x:v>4809000</x:v>
      </x:c>
      <x:c r="I401" s="163" t="n">
        <x:v>0.05</x:v>
      </x:c>
      <x:c r="J401" s="80" t="n">
        <x:f>H401*(1-I401)</x:f>
        <x:v>4568550</x:v>
      </x:c>
      <x:c r="K401" s="75" t="n">
        <x:f>IF(Portfolio_Par&gt;0,J401/Portfolio_Par,"")</x:f>
        <x:v>0.0152285</x:v>
      </x:c>
      <x:c r="L401" s="150" t="str">
        <x:v>SYN-OB-0160, SYN-OB-0166, SYN-OB-0134, SYN-OB-0146</x:v>
      </x:c>
    </x:row>
    <x:row r="402" ht="39" customHeight="1">
      <x:c r="A402" s="150"/>
      <x:c r="B402" s="150"/>
      <x:c r="C402" s="154" t="str">
        <x:v>alternative_industry</x:v>
      </x:c>
      <x:c r="D402" s="154" t="str">
        <x:v>AA+ through CCC-</x:v>
      </x:c>
      <x:c r="E402" s="154" t="str">
        <x:v>Software</x:v>
      </x:c>
      <x:c r="F402" s="150" t="n">
        <x:v>6</x:v>
      </x:c>
      <x:c r="G402" s="150" t="n">
        <x:v>6</x:v>
      </x:c>
      <x:c r="H402" s="178" t="n">
        <x:v>7173000</x:v>
      </x:c>
      <x:c r="I402" s="163" t="n">
        <x:v>0.05</x:v>
      </x:c>
      <x:c r="J402" s="80" t="n">
        <x:f>H402*(1-I402)</x:f>
        <x:v>6814350</x:v>
      </x:c>
      <x:c r="K402" s="75" t="n">
        <x:f>IF(Portfolio_Par&gt;0,J402/Portfolio_Par,"")</x:f>
        <x:v>0.0227145</x:v>
      </x:c>
      <x:c r="L402" s="150" t="str">
        <x:v>SYN-OB-0160, SYN-OB-0166, SYN-OB-0134, SYN-OB-0146, SYN-OB-0052, SYN-OB-0063</x:v>
      </x:c>
    </x:row>
    <x:row r="403" ht="39" customHeight="1">
      <x:c r="A403" s="150"/>
      <x:c r="B403" s="150"/>
      <x:c r="C403" s="154" t="str">
        <x:v>alternative_industry</x:v>
      </x:c>
      <x:c r="D403" s="154" t="str">
        <x:v>A+ through CCC-</x:v>
      </x:c>
      <x:c r="E403" s="154" t="str">
        <x:v>Software</x:v>
      </x:c>
      <x:c r="F403" s="150" t="n">
        <x:v>8</x:v>
      </x:c>
      <x:c r="G403" s="150" t="n">
        <x:v>8</x:v>
      </x:c>
      <x:c r="H403" s="178" t="n">
        <x:v>9537000</x:v>
      </x:c>
      <x:c r="I403" s="163" t="n">
        <x:v>0.05</x:v>
      </x:c>
      <x:c r="J403" s="80" t="n">
        <x:f>H403*(1-I403)</x:f>
        <x:v>9060150</x:v>
      </x:c>
      <x:c r="K403" s="75" t="n">
        <x:f>IF(Portfolio_Par&gt;0,J403/Portfolio_Par,"")</x:f>
        <x:v>0.0302005</x:v>
      </x:c>
      <x:c r="L403" s="150" t="str">
        <x:v>SYN-OB-0160, SYN-OB-0166, SYN-OB-0134, SYN-OB-0146, SYN-OB-0052, SYN-OB-0063, SYN-OB-0121, SYN-OB-0193</x:v>
      </x:c>
    </x:row>
    <x:row r="404" ht="39" customHeight="1">
      <x:c r="A404" s="150"/>
      <x:c r="B404" s="150"/>
      <x:c r="C404" s="154" t="str">
        <x:v>alternative_industry</x:v>
      </x:c>
      <x:c r="D404" s="154" t="str">
        <x:v>BBB+ through CCC-</x:v>
      </x:c>
      <x:c r="E404" s="154" t="str">
        <x:v>Software</x:v>
      </x:c>
      <x:c r="F404" s="150" t="n">
        <x:v>12</x:v>
      </x:c>
      <x:c r="G404" s="150" t="n">
        <x:v>12</x:v>
      </x:c>
      <x:c r="H404" s="178" t="n">
        <x:v>14265000</x:v>
      </x:c>
      <x:c r="I404" s="163" t="n">
        <x:v>0.05</x:v>
      </x:c>
      <x:c r="J404" s="80" t="n">
        <x:f>H404*(1-I404)</x:f>
        <x:v>13551750</x:v>
      </x:c>
      <x:c r="K404" s="75" t="n">
        <x:f>IF(Portfolio_Par&gt;0,J404/Portfolio_Par,"")</x:f>
        <x:v>0.0451725</x:v>
      </x:c>
      <x:c r="L404" s="150" t="str">
        <x:v>SYN-OB-0160, SYN-OB-0166, SYN-OB-0134, SYN-OB-0146, SYN-OB-0052, SYN-OB-0063, SYN-OB-0121, SYN-OB-0193, SYN-OB-0212, SYN-OB-0235, SYN-OB-0239, SYN-OB-0240</x:v>
      </x:c>
    </x:row>
    <x:row r="405" ht="39" customHeight="1">
      <x:c r="A405" s="150"/>
      <x:c r="B405" s="150"/>
      <x:c r="C405" s="154" t="str">
        <x:v>alternative_industry</x:v>
      </x:c>
      <x:c r="D405" s="154" t="str">
        <x:v>BB+ through CCC-</x:v>
      </x:c>
      <x:c r="E405" s="154" t="str">
        <x:v>Software</x:v>
      </x:c>
      <x:c r="F405" s="150" t="n">
        <x:v>16</x:v>
      </x:c>
      <x:c r="G405" s="150" t="n">
        <x:v>15</x:v>
      </x:c>
      <x:c r="H405" s="178" t="n">
        <x:v>17259000</x:v>
      </x:c>
      <x:c r="I405" s="163" t="n">
        <x:v>0.05</x:v>
      </x:c>
      <x:c r="J405" s="80" t="n">
        <x:f>H405*(1-I405)</x:f>
        <x:v>16396050</x:v>
      </x:c>
      <x:c r="K405" s="75" t="n">
        <x:f>IF(Portfolio_Par&gt;0,J405/Portfolio_Par,"")</x:f>
        <x:v>0.0546535</x:v>
      </x:c>
      <x:c r="L405" s="150" t="str">
        <x:v>SYN-OB-0160, SYN-OB-0166, SYN-OB-0134, SYN-OB-0146, SYN-OB-0052, SYN-OB-0063, SYN-OB-0121, SYN-OB-0193, SYN-OB-0212, SYN-OB-0235, SYN-OB-0239, SYN-OB-0240, SYN-OB-0241, SYN-OB-0254, SYN-OB-0104</x:v>
      </x:c>
    </x:row>
    <x:row r="406" ht="39" customHeight="1">
      <x:c r="A406" s="150"/>
      <x:c r="B406" s="150"/>
      <x:c r="C406" s="154" t="str">
        <x:v>alternative_industry</x:v>
      </x:c>
      <x:c r="D406" s="154" t="str">
        <x:v>B+ through CCC-</x:v>
      </x:c>
      <x:c r="E406" s="154" t="str">
        <x:v>Software</x:v>
      </x:c>
      <x:c r="F406" s="150" t="n">
        <x:v>20</x:v>
      </x:c>
      <x:c r="G406" s="150" t="n">
        <x:v>15</x:v>
      </x:c>
      <x:c r="H406" s="178" t="n">
        <x:v>17259000</x:v>
      </x:c>
      <x:c r="I406" s="163" t="n">
        <x:v>0.05</x:v>
      </x:c>
      <x:c r="J406" s="80" t="n">
        <x:f>H406*(1-I406)</x:f>
        <x:v>16396050</x:v>
      </x:c>
      <x:c r="K406" s="75" t="n">
        <x:f>IF(Portfolio_Par&gt;0,J406/Portfolio_Par,"")</x:f>
        <x:v>0.0546535</x:v>
      </x:c>
      <x:c r="L406" s="150" t="str">
        <x:v>SYN-OB-0160, SYN-OB-0166, SYN-OB-0134, SYN-OB-0146, SYN-OB-0052, SYN-OB-0063, SYN-OB-0121, SYN-OB-0193, SYN-OB-0212, SYN-OB-0235, SYN-OB-0239, SYN-OB-0240, SYN-OB-0241, SYN-OB-0254, SYN-OB-0104</x:v>
      </x:c>
    </x:row>
    <x:row r="407" ht="39" customHeight="1">
      <x:c r="A407" s="150"/>
      <x:c r="B407" s="150"/>
      <x:c r="C407" s="154" t="str">
        <x:v>alternative_industry</x:v>
      </x:c>
      <x:c r="D407" s="154" t="str">
        <x:v>CCC+ through CCC-</x:v>
      </x:c>
      <x:c r="E407" s="154" t="str">
        <x:v>Software</x:v>
      </x:c>
      <x:c r="F407" s="150" t="n">
        <x:v>24</x:v>
      </x:c>
      <x:c r="G407" s="150" t="n">
        <x:v>0</x:v>
      </x:c>
      <x:c r="H407" s="178" t="n">
        <x:v>0</x:v>
      </x:c>
      <x:c r="I407" s="163" t="n">
        <x:v>0.05</x:v>
      </x:c>
      <x:c r="J407" s="80" t="n">
        <x:f>H407*(1-I407)</x:f>
        <x:v>0</x:v>
      </x:c>
      <x:c r="K407" s="75" t="n">
        <x:f>IF(Portfolio_Par&gt;0,J407/Portfolio_Par,"")</x:f>
        <x:v>0</x:v>
      </x:c>
      <x:c r="L407" s="150" t="str"/>
    </x:row>
    <x:row r="408" ht="39" customHeight="1">
      <x:c r="A408" s="150"/>
      <x:c r="B408" s="150"/>
      <x:c r="C408" s="154" t="str">
        <x:v>alternative_industry</x:v>
      </x:c>
      <x:c r="D408" s="154" t="str">
        <x:v>AAA through CCC-</x:v>
      </x:c>
      <x:c r="E408" s="154" t="str">
        <x:v>Specialty Retail</x:v>
      </x:c>
      <x:c r="F408" s="150" t="n">
        <x:v>4</x:v>
      </x:c>
      <x:c r="G408" s="150" t="n">
        <x:v>3</x:v>
      </x:c>
      <x:c r="H408" s="178" t="n">
        <x:v>2994000</x:v>
      </x:c>
      <x:c r="I408" s="163" t="n">
        <x:v>0.05</x:v>
      </x:c>
      <x:c r="J408" s="80" t="n">
        <x:f>H408*(1-I408)</x:f>
        <x:v>2844300</x:v>
      </x:c>
      <x:c r="K408" s="75" t="n">
        <x:f>IF(Portfolio_Par&gt;0,J408/Portfolio_Par,"")</x:f>
        <x:v>0.009481</x:v>
      </x:c>
      <x:c r="L408" s="150" t="str">
        <x:v>SYN-OB-0071, SYN-OB-0083, SYN-OB-0139</x:v>
      </x:c>
    </x:row>
    <x:row r="409" ht="39" customHeight="1">
      <x:c r="A409" s="150"/>
      <x:c r="B409" s="150"/>
      <x:c r="C409" s="154" t="str">
        <x:v>alternative_industry</x:v>
      </x:c>
      <x:c r="D409" s="154" t="str">
        <x:v>AA+ through CCC-</x:v>
      </x:c>
      <x:c r="E409" s="154" t="str">
        <x:v>Specialty Retail</x:v>
      </x:c>
      <x:c r="F409" s="150" t="n">
        <x:v>6</x:v>
      </x:c>
      <x:c r="G409" s="150" t="n">
        <x:v>3</x:v>
      </x:c>
      <x:c r="H409" s="178" t="n">
        <x:v>2994000</x:v>
      </x:c>
      <x:c r="I409" s="163" t="n">
        <x:v>0.05</x:v>
      </x:c>
      <x:c r="J409" s="80" t="n">
        <x:f>H409*(1-I409)</x:f>
        <x:v>2844300</x:v>
      </x:c>
      <x:c r="K409" s="75" t="n">
        <x:f>IF(Portfolio_Par&gt;0,J409/Portfolio_Par,"")</x:f>
        <x:v>0.009481</x:v>
      </x:c>
      <x:c r="L409" s="150" t="str">
        <x:v>SYN-OB-0071, SYN-OB-0083, SYN-OB-0139</x:v>
      </x:c>
    </x:row>
    <x:row r="410" ht="39" customHeight="1">
      <x:c r="A410" s="150"/>
      <x:c r="B410" s="150"/>
      <x:c r="C410" s="154" t="str">
        <x:v>alternative_industry</x:v>
      </x:c>
      <x:c r="D410" s="154" t="str">
        <x:v>A+ through CCC-</x:v>
      </x:c>
      <x:c r="E410" s="154" t="str">
        <x:v>Specialty Retail</x:v>
      </x:c>
      <x:c r="F410" s="150" t="n">
        <x:v>8</x:v>
      </x:c>
      <x:c r="G410" s="150" t="n">
        <x:v>3</x:v>
      </x:c>
      <x:c r="H410" s="178" t="n">
        <x:v>2994000</x:v>
      </x:c>
      <x:c r="I410" s="163" t="n">
        <x:v>0.05</x:v>
      </x:c>
      <x:c r="J410" s="80" t="n">
        <x:f>H410*(1-I410)</x:f>
        <x:v>2844300</x:v>
      </x:c>
      <x:c r="K410" s="75" t="n">
        <x:f>IF(Portfolio_Par&gt;0,J410/Portfolio_Par,"")</x:f>
        <x:v>0.009481</x:v>
      </x:c>
      <x:c r="L410" s="150" t="str">
        <x:v>SYN-OB-0071, SYN-OB-0083, SYN-OB-0139</x:v>
      </x:c>
    </x:row>
    <x:row r="411" ht="39" customHeight="1">
      <x:c r="A411" s="150"/>
      <x:c r="B411" s="150"/>
      <x:c r="C411" s="154" t="str">
        <x:v>alternative_industry</x:v>
      </x:c>
      <x:c r="D411" s="154" t="str">
        <x:v>BBB+ through CCC-</x:v>
      </x:c>
      <x:c r="E411" s="154" t="str">
        <x:v>Specialty Retail</x:v>
      </x:c>
      <x:c r="F411" s="150" t="n">
        <x:v>12</x:v>
      </x:c>
      <x:c r="G411" s="150" t="n">
        <x:v>3</x:v>
      </x:c>
      <x:c r="H411" s="178" t="n">
        <x:v>2994000</x:v>
      </x:c>
      <x:c r="I411" s="163" t="n">
        <x:v>0.05</x:v>
      </x:c>
      <x:c r="J411" s="80" t="n">
        <x:f>H411*(1-I411)</x:f>
        <x:v>2844300</x:v>
      </x:c>
      <x:c r="K411" s="75" t="n">
        <x:f>IF(Portfolio_Par&gt;0,J411/Portfolio_Par,"")</x:f>
        <x:v>0.009481</x:v>
      </x:c>
      <x:c r="L411" s="150" t="str">
        <x:v>SYN-OB-0071, SYN-OB-0083, SYN-OB-0139</x:v>
      </x:c>
    </x:row>
    <x:row r="412" ht="39" customHeight="1">
      <x:c r="A412" s="150"/>
      <x:c r="B412" s="150"/>
      <x:c r="C412" s="154" t="str">
        <x:v>alternative_industry</x:v>
      </x:c>
      <x:c r="D412" s="154" t="str">
        <x:v>BB+ through CCC-</x:v>
      </x:c>
      <x:c r="E412" s="154" t="str">
        <x:v>Specialty Retail</x:v>
      </x:c>
      <x:c r="F412" s="150" t="n">
        <x:v>16</x:v>
      </x:c>
      <x:c r="G412" s="150" t="n">
        <x:v>3</x:v>
      </x:c>
      <x:c r="H412" s="178" t="n">
        <x:v>2994000</x:v>
      </x:c>
      <x:c r="I412" s="163" t="n">
        <x:v>0.05</x:v>
      </x:c>
      <x:c r="J412" s="80" t="n">
        <x:f>H412*(1-I412)</x:f>
        <x:v>2844300</x:v>
      </x:c>
      <x:c r="K412" s="75" t="n">
        <x:f>IF(Portfolio_Par&gt;0,J412/Portfolio_Par,"")</x:f>
        <x:v>0.009481</x:v>
      </x:c>
      <x:c r="L412" s="150" t="str">
        <x:v>SYN-OB-0071, SYN-OB-0083, SYN-OB-0139</x:v>
      </x:c>
    </x:row>
    <x:row r="413" ht="39" customHeight="1">
      <x:c r="A413" s="150"/>
      <x:c r="B413" s="150"/>
      <x:c r="C413" s="154" t="str">
        <x:v>alternative_industry</x:v>
      </x:c>
      <x:c r="D413" s="154" t="str">
        <x:v>B+ through CCC-</x:v>
      </x:c>
      <x:c r="E413" s="154" t="str">
        <x:v>Specialty Retail</x:v>
      </x:c>
      <x:c r="F413" s="150" t="n">
        <x:v>20</x:v>
      </x:c>
      <x:c r="G413" s="150" t="n">
        <x:v>1</x:v>
      </x:c>
      <x:c r="H413" s="178" t="n">
        <x:v>1182000</x:v>
      </x:c>
      <x:c r="I413" s="163" t="n">
        <x:v>0.05</x:v>
      </x:c>
      <x:c r="J413" s="80" t="n">
        <x:f>H413*(1-I413)</x:f>
        <x:v>1122900</x:v>
      </x:c>
      <x:c r="K413" s="75" t="n">
        <x:f>IF(Portfolio_Par&gt;0,J413/Portfolio_Par,"")</x:f>
        <x:v>0.003743</x:v>
      </x:c>
      <x:c r="L413" s="150" t="str">
        <x:v>SYN-OB-0071</x:v>
      </x:c>
    </x:row>
    <x:row r="414" ht="39" customHeight="1">
      <x:c r="A414" s="150"/>
      <x:c r="B414" s="150"/>
      <x:c r="C414" s="154" t="str">
        <x:v>alternative_industry</x:v>
      </x:c>
      <x:c r="D414" s="154" t="str">
        <x:v>CCC+ through CCC-</x:v>
      </x:c>
      <x:c r="E414" s="154" t="str">
        <x:v>Specialty Retail</x:v>
      </x:c>
      <x:c r="F414" s="150" t="n">
        <x:v>24</x:v>
      </x:c>
      <x:c r="G414" s="150" t="n">
        <x:v>0</x:v>
      </x:c>
      <x:c r="H414" s="178" t="n">
        <x:v>0</x:v>
      </x:c>
      <x:c r="I414" s="163" t="n">
        <x:v>0.05</x:v>
      </x:c>
      <x:c r="J414" s="80" t="n">
        <x:f>H414*(1-I414)</x:f>
        <x:v>0</x:v>
      </x:c>
      <x:c r="K414" s="75" t="n">
        <x:f>IF(Portfolio_Par&gt;0,J414/Portfolio_Par,"")</x:f>
        <x:v>0</x:v>
      </x:c>
      <x:c r="L414" s="150" t="str"/>
    </x:row>
    <x:row r="415" ht="39" customHeight="1">
      <x:c r="A415" s="150"/>
      <x:c r="B415" s="150"/>
      <x:c r="C415" s="154" t="str">
        <x:v>alternative_industry</x:v>
      </x:c>
      <x:c r="D415" s="154" t="str">
        <x:v>AAA through CCC-</x:v>
      </x:c>
      <x:c r="E415" s="154" t="str">
        <x:v>Technology Hardware, Storage &amp; Peripherals</x:v>
      </x:c>
      <x:c r="F415" s="150" t="n">
        <x:v>4</x:v>
      </x:c>
      <x:c r="G415" s="150" t="n">
        <x:v>3</x:v>
      </x:c>
      <x:c r="H415" s="178" t="n">
        <x:v>3546000</x:v>
      </x:c>
      <x:c r="I415" s="163" t="n">
        <x:v>0.05</x:v>
      </x:c>
      <x:c r="J415" s="80" t="n">
        <x:f>H415*(1-I415)</x:f>
        <x:v>3368700</x:v>
      </x:c>
      <x:c r="K415" s="75" t="n">
        <x:f>IF(Portfolio_Par&gt;0,J415/Portfolio_Par,"")</x:f>
        <x:v>0.011229</x:v>
      </x:c>
      <x:c r="L415" s="150" t="str">
        <x:v>SYN-OB-0167, SYN-OB-0191, SYN-OB-0196</x:v>
      </x:c>
    </x:row>
    <x:row r="416" ht="39" customHeight="1">
      <x:c r="A416" s="150"/>
      <x:c r="B416" s="150"/>
      <x:c r="C416" s="154" t="str">
        <x:v>alternative_industry</x:v>
      </x:c>
      <x:c r="D416" s="154" t="str">
        <x:v>AA+ through CCC-</x:v>
      </x:c>
      <x:c r="E416" s="154" t="str">
        <x:v>Technology Hardware, Storage &amp; Peripherals</x:v>
      </x:c>
      <x:c r="F416" s="150" t="n">
        <x:v>6</x:v>
      </x:c>
      <x:c r="G416" s="150" t="n">
        <x:v>3</x:v>
      </x:c>
      <x:c r="H416" s="178" t="n">
        <x:v>3546000</x:v>
      </x:c>
      <x:c r="I416" s="163" t="n">
        <x:v>0.05</x:v>
      </x:c>
      <x:c r="J416" s="80" t="n">
        <x:f>H416*(1-I416)</x:f>
        <x:v>3368700</x:v>
      </x:c>
      <x:c r="K416" s="75" t="n">
        <x:f>IF(Portfolio_Par&gt;0,J416/Portfolio_Par,"")</x:f>
        <x:v>0.011229</x:v>
      </x:c>
      <x:c r="L416" s="150" t="str">
        <x:v>SYN-OB-0167, SYN-OB-0191, SYN-OB-0196</x:v>
      </x:c>
    </x:row>
    <x:row r="417" ht="39" customHeight="1">
      <x:c r="A417" s="150"/>
      <x:c r="B417" s="150"/>
      <x:c r="C417" s="154" t="str">
        <x:v>alternative_industry</x:v>
      </x:c>
      <x:c r="D417" s="154" t="str">
        <x:v>A+ through CCC-</x:v>
      </x:c>
      <x:c r="E417" s="154" t="str">
        <x:v>Technology Hardware, Storage &amp; Peripherals</x:v>
      </x:c>
      <x:c r="F417" s="150" t="n">
        <x:v>8</x:v>
      </x:c>
      <x:c r="G417" s="150" t="n">
        <x:v>3</x:v>
      </x:c>
      <x:c r="H417" s="178" t="n">
        <x:v>3546000</x:v>
      </x:c>
      <x:c r="I417" s="163" t="n">
        <x:v>0.05</x:v>
      </x:c>
      <x:c r="J417" s="80" t="n">
        <x:f>H417*(1-I417)</x:f>
        <x:v>3368700</x:v>
      </x:c>
      <x:c r="K417" s="75" t="n">
        <x:f>IF(Portfolio_Par&gt;0,J417/Portfolio_Par,"")</x:f>
        <x:v>0.011229</x:v>
      </x:c>
      <x:c r="L417" s="150" t="str">
        <x:v>SYN-OB-0167, SYN-OB-0191, SYN-OB-0196</x:v>
      </x:c>
    </x:row>
    <x:row r="418" ht="39" customHeight="1">
      <x:c r="A418" s="150"/>
      <x:c r="B418" s="150"/>
      <x:c r="C418" s="154" t="str">
        <x:v>alternative_industry</x:v>
      </x:c>
      <x:c r="D418" s="154" t="str">
        <x:v>BBB+ through CCC-</x:v>
      </x:c>
      <x:c r="E418" s="154" t="str">
        <x:v>Technology Hardware, Storage &amp; Peripherals</x:v>
      </x:c>
      <x:c r="F418" s="150" t="n">
        <x:v>12</x:v>
      </x:c>
      <x:c r="G418" s="150" t="n">
        <x:v>3</x:v>
      </x:c>
      <x:c r="H418" s="178" t="n">
        <x:v>3546000</x:v>
      </x:c>
      <x:c r="I418" s="163" t="n">
        <x:v>0.05</x:v>
      </x:c>
      <x:c r="J418" s="80" t="n">
        <x:f>H418*(1-I418)</x:f>
        <x:v>3368700</x:v>
      </x:c>
      <x:c r="K418" s="75" t="n">
        <x:f>IF(Portfolio_Par&gt;0,J418/Portfolio_Par,"")</x:f>
        <x:v>0.011229</x:v>
      </x:c>
      <x:c r="L418" s="150" t="str">
        <x:v>SYN-OB-0167, SYN-OB-0191, SYN-OB-0196</x:v>
      </x:c>
    </x:row>
    <x:row r="419" ht="39" customHeight="1">
      <x:c r="A419" s="150"/>
      <x:c r="B419" s="150"/>
      <x:c r="C419" s="154" t="str">
        <x:v>alternative_industry</x:v>
      </x:c>
      <x:c r="D419" s="154" t="str">
        <x:v>BB+ through CCC-</x:v>
      </x:c>
      <x:c r="E419" s="154" t="str">
        <x:v>Technology Hardware, Storage &amp; Peripherals</x:v>
      </x:c>
      <x:c r="F419" s="150" t="n">
        <x:v>16</x:v>
      </x:c>
      <x:c r="G419" s="150" t="n">
        <x:v>3</x:v>
      </x:c>
      <x:c r="H419" s="178" t="n">
        <x:v>3546000</x:v>
      </x:c>
      <x:c r="I419" s="163" t="n">
        <x:v>0.05</x:v>
      </x:c>
      <x:c r="J419" s="80" t="n">
        <x:f>H419*(1-I419)</x:f>
        <x:v>3368700</x:v>
      </x:c>
      <x:c r="K419" s="75" t="n">
        <x:f>IF(Portfolio_Par&gt;0,J419/Portfolio_Par,"")</x:f>
        <x:v>0.011229</x:v>
      </x:c>
      <x:c r="L419" s="150" t="str">
        <x:v>SYN-OB-0167, SYN-OB-0191, SYN-OB-0196</x:v>
      </x:c>
    </x:row>
    <x:row r="420" ht="39" customHeight="1">
      <x:c r="A420" s="150"/>
      <x:c r="B420" s="150"/>
      <x:c r="C420" s="154" t="str">
        <x:v>alternative_industry</x:v>
      </x:c>
      <x:c r="D420" s="154" t="str">
        <x:v>B+ through CCC-</x:v>
      </x:c>
      <x:c r="E420" s="154" t="str">
        <x:v>Technology Hardware, Storage &amp; Peripherals</x:v>
      </x:c>
      <x:c r="F420" s="150" t="n">
        <x:v>20</x:v>
      </x:c>
      <x:c r="G420" s="150" t="n">
        <x:v>3</x:v>
      </x:c>
      <x:c r="H420" s="178" t="n">
        <x:v>3546000</x:v>
      </x:c>
      <x:c r="I420" s="163" t="n">
        <x:v>0.05</x:v>
      </x:c>
      <x:c r="J420" s="80" t="n">
        <x:f>H420*(1-I420)</x:f>
        <x:v>3368700</x:v>
      </x:c>
      <x:c r="K420" s="75" t="n">
        <x:f>IF(Portfolio_Par&gt;0,J420/Portfolio_Par,"")</x:f>
        <x:v>0.011229</x:v>
      </x:c>
      <x:c r="L420" s="150" t="str">
        <x:v>SYN-OB-0167, SYN-OB-0191, SYN-OB-0196</x:v>
      </x:c>
    </x:row>
    <x:row r="421" ht="39" customHeight="1">
      <x:c r="A421" s="150"/>
      <x:c r="B421" s="150"/>
      <x:c r="C421" s="154" t="str">
        <x:v>alternative_industry</x:v>
      </x:c>
      <x:c r="D421" s="154" t="str">
        <x:v>CCC+ through CCC-</x:v>
      </x:c>
      <x:c r="E421" s="154" t="str">
        <x:v>Technology Hardware, Storage &amp; Peripherals</x:v>
      </x:c>
      <x:c r="F421" s="150" t="n">
        <x:v>24</x:v>
      </x:c>
      <x:c r="G421" s="150" t="n">
        <x:v>0</x:v>
      </x:c>
      <x:c r="H421" s="178" t="n">
        <x:v>0</x:v>
      </x:c>
      <x:c r="I421" s="163" t="n">
        <x:v>0.05</x:v>
      </x:c>
      <x:c r="J421" s="80" t="n">
        <x:f>H421*(1-I421)</x:f>
        <x:v>0</x:v>
      </x:c>
      <x:c r="K421" s="75" t="n">
        <x:f>IF(Portfolio_Par&gt;0,J421/Portfolio_Par,"")</x:f>
        <x:v>0</x:v>
      </x:c>
      <x:c r="L421" s="150" t="str"/>
    </x:row>
    <x:row r="422" ht="39" customHeight="1">
      <x:c r="A422" s="150"/>
      <x:c r="B422" s="150"/>
      <x:c r="C422" s="154" t="str">
        <x:v>alternative_industry</x:v>
      </x:c>
      <x:c r="D422" s="154" t="str">
        <x:v>AAA through CCC-</x:v>
      </x:c>
      <x:c r="E422" s="154" t="str">
        <x:v>Textiles, Apparel &amp; Luxury Goods</x:v>
      </x:c>
      <x:c r="F422" s="150" t="n">
        <x:v>4</x:v>
      </x:c>
      <x:c r="G422" s="150" t="n">
        <x:v>2</x:v>
      </x:c>
      <x:c r="H422" s="178" t="n">
        <x:v>1812000</x:v>
      </x:c>
      <x:c r="I422" s="163" t="n">
        <x:v>0.05</x:v>
      </x:c>
      <x:c r="J422" s="80" t="n">
        <x:f>H422*(1-I422)</x:f>
        <x:v>1721400</x:v>
      </x:c>
      <x:c r="K422" s="75" t="n">
        <x:f>IF(Portfolio_Par&gt;0,J422/Portfolio_Par,"")</x:f>
        <x:v>0.005738</x:v>
      </x:c>
      <x:c r="L422" s="150" t="str">
        <x:v>SYN-OB-0093, SYN-OB-0205</x:v>
      </x:c>
    </x:row>
    <x:row r="423" ht="39" customHeight="1">
      <x:c r="A423" s="150"/>
      <x:c r="B423" s="150"/>
      <x:c r="C423" s="154" t="str">
        <x:v>alternative_industry</x:v>
      </x:c>
      <x:c r="D423" s="154" t="str">
        <x:v>AA+ through CCC-</x:v>
      </x:c>
      <x:c r="E423" s="154" t="str">
        <x:v>Textiles, Apparel &amp; Luxury Goods</x:v>
      </x:c>
      <x:c r="F423" s="150" t="n">
        <x:v>6</x:v>
      </x:c>
      <x:c r="G423" s="150" t="n">
        <x:v>2</x:v>
      </x:c>
      <x:c r="H423" s="178" t="n">
        <x:v>1812000</x:v>
      </x:c>
      <x:c r="I423" s="163" t="n">
        <x:v>0.05</x:v>
      </x:c>
      <x:c r="J423" s="80" t="n">
        <x:f>H423*(1-I423)</x:f>
        <x:v>1721400</x:v>
      </x:c>
      <x:c r="K423" s="75" t="n">
        <x:f>IF(Portfolio_Par&gt;0,J423/Portfolio_Par,"")</x:f>
        <x:v>0.005738</x:v>
      </x:c>
      <x:c r="L423" s="150" t="str">
        <x:v>SYN-OB-0093, SYN-OB-0205</x:v>
      </x:c>
    </x:row>
    <x:row r="424" ht="39" customHeight="1">
      <x:c r="A424" s="150"/>
      <x:c r="B424" s="150"/>
      <x:c r="C424" s="154" t="str">
        <x:v>alternative_industry</x:v>
      </x:c>
      <x:c r="D424" s="154" t="str">
        <x:v>A+ through CCC-</x:v>
      </x:c>
      <x:c r="E424" s="154" t="str">
        <x:v>Textiles, Apparel &amp; Luxury Goods</x:v>
      </x:c>
      <x:c r="F424" s="150" t="n">
        <x:v>8</x:v>
      </x:c>
      <x:c r="G424" s="150" t="n">
        <x:v>2</x:v>
      </x:c>
      <x:c r="H424" s="178" t="n">
        <x:v>1812000</x:v>
      </x:c>
      <x:c r="I424" s="163" t="n">
        <x:v>0.05</x:v>
      </x:c>
      <x:c r="J424" s="80" t="n">
        <x:f>H424*(1-I424)</x:f>
        <x:v>1721400</x:v>
      </x:c>
      <x:c r="K424" s="75" t="n">
        <x:f>IF(Portfolio_Par&gt;0,J424/Portfolio_Par,"")</x:f>
        <x:v>0.005738</x:v>
      </x:c>
      <x:c r="L424" s="150" t="str">
        <x:v>SYN-OB-0093, SYN-OB-0205</x:v>
      </x:c>
    </x:row>
    <x:row r="425" ht="39" customHeight="1">
      <x:c r="A425" s="150"/>
      <x:c r="B425" s="150"/>
      <x:c r="C425" s="154" t="str">
        <x:v>alternative_industry</x:v>
      </x:c>
      <x:c r="D425" s="154" t="str">
        <x:v>BBB+ through CCC-</x:v>
      </x:c>
      <x:c r="E425" s="154" t="str">
        <x:v>Textiles, Apparel &amp; Luxury Goods</x:v>
      </x:c>
      <x:c r="F425" s="150" t="n">
        <x:v>12</x:v>
      </x:c>
      <x:c r="G425" s="150" t="n">
        <x:v>2</x:v>
      </x:c>
      <x:c r="H425" s="178" t="n">
        <x:v>1812000</x:v>
      </x:c>
      <x:c r="I425" s="163" t="n">
        <x:v>0.05</x:v>
      </x:c>
      <x:c r="J425" s="80" t="n">
        <x:f>H425*(1-I425)</x:f>
        <x:v>1721400</x:v>
      </x:c>
      <x:c r="K425" s="75" t="n">
        <x:f>IF(Portfolio_Par&gt;0,J425/Portfolio_Par,"")</x:f>
        <x:v>0.005738</x:v>
      </x:c>
      <x:c r="L425" s="150" t="str">
        <x:v>SYN-OB-0093, SYN-OB-0205</x:v>
      </x:c>
    </x:row>
    <x:row r="426" ht="39" customHeight="1">
      <x:c r="A426" s="150"/>
      <x:c r="B426" s="150"/>
      <x:c r="C426" s="154" t="str">
        <x:v>alternative_industry</x:v>
      </x:c>
      <x:c r="D426" s="154" t="str">
        <x:v>BB+ through CCC-</x:v>
      </x:c>
      <x:c r="E426" s="154" t="str">
        <x:v>Textiles, Apparel &amp; Luxury Goods</x:v>
      </x:c>
      <x:c r="F426" s="150" t="n">
        <x:v>16</x:v>
      </x:c>
      <x:c r="G426" s="150" t="n">
        <x:v>2</x:v>
      </x:c>
      <x:c r="H426" s="178" t="n">
        <x:v>1812000</x:v>
      </x:c>
      <x:c r="I426" s="163" t="n">
        <x:v>0.05</x:v>
      </x:c>
      <x:c r="J426" s="80" t="n">
        <x:f>H426*(1-I426)</x:f>
        <x:v>1721400</x:v>
      </x:c>
      <x:c r="K426" s="75" t="n">
        <x:f>IF(Portfolio_Par&gt;0,J426/Portfolio_Par,"")</x:f>
        <x:v>0.005738</x:v>
      </x:c>
      <x:c r="L426" s="150" t="str">
        <x:v>SYN-OB-0093, SYN-OB-0205</x:v>
      </x:c>
    </x:row>
    <x:row r="427" ht="39" customHeight="1">
      <x:c r="A427" s="150"/>
      <x:c r="B427" s="150"/>
      <x:c r="C427" s="154" t="str">
        <x:v>alternative_industry</x:v>
      </x:c>
      <x:c r="D427" s="154" t="str">
        <x:v>B+ through CCC-</x:v>
      </x:c>
      <x:c r="E427" s="154" t="str">
        <x:v>Textiles, Apparel &amp; Luxury Goods</x:v>
      </x:c>
      <x:c r="F427" s="150" t="n">
        <x:v>20</x:v>
      </x:c>
      <x:c r="G427" s="150" t="n">
        <x:v>2</x:v>
      </x:c>
      <x:c r="H427" s="178" t="n">
        <x:v>1812000</x:v>
      </x:c>
      <x:c r="I427" s="163" t="n">
        <x:v>0.05</x:v>
      </x:c>
      <x:c r="J427" s="80" t="n">
        <x:f>H427*(1-I427)</x:f>
        <x:v>1721400</x:v>
      </x:c>
      <x:c r="K427" s="75" t="n">
        <x:f>IF(Portfolio_Par&gt;0,J427/Portfolio_Par,"")</x:f>
        <x:v>0.005738</x:v>
      </x:c>
      <x:c r="L427" s="150" t="str">
        <x:v>SYN-OB-0093, SYN-OB-0205</x:v>
      </x:c>
    </x:row>
    <x:row r="428" ht="39" customHeight="1">
      <x:c r="A428" s="150"/>
      <x:c r="B428" s="150"/>
      <x:c r="C428" s="154" t="str">
        <x:v>alternative_industry</x:v>
      </x:c>
      <x:c r="D428" s="154" t="str">
        <x:v>CCC+ through CCC-</x:v>
      </x:c>
      <x:c r="E428" s="154" t="str">
        <x:v>Textiles, Apparel &amp; Luxury Goods</x:v>
      </x:c>
      <x:c r="F428" s="150" t="n">
        <x:v>24</x:v>
      </x:c>
      <x:c r="G428" s="150" t="n">
        <x:v>0</x:v>
      </x:c>
      <x:c r="H428" s="178" t="n">
        <x:v>0</x:v>
      </x:c>
      <x:c r="I428" s="163" t="n">
        <x:v>0.05</x:v>
      </x:c>
      <x:c r="J428" s="80" t="n">
        <x:f>H428*(1-I428)</x:f>
        <x:v>0</x:v>
      </x:c>
      <x:c r="K428" s="75" t="n">
        <x:f>IF(Portfolio_Par&gt;0,J428/Portfolio_Par,"")</x:f>
        <x:v>0</x:v>
      </x:c>
      <x:c r="L428" s="150" t="str"/>
    </x:row>
    <x:row r="429" ht="39" customHeight="1">
      <x:c r="A429" s="150"/>
      <x:c r="B429" s="150"/>
      <x:c r="C429" s="154" t="str">
        <x:v>alternative_industry</x:v>
      </x:c>
      <x:c r="D429" s="154" t="str">
        <x:v>AAA through CCC-</x:v>
      </x:c>
      <x:c r="E429" s="154" t="str">
        <x:v>Trading Companies &amp; Distributors</x:v>
      </x:c>
      <x:c r="F429" s="150" t="n">
        <x:v>4</x:v>
      </x:c>
      <x:c r="G429" s="150" t="n">
        <x:v>1</x:v>
      </x:c>
      <x:c r="H429" s="178" t="n">
        <x:v>1182000</x:v>
      </x:c>
      <x:c r="I429" s="163" t="n">
        <x:v>0.05</x:v>
      </x:c>
      <x:c r="J429" s="80" t="n">
        <x:f>H429*(1-I429)</x:f>
        <x:v>1122900</x:v>
      </x:c>
      <x:c r="K429" s="75" t="n">
        <x:f>IF(Portfolio_Par&gt;0,J429/Portfolio_Par,"")</x:f>
        <x:v>0.003743</x:v>
      </x:c>
      <x:c r="L429" s="150" t="str">
        <x:v>SYN-OB-0246</x:v>
      </x:c>
    </x:row>
    <x:row r="430" ht="39" customHeight="1">
      <x:c r="A430" s="150"/>
      <x:c r="B430" s="150"/>
      <x:c r="C430" s="154" t="str">
        <x:v>alternative_industry</x:v>
      </x:c>
      <x:c r="D430" s="154" t="str">
        <x:v>AA+ through CCC-</x:v>
      </x:c>
      <x:c r="E430" s="154" t="str">
        <x:v>Trading Companies &amp; Distributors</x:v>
      </x:c>
      <x:c r="F430" s="150" t="n">
        <x:v>6</x:v>
      </x:c>
      <x:c r="G430" s="150" t="n">
        <x:v>1</x:v>
      </x:c>
      <x:c r="H430" s="178" t="n">
        <x:v>1182000</x:v>
      </x:c>
      <x:c r="I430" s="163" t="n">
        <x:v>0.05</x:v>
      </x:c>
      <x:c r="J430" s="80" t="n">
        <x:f>H430*(1-I430)</x:f>
        <x:v>1122900</x:v>
      </x:c>
      <x:c r="K430" s="75" t="n">
        <x:f>IF(Portfolio_Par&gt;0,J430/Portfolio_Par,"")</x:f>
        <x:v>0.003743</x:v>
      </x:c>
      <x:c r="L430" s="150" t="str">
        <x:v>SYN-OB-0246</x:v>
      </x:c>
    </x:row>
    <x:row r="431" ht="39" customHeight="1">
      <x:c r="A431" s="150"/>
      <x:c r="B431" s="150"/>
      <x:c r="C431" s="154" t="str">
        <x:v>alternative_industry</x:v>
      </x:c>
      <x:c r="D431" s="154" t="str">
        <x:v>A+ through CCC-</x:v>
      </x:c>
      <x:c r="E431" s="154" t="str">
        <x:v>Trading Companies &amp; Distributors</x:v>
      </x:c>
      <x:c r="F431" s="150" t="n">
        <x:v>8</x:v>
      </x:c>
      <x:c r="G431" s="150" t="n">
        <x:v>1</x:v>
      </x:c>
      <x:c r="H431" s="178" t="n">
        <x:v>1182000</x:v>
      </x:c>
      <x:c r="I431" s="163" t="n">
        <x:v>0.05</x:v>
      </x:c>
      <x:c r="J431" s="80" t="n">
        <x:f>H431*(1-I431)</x:f>
        <x:v>1122900</x:v>
      </x:c>
      <x:c r="K431" s="75" t="n">
        <x:f>IF(Portfolio_Par&gt;0,J431/Portfolio_Par,"")</x:f>
        <x:v>0.003743</x:v>
      </x:c>
      <x:c r="L431" s="150" t="str">
        <x:v>SYN-OB-0246</x:v>
      </x:c>
    </x:row>
    <x:row r="432" ht="39" customHeight="1">
      <x:c r="A432" s="150"/>
      <x:c r="B432" s="150"/>
      <x:c r="C432" s="154" t="str">
        <x:v>alternative_industry</x:v>
      </x:c>
      <x:c r="D432" s="154" t="str">
        <x:v>BBB+ through CCC-</x:v>
      </x:c>
      <x:c r="E432" s="154" t="str">
        <x:v>Trading Companies &amp; Distributors</x:v>
      </x:c>
      <x:c r="F432" s="150" t="n">
        <x:v>12</x:v>
      </x:c>
      <x:c r="G432" s="150" t="n">
        <x:v>1</x:v>
      </x:c>
      <x:c r="H432" s="178" t="n">
        <x:v>1182000</x:v>
      </x:c>
      <x:c r="I432" s="163" t="n">
        <x:v>0.05</x:v>
      </x:c>
      <x:c r="J432" s="80" t="n">
        <x:f>H432*(1-I432)</x:f>
        <x:v>1122900</x:v>
      </x:c>
      <x:c r="K432" s="75" t="n">
        <x:f>IF(Portfolio_Par&gt;0,J432/Portfolio_Par,"")</x:f>
        <x:v>0.003743</x:v>
      </x:c>
      <x:c r="L432" s="150" t="str">
        <x:v>SYN-OB-0246</x:v>
      </x:c>
    </x:row>
    <x:row r="433" ht="39" customHeight="1">
      <x:c r="A433" s="150"/>
      <x:c r="B433" s="150"/>
      <x:c r="C433" s="154" t="str">
        <x:v>alternative_industry</x:v>
      </x:c>
      <x:c r="D433" s="154" t="str">
        <x:v>BB+ through CCC-</x:v>
      </x:c>
      <x:c r="E433" s="154" t="str">
        <x:v>Trading Companies &amp; Distributors</x:v>
      </x:c>
      <x:c r="F433" s="150" t="n">
        <x:v>16</x:v>
      </x:c>
      <x:c r="G433" s="150" t="n">
        <x:v>1</x:v>
      </x:c>
      <x:c r="H433" s="178" t="n">
        <x:v>1182000</x:v>
      </x:c>
      <x:c r="I433" s="163" t="n">
        <x:v>0.05</x:v>
      </x:c>
      <x:c r="J433" s="80" t="n">
        <x:f>H433*(1-I433)</x:f>
        <x:v>1122900</x:v>
      </x:c>
      <x:c r="K433" s="75" t="n">
        <x:f>IF(Portfolio_Par&gt;0,J433/Portfolio_Par,"")</x:f>
        <x:v>0.003743</x:v>
      </x:c>
      <x:c r="L433" s="150" t="str">
        <x:v>SYN-OB-0246</x:v>
      </x:c>
    </x:row>
    <x:row r="434" ht="39" customHeight="1">
      <x:c r="A434" s="150"/>
      <x:c r="B434" s="150"/>
      <x:c r="C434" s="154" t="str">
        <x:v>alternative_industry</x:v>
      </x:c>
      <x:c r="D434" s="154" t="str">
        <x:v>B+ through CCC-</x:v>
      </x:c>
      <x:c r="E434" s="154" t="str">
        <x:v>Trading Companies &amp; Distributors</x:v>
      </x:c>
      <x:c r="F434" s="150" t="n">
        <x:v>20</x:v>
      </x:c>
      <x:c r="G434" s="150" t="n">
        <x:v>0</x:v>
      </x:c>
      <x:c r="H434" s="178" t="n">
        <x:v>0</x:v>
      </x:c>
      <x:c r="I434" s="163" t="n">
        <x:v>0.05</x:v>
      </x:c>
      <x:c r="J434" s="80" t="n">
        <x:f>H434*(1-I434)</x:f>
        <x:v>0</x:v>
      </x:c>
      <x:c r="K434" s="75" t="n">
        <x:f>IF(Portfolio_Par&gt;0,J434/Portfolio_Par,"")</x:f>
        <x:v>0</x:v>
      </x:c>
      <x:c r="L434" s="150" t="str"/>
    </x:row>
    <x:row r="435" ht="39" customHeight="1">
      <x:c r="A435" s="150"/>
      <x:c r="B435" s="150"/>
      <x:c r="C435" s="154" t="str">
        <x:v>alternative_industry</x:v>
      </x:c>
      <x:c r="D435" s="154" t="str">
        <x:v>CCC+ through CCC-</x:v>
      </x:c>
      <x:c r="E435" s="154" t="str">
        <x:v>Trading Companies &amp; Distributors</x:v>
      </x:c>
      <x:c r="F435" s="150" t="n">
        <x:v>24</x:v>
      </x:c>
      <x:c r="G435" s="150" t="n">
        <x:v>0</x:v>
      </x:c>
      <x:c r="H435" s="178" t="n">
        <x:v>0</x:v>
      </x:c>
      <x:c r="I435" s="163" t="n">
        <x:v>0.05</x:v>
      </x:c>
      <x:c r="J435" s="80" t="n">
        <x:f>H435*(1-I435)</x:f>
        <x:v>0</x:v>
      </x:c>
      <x:c r="K435" s="75" t="n">
        <x:f>IF(Portfolio_Par&gt;0,J435/Portfolio_Par,"")</x:f>
        <x:v>0</x:v>
      </x:c>
      <x:c r="L435" s="150" t="str"/>
    </x:row>
    <x:row r="436" ht="39" customHeight="1">
      <x:c r="A436" s="150"/>
      <x:c r="B436" s="150"/>
      <x:c r="C436" s="154" t="str">
        <x:v>alternative_industry</x:v>
      </x:c>
      <x:c r="D436" s="154" t="str">
        <x:v>AAA through CCC-</x:v>
      </x:c>
      <x:c r="E436" s="154" t="str">
        <x:v>Transportation Infrastructure</x:v>
      </x:c>
      <x:c r="F436" s="150" t="n">
        <x:v>4</x:v>
      </x:c>
      <x:c r="G436" s="150" t="n">
        <x:v>4</x:v>
      </x:c>
      <x:c r="H436" s="178" t="n">
        <x:v>4728000</x:v>
      </x:c>
      <x:c r="I436" s="163" t="n">
        <x:v>0.05</x:v>
      </x:c>
      <x:c r="J436" s="80" t="n">
        <x:f>H436*(1-I436)</x:f>
        <x:v>4491600</x:v>
      </x:c>
      <x:c r="K436" s="75" t="n">
        <x:f>IF(Portfolio_Par&gt;0,J436/Portfolio_Par,"")</x:f>
        <x:v>0.014972</x:v>
      </x:c>
      <x:c r="L436" s="150" t="str">
        <x:v>SYN-OB-0017, SYN-OB-0059, SYN-OB-0152, SYN-OB-0164</x:v>
      </x:c>
    </x:row>
    <x:row r="437" ht="39" customHeight="1">
      <x:c r="A437" s="150"/>
      <x:c r="B437" s="150"/>
      <x:c r="C437" s="154" t="str">
        <x:v>alternative_industry</x:v>
      </x:c>
      <x:c r="D437" s="154" t="str">
        <x:v>AA+ through CCC-</x:v>
      </x:c>
      <x:c r="E437" s="154" t="str">
        <x:v>Transportation Infrastructure</x:v>
      </x:c>
      <x:c r="F437" s="150" t="n">
        <x:v>6</x:v>
      </x:c>
      <x:c r="G437" s="150" t="n">
        <x:v>6</x:v>
      </x:c>
      <x:c r="H437" s="178" t="n">
        <x:v>7092000</x:v>
      </x:c>
      <x:c r="I437" s="163" t="n">
        <x:v>0.05</x:v>
      </x:c>
      <x:c r="J437" s="80" t="n">
        <x:f>H437*(1-I437)</x:f>
        <x:v>6737400</x:v>
      </x:c>
      <x:c r="K437" s="75" t="n">
        <x:f>IF(Portfolio_Par&gt;0,J437/Portfolio_Par,"")</x:f>
        <x:v>0.022458</x:v>
      </x:c>
      <x:c r="L437" s="150" t="str">
        <x:v>SYN-OB-0017, SYN-OB-0059, SYN-OB-0152, SYN-OB-0164, SYN-OB-0221, SYN-OB-0236</x:v>
      </x:c>
    </x:row>
    <x:row r="438" ht="39" customHeight="1">
      <x:c r="A438" s="150"/>
      <x:c r="B438" s="150"/>
      <x:c r="C438" s="154" t="str">
        <x:v>alternative_industry</x:v>
      </x:c>
      <x:c r="D438" s="154" t="str">
        <x:v>A+ through CCC-</x:v>
      </x:c>
      <x:c r="E438" s="154" t="str">
        <x:v>Transportation Infrastructure</x:v>
      </x:c>
      <x:c r="F438" s="150" t="n">
        <x:v>8</x:v>
      </x:c>
      <x:c r="G438" s="150" t="n">
        <x:v>6</x:v>
      </x:c>
      <x:c r="H438" s="178" t="n">
        <x:v>7092000</x:v>
      </x:c>
      <x:c r="I438" s="163" t="n">
        <x:v>0.05</x:v>
      </x:c>
      <x:c r="J438" s="80" t="n">
        <x:f>H438*(1-I438)</x:f>
        <x:v>6737400</x:v>
      </x:c>
      <x:c r="K438" s="75" t="n">
        <x:f>IF(Portfolio_Par&gt;0,J438/Portfolio_Par,"")</x:f>
        <x:v>0.022458</x:v>
      </x:c>
      <x:c r="L438" s="150" t="str">
        <x:v>SYN-OB-0017, SYN-OB-0059, SYN-OB-0152, SYN-OB-0164, SYN-OB-0221, SYN-OB-0236</x:v>
      </x:c>
    </x:row>
    <x:row r="439" ht="39" customHeight="1">
      <x:c r="A439" s="150"/>
      <x:c r="B439" s="150"/>
      <x:c r="C439" s="154" t="str">
        <x:v>alternative_industry</x:v>
      </x:c>
      <x:c r="D439" s="154" t="str">
        <x:v>BBB+ through CCC-</x:v>
      </x:c>
      <x:c r="E439" s="154" t="str">
        <x:v>Transportation Infrastructure</x:v>
      </x:c>
      <x:c r="F439" s="150" t="n">
        <x:v>12</x:v>
      </x:c>
      <x:c r="G439" s="150" t="n">
        <x:v>6</x:v>
      </x:c>
      <x:c r="H439" s="178" t="n">
        <x:v>7092000</x:v>
      </x:c>
      <x:c r="I439" s="163" t="n">
        <x:v>0.05</x:v>
      </x:c>
      <x:c r="J439" s="80" t="n">
        <x:f>H439*(1-I439)</x:f>
        <x:v>6737400</x:v>
      </x:c>
      <x:c r="K439" s="75" t="n">
        <x:f>IF(Portfolio_Par&gt;0,J439/Portfolio_Par,"")</x:f>
        <x:v>0.022458</x:v>
      </x:c>
      <x:c r="L439" s="150" t="str">
        <x:v>SYN-OB-0017, SYN-OB-0059, SYN-OB-0152, SYN-OB-0164, SYN-OB-0221, SYN-OB-0236</x:v>
      </x:c>
    </x:row>
    <x:row r="440" ht="39" customHeight="1">
      <x:c r="A440" s="150"/>
      <x:c r="B440" s="150"/>
      <x:c r="C440" s="154" t="str">
        <x:v>alternative_industry</x:v>
      </x:c>
      <x:c r="D440" s="154" t="str">
        <x:v>BB+ through CCC-</x:v>
      </x:c>
      <x:c r="E440" s="154" t="str">
        <x:v>Transportation Infrastructure</x:v>
      </x:c>
      <x:c r="F440" s="150" t="n">
        <x:v>16</x:v>
      </x:c>
      <x:c r="G440" s="150" t="n">
        <x:v>6</x:v>
      </x:c>
      <x:c r="H440" s="178" t="n">
        <x:v>7092000</x:v>
      </x:c>
      <x:c r="I440" s="163" t="n">
        <x:v>0.05</x:v>
      </x:c>
      <x:c r="J440" s="80" t="n">
        <x:f>H440*(1-I440)</x:f>
        <x:v>6737400</x:v>
      </x:c>
      <x:c r="K440" s="75" t="n">
        <x:f>IF(Portfolio_Par&gt;0,J440/Portfolio_Par,"")</x:f>
        <x:v>0.022458</x:v>
      </x:c>
      <x:c r="L440" s="150" t="str">
        <x:v>SYN-OB-0017, SYN-OB-0059, SYN-OB-0152, SYN-OB-0164, SYN-OB-0221, SYN-OB-0236</x:v>
      </x:c>
    </x:row>
    <x:row r="441" ht="39" customHeight="1">
      <x:c r="A441" s="150"/>
      <x:c r="B441" s="150"/>
      <x:c r="C441" s="154" t="str">
        <x:v>alternative_industry</x:v>
      </x:c>
      <x:c r="D441" s="154" t="str">
        <x:v>B+ through CCC-</x:v>
      </x:c>
      <x:c r="E441" s="154" t="str">
        <x:v>Transportation Infrastructure</x:v>
      </x:c>
      <x:c r="F441" s="150" t="n">
        <x:v>20</x:v>
      </x:c>
      <x:c r="G441" s="150" t="n">
        <x:v>4</x:v>
      </x:c>
      <x:c r="H441" s="178" t="n">
        <x:v>4728000</x:v>
      </x:c>
      <x:c r="I441" s="163" t="n">
        <x:v>0.05</x:v>
      </x:c>
      <x:c r="J441" s="80" t="n">
        <x:f>H441*(1-I441)</x:f>
        <x:v>4491600</x:v>
      </x:c>
      <x:c r="K441" s="75" t="n">
        <x:f>IF(Portfolio_Par&gt;0,J441/Portfolio_Par,"")</x:f>
        <x:v>0.014972</x:v>
      </x:c>
      <x:c r="L441" s="150" t="str">
        <x:v>SYN-OB-0017, SYN-OB-0059, SYN-OB-0164, SYN-OB-0221</x:v>
      </x:c>
    </x:row>
    <x:row r="442" ht="39" customHeight="1">
      <x:c r="A442" s="150"/>
      <x:c r="B442" s="150"/>
      <x:c r="C442" s="154" t="str">
        <x:v>alternative_industry</x:v>
      </x:c>
      <x:c r="D442" s="154" t="str">
        <x:v>CCC+ through CCC-</x:v>
      </x:c>
      <x:c r="E442" s="154" t="str">
        <x:v>Transportation Infrastructure</x:v>
      </x:c>
      <x:c r="F442" s="150" t="n">
        <x:v>24</x:v>
      </x:c>
      <x:c r="G442" s="150" t="n">
        <x:v>0</x:v>
      </x:c>
      <x:c r="H442" s="178" t="n">
        <x:v>0</x:v>
      </x:c>
      <x:c r="I442" s="163" t="n">
        <x:v>0.05</x:v>
      </x:c>
      <x:c r="J442" s="80" t="n">
        <x:f>H442*(1-I442)</x:f>
        <x:v>0</x:v>
      </x:c>
      <x:c r="K442" s="75" t="n">
        <x:f>IF(Portfolio_Par&gt;0,J442/Portfolio_Par,"")</x:f>
        <x:v>0</x:v>
      </x:c>
      <x:c r="L442" s="150" t="str"/>
    </x:row>
    <x:row r="443" ht="39" customHeight="1">
      <x:c r="A443" s="150"/>
      <x:c r="B443" s="150"/>
      <x:c r="C443" s="154" t="str">
        <x:v>alternative_industry</x:v>
      </x:c>
      <x:c r="D443" s="154" t="str">
        <x:v>AAA through CCC-</x:v>
      </x:c>
      <x:c r="E443" s="154" t="str">
        <x:v>Wireless Telecommunication Services</x:v>
      </x:c>
      <x:c r="F443" s="150" t="n">
        <x:v>4</x:v>
      </x:c>
      <x:c r="G443" s="150" t="n">
        <x:v>1</x:v>
      </x:c>
      <x:c r="H443" s="178" t="n">
        <x:v>630000</x:v>
      </x:c>
      <x:c r="I443" s="163" t="n">
        <x:v>0.05</x:v>
      </x:c>
      <x:c r="J443" s="80" t="n">
        <x:f>H443*(1-I443)</x:f>
        <x:v>598500</x:v>
      </x:c>
      <x:c r="K443" s="75" t="n">
        <x:f>IF(Portfolio_Par&gt;0,J443/Portfolio_Par,"")</x:f>
        <x:v>0.001995</x:v>
      </x:c>
      <x:c r="L443" s="150" t="str">
        <x:v>SYN-OB-0108</x:v>
      </x:c>
    </x:row>
    <x:row r="444" ht="39" customHeight="1">
      <x:c r="A444" s="150"/>
      <x:c r="B444" s="150"/>
      <x:c r="C444" s="154" t="str">
        <x:v>alternative_industry</x:v>
      </x:c>
      <x:c r="D444" s="154" t="str">
        <x:v>AA+ through CCC-</x:v>
      </x:c>
      <x:c r="E444" s="154" t="str">
        <x:v>Wireless Telecommunication Services</x:v>
      </x:c>
      <x:c r="F444" s="150" t="n">
        <x:v>6</x:v>
      </x:c>
      <x:c r="G444" s="150" t="n">
        <x:v>1</x:v>
      </x:c>
      <x:c r="H444" s="178" t="n">
        <x:v>630000</x:v>
      </x:c>
      <x:c r="I444" s="163" t="n">
        <x:v>0.05</x:v>
      </x:c>
      <x:c r="J444" s="80" t="n">
        <x:f>H444*(1-I444)</x:f>
        <x:v>598500</x:v>
      </x:c>
      <x:c r="K444" s="75" t="n">
        <x:f>IF(Portfolio_Par&gt;0,J444/Portfolio_Par,"")</x:f>
        <x:v>0.001995</x:v>
      </x:c>
      <x:c r="L444" s="150" t="str">
        <x:v>SYN-OB-0108</x:v>
      </x:c>
    </x:row>
    <x:row r="445" ht="39" customHeight="1">
      <x:c r="A445" s="150"/>
      <x:c r="B445" s="150"/>
      <x:c r="C445" s="154" t="str">
        <x:v>alternative_industry</x:v>
      </x:c>
      <x:c r="D445" s="154" t="str">
        <x:v>A+ through CCC-</x:v>
      </x:c>
      <x:c r="E445" s="154" t="str">
        <x:v>Wireless Telecommunication Services</x:v>
      </x:c>
      <x:c r="F445" s="150" t="n">
        <x:v>8</x:v>
      </x:c>
      <x:c r="G445" s="150" t="n">
        <x:v>1</x:v>
      </x:c>
      <x:c r="H445" s="178" t="n">
        <x:v>630000</x:v>
      </x:c>
      <x:c r="I445" s="163" t="n">
        <x:v>0.05</x:v>
      </x:c>
      <x:c r="J445" s="80" t="n">
        <x:f>H445*(1-I445)</x:f>
        <x:v>598500</x:v>
      </x:c>
      <x:c r="K445" s="75" t="n">
        <x:f>IF(Portfolio_Par&gt;0,J445/Portfolio_Par,"")</x:f>
        <x:v>0.001995</x:v>
      </x:c>
      <x:c r="L445" s="150" t="str">
        <x:v>SYN-OB-0108</x:v>
      </x:c>
    </x:row>
    <x:row r="446" ht="39" customHeight="1">
      <x:c r="A446" s="150"/>
      <x:c r="B446" s="150"/>
      <x:c r="C446" s="154" t="str">
        <x:v>alternative_industry</x:v>
      </x:c>
      <x:c r="D446" s="154" t="str">
        <x:v>BBB+ through CCC-</x:v>
      </x:c>
      <x:c r="E446" s="154" t="str">
        <x:v>Wireless Telecommunication Services</x:v>
      </x:c>
      <x:c r="F446" s="150" t="n">
        <x:v>12</x:v>
      </x:c>
      <x:c r="G446" s="150" t="n">
        <x:v>1</x:v>
      </x:c>
      <x:c r="H446" s="178" t="n">
        <x:v>630000</x:v>
      </x:c>
      <x:c r="I446" s="163" t="n">
        <x:v>0.05</x:v>
      </x:c>
      <x:c r="J446" s="80" t="n">
        <x:f>H446*(1-I446)</x:f>
        <x:v>598500</x:v>
      </x:c>
      <x:c r="K446" s="75" t="n">
        <x:f>IF(Portfolio_Par&gt;0,J446/Portfolio_Par,"")</x:f>
        <x:v>0.001995</x:v>
      </x:c>
      <x:c r="L446" s="150" t="str">
        <x:v>SYN-OB-0108</x:v>
      </x:c>
    </x:row>
    <x:row r="447" ht="39" customHeight="1">
      <x:c r="A447" s="150"/>
      <x:c r="B447" s="150"/>
      <x:c r="C447" s="154" t="str">
        <x:v>alternative_industry</x:v>
      </x:c>
      <x:c r="D447" s="154" t="str">
        <x:v>BB+ through CCC-</x:v>
      </x:c>
      <x:c r="E447" s="154" t="str">
        <x:v>Wireless Telecommunication Services</x:v>
      </x:c>
      <x:c r="F447" s="150" t="n">
        <x:v>16</x:v>
      </x:c>
      <x:c r="G447" s="150" t="n">
        <x:v>1</x:v>
      </x:c>
      <x:c r="H447" s="178" t="n">
        <x:v>630000</x:v>
      </x:c>
      <x:c r="I447" s="163" t="n">
        <x:v>0.05</x:v>
      </x:c>
      <x:c r="J447" s="80" t="n">
        <x:f>H447*(1-I447)</x:f>
        <x:v>598500</x:v>
      </x:c>
      <x:c r="K447" s="75" t="n">
        <x:f>IF(Portfolio_Par&gt;0,J447/Portfolio_Par,"")</x:f>
        <x:v>0.001995</x:v>
      </x:c>
      <x:c r="L447" s="150" t="str">
        <x:v>SYN-OB-0108</x:v>
      </x:c>
    </x:row>
    <x:row r="448" ht="39" customHeight="1">
      <x:c r="A448" s="150"/>
      <x:c r="B448" s="150"/>
      <x:c r="C448" s="154" t="str">
        <x:v>alternative_industry</x:v>
      </x:c>
      <x:c r="D448" s="154" t="str">
        <x:v>B+ through CCC-</x:v>
      </x:c>
      <x:c r="E448" s="154" t="str">
        <x:v>Wireless Telecommunication Services</x:v>
      </x:c>
      <x:c r="F448" s="150" t="n">
        <x:v>20</x:v>
      </x:c>
      <x:c r="G448" s="150" t="n">
        <x:v>1</x:v>
      </x:c>
      <x:c r="H448" s="178" t="n">
        <x:v>630000</x:v>
      </x:c>
      <x:c r="I448" s="163" t="n">
        <x:v>0.05</x:v>
      </x:c>
      <x:c r="J448" s="80" t="n">
        <x:f>H448*(1-I448)</x:f>
        <x:v>598500</x:v>
      </x:c>
      <x:c r="K448" s="75" t="n">
        <x:f>IF(Portfolio_Par&gt;0,J448/Portfolio_Par,"")</x:f>
        <x:v>0.001995</x:v>
      </x:c>
      <x:c r="L448" s="150" t="str">
        <x:v>SYN-OB-0108</x:v>
      </x:c>
    </x:row>
    <x:row r="449" ht="39" customHeight="1">
      <x:c r="A449" s="150"/>
      <x:c r="B449" s="150"/>
      <x:c r="C449" s="154" t="str">
        <x:v>alternative_industry</x:v>
      </x:c>
      <x:c r="D449" s="154" t="str">
        <x:v>CCC+ through CCC-</x:v>
      </x:c>
      <x:c r="E449" s="154" t="str">
        <x:v>Wireless Telecommunication Services</x:v>
      </x:c>
      <x:c r="F449" s="150" t="n">
        <x:v>24</x:v>
      </x:c>
      <x:c r="G449" s="150" t="n">
        <x:v>0</x:v>
      </x:c>
      <x:c r="H449" s="178" t="n">
        <x:v>0</x:v>
      </x:c>
      <x:c r="I449" s="163" t="n">
        <x:v>0.05</x:v>
      </x:c>
      <x:c r="J449" s="80" t="n">
        <x:f>H449*(1-I449)</x:f>
        <x:v>0</x:v>
      </x:c>
      <x:c r="K449" s="75" t="n">
        <x:f>IF(Portfolio_Par&gt;0,J449/Portfolio_Par,"")</x:f>
        <x:v>0</x:v>
      </x:c>
      <x:c r="L449" s="150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8859A3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9" hidden="0" customWidth="1"/>
    <x:col min="5" max="5" width="27" hidden="0" customWidth="1"/>
    <x:col min="6" max="6" width="20" hidden="0" customWidth="1"/>
    <x:col min="7" max="7" width="34" hidden="0" customWidth="1"/>
    <x:col min="8" max="8" width="98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</x:cols>
  <x:sheetData>
    <x:row r="1">
      <x:c r="A1" s="115" t="str">
        <x:v>Fitch source / assumptions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50"/>
      <x:c r="M1" s="150"/>
      <x:c r="N1" s="150"/>
      <x:c r="O1" s="150"/>
      <x:c r="P1" s="150"/>
      <x:c r="Q1" s="150"/>
      <x:c r="R1" s="150"/>
      <x:c r="S1" s="150"/>
      <x:c r="T1" s="150"/>
      <x:c r="U1" s="150"/>
      <x:c r="V1" s="150"/>
      <x:c r="W1" s="150"/>
      <x:c r="X1" s="150"/>
    </x:row>
    <x:row r="2">
      <x:c r="A2" s="64" t="str">
        <x:v>Fitch Facility Inputs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  <x:c r="O2" s="150"/>
      <x:c r="P2" s="150"/>
      <x:c r="Q2" s="150"/>
      <x:c r="R2" s="150"/>
      <x:c r="S2" s="150"/>
      <x:c r="T2" s="150"/>
      <x:c r="U2" s="150"/>
      <x:c r="V2" s="150"/>
      <x:c r="W2" s="150"/>
      <x:c r="X2" s="150"/>
    </x:row>
    <x:row r="3">
      <x:c r="A3" s="150" t="str">
        <x:v>CSV source fields: edit the Fitch CSV and rerun with --fitch-inputs. Excel changes here are not imported by --assumptions-from.</x:v>
      </x:c>
      <x:c r="B3" s="150"/>
      <x:c r="C3" s="150"/>
      <x:c r="D3" s="150"/>
      <x:c r="E3" s="150"/>
      <x:c r="F3" s="150"/>
      <x:c r="G3" s="150"/>
      <x:c r="H3" s="150"/>
      <x:c r="I3" s="150"/>
      <x:c r="J3" s="150"/>
      <x:c r="K3" s="150"/>
      <x:c r="L3" s="150"/>
      <x:c r="M3" s="150"/>
      <x:c r="N3" s="150"/>
      <x:c r="O3" s="150"/>
      <x:c r="P3" s="150"/>
      <x:c r="Q3" s="150"/>
      <x:c r="R3" s="150"/>
      <x:c r="S3" s="150"/>
      <x:c r="T3" s="150"/>
      <x:c r="U3" s="150"/>
      <x:c r="V3" s="150"/>
      <x:c r="W3" s="150"/>
      <x:c r="X3" s="150"/>
    </x:row>
    <x:row r="4">
      <x:c r="A4" s="150" t="str">
        <x:v>Development proxies are labelled by row. Blank recovery or industry is missing information, not a zero assumption.</x:v>
      </x:c>
      <x:c r="B4" s="150"/>
      <x:c r="C4" s="150"/>
      <x:c r="D4" s="150"/>
      <x:c r="E4" s="150"/>
      <x:c r="F4" s="150"/>
      <x:c r="G4" s="150"/>
      <x:c r="H4" s="150"/>
      <x:c r="I4" s="150"/>
      <x:c r="J4" s="150"/>
      <x:c r="K4" s="150"/>
      <x:c r="L4" s="150"/>
      <x:c r="M4" s="150"/>
      <x:c r="N4" s="150"/>
      <x:c r="O4" s="150"/>
      <x:c r="P4" s="150"/>
      <x:c r="Q4" s="150"/>
      <x:c r="R4" s="150"/>
      <x:c r="S4" s="150"/>
      <x:c r="T4" s="150"/>
      <x:c r="U4" s="150"/>
      <x:c r="V4" s="150"/>
      <x:c r="W4" s="150"/>
      <x:c r="X4" s="150"/>
    </x:row>
    <x:row r="5">
      <x:c r="A5" s="32" t="str">
        <x:f>IF(Refresh_Required,"REFRESH REQUIRED — Python results reflect the last run","Python results match the imported inputs")</x:f>
        <x:v>Python results match the imported inputs</x:v>
      </x:c>
      <x:c r="B5" s="150"/>
      <x:c r="C5" s="150"/>
      <x:c r="D5" s="150"/>
      <x:c r="E5" s="150"/>
      <x:c r="F5" s="150"/>
      <x:c r="G5" s="150"/>
      <x:c r="H5" s="150"/>
      <x:c r="I5" s="150"/>
      <x:c r="J5" s="150"/>
      <x:c r="K5" s="150"/>
      <x:c r="L5" s="150"/>
      <x:c r="M5" s="150"/>
      <x:c r="N5" s="150"/>
      <x:c r="O5" s="150"/>
      <x:c r="P5" s="150"/>
      <x:c r="Q5" s="150"/>
      <x:c r="R5" s="150"/>
      <x:c r="S5" s="150"/>
      <x:c r="T5" s="150"/>
      <x:c r="U5" s="150"/>
      <x:c r="V5" s="150"/>
      <x:c r="W5" s="150"/>
      <x:c r="X5" s="150"/>
    </x:row>
    <x:row r="6">
      <x:c r="A6" s="150"/>
      <x:c r="B6" s="150"/>
      <x:c r="C6" s="150"/>
      <x:c r="D6" s="150"/>
      <x:c r="E6" s="150"/>
      <x:c r="F6" s="150"/>
      <x:c r="G6" s="150"/>
      <x:c r="H6" s="150"/>
      <x:c r="I6" s="150"/>
      <x:c r="J6" s="150"/>
      <x:c r="K6" s="150"/>
      <x:c r="L6" s="150"/>
      <x:c r="M6" s="150"/>
      <x:c r="N6" s="150"/>
      <x:c r="O6" s="150"/>
      <x:c r="P6" s="150"/>
      <x:c r="Q6" s="150"/>
      <x:c r="R6" s="150"/>
      <x:c r="S6" s="150"/>
      <x:c r="T6" s="150"/>
      <x:c r="U6" s="150"/>
      <x:c r="V6" s="150"/>
      <x:c r="W6" s="150"/>
      <x:c r="X6" s="150"/>
    </x:row>
    <x:row r="7" ht="38" customHeight="1">
      <x:c r="A7" s="7" t="str">
        <x:v>Facility ID</x:v>
      </x:c>
      <x:c r="B7" s="7" t="str">
        <x:v>Par (shared)</x:v>
      </x:c>
      <x:c r="C7" s="7" t="str">
        <x:v>Fitch IDR input</x:v>
      </x:c>
      <x:c r="D7" s="7" t="str">
        <x:v>Rating basis</x:v>
      </x:c>
      <x:c r="E7" s="7" t="str">
        <x:v>Fitch industry</x:v>
      </x:c>
      <x:c r="F7" s="7" t="str">
        <x:v>Fitch recovery</x:v>
      </x:c>
      <x:c r="G7" s="7" t="str">
        <x:v>Recovery basis</x:v>
      </x:c>
      <x:c r="H7" s="7" t="str">
        <x:v>Source reference</x:v>
      </x:c>
      <x:c r="I7" s="7" t="str">
        <x:v>Fitch rating factor</x:v>
      </x:c>
      <x:c r="J7" s="7" t="str">
        <x:v>Par × factor</x:v>
      </x:c>
      <x:c r="K7" s="7" t="str">
        <x:v>Par × recovery</x:v>
      </x:c>
      <x:c r="L7" s="7" t="str">
        <x:v>Missing rating par</x:v>
      </x:c>
      <x:c r="M7" s="7" t="str">
        <x:v>Missing recovery par</x:v>
      </x:c>
      <x:c r="N7" s="7" t="str">
        <x:v>Changed cells</x:v>
      </x:c>
      <x:c r="O7" s="7" t="str">
        <x:v>Missing industry par</x:v>
      </x:c>
      <x:c r="P7" s="150"/>
      <x:c r="Q7" s="7" t="str">
        <x:v>Run ID</x:v>
      </x:c>
      <x:c r="R7" s="7" t="str">
        <x:v>Run par</x:v>
      </x:c>
      <x:c r="S7" s="7" t="str">
        <x:v>Run IDR</x:v>
      </x:c>
      <x:c r="T7" s="7" t="str">
        <x:v>Run rating basis</x:v>
      </x:c>
      <x:c r="U7" s="7" t="str">
        <x:v>Run industry</x:v>
      </x:c>
      <x:c r="V7" s="7" t="str">
        <x:v>Run recovery</x:v>
      </x:c>
      <x:c r="W7" s="7" t="str">
        <x:v>Run recovery basis</x:v>
      </x:c>
      <x:c r="X7" s="7" t="str">
        <x:v>Run reference</x:v>
      </x:c>
    </x:row>
    <x:row r="8" ht="107" customHeight="1">
      <x:c r="A8" s="179" t="str">
        <x:v>SYN-LN-00001</x:v>
      </x:c>
      <x:c r="B8" s="180" t="n">
        <x:f>IF(A8="","",SUMIF('Portfolio Inputs'!A8:A289,A8,'Portfolio Inputs'!D8:D289))</x:f>
        <x:v>1182000</x:v>
      </x:c>
      <x:c r="C8" s="179" t="str">
        <x:v>BB-</x:v>
      </x:c>
      <x:c r="D8" s="181" t="str">
        <x:v>development_proxy</x:v>
      </x:c>
      <x:c r="E8" s="181" t="str"/>
      <x:c r="F8" s="182" t="n">
        <x:v>0.75</x:v>
      </x:c>
      <x:c r="G8" s="181" t="str">
        <x:v>development_assumption</x:v>
      </x:c>
      <x:c r="H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8" s="183" t="n">
        <x:f>IF(AND(C8&lt;&gt;"",OR(D8="public_fitch_idr",D8="reviewed_appendix5_equivalent",D8="development_proxy"),H8&lt;&gt;""),VLOOKUP(C8,Fitch_WARF_Factors,2,FALSE),"")</x:f>
        <x:v>15.733</x:v>
      </x:c>
      <x:c r="J8" s="184" t="n">
        <x:f>IF(ISNUMBER(I8),B8*I8,0)</x:f>
        <x:v>18596406</x:v>
      </x:c>
      <x:c r="K8" s="184" t="n">
        <x:f>IF(AND(A8&lt;&gt;"",M8=0),B8*F8,0)</x:f>
        <x:v>886500</x:v>
      </x:c>
      <x:c r="L8" s="184" t="n">
        <x:f>IF(A8="",0,IF(ISNUMBER(I8),0,B8))</x:f>
        <x:v>0</x:v>
      </x:c>
      <x:c r="M8" s="185" t="n">
        <x:f>IF(A8="",0,IF(AND(ISNUMBER(F8),F8&gt;=0,F8&lt;=1,OR(G8="fitch_issue_recovery_estimate",G8="fitch_issue_recovery_rating",G8="reviewed_bbsf_fallback",G8="development_assumption"),H8&lt;&gt;""),0,B8))</x:f>
        <x:v>0</x:v>
      </x:c>
      <x:c r="N8" s="186" t="n">
        <x:f>IF(A8=Q8,0,1)+IF(B8=R8,0,1)+IF(C8=S8,0,1)+IF(D8=T8,0,1)+IF(E8=U8,0,1)+IF(F8=V8,0,1)+IF(G8=W8,0,1)+IF(H8=X8,0,1)</x:f>
        <x:v>0</x:v>
      </x:c>
      <x:c r="O8" s="186" t="n">
        <x:f>IF(A8="",0,IF(E8="",B8,0))</x:f>
        <x:v>1182000</x:v>
      </x:c>
      <x:c r="P8" s="187"/>
      <x:c r="Q8" s="179" t="str">
        <x:v>SYN-LN-00001</x:v>
      </x:c>
      <x:c r="R8" s="179" t="n">
        <x:v>1182000</x:v>
      </x:c>
      <x:c r="S8" s="179" t="str">
        <x:v>BB-</x:v>
      </x:c>
      <x:c r="T8" s="179" t="str">
        <x:v>development_proxy</x:v>
      </x:c>
      <x:c r="U8" s="179" t="str"/>
      <x:c r="V8" s="179" t="n">
        <x:v>0.75</x:v>
      </x:c>
      <x:c r="W8" s="179" t="str">
        <x:v>development_assumption</x:v>
      </x:c>
      <x:c r="X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9" ht="107" customHeight="1">
      <x:c r="A9" s="179" t="str">
        <x:v>SYN-LN-00002</x:v>
      </x:c>
      <x:c r="B9" s="180" t="n">
        <x:f>IF(A9="","",SUMIF('Portfolio Inputs'!A8:A289,A9,'Portfolio Inputs'!D8:D289))</x:f>
        <x:v>586000</x:v>
      </x:c>
      <x:c r="C9" s="179" t="str">
        <x:v>BBB</x:v>
      </x:c>
      <x:c r="D9" s="181" t="str">
        <x:v>development_proxy</x:v>
      </x:c>
      <x:c r="E9" s="181" t="str"/>
      <x:c r="F9" s="182"/>
      <x:c r="G9" s="181" t="str"/>
      <x:c r="H9" s="181" t="str">
        <x:v>FICTIONAL DEVELOPMENT: copied S&amp;P symbol as Fitch IDR-equivalency proxy; no Fitch rating or Appendix 5 review.</x:v>
      </x:c>
      <x:c r="I9" s="183" t="n">
        <x:f>IF(AND(C9&lt;&gt;"",OR(D9="public_fitch_idr",D9="reviewed_appendix5_equivalent",D9="development_proxy"),H9&lt;&gt;""),VLOOKUP(C9,Fitch_WARF_Factors,2,FALSE),"")</x:f>
        <x:v>3.162</x:v>
      </x:c>
      <x:c r="J9" s="184" t="n">
        <x:f>IF(ISNUMBER(I9),B9*I9,0)</x:f>
        <x:v>1852932</x:v>
      </x:c>
      <x:c r="K9" s="184" t="n">
        <x:f>IF(AND(A9&lt;&gt;"",M9=0),B9*F9,0)</x:f>
        <x:v>0</x:v>
      </x:c>
      <x:c r="L9" s="184" t="n">
        <x:f>IF(A9="",0,IF(ISNUMBER(I9),0,B9))</x:f>
        <x:v>0</x:v>
      </x:c>
      <x:c r="M9" s="185" t="n">
        <x:f>IF(A9="",0,IF(AND(ISNUMBER(F9),F9&gt;=0,F9&lt;=1,OR(G9="fitch_issue_recovery_estimate",G9="fitch_issue_recovery_rating",G9="reviewed_bbsf_fallback",G9="development_assumption"),H9&lt;&gt;""),0,B9))</x:f>
        <x:v>586000</x:v>
      </x:c>
      <x:c r="N9" s="186" t="n">
        <x:f>IF(A9=Q9,0,1)+IF(B9=R9,0,1)+IF(C9=S9,0,1)+IF(D9=T9,0,1)+IF(E9=U9,0,1)+IF(F9=V9,0,1)+IF(G9=W9,0,1)+IF(H9=X9,0,1)</x:f>
        <x:v>0</x:v>
      </x:c>
      <x:c r="O9" s="186" t="n">
        <x:f>IF(A9="",0,IF(E9="",B9,0))</x:f>
        <x:v>586000</x:v>
      </x:c>
      <x:c r="P9" s="187"/>
      <x:c r="Q9" s="179" t="str">
        <x:v>SYN-LN-00002</x:v>
      </x:c>
      <x:c r="R9" s="179" t="n">
        <x:v>586000</x:v>
      </x:c>
      <x:c r="S9" s="179" t="str">
        <x:v>BBB</x:v>
      </x:c>
      <x:c r="T9" s="179" t="str">
        <x:v>development_proxy</x:v>
      </x:c>
      <x:c r="U9" s="179" t="str"/>
      <x:c r="V9" s="179"/>
      <x:c r="W9" s="179" t="str"/>
      <x:c r="X9" s="179" t="str">
        <x:v>FICTIONAL DEVELOPMENT: copied S&amp;P symbol as Fitch IDR-equivalency proxy; no Fitch rating or Appendix 5 review.</x:v>
      </x:c>
    </x:row>
    <x:row r="10" ht="107" customHeight="1">
      <x:c r="A10" s="179" t="str">
        <x:v>SYN-LN-00003</x:v>
      </x:c>
      <x:c r="B10" s="180" t="n">
        <x:f>IF(A10="","",SUMIF('Portfolio Inputs'!A8:A289,A10,'Portfolio Inputs'!D8:D289))</x:f>
        <x:v>1182000</x:v>
      </x:c>
      <x:c r="C10" s="179" t="str">
        <x:v>B</x:v>
      </x:c>
      <x:c r="D10" s="181" t="str">
        <x:v>development_proxy</x:v>
      </x:c>
      <x:c r="E10" s="181" t="str"/>
      <x:c r="F10" s="182" t="n">
        <x:v>0.75</x:v>
      </x:c>
      <x:c r="G10" s="181" t="str">
        <x:v>development_assumption</x:v>
      </x:c>
      <x:c r="H1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0" s="183" t="n">
        <x:f>IF(AND(C10&lt;&gt;"",OR(D10="public_fitch_idr",D10="reviewed_appendix5_equivalent",D10="development_proxy"),H10&lt;&gt;""),VLOOKUP(C10,Fitch_WARF_Factors,2,FALSE),"")</x:f>
        <x:v>23.671</x:v>
      </x:c>
      <x:c r="J10" s="184" t="n">
        <x:f>IF(ISNUMBER(I10),B10*I10,0)</x:f>
        <x:v>27979122</x:v>
      </x:c>
      <x:c r="K10" s="184" t="n">
        <x:f>IF(AND(A10&lt;&gt;"",M10=0),B10*F10,0)</x:f>
        <x:v>886500</x:v>
      </x:c>
      <x:c r="L10" s="184" t="n">
        <x:f>IF(A10="",0,IF(ISNUMBER(I10),0,B10))</x:f>
        <x:v>0</x:v>
      </x:c>
      <x:c r="M10" s="185" t="n">
        <x:f>IF(A10="",0,IF(AND(ISNUMBER(F10),F10&gt;=0,F10&lt;=1,OR(G10="fitch_issue_recovery_estimate",G10="fitch_issue_recovery_rating",G10="reviewed_bbsf_fallback",G10="development_assumption"),H10&lt;&gt;""),0,B10))</x:f>
        <x:v>0</x:v>
      </x:c>
      <x:c r="N10" s="186" t="n">
        <x:f>IF(A10=Q10,0,1)+IF(B10=R10,0,1)+IF(C10=S10,0,1)+IF(D10=T10,0,1)+IF(E10=U10,0,1)+IF(F10=V10,0,1)+IF(G10=W10,0,1)+IF(H10=X10,0,1)</x:f>
        <x:v>0</x:v>
      </x:c>
      <x:c r="O10" s="186" t="n">
        <x:f>IF(A10="",0,IF(E10="",B10,0))</x:f>
        <x:v>1182000</x:v>
      </x:c>
      <x:c r="P10" s="187"/>
      <x:c r="Q10" s="179" t="str">
        <x:v>SYN-LN-00003</x:v>
      </x:c>
      <x:c r="R10" s="179" t="n">
        <x:v>1182000</x:v>
      </x:c>
      <x:c r="S10" s="179" t="str">
        <x:v>B</x:v>
      </x:c>
      <x:c r="T10" s="179" t="str">
        <x:v>development_proxy</x:v>
      </x:c>
      <x:c r="U10" s="179" t="str"/>
      <x:c r="V10" s="179" t="n">
        <x:v>0.75</x:v>
      </x:c>
      <x:c r="W10" s="179" t="str">
        <x:v>development_assumption</x:v>
      </x:c>
      <x:c r="X1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1" ht="107" customHeight="1">
      <x:c r="A11" s="179" t="str">
        <x:v>SYN-LN-00004</x:v>
      </x:c>
      <x:c r="B11" s="180" t="n">
        <x:f>IF(A11="","",SUMIF('Portfolio Inputs'!A8:A289,A11,'Portfolio Inputs'!D8:D289))</x:f>
        <x:v>1182000</x:v>
      </x:c>
      <x:c r="C11" s="179" t="str">
        <x:v>B-</x:v>
      </x:c>
      <x:c r="D11" s="181" t="str">
        <x:v>development_proxy</x:v>
      </x:c>
      <x:c r="E11" s="181" t="str"/>
      <x:c r="F11" s="182" t="n">
        <x:v>0.75</x:v>
      </x:c>
      <x:c r="G11" s="181" t="str">
        <x:v>development_assumption</x:v>
      </x:c>
      <x:c r="H1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1" s="183" t="n">
        <x:f>IF(AND(C11&lt;&gt;"",OR(D11="public_fitch_idr",D11="reviewed_appendix5_equivalent",D11="development_proxy"),H11&lt;&gt;""),VLOOKUP(C11,Fitch_WARF_Factors,2,FALSE),"")</x:f>
        <x:v>32.221</x:v>
      </x:c>
      <x:c r="J11" s="184" t="n">
        <x:f>IF(ISNUMBER(I11),B11*I11,0)</x:f>
        <x:v>38085221.99999999</x:v>
      </x:c>
      <x:c r="K11" s="184" t="n">
        <x:f>IF(AND(A11&lt;&gt;"",M11=0),B11*F11,0)</x:f>
        <x:v>886500</x:v>
      </x:c>
      <x:c r="L11" s="184" t="n">
        <x:f>IF(A11="",0,IF(ISNUMBER(I11),0,B11))</x:f>
        <x:v>0</x:v>
      </x:c>
      <x:c r="M11" s="185" t="n">
        <x:f>IF(A11="",0,IF(AND(ISNUMBER(F11),F11&gt;=0,F11&lt;=1,OR(G11="fitch_issue_recovery_estimate",G11="fitch_issue_recovery_rating",G11="reviewed_bbsf_fallback",G11="development_assumption"),H11&lt;&gt;""),0,B11))</x:f>
        <x:v>0</x:v>
      </x:c>
      <x:c r="N11" s="186" t="n">
        <x:f>IF(A11=Q11,0,1)+IF(B11=R11,0,1)+IF(C11=S11,0,1)+IF(D11=T11,0,1)+IF(E11=U11,0,1)+IF(F11=V11,0,1)+IF(G11=W11,0,1)+IF(H11=X11,0,1)</x:f>
        <x:v>0</x:v>
      </x:c>
      <x:c r="O11" s="186" t="n">
        <x:f>IF(A11="",0,IF(E11="",B11,0))</x:f>
        <x:v>1182000</x:v>
      </x:c>
      <x:c r="P11" s="187"/>
      <x:c r="Q11" s="179" t="str">
        <x:v>SYN-LN-00004</x:v>
      </x:c>
      <x:c r="R11" s="179" t="n">
        <x:v>1182000</x:v>
      </x:c>
      <x:c r="S11" s="179" t="str">
        <x:v>B-</x:v>
      </x:c>
      <x:c r="T11" s="179" t="str">
        <x:v>development_proxy</x:v>
      </x:c>
      <x:c r="U11" s="179" t="str"/>
      <x:c r="V11" s="179" t="n">
        <x:v>0.75</x:v>
      </x:c>
      <x:c r="W11" s="179" t="str">
        <x:v>development_assumption</x:v>
      </x:c>
      <x:c r="X1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2" ht="107" customHeight="1">
      <x:c r="A12" s="179" t="str">
        <x:v>SYN-LN-00005</x:v>
      </x:c>
      <x:c r="B12" s="180" t="n">
        <x:f>IF(A12="","",SUMIF('Portfolio Inputs'!A8:A289,A12,'Portfolio Inputs'!D8:D289))</x:f>
        <x:v>1182000</x:v>
      </x:c>
      <x:c r="C12" s="179" t="str">
        <x:v>B</x:v>
      </x:c>
      <x:c r="D12" s="181" t="str">
        <x:v>development_proxy</x:v>
      </x:c>
      <x:c r="E12" s="181" t="str"/>
      <x:c r="F12" s="182" t="n">
        <x:v>0.75</x:v>
      </x:c>
      <x:c r="G12" s="181" t="str">
        <x:v>development_assumption</x:v>
      </x:c>
      <x:c r="H1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2" s="183" t="n">
        <x:f>IF(AND(C12&lt;&gt;"",OR(D12="public_fitch_idr",D12="reviewed_appendix5_equivalent",D12="development_proxy"),H12&lt;&gt;""),VLOOKUP(C12,Fitch_WARF_Factors,2,FALSE),"")</x:f>
        <x:v>23.671</x:v>
      </x:c>
      <x:c r="J12" s="184" t="n">
        <x:f>IF(ISNUMBER(I12),B12*I12,0)</x:f>
        <x:v>27979122</x:v>
      </x:c>
      <x:c r="K12" s="184" t="n">
        <x:f>IF(AND(A12&lt;&gt;"",M12=0),B12*F12,0)</x:f>
        <x:v>886500</x:v>
      </x:c>
      <x:c r="L12" s="184" t="n">
        <x:f>IF(A12="",0,IF(ISNUMBER(I12),0,B12))</x:f>
        <x:v>0</x:v>
      </x:c>
      <x:c r="M12" s="185" t="n">
        <x:f>IF(A12="",0,IF(AND(ISNUMBER(F12),F12&gt;=0,F12&lt;=1,OR(G12="fitch_issue_recovery_estimate",G12="fitch_issue_recovery_rating",G12="reviewed_bbsf_fallback",G12="development_assumption"),H12&lt;&gt;""),0,B12))</x:f>
        <x:v>0</x:v>
      </x:c>
      <x:c r="N12" s="186" t="n">
        <x:f>IF(A12=Q12,0,1)+IF(B12=R12,0,1)+IF(C12=S12,0,1)+IF(D12=T12,0,1)+IF(E12=U12,0,1)+IF(F12=V12,0,1)+IF(G12=W12,0,1)+IF(H12=X12,0,1)</x:f>
        <x:v>0</x:v>
      </x:c>
      <x:c r="O12" s="186" t="n">
        <x:f>IF(A12="",0,IF(E12="",B12,0))</x:f>
        <x:v>1182000</x:v>
      </x:c>
      <x:c r="P12" s="187"/>
      <x:c r="Q12" s="179" t="str">
        <x:v>SYN-LN-00005</x:v>
      </x:c>
      <x:c r="R12" s="179" t="n">
        <x:v>1182000</x:v>
      </x:c>
      <x:c r="S12" s="179" t="str">
        <x:v>B</x:v>
      </x:c>
      <x:c r="T12" s="179" t="str">
        <x:v>development_proxy</x:v>
      </x:c>
      <x:c r="U12" s="179" t="str"/>
      <x:c r="V12" s="179" t="n">
        <x:v>0.75</x:v>
      </x:c>
      <x:c r="W12" s="179" t="str">
        <x:v>development_assumption</x:v>
      </x:c>
      <x:c r="X1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3" ht="107" customHeight="1">
      <x:c r="A13" s="179" t="str">
        <x:v>SYN-LN-00006</x:v>
      </x:c>
      <x:c r="B13" s="180" t="n">
        <x:f>IF(A13="","",SUMIF('Portfolio Inputs'!A8:A289,A13,'Portfolio Inputs'!D8:D289))</x:f>
        <x:v>1182000</x:v>
      </x:c>
      <x:c r="C13" s="179" t="str">
        <x:v>B</x:v>
      </x:c>
      <x:c r="D13" s="181" t="str">
        <x:v>development_proxy</x:v>
      </x:c>
      <x:c r="E13" s="181" t="str"/>
      <x:c r="F13" s="182" t="n">
        <x:v>0.75</x:v>
      </x:c>
      <x:c r="G13" s="181" t="str">
        <x:v>development_assumption</x:v>
      </x:c>
      <x:c r="H1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3" s="183" t="n">
        <x:f>IF(AND(C13&lt;&gt;"",OR(D13="public_fitch_idr",D13="reviewed_appendix5_equivalent",D13="development_proxy"),H13&lt;&gt;""),VLOOKUP(C13,Fitch_WARF_Factors,2,FALSE),"")</x:f>
        <x:v>23.671</x:v>
      </x:c>
      <x:c r="J13" s="184" t="n">
        <x:f>IF(ISNUMBER(I13),B13*I13,0)</x:f>
        <x:v>27979122</x:v>
      </x:c>
      <x:c r="K13" s="184" t="n">
        <x:f>IF(AND(A13&lt;&gt;"",M13=0),B13*F13,0)</x:f>
        <x:v>886500</x:v>
      </x:c>
      <x:c r="L13" s="184" t="n">
        <x:f>IF(A13="",0,IF(ISNUMBER(I13),0,B13))</x:f>
        <x:v>0</x:v>
      </x:c>
      <x:c r="M13" s="185" t="n">
        <x:f>IF(A13="",0,IF(AND(ISNUMBER(F13),F13&gt;=0,F13&lt;=1,OR(G13="fitch_issue_recovery_estimate",G13="fitch_issue_recovery_rating",G13="reviewed_bbsf_fallback",G13="development_assumption"),H13&lt;&gt;""),0,B13))</x:f>
        <x:v>0</x:v>
      </x:c>
      <x:c r="N13" s="186" t="n">
        <x:f>IF(A13=Q13,0,1)+IF(B13=R13,0,1)+IF(C13=S13,0,1)+IF(D13=T13,0,1)+IF(E13=U13,0,1)+IF(F13=V13,0,1)+IF(G13=W13,0,1)+IF(H13=X13,0,1)</x:f>
        <x:v>0</x:v>
      </x:c>
      <x:c r="O13" s="186" t="n">
        <x:f>IF(A13="",0,IF(E13="",B13,0))</x:f>
        <x:v>1182000</x:v>
      </x:c>
      <x:c r="P13" s="187"/>
      <x:c r="Q13" s="179" t="str">
        <x:v>SYN-LN-00006</x:v>
      </x:c>
      <x:c r="R13" s="179" t="n">
        <x:v>1182000</x:v>
      </x:c>
      <x:c r="S13" s="179" t="str">
        <x:v>B</x:v>
      </x:c>
      <x:c r="T13" s="179" t="str">
        <x:v>development_proxy</x:v>
      </x:c>
      <x:c r="U13" s="179" t="str"/>
      <x:c r="V13" s="179" t="n">
        <x:v>0.75</x:v>
      </x:c>
      <x:c r="W13" s="179" t="str">
        <x:v>development_assumption</x:v>
      </x:c>
      <x:c r="X1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4" ht="107" customHeight="1">
      <x:c r="A14" s="179" t="str">
        <x:v>SYN-LN-00007</x:v>
      </x:c>
      <x:c r="B14" s="180" t="n">
        <x:f>IF(A14="","",SUMIF('Portfolio Inputs'!A8:A289,A14,'Portfolio Inputs'!D8:D289))</x:f>
        <x:v>1182000</x:v>
      </x:c>
      <x:c r="C14" s="179" t="str">
        <x:v>B</x:v>
      </x:c>
      <x:c r="D14" s="181" t="str">
        <x:v>development_proxy</x:v>
      </x:c>
      <x:c r="E14" s="181" t="str"/>
      <x:c r="F14" s="182" t="n">
        <x:v>0.75</x:v>
      </x:c>
      <x:c r="G14" s="181" t="str">
        <x:v>development_assumption</x:v>
      </x:c>
      <x:c r="H1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4" s="183" t="n">
        <x:f>IF(AND(C14&lt;&gt;"",OR(D14="public_fitch_idr",D14="reviewed_appendix5_equivalent",D14="development_proxy"),H14&lt;&gt;""),VLOOKUP(C14,Fitch_WARF_Factors,2,FALSE),"")</x:f>
        <x:v>23.671</x:v>
      </x:c>
      <x:c r="J14" s="184" t="n">
        <x:f>IF(ISNUMBER(I14),B14*I14,0)</x:f>
        <x:v>27979122</x:v>
      </x:c>
      <x:c r="K14" s="184" t="n">
        <x:f>IF(AND(A14&lt;&gt;"",M14=0),B14*F14,0)</x:f>
        <x:v>886500</x:v>
      </x:c>
      <x:c r="L14" s="184" t="n">
        <x:f>IF(A14="",0,IF(ISNUMBER(I14),0,B14))</x:f>
        <x:v>0</x:v>
      </x:c>
      <x:c r="M14" s="185" t="n">
        <x:f>IF(A14="",0,IF(AND(ISNUMBER(F14),F14&gt;=0,F14&lt;=1,OR(G14="fitch_issue_recovery_estimate",G14="fitch_issue_recovery_rating",G14="reviewed_bbsf_fallback",G14="development_assumption"),H14&lt;&gt;""),0,B14))</x:f>
        <x:v>0</x:v>
      </x:c>
      <x:c r="N14" s="186" t="n">
        <x:f>IF(A14=Q14,0,1)+IF(B14=R14,0,1)+IF(C14=S14,0,1)+IF(D14=T14,0,1)+IF(E14=U14,0,1)+IF(F14=V14,0,1)+IF(G14=W14,0,1)+IF(H14=X14,0,1)</x:f>
        <x:v>0</x:v>
      </x:c>
      <x:c r="O14" s="186" t="n">
        <x:f>IF(A14="",0,IF(E14="",B14,0))</x:f>
        <x:v>1182000</x:v>
      </x:c>
      <x:c r="P14" s="187"/>
      <x:c r="Q14" s="179" t="str">
        <x:v>SYN-LN-00007</x:v>
      </x:c>
      <x:c r="R14" s="179" t="n">
        <x:v>1182000</x:v>
      </x:c>
      <x:c r="S14" s="179" t="str">
        <x:v>B</x:v>
      </x:c>
      <x:c r="T14" s="179" t="str">
        <x:v>development_proxy</x:v>
      </x:c>
      <x:c r="U14" s="179" t="str"/>
      <x:c r="V14" s="179" t="n">
        <x:v>0.75</x:v>
      </x:c>
      <x:c r="W14" s="179" t="str">
        <x:v>development_assumption</x:v>
      </x:c>
      <x:c r="X1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5" ht="107" customHeight="1">
      <x:c r="A15" s="179" t="str">
        <x:v>SYN-LN-00008</x:v>
      </x:c>
      <x:c r="B15" s="180" t="n">
        <x:f>IF(A15="","",SUMIF('Portfolio Inputs'!A8:A289,A15,'Portfolio Inputs'!D8:D289))</x:f>
        <x:v>1182000</x:v>
      </x:c>
      <x:c r="C15" s="179" t="str">
        <x:v>B+</x:v>
      </x:c>
      <x:c r="D15" s="181" t="str">
        <x:v>development_proxy</x:v>
      </x:c>
      <x:c r="E15" s="181" t="str"/>
      <x:c r="F15" s="182" t="n">
        <x:v>0.75</x:v>
      </x:c>
      <x:c r="G15" s="181" t="str">
        <x:v>development_assumption</x:v>
      </x:c>
      <x:c r="H1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5" s="183" t="n">
        <x:f>IF(AND(C15&lt;&gt;"",OR(D15="public_fitch_idr",D15="reviewed_appendix5_equivalent",D15="development_proxy"),H15&lt;&gt;""),VLOOKUP(C15,Fitch_WARF_Factors,2,FALSE),"")</x:f>
        <x:v>19.627</x:v>
      </x:c>
      <x:c r="J15" s="184" t="n">
        <x:f>IF(ISNUMBER(I15),B15*I15,0)</x:f>
        <x:v>23199114</x:v>
      </x:c>
      <x:c r="K15" s="184" t="n">
        <x:f>IF(AND(A15&lt;&gt;"",M15=0),B15*F15,0)</x:f>
        <x:v>886500</x:v>
      </x:c>
      <x:c r="L15" s="184" t="n">
        <x:f>IF(A15="",0,IF(ISNUMBER(I15),0,B15))</x:f>
        <x:v>0</x:v>
      </x:c>
      <x:c r="M15" s="185" t="n">
        <x:f>IF(A15="",0,IF(AND(ISNUMBER(F15),F15&gt;=0,F15&lt;=1,OR(G15="fitch_issue_recovery_estimate",G15="fitch_issue_recovery_rating",G15="reviewed_bbsf_fallback",G15="development_assumption"),H15&lt;&gt;""),0,B15))</x:f>
        <x:v>0</x:v>
      </x:c>
      <x:c r="N15" s="186" t="n">
        <x:f>IF(A15=Q15,0,1)+IF(B15=R15,0,1)+IF(C15=S15,0,1)+IF(D15=T15,0,1)+IF(E15=U15,0,1)+IF(F15=V15,0,1)+IF(G15=W15,0,1)+IF(H15=X15,0,1)</x:f>
        <x:v>0</x:v>
      </x:c>
      <x:c r="O15" s="186" t="n">
        <x:f>IF(A15="",0,IF(E15="",B15,0))</x:f>
        <x:v>1182000</x:v>
      </x:c>
      <x:c r="P15" s="187"/>
      <x:c r="Q15" s="179" t="str">
        <x:v>SYN-LN-00008</x:v>
      </x:c>
      <x:c r="R15" s="179" t="n">
        <x:v>1182000</x:v>
      </x:c>
      <x:c r="S15" s="179" t="str">
        <x:v>B+</x:v>
      </x:c>
      <x:c r="T15" s="179" t="str">
        <x:v>development_proxy</x:v>
      </x:c>
      <x:c r="U15" s="179" t="str"/>
      <x:c r="V15" s="179" t="n">
        <x:v>0.75</x:v>
      </x:c>
      <x:c r="W15" s="179" t="str">
        <x:v>development_assumption</x:v>
      </x:c>
      <x:c r="X1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6" ht="107" customHeight="1">
      <x:c r="A16" s="179" t="str">
        <x:v>SYN-LN-00009</x:v>
      </x:c>
      <x:c r="B16" s="180" t="n">
        <x:f>IF(A16="","",SUMIF('Portfolio Inputs'!A8:A289,A16,'Portfolio Inputs'!D8:D289))</x:f>
        <x:v>1182000</x:v>
      </x:c>
      <x:c r="C16" s="179" t="str">
        <x:v>BB-</x:v>
      </x:c>
      <x:c r="D16" s="181" t="str">
        <x:v>development_proxy</x:v>
      </x:c>
      <x:c r="E16" s="181" t="str"/>
      <x:c r="F16" s="182" t="n">
        <x:v>0.75</x:v>
      </x:c>
      <x:c r="G16" s="181" t="str">
        <x:v>development_assumption</x:v>
      </x:c>
      <x:c r="H1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6" s="183" t="n">
        <x:f>IF(AND(C16&lt;&gt;"",OR(D16="public_fitch_idr",D16="reviewed_appendix5_equivalent",D16="development_proxy"),H16&lt;&gt;""),VLOOKUP(C16,Fitch_WARF_Factors,2,FALSE),"")</x:f>
        <x:v>15.733</x:v>
      </x:c>
      <x:c r="J16" s="184" t="n">
        <x:f>IF(ISNUMBER(I16),B16*I16,0)</x:f>
        <x:v>18596406</x:v>
      </x:c>
      <x:c r="K16" s="184" t="n">
        <x:f>IF(AND(A16&lt;&gt;"",M16=0),B16*F16,0)</x:f>
        <x:v>886500</x:v>
      </x:c>
      <x:c r="L16" s="184" t="n">
        <x:f>IF(A16="",0,IF(ISNUMBER(I16),0,B16))</x:f>
        <x:v>0</x:v>
      </x:c>
      <x:c r="M16" s="185" t="n">
        <x:f>IF(A16="",0,IF(AND(ISNUMBER(F16),F16&gt;=0,F16&lt;=1,OR(G16="fitch_issue_recovery_estimate",G16="fitch_issue_recovery_rating",G16="reviewed_bbsf_fallback",G16="development_assumption"),H16&lt;&gt;""),0,B16))</x:f>
        <x:v>0</x:v>
      </x:c>
      <x:c r="N16" s="186" t="n">
        <x:f>IF(A16=Q16,0,1)+IF(B16=R16,0,1)+IF(C16=S16,0,1)+IF(D16=T16,0,1)+IF(E16=U16,0,1)+IF(F16=V16,0,1)+IF(G16=W16,0,1)+IF(H16=X16,0,1)</x:f>
        <x:v>0</x:v>
      </x:c>
      <x:c r="O16" s="186" t="n">
        <x:f>IF(A16="",0,IF(E16="",B16,0))</x:f>
        <x:v>1182000</x:v>
      </x:c>
      <x:c r="P16" s="187"/>
      <x:c r="Q16" s="179" t="str">
        <x:v>SYN-LN-00009</x:v>
      </x:c>
      <x:c r="R16" s="179" t="n">
        <x:v>1182000</x:v>
      </x:c>
      <x:c r="S16" s="179" t="str">
        <x:v>BB-</x:v>
      </x:c>
      <x:c r="T16" s="179" t="str">
        <x:v>development_proxy</x:v>
      </x:c>
      <x:c r="U16" s="179" t="str"/>
      <x:c r="V16" s="179" t="n">
        <x:v>0.75</x:v>
      </x:c>
      <x:c r="W16" s="179" t="str">
        <x:v>development_assumption</x:v>
      </x:c>
      <x:c r="X1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7" ht="107" customHeight="1">
      <x:c r="A17" s="179" t="str">
        <x:v>SYN-LN-00010</x:v>
      </x:c>
      <x:c r="B17" s="180" t="n">
        <x:f>IF(A17="","",SUMIF('Portfolio Inputs'!A8:A289,A17,'Portfolio Inputs'!D8:D289))</x:f>
        <x:v>1182000</x:v>
      </x:c>
      <x:c r="C17" s="179" t="str">
        <x:v>BB</x:v>
      </x:c>
      <x:c r="D17" s="181" t="str">
        <x:v>development_proxy</x:v>
      </x:c>
      <x:c r="E17" s="181" t="str"/>
      <x:c r="F17" s="182" t="n">
        <x:v>0.75</x:v>
      </x:c>
      <x:c r="G17" s="181" t="str">
        <x:v>development_assumption</x:v>
      </x:c>
      <x:c r="H1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7" s="183" t="n">
        <x:f>IF(AND(C17&lt;&gt;"",OR(D17="public_fitch_idr",D17="reviewed_appendix5_equivalent",D17="development_proxy"),H17&lt;&gt;""),VLOOKUP(C17,Fitch_WARF_Factors,2,FALSE),"")</x:f>
        <x:v>11.844</x:v>
      </x:c>
      <x:c r="J17" s="184" t="n">
        <x:f>IF(ISNUMBER(I17),B17*I17,0)</x:f>
        <x:v>13999608</x:v>
      </x:c>
      <x:c r="K17" s="184" t="n">
        <x:f>IF(AND(A17&lt;&gt;"",M17=0),B17*F17,0)</x:f>
        <x:v>886500</x:v>
      </x:c>
      <x:c r="L17" s="184" t="n">
        <x:f>IF(A17="",0,IF(ISNUMBER(I17),0,B17))</x:f>
        <x:v>0</x:v>
      </x:c>
      <x:c r="M17" s="185" t="n">
        <x:f>IF(A17="",0,IF(AND(ISNUMBER(F17),F17&gt;=0,F17&lt;=1,OR(G17="fitch_issue_recovery_estimate",G17="fitch_issue_recovery_rating",G17="reviewed_bbsf_fallback",G17="development_assumption"),H17&lt;&gt;""),0,B17))</x:f>
        <x:v>0</x:v>
      </x:c>
      <x:c r="N17" s="186" t="n">
        <x:f>IF(A17=Q17,0,1)+IF(B17=R17,0,1)+IF(C17=S17,0,1)+IF(D17=T17,0,1)+IF(E17=U17,0,1)+IF(F17=V17,0,1)+IF(G17=W17,0,1)+IF(H17=X17,0,1)</x:f>
        <x:v>0</x:v>
      </x:c>
      <x:c r="O17" s="186" t="n">
        <x:f>IF(A17="",0,IF(E17="",B17,0))</x:f>
        <x:v>1182000</x:v>
      </x:c>
      <x:c r="P17" s="187"/>
      <x:c r="Q17" s="179" t="str">
        <x:v>SYN-LN-00010</x:v>
      </x:c>
      <x:c r="R17" s="179" t="n">
        <x:v>1182000</x:v>
      </x:c>
      <x:c r="S17" s="179" t="str">
        <x:v>BB</x:v>
      </x:c>
      <x:c r="T17" s="179" t="str">
        <x:v>development_proxy</x:v>
      </x:c>
      <x:c r="U17" s="179" t="str"/>
      <x:c r="V17" s="179" t="n">
        <x:v>0.75</x:v>
      </x:c>
      <x:c r="W17" s="179" t="str">
        <x:v>development_assumption</x:v>
      </x:c>
      <x:c r="X1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8" ht="107" customHeight="1">
      <x:c r="A18" s="179" t="str">
        <x:v>SYN-LN-00011</x:v>
      </x:c>
      <x:c r="B18" s="180" t="n">
        <x:f>IF(A18="","",SUMIF('Portfolio Inputs'!A8:A289,A18,'Portfolio Inputs'!D8:D289))</x:f>
        <x:v>570000</x:v>
      </x:c>
      <x:c r="C18" s="179" t="str">
        <x:v>B+</x:v>
      </x:c>
      <x:c r="D18" s="181" t="str">
        <x:v>development_proxy</x:v>
      </x:c>
      <x:c r="E18" s="181" t="str"/>
      <x:c r="F18" s="182" t="n">
        <x:v>0.75</x:v>
      </x:c>
      <x:c r="G18" s="181" t="str">
        <x:v>development_assumption</x:v>
      </x:c>
      <x:c r="H1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8" s="183" t="n">
        <x:f>IF(AND(C18&lt;&gt;"",OR(D18="public_fitch_idr",D18="reviewed_appendix5_equivalent",D18="development_proxy"),H18&lt;&gt;""),VLOOKUP(C18,Fitch_WARF_Factors,2,FALSE),"")</x:f>
        <x:v>19.627</x:v>
      </x:c>
      <x:c r="J18" s="184" t="n">
        <x:f>IF(ISNUMBER(I18),B18*I18,0)</x:f>
        <x:v>11187390</x:v>
      </x:c>
      <x:c r="K18" s="184" t="n">
        <x:f>IF(AND(A18&lt;&gt;"",M18=0),B18*F18,0)</x:f>
        <x:v>427500</x:v>
      </x:c>
      <x:c r="L18" s="184" t="n">
        <x:f>IF(A18="",0,IF(ISNUMBER(I18),0,B18))</x:f>
        <x:v>0</x:v>
      </x:c>
      <x:c r="M18" s="185" t="n">
        <x:f>IF(A18="",0,IF(AND(ISNUMBER(F18),F18&gt;=0,F18&lt;=1,OR(G18="fitch_issue_recovery_estimate",G18="fitch_issue_recovery_rating",G18="reviewed_bbsf_fallback",G18="development_assumption"),H18&lt;&gt;""),0,B18))</x:f>
        <x:v>0</x:v>
      </x:c>
      <x:c r="N18" s="186" t="n">
        <x:f>IF(A18=Q18,0,1)+IF(B18=R18,0,1)+IF(C18=S18,0,1)+IF(D18=T18,0,1)+IF(E18=U18,0,1)+IF(F18=V18,0,1)+IF(G18=W18,0,1)+IF(H18=X18,0,1)</x:f>
        <x:v>0</x:v>
      </x:c>
      <x:c r="O18" s="186" t="n">
        <x:f>IF(A18="",0,IF(E18="",B18,0))</x:f>
        <x:v>570000</x:v>
      </x:c>
      <x:c r="P18" s="187"/>
      <x:c r="Q18" s="179" t="str">
        <x:v>SYN-LN-00011</x:v>
      </x:c>
      <x:c r="R18" s="179" t="n">
        <x:v>570000</x:v>
      </x:c>
      <x:c r="S18" s="179" t="str">
        <x:v>B+</x:v>
      </x:c>
      <x:c r="T18" s="179" t="str">
        <x:v>development_proxy</x:v>
      </x:c>
      <x:c r="U18" s="179" t="str"/>
      <x:c r="V18" s="179" t="n">
        <x:v>0.75</x:v>
      </x:c>
      <x:c r="W18" s="179" t="str">
        <x:v>development_assumption</x:v>
      </x:c>
      <x:c r="X1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9" ht="107" customHeight="1">
      <x:c r="A19" s="179" t="str">
        <x:v>SYN-LN-00012</x:v>
      </x:c>
      <x:c r="B19" s="180" t="n">
        <x:f>IF(A19="","",SUMIF('Portfolio Inputs'!A8:A289,A19,'Portfolio Inputs'!D8:D289))</x:f>
        <x:v>612000</x:v>
      </x:c>
      <x:c r="C19" s="179" t="str">
        <x:v>B+</x:v>
      </x:c>
      <x:c r="D19" s="181" t="str">
        <x:v>development_proxy</x:v>
      </x:c>
      <x:c r="E19" s="181" t="str"/>
      <x:c r="F19" s="182" t="n">
        <x:v>0.75</x:v>
      </x:c>
      <x:c r="G19" s="181" t="str">
        <x:v>development_assumption</x:v>
      </x:c>
      <x:c r="H1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9" s="183" t="n">
        <x:f>IF(AND(C19&lt;&gt;"",OR(D19="public_fitch_idr",D19="reviewed_appendix5_equivalent",D19="development_proxy"),H19&lt;&gt;""),VLOOKUP(C19,Fitch_WARF_Factors,2,FALSE),"")</x:f>
        <x:v>19.627</x:v>
      </x:c>
      <x:c r="J19" s="184" t="n">
        <x:f>IF(ISNUMBER(I19),B19*I19,0)</x:f>
        <x:v>12011724</x:v>
      </x:c>
      <x:c r="K19" s="184" t="n">
        <x:f>IF(AND(A19&lt;&gt;"",M19=0),B19*F19,0)</x:f>
        <x:v>459000</x:v>
      </x:c>
      <x:c r="L19" s="184" t="n">
        <x:f>IF(A19="",0,IF(ISNUMBER(I19),0,B19))</x:f>
        <x:v>0</x:v>
      </x:c>
      <x:c r="M19" s="185" t="n">
        <x:f>IF(A19="",0,IF(AND(ISNUMBER(F19),F19&gt;=0,F19&lt;=1,OR(G19="fitch_issue_recovery_estimate",G19="fitch_issue_recovery_rating",G19="reviewed_bbsf_fallback",G19="development_assumption"),H19&lt;&gt;""),0,B19))</x:f>
        <x:v>0</x:v>
      </x:c>
      <x:c r="N19" s="186" t="n">
        <x:f>IF(A19=Q19,0,1)+IF(B19=R19,0,1)+IF(C19=S19,0,1)+IF(D19=T19,0,1)+IF(E19=U19,0,1)+IF(F19=V19,0,1)+IF(G19=W19,0,1)+IF(H19=X19,0,1)</x:f>
        <x:v>0</x:v>
      </x:c>
      <x:c r="O19" s="186" t="n">
        <x:f>IF(A19="",0,IF(E19="",B19,0))</x:f>
        <x:v>612000</x:v>
      </x:c>
      <x:c r="P19" s="187"/>
      <x:c r="Q19" s="179" t="str">
        <x:v>SYN-LN-00012</x:v>
      </x:c>
      <x:c r="R19" s="179" t="n">
        <x:v>612000</x:v>
      </x:c>
      <x:c r="S19" s="179" t="str">
        <x:v>B+</x:v>
      </x:c>
      <x:c r="T19" s="179" t="str">
        <x:v>development_proxy</x:v>
      </x:c>
      <x:c r="U19" s="179" t="str"/>
      <x:c r="V19" s="179" t="n">
        <x:v>0.75</x:v>
      </x:c>
      <x:c r="W19" s="179" t="str">
        <x:v>development_assumption</x:v>
      </x:c>
      <x:c r="X1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0" ht="107" customHeight="1">
      <x:c r="A20" s="179" t="str">
        <x:v>SYN-LN-00013</x:v>
      </x:c>
      <x:c r="B20" s="180" t="n">
        <x:f>IF(A20="","",SUMIF('Portfolio Inputs'!A8:A289,A20,'Portfolio Inputs'!D8:D289))</x:f>
        <x:v>650000</x:v>
      </x:c>
      <x:c r="C20" s="179" t="str">
        <x:v>B+</x:v>
      </x:c>
      <x:c r="D20" s="181" t="str">
        <x:v>development_proxy</x:v>
      </x:c>
      <x:c r="E20" s="181" t="str"/>
      <x:c r="F20" s="182" t="n">
        <x:v>0.75</x:v>
      </x:c>
      <x:c r="G20" s="181" t="str">
        <x:v>development_assumption</x:v>
      </x:c>
      <x:c r="H2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0" s="183" t="n">
        <x:f>IF(AND(C20&lt;&gt;"",OR(D20="public_fitch_idr",D20="reviewed_appendix5_equivalent",D20="development_proxy"),H20&lt;&gt;""),VLOOKUP(C20,Fitch_WARF_Factors,2,FALSE),"")</x:f>
        <x:v>19.627</x:v>
      </x:c>
      <x:c r="J20" s="184" t="n">
        <x:f>IF(ISNUMBER(I20),B20*I20,0)</x:f>
        <x:v>12757550</x:v>
      </x:c>
      <x:c r="K20" s="184" t="n">
        <x:f>IF(AND(A20&lt;&gt;"",M20=0),B20*F20,0)</x:f>
        <x:v>487500</x:v>
      </x:c>
      <x:c r="L20" s="184" t="n">
        <x:f>IF(A20="",0,IF(ISNUMBER(I20),0,B20))</x:f>
        <x:v>0</x:v>
      </x:c>
      <x:c r="M20" s="185" t="n">
        <x:f>IF(A20="",0,IF(AND(ISNUMBER(F20),F20&gt;=0,F20&lt;=1,OR(G20="fitch_issue_recovery_estimate",G20="fitch_issue_recovery_rating",G20="reviewed_bbsf_fallback",G20="development_assumption"),H20&lt;&gt;""),0,B20))</x:f>
        <x:v>0</x:v>
      </x:c>
      <x:c r="N20" s="186" t="n">
        <x:f>IF(A20=Q20,0,1)+IF(B20=R20,0,1)+IF(C20=S20,0,1)+IF(D20=T20,0,1)+IF(E20=U20,0,1)+IF(F20=V20,0,1)+IF(G20=W20,0,1)+IF(H20=X20,0,1)</x:f>
        <x:v>0</x:v>
      </x:c>
      <x:c r="O20" s="186" t="n">
        <x:f>IF(A20="",0,IF(E20="",B20,0))</x:f>
        <x:v>650000</x:v>
      </x:c>
      <x:c r="P20" s="187"/>
      <x:c r="Q20" s="179" t="str">
        <x:v>SYN-LN-00013</x:v>
      </x:c>
      <x:c r="R20" s="179" t="n">
        <x:v>650000</x:v>
      </x:c>
      <x:c r="S20" s="179" t="str">
        <x:v>B+</x:v>
      </x:c>
      <x:c r="T20" s="179" t="str">
        <x:v>development_proxy</x:v>
      </x:c>
      <x:c r="U20" s="179" t="str"/>
      <x:c r="V20" s="179" t="n">
        <x:v>0.75</x:v>
      </x:c>
      <x:c r="W20" s="179" t="str">
        <x:v>development_assumption</x:v>
      </x:c>
      <x:c r="X2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1" ht="107" customHeight="1">
      <x:c r="A21" s="179" t="str">
        <x:v>SYN-LN-00014</x:v>
      </x:c>
      <x:c r="B21" s="180" t="n">
        <x:f>IF(A21="","",SUMIF('Portfolio Inputs'!A8:A289,A21,'Portfolio Inputs'!D8:D289))</x:f>
        <x:v>532000</x:v>
      </x:c>
      <x:c r="C21" s="179" t="str">
        <x:v>B+</x:v>
      </x:c>
      <x:c r="D21" s="181" t="str">
        <x:v>development_proxy</x:v>
      </x:c>
      <x:c r="E21" s="181" t="str"/>
      <x:c r="F21" s="182" t="n">
        <x:v>0.75</x:v>
      </x:c>
      <x:c r="G21" s="181" t="str">
        <x:v>development_assumption</x:v>
      </x:c>
      <x:c r="H2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1" s="183" t="n">
        <x:f>IF(AND(C21&lt;&gt;"",OR(D21="public_fitch_idr",D21="reviewed_appendix5_equivalent",D21="development_proxy"),H21&lt;&gt;""),VLOOKUP(C21,Fitch_WARF_Factors,2,FALSE),"")</x:f>
        <x:v>19.627</x:v>
      </x:c>
      <x:c r="J21" s="184" t="n">
        <x:f>IF(ISNUMBER(I21),B21*I21,0)</x:f>
        <x:v>10441564</x:v>
      </x:c>
      <x:c r="K21" s="184" t="n">
        <x:f>IF(AND(A21&lt;&gt;"",M21=0),B21*F21,0)</x:f>
        <x:v>399000</x:v>
      </x:c>
      <x:c r="L21" s="184" t="n">
        <x:f>IF(A21="",0,IF(ISNUMBER(I21),0,B21))</x:f>
        <x:v>0</x:v>
      </x:c>
      <x:c r="M21" s="185" t="n">
        <x:f>IF(A21="",0,IF(AND(ISNUMBER(F21),F21&gt;=0,F21&lt;=1,OR(G21="fitch_issue_recovery_estimate",G21="fitch_issue_recovery_rating",G21="reviewed_bbsf_fallback",G21="development_assumption"),H21&lt;&gt;""),0,B21))</x:f>
        <x:v>0</x:v>
      </x:c>
      <x:c r="N21" s="186" t="n">
        <x:f>IF(A21=Q21,0,1)+IF(B21=R21,0,1)+IF(C21=S21,0,1)+IF(D21=T21,0,1)+IF(E21=U21,0,1)+IF(F21=V21,0,1)+IF(G21=W21,0,1)+IF(H21=X21,0,1)</x:f>
        <x:v>0</x:v>
      </x:c>
      <x:c r="O21" s="186" t="n">
        <x:f>IF(A21="",0,IF(E21="",B21,0))</x:f>
        <x:v>532000</x:v>
      </x:c>
      <x:c r="P21" s="187"/>
      <x:c r="Q21" s="179" t="str">
        <x:v>SYN-LN-00014</x:v>
      </x:c>
      <x:c r="R21" s="179" t="n">
        <x:v>532000</x:v>
      </x:c>
      <x:c r="S21" s="179" t="str">
        <x:v>B+</x:v>
      </x:c>
      <x:c r="T21" s="179" t="str">
        <x:v>development_proxy</x:v>
      </x:c>
      <x:c r="U21" s="179" t="str"/>
      <x:c r="V21" s="179" t="n">
        <x:v>0.75</x:v>
      </x:c>
      <x:c r="W21" s="179" t="str">
        <x:v>development_assumption</x:v>
      </x:c>
      <x:c r="X2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2" ht="107" customHeight="1">
      <x:c r="A22" s="179" t="str">
        <x:v>SYN-LN-00015</x:v>
      </x:c>
      <x:c r="B22" s="180" t="n">
        <x:f>IF(A22="","",SUMIF('Portfolio Inputs'!A8:A289,A22,'Portfolio Inputs'!D8:D289))</x:f>
        <x:v>1182000</x:v>
      </x:c>
      <x:c r="C22" s="179" t="str">
        <x:v>BB</x:v>
      </x:c>
      <x:c r="D22" s="181" t="str">
        <x:v>development_proxy</x:v>
      </x:c>
      <x:c r="E22" s="181" t="str"/>
      <x:c r="F22" s="182" t="n">
        <x:v>0.75</x:v>
      </x:c>
      <x:c r="G22" s="181" t="str">
        <x:v>development_assumption</x:v>
      </x:c>
      <x:c r="H2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2" s="183" t="n">
        <x:f>IF(AND(C22&lt;&gt;"",OR(D22="public_fitch_idr",D22="reviewed_appendix5_equivalent",D22="development_proxy"),H22&lt;&gt;""),VLOOKUP(C22,Fitch_WARF_Factors,2,FALSE),"")</x:f>
        <x:v>11.844</x:v>
      </x:c>
      <x:c r="J22" s="184" t="n">
        <x:f>IF(ISNUMBER(I22),B22*I22,0)</x:f>
        <x:v>13999608</x:v>
      </x:c>
      <x:c r="K22" s="184" t="n">
        <x:f>IF(AND(A22&lt;&gt;"",M22=0),B22*F22,0)</x:f>
        <x:v>886500</x:v>
      </x:c>
      <x:c r="L22" s="184" t="n">
        <x:f>IF(A22="",0,IF(ISNUMBER(I22),0,B22))</x:f>
        <x:v>0</x:v>
      </x:c>
      <x:c r="M22" s="185" t="n">
        <x:f>IF(A22="",0,IF(AND(ISNUMBER(F22),F22&gt;=0,F22&lt;=1,OR(G22="fitch_issue_recovery_estimate",G22="fitch_issue_recovery_rating",G22="reviewed_bbsf_fallback",G22="development_assumption"),H22&lt;&gt;""),0,B22))</x:f>
        <x:v>0</x:v>
      </x:c>
      <x:c r="N22" s="186" t="n">
        <x:f>IF(A22=Q22,0,1)+IF(B22=R22,0,1)+IF(C22=S22,0,1)+IF(D22=T22,0,1)+IF(E22=U22,0,1)+IF(F22=V22,0,1)+IF(G22=W22,0,1)+IF(H22=X22,0,1)</x:f>
        <x:v>0</x:v>
      </x:c>
      <x:c r="O22" s="186" t="n">
        <x:f>IF(A22="",0,IF(E22="",B22,0))</x:f>
        <x:v>1182000</x:v>
      </x:c>
      <x:c r="P22" s="187"/>
      <x:c r="Q22" s="179" t="str">
        <x:v>SYN-LN-00015</x:v>
      </x:c>
      <x:c r="R22" s="179" t="n">
        <x:v>1182000</x:v>
      </x:c>
      <x:c r="S22" s="179" t="str">
        <x:v>BB</x:v>
      </x:c>
      <x:c r="T22" s="179" t="str">
        <x:v>development_proxy</x:v>
      </x:c>
      <x:c r="U22" s="179" t="str"/>
      <x:c r="V22" s="179" t="n">
        <x:v>0.75</x:v>
      </x:c>
      <x:c r="W22" s="179" t="str">
        <x:v>development_assumption</x:v>
      </x:c>
      <x:c r="X2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3" ht="107" customHeight="1">
      <x:c r="A23" s="179" t="str">
        <x:v>SYN-LN-00016</x:v>
      </x:c>
      <x:c r="B23" s="180" t="n">
        <x:f>IF(A23="","",SUMIF('Portfolio Inputs'!A8:A289,A23,'Portfolio Inputs'!D8:D289))</x:f>
        <x:v>1182000</x:v>
      </x:c>
      <x:c r="C23" s="179" t="str">
        <x:v>BB-</x:v>
      </x:c>
      <x:c r="D23" s="181" t="str">
        <x:v>development_proxy</x:v>
      </x:c>
      <x:c r="E23" s="181" t="str"/>
      <x:c r="F23" s="182" t="n">
        <x:v>0.75</x:v>
      </x:c>
      <x:c r="G23" s="181" t="str">
        <x:v>development_assumption</x:v>
      </x:c>
      <x:c r="H2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3" s="183" t="n">
        <x:f>IF(AND(C23&lt;&gt;"",OR(D23="public_fitch_idr",D23="reviewed_appendix5_equivalent",D23="development_proxy"),H23&lt;&gt;""),VLOOKUP(C23,Fitch_WARF_Factors,2,FALSE),"")</x:f>
        <x:v>15.733</x:v>
      </x:c>
      <x:c r="J23" s="184" t="n">
        <x:f>IF(ISNUMBER(I23),B23*I23,0)</x:f>
        <x:v>18596406</x:v>
      </x:c>
      <x:c r="K23" s="184" t="n">
        <x:f>IF(AND(A23&lt;&gt;"",M23=0),B23*F23,0)</x:f>
        <x:v>886500</x:v>
      </x:c>
      <x:c r="L23" s="184" t="n">
        <x:f>IF(A23="",0,IF(ISNUMBER(I23),0,B23))</x:f>
        <x:v>0</x:v>
      </x:c>
      <x:c r="M23" s="185" t="n">
        <x:f>IF(A23="",0,IF(AND(ISNUMBER(F23),F23&gt;=0,F23&lt;=1,OR(G23="fitch_issue_recovery_estimate",G23="fitch_issue_recovery_rating",G23="reviewed_bbsf_fallback",G23="development_assumption"),H23&lt;&gt;""),0,B23))</x:f>
        <x:v>0</x:v>
      </x:c>
      <x:c r="N23" s="186" t="n">
        <x:f>IF(A23=Q23,0,1)+IF(B23=R23,0,1)+IF(C23=S23,0,1)+IF(D23=T23,0,1)+IF(E23=U23,0,1)+IF(F23=V23,0,1)+IF(G23=W23,0,1)+IF(H23=X23,0,1)</x:f>
        <x:v>0</x:v>
      </x:c>
      <x:c r="O23" s="186" t="n">
        <x:f>IF(A23="",0,IF(E23="",B23,0))</x:f>
        <x:v>1182000</x:v>
      </x:c>
      <x:c r="P23" s="187"/>
      <x:c r="Q23" s="179" t="str">
        <x:v>SYN-LN-00016</x:v>
      </x:c>
      <x:c r="R23" s="179" t="n">
        <x:v>1182000</x:v>
      </x:c>
      <x:c r="S23" s="179" t="str">
        <x:v>BB-</x:v>
      </x:c>
      <x:c r="T23" s="179" t="str">
        <x:v>development_proxy</x:v>
      </x:c>
      <x:c r="U23" s="179" t="str"/>
      <x:c r="V23" s="179" t="n">
        <x:v>0.75</x:v>
      </x:c>
      <x:c r="W23" s="179" t="str">
        <x:v>development_assumption</x:v>
      </x:c>
      <x:c r="X2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4" ht="107" customHeight="1">
      <x:c r="A24" s="179" t="str">
        <x:v>SYN-LN-00017</x:v>
      </x:c>
      <x:c r="B24" s="180" t="n">
        <x:f>IF(A24="","",SUMIF('Portfolio Inputs'!A8:A289,A24,'Portfolio Inputs'!D8:D289))</x:f>
        <x:v>630000</x:v>
      </x:c>
      <x:c r="C24" s="179" t="str">
        <x:v>BB-</x:v>
      </x:c>
      <x:c r="D24" s="181" t="str">
        <x:v>development_proxy</x:v>
      </x:c>
      <x:c r="E24" s="181" t="str"/>
      <x:c r="F24" s="182"/>
      <x:c r="G24" s="181" t="str"/>
      <x:c r="H24" s="181" t="str">
        <x:v>FICTIONAL DEVELOPMENT: copied S&amp;P symbol as Fitch IDR-equivalency proxy; no Fitch rating or Appendix 5 review.</x:v>
      </x:c>
      <x:c r="I24" s="183" t="n">
        <x:f>IF(AND(C24&lt;&gt;"",OR(D24="public_fitch_idr",D24="reviewed_appendix5_equivalent",D24="development_proxy"),H24&lt;&gt;""),VLOOKUP(C24,Fitch_WARF_Factors,2,FALSE),"")</x:f>
        <x:v>15.733</x:v>
      </x:c>
      <x:c r="J24" s="184" t="n">
        <x:f>IF(ISNUMBER(I24),B24*I24,0)</x:f>
        <x:v>9911790</x:v>
      </x:c>
      <x:c r="K24" s="184" t="n">
        <x:f>IF(AND(A24&lt;&gt;"",M24=0),B24*F24,0)</x:f>
        <x:v>0</x:v>
      </x:c>
      <x:c r="L24" s="184" t="n">
        <x:f>IF(A24="",0,IF(ISNUMBER(I24),0,B24))</x:f>
        <x:v>0</x:v>
      </x:c>
      <x:c r="M24" s="185" t="n">
        <x:f>IF(A24="",0,IF(AND(ISNUMBER(F24),F24&gt;=0,F24&lt;=1,OR(G24="fitch_issue_recovery_estimate",G24="fitch_issue_recovery_rating",G24="reviewed_bbsf_fallback",G24="development_assumption"),H24&lt;&gt;""),0,B24))</x:f>
        <x:v>630000</x:v>
      </x:c>
      <x:c r="N24" s="186" t="n">
        <x:f>IF(A24=Q24,0,1)+IF(B24=R24,0,1)+IF(C24=S24,0,1)+IF(D24=T24,0,1)+IF(E24=U24,0,1)+IF(F24=V24,0,1)+IF(G24=W24,0,1)+IF(H24=X24,0,1)</x:f>
        <x:v>0</x:v>
      </x:c>
      <x:c r="O24" s="186" t="n">
        <x:f>IF(A24="",0,IF(E24="",B24,0))</x:f>
        <x:v>630000</x:v>
      </x:c>
      <x:c r="P24" s="187"/>
      <x:c r="Q24" s="179" t="str">
        <x:v>SYN-LN-00017</x:v>
      </x:c>
      <x:c r="R24" s="179" t="n">
        <x:v>630000</x:v>
      </x:c>
      <x:c r="S24" s="179" t="str">
        <x:v>BB-</x:v>
      </x:c>
      <x:c r="T24" s="179" t="str">
        <x:v>development_proxy</x:v>
      </x:c>
      <x:c r="U24" s="179" t="str"/>
      <x:c r="V24" s="179"/>
      <x:c r="W24" s="179" t="str"/>
      <x:c r="X24" s="179" t="str">
        <x:v>FICTIONAL DEVELOPMENT: copied S&amp;P symbol as Fitch IDR-equivalency proxy; no Fitch rating or Appendix 5 review.</x:v>
      </x:c>
    </x:row>
    <x:row r="25" ht="107" customHeight="1">
      <x:c r="A25" s="179" t="str">
        <x:v>SYN-LN-00018</x:v>
      </x:c>
      <x:c r="B25" s="180" t="n">
        <x:f>IF(A25="","",SUMIF('Portfolio Inputs'!A8:A289,A25,'Portfolio Inputs'!D8:D289))</x:f>
        <x:v>1182000</x:v>
      </x:c>
      <x:c r="C25" s="179" t="str">
        <x:v>BB</x:v>
      </x:c>
      <x:c r="D25" s="181" t="str">
        <x:v>development_proxy</x:v>
      </x:c>
      <x:c r="E25" s="181" t="str"/>
      <x:c r="F25" s="182" t="n">
        <x:v>0.75</x:v>
      </x:c>
      <x:c r="G25" s="181" t="str">
        <x:v>development_assumption</x:v>
      </x:c>
      <x:c r="H2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5" s="183" t="n">
        <x:f>IF(AND(C25&lt;&gt;"",OR(D25="public_fitch_idr",D25="reviewed_appendix5_equivalent",D25="development_proxy"),H25&lt;&gt;""),VLOOKUP(C25,Fitch_WARF_Factors,2,FALSE),"")</x:f>
        <x:v>11.844</x:v>
      </x:c>
      <x:c r="J25" s="184" t="n">
        <x:f>IF(ISNUMBER(I25),B25*I25,0)</x:f>
        <x:v>13999608</x:v>
      </x:c>
      <x:c r="K25" s="184" t="n">
        <x:f>IF(AND(A25&lt;&gt;"",M25=0),B25*F25,0)</x:f>
        <x:v>886500</x:v>
      </x:c>
      <x:c r="L25" s="184" t="n">
        <x:f>IF(A25="",0,IF(ISNUMBER(I25),0,B25))</x:f>
        <x:v>0</x:v>
      </x:c>
      <x:c r="M25" s="185" t="n">
        <x:f>IF(A25="",0,IF(AND(ISNUMBER(F25),F25&gt;=0,F25&lt;=1,OR(G25="fitch_issue_recovery_estimate",G25="fitch_issue_recovery_rating",G25="reviewed_bbsf_fallback",G25="development_assumption"),H25&lt;&gt;""),0,B25))</x:f>
        <x:v>0</x:v>
      </x:c>
      <x:c r="N25" s="186" t="n">
        <x:f>IF(A25=Q25,0,1)+IF(B25=R25,0,1)+IF(C25=S25,0,1)+IF(D25=T25,0,1)+IF(E25=U25,0,1)+IF(F25=V25,0,1)+IF(G25=W25,0,1)+IF(H25=X25,0,1)</x:f>
        <x:v>0</x:v>
      </x:c>
      <x:c r="O25" s="186" t="n">
        <x:f>IF(A25="",0,IF(E25="",B25,0))</x:f>
        <x:v>1182000</x:v>
      </x:c>
      <x:c r="P25" s="187"/>
      <x:c r="Q25" s="179" t="str">
        <x:v>SYN-LN-00018</x:v>
      </x:c>
      <x:c r="R25" s="179" t="n">
        <x:v>1182000</x:v>
      </x:c>
      <x:c r="S25" s="179" t="str">
        <x:v>BB</x:v>
      </x:c>
      <x:c r="T25" s="179" t="str">
        <x:v>development_proxy</x:v>
      </x:c>
      <x:c r="U25" s="179" t="str"/>
      <x:c r="V25" s="179" t="n">
        <x:v>0.75</x:v>
      </x:c>
      <x:c r="W25" s="179" t="str">
        <x:v>development_assumption</x:v>
      </x:c>
      <x:c r="X2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6" ht="107" customHeight="1">
      <x:c r="A26" s="179" t="str">
        <x:v>SYN-LN-00019</x:v>
      </x:c>
      <x:c r="B26" s="180" t="n">
        <x:f>IF(A26="","",SUMIF('Portfolio Inputs'!A8:A289,A26,'Portfolio Inputs'!D8:D289))</x:f>
        <x:v>1182000</x:v>
      </x:c>
      <x:c r="C26" s="179" t="str">
        <x:v>B-</x:v>
      </x:c>
      <x:c r="D26" s="181" t="str">
        <x:v>development_proxy</x:v>
      </x:c>
      <x:c r="E26" s="181" t="str"/>
      <x:c r="F26" s="182" t="n">
        <x:v>0.75</x:v>
      </x:c>
      <x:c r="G26" s="181" t="str">
        <x:v>development_assumption</x:v>
      </x:c>
      <x:c r="H2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6" s="183" t="n">
        <x:f>IF(AND(C26&lt;&gt;"",OR(D26="public_fitch_idr",D26="reviewed_appendix5_equivalent",D26="development_proxy"),H26&lt;&gt;""),VLOOKUP(C26,Fitch_WARF_Factors,2,FALSE),"")</x:f>
        <x:v>32.221</x:v>
      </x:c>
      <x:c r="J26" s="184" t="n">
        <x:f>IF(ISNUMBER(I26),B26*I26,0)</x:f>
        <x:v>38085221.99999999</x:v>
      </x:c>
      <x:c r="K26" s="184" t="n">
        <x:f>IF(AND(A26&lt;&gt;"",M26=0),B26*F26,0)</x:f>
        <x:v>886500</x:v>
      </x:c>
      <x:c r="L26" s="184" t="n">
        <x:f>IF(A26="",0,IF(ISNUMBER(I26),0,B26))</x:f>
        <x:v>0</x:v>
      </x:c>
      <x:c r="M26" s="185" t="n">
        <x:f>IF(A26="",0,IF(AND(ISNUMBER(F26),F26&gt;=0,F26&lt;=1,OR(G26="fitch_issue_recovery_estimate",G26="fitch_issue_recovery_rating",G26="reviewed_bbsf_fallback",G26="development_assumption"),H26&lt;&gt;""),0,B26))</x:f>
        <x:v>0</x:v>
      </x:c>
      <x:c r="N26" s="186" t="n">
        <x:f>IF(A26=Q26,0,1)+IF(B26=R26,0,1)+IF(C26=S26,0,1)+IF(D26=T26,0,1)+IF(E26=U26,0,1)+IF(F26=V26,0,1)+IF(G26=W26,0,1)+IF(H26=X26,0,1)</x:f>
        <x:v>0</x:v>
      </x:c>
      <x:c r="O26" s="186" t="n">
        <x:f>IF(A26="",0,IF(E26="",B26,0))</x:f>
        <x:v>1182000</x:v>
      </x:c>
      <x:c r="P26" s="187"/>
      <x:c r="Q26" s="179" t="str">
        <x:v>SYN-LN-00019</x:v>
      </x:c>
      <x:c r="R26" s="179" t="n">
        <x:v>1182000</x:v>
      </x:c>
      <x:c r="S26" s="179" t="str">
        <x:v>B-</x:v>
      </x:c>
      <x:c r="T26" s="179" t="str">
        <x:v>development_proxy</x:v>
      </x:c>
      <x:c r="U26" s="179" t="str"/>
      <x:c r="V26" s="179" t="n">
        <x:v>0.75</x:v>
      </x:c>
      <x:c r="W26" s="179" t="str">
        <x:v>development_assumption</x:v>
      </x:c>
      <x:c r="X2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7" ht="107" customHeight="1">
      <x:c r="A27" s="179" t="str">
        <x:v>SYN-LN-00020</x:v>
      </x:c>
      <x:c r="B27" s="180" t="n">
        <x:f>IF(A27="","",SUMIF('Portfolio Inputs'!A8:A289,A27,'Portfolio Inputs'!D8:D289))</x:f>
        <x:v>1182000</x:v>
      </x:c>
      <x:c r="C27" s="179" t="str">
        <x:v>B+</x:v>
      </x:c>
      <x:c r="D27" s="181" t="str">
        <x:v>development_proxy</x:v>
      </x:c>
      <x:c r="E27" s="181" t="str"/>
      <x:c r="F27" s="182" t="n">
        <x:v>0.75</x:v>
      </x:c>
      <x:c r="G27" s="181" t="str">
        <x:v>development_assumption</x:v>
      </x:c>
      <x:c r="H2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7" s="183" t="n">
        <x:f>IF(AND(C27&lt;&gt;"",OR(D27="public_fitch_idr",D27="reviewed_appendix5_equivalent",D27="development_proxy"),H27&lt;&gt;""),VLOOKUP(C27,Fitch_WARF_Factors,2,FALSE),"")</x:f>
        <x:v>19.627</x:v>
      </x:c>
      <x:c r="J27" s="184" t="n">
        <x:f>IF(ISNUMBER(I27),B27*I27,0)</x:f>
        <x:v>23199114</x:v>
      </x:c>
      <x:c r="K27" s="184" t="n">
        <x:f>IF(AND(A27&lt;&gt;"",M27=0),B27*F27,0)</x:f>
        <x:v>886500</x:v>
      </x:c>
      <x:c r="L27" s="184" t="n">
        <x:f>IF(A27="",0,IF(ISNUMBER(I27),0,B27))</x:f>
        <x:v>0</x:v>
      </x:c>
      <x:c r="M27" s="185" t="n">
        <x:f>IF(A27="",0,IF(AND(ISNUMBER(F27),F27&gt;=0,F27&lt;=1,OR(G27="fitch_issue_recovery_estimate",G27="fitch_issue_recovery_rating",G27="reviewed_bbsf_fallback",G27="development_assumption"),H27&lt;&gt;""),0,B27))</x:f>
        <x:v>0</x:v>
      </x:c>
      <x:c r="N27" s="186" t="n">
        <x:f>IF(A27=Q27,0,1)+IF(B27=R27,0,1)+IF(C27=S27,0,1)+IF(D27=T27,0,1)+IF(E27=U27,0,1)+IF(F27=V27,0,1)+IF(G27=W27,0,1)+IF(H27=X27,0,1)</x:f>
        <x:v>0</x:v>
      </x:c>
      <x:c r="O27" s="186" t="n">
        <x:f>IF(A27="",0,IF(E27="",B27,0))</x:f>
        <x:v>1182000</x:v>
      </x:c>
      <x:c r="P27" s="187"/>
      <x:c r="Q27" s="179" t="str">
        <x:v>SYN-LN-00020</x:v>
      </x:c>
      <x:c r="R27" s="179" t="n">
        <x:v>1182000</x:v>
      </x:c>
      <x:c r="S27" s="179" t="str">
        <x:v>B+</x:v>
      </x:c>
      <x:c r="T27" s="179" t="str">
        <x:v>development_proxy</x:v>
      </x:c>
      <x:c r="U27" s="179" t="str"/>
      <x:c r="V27" s="179" t="n">
        <x:v>0.75</x:v>
      </x:c>
      <x:c r="W27" s="179" t="str">
        <x:v>development_assumption</x:v>
      </x:c>
      <x:c r="X2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8" ht="107" customHeight="1">
      <x:c r="A28" s="179" t="str">
        <x:v>SYN-LN-00021</x:v>
      </x:c>
      <x:c r="B28" s="180" t="n">
        <x:f>IF(A28="","",SUMIF('Portfolio Inputs'!A8:A289,A28,'Portfolio Inputs'!D8:D289))</x:f>
        <x:v>1182000</x:v>
      </x:c>
      <x:c r="C28" s="179" t="str">
        <x:v>BB-</x:v>
      </x:c>
      <x:c r="D28" s="181" t="str">
        <x:v>development_proxy</x:v>
      </x:c>
      <x:c r="E28" s="181" t="str"/>
      <x:c r="F28" s="182" t="n">
        <x:v>0.75</x:v>
      </x:c>
      <x:c r="G28" s="181" t="str">
        <x:v>development_assumption</x:v>
      </x:c>
      <x:c r="H2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8" s="183" t="n">
        <x:f>IF(AND(C28&lt;&gt;"",OR(D28="public_fitch_idr",D28="reviewed_appendix5_equivalent",D28="development_proxy"),H28&lt;&gt;""),VLOOKUP(C28,Fitch_WARF_Factors,2,FALSE),"")</x:f>
        <x:v>15.733</x:v>
      </x:c>
      <x:c r="J28" s="184" t="n">
        <x:f>IF(ISNUMBER(I28),B28*I28,0)</x:f>
        <x:v>18596406</x:v>
      </x:c>
      <x:c r="K28" s="184" t="n">
        <x:f>IF(AND(A28&lt;&gt;"",M28=0),B28*F28,0)</x:f>
        <x:v>886500</x:v>
      </x:c>
      <x:c r="L28" s="184" t="n">
        <x:f>IF(A28="",0,IF(ISNUMBER(I28),0,B28))</x:f>
        <x:v>0</x:v>
      </x:c>
      <x:c r="M28" s="185" t="n">
        <x:f>IF(A28="",0,IF(AND(ISNUMBER(F28),F28&gt;=0,F28&lt;=1,OR(G28="fitch_issue_recovery_estimate",G28="fitch_issue_recovery_rating",G28="reviewed_bbsf_fallback",G28="development_assumption"),H28&lt;&gt;""),0,B28))</x:f>
        <x:v>0</x:v>
      </x:c>
      <x:c r="N28" s="186" t="n">
        <x:f>IF(A28=Q28,0,1)+IF(B28=R28,0,1)+IF(C28=S28,0,1)+IF(D28=T28,0,1)+IF(E28=U28,0,1)+IF(F28=V28,0,1)+IF(G28=W28,0,1)+IF(H28=X28,0,1)</x:f>
        <x:v>0</x:v>
      </x:c>
      <x:c r="O28" s="186" t="n">
        <x:f>IF(A28="",0,IF(E28="",B28,0))</x:f>
        <x:v>1182000</x:v>
      </x:c>
      <x:c r="P28" s="187"/>
      <x:c r="Q28" s="179" t="str">
        <x:v>SYN-LN-00021</x:v>
      </x:c>
      <x:c r="R28" s="179" t="n">
        <x:v>1182000</x:v>
      </x:c>
      <x:c r="S28" s="179" t="str">
        <x:v>BB-</x:v>
      </x:c>
      <x:c r="T28" s="179" t="str">
        <x:v>development_proxy</x:v>
      </x:c>
      <x:c r="U28" s="179" t="str"/>
      <x:c r="V28" s="179" t="n">
        <x:v>0.75</x:v>
      </x:c>
      <x:c r="W28" s="179" t="str">
        <x:v>development_assumption</x:v>
      </x:c>
      <x:c r="X2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9" ht="107" customHeight="1">
      <x:c r="A29" s="179" t="str">
        <x:v>SYN-LN-00022</x:v>
      </x:c>
      <x:c r="B29" s="180" t="n">
        <x:f>IF(A29="","",SUMIF('Portfolio Inputs'!A8:A289,A29,'Portfolio Inputs'!D8:D289))</x:f>
        <x:v>1182000</x:v>
      </x:c>
      <x:c r="C29" s="179" t="str">
        <x:v>BBB-</x:v>
      </x:c>
      <x:c r="D29" s="181" t="str">
        <x:v>development_proxy</x:v>
      </x:c>
      <x:c r="E29" s="181" t="str"/>
      <x:c r="F29" s="182" t="n">
        <x:v>0.75</x:v>
      </x:c>
      <x:c r="G29" s="181" t="str">
        <x:v>development_assumption</x:v>
      </x:c>
      <x:c r="H2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9" s="183" t="n">
        <x:f>IF(AND(C29&lt;&gt;"",OR(D29="public_fitch_idr",D29="reviewed_appendix5_equivalent",D29="development_proxy"),H29&lt;&gt;""),VLOOKUP(C29,Fitch_WARF_Factors,2,FALSE),"")</x:f>
        <x:v>6.039</x:v>
      </x:c>
      <x:c r="J29" s="184" t="n">
        <x:f>IF(ISNUMBER(I29),B29*I29,0)</x:f>
        <x:v>7138098</x:v>
      </x:c>
      <x:c r="K29" s="184" t="n">
        <x:f>IF(AND(A29&lt;&gt;"",M29=0),B29*F29,0)</x:f>
        <x:v>886500</x:v>
      </x:c>
      <x:c r="L29" s="184" t="n">
        <x:f>IF(A29="",0,IF(ISNUMBER(I29),0,B29))</x:f>
        <x:v>0</x:v>
      </x:c>
      <x:c r="M29" s="185" t="n">
        <x:f>IF(A29="",0,IF(AND(ISNUMBER(F29),F29&gt;=0,F29&lt;=1,OR(G29="fitch_issue_recovery_estimate",G29="fitch_issue_recovery_rating",G29="reviewed_bbsf_fallback",G29="development_assumption"),H29&lt;&gt;""),0,B29))</x:f>
        <x:v>0</x:v>
      </x:c>
      <x:c r="N29" s="186" t="n">
        <x:f>IF(A29=Q29,0,1)+IF(B29=R29,0,1)+IF(C29=S29,0,1)+IF(D29=T29,0,1)+IF(E29=U29,0,1)+IF(F29=V29,0,1)+IF(G29=W29,0,1)+IF(H29=X29,0,1)</x:f>
        <x:v>0</x:v>
      </x:c>
      <x:c r="O29" s="186" t="n">
        <x:f>IF(A29="",0,IF(E29="",B29,0))</x:f>
        <x:v>1182000</x:v>
      </x:c>
      <x:c r="P29" s="187"/>
      <x:c r="Q29" s="179" t="str">
        <x:v>SYN-LN-00022</x:v>
      </x:c>
      <x:c r="R29" s="179" t="n">
        <x:v>1182000</x:v>
      </x:c>
      <x:c r="S29" s="179" t="str">
        <x:v>BBB-</x:v>
      </x:c>
      <x:c r="T29" s="179" t="str">
        <x:v>development_proxy</x:v>
      </x:c>
      <x:c r="U29" s="179" t="str"/>
      <x:c r="V29" s="179" t="n">
        <x:v>0.75</x:v>
      </x:c>
      <x:c r="W29" s="179" t="str">
        <x:v>development_assumption</x:v>
      </x:c>
      <x:c r="X2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30" ht="107" customHeight="1">
      <x:c r="A30" s="179" t="str">
        <x:v>SYN-LN-00023</x:v>
      </x:c>
      <x:c r="B30" s="180" t="n">
        <x:f>IF(A30="","",SUMIF('Portfolio Inputs'!A8:A289,A30,'Portfolio Inputs'!D8:D289))</x:f>
        <x:v>1182000</x:v>
      </x:c>
      <x:c r="C30" s="179" t="str">
        <x:v>BB</x:v>
      </x:c>
      <x:c r="D30" s="181" t="str">
        <x:v>development_proxy</x:v>
      </x:c>
      <x:c r="E30" s="181" t="str"/>
      <x:c r="F30" s="182" t="n">
        <x:v>0.75</x:v>
      </x:c>
      <x:c r="G30" s="181" t="str">
        <x:v>development_assumption</x:v>
      </x:c>
      <x:c r="H3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30" s="183" t="n">
        <x:f>IF(AND(C30&lt;&gt;"",OR(D30="public_fitch_idr",D30="reviewed_appendix5_equivalent",D30="development_proxy"),H30&lt;&gt;""),VLOOKUP(C30,Fitch_WARF_Factors,2,FALSE),"")</x:f>
        <x:v>11.844</x:v>
      </x:c>
      <x:c r="J30" s="184" t="n">
        <x:f>IF(ISNUMBER(I30),B30*I30,0)</x:f>
        <x:v>13999608</x:v>
      </x:c>
      <x:c r="K30" s="184" t="n">
        <x:f>IF(AND(A30&lt;&gt;"",M30=0),B30*F30,0)</x:f>
        <x:v>886500</x:v>
      </x:c>
      <x:c r="L30" s="184" t="n">
        <x:f>IF(A30="",0,IF(ISNUMBER(I30),0,B30))</x:f>
        <x:v>0</x:v>
      </x:c>
      <x:c r="M30" s="185" t="n">
        <x:f>IF(A30="",0,IF(AND(ISNUMBER(F30),F30&gt;=0,F30&lt;=1,OR(G30="fitch_issue_recovery_estimate",G30="fitch_issue_recovery_rating",G30="reviewed_bbsf_fallback",G30="development_assumption"),H30&lt;&gt;""),0,B30))</x:f>
        <x:v>0</x:v>
      </x:c>
      <x:c r="N30" s="186" t="n">
        <x:f>IF(A30=Q30,0,1)+IF(B30=R30,0,1)+IF(C30=S30,0,1)+IF(D30=T30,0,1)+IF(E30=U30,0,1)+IF(F30=V30,0,1)+IF(G30=W30,0,1)+IF(H30=X30,0,1)</x:f>
        <x:v>0</x:v>
      </x:c>
      <x:c r="O30" s="186" t="n">
        <x:f>IF(A30="",0,IF(E30="",B30,0))</x:f>
        <x:v>1182000</x:v>
      </x:c>
      <x:c r="P30" s="187"/>
      <x:c r="Q30" s="179" t="str">
        <x:v>SYN-LN-00023</x:v>
      </x:c>
      <x:c r="R30" s="179" t="n">
        <x:v>1182000</x:v>
      </x:c>
      <x:c r="S30" s="179" t="str">
        <x:v>BB</x:v>
      </x:c>
      <x:c r="T30" s="179" t="str">
        <x:v>development_proxy</x:v>
      </x:c>
      <x:c r="U30" s="179" t="str"/>
      <x:c r="V30" s="179" t="n">
        <x:v>0.75</x:v>
      </x:c>
      <x:c r="W30" s="179" t="str">
        <x:v>development_assumption</x:v>
      </x:c>
      <x:c r="X3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31" ht="107" customHeight="1">
      <x:c r="A31" s="179" t="str">
        <x:v>SYN-LN-00024</x:v>
      </x:c>
      <x:c r="B31" s="180" t="n">
        <x:f>IF(A31="","",SUMIF('Portfolio Inputs'!A8:A289,A31,'Portfolio Inputs'!D8:D289))</x:f>
        <x:v>1182000</x:v>
      </x:c>
      <x:c r="C31" s="179" t="str">
        <x:v>B+</x:v>
      </x:c>
      <x:c r="D31" s="181" t="str">
        <x:v>development_proxy</x:v>
      </x:c>
      <x:c r="E31" s="181" t="str"/>
      <x:c r="F31" s="182" t="n">
        <x:v>0.75</x:v>
      </x:c>
      <x:c r="G31" s="181" t="str">
        <x:v>development_assumption</x:v>
      </x:c>
      <x:c r="H3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31" s="183" t="n">
        <x:f>IF(AND(C31&lt;&gt;"",OR(D31="public_fitch_idr",D31="reviewed_appendix5_equivalent",D31="development_proxy"),H31&lt;&gt;""),VLOOKUP(C31,Fitch_WARF_Factors,2,FALSE),"")</x:f>
        <x:v>19.627</x:v>
      </x:c>
      <x:c r="J31" s="184" t="n">
        <x:f>IF(ISNUMBER(I31),B31*I31,0)</x:f>
        <x:v>23199114</x:v>
      </x:c>
      <x:c r="K31" s="184" t="n">
        <x:f>IF(AND(A31&lt;&gt;"",M31=0),B31*F31,0)</x:f>
        <x:v>886500</x:v>
      </x:c>
      <x:c r="L31" s="184" t="n">
        <x:f>IF(A31="",0,IF(ISNUMBER(I31),0,B31))</x:f>
        <x:v>0</x:v>
      </x:c>
      <x:c r="M31" s="185" t="n">
        <x:f>IF(A31="",0,IF(AND(ISNUMBER(F31),F31&gt;=0,F31&lt;=1,OR(G31="fitch_issue_recovery_estimate",G31="fitch_issue_recovery_rating",G31="reviewed_bbsf_fallback",G31="development_assumption"),H31&lt;&gt;""),0,B31))</x:f>
        <x:v>0</x:v>
      </x:c>
      <x:c r="N31" s="186" t="n">
        <x:f>IF(A31=Q31,0,1)+IF(B31=R31,0,1)+IF(C31=S31,0,1)+IF(D31=T31,0,1)+IF(E31=U31,0,1)+IF(F31=V31,0,1)+IF(G31=W31,0,1)+IF(H31=X31,0,1)</x:f>
        <x:v>0</x:v>
      </x:c>
      <x:c r="O31" s="186" t="n">
        <x:f>IF(A31="",0,IF(E31="",B31,0))</x:f>
        <x:v>1182000</x:v>
      </x:c>
      <x:c r="P31" s="187"/>
      <x:c r="Q31" s="179" t="str">
        <x:v>SYN-LN-00024</x:v>
      </x:c>
      <x:c r="R31" s="179" t="n">
        <x:v>1182000</x:v>
      </x:c>
      <x:c r="S31" s="179" t="str">
        <x:v>B+</x:v>
      </x:c>
      <x:c r="T31" s="179" t="str">
        <x:v>development_proxy</x:v>
      </x:c>
      <x:c r="U31" s="179" t="str"/>
      <x:c r="V31" s="179" t="n">
        <x:v>0.75</x:v>
      </x:c>
      <x:c r="W31" s="179" t="str">
        <x:v>development_assumption</x:v>
      </x:c>
      <x:c r="X3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32" ht="107" customHeight="1">
      <x:c r="A32" s="179" t="str">
        <x:v>SYN-LN-00025</x:v>
      </x:c>
      <x:c r="B32" s="180" t="n">
        <x:f>IF(A32="","",SUMIF('Portfolio Inputs'!A8:A289,A32,'Portfolio Inputs'!D8:D289))</x:f>
        <x:v>1182000</x:v>
      </x:c>
      <x:c r="C32" s="179" t="str">
        <x:v>B-</x:v>
      </x:c>
      <x:c r="D32" s="181" t="str">
        <x:v>development_proxy</x:v>
      </x:c>
      <x:c r="E32" s="181" t="str"/>
      <x:c r="F32" s="182" t="n">
        <x:v>0.75</x:v>
      </x:c>
      <x:c r="G32" s="181" t="str">
        <x:v>development_assumption</x:v>
      </x:c>
      <x:c r="H3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32" s="183" t="n">
        <x:f>IF(AND(C32&lt;&gt;"",OR(D32="public_fitch_idr",D32="reviewed_appendix5_equivalent",D32="development_proxy"),H32&lt;&gt;""),VLOOKUP(C32,Fitch_WARF_Factors,2,FALSE),"")</x:f>
        <x:v>32.221</x:v>
      </x:c>
      <x:c r="J32" s="184" t="n">
        <x:f>IF(ISNUMBER(I32),B32*I32,0)</x:f>
        <x:v>38085221.99999999</x:v>
      </x:c>
      <x:c r="K32" s="184" t="n">
        <x:f>IF(AND(A32&lt;&gt;"",M32=0),B32*F32,0)</x:f>
        <x:v>886500</x:v>
      </x:c>
      <x:c r="L32" s="184" t="n">
        <x:f>IF(A32="",0,IF(ISNUMBER(I32),0,B32))</x:f>
        <x:v>0</x:v>
      </x:c>
      <x:c r="M32" s="185" t="n">
        <x:f>IF(A32="",0,IF(AND(ISNUMBER(F32),F32&gt;=0,F32&lt;=1,OR(G32="fitch_issue_recovery_estimate",G32="fitch_issue_recovery_rating",G32="reviewed_bbsf_fallback",G32="development_assumption"),H32&lt;&gt;""),0,B32))</x:f>
        <x:v>0</x:v>
      </x:c>
      <x:c r="N32" s="186" t="n">
        <x:f>IF(A32=Q32,0,1)+IF(B32=R32,0,1)+IF(C32=S32,0,1)+IF(D32=T32,0,1)+IF(E32=U32,0,1)+IF(F32=V32,0,1)+IF(G32=W32,0,1)+IF(H32=X32,0,1)</x:f>
        <x:v>0</x:v>
      </x:c>
      <x:c r="O32" s="186" t="n">
        <x:f>IF(A32="",0,IF(E32="",B32,0))</x:f>
        <x:v>1182000</x:v>
      </x:c>
      <x:c r="P32" s="187"/>
      <x:c r="Q32" s="179" t="str">
        <x:v>SYN-LN-00025</x:v>
      </x:c>
      <x:c r="R32" s="179" t="n">
        <x:v>1182000</x:v>
      </x:c>
      <x:c r="S32" s="179" t="str">
        <x:v>B-</x:v>
      </x:c>
      <x:c r="T32" s="179" t="str">
        <x:v>development_proxy</x:v>
      </x:c>
      <x:c r="U32" s="179" t="str"/>
      <x:c r="V32" s="179" t="n">
        <x:v>0.75</x:v>
      </x:c>
      <x:c r="W32" s="179" t="str">
        <x:v>development_assumption</x:v>
      </x:c>
      <x:c r="X3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33" ht="107" customHeight="1">
      <x:c r="A33" s="179" t="str">
        <x:v>SYN-LN-00026</x:v>
      </x:c>
      <x:c r="B33" s="180" t="n">
        <x:f>IF(A33="","",SUMIF('Portfolio Inputs'!A8:A289,A33,'Portfolio Inputs'!D8:D289))</x:f>
        <x:v>1182000</x:v>
      </x:c>
      <x:c r="C33" s="179" t="str">
        <x:v>B</x:v>
      </x:c>
      <x:c r="D33" s="181" t="str">
        <x:v>development_proxy</x:v>
      </x:c>
      <x:c r="E33" s="181" t="str"/>
      <x:c r="F33" s="182" t="n">
        <x:v>0.65</x:v>
      </x:c>
      <x:c r="G33" s="181" t="str">
        <x:v>development_assumption</x:v>
      </x:c>
      <x:c r="H33" s="181" t="str">
        <x:v>FICTIONAL DEVELOPMENT: copied S&amp;P symbol as Fitch IDR-equivalency proxy; no Fitch rating or Appendix 5 review. Assumed first-lien facility is senior secured loan with no issue recovery opinion; Luxembourg Group 2; Fitch June 1 2026 Appendix 4 pp42-43 and Appendix 6 pp47-48 BBsf Strong fallback.</x:v>
      </x:c>
      <x:c r="I33" s="183" t="n">
        <x:f>IF(AND(C33&lt;&gt;"",OR(D33="public_fitch_idr",D33="reviewed_appendix5_equivalent",D33="development_proxy"),H33&lt;&gt;""),VLOOKUP(C33,Fitch_WARF_Factors,2,FALSE),"")</x:f>
        <x:v>23.671</x:v>
      </x:c>
      <x:c r="J33" s="184" t="n">
        <x:f>IF(ISNUMBER(I33),B33*I33,0)</x:f>
        <x:v>27979122</x:v>
      </x:c>
      <x:c r="K33" s="184" t="n">
        <x:f>IF(AND(A33&lt;&gt;"",M33=0),B33*F33,0)</x:f>
        <x:v>768300</x:v>
      </x:c>
      <x:c r="L33" s="184" t="n">
        <x:f>IF(A33="",0,IF(ISNUMBER(I33),0,B33))</x:f>
        <x:v>0</x:v>
      </x:c>
      <x:c r="M33" s="185" t="n">
        <x:f>IF(A33="",0,IF(AND(ISNUMBER(F33),F33&gt;=0,F33&lt;=1,OR(G33="fitch_issue_recovery_estimate",G33="fitch_issue_recovery_rating",G33="reviewed_bbsf_fallback",G33="development_assumption"),H33&lt;&gt;""),0,B33))</x:f>
        <x:v>0</x:v>
      </x:c>
      <x:c r="N33" s="186" t="n">
        <x:f>IF(A33=Q33,0,1)+IF(B33=R33,0,1)+IF(C33=S33,0,1)+IF(D33=T33,0,1)+IF(E33=U33,0,1)+IF(F33=V33,0,1)+IF(G33=W33,0,1)+IF(H33=X33,0,1)</x:f>
        <x:v>0</x:v>
      </x:c>
      <x:c r="O33" s="186" t="n">
        <x:f>IF(A33="",0,IF(E33="",B33,0))</x:f>
        <x:v>1182000</x:v>
      </x:c>
      <x:c r="P33" s="187"/>
      <x:c r="Q33" s="179" t="str">
        <x:v>SYN-LN-00026</x:v>
      </x:c>
      <x:c r="R33" s="179" t="n">
        <x:v>1182000</x:v>
      </x:c>
      <x:c r="S33" s="179" t="str">
        <x:v>B</x:v>
      </x:c>
      <x:c r="T33" s="179" t="str">
        <x:v>development_proxy</x:v>
      </x:c>
      <x:c r="U33" s="179" t="str"/>
      <x:c r="V33" s="179" t="n">
        <x:v>0.65</x:v>
      </x:c>
      <x:c r="W33" s="179" t="str">
        <x:v>development_assumption</x:v>
      </x:c>
      <x:c r="X33" s="179" t="str">
        <x:v>FICTIONAL DEVELOPMENT: copied S&amp;P symbol as Fitch IDR-equivalency proxy; no Fitch rating or Appendix 5 review. Assumed first-lien facility is senior secured loan with no issue recovery opinion; Luxembourg Group 2; Fitch June 1 2026 Appendix 4 pp42-43 and Appendix 6 pp47-48 BBsf Strong fallback.</x:v>
      </x:c>
    </x:row>
    <x:row r="34" ht="107" customHeight="1">
      <x:c r="A34" s="179" t="str">
        <x:v>SYN-LN-00027</x:v>
      </x:c>
      <x:c r="B34" s="180" t="n">
        <x:f>IF(A34="","",SUMIF('Portfolio Inputs'!A8:A289,A34,'Portfolio Inputs'!D8:D289))</x:f>
        <x:v>1182000</x:v>
      </x:c>
      <x:c r="C34" s="179" t="str">
        <x:v>BB-</x:v>
      </x:c>
      <x:c r="D34" s="181" t="str">
        <x:v>development_proxy</x:v>
      </x:c>
      <x:c r="E34" s="181" t="str"/>
      <x:c r="F34" s="182" t="n">
        <x:v>0.75</x:v>
      </x:c>
      <x:c r="G34" s="181" t="str">
        <x:v>development_assumption</x:v>
      </x:c>
      <x:c r="H3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34" s="183" t="n">
        <x:f>IF(AND(C34&lt;&gt;"",OR(D34="public_fitch_idr",D34="reviewed_appendix5_equivalent",D34="development_proxy"),H34&lt;&gt;""),VLOOKUP(C34,Fitch_WARF_Factors,2,FALSE),"")</x:f>
        <x:v>15.733</x:v>
      </x:c>
      <x:c r="J34" s="184" t="n">
        <x:f>IF(ISNUMBER(I34),B34*I34,0)</x:f>
        <x:v>18596406</x:v>
      </x:c>
      <x:c r="K34" s="184" t="n">
        <x:f>IF(AND(A34&lt;&gt;"",M34=0),B34*F34,0)</x:f>
        <x:v>886500</x:v>
      </x:c>
      <x:c r="L34" s="184" t="n">
        <x:f>IF(A34="",0,IF(ISNUMBER(I34),0,B34))</x:f>
        <x:v>0</x:v>
      </x:c>
      <x:c r="M34" s="185" t="n">
        <x:f>IF(A34="",0,IF(AND(ISNUMBER(F34),F34&gt;=0,F34&lt;=1,OR(G34="fitch_issue_recovery_estimate",G34="fitch_issue_recovery_rating",G34="reviewed_bbsf_fallback",G34="development_assumption"),H34&lt;&gt;""),0,B34))</x:f>
        <x:v>0</x:v>
      </x:c>
      <x:c r="N34" s="186" t="n">
        <x:f>IF(A34=Q34,0,1)+IF(B34=R34,0,1)+IF(C34=S34,0,1)+IF(D34=T34,0,1)+IF(E34=U34,0,1)+IF(F34=V34,0,1)+IF(G34=W34,0,1)+IF(H34=X34,0,1)</x:f>
        <x:v>0</x:v>
      </x:c>
      <x:c r="O34" s="186" t="n">
        <x:f>IF(A34="",0,IF(E34="",B34,0))</x:f>
        <x:v>1182000</x:v>
      </x:c>
      <x:c r="P34" s="187"/>
      <x:c r="Q34" s="179" t="str">
        <x:v>SYN-LN-00027</x:v>
      </x:c>
      <x:c r="R34" s="179" t="n">
        <x:v>1182000</x:v>
      </x:c>
      <x:c r="S34" s="179" t="str">
        <x:v>BB-</x:v>
      </x:c>
      <x:c r="T34" s="179" t="str">
        <x:v>development_proxy</x:v>
      </x:c>
      <x:c r="U34" s="179" t="str"/>
      <x:c r="V34" s="179" t="n">
        <x:v>0.75</x:v>
      </x:c>
      <x:c r="W34" s="179" t="str">
        <x:v>development_assumption</x:v>
      </x:c>
      <x:c r="X3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35" ht="107" customHeight="1">
      <x:c r="A35" s="179" t="str">
        <x:v>SYN-LN-00028</x:v>
      </x:c>
      <x:c r="B35" s="180" t="n">
        <x:f>IF(A35="","",SUMIF('Portfolio Inputs'!A8:A289,A35,'Portfolio Inputs'!D8:D289))</x:f>
        <x:v>1182000</x:v>
      </x:c>
      <x:c r="C35" s="179" t="str">
        <x:v>BB-</x:v>
      </x:c>
      <x:c r="D35" s="181" t="str">
        <x:v>development_proxy</x:v>
      </x:c>
      <x:c r="E35" s="181" t="str"/>
      <x:c r="F35" s="182" t="n">
        <x:v>0.75</x:v>
      </x:c>
      <x:c r="G35" s="181" t="str">
        <x:v>development_assumption</x:v>
      </x:c>
      <x:c r="H3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35" s="183" t="n">
        <x:f>IF(AND(C35&lt;&gt;"",OR(D35="public_fitch_idr",D35="reviewed_appendix5_equivalent",D35="development_proxy"),H35&lt;&gt;""),VLOOKUP(C35,Fitch_WARF_Factors,2,FALSE),"")</x:f>
        <x:v>15.733</x:v>
      </x:c>
      <x:c r="J35" s="184" t="n">
        <x:f>IF(ISNUMBER(I35),B35*I35,0)</x:f>
        <x:v>18596406</x:v>
      </x:c>
      <x:c r="K35" s="184" t="n">
        <x:f>IF(AND(A35&lt;&gt;"",M35=0),B35*F35,0)</x:f>
        <x:v>886500</x:v>
      </x:c>
      <x:c r="L35" s="184" t="n">
        <x:f>IF(A35="",0,IF(ISNUMBER(I35),0,B35))</x:f>
        <x:v>0</x:v>
      </x:c>
      <x:c r="M35" s="185" t="n">
        <x:f>IF(A35="",0,IF(AND(ISNUMBER(F35),F35&gt;=0,F35&lt;=1,OR(G35="fitch_issue_recovery_estimate",G35="fitch_issue_recovery_rating",G35="reviewed_bbsf_fallback",G35="development_assumption"),H35&lt;&gt;""),0,B35))</x:f>
        <x:v>0</x:v>
      </x:c>
      <x:c r="N35" s="186" t="n">
        <x:f>IF(A35=Q35,0,1)+IF(B35=R35,0,1)+IF(C35=S35,0,1)+IF(D35=T35,0,1)+IF(E35=U35,0,1)+IF(F35=V35,0,1)+IF(G35=W35,0,1)+IF(H35=X35,0,1)</x:f>
        <x:v>0</x:v>
      </x:c>
      <x:c r="O35" s="186" t="n">
        <x:f>IF(A35="",0,IF(E35="",B35,0))</x:f>
        <x:v>1182000</x:v>
      </x:c>
      <x:c r="P35" s="187"/>
      <x:c r="Q35" s="179" t="str">
        <x:v>SYN-LN-00028</x:v>
      </x:c>
      <x:c r="R35" s="179" t="n">
        <x:v>1182000</x:v>
      </x:c>
      <x:c r="S35" s="179" t="str">
        <x:v>BB-</x:v>
      </x:c>
      <x:c r="T35" s="179" t="str">
        <x:v>development_proxy</x:v>
      </x:c>
      <x:c r="U35" s="179" t="str"/>
      <x:c r="V35" s="179" t="n">
        <x:v>0.75</x:v>
      </x:c>
      <x:c r="W35" s="179" t="str">
        <x:v>development_assumption</x:v>
      </x:c>
      <x:c r="X3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36" ht="107" customHeight="1">
      <x:c r="A36" s="179" t="str">
        <x:v>SYN-LN-00029</x:v>
      </x:c>
      <x:c r="B36" s="180" t="n">
        <x:f>IF(A36="","",SUMIF('Portfolio Inputs'!A8:A289,A36,'Portfolio Inputs'!D8:D289))</x:f>
        <x:v>630000</x:v>
      </x:c>
      <x:c r="C36" s="179" t="str">
        <x:v>B</x:v>
      </x:c>
      <x:c r="D36" s="181" t="str">
        <x:v>development_proxy</x:v>
      </x:c>
      <x:c r="E36" s="181" t="str"/>
      <x:c r="F36" s="182" t="n">
        <x:v>0.65</x:v>
      </x:c>
      <x:c r="G36" s="181" t="str">
        <x:v>development_assumption</x:v>
      </x:c>
      <x:c r="H36" s="181" t="str">
        <x:v>FICTIONAL DEVELOPMENT: copied S&amp;P symbol as Fitch IDR-equivalency proxy; no Fitch rating or Appendix 5 review. Assumed first-lien facility is senior secured loan with no issue recovery opinion; Luxembourg Group 2; Fitch June 1 2026 Appendix 4 pp42-43 and Appendix 6 pp47-48 BBsf Strong fallback.</x:v>
      </x:c>
      <x:c r="I36" s="183" t="n">
        <x:f>IF(AND(C36&lt;&gt;"",OR(D36="public_fitch_idr",D36="reviewed_appendix5_equivalent",D36="development_proxy"),H36&lt;&gt;""),VLOOKUP(C36,Fitch_WARF_Factors,2,FALSE),"")</x:f>
        <x:v>23.671</x:v>
      </x:c>
      <x:c r="J36" s="184" t="n">
        <x:f>IF(ISNUMBER(I36),B36*I36,0)</x:f>
        <x:v>14912730</x:v>
      </x:c>
      <x:c r="K36" s="184" t="n">
        <x:f>IF(AND(A36&lt;&gt;"",M36=0),B36*F36,0)</x:f>
        <x:v>409500</x:v>
      </x:c>
      <x:c r="L36" s="184" t="n">
        <x:f>IF(A36="",0,IF(ISNUMBER(I36),0,B36))</x:f>
        <x:v>0</x:v>
      </x:c>
      <x:c r="M36" s="185" t="n">
        <x:f>IF(A36="",0,IF(AND(ISNUMBER(F36),F36&gt;=0,F36&lt;=1,OR(G36="fitch_issue_recovery_estimate",G36="fitch_issue_recovery_rating",G36="reviewed_bbsf_fallback",G36="development_assumption"),H36&lt;&gt;""),0,B36))</x:f>
        <x:v>0</x:v>
      </x:c>
      <x:c r="N36" s="186" t="n">
        <x:f>IF(A36=Q36,0,1)+IF(B36=R36,0,1)+IF(C36=S36,0,1)+IF(D36=T36,0,1)+IF(E36=U36,0,1)+IF(F36=V36,0,1)+IF(G36=W36,0,1)+IF(H36=X36,0,1)</x:f>
        <x:v>0</x:v>
      </x:c>
      <x:c r="O36" s="186" t="n">
        <x:f>IF(A36="",0,IF(E36="",B36,0))</x:f>
        <x:v>630000</x:v>
      </x:c>
      <x:c r="P36" s="187"/>
      <x:c r="Q36" s="179" t="str">
        <x:v>SYN-LN-00029</x:v>
      </x:c>
      <x:c r="R36" s="179" t="n">
        <x:v>630000</x:v>
      </x:c>
      <x:c r="S36" s="179" t="str">
        <x:v>B</x:v>
      </x:c>
      <x:c r="T36" s="179" t="str">
        <x:v>development_proxy</x:v>
      </x:c>
      <x:c r="U36" s="179" t="str"/>
      <x:c r="V36" s="179" t="n">
        <x:v>0.65</x:v>
      </x:c>
      <x:c r="W36" s="179" t="str">
        <x:v>development_assumption</x:v>
      </x:c>
      <x:c r="X36" s="179" t="str">
        <x:v>FICTIONAL DEVELOPMENT: copied S&amp;P symbol as Fitch IDR-equivalency proxy; no Fitch rating or Appendix 5 review. Assumed first-lien facility is senior secured loan with no issue recovery opinion; Luxembourg Group 2; Fitch June 1 2026 Appendix 4 pp42-43 and Appendix 6 pp47-48 BBsf Strong fallback.</x:v>
      </x:c>
    </x:row>
    <x:row r="37" ht="107" customHeight="1">
      <x:c r="A37" s="179" t="str">
        <x:v>SYN-LN-00030</x:v>
      </x:c>
      <x:c r="B37" s="180" t="n">
        <x:f>IF(A37="","",SUMIF('Portfolio Inputs'!A8:A289,A37,'Portfolio Inputs'!D8:D289))</x:f>
        <x:v>1182000</x:v>
      </x:c>
      <x:c r="C37" s="179" t="str">
        <x:v>B-</x:v>
      </x:c>
      <x:c r="D37" s="181" t="str">
        <x:v>development_proxy</x:v>
      </x:c>
      <x:c r="E37" s="181" t="str"/>
      <x:c r="F37" s="182" t="n">
        <x:v>0.75</x:v>
      </x:c>
      <x:c r="G37" s="181" t="str">
        <x:v>development_assumption</x:v>
      </x:c>
      <x:c r="H3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37" s="183" t="n">
        <x:f>IF(AND(C37&lt;&gt;"",OR(D37="public_fitch_idr",D37="reviewed_appendix5_equivalent",D37="development_proxy"),H37&lt;&gt;""),VLOOKUP(C37,Fitch_WARF_Factors,2,FALSE),"")</x:f>
        <x:v>32.221</x:v>
      </x:c>
      <x:c r="J37" s="184" t="n">
        <x:f>IF(ISNUMBER(I37),B37*I37,0)</x:f>
        <x:v>38085221.99999999</x:v>
      </x:c>
      <x:c r="K37" s="184" t="n">
        <x:f>IF(AND(A37&lt;&gt;"",M37=0),B37*F37,0)</x:f>
        <x:v>886500</x:v>
      </x:c>
      <x:c r="L37" s="184" t="n">
        <x:f>IF(A37="",0,IF(ISNUMBER(I37),0,B37))</x:f>
        <x:v>0</x:v>
      </x:c>
      <x:c r="M37" s="185" t="n">
        <x:f>IF(A37="",0,IF(AND(ISNUMBER(F37),F37&gt;=0,F37&lt;=1,OR(G37="fitch_issue_recovery_estimate",G37="fitch_issue_recovery_rating",G37="reviewed_bbsf_fallback",G37="development_assumption"),H37&lt;&gt;""),0,B37))</x:f>
        <x:v>0</x:v>
      </x:c>
      <x:c r="N37" s="186" t="n">
        <x:f>IF(A37=Q37,0,1)+IF(B37=R37,0,1)+IF(C37=S37,0,1)+IF(D37=T37,0,1)+IF(E37=U37,0,1)+IF(F37=V37,0,1)+IF(G37=W37,0,1)+IF(H37=X37,0,1)</x:f>
        <x:v>0</x:v>
      </x:c>
      <x:c r="O37" s="186" t="n">
        <x:f>IF(A37="",0,IF(E37="",B37,0))</x:f>
        <x:v>1182000</x:v>
      </x:c>
      <x:c r="P37" s="187"/>
      <x:c r="Q37" s="179" t="str">
        <x:v>SYN-LN-00030</x:v>
      </x:c>
      <x:c r="R37" s="179" t="n">
        <x:v>1182000</x:v>
      </x:c>
      <x:c r="S37" s="179" t="str">
        <x:v>B-</x:v>
      </x:c>
      <x:c r="T37" s="179" t="str">
        <x:v>development_proxy</x:v>
      </x:c>
      <x:c r="U37" s="179" t="str"/>
      <x:c r="V37" s="179" t="n">
        <x:v>0.75</x:v>
      </x:c>
      <x:c r="W37" s="179" t="str">
        <x:v>development_assumption</x:v>
      </x:c>
      <x:c r="X3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38" ht="107" customHeight="1">
      <x:c r="A38" s="179" t="str">
        <x:v>SYN-LN-00031</x:v>
      </x:c>
      <x:c r="B38" s="180" t="n">
        <x:f>IF(A38="","",SUMIF('Portfolio Inputs'!A8:A289,A38,'Portfolio Inputs'!D8:D289))</x:f>
        <x:v>1182000</x:v>
      </x:c>
      <x:c r="C38" s="179" t="str">
        <x:v>B+</x:v>
      </x:c>
      <x:c r="D38" s="181" t="str">
        <x:v>development_proxy</x:v>
      </x:c>
      <x:c r="E38" s="181" t="str"/>
      <x:c r="F38" s="182" t="n">
        <x:v>0.75</x:v>
      </x:c>
      <x:c r="G38" s="181" t="str">
        <x:v>development_assumption</x:v>
      </x:c>
      <x:c r="H3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38" s="183" t="n">
        <x:f>IF(AND(C38&lt;&gt;"",OR(D38="public_fitch_idr",D38="reviewed_appendix5_equivalent",D38="development_proxy"),H38&lt;&gt;""),VLOOKUP(C38,Fitch_WARF_Factors,2,FALSE),"")</x:f>
        <x:v>19.627</x:v>
      </x:c>
      <x:c r="J38" s="184" t="n">
        <x:f>IF(ISNUMBER(I38),B38*I38,0)</x:f>
        <x:v>23199114</x:v>
      </x:c>
      <x:c r="K38" s="184" t="n">
        <x:f>IF(AND(A38&lt;&gt;"",M38=0),B38*F38,0)</x:f>
        <x:v>886500</x:v>
      </x:c>
      <x:c r="L38" s="184" t="n">
        <x:f>IF(A38="",0,IF(ISNUMBER(I38),0,B38))</x:f>
        <x:v>0</x:v>
      </x:c>
      <x:c r="M38" s="185" t="n">
        <x:f>IF(A38="",0,IF(AND(ISNUMBER(F38),F38&gt;=0,F38&lt;=1,OR(G38="fitch_issue_recovery_estimate",G38="fitch_issue_recovery_rating",G38="reviewed_bbsf_fallback",G38="development_assumption"),H38&lt;&gt;""),0,B38))</x:f>
        <x:v>0</x:v>
      </x:c>
      <x:c r="N38" s="186" t="n">
        <x:f>IF(A38=Q38,0,1)+IF(B38=R38,0,1)+IF(C38=S38,0,1)+IF(D38=T38,0,1)+IF(E38=U38,0,1)+IF(F38=V38,0,1)+IF(G38=W38,0,1)+IF(H38=X38,0,1)</x:f>
        <x:v>0</x:v>
      </x:c>
      <x:c r="O38" s="186" t="n">
        <x:f>IF(A38="",0,IF(E38="",B38,0))</x:f>
        <x:v>1182000</x:v>
      </x:c>
      <x:c r="P38" s="187"/>
      <x:c r="Q38" s="179" t="str">
        <x:v>SYN-LN-00031</x:v>
      </x:c>
      <x:c r="R38" s="179" t="n">
        <x:v>1182000</x:v>
      </x:c>
      <x:c r="S38" s="179" t="str">
        <x:v>B+</x:v>
      </x:c>
      <x:c r="T38" s="179" t="str">
        <x:v>development_proxy</x:v>
      </x:c>
      <x:c r="U38" s="179" t="str"/>
      <x:c r="V38" s="179" t="n">
        <x:v>0.75</x:v>
      </x:c>
      <x:c r="W38" s="179" t="str">
        <x:v>development_assumption</x:v>
      </x:c>
      <x:c r="X3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39" ht="107" customHeight="1">
      <x:c r="A39" s="179" t="str">
        <x:v>SYN-LN-00032</x:v>
      </x:c>
      <x:c r="B39" s="180" t="n">
        <x:f>IF(A39="","",SUMIF('Portfolio Inputs'!A8:A289,A39,'Portfolio Inputs'!D8:D289))</x:f>
        <x:v>1182000</x:v>
      </x:c>
      <x:c r="C39" s="179" t="str">
        <x:v>B</x:v>
      </x:c>
      <x:c r="D39" s="181" t="str">
        <x:v>development_proxy</x:v>
      </x:c>
      <x:c r="E39" s="181" t="str"/>
      <x:c r="F39" s="182" t="n">
        <x:v>0.75</x:v>
      </x:c>
      <x:c r="G39" s="181" t="str">
        <x:v>development_assumption</x:v>
      </x:c>
      <x:c r="H3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39" s="183" t="n">
        <x:f>IF(AND(C39&lt;&gt;"",OR(D39="public_fitch_idr",D39="reviewed_appendix5_equivalent",D39="development_proxy"),H39&lt;&gt;""),VLOOKUP(C39,Fitch_WARF_Factors,2,FALSE),"")</x:f>
        <x:v>23.671</x:v>
      </x:c>
      <x:c r="J39" s="184" t="n">
        <x:f>IF(ISNUMBER(I39),B39*I39,0)</x:f>
        <x:v>27979122</x:v>
      </x:c>
      <x:c r="K39" s="184" t="n">
        <x:f>IF(AND(A39&lt;&gt;"",M39=0),B39*F39,0)</x:f>
        <x:v>886500</x:v>
      </x:c>
      <x:c r="L39" s="184" t="n">
        <x:f>IF(A39="",0,IF(ISNUMBER(I39),0,B39))</x:f>
        <x:v>0</x:v>
      </x:c>
      <x:c r="M39" s="185" t="n">
        <x:f>IF(A39="",0,IF(AND(ISNUMBER(F39),F39&gt;=0,F39&lt;=1,OR(G39="fitch_issue_recovery_estimate",G39="fitch_issue_recovery_rating",G39="reviewed_bbsf_fallback",G39="development_assumption"),H39&lt;&gt;""),0,B39))</x:f>
        <x:v>0</x:v>
      </x:c>
      <x:c r="N39" s="186" t="n">
        <x:f>IF(A39=Q39,0,1)+IF(B39=R39,0,1)+IF(C39=S39,0,1)+IF(D39=T39,0,1)+IF(E39=U39,0,1)+IF(F39=V39,0,1)+IF(G39=W39,0,1)+IF(H39=X39,0,1)</x:f>
        <x:v>0</x:v>
      </x:c>
      <x:c r="O39" s="186" t="n">
        <x:f>IF(A39="",0,IF(E39="",B39,0))</x:f>
        <x:v>1182000</x:v>
      </x:c>
      <x:c r="P39" s="187"/>
      <x:c r="Q39" s="179" t="str">
        <x:v>SYN-LN-00032</x:v>
      </x:c>
      <x:c r="R39" s="179" t="n">
        <x:v>1182000</x:v>
      </x:c>
      <x:c r="S39" s="179" t="str">
        <x:v>B</x:v>
      </x:c>
      <x:c r="T39" s="179" t="str">
        <x:v>development_proxy</x:v>
      </x:c>
      <x:c r="U39" s="179" t="str"/>
      <x:c r="V39" s="179" t="n">
        <x:v>0.75</x:v>
      </x:c>
      <x:c r="W39" s="179" t="str">
        <x:v>development_assumption</x:v>
      </x:c>
      <x:c r="X3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40" ht="107" customHeight="1">
      <x:c r="A40" s="179" t="str">
        <x:v>SYN-LN-00033</x:v>
      </x:c>
      <x:c r="B40" s="180" t="n">
        <x:f>IF(A40="","",SUMIF('Portfolio Inputs'!A8:A289,A40,'Portfolio Inputs'!D8:D289))</x:f>
        <x:v>1182000</x:v>
      </x:c>
      <x:c r="C40" s="179" t="str">
        <x:v>B+</x:v>
      </x:c>
      <x:c r="D40" s="181" t="str">
        <x:v>development_proxy</x:v>
      </x:c>
      <x:c r="E40" s="181" t="str"/>
      <x:c r="F40" s="182" t="n">
        <x:v>0.75</x:v>
      </x:c>
      <x:c r="G40" s="181" t="str">
        <x:v>development_assumption</x:v>
      </x:c>
      <x:c r="H4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40" s="183" t="n">
        <x:f>IF(AND(C40&lt;&gt;"",OR(D40="public_fitch_idr",D40="reviewed_appendix5_equivalent",D40="development_proxy"),H40&lt;&gt;""),VLOOKUP(C40,Fitch_WARF_Factors,2,FALSE),"")</x:f>
        <x:v>19.627</x:v>
      </x:c>
      <x:c r="J40" s="184" t="n">
        <x:f>IF(ISNUMBER(I40),B40*I40,0)</x:f>
        <x:v>23199114</x:v>
      </x:c>
      <x:c r="K40" s="184" t="n">
        <x:f>IF(AND(A40&lt;&gt;"",M40=0),B40*F40,0)</x:f>
        <x:v>886500</x:v>
      </x:c>
      <x:c r="L40" s="184" t="n">
        <x:f>IF(A40="",0,IF(ISNUMBER(I40),0,B40))</x:f>
        <x:v>0</x:v>
      </x:c>
      <x:c r="M40" s="185" t="n">
        <x:f>IF(A40="",0,IF(AND(ISNUMBER(F40),F40&gt;=0,F40&lt;=1,OR(G40="fitch_issue_recovery_estimate",G40="fitch_issue_recovery_rating",G40="reviewed_bbsf_fallback",G40="development_assumption"),H40&lt;&gt;""),0,B40))</x:f>
        <x:v>0</x:v>
      </x:c>
      <x:c r="N40" s="186" t="n">
        <x:f>IF(A40=Q40,0,1)+IF(B40=R40,0,1)+IF(C40=S40,0,1)+IF(D40=T40,0,1)+IF(E40=U40,0,1)+IF(F40=V40,0,1)+IF(G40=W40,0,1)+IF(H40=X40,0,1)</x:f>
        <x:v>0</x:v>
      </x:c>
      <x:c r="O40" s="186" t="n">
        <x:f>IF(A40="",0,IF(E40="",B40,0))</x:f>
        <x:v>1182000</x:v>
      </x:c>
      <x:c r="P40" s="187"/>
      <x:c r="Q40" s="179" t="str">
        <x:v>SYN-LN-00033</x:v>
      </x:c>
      <x:c r="R40" s="179" t="n">
        <x:v>1182000</x:v>
      </x:c>
      <x:c r="S40" s="179" t="str">
        <x:v>B+</x:v>
      </x:c>
      <x:c r="T40" s="179" t="str">
        <x:v>development_proxy</x:v>
      </x:c>
      <x:c r="U40" s="179" t="str"/>
      <x:c r="V40" s="179" t="n">
        <x:v>0.75</x:v>
      </x:c>
      <x:c r="W40" s="179" t="str">
        <x:v>development_assumption</x:v>
      </x:c>
      <x:c r="X4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41" ht="107" customHeight="1">
      <x:c r="A41" s="179" t="str">
        <x:v>SYN-LN-00034</x:v>
      </x:c>
      <x:c r="B41" s="180" t="n">
        <x:f>IF(A41="","",SUMIF('Portfolio Inputs'!A8:A289,A41,'Portfolio Inputs'!D8:D289))</x:f>
        <x:v>1182000</x:v>
      </x:c>
      <x:c r="C41" s="179" t="str">
        <x:v>B+</x:v>
      </x:c>
      <x:c r="D41" s="181" t="str">
        <x:v>development_proxy</x:v>
      </x:c>
      <x:c r="E41" s="181" t="str"/>
      <x:c r="F41" s="182" t="n">
        <x:v>0.75</x:v>
      </x:c>
      <x:c r="G41" s="181" t="str">
        <x:v>development_assumption</x:v>
      </x:c>
      <x:c r="H4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41" s="183" t="n">
        <x:f>IF(AND(C41&lt;&gt;"",OR(D41="public_fitch_idr",D41="reviewed_appendix5_equivalent",D41="development_proxy"),H41&lt;&gt;""),VLOOKUP(C41,Fitch_WARF_Factors,2,FALSE),"")</x:f>
        <x:v>19.627</x:v>
      </x:c>
      <x:c r="J41" s="184" t="n">
        <x:f>IF(ISNUMBER(I41),B41*I41,0)</x:f>
        <x:v>23199114</x:v>
      </x:c>
      <x:c r="K41" s="184" t="n">
        <x:f>IF(AND(A41&lt;&gt;"",M41=0),B41*F41,0)</x:f>
        <x:v>886500</x:v>
      </x:c>
      <x:c r="L41" s="184" t="n">
        <x:f>IF(A41="",0,IF(ISNUMBER(I41),0,B41))</x:f>
        <x:v>0</x:v>
      </x:c>
      <x:c r="M41" s="185" t="n">
        <x:f>IF(A41="",0,IF(AND(ISNUMBER(F41),F41&gt;=0,F41&lt;=1,OR(G41="fitch_issue_recovery_estimate",G41="fitch_issue_recovery_rating",G41="reviewed_bbsf_fallback",G41="development_assumption"),H41&lt;&gt;""),0,B41))</x:f>
        <x:v>0</x:v>
      </x:c>
      <x:c r="N41" s="186" t="n">
        <x:f>IF(A41=Q41,0,1)+IF(B41=R41,0,1)+IF(C41=S41,0,1)+IF(D41=T41,0,1)+IF(E41=U41,0,1)+IF(F41=V41,0,1)+IF(G41=W41,0,1)+IF(H41=X41,0,1)</x:f>
        <x:v>0</x:v>
      </x:c>
      <x:c r="O41" s="186" t="n">
        <x:f>IF(A41="",0,IF(E41="",B41,0))</x:f>
        <x:v>1182000</x:v>
      </x:c>
      <x:c r="P41" s="187"/>
      <x:c r="Q41" s="179" t="str">
        <x:v>SYN-LN-00034</x:v>
      </x:c>
      <x:c r="R41" s="179" t="n">
        <x:v>1182000</x:v>
      </x:c>
      <x:c r="S41" s="179" t="str">
        <x:v>B+</x:v>
      </x:c>
      <x:c r="T41" s="179" t="str">
        <x:v>development_proxy</x:v>
      </x:c>
      <x:c r="U41" s="179" t="str"/>
      <x:c r="V41" s="179" t="n">
        <x:v>0.75</x:v>
      </x:c>
      <x:c r="W41" s="179" t="str">
        <x:v>development_assumption</x:v>
      </x:c>
      <x:c r="X4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42" ht="107" customHeight="1">
      <x:c r="A42" s="179" t="str">
        <x:v>SYN-LN-00035</x:v>
      </x:c>
      <x:c r="B42" s="180" t="n">
        <x:f>IF(A42="","",SUMIF('Portfolio Inputs'!A8:A289,A42,'Portfolio Inputs'!D8:D289))</x:f>
        <x:v>1182000</x:v>
      </x:c>
      <x:c r="C42" s="179" t="str">
        <x:v>B-</x:v>
      </x:c>
      <x:c r="D42" s="181" t="str">
        <x:v>development_proxy</x:v>
      </x:c>
      <x:c r="E42" s="181" t="str"/>
      <x:c r="F42" s="182" t="n">
        <x:v>0.75</x:v>
      </x:c>
      <x:c r="G42" s="181" t="str">
        <x:v>development_assumption</x:v>
      </x:c>
      <x:c r="H4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42" s="183" t="n">
        <x:f>IF(AND(C42&lt;&gt;"",OR(D42="public_fitch_idr",D42="reviewed_appendix5_equivalent",D42="development_proxy"),H42&lt;&gt;""),VLOOKUP(C42,Fitch_WARF_Factors,2,FALSE),"")</x:f>
        <x:v>32.221</x:v>
      </x:c>
      <x:c r="J42" s="184" t="n">
        <x:f>IF(ISNUMBER(I42),B42*I42,0)</x:f>
        <x:v>38085221.99999999</x:v>
      </x:c>
      <x:c r="K42" s="184" t="n">
        <x:f>IF(AND(A42&lt;&gt;"",M42=0),B42*F42,0)</x:f>
        <x:v>886500</x:v>
      </x:c>
      <x:c r="L42" s="184" t="n">
        <x:f>IF(A42="",0,IF(ISNUMBER(I42),0,B42))</x:f>
        <x:v>0</x:v>
      </x:c>
      <x:c r="M42" s="185" t="n">
        <x:f>IF(A42="",0,IF(AND(ISNUMBER(F42),F42&gt;=0,F42&lt;=1,OR(G42="fitch_issue_recovery_estimate",G42="fitch_issue_recovery_rating",G42="reviewed_bbsf_fallback",G42="development_assumption"),H42&lt;&gt;""),0,B42))</x:f>
        <x:v>0</x:v>
      </x:c>
      <x:c r="N42" s="186" t="n">
        <x:f>IF(A42=Q42,0,1)+IF(B42=R42,0,1)+IF(C42=S42,0,1)+IF(D42=T42,0,1)+IF(E42=U42,0,1)+IF(F42=V42,0,1)+IF(G42=W42,0,1)+IF(H42=X42,0,1)</x:f>
        <x:v>0</x:v>
      </x:c>
      <x:c r="O42" s="186" t="n">
        <x:f>IF(A42="",0,IF(E42="",B42,0))</x:f>
        <x:v>1182000</x:v>
      </x:c>
      <x:c r="P42" s="187"/>
      <x:c r="Q42" s="179" t="str">
        <x:v>SYN-LN-00035</x:v>
      </x:c>
      <x:c r="R42" s="179" t="n">
        <x:v>1182000</x:v>
      </x:c>
      <x:c r="S42" s="179" t="str">
        <x:v>B-</x:v>
      </x:c>
      <x:c r="T42" s="179" t="str">
        <x:v>development_proxy</x:v>
      </x:c>
      <x:c r="U42" s="179" t="str"/>
      <x:c r="V42" s="179" t="n">
        <x:v>0.75</x:v>
      </x:c>
      <x:c r="W42" s="179" t="str">
        <x:v>development_assumption</x:v>
      </x:c>
      <x:c r="X4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43" ht="107" customHeight="1">
      <x:c r="A43" s="179" t="str">
        <x:v>SYN-LN-00036</x:v>
      </x:c>
      <x:c r="B43" s="180" t="n">
        <x:f>IF(A43="","",SUMIF('Portfolio Inputs'!A8:A289,A43,'Portfolio Inputs'!D8:D289))</x:f>
        <x:v>1182000</x:v>
      </x:c>
      <x:c r="C43" s="179" t="str">
        <x:v>B</x:v>
      </x:c>
      <x:c r="D43" s="181" t="str">
        <x:v>development_proxy</x:v>
      </x:c>
      <x:c r="E43" s="181" t="str"/>
      <x:c r="F43" s="182" t="n">
        <x:v>0.75</x:v>
      </x:c>
      <x:c r="G43" s="181" t="str">
        <x:v>development_assumption</x:v>
      </x:c>
      <x:c r="H4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43" s="183" t="n">
        <x:f>IF(AND(C43&lt;&gt;"",OR(D43="public_fitch_idr",D43="reviewed_appendix5_equivalent",D43="development_proxy"),H43&lt;&gt;""),VLOOKUP(C43,Fitch_WARF_Factors,2,FALSE),"")</x:f>
        <x:v>23.671</x:v>
      </x:c>
      <x:c r="J43" s="184" t="n">
        <x:f>IF(ISNUMBER(I43),B43*I43,0)</x:f>
        <x:v>27979122</x:v>
      </x:c>
      <x:c r="K43" s="184" t="n">
        <x:f>IF(AND(A43&lt;&gt;"",M43=0),B43*F43,0)</x:f>
        <x:v>886500</x:v>
      </x:c>
      <x:c r="L43" s="184" t="n">
        <x:f>IF(A43="",0,IF(ISNUMBER(I43),0,B43))</x:f>
        <x:v>0</x:v>
      </x:c>
      <x:c r="M43" s="185" t="n">
        <x:f>IF(A43="",0,IF(AND(ISNUMBER(F43),F43&gt;=0,F43&lt;=1,OR(G43="fitch_issue_recovery_estimate",G43="fitch_issue_recovery_rating",G43="reviewed_bbsf_fallback",G43="development_assumption"),H43&lt;&gt;""),0,B43))</x:f>
        <x:v>0</x:v>
      </x:c>
      <x:c r="N43" s="186" t="n">
        <x:f>IF(A43=Q43,0,1)+IF(B43=R43,0,1)+IF(C43=S43,0,1)+IF(D43=T43,0,1)+IF(E43=U43,0,1)+IF(F43=V43,0,1)+IF(G43=W43,0,1)+IF(H43=X43,0,1)</x:f>
        <x:v>0</x:v>
      </x:c>
      <x:c r="O43" s="186" t="n">
        <x:f>IF(A43="",0,IF(E43="",B43,0))</x:f>
        <x:v>1182000</x:v>
      </x:c>
      <x:c r="P43" s="187"/>
      <x:c r="Q43" s="179" t="str">
        <x:v>SYN-LN-00036</x:v>
      </x:c>
      <x:c r="R43" s="179" t="n">
        <x:v>1182000</x:v>
      </x:c>
      <x:c r="S43" s="179" t="str">
        <x:v>B</x:v>
      </x:c>
      <x:c r="T43" s="179" t="str">
        <x:v>development_proxy</x:v>
      </x:c>
      <x:c r="U43" s="179" t="str"/>
      <x:c r="V43" s="179" t="n">
        <x:v>0.75</x:v>
      </x:c>
      <x:c r="W43" s="179" t="str">
        <x:v>development_assumption</x:v>
      </x:c>
      <x:c r="X4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44" ht="107" customHeight="1">
      <x:c r="A44" s="179" t="str">
        <x:v>SYN-LN-00037</x:v>
      </x:c>
      <x:c r="B44" s="180" t="n">
        <x:f>IF(A44="","",SUMIF('Portfolio Inputs'!A8:A289,A44,'Portfolio Inputs'!D8:D289))</x:f>
        <x:v>1182000</x:v>
      </x:c>
      <x:c r="C44" s="179" t="str">
        <x:v>BB-</x:v>
      </x:c>
      <x:c r="D44" s="181" t="str">
        <x:v>development_proxy</x:v>
      </x:c>
      <x:c r="E44" s="181" t="str"/>
      <x:c r="F44" s="182" t="n">
        <x:v>0.75</x:v>
      </x:c>
      <x:c r="G44" s="181" t="str">
        <x:v>development_assumption</x:v>
      </x:c>
      <x:c r="H4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44" s="183" t="n">
        <x:f>IF(AND(C44&lt;&gt;"",OR(D44="public_fitch_idr",D44="reviewed_appendix5_equivalent",D44="development_proxy"),H44&lt;&gt;""),VLOOKUP(C44,Fitch_WARF_Factors,2,FALSE),"")</x:f>
        <x:v>15.733</x:v>
      </x:c>
      <x:c r="J44" s="184" t="n">
        <x:f>IF(ISNUMBER(I44),B44*I44,0)</x:f>
        <x:v>18596406</x:v>
      </x:c>
      <x:c r="K44" s="184" t="n">
        <x:f>IF(AND(A44&lt;&gt;"",M44=0),B44*F44,0)</x:f>
        <x:v>886500</x:v>
      </x:c>
      <x:c r="L44" s="184" t="n">
        <x:f>IF(A44="",0,IF(ISNUMBER(I44),0,B44))</x:f>
        <x:v>0</x:v>
      </x:c>
      <x:c r="M44" s="185" t="n">
        <x:f>IF(A44="",0,IF(AND(ISNUMBER(F44),F44&gt;=0,F44&lt;=1,OR(G44="fitch_issue_recovery_estimate",G44="fitch_issue_recovery_rating",G44="reviewed_bbsf_fallback",G44="development_assumption"),H44&lt;&gt;""),0,B44))</x:f>
        <x:v>0</x:v>
      </x:c>
      <x:c r="N44" s="186" t="n">
        <x:f>IF(A44=Q44,0,1)+IF(B44=R44,0,1)+IF(C44=S44,0,1)+IF(D44=T44,0,1)+IF(E44=U44,0,1)+IF(F44=V44,0,1)+IF(G44=W44,0,1)+IF(H44=X44,0,1)</x:f>
        <x:v>0</x:v>
      </x:c>
      <x:c r="O44" s="186" t="n">
        <x:f>IF(A44="",0,IF(E44="",B44,0))</x:f>
        <x:v>1182000</x:v>
      </x:c>
      <x:c r="P44" s="187"/>
      <x:c r="Q44" s="179" t="str">
        <x:v>SYN-LN-00037</x:v>
      </x:c>
      <x:c r="R44" s="179" t="n">
        <x:v>1182000</x:v>
      </x:c>
      <x:c r="S44" s="179" t="str">
        <x:v>BB-</x:v>
      </x:c>
      <x:c r="T44" s="179" t="str">
        <x:v>development_proxy</x:v>
      </x:c>
      <x:c r="U44" s="179" t="str"/>
      <x:c r="V44" s="179" t="n">
        <x:v>0.75</x:v>
      </x:c>
      <x:c r="W44" s="179" t="str">
        <x:v>development_assumption</x:v>
      </x:c>
      <x:c r="X4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45" ht="107" customHeight="1">
      <x:c r="A45" s="179" t="str">
        <x:v>SYN-LN-00038</x:v>
      </x:c>
      <x:c r="B45" s="180" t="n">
        <x:f>IF(A45="","",SUMIF('Portfolio Inputs'!A8:A289,A45,'Portfolio Inputs'!D8:D289))</x:f>
        <x:v>1182000</x:v>
      </x:c>
      <x:c r="C45" s="179" t="str">
        <x:v>B-</x:v>
      </x:c>
      <x:c r="D45" s="181" t="str">
        <x:v>development_proxy</x:v>
      </x:c>
      <x:c r="E45" s="181" t="str"/>
      <x:c r="F45" s="182" t="n">
        <x:v>0.75</x:v>
      </x:c>
      <x:c r="G45" s="181" t="str">
        <x:v>development_assumption</x:v>
      </x:c>
      <x:c r="H4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45" s="183" t="n">
        <x:f>IF(AND(C45&lt;&gt;"",OR(D45="public_fitch_idr",D45="reviewed_appendix5_equivalent",D45="development_proxy"),H45&lt;&gt;""),VLOOKUP(C45,Fitch_WARF_Factors,2,FALSE),"")</x:f>
        <x:v>32.221</x:v>
      </x:c>
      <x:c r="J45" s="184" t="n">
        <x:f>IF(ISNUMBER(I45),B45*I45,0)</x:f>
        <x:v>38085221.99999999</x:v>
      </x:c>
      <x:c r="K45" s="184" t="n">
        <x:f>IF(AND(A45&lt;&gt;"",M45=0),B45*F45,0)</x:f>
        <x:v>886500</x:v>
      </x:c>
      <x:c r="L45" s="184" t="n">
        <x:f>IF(A45="",0,IF(ISNUMBER(I45),0,B45))</x:f>
        <x:v>0</x:v>
      </x:c>
      <x:c r="M45" s="185" t="n">
        <x:f>IF(A45="",0,IF(AND(ISNUMBER(F45),F45&gt;=0,F45&lt;=1,OR(G45="fitch_issue_recovery_estimate",G45="fitch_issue_recovery_rating",G45="reviewed_bbsf_fallback",G45="development_assumption"),H45&lt;&gt;""),0,B45))</x:f>
        <x:v>0</x:v>
      </x:c>
      <x:c r="N45" s="186" t="n">
        <x:f>IF(A45=Q45,0,1)+IF(B45=R45,0,1)+IF(C45=S45,0,1)+IF(D45=T45,0,1)+IF(E45=U45,0,1)+IF(F45=V45,0,1)+IF(G45=W45,0,1)+IF(H45=X45,0,1)</x:f>
        <x:v>0</x:v>
      </x:c>
      <x:c r="O45" s="186" t="n">
        <x:f>IF(A45="",0,IF(E45="",B45,0))</x:f>
        <x:v>1182000</x:v>
      </x:c>
      <x:c r="P45" s="187"/>
      <x:c r="Q45" s="179" t="str">
        <x:v>SYN-LN-00038</x:v>
      </x:c>
      <x:c r="R45" s="179" t="n">
        <x:v>1182000</x:v>
      </x:c>
      <x:c r="S45" s="179" t="str">
        <x:v>B-</x:v>
      </x:c>
      <x:c r="T45" s="179" t="str">
        <x:v>development_proxy</x:v>
      </x:c>
      <x:c r="U45" s="179" t="str"/>
      <x:c r="V45" s="179" t="n">
        <x:v>0.75</x:v>
      </x:c>
      <x:c r="W45" s="179" t="str">
        <x:v>development_assumption</x:v>
      </x:c>
      <x:c r="X4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46" ht="107" customHeight="1">
      <x:c r="A46" s="179" t="str">
        <x:v>SYN-LN-00039</x:v>
      </x:c>
      <x:c r="B46" s="180" t="n">
        <x:f>IF(A46="","",SUMIF('Portfolio Inputs'!A8:A289,A46,'Portfolio Inputs'!D8:D289))</x:f>
        <x:v>1182000</x:v>
      </x:c>
      <x:c r="C46" s="179" t="str">
        <x:v>B-</x:v>
      </x:c>
      <x:c r="D46" s="181" t="str">
        <x:v>development_proxy</x:v>
      </x:c>
      <x:c r="E46" s="181" t="str"/>
      <x:c r="F46" s="182" t="n">
        <x:v>0.75</x:v>
      </x:c>
      <x:c r="G46" s="181" t="str">
        <x:v>development_assumption</x:v>
      </x:c>
      <x:c r="H4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46" s="183" t="n">
        <x:f>IF(AND(C46&lt;&gt;"",OR(D46="public_fitch_idr",D46="reviewed_appendix5_equivalent",D46="development_proxy"),H46&lt;&gt;""),VLOOKUP(C46,Fitch_WARF_Factors,2,FALSE),"")</x:f>
        <x:v>32.221</x:v>
      </x:c>
      <x:c r="J46" s="184" t="n">
        <x:f>IF(ISNUMBER(I46),B46*I46,0)</x:f>
        <x:v>38085221.99999999</x:v>
      </x:c>
      <x:c r="K46" s="184" t="n">
        <x:f>IF(AND(A46&lt;&gt;"",M46=0),B46*F46,0)</x:f>
        <x:v>886500</x:v>
      </x:c>
      <x:c r="L46" s="184" t="n">
        <x:f>IF(A46="",0,IF(ISNUMBER(I46),0,B46))</x:f>
        <x:v>0</x:v>
      </x:c>
      <x:c r="M46" s="185" t="n">
        <x:f>IF(A46="",0,IF(AND(ISNUMBER(F46),F46&gt;=0,F46&lt;=1,OR(G46="fitch_issue_recovery_estimate",G46="fitch_issue_recovery_rating",G46="reviewed_bbsf_fallback",G46="development_assumption"),H46&lt;&gt;""),0,B46))</x:f>
        <x:v>0</x:v>
      </x:c>
      <x:c r="N46" s="186" t="n">
        <x:f>IF(A46=Q46,0,1)+IF(B46=R46,0,1)+IF(C46=S46,0,1)+IF(D46=T46,0,1)+IF(E46=U46,0,1)+IF(F46=V46,0,1)+IF(G46=W46,0,1)+IF(H46=X46,0,1)</x:f>
        <x:v>0</x:v>
      </x:c>
      <x:c r="O46" s="186" t="n">
        <x:f>IF(A46="",0,IF(E46="",B46,0))</x:f>
        <x:v>1182000</x:v>
      </x:c>
      <x:c r="P46" s="187"/>
      <x:c r="Q46" s="179" t="str">
        <x:v>SYN-LN-00039</x:v>
      </x:c>
      <x:c r="R46" s="179" t="n">
        <x:v>1182000</x:v>
      </x:c>
      <x:c r="S46" s="179" t="str">
        <x:v>B-</x:v>
      </x:c>
      <x:c r="T46" s="179" t="str">
        <x:v>development_proxy</x:v>
      </x:c>
      <x:c r="U46" s="179" t="str"/>
      <x:c r="V46" s="179" t="n">
        <x:v>0.75</x:v>
      </x:c>
      <x:c r="W46" s="179" t="str">
        <x:v>development_assumption</x:v>
      </x:c>
      <x:c r="X4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47" ht="107" customHeight="1">
      <x:c r="A47" s="179" t="str">
        <x:v>SYN-LN-00040</x:v>
      </x:c>
      <x:c r="B47" s="180" t="n">
        <x:f>IF(A47="","",SUMIF('Portfolio Inputs'!A8:A289,A47,'Portfolio Inputs'!D8:D289))</x:f>
        <x:v>630000</x:v>
      </x:c>
      <x:c r="C47" s="179" t="str">
        <x:v>BB</x:v>
      </x:c>
      <x:c r="D47" s="181" t="str">
        <x:v>development_proxy</x:v>
      </x:c>
      <x:c r="E47" s="181" t="str"/>
      <x:c r="F47" s="182" t="n">
        <x:v>0.75</x:v>
      </x:c>
      <x:c r="G47" s="181" t="str">
        <x:v>development_assumption</x:v>
      </x:c>
      <x:c r="H47" s="181" t="str">
        <x:v>FICTIONAL DEVELOPMENT: copied S&amp;P symbol as Fitch IDR-equivalency proxy; no Fitch rating or Appendix 5 review. Assumed first-lien facility is senior secured loan with no issue recovery opinion; Canada Group 1; Fitch June 1 2026 Appendix 4 pp42-43 and Appendix 6 pp47-48 BBsf Strong fallback.</x:v>
      </x:c>
      <x:c r="I47" s="183" t="n">
        <x:f>IF(AND(C47&lt;&gt;"",OR(D47="public_fitch_idr",D47="reviewed_appendix5_equivalent",D47="development_proxy"),H47&lt;&gt;""),VLOOKUP(C47,Fitch_WARF_Factors,2,FALSE),"")</x:f>
        <x:v>11.844</x:v>
      </x:c>
      <x:c r="J47" s="184" t="n">
        <x:f>IF(ISNUMBER(I47),B47*I47,0)</x:f>
        <x:v>7461720</x:v>
      </x:c>
      <x:c r="K47" s="184" t="n">
        <x:f>IF(AND(A47&lt;&gt;"",M47=0),B47*F47,0)</x:f>
        <x:v>472500</x:v>
      </x:c>
      <x:c r="L47" s="184" t="n">
        <x:f>IF(A47="",0,IF(ISNUMBER(I47),0,B47))</x:f>
        <x:v>0</x:v>
      </x:c>
      <x:c r="M47" s="185" t="n">
        <x:f>IF(A47="",0,IF(AND(ISNUMBER(F47),F47&gt;=0,F47&lt;=1,OR(G47="fitch_issue_recovery_estimate",G47="fitch_issue_recovery_rating",G47="reviewed_bbsf_fallback",G47="development_assumption"),H47&lt;&gt;""),0,B47))</x:f>
        <x:v>0</x:v>
      </x:c>
      <x:c r="N47" s="186" t="n">
        <x:f>IF(A47=Q47,0,1)+IF(B47=R47,0,1)+IF(C47=S47,0,1)+IF(D47=T47,0,1)+IF(E47=U47,0,1)+IF(F47=V47,0,1)+IF(G47=W47,0,1)+IF(H47=X47,0,1)</x:f>
        <x:v>0</x:v>
      </x:c>
      <x:c r="O47" s="186" t="n">
        <x:f>IF(A47="",0,IF(E47="",B47,0))</x:f>
        <x:v>630000</x:v>
      </x:c>
      <x:c r="P47" s="187"/>
      <x:c r="Q47" s="179" t="str">
        <x:v>SYN-LN-00040</x:v>
      </x:c>
      <x:c r="R47" s="179" t="n">
        <x:v>630000</x:v>
      </x:c>
      <x:c r="S47" s="179" t="str">
        <x:v>BB</x:v>
      </x:c>
      <x:c r="T47" s="179" t="str">
        <x:v>development_proxy</x:v>
      </x:c>
      <x:c r="U47" s="179" t="str"/>
      <x:c r="V47" s="179" t="n">
        <x:v>0.75</x:v>
      </x:c>
      <x:c r="W47" s="179" t="str">
        <x:v>development_assumption</x:v>
      </x:c>
      <x:c r="X47" s="179" t="str">
        <x:v>FICTIONAL DEVELOPMENT: copied S&amp;P symbol as Fitch IDR-equivalency proxy; no Fitch rating or Appendix 5 review. Assumed first-lien facility is senior secured loan with no issue recovery opinion; Canada Group 1; Fitch June 1 2026 Appendix 4 pp42-43 and Appendix 6 pp47-48 BBsf Strong fallback.</x:v>
      </x:c>
    </x:row>
    <x:row r="48" ht="107" customHeight="1">
      <x:c r="A48" s="179" t="str">
        <x:v>SYN-LN-00041</x:v>
      </x:c>
      <x:c r="B48" s="180" t="n">
        <x:f>IF(A48="","",SUMIF('Portfolio Inputs'!A8:A289,A48,'Portfolio Inputs'!D8:D289))</x:f>
        <x:v>1182000</x:v>
      </x:c>
      <x:c r="C48" s="179" t="str">
        <x:v>B</x:v>
      </x:c>
      <x:c r="D48" s="181" t="str">
        <x:v>development_proxy</x:v>
      </x:c>
      <x:c r="E48" s="181" t="str"/>
      <x:c r="F48" s="182" t="n">
        <x:v>0.75</x:v>
      </x:c>
      <x:c r="G48" s="181" t="str">
        <x:v>development_assumption</x:v>
      </x:c>
      <x:c r="H4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48" s="183" t="n">
        <x:f>IF(AND(C48&lt;&gt;"",OR(D48="public_fitch_idr",D48="reviewed_appendix5_equivalent",D48="development_proxy"),H48&lt;&gt;""),VLOOKUP(C48,Fitch_WARF_Factors,2,FALSE),"")</x:f>
        <x:v>23.671</x:v>
      </x:c>
      <x:c r="J48" s="184" t="n">
        <x:f>IF(ISNUMBER(I48),B48*I48,0)</x:f>
        <x:v>27979122</x:v>
      </x:c>
      <x:c r="K48" s="184" t="n">
        <x:f>IF(AND(A48&lt;&gt;"",M48=0),B48*F48,0)</x:f>
        <x:v>886500</x:v>
      </x:c>
      <x:c r="L48" s="184" t="n">
        <x:f>IF(A48="",0,IF(ISNUMBER(I48),0,B48))</x:f>
        <x:v>0</x:v>
      </x:c>
      <x:c r="M48" s="185" t="n">
        <x:f>IF(A48="",0,IF(AND(ISNUMBER(F48),F48&gt;=0,F48&lt;=1,OR(G48="fitch_issue_recovery_estimate",G48="fitch_issue_recovery_rating",G48="reviewed_bbsf_fallback",G48="development_assumption"),H48&lt;&gt;""),0,B48))</x:f>
        <x:v>0</x:v>
      </x:c>
      <x:c r="N48" s="186" t="n">
        <x:f>IF(A48=Q48,0,1)+IF(B48=R48,0,1)+IF(C48=S48,0,1)+IF(D48=T48,0,1)+IF(E48=U48,0,1)+IF(F48=V48,0,1)+IF(G48=W48,0,1)+IF(H48=X48,0,1)</x:f>
        <x:v>0</x:v>
      </x:c>
      <x:c r="O48" s="186" t="n">
        <x:f>IF(A48="",0,IF(E48="",B48,0))</x:f>
        <x:v>1182000</x:v>
      </x:c>
      <x:c r="P48" s="187"/>
      <x:c r="Q48" s="179" t="str">
        <x:v>SYN-LN-00041</x:v>
      </x:c>
      <x:c r="R48" s="179" t="n">
        <x:v>1182000</x:v>
      </x:c>
      <x:c r="S48" s="179" t="str">
        <x:v>B</x:v>
      </x:c>
      <x:c r="T48" s="179" t="str">
        <x:v>development_proxy</x:v>
      </x:c>
      <x:c r="U48" s="179" t="str"/>
      <x:c r="V48" s="179" t="n">
        <x:v>0.75</x:v>
      </x:c>
      <x:c r="W48" s="179" t="str">
        <x:v>development_assumption</x:v>
      </x:c>
      <x:c r="X4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49" ht="107" customHeight="1">
      <x:c r="A49" s="179" t="str">
        <x:v>SYN-LN-00042</x:v>
      </x:c>
      <x:c r="B49" s="180" t="n">
        <x:f>IF(A49="","",SUMIF('Portfolio Inputs'!A8:A289,A49,'Portfolio Inputs'!D8:D289))</x:f>
        <x:v>1182000</x:v>
      </x:c>
      <x:c r="C49" s="179" t="str">
        <x:v>BB</x:v>
      </x:c>
      <x:c r="D49" s="181" t="str">
        <x:v>development_proxy</x:v>
      </x:c>
      <x:c r="E49" s="181" t="str"/>
      <x:c r="F49" s="182" t="n">
        <x:v>0.75</x:v>
      </x:c>
      <x:c r="G49" s="181" t="str">
        <x:v>development_assumption</x:v>
      </x:c>
      <x:c r="H4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49" s="183" t="n">
        <x:f>IF(AND(C49&lt;&gt;"",OR(D49="public_fitch_idr",D49="reviewed_appendix5_equivalent",D49="development_proxy"),H49&lt;&gt;""),VLOOKUP(C49,Fitch_WARF_Factors,2,FALSE),"")</x:f>
        <x:v>11.844</x:v>
      </x:c>
      <x:c r="J49" s="184" t="n">
        <x:f>IF(ISNUMBER(I49),B49*I49,0)</x:f>
        <x:v>13999608</x:v>
      </x:c>
      <x:c r="K49" s="184" t="n">
        <x:f>IF(AND(A49&lt;&gt;"",M49=0),B49*F49,0)</x:f>
        <x:v>886500</x:v>
      </x:c>
      <x:c r="L49" s="184" t="n">
        <x:f>IF(A49="",0,IF(ISNUMBER(I49),0,B49))</x:f>
        <x:v>0</x:v>
      </x:c>
      <x:c r="M49" s="185" t="n">
        <x:f>IF(A49="",0,IF(AND(ISNUMBER(F49),F49&gt;=0,F49&lt;=1,OR(G49="fitch_issue_recovery_estimate",G49="fitch_issue_recovery_rating",G49="reviewed_bbsf_fallback",G49="development_assumption"),H49&lt;&gt;""),0,B49))</x:f>
        <x:v>0</x:v>
      </x:c>
      <x:c r="N49" s="186" t="n">
        <x:f>IF(A49=Q49,0,1)+IF(B49=R49,0,1)+IF(C49=S49,0,1)+IF(D49=T49,0,1)+IF(E49=U49,0,1)+IF(F49=V49,0,1)+IF(G49=W49,0,1)+IF(H49=X49,0,1)</x:f>
        <x:v>0</x:v>
      </x:c>
      <x:c r="O49" s="186" t="n">
        <x:f>IF(A49="",0,IF(E49="",B49,0))</x:f>
        <x:v>1182000</x:v>
      </x:c>
      <x:c r="P49" s="187"/>
      <x:c r="Q49" s="179" t="str">
        <x:v>SYN-LN-00042</x:v>
      </x:c>
      <x:c r="R49" s="179" t="n">
        <x:v>1182000</x:v>
      </x:c>
      <x:c r="S49" s="179" t="str">
        <x:v>BB</x:v>
      </x:c>
      <x:c r="T49" s="179" t="str">
        <x:v>development_proxy</x:v>
      </x:c>
      <x:c r="U49" s="179" t="str"/>
      <x:c r="V49" s="179" t="n">
        <x:v>0.75</x:v>
      </x:c>
      <x:c r="W49" s="179" t="str">
        <x:v>development_assumption</x:v>
      </x:c>
      <x:c r="X4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50" ht="107" customHeight="1">
      <x:c r="A50" s="179" t="str">
        <x:v>SYN-LN-00043</x:v>
      </x:c>
      <x:c r="B50" s="180" t="n">
        <x:f>IF(A50="","",SUMIF('Portfolio Inputs'!A8:A289,A50,'Portfolio Inputs'!D8:D289))</x:f>
        <x:v>1182000</x:v>
      </x:c>
      <x:c r="C50" s="179" t="str">
        <x:v>B</x:v>
      </x:c>
      <x:c r="D50" s="181" t="str">
        <x:v>development_proxy</x:v>
      </x:c>
      <x:c r="E50" s="181" t="str"/>
      <x:c r="F50" s="182" t="n">
        <x:v>0.75</x:v>
      </x:c>
      <x:c r="G50" s="181" t="str">
        <x:v>development_assumption</x:v>
      </x:c>
      <x:c r="H5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50" s="183" t="n">
        <x:f>IF(AND(C50&lt;&gt;"",OR(D50="public_fitch_idr",D50="reviewed_appendix5_equivalent",D50="development_proxy"),H50&lt;&gt;""),VLOOKUP(C50,Fitch_WARF_Factors,2,FALSE),"")</x:f>
        <x:v>23.671</x:v>
      </x:c>
      <x:c r="J50" s="184" t="n">
        <x:f>IF(ISNUMBER(I50),B50*I50,0)</x:f>
        <x:v>27979122</x:v>
      </x:c>
      <x:c r="K50" s="184" t="n">
        <x:f>IF(AND(A50&lt;&gt;"",M50=0),B50*F50,0)</x:f>
        <x:v>886500</x:v>
      </x:c>
      <x:c r="L50" s="184" t="n">
        <x:f>IF(A50="",0,IF(ISNUMBER(I50),0,B50))</x:f>
        <x:v>0</x:v>
      </x:c>
      <x:c r="M50" s="185" t="n">
        <x:f>IF(A50="",0,IF(AND(ISNUMBER(F50),F50&gt;=0,F50&lt;=1,OR(G50="fitch_issue_recovery_estimate",G50="fitch_issue_recovery_rating",G50="reviewed_bbsf_fallback",G50="development_assumption"),H50&lt;&gt;""),0,B50))</x:f>
        <x:v>0</x:v>
      </x:c>
      <x:c r="N50" s="186" t="n">
        <x:f>IF(A50=Q50,0,1)+IF(B50=R50,0,1)+IF(C50=S50,0,1)+IF(D50=T50,0,1)+IF(E50=U50,0,1)+IF(F50=V50,0,1)+IF(G50=W50,0,1)+IF(H50=X50,0,1)</x:f>
        <x:v>0</x:v>
      </x:c>
      <x:c r="O50" s="186" t="n">
        <x:f>IF(A50="",0,IF(E50="",B50,0))</x:f>
        <x:v>1182000</x:v>
      </x:c>
      <x:c r="P50" s="187"/>
      <x:c r="Q50" s="179" t="str">
        <x:v>SYN-LN-00043</x:v>
      </x:c>
      <x:c r="R50" s="179" t="n">
        <x:v>1182000</x:v>
      </x:c>
      <x:c r="S50" s="179" t="str">
        <x:v>B</x:v>
      </x:c>
      <x:c r="T50" s="179" t="str">
        <x:v>development_proxy</x:v>
      </x:c>
      <x:c r="U50" s="179" t="str"/>
      <x:c r="V50" s="179" t="n">
        <x:v>0.75</x:v>
      </x:c>
      <x:c r="W50" s="179" t="str">
        <x:v>development_assumption</x:v>
      </x:c>
      <x:c r="X5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51" ht="107" customHeight="1">
      <x:c r="A51" s="179" t="str">
        <x:v>SYN-LN-00044</x:v>
      </x:c>
      <x:c r="B51" s="180" t="n">
        <x:f>IF(A51="","",SUMIF('Portfolio Inputs'!A8:A289,A51,'Portfolio Inputs'!D8:D289))</x:f>
        <x:v>1182000</x:v>
      </x:c>
      <x:c r="C51" s="179" t="str">
        <x:v>B+</x:v>
      </x:c>
      <x:c r="D51" s="181" t="str">
        <x:v>development_proxy</x:v>
      </x:c>
      <x:c r="E51" s="181" t="str"/>
      <x:c r="F51" s="182" t="n">
        <x:v>0.75</x:v>
      </x:c>
      <x:c r="G51" s="181" t="str">
        <x:v>development_assumption</x:v>
      </x:c>
      <x:c r="H5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51" s="183" t="n">
        <x:f>IF(AND(C51&lt;&gt;"",OR(D51="public_fitch_idr",D51="reviewed_appendix5_equivalent",D51="development_proxy"),H51&lt;&gt;""),VLOOKUP(C51,Fitch_WARF_Factors,2,FALSE),"")</x:f>
        <x:v>19.627</x:v>
      </x:c>
      <x:c r="J51" s="184" t="n">
        <x:f>IF(ISNUMBER(I51),B51*I51,0)</x:f>
        <x:v>23199114</x:v>
      </x:c>
      <x:c r="K51" s="184" t="n">
        <x:f>IF(AND(A51&lt;&gt;"",M51=0),B51*F51,0)</x:f>
        <x:v>886500</x:v>
      </x:c>
      <x:c r="L51" s="184" t="n">
        <x:f>IF(A51="",0,IF(ISNUMBER(I51),0,B51))</x:f>
        <x:v>0</x:v>
      </x:c>
      <x:c r="M51" s="185" t="n">
        <x:f>IF(A51="",0,IF(AND(ISNUMBER(F51),F51&gt;=0,F51&lt;=1,OR(G51="fitch_issue_recovery_estimate",G51="fitch_issue_recovery_rating",G51="reviewed_bbsf_fallback",G51="development_assumption"),H51&lt;&gt;""),0,B51))</x:f>
        <x:v>0</x:v>
      </x:c>
      <x:c r="N51" s="186" t="n">
        <x:f>IF(A51=Q51,0,1)+IF(B51=R51,0,1)+IF(C51=S51,0,1)+IF(D51=T51,0,1)+IF(E51=U51,0,1)+IF(F51=V51,0,1)+IF(G51=W51,0,1)+IF(H51=X51,0,1)</x:f>
        <x:v>0</x:v>
      </x:c>
      <x:c r="O51" s="186" t="n">
        <x:f>IF(A51="",0,IF(E51="",B51,0))</x:f>
        <x:v>1182000</x:v>
      </x:c>
      <x:c r="P51" s="187"/>
      <x:c r="Q51" s="179" t="str">
        <x:v>SYN-LN-00044</x:v>
      </x:c>
      <x:c r="R51" s="179" t="n">
        <x:v>1182000</x:v>
      </x:c>
      <x:c r="S51" s="179" t="str">
        <x:v>B+</x:v>
      </x:c>
      <x:c r="T51" s="179" t="str">
        <x:v>development_proxy</x:v>
      </x:c>
      <x:c r="U51" s="179" t="str"/>
      <x:c r="V51" s="179" t="n">
        <x:v>0.75</x:v>
      </x:c>
      <x:c r="W51" s="179" t="str">
        <x:v>development_assumption</x:v>
      </x:c>
      <x:c r="X5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52" ht="107" customHeight="1">
      <x:c r="A52" s="179" t="str">
        <x:v>SYN-LN-00045</x:v>
      </x:c>
      <x:c r="B52" s="180" t="n">
        <x:f>IF(A52="","",SUMIF('Portfolio Inputs'!A8:A289,A52,'Portfolio Inputs'!D8:D289))</x:f>
        <x:v>1182000</x:v>
      </x:c>
      <x:c r="C52" s="179" t="str">
        <x:v>B</x:v>
      </x:c>
      <x:c r="D52" s="181" t="str">
        <x:v>development_proxy</x:v>
      </x:c>
      <x:c r="E52" s="181" t="str"/>
      <x:c r="F52" s="182" t="n">
        <x:v>0.75</x:v>
      </x:c>
      <x:c r="G52" s="181" t="str">
        <x:v>development_assumption</x:v>
      </x:c>
      <x:c r="H5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52" s="183" t="n">
        <x:f>IF(AND(C52&lt;&gt;"",OR(D52="public_fitch_idr",D52="reviewed_appendix5_equivalent",D52="development_proxy"),H52&lt;&gt;""),VLOOKUP(C52,Fitch_WARF_Factors,2,FALSE),"")</x:f>
        <x:v>23.671</x:v>
      </x:c>
      <x:c r="J52" s="184" t="n">
        <x:f>IF(ISNUMBER(I52),B52*I52,0)</x:f>
        <x:v>27979122</x:v>
      </x:c>
      <x:c r="K52" s="184" t="n">
        <x:f>IF(AND(A52&lt;&gt;"",M52=0),B52*F52,0)</x:f>
        <x:v>886500</x:v>
      </x:c>
      <x:c r="L52" s="184" t="n">
        <x:f>IF(A52="",0,IF(ISNUMBER(I52),0,B52))</x:f>
        <x:v>0</x:v>
      </x:c>
      <x:c r="M52" s="185" t="n">
        <x:f>IF(A52="",0,IF(AND(ISNUMBER(F52),F52&gt;=0,F52&lt;=1,OR(G52="fitch_issue_recovery_estimate",G52="fitch_issue_recovery_rating",G52="reviewed_bbsf_fallback",G52="development_assumption"),H52&lt;&gt;""),0,B52))</x:f>
        <x:v>0</x:v>
      </x:c>
      <x:c r="N52" s="186" t="n">
        <x:f>IF(A52=Q52,0,1)+IF(B52=R52,0,1)+IF(C52=S52,0,1)+IF(D52=T52,0,1)+IF(E52=U52,0,1)+IF(F52=V52,0,1)+IF(G52=W52,0,1)+IF(H52=X52,0,1)</x:f>
        <x:v>0</x:v>
      </x:c>
      <x:c r="O52" s="186" t="n">
        <x:f>IF(A52="",0,IF(E52="",B52,0))</x:f>
        <x:v>1182000</x:v>
      </x:c>
      <x:c r="P52" s="187"/>
      <x:c r="Q52" s="179" t="str">
        <x:v>SYN-LN-00045</x:v>
      </x:c>
      <x:c r="R52" s="179" t="n">
        <x:v>1182000</x:v>
      </x:c>
      <x:c r="S52" s="179" t="str">
        <x:v>B</x:v>
      </x:c>
      <x:c r="T52" s="179" t="str">
        <x:v>development_proxy</x:v>
      </x:c>
      <x:c r="U52" s="179" t="str"/>
      <x:c r="V52" s="179" t="n">
        <x:v>0.75</x:v>
      </x:c>
      <x:c r="W52" s="179" t="str">
        <x:v>development_assumption</x:v>
      </x:c>
      <x:c r="X5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53" ht="107" customHeight="1">
      <x:c r="A53" s="179" t="str">
        <x:v>SYN-LN-00046</x:v>
      </x:c>
      <x:c r="B53" s="180" t="n">
        <x:f>IF(A53="","",SUMIF('Portfolio Inputs'!A8:A289,A53,'Portfolio Inputs'!D8:D289))</x:f>
        <x:v>1182000</x:v>
      </x:c>
      <x:c r="C53" s="179" t="str">
        <x:v>B+</x:v>
      </x:c>
      <x:c r="D53" s="181" t="str">
        <x:v>development_proxy</x:v>
      </x:c>
      <x:c r="E53" s="181" t="str"/>
      <x:c r="F53" s="182" t="n">
        <x:v>0.75</x:v>
      </x:c>
      <x:c r="G53" s="181" t="str">
        <x:v>development_assumption</x:v>
      </x:c>
      <x:c r="H5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53" s="183" t="n">
        <x:f>IF(AND(C53&lt;&gt;"",OR(D53="public_fitch_idr",D53="reviewed_appendix5_equivalent",D53="development_proxy"),H53&lt;&gt;""),VLOOKUP(C53,Fitch_WARF_Factors,2,FALSE),"")</x:f>
        <x:v>19.627</x:v>
      </x:c>
      <x:c r="J53" s="184" t="n">
        <x:f>IF(ISNUMBER(I53),B53*I53,0)</x:f>
        <x:v>23199114</x:v>
      </x:c>
      <x:c r="K53" s="184" t="n">
        <x:f>IF(AND(A53&lt;&gt;"",M53=0),B53*F53,0)</x:f>
        <x:v>886500</x:v>
      </x:c>
      <x:c r="L53" s="184" t="n">
        <x:f>IF(A53="",0,IF(ISNUMBER(I53),0,B53))</x:f>
        <x:v>0</x:v>
      </x:c>
      <x:c r="M53" s="185" t="n">
        <x:f>IF(A53="",0,IF(AND(ISNUMBER(F53),F53&gt;=0,F53&lt;=1,OR(G53="fitch_issue_recovery_estimate",G53="fitch_issue_recovery_rating",G53="reviewed_bbsf_fallback",G53="development_assumption"),H53&lt;&gt;""),0,B53))</x:f>
        <x:v>0</x:v>
      </x:c>
      <x:c r="N53" s="186" t="n">
        <x:f>IF(A53=Q53,0,1)+IF(B53=R53,0,1)+IF(C53=S53,0,1)+IF(D53=T53,0,1)+IF(E53=U53,0,1)+IF(F53=V53,0,1)+IF(G53=W53,0,1)+IF(H53=X53,0,1)</x:f>
        <x:v>0</x:v>
      </x:c>
      <x:c r="O53" s="186" t="n">
        <x:f>IF(A53="",0,IF(E53="",B53,0))</x:f>
        <x:v>1182000</x:v>
      </x:c>
      <x:c r="P53" s="187"/>
      <x:c r="Q53" s="179" t="str">
        <x:v>SYN-LN-00046</x:v>
      </x:c>
      <x:c r="R53" s="179" t="n">
        <x:v>1182000</x:v>
      </x:c>
      <x:c r="S53" s="179" t="str">
        <x:v>B+</x:v>
      </x:c>
      <x:c r="T53" s="179" t="str">
        <x:v>development_proxy</x:v>
      </x:c>
      <x:c r="U53" s="179" t="str"/>
      <x:c r="V53" s="179" t="n">
        <x:v>0.75</x:v>
      </x:c>
      <x:c r="W53" s="179" t="str">
        <x:v>development_assumption</x:v>
      </x:c>
      <x:c r="X5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54" ht="107" customHeight="1">
      <x:c r="A54" s="179" t="str">
        <x:v>SYN-LN-00047</x:v>
      </x:c>
      <x:c r="B54" s="180" t="n">
        <x:f>IF(A54="","",SUMIF('Portfolio Inputs'!A8:A289,A54,'Portfolio Inputs'!D8:D289))</x:f>
        <x:v>1182000</x:v>
      </x:c>
      <x:c r="C54" s="179" t="str">
        <x:v>B</x:v>
      </x:c>
      <x:c r="D54" s="181" t="str">
        <x:v>development_proxy</x:v>
      </x:c>
      <x:c r="E54" s="181" t="str"/>
      <x:c r="F54" s="182" t="n">
        <x:v>0.75</x:v>
      </x:c>
      <x:c r="G54" s="181" t="str">
        <x:v>development_assumption</x:v>
      </x:c>
      <x:c r="H5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54" s="183" t="n">
        <x:f>IF(AND(C54&lt;&gt;"",OR(D54="public_fitch_idr",D54="reviewed_appendix5_equivalent",D54="development_proxy"),H54&lt;&gt;""),VLOOKUP(C54,Fitch_WARF_Factors,2,FALSE),"")</x:f>
        <x:v>23.671</x:v>
      </x:c>
      <x:c r="J54" s="184" t="n">
        <x:f>IF(ISNUMBER(I54),B54*I54,0)</x:f>
        <x:v>27979122</x:v>
      </x:c>
      <x:c r="K54" s="184" t="n">
        <x:f>IF(AND(A54&lt;&gt;"",M54=0),B54*F54,0)</x:f>
        <x:v>886500</x:v>
      </x:c>
      <x:c r="L54" s="184" t="n">
        <x:f>IF(A54="",0,IF(ISNUMBER(I54),0,B54))</x:f>
        <x:v>0</x:v>
      </x:c>
      <x:c r="M54" s="185" t="n">
        <x:f>IF(A54="",0,IF(AND(ISNUMBER(F54),F54&gt;=0,F54&lt;=1,OR(G54="fitch_issue_recovery_estimate",G54="fitch_issue_recovery_rating",G54="reviewed_bbsf_fallback",G54="development_assumption"),H54&lt;&gt;""),0,B54))</x:f>
        <x:v>0</x:v>
      </x:c>
      <x:c r="N54" s="186" t="n">
        <x:f>IF(A54=Q54,0,1)+IF(B54=R54,0,1)+IF(C54=S54,0,1)+IF(D54=T54,0,1)+IF(E54=U54,0,1)+IF(F54=V54,0,1)+IF(G54=W54,0,1)+IF(H54=X54,0,1)</x:f>
        <x:v>0</x:v>
      </x:c>
      <x:c r="O54" s="186" t="n">
        <x:f>IF(A54="",0,IF(E54="",B54,0))</x:f>
        <x:v>1182000</x:v>
      </x:c>
      <x:c r="P54" s="187"/>
      <x:c r="Q54" s="179" t="str">
        <x:v>SYN-LN-00047</x:v>
      </x:c>
      <x:c r="R54" s="179" t="n">
        <x:v>1182000</x:v>
      </x:c>
      <x:c r="S54" s="179" t="str">
        <x:v>B</x:v>
      </x:c>
      <x:c r="T54" s="179" t="str">
        <x:v>development_proxy</x:v>
      </x:c>
      <x:c r="U54" s="179" t="str"/>
      <x:c r="V54" s="179" t="n">
        <x:v>0.75</x:v>
      </x:c>
      <x:c r="W54" s="179" t="str">
        <x:v>development_assumption</x:v>
      </x:c>
      <x:c r="X5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55" ht="107" customHeight="1">
      <x:c r="A55" s="179" t="str">
        <x:v>SYN-LN-00048</x:v>
      </x:c>
      <x:c r="B55" s="180" t="n">
        <x:f>IF(A55="","",SUMIF('Portfolio Inputs'!A8:A289,A55,'Portfolio Inputs'!D8:D289))</x:f>
        <x:v>1182000</x:v>
      </x:c>
      <x:c r="C55" s="179" t="str">
        <x:v>B</x:v>
      </x:c>
      <x:c r="D55" s="181" t="str">
        <x:v>development_proxy</x:v>
      </x:c>
      <x:c r="E55" s="181" t="str"/>
      <x:c r="F55" s="182" t="n">
        <x:v>0.75</x:v>
      </x:c>
      <x:c r="G55" s="181" t="str">
        <x:v>development_assumption</x:v>
      </x:c>
      <x:c r="H5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55" s="183" t="n">
        <x:f>IF(AND(C55&lt;&gt;"",OR(D55="public_fitch_idr",D55="reviewed_appendix5_equivalent",D55="development_proxy"),H55&lt;&gt;""),VLOOKUP(C55,Fitch_WARF_Factors,2,FALSE),"")</x:f>
        <x:v>23.671</x:v>
      </x:c>
      <x:c r="J55" s="184" t="n">
        <x:f>IF(ISNUMBER(I55),B55*I55,0)</x:f>
        <x:v>27979122</x:v>
      </x:c>
      <x:c r="K55" s="184" t="n">
        <x:f>IF(AND(A55&lt;&gt;"",M55=0),B55*F55,0)</x:f>
        <x:v>886500</x:v>
      </x:c>
      <x:c r="L55" s="184" t="n">
        <x:f>IF(A55="",0,IF(ISNUMBER(I55),0,B55))</x:f>
        <x:v>0</x:v>
      </x:c>
      <x:c r="M55" s="185" t="n">
        <x:f>IF(A55="",0,IF(AND(ISNUMBER(F55),F55&gt;=0,F55&lt;=1,OR(G55="fitch_issue_recovery_estimate",G55="fitch_issue_recovery_rating",G55="reviewed_bbsf_fallback",G55="development_assumption"),H55&lt;&gt;""),0,B55))</x:f>
        <x:v>0</x:v>
      </x:c>
      <x:c r="N55" s="186" t="n">
        <x:f>IF(A55=Q55,0,1)+IF(B55=R55,0,1)+IF(C55=S55,0,1)+IF(D55=T55,0,1)+IF(E55=U55,0,1)+IF(F55=V55,0,1)+IF(G55=W55,0,1)+IF(H55=X55,0,1)</x:f>
        <x:v>0</x:v>
      </x:c>
      <x:c r="O55" s="186" t="n">
        <x:f>IF(A55="",0,IF(E55="",B55,0))</x:f>
        <x:v>1182000</x:v>
      </x:c>
      <x:c r="P55" s="187"/>
      <x:c r="Q55" s="179" t="str">
        <x:v>SYN-LN-00048</x:v>
      </x:c>
      <x:c r="R55" s="179" t="n">
        <x:v>1182000</x:v>
      </x:c>
      <x:c r="S55" s="179" t="str">
        <x:v>B</x:v>
      </x:c>
      <x:c r="T55" s="179" t="str">
        <x:v>development_proxy</x:v>
      </x:c>
      <x:c r="U55" s="179" t="str"/>
      <x:c r="V55" s="179" t="n">
        <x:v>0.75</x:v>
      </x:c>
      <x:c r="W55" s="179" t="str">
        <x:v>development_assumption</x:v>
      </x:c>
      <x:c r="X5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56" ht="107" customHeight="1">
      <x:c r="A56" s="179" t="str">
        <x:v>SYN-LN-00049</x:v>
      </x:c>
      <x:c r="B56" s="180" t="n">
        <x:f>IF(A56="","",SUMIF('Portfolio Inputs'!A8:A289,A56,'Portfolio Inputs'!D8:D289))</x:f>
        <x:v>1182000</x:v>
      </x:c>
      <x:c r="C56" s="179" t="str">
        <x:v>B-</x:v>
      </x:c>
      <x:c r="D56" s="181" t="str">
        <x:v>development_proxy</x:v>
      </x:c>
      <x:c r="E56" s="181" t="str"/>
      <x:c r="F56" s="182" t="n">
        <x:v>0.75</x:v>
      </x:c>
      <x:c r="G56" s="181" t="str">
        <x:v>development_assumption</x:v>
      </x:c>
      <x:c r="H5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56" s="183" t="n">
        <x:f>IF(AND(C56&lt;&gt;"",OR(D56="public_fitch_idr",D56="reviewed_appendix5_equivalent",D56="development_proxy"),H56&lt;&gt;""),VLOOKUP(C56,Fitch_WARF_Factors,2,FALSE),"")</x:f>
        <x:v>32.221</x:v>
      </x:c>
      <x:c r="J56" s="184" t="n">
        <x:f>IF(ISNUMBER(I56),B56*I56,0)</x:f>
        <x:v>38085221.99999999</x:v>
      </x:c>
      <x:c r="K56" s="184" t="n">
        <x:f>IF(AND(A56&lt;&gt;"",M56=0),B56*F56,0)</x:f>
        <x:v>886500</x:v>
      </x:c>
      <x:c r="L56" s="184" t="n">
        <x:f>IF(A56="",0,IF(ISNUMBER(I56),0,B56))</x:f>
        <x:v>0</x:v>
      </x:c>
      <x:c r="M56" s="185" t="n">
        <x:f>IF(A56="",0,IF(AND(ISNUMBER(F56),F56&gt;=0,F56&lt;=1,OR(G56="fitch_issue_recovery_estimate",G56="fitch_issue_recovery_rating",G56="reviewed_bbsf_fallback",G56="development_assumption"),H56&lt;&gt;""),0,B56))</x:f>
        <x:v>0</x:v>
      </x:c>
      <x:c r="N56" s="186" t="n">
        <x:f>IF(A56=Q56,0,1)+IF(B56=R56,0,1)+IF(C56=S56,0,1)+IF(D56=T56,0,1)+IF(E56=U56,0,1)+IF(F56=V56,0,1)+IF(G56=W56,0,1)+IF(H56=X56,0,1)</x:f>
        <x:v>0</x:v>
      </x:c>
      <x:c r="O56" s="186" t="n">
        <x:f>IF(A56="",0,IF(E56="",B56,0))</x:f>
        <x:v>1182000</x:v>
      </x:c>
      <x:c r="P56" s="187"/>
      <x:c r="Q56" s="179" t="str">
        <x:v>SYN-LN-00049</x:v>
      </x:c>
      <x:c r="R56" s="179" t="n">
        <x:v>1182000</x:v>
      </x:c>
      <x:c r="S56" s="179" t="str">
        <x:v>B-</x:v>
      </x:c>
      <x:c r="T56" s="179" t="str">
        <x:v>development_proxy</x:v>
      </x:c>
      <x:c r="U56" s="179" t="str"/>
      <x:c r="V56" s="179" t="n">
        <x:v>0.75</x:v>
      </x:c>
      <x:c r="W56" s="179" t="str">
        <x:v>development_assumption</x:v>
      </x:c>
      <x:c r="X5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57" ht="107" customHeight="1">
      <x:c r="A57" s="179" t="str">
        <x:v>SYN-LN-00050</x:v>
      </x:c>
      <x:c r="B57" s="180" t="n">
        <x:f>IF(A57="","",SUMIF('Portfolio Inputs'!A8:A289,A57,'Portfolio Inputs'!D8:D289))</x:f>
        <x:v>630000</x:v>
      </x:c>
      <x:c r="C57" s="179" t="str">
        <x:v>BBB-</x:v>
      </x:c>
      <x:c r="D57" s="181" t="str">
        <x:v>development_proxy</x:v>
      </x:c>
      <x:c r="E57" s="181" t="str"/>
      <x:c r="F57" s="182"/>
      <x:c r="G57" s="181" t="str"/>
      <x:c r="H57" s="181" t="str">
        <x:v>FICTIONAL DEVELOPMENT: copied S&amp;P symbol as Fitch IDR-equivalency proxy; no Fitch rating or Appendix 5 review.</x:v>
      </x:c>
      <x:c r="I57" s="183" t="n">
        <x:f>IF(AND(C57&lt;&gt;"",OR(D57="public_fitch_idr",D57="reviewed_appendix5_equivalent",D57="development_proxy"),H57&lt;&gt;""),VLOOKUP(C57,Fitch_WARF_Factors,2,FALSE),"")</x:f>
        <x:v>6.039</x:v>
      </x:c>
      <x:c r="J57" s="184" t="n">
        <x:f>IF(ISNUMBER(I57),B57*I57,0)</x:f>
        <x:v>3804570</x:v>
      </x:c>
      <x:c r="K57" s="184" t="n">
        <x:f>IF(AND(A57&lt;&gt;"",M57=0),B57*F57,0)</x:f>
        <x:v>0</x:v>
      </x:c>
      <x:c r="L57" s="184" t="n">
        <x:f>IF(A57="",0,IF(ISNUMBER(I57),0,B57))</x:f>
        <x:v>0</x:v>
      </x:c>
      <x:c r="M57" s="185" t="n">
        <x:f>IF(A57="",0,IF(AND(ISNUMBER(F57),F57&gt;=0,F57&lt;=1,OR(G57="fitch_issue_recovery_estimate",G57="fitch_issue_recovery_rating",G57="reviewed_bbsf_fallback",G57="development_assumption"),H57&lt;&gt;""),0,B57))</x:f>
        <x:v>630000</x:v>
      </x:c>
      <x:c r="N57" s="186" t="n">
        <x:f>IF(A57=Q57,0,1)+IF(B57=R57,0,1)+IF(C57=S57,0,1)+IF(D57=T57,0,1)+IF(E57=U57,0,1)+IF(F57=V57,0,1)+IF(G57=W57,0,1)+IF(H57=X57,0,1)</x:f>
        <x:v>0</x:v>
      </x:c>
      <x:c r="O57" s="186" t="n">
        <x:f>IF(A57="",0,IF(E57="",B57,0))</x:f>
        <x:v>630000</x:v>
      </x:c>
      <x:c r="P57" s="187"/>
      <x:c r="Q57" s="179" t="str">
        <x:v>SYN-LN-00050</x:v>
      </x:c>
      <x:c r="R57" s="179" t="n">
        <x:v>630000</x:v>
      </x:c>
      <x:c r="S57" s="179" t="str">
        <x:v>BBB-</x:v>
      </x:c>
      <x:c r="T57" s="179" t="str">
        <x:v>development_proxy</x:v>
      </x:c>
      <x:c r="U57" s="179" t="str"/>
      <x:c r="V57" s="179"/>
      <x:c r="W57" s="179" t="str"/>
      <x:c r="X57" s="179" t="str">
        <x:v>FICTIONAL DEVELOPMENT: copied S&amp;P symbol as Fitch IDR-equivalency proxy; no Fitch rating or Appendix 5 review.</x:v>
      </x:c>
    </x:row>
    <x:row r="58" ht="107" customHeight="1">
      <x:c r="A58" s="179" t="str">
        <x:v>SYN-LN-00051</x:v>
      </x:c>
      <x:c r="B58" s="180" t="n">
        <x:f>IF(A58="","",SUMIF('Portfolio Inputs'!A8:A289,A58,'Portfolio Inputs'!D8:D289))</x:f>
        <x:v>1182000</x:v>
      </x:c>
      <x:c r="C58" s="179" t="str">
        <x:v>BB</x:v>
      </x:c>
      <x:c r="D58" s="181" t="str">
        <x:v>development_proxy</x:v>
      </x:c>
      <x:c r="E58" s="181" t="str"/>
      <x:c r="F58" s="182" t="n">
        <x:v>0.75</x:v>
      </x:c>
      <x:c r="G58" s="181" t="str">
        <x:v>development_assumption</x:v>
      </x:c>
      <x:c r="H5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58" s="183" t="n">
        <x:f>IF(AND(C58&lt;&gt;"",OR(D58="public_fitch_idr",D58="reviewed_appendix5_equivalent",D58="development_proxy"),H58&lt;&gt;""),VLOOKUP(C58,Fitch_WARF_Factors,2,FALSE),"")</x:f>
        <x:v>11.844</x:v>
      </x:c>
      <x:c r="J58" s="184" t="n">
        <x:f>IF(ISNUMBER(I58),B58*I58,0)</x:f>
        <x:v>13999608</x:v>
      </x:c>
      <x:c r="K58" s="184" t="n">
        <x:f>IF(AND(A58&lt;&gt;"",M58=0),B58*F58,0)</x:f>
        <x:v>886500</x:v>
      </x:c>
      <x:c r="L58" s="184" t="n">
        <x:f>IF(A58="",0,IF(ISNUMBER(I58),0,B58))</x:f>
        <x:v>0</x:v>
      </x:c>
      <x:c r="M58" s="185" t="n">
        <x:f>IF(A58="",0,IF(AND(ISNUMBER(F58),F58&gt;=0,F58&lt;=1,OR(G58="fitch_issue_recovery_estimate",G58="fitch_issue_recovery_rating",G58="reviewed_bbsf_fallback",G58="development_assumption"),H58&lt;&gt;""),0,B58))</x:f>
        <x:v>0</x:v>
      </x:c>
      <x:c r="N58" s="186" t="n">
        <x:f>IF(A58=Q58,0,1)+IF(B58=R58,0,1)+IF(C58=S58,0,1)+IF(D58=T58,0,1)+IF(E58=U58,0,1)+IF(F58=V58,0,1)+IF(G58=W58,0,1)+IF(H58=X58,0,1)</x:f>
        <x:v>0</x:v>
      </x:c>
      <x:c r="O58" s="186" t="n">
        <x:f>IF(A58="",0,IF(E58="",B58,0))</x:f>
        <x:v>1182000</x:v>
      </x:c>
      <x:c r="P58" s="187"/>
      <x:c r="Q58" s="179" t="str">
        <x:v>SYN-LN-00051</x:v>
      </x:c>
      <x:c r="R58" s="179" t="n">
        <x:v>1182000</x:v>
      </x:c>
      <x:c r="S58" s="179" t="str">
        <x:v>BB</x:v>
      </x:c>
      <x:c r="T58" s="179" t="str">
        <x:v>development_proxy</x:v>
      </x:c>
      <x:c r="U58" s="179" t="str"/>
      <x:c r="V58" s="179" t="n">
        <x:v>0.75</x:v>
      </x:c>
      <x:c r="W58" s="179" t="str">
        <x:v>development_assumption</x:v>
      </x:c>
      <x:c r="X5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59" ht="107" customHeight="1">
      <x:c r="A59" s="179" t="str">
        <x:v>SYN-LN-00052</x:v>
      </x:c>
      <x:c r="B59" s="180" t="n">
        <x:f>IF(A59="","",SUMIF('Portfolio Inputs'!A8:A289,A59,'Portfolio Inputs'!D8:D289))</x:f>
        <x:v>630000</x:v>
      </x:c>
      <x:c r="C59" s="179" t="str">
        <x:v>BB+</x:v>
      </x:c>
      <x:c r="D59" s="181" t="str">
        <x:v>development_proxy</x:v>
      </x:c>
      <x:c r="E59" s="181" t="str"/>
      <x:c r="F59" s="182" t="n">
        <x:v>0.75</x:v>
      </x:c>
      <x:c r="G59" s="181" t="str">
        <x:v>development_assumption</x:v>
      </x:c>
      <x:c r="H5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59" s="183" t="n">
        <x:f>IF(AND(C59&lt;&gt;"",OR(D59="public_fitch_idr",D59="reviewed_appendix5_equivalent",D59="development_proxy"),H59&lt;&gt;""),VLOOKUP(C59,Fitch_WARF_Factors,2,FALSE),"")</x:f>
        <x:v>8.903</x:v>
      </x:c>
      <x:c r="J59" s="184" t="n">
        <x:f>IF(ISNUMBER(I59),B59*I59,0)</x:f>
        <x:v>5608890</x:v>
      </x:c>
      <x:c r="K59" s="184" t="n">
        <x:f>IF(AND(A59&lt;&gt;"",M59=0),B59*F59,0)</x:f>
        <x:v>472500</x:v>
      </x:c>
      <x:c r="L59" s="184" t="n">
        <x:f>IF(A59="",0,IF(ISNUMBER(I59),0,B59))</x:f>
        <x:v>0</x:v>
      </x:c>
      <x:c r="M59" s="185" t="n">
        <x:f>IF(A59="",0,IF(AND(ISNUMBER(F59),F59&gt;=0,F59&lt;=1,OR(G59="fitch_issue_recovery_estimate",G59="fitch_issue_recovery_rating",G59="reviewed_bbsf_fallback",G59="development_assumption"),H59&lt;&gt;""),0,B59))</x:f>
        <x:v>0</x:v>
      </x:c>
      <x:c r="N59" s="186" t="n">
        <x:f>IF(A59=Q59,0,1)+IF(B59=R59,0,1)+IF(C59=S59,0,1)+IF(D59=T59,0,1)+IF(E59=U59,0,1)+IF(F59=V59,0,1)+IF(G59=W59,0,1)+IF(H59=X59,0,1)</x:f>
        <x:v>0</x:v>
      </x:c>
      <x:c r="O59" s="186" t="n">
        <x:f>IF(A59="",0,IF(E59="",B59,0))</x:f>
        <x:v>630000</x:v>
      </x:c>
      <x:c r="P59" s="187"/>
      <x:c r="Q59" s="179" t="str">
        <x:v>SYN-LN-00052</x:v>
      </x:c>
      <x:c r="R59" s="179" t="n">
        <x:v>630000</x:v>
      </x:c>
      <x:c r="S59" s="179" t="str">
        <x:v>BB+</x:v>
      </x:c>
      <x:c r="T59" s="179" t="str">
        <x:v>development_proxy</x:v>
      </x:c>
      <x:c r="U59" s="179" t="str"/>
      <x:c r="V59" s="179" t="n">
        <x:v>0.75</x:v>
      </x:c>
      <x:c r="W59" s="179" t="str">
        <x:v>development_assumption</x:v>
      </x:c>
      <x:c r="X5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60" ht="107" customHeight="1">
      <x:c r="A60" s="179" t="str">
        <x:v>SYN-LN-00053</x:v>
      </x:c>
      <x:c r="B60" s="180" t="n">
        <x:f>IF(A60="","",SUMIF('Portfolio Inputs'!A8:A289,A60,'Portfolio Inputs'!D8:D289))</x:f>
        <x:v>1182000</x:v>
      </x:c>
      <x:c r="C60" s="179" t="str">
        <x:v>BB-</x:v>
      </x:c>
      <x:c r="D60" s="181" t="str">
        <x:v>development_proxy</x:v>
      </x:c>
      <x:c r="E60" s="181" t="str"/>
      <x:c r="F60" s="182" t="n">
        <x:v>0.65</x:v>
      </x:c>
      <x:c r="G60" s="181" t="str">
        <x:v>development_assumption</x:v>
      </x:c>
      <x:c r="H60" s="181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  <x:c r="I60" s="183" t="n">
        <x:f>IF(AND(C60&lt;&gt;"",OR(D60="public_fitch_idr",D60="reviewed_appendix5_equivalent",D60="development_proxy"),H60&lt;&gt;""),VLOOKUP(C60,Fitch_WARF_Factors,2,FALSE),"")</x:f>
        <x:v>15.733</x:v>
      </x:c>
      <x:c r="J60" s="184" t="n">
        <x:f>IF(ISNUMBER(I60),B60*I60,0)</x:f>
        <x:v>18596406</x:v>
      </x:c>
      <x:c r="K60" s="184" t="n">
        <x:f>IF(AND(A60&lt;&gt;"",M60=0),B60*F60,0)</x:f>
        <x:v>768300</x:v>
      </x:c>
      <x:c r="L60" s="184" t="n">
        <x:f>IF(A60="",0,IF(ISNUMBER(I60),0,B60))</x:f>
        <x:v>0</x:v>
      </x:c>
      <x:c r="M60" s="185" t="n">
        <x:f>IF(A60="",0,IF(AND(ISNUMBER(F60),F60&gt;=0,F60&lt;=1,OR(G60="fitch_issue_recovery_estimate",G60="fitch_issue_recovery_rating",G60="reviewed_bbsf_fallback",G60="development_assumption"),H60&lt;&gt;""),0,B60))</x:f>
        <x:v>0</x:v>
      </x:c>
      <x:c r="N60" s="186" t="n">
        <x:f>IF(A60=Q60,0,1)+IF(B60=R60,0,1)+IF(C60=S60,0,1)+IF(D60=T60,0,1)+IF(E60=U60,0,1)+IF(F60=V60,0,1)+IF(G60=W60,0,1)+IF(H60=X60,0,1)</x:f>
        <x:v>0</x:v>
      </x:c>
      <x:c r="O60" s="186" t="n">
        <x:f>IF(A60="",0,IF(E60="",B60,0))</x:f>
        <x:v>1182000</x:v>
      </x:c>
      <x:c r="P60" s="187"/>
      <x:c r="Q60" s="179" t="str">
        <x:v>SYN-LN-00053</x:v>
      </x:c>
      <x:c r="R60" s="179" t="n">
        <x:v>1182000</x:v>
      </x:c>
      <x:c r="S60" s="179" t="str">
        <x:v>BB-</x:v>
      </x:c>
      <x:c r="T60" s="179" t="str">
        <x:v>development_proxy</x:v>
      </x:c>
      <x:c r="U60" s="179" t="str"/>
      <x:c r="V60" s="179" t="n">
        <x:v>0.65</x:v>
      </x:c>
      <x:c r="W60" s="179" t="str">
        <x:v>development_assumption</x:v>
      </x:c>
      <x:c r="X60" s="179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</x:row>
    <x:row r="61" ht="107" customHeight="1">
      <x:c r="A61" s="179" t="str">
        <x:v>SYN-LN-00054</x:v>
      </x:c>
      <x:c r="B61" s="180" t="n">
        <x:f>IF(A61="","",SUMIF('Portfolio Inputs'!A8:A289,A61,'Portfolio Inputs'!D8:D289))</x:f>
        <x:v>1182000</x:v>
      </x:c>
      <x:c r="C61" s="179" t="str">
        <x:v>B-</x:v>
      </x:c>
      <x:c r="D61" s="181" t="str">
        <x:v>development_proxy</x:v>
      </x:c>
      <x:c r="E61" s="181" t="str"/>
      <x:c r="F61" s="182" t="n">
        <x:v>0.75</x:v>
      </x:c>
      <x:c r="G61" s="181" t="str">
        <x:v>development_assumption</x:v>
      </x:c>
      <x:c r="H6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61" s="183" t="n">
        <x:f>IF(AND(C61&lt;&gt;"",OR(D61="public_fitch_idr",D61="reviewed_appendix5_equivalent",D61="development_proxy"),H61&lt;&gt;""),VLOOKUP(C61,Fitch_WARF_Factors,2,FALSE),"")</x:f>
        <x:v>32.221</x:v>
      </x:c>
      <x:c r="J61" s="184" t="n">
        <x:f>IF(ISNUMBER(I61),B61*I61,0)</x:f>
        <x:v>38085221.99999999</x:v>
      </x:c>
      <x:c r="K61" s="184" t="n">
        <x:f>IF(AND(A61&lt;&gt;"",M61=0),B61*F61,0)</x:f>
        <x:v>886500</x:v>
      </x:c>
      <x:c r="L61" s="184" t="n">
        <x:f>IF(A61="",0,IF(ISNUMBER(I61),0,B61))</x:f>
        <x:v>0</x:v>
      </x:c>
      <x:c r="M61" s="185" t="n">
        <x:f>IF(A61="",0,IF(AND(ISNUMBER(F61),F61&gt;=0,F61&lt;=1,OR(G61="fitch_issue_recovery_estimate",G61="fitch_issue_recovery_rating",G61="reviewed_bbsf_fallback",G61="development_assumption"),H61&lt;&gt;""),0,B61))</x:f>
        <x:v>0</x:v>
      </x:c>
      <x:c r="N61" s="186" t="n">
        <x:f>IF(A61=Q61,0,1)+IF(B61=R61,0,1)+IF(C61=S61,0,1)+IF(D61=T61,0,1)+IF(E61=U61,0,1)+IF(F61=V61,0,1)+IF(G61=W61,0,1)+IF(H61=X61,0,1)</x:f>
        <x:v>0</x:v>
      </x:c>
      <x:c r="O61" s="186" t="n">
        <x:f>IF(A61="",0,IF(E61="",B61,0))</x:f>
        <x:v>1182000</x:v>
      </x:c>
      <x:c r="P61" s="187"/>
      <x:c r="Q61" s="179" t="str">
        <x:v>SYN-LN-00054</x:v>
      </x:c>
      <x:c r="R61" s="179" t="n">
        <x:v>1182000</x:v>
      </x:c>
      <x:c r="S61" s="179" t="str">
        <x:v>B-</x:v>
      </x:c>
      <x:c r="T61" s="179" t="str">
        <x:v>development_proxy</x:v>
      </x:c>
      <x:c r="U61" s="179" t="str"/>
      <x:c r="V61" s="179" t="n">
        <x:v>0.75</x:v>
      </x:c>
      <x:c r="W61" s="179" t="str">
        <x:v>development_assumption</x:v>
      </x:c>
      <x:c r="X6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62" ht="107" customHeight="1">
      <x:c r="A62" s="179" t="str">
        <x:v>SYN-LN-00055</x:v>
      </x:c>
      <x:c r="B62" s="180" t="n">
        <x:f>IF(A62="","",SUMIF('Portfolio Inputs'!A8:A289,A62,'Portfolio Inputs'!D8:D289))</x:f>
        <x:v>1182000</x:v>
      </x:c>
      <x:c r="C62" s="179" t="str">
        <x:v>B+</x:v>
      </x:c>
      <x:c r="D62" s="181" t="str">
        <x:v>development_proxy</x:v>
      </x:c>
      <x:c r="E62" s="181" t="str"/>
      <x:c r="F62" s="182" t="n">
        <x:v>0.75</x:v>
      </x:c>
      <x:c r="G62" s="181" t="str">
        <x:v>development_assumption</x:v>
      </x:c>
      <x:c r="H6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62" s="183" t="n">
        <x:f>IF(AND(C62&lt;&gt;"",OR(D62="public_fitch_idr",D62="reviewed_appendix5_equivalent",D62="development_proxy"),H62&lt;&gt;""),VLOOKUP(C62,Fitch_WARF_Factors,2,FALSE),"")</x:f>
        <x:v>19.627</x:v>
      </x:c>
      <x:c r="J62" s="184" t="n">
        <x:f>IF(ISNUMBER(I62),B62*I62,0)</x:f>
        <x:v>23199114</x:v>
      </x:c>
      <x:c r="K62" s="184" t="n">
        <x:f>IF(AND(A62&lt;&gt;"",M62=0),B62*F62,0)</x:f>
        <x:v>886500</x:v>
      </x:c>
      <x:c r="L62" s="184" t="n">
        <x:f>IF(A62="",0,IF(ISNUMBER(I62),0,B62))</x:f>
        <x:v>0</x:v>
      </x:c>
      <x:c r="M62" s="185" t="n">
        <x:f>IF(A62="",0,IF(AND(ISNUMBER(F62),F62&gt;=0,F62&lt;=1,OR(G62="fitch_issue_recovery_estimate",G62="fitch_issue_recovery_rating",G62="reviewed_bbsf_fallback",G62="development_assumption"),H62&lt;&gt;""),0,B62))</x:f>
        <x:v>0</x:v>
      </x:c>
      <x:c r="N62" s="186" t="n">
        <x:f>IF(A62=Q62,0,1)+IF(B62=R62,0,1)+IF(C62=S62,0,1)+IF(D62=T62,0,1)+IF(E62=U62,0,1)+IF(F62=V62,0,1)+IF(G62=W62,0,1)+IF(H62=X62,0,1)</x:f>
        <x:v>0</x:v>
      </x:c>
      <x:c r="O62" s="186" t="n">
        <x:f>IF(A62="",0,IF(E62="",B62,0))</x:f>
        <x:v>1182000</x:v>
      </x:c>
      <x:c r="P62" s="187"/>
      <x:c r="Q62" s="179" t="str">
        <x:v>SYN-LN-00055</x:v>
      </x:c>
      <x:c r="R62" s="179" t="n">
        <x:v>1182000</x:v>
      </x:c>
      <x:c r="S62" s="179" t="str">
        <x:v>B+</x:v>
      </x:c>
      <x:c r="T62" s="179" t="str">
        <x:v>development_proxy</x:v>
      </x:c>
      <x:c r="U62" s="179" t="str"/>
      <x:c r="V62" s="179" t="n">
        <x:v>0.75</x:v>
      </x:c>
      <x:c r="W62" s="179" t="str">
        <x:v>development_assumption</x:v>
      </x:c>
      <x:c r="X6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63" ht="107" customHeight="1">
      <x:c r="A63" s="179" t="str">
        <x:v>SYN-LN-00056</x:v>
      </x:c>
      <x:c r="B63" s="180" t="n">
        <x:f>IF(A63="","",SUMIF('Portfolio Inputs'!A8:A289,A63,'Portfolio Inputs'!D8:D289))</x:f>
        <x:v>1182000</x:v>
      </x:c>
      <x:c r="C63" s="179" t="str">
        <x:v>B-</x:v>
      </x:c>
      <x:c r="D63" s="181" t="str">
        <x:v>development_proxy</x:v>
      </x:c>
      <x:c r="E63" s="181" t="str"/>
      <x:c r="F63" s="182" t="n">
        <x:v>0.75</x:v>
      </x:c>
      <x:c r="G63" s="181" t="str">
        <x:v>development_assumption</x:v>
      </x:c>
      <x:c r="H6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63" s="183" t="n">
        <x:f>IF(AND(C63&lt;&gt;"",OR(D63="public_fitch_idr",D63="reviewed_appendix5_equivalent",D63="development_proxy"),H63&lt;&gt;""),VLOOKUP(C63,Fitch_WARF_Factors,2,FALSE),"")</x:f>
        <x:v>32.221</x:v>
      </x:c>
      <x:c r="J63" s="184" t="n">
        <x:f>IF(ISNUMBER(I63),B63*I63,0)</x:f>
        <x:v>38085221.99999999</x:v>
      </x:c>
      <x:c r="K63" s="184" t="n">
        <x:f>IF(AND(A63&lt;&gt;"",M63=0),B63*F63,0)</x:f>
        <x:v>886500</x:v>
      </x:c>
      <x:c r="L63" s="184" t="n">
        <x:f>IF(A63="",0,IF(ISNUMBER(I63),0,B63))</x:f>
        <x:v>0</x:v>
      </x:c>
      <x:c r="M63" s="185" t="n">
        <x:f>IF(A63="",0,IF(AND(ISNUMBER(F63),F63&gt;=0,F63&lt;=1,OR(G63="fitch_issue_recovery_estimate",G63="fitch_issue_recovery_rating",G63="reviewed_bbsf_fallback",G63="development_assumption"),H63&lt;&gt;""),0,B63))</x:f>
        <x:v>0</x:v>
      </x:c>
      <x:c r="N63" s="186" t="n">
        <x:f>IF(A63=Q63,0,1)+IF(B63=R63,0,1)+IF(C63=S63,0,1)+IF(D63=T63,0,1)+IF(E63=U63,0,1)+IF(F63=V63,0,1)+IF(G63=W63,0,1)+IF(H63=X63,0,1)</x:f>
        <x:v>0</x:v>
      </x:c>
      <x:c r="O63" s="186" t="n">
        <x:f>IF(A63="",0,IF(E63="",B63,0))</x:f>
        <x:v>1182000</x:v>
      </x:c>
      <x:c r="P63" s="187"/>
      <x:c r="Q63" s="179" t="str">
        <x:v>SYN-LN-00056</x:v>
      </x:c>
      <x:c r="R63" s="179" t="n">
        <x:v>1182000</x:v>
      </x:c>
      <x:c r="S63" s="179" t="str">
        <x:v>B-</x:v>
      </x:c>
      <x:c r="T63" s="179" t="str">
        <x:v>development_proxy</x:v>
      </x:c>
      <x:c r="U63" s="179" t="str"/>
      <x:c r="V63" s="179" t="n">
        <x:v>0.75</x:v>
      </x:c>
      <x:c r="W63" s="179" t="str">
        <x:v>development_assumption</x:v>
      </x:c>
      <x:c r="X6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64" ht="107" customHeight="1">
      <x:c r="A64" s="179" t="str">
        <x:v>SYN-LN-00057</x:v>
      </x:c>
      <x:c r="B64" s="180" t="n">
        <x:f>IF(A64="","",SUMIF('Portfolio Inputs'!A8:A289,A64,'Portfolio Inputs'!D8:D289))</x:f>
        <x:v>630000</x:v>
      </x:c>
      <x:c r="C64" s="179" t="str">
        <x:v>B-</x:v>
      </x:c>
      <x:c r="D64" s="181" t="str">
        <x:v>development_proxy</x:v>
      </x:c>
      <x:c r="E64" s="181" t="str"/>
      <x:c r="F64" s="182" t="n">
        <x:v>0.65</x:v>
      </x:c>
      <x:c r="G64" s="181" t="str">
        <x:v>development_assumption</x:v>
      </x:c>
      <x:c r="H64" s="181" t="str">
        <x:v>FICTIONAL DEVELOPMENT: copied S&amp;P symbol as Fitch IDR-equivalency proxy; no Fitch rating or Appendix 5 review. Assumed first-lien facility is senior secured loan with no issue recovery opinion; Austria Group 2; Fitch June 1 2026 Appendix 4 pp42-43 and Appendix 6 pp47-48 BBsf Strong fallback.</x:v>
      </x:c>
      <x:c r="I64" s="183" t="n">
        <x:f>IF(AND(C64&lt;&gt;"",OR(D64="public_fitch_idr",D64="reviewed_appendix5_equivalent",D64="development_proxy"),H64&lt;&gt;""),VLOOKUP(C64,Fitch_WARF_Factors,2,FALSE),"")</x:f>
        <x:v>32.221</x:v>
      </x:c>
      <x:c r="J64" s="184" t="n">
        <x:f>IF(ISNUMBER(I64),B64*I64,0)</x:f>
        <x:v>20299229.999999996</x:v>
      </x:c>
      <x:c r="K64" s="184" t="n">
        <x:f>IF(AND(A64&lt;&gt;"",M64=0),B64*F64,0)</x:f>
        <x:v>409500</x:v>
      </x:c>
      <x:c r="L64" s="184" t="n">
        <x:f>IF(A64="",0,IF(ISNUMBER(I64),0,B64))</x:f>
        <x:v>0</x:v>
      </x:c>
      <x:c r="M64" s="185" t="n">
        <x:f>IF(A64="",0,IF(AND(ISNUMBER(F64),F64&gt;=0,F64&lt;=1,OR(G64="fitch_issue_recovery_estimate",G64="fitch_issue_recovery_rating",G64="reviewed_bbsf_fallback",G64="development_assumption"),H64&lt;&gt;""),0,B64))</x:f>
        <x:v>0</x:v>
      </x:c>
      <x:c r="N64" s="186" t="n">
        <x:f>IF(A64=Q64,0,1)+IF(B64=R64,0,1)+IF(C64=S64,0,1)+IF(D64=T64,0,1)+IF(E64=U64,0,1)+IF(F64=V64,0,1)+IF(G64=W64,0,1)+IF(H64=X64,0,1)</x:f>
        <x:v>0</x:v>
      </x:c>
      <x:c r="O64" s="186" t="n">
        <x:f>IF(A64="",0,IF(E64="",B64,0))</x:f>
        <x:v>630000</x:v>
      </x:c>
      <x:c r="P64" s="187"/>
      <x:c r="Q64" s="179" t="str">
        <x:v>SYN-LN-00057</x:v>
      </x:c>
      <x:c r="R64" s="179" t="n">
        <x:v>630000</x:v>
      </x:c>
      <x:c r="S64" s="179" t="str">
        <x:v>B-</x:v>
      </x:c>
      <x:c r="T64" s="179" t="str">
        <x:v>development_proxy</x:v>
      </x:c>
      <x:c r="U64" s="179" t="str"/>
      <x:c r="V64" s="179" t="n">
        <x:v>0.65</x:v>
      </x:c>
      <x:c r="W64" s="179" t="str">
        <x:v>development_assumption</x:v>
      </x:c>
      <x:c r="X64" s="179" t="str">
        <x:v>FICTIONAL DEVELOPMENT: copied S&amp;P symbol as Fitch IDR-equivalency proxy; no Fitch rating or Appendix 5 review. Assumed first-lien facility is senior secured loan with no issue recovery opinion; Austria Group 2; Fitch June 1 2026 Appendix 4 pp42-43 and Appendix 6 pp47-48 BBsf Strong fallback.</x:v>
      </x:c>
    </x:row>
    <x:row r="65" ht="107" customHeight="1">
      <x:c r="A65" s="179" t="str">
        <x:v>SYN-LN-00058</x:v>
      </x:c>
      <x:c r="B65" s="180" t="n">
        <x:f>IF(A65="","",SUMIF('Portfolio Inputs'!A8:A289,A65,'Portfolio Inputs'!D8:D289))</x:f>
        <x:v>630000</x:v>
      </x:c>
      <x:c r="C65" s="179" t="str">
        <x:v>BBB+</x:v>
      </x:c>
      <x:c r="D65" s="181" t="str">
        <x:v>development_proxy</x:v>
      </x:c>
      <x:c r="E65" s="181" t="str"/>
      <x:c r="F65" s="182" t="n">
        <x:v>0.65</x:v>
      </x:c>
      <x:c r="G65" s="181" t="str">
        <x:v>development_assumption</x:v>
      </x:c>
      <x:c r="H65" s="181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  <x:c r="I65" s="183" t="n">
        <x:f>IF(AND(C65&lt;&gt;"",OR(D65="public_fitch_idr",D65="reviewed_appendix5_equivalent",D65="development_proxy"),H65&lt;&gt;""),VLOOKUP(C65,Fitch_WARF_Factors,2,FALSE),"")</x:f>
        <x:v>2.63</x:v>
      </x:c>
      <x:c r="J65" s="184" t="n">
        <x:f>IF(ISNUMBER(I65),B65*I65,0)</x:f>
        <x:v>1656900</x:v>
      </x:c>
      <x:c r="K65" s="184" t="n">
        <x:f>IF(AND(A65&lt;&gt;"",M65=0),B65*F65,0)</x:f>
        <x:v>409500</x:v>
      </x:c>
      <x:c r="L65" s="184" t="n">
        <x:f>IF(A65="",0,IF(ISNUMBER(I65),0,B65))</x:f>
        <x:v>0</x:v>
      </x:c>
      <x:c r="M65" s="185" t="n">
        <x:f>IF(A65="",0,IF(AND(ISNUMBER(F65),F65&gt;=0,F65&lt;=1,OR(G65="fitch_issue_recovery_estimate",G65="fitch_issue_recovery_rating",G65="reviewed_bbsf_fallback",G65="development_assumption"),H65&lt;&gt;""),0,B65))</x:f>
        <x:v>0</x:v>
      </x:c>
      <x:c r="N65" s="186" t="n">
        <x:f>IF(A65=Q65,0,1)+IF(B65=R65,0,1)+IF(C65=S65,0,1)+IF(D65=T65,0,1)+IF(E65=U65,0,1)+IF(F65=V65,0,1)+IF(G65=W65,0,1)+IF(H65=X65,0,1)</x:f>
        <x:v>0</x:v>
      </x:c>
      <x:c r="O65" s="186" t="n">
        <x:f>IF(A65="",0,IF(E65="",B65,0))</x:f>
        <x:v>630000</x:v>
      </x:c>
      <x:c r="P65" s="187"/>
      <x:c r="Q65" s="179" t="str">
        <x:v>SYN-LN-00058</x:v>
      </x:c>
      <x:c r="R65" s="179" t="n">
        <x:v>630000</x:v>
      </x:c>
      <x:c r="S65" s="179" t="str">
        <x:v>BBB+</x:v>
      </x:c>
      <x:c r="T65" s="179" t="str">
        <x:v>development_proxy</x:v>
      </x:c>
      <x:c r="U65" s="179" t="str"/>
      <x:c r="V65" s="179" t="n">
        <x:v>0.65</x:v>
      </x:c>
      <x:c r="W65" s="179" t="str">
        <x:v>development_assumption</x:v>
      </x:c>
      <x:c r="X65" s="179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</x:row>
    <x:row r="66" ht="107" customHeight="1">
      <x:c r="A66" s="179" t="str">
        <x:v>SYN-LN-00059</x:v>
      </x:c>
      <x:c r="B66" s="180" t="n">
        <x:f>IF(A66="","",SUMIF('Portfolio Inputs'!A8:A289,A66,'Portfolio Inputs'!D8:D289))</x:f>
        <x:v>1182000</x:v>
      </x:c>
      <x:c r="C66" s="179" t="str">
        <x:v>BB+</x:v>
      </x:c>
      <x:c r="D66" s="181" t="str">
        <x:v>development_proxy</x:v>
      </x:c>
      <x:c r="E66" s="181" t="str"/>
      <x:c r="F66" s="182" t="n">
        <x:v>0.75</x:v>
      </x:c>
      <x:c r="G66" s="181" t="str">
        <x:v>development_assumption</x:v>
      </x:c>
      <x:c r="H6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66" s="183" t="n">
        <x:f>IF(AND(C66&lt;&gt;"",OR(D66="public_fitch_idr",D66="reviewed_appendix5_equivalent",D66="development_proxy"),H66&lt;&gt;""),VLOOKUP(C66,Fitch_WARF_Factors,2,FALSE),"")</x:f>
        <x:v>8.903</x:v>
      </x:c>
      <x:c r="J66" s="184" t="n">
        <x:f>IF(ISNUMBER(I66),B66*I66,0)</x:f>
        <x:v>10523346</x:v>
      </x:c>
      <x:c r="K66" s="184" t="n">
        <x:f>IF(AND(A66&lt;&gt;"",M66=0),B66*F66,0)</x:f>
        <x:v>886500</x:v>
      </x:c>
      <x:c r="L66" s="184" t="n">
        <x:f>IF(A66="",0,IF(ISNUMBER(I66),0,B66))</x:f>
        <x:v>0</x:v>
      </x:c>
      <x:c r="M66" s="185" t="n">
        <x:f>IF(A66="",0,IF(AND(ISNUMBER(F66),F66&gt;=0,F66&lt;=1,OR(G66="fitch_issue_recovery_estimate",G66="fitch_issue_recovery_rating",G66="reviewed_bbsf_fallback",G66="development_assumption"),H66&lt;&gt;""),0,B66))</x:f>
        <x:v>0</x:v>
      </x:c>
      <x:c r="N66" s="186" t="n">
        <x:f>IF(A66=Q66,0,1)+IF(B66=R66,0,1)+IF(C66=S66,0,1)+IF(D66=T66,0,1)+IF(E66=U66,0,1)+IF(F66=V66,0,1)+IF(G66=W66,0,1)+IF(H66=X66,0,1)</x:f>
        <x:v>0</x:v>
      </x:c>
      <x:c r="O66" s="186" t="n">
        <x:f>IF(A66="",0,IF(E66="",B66,0))</x:f>
        <x:v>1182000</x:v>
      </x:c>
      <x:c r="P66" s="187"/>
      <x:c r="Q66" s="179" t="str">
        <x:v>SYN-LN-00059</x:v>
      </x:c>
      <x:c r="R66" s="179" t="n">
        <x:v>1182000</x:v>
      </x:c>
      <x:c r="S66" s="179" t="str">
        <x:v>BB+</x:v>
      </x:c>
      <x:c r="T66" s="179" t="str">
        <x:v>development_proxy</x:v>
      </x:c>
      <x:c r="U66" s="179" t="str"/>
      <x:c r="V66" s="179" t="n">
        <x:v>0.75</x:v>
      </x:c>
      <x:c r="W66" s="179" t="str">
        <x:v>development_assumption</x:v>
      </x:c>
      <x:c r="X6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67" ht="107" customHeight="1">
      <x:c r="A67" s="179" t="str">
        <x:v>SYN-LN-00060</x:v>
      </x:c>
      <x:c r="B67" s="180" t="n">
        <x:f>IF(A67="","",SUMIF('Portfolio Inputs'!A8:A289,A67,'Portfolio Inputs'!D8:D289))</x:f>
        <x:v>1182000</x:v>
      </x:c>
      <x:c r="C67" s="179" t="str">
        <x:v>BB-</x:v>
      </x:c>
      <x:c r="D67" s="181" t="str">
        <x:v>development_proxy</x:v>
      </x:c>
      <x:c r="E67" s="181" t="str"/>
      <x:c r="F67" s="182" t="n">
        <x:v>0.75</x:v>
      </x:c>
      <x:c r="G67" s="181" t="str">
        <x:v>development_assumption</x:v>
      </x:c>
      <x:c r="H6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67" s="183" t="n">
        <x:f>IF(AND(C67&lt;&gt;"",OR(D67="public_fitch_idr",D67="reviewed_appendix5_equivalent",D67="development_proxy"),H67&lt;&gt;""),VLOOKUP(C67,Fitch_WARF_Factors,2,FALSE),"")</x:f>
        <x:v>15.733</x:v>
      </x:c>
      <x:c r="J67" s="184" t="n">
        <x:f>IF(ISNUMBER(I67),B67*I67,0)</x:f>
        <x:v>18596406</x:v>
      </x:c>
      <x:c r="K67" s="184" t="n">
        <x:f>IF(AND(A67&lt;&gt;"",M67=0),B67*F67,0)</x:f>
        <x:v>886500</x:v>
      </x:c>
      <x:c r="L67" s="184" t="n">
        <x:f>IF(A67="",0,IF(ISNUMBER(I67),0,B67))</x:f>
        <x:v>0</x:v>
      </x:c>
      <x:c r="M67" s="185" t="n">
        <x:f>IF(A67="",0,IF(AND(ISNUMBER(F67),F67&gt;=0,F67&lt;=1,OR(G67="fitch_issue_recovery_estimate",G67="fitch_issue_recovery_rating",G67="reviewed_bbsf_fallback",G67="development_assumption"),H67&lt;&gt;""),0,B67))</x:f>
        <x:v>0</x:v>
      </x:c>
      <x:c r="N67" s="186" t="n">
        <x:f>IF(A67=Q67,0,1)+IF(B67=R67,0,1)+IF(C67=S67,0,1)+IF(D67=T67,0,1)+IF(E67=U67,0,1)+IF(F67=V67,0,1)+IF(G67=W67,0,1)+IF(H67=X67,0,1)</x:f>
        <x:v>0</x:v>
      </x:c>
      <x:c r="O67" s="186" t="n">
        <x:f>IF(A67="",0,IF(E67="",B67,0))</x:f>
        <x:v>1182000</x:v>
      </x:c>
      <x:c r="P67" s="187"/>
      <x:c r="Q67" s="179" t="str">
        <x:v>SYN-LN-00060</x:v>
      </x:c>
      <x:c r="R67" s="179" t="n">
        <x:v>1182000</x:v>
      </x:c>
      <x:c r="S67" s="179" t="str">
        <x:v>BB-</x:v>
      </x:c>
      <x:c r="T67" s="179" t="str">
        <x:v>development_proxy</x:v>
      </x:c>
      <x:c r="U67" s="179" t="str"/>
      <x:c r="V67" s="179" t="n">
        <x:v>0.75</x:v>
      </x:c>
      <x:c r="W67" s="179" t="str">
        <x:v>development_assumption</x:v>
      </x:c>
      <x:c r="X6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68" ht="107" customHeight="1">
      <x:c r="A68" s="179" t="str">
        <x:v>SYN-LN-00061</x:v>
      </x:c>
      <x:c r="B68" s="180" t="n">
        <x:f>IF(A68="","",SUMIF('Portfolio Inputs'!A8:A289,A68,'Portfolio Inputs'!D8:D289))</x:f>
        <x:v>1182000</x:v>
      </x:c>
      <x:c r="C68" s="179" t="str">
        <x:v>B-</x:v>
      </x:c>
      <x:c r="D68" s="181" t="str">
        <x:v>development_proxy</x:v>
      </x:c>
      <x:c r="E68" s="181" t="str"/>
      <x:c r="F68" s="182" t="n">
        <x:v>0.75</x:v>
      </x:c>
      <x:c r="G68" s="181" t="str">
        <x:v>development_assumption</x:v>
      </x:c>
      <x:c r="H6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68" s="183" t="n">
        <x:f>IF(AND(C68&lt;&gt;"",OR(D68="public_fitch_idr",D68="reviewed_appendix5_equivalent",D68="development_proxy"),H68&lt;&gt;""),VLOOKUP(C68,Fitch_WARF_Factors,2,FALSE),"")</x:f>
        <x:v>32.221</x:v>
      </x:c>
      <x:c r="J68" s="184" t="n">
        <x:f>IF(ISNUMBER(I68),B68*I68,0)</x:f>
        <x:v>38085221.99999999</x:v>
      </x:c>
      <x:c r="K68" s="184" t="n">
        <x:f>IF(AND(A68&lt;&gt;"",M68=0),B68*F68,0)</x:f>
        <x:v>886500</x:v>
      </x:c>
      <x:c r="L68" s="184" t="n">
        <x:f>IF(A68="",0,IF(ISNUMBER(I68),0,B68))</x:f>
        <x:v>0</x:v>
      </x:c>
      <x:c r="M68" s="185" t="n">
        <x:f>IF(A68="",0,IF(AND(ISNUMBER(F68),F68&gt;=0,F68&lt;=1,OR(G68="fitch_issue_recovery_estimate",G68="fitch_issue_recovery_rating",G68="reviewed_bbsf_fallback",G68="development_assumption"),H68&lt;&gt;""),0,B68))</x:f>
        <x:v>0</x:v>
      </x:c>
      <x:c r="N68" s="186" t="n">
        <x:f>IF(A68=Q68,0,1)+IF(B68=R68,0,1)+IF(C68=S68,0,1)+IF(D68=T68,0,1)+IF(E68=U68,0,1)+IF(F68=V68,0,1)+IF(G68=W68,0,1)+IF(H68=X68,0,1)</x:f>
        <x:v>0</x:v>
      </x:c>
      <x:c r="O68" s="186" t="n">
        <x:f>IF(A68="",0,IF(E68="",B68,0))</x:f>
        <x:v>1182000</x:v>
      </x:c>
      <x:c r="P68" s="187"/>
      <x:c r="Q68" s="179" t="str">
        <x:v>SYN-LN-00061</x:v>
      </x:c>
      <x:c r="R68" s="179" t="n">
        <x:v>1182000</x:v>
      </x:c>
      <x:c r="S68" s="179" t="str">
        <x:v>B-</x:v>
      </x:c>
      <x:c r="T68" s="179" t="str">
        <x:v>development_proxy</x:v>
      </x:c>
      <x:c r="U68" s="179" t="str"/>
      <x:c r="V68" s="179" t="n">
        <x:v>0.75</x:v>
      </x:c>
      <x:c r="W68" s="179" t="str">
        <x:v>development_assumption</x:v>
      </x:c>
      <x:c r="X6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69" ht="107" customHeight="1">
      <x:c r="A69" s="179" t="str">
        <x:v>SYN-LN-00062</x:v>
      </x:c>
      <x:c r="B69" s="180" t="n">
        <x:f>IF(A69="","",SUMIF('Portfolio Inputs'!A8:A289,A69,'Portfolio Inputs'!D8:D289))</x:f>
        <x:v>1182000</x:v>
      </x:c>
      <x:c r="C69" s="179" t="str">
        <x:v>B</x:v>
      </x:c>
      <x:c r="D69" s="181" t="str">
        <x:v>development_proxy</x:v>
      </x:c>
      <x:c r="E69" s="181" t="str"/>
      <x:c r="F69" s="182" t="n">
        <x:v>0.75</x:v>
      </x:c>
      <x:c r="G69" s="181" t="str">
        <x:v>development_assumption</x:v>
      </x:c>
      <x:c r="H6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69" s="183" t="n">
        <x:f>IF(AND(C69&lt;&gt;"",OR(D69="public_fitch_idr",D69="reviewed_appendix5_equivalent",D69="development_proxy"),H69&lt;&gt;""),VLOOKUP(C69,Fitch_WARF_Factors,2,FALSE),"")</x:f>
        <x:v>23.671</x:v>
      </x:c>
      <x:c r="J69" s="184" t="n">
        <x:f>IF(ISNUMBER(I69),B69*I69,0)</x:f>
        <x:v>27979122</x:v>
      </x:c>
      <x:c r="K69" s="184" t="n">
        <x:f>IF(AND(A69&lt;&gt;"",M69=0),B69*F69,0)</x:f>
        <x:v>886500</x:v>
      </x:c>
      <x:c r="L69" s="184" t="n">
        <x:f>IF(A69="",0,IF(ISNUMBER(I69),0,B69))</x:f>
        <x:v>0</x:v>
      </x:c>
      <x:c r="M69" s="185" t="n">
        <x:f>IF(A69="",0,IF(AND(ISNUMBER(F69),F69&gt;=0,F69&lt;=1,OR(G69="fitch_issue_recovery_estimate",G69="fitch_issue_recovery_rating",G69="reviewed_bbsf_fallback",G69="development_assumption"),H69&lt;&gt;""),0,B69))</x:f>
        <x:v>0</x:v>
      </x:c>
      <x:c r="N69" s="186" t="n">
        <x:f>IF(A69=Q69,0,1)+IF(B69=R69,0,1)+IF(C69=S69,0,1)+IF(D69=T69,0,1)+IF(E69=U69,0,1)+IF(F69=V69,0,1)+IF(G69=W69,0,1)+IF(H69=X69,0,1)</x:f>
        <x:v>0</x:v>
      </x:c>
      <x:c r="O69" s="186" t="n">
        <x:f>IF(A69="",0,IF(E69="",B69,0))</x:f>
        <x:v>1182000</x:v>
      </x:c>
      <x:c r="P69" s="187"/>
      <x:c r="Q69" s="179" t="str">
        <x:v>SYN-LN-00062</x:v>
      </x:c>
      <x:c r="R69" s="179" t="n">
        <x:v>1182000</x:v>
      </x:c>
      <x:c r="S69" s="179" t="str">
        <x:v>B</x:v>
      </x:c>
      <x:c r="T69" s="179" t="str">
        <x:v>development_proxy</x:v>
      </x:c>
      <x:c r="U69" s="179" t="str"/>
      <x:c r="V69" s="179" t="n">
        <x:v>0.75</x:v>
      </x:c>
      <x:c r="W69" s="179" t="str">
        <x:v>development_assumption</x:v>
      </x:c>
      <x:c r="X6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70" ht="107" customHeight="1">
      <x:c r="A70" s="179" t="str">
        <x:v>SYN-LN-00063</x:v>
      </x:c>
      <x:c r="B70" s="180" t="n">
        <x:f>IF(A70="","",SUMIF('Portfolio Inputs'!A8:A289,A70,'Portfolio Inputs'!D8:D289))</x:f>
        <x:v>630000</x:v>
      </x:c>
      <x:c r="C70" s="179" t="str">
        <x:v>B+</x:v>
      </x:c>
      <x:c r="D70" s="181" t="str">
        <x:v>development_proxy</x:v>
      </x:c>
      <x:c r="E70" s="181" t="str"/>
      <x:c r="F70" s="182" t="n">
        <x:v>0.65</x:v>
      </x:c>
      <x:c r="G70" s="181" t="str">
        <x:v>development_assumption</x:v>
      </x:c>
      <x:c r="H70" s="181" t="str">
        <x:v>FICTIONAL DEVELOPMENT: copied S&amp;P symbol as Fitch IDR-equivalency proxy; no Fitch rating or Appendix 5 review. Assumed first-lien facility is senior secured loan with no issue recovery opinion; Ireland Group 2; Fitch June 1 2026 Appendix 4 pp42-43 and Appendix 6 pp47-48 BBsf Strong fallback.</x:v>
      </x:c>
      <x:c r="I70" s="183" t="n">
        <x:f>IF(AND(C70&lt;&gt;"",OR(D70="public_fitch_idr",D70="reviewed_appendix5_equivalent",D70="development_proxy"),H70&lt;&gt;""),VLOOKUP(C70,Fitch_WARF_Factors,2,FALSE),"")</x:f>
        <x:v>19.627</x:v>
      </x:c>
      <x:c r="J70" s="184" t="n">
        <x:f>IF(ISNUMBER(I70),B70*I70,0)</x:f>
        <x:v>12365010</x:v>
      </x:c>
      <x:c r="K70" s="184" t="n">
        <x:f>IF(AND(A70&lt;&gt;"",M70=0),B70*F70,0)</x:f>
        <x:v>409500</x:v>
      </x:c>
      <x:c r="L70" s="184" t="n">
        <x:f>IF(A70="",0,IF(ISNUMBER(I70),0,B70))</x:f>
        <x:v>0</x:v>
      </x:c>
      <x:c r="M70" s="185" t="n">
        <x:f>IF(A70="",0,IF(AND(ISNUMBER(F70),F70&gt;=0,F70&lt;=1,OR(G70="fitch_issue_recovery_estimate",G70="fitch_issue_recovery_rating",G70="reviewed_bbsf_fallback",G70="development_assumption"),H70&lt;&gt;""),0,B70))</x:f>
        <x:v>0</x:v>
      </x:c>
      <x:c r="N70" s="186" t="n">
        <x:f>IF(A70=Q70,0,1)+IF(B70=R70,0,1)+IF(C70=S70,0,1)+IF(D70=T70,0,1)+IF(E70=U70,0,1)+IF(F70=V70,0,1)+IF(G70=W70,0,1)+IF(H70=X70,0,1)</x:f>
        <x:v>0</x:v>
      </x:c>
      <x:c r="O70" s="186" t="n">
        <x:f>IF(A70="",0,IF(E70="",B70,0))</x:f>
        <x:v>630000</x:v>
      </x:c>
      <x:c r="P70" s="187"/>
      <x:c r="Q70" s="179" t="str">
        <x:v>SYN-LN-00063</x:v>
      </x:c>
      <x:c r="R70" s="179" t="n">
        <x:v>630000</x:v>
      </x:c>
      <x:c r="S70" s="179" t="str">
        <x:v>B+</x:v>
      </x:c>
      <x:c r="T70" s="179" t="str">
        <x:v>development_proxy</x:v>
      </x:c>
      <x:c r="U70" s="179" t="str"/>
      <x:c r="V70" s="179" t="n">
        <x:v>0.65</x:v>
      </x:c>
      <x:c r="W70" s="179" t="str">
        <x:v>development_assumption</x:v>
      </x:c>
      <x:c r="X70" s="179" t="str">
        <x:v>FICTIONAL DEVELOPMENT: copied S&amp;P symbol as Fitch IDR-equivalency proxy; no Fitch rating or Appendix 5 review. Assumed first-lien facility is senior secured loan with no issue recovery opinion; Ireland Group 2; Fitch June 1 2026 Appendix 4 pp42-43 and Appendix 6 pp47-48 BBsf Strong fallback.</x:v>
      </x:c>
    </x:row>
    <x:row r="71" ht="107" customHeight="1">
      <x:c r="A71" s="179" t="str">
        <x:v>SYN-LN-00064</x:v>
      </x:c>
      <x:c r="B71" s="180" t="n">
        <x:f>IF(A71="","",SUMIF('Portfolio Inputs'!A8:A289,A71,'Portfolio Inputs'!D8:D289))</x:f>
        <x:v>1182000</x:v>
      </x:c>
      <x:c r="C71" s="179" t="str">
        <x:v>B+</x:v>
      </x:c>
      <x:c r="D71" s="181" t="str">
        <x:v>development_proxy</x:v>
      </x:c>
      <x:c r="E71" s="181" t="str"/>
      <x:c r="F71" s="182" t="n">
        <x:v>0.75</x:v>
      </x:c>
      <x:c r="G71" s="181" t="str">
        <x:v>development_assumption</x:v>
      </x:c>
      <x:c r="H7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71" s="183" t="n">
        <x:f>IF(AND(C71&lt;&gt;"",OR(D71="public_fitch_idr",D71="reviewed_appendix5_equivalent",D71="development_proxy"),H71&lt;&gt;""),VLOOKUP(C71,Fitch_WARF_Factors,2,FALSE),"")</x:f>
        <x:v>19.627</x:v>
      </x:c>
      <x:c r="J71" s="184" t="n">
        <x:f>IF(ISNUMBER(I71),B71*I71,0)</x:f>
        <x:v>23199114</x:v>
      </x:c>
      <x:c r="K71" s="184" t="n">
        <x:f>IF(AND(A71&lt;&gt;"",M71=0),B71*F71,0)</x:f>
        <x:v>886500</x:v>
      </x:c>
      <x:c r="L71" s="184" t="n">
        <x:f>IF(A71="",0,IF(ISNUMBER(I71),0,B71))</x:f>
        <x:v>0</x:v>
      </x:c>
      <x:c r="M71" s="185" t="n">
        <x:f>IF(A71="",0,IF(AND(ISNUMBER(F71),F71&gt;=0,F71&lt;=1,OR(G71="fitch_issue_recovery_estimate",G71="fitch_issue_recovery_rating",G71="reviewed_bbsf_fallback",G71="development_assumption"),H71&lt;&gt;""),0,B71))</x:f>
        <x:v>0</x:v>
      </x:c>
      <x:c r="N71" s="186" t="n">
        <x:f>IF(A71=Q71,0,1)+IF(B71=R71,0,1)+IF(C71=S71,0,1)+IF(D71=T71,0,1)+IF(E71=U71,0,1)+IF(F71=V71,0,1)+IF(G71=W71,0,1)+IF(H71=X71,0,1)</x:f>
        <x:v>0</x:v>
      </x:c>
      <x:c r="O71" s="186" t="n">
        <x:f>IF(A71="",0,IF(E71="",B71,0))</x:f>
        <x:v>1182000</x:v>
      </x:c>
      <x:c r="P71" s="187"/>
      <x:c r="Q71" s="179" t="str">
        <x:v>SYN-LN-00064</x:v>
      </x:c>
      <x:c r="R71" s="179" t="n">
        <x:v>1182000</x:v>
      </x:c>
      <x:c r="S71" s="179" t="str">
        <x:v>B+</x:v>
      </x:c>
      <x:c r="T71" s="179" t="str">
        <x:v>development_proxy</x:v>
      </x:c>
      <x:c r="U71" s="179" t="str"/>
      <x:c r="V71" s="179" t="n">
        <x:v>0.75</x:v>
      </x:c>
      <x:c r="W71" s="179" t="str">
        <x:v>development_assumption</x:v>
      </x:c>
      <x:c r="X7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72" ht="107" customHeight="1">
      <x:c r="A72" s="179" t="str">
        <x:v>SYN-LN-00065</x:v>
      </x:c>
      <x:c r="B72" s="180" t="n">
        <x:f>IF(A72="","",SUMIF('Portfolio Inputs'!A8:A289,A72,'Portfolio Inputs'!D8:D289))</x:f>
        <x:v>1182000</x:v>
      </x:c>
      <x:c r="C72" s="179" t="str">
        <x:v>B-</x:v>
      </x:c>
      <x:c r="D72" s="181" t="str">
        <x:v>development_proxy</x:v>
      </x:c>
      <x:c r="E72" s="181" t="str"/>
      <x:c r="F72" s="182" t="n">
        <x:v>0.75</x:v>
      </x:c>
      <x:c r="G72" s="181" t="str">
        <x:v>development_assumption</x:v>
      </x:c>
      <x:c r="H7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72" s="183" t="n">
        <x:f>IF(AND(C72&lt;&gt;"",OR(D72="public_fitch_idr",D72="reviewed_appendix5_equivalent",D72="development_proxy"),H72&lt;&gt;""),VLOOKUP(C72,Fitch_WARF_Factors,2,FALSE),"")</x:f>
        <x:v>32.221</x:v>
      </x:c>
      <x:c r="J72" s="184" t="n">
        <x:f>IF(ISNUMBER(I72),B72*I72,0)</x:f>
        <x:v>38085221.99999999</x:v>
      </x:c>
      <x:c r="K72" s="184" t="n">
        <x:f>IF(AND(A72&lt;&gt;"",M72=0),B72*F72,0)</x:f>
        <x:v>886500</x:v>
      </x:c>
      <x:c r="L72" s="184" t="n">
        <x:f>IF(A72="",0,IF(ISNUMBER(I72),0,B72))</x:f>
        <x:v>0</x:v>
      </x:c>
      <x:c r="M72" s="185" t="n">
        <x:f>IF(A72="",0,IF(AND(ISNUMBER(F72),F72&gt;=0,F72&lt;=1,OR(G72="fitch_issue_recovery_estimate",G72="fitch_issue_recovery_rating",G72="reviewed_bbsf_fallback",G72="development_assumption"),H72&lt;&gt;""),0,B72))</x:f>
        <x:v>0</x:v>
      </x:c>
      <x:c r="N72" s="186" t="n">
        <x:f>IF(A72=Q72,0,1)+IF(B72=R72,0,1)+IF(C72=S72,0,1)+IF(D72=T72,0,1)+IF(E72=U72,0,1)+IF(F72=V72,0,1)+IF(G72=W72,0,1)+IF(H72=X72,0,1)</x:f>
        <x:v>0</x:v>
      </x:c>
      <x:c r="O72" s="186" t="n">
        <x:f>IF(A72="",0,IF(E72="",B72,0))</x:f>
        <x:v>1182000</x:v>
      </x:c>
      <x:c r="P72" s="187"/>
      <x:c r="Q72" s="179" t="str">
        <x:v>SYN-LN-00065</x:v>
      </x:c>
      <x:c r="R72" s="179" t="n">
        <x:v>1182000</x:v>
      </x:c>
      <x:c r="S72" s="179" t="str">
        <x:v>B-</x:v>
      </x:c>
      <x:c r="T72" s="179" t="str">
        <x:v>development_proxy</x:v>
      </x:c>
      <x:c r="U72" s="179" t="str"/>
      <x:c r="V72" s="179" t="n">
        <x:v>0.75</x:v>
      </x:c>
      <x:c r="W72" s="179" t="str">
        <x:v>development_assumption</x:v>
      </x:c>
      <x:c r="X7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73" ht="107" customHeight="1">
      <x:c r="A73" s="179" t="str">
        <x:v>SYN-LN-00066</x:v>
      </x:c>
      <x:c r="B73" s="180" t="n">
        <x:f>IF(A73="","",SUMIF('Portfolio Inputs'!A8:A289,A73,'Portfolio Inputs'!D8:D289))</x:f>
        <x:v>1182000</x:v>
      </x:c>
      <x:c r="C73" s="179" t="str">
        <x:v>B-</x:v>
      </x:c>
      <x:c r="D73" s="181" t="str">
        <x:v>development_proxy</x:v>
      </x:c>
      <x:c r="E73" s="181" t="str"/>
      <x:c r="F73" s="182" t="n">
        <x:v>0.65</x:v>
      </x:c>
      <x:c r="G73" s="181" t="str">
        <x:v>development_assumption</x:v>
      </x:c>
      <x:c r="H73" s="181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  <x:c r="I73" s="183" t="n">
        <x:f>IF(AND(C73&lt;&gt;"",OR(D73="public_fitch_idr",D73="reviewed_appendix5_equivalent",D73="development_proxy"),H73&lt;&gt;""),VLOOKUP(C73,Fitch_WARF_Factors,2,FALSE),"")</x:f>
        <x:v>32.221</x:v>
      </x:c>
      <x:c r="J73" s="184" t="n">
        <x:f>IF(ISNUMBER(I73),B73*I73,0)</x:f>
        <x:v>38085221.99999999</x:v>
      </x:c>
      <x:c r="K73" s="184" t="n">
        <x:f>IF(AND(A73&lt;&gt;"",M73=0),B73*F73,0)</x:f>
        <x:v>768300</x:v>
      </x:c>
      <x:c r="L73" s="184" t="n">
        <x:f>IF(A73="",0,IF(ISNUMBER(I73),0,B73))</x:f>
        <x:v>0</x:v>
      </x:c>
      <x:c r="M73" s="185" t="n">
        <x:f>IF(A73="",0,IF(AND(ISNUMBER(F73),F73&gt;=0,F73&lt;=1,OR(G73="fitch_issue_recovery_estimate",G73="fitch_issue_recovery_rating",G73="reviewed_bbsf_fallback",G73="development_assumption"),H73&lt;&gt;""),0,B73))</x:f>
        <x:v>0</x:v>
      </x:c>
      <x:c r="N73" s="186" t="n">
        <x:f>IF(A73=Q73,0,1)+IF(B73=R73,0,1)+IF(C73=S73,0,1)+IF(D73=T73,0,1)+IF(E73=U73,0,1)+IF(F73=V73,0,1)+IF(G73=W73,0,1)+IF(H73=X73,0,1)</x:f>
        <x:v>0</x:v>
      </x:c>
      <x:c r="O73" s="186" t="n">
        <x:f>IF(A73="",0,IF(E73="",B73,0))</x:f>
        <x:v>1182000</x:v>
      </x:c>
      <x:c r="P73" s="187"/>
      <x:c r="Q73" s="179" t="str">
        <x:v>SYN-LN-00066</x:v>
      </x:c>
      <x:c r="R73" s="179" t="n">
        <x:v>1182000</x:v>
      </x:c>
      <x:c r="S73" s="179" t="str">
        <x:v>B-</x:v>
      </x:c>
      <x:c r="T73" s="179" t="str">
        <x:v>development_proxy</x:v>
      </x:c>
      <x:c r="U73" s="179" t="str"/>
      <x:c r="V73" s="179" t="n">
        <x:v>0.65</x:v>
      </x:c>
      <x:c r="W73" s="179" t="str">
        <x:v>development_assumption</x:v>
      </x:c>
      <x:c r="X73" s="179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</x:row>
    <x:row r="74" ht="107" customHeight="1">
      <x:c r="A74" s="179" t="str">
        <x:v>SYN-LN-00067</x:v>
      </x:c>
      <x:c r="B74" s="180" t="n">
        <x:f>IF(A74="","",SUMIF('Portfolio Inputs'!A8:A289,A74,'Portfolio Inputs'!D8:D289))</x:f>
        <x:v>1182000</x:v>
      </x:c>
      <x:c r="C74" s="179" t="str">
        <x:v>BB-</x:v>
      </x:c>
      <x:c r="D74" s="181" t="str">
        <x:v>development_proxy</x:v>
      </x:c>
      <x:c r="E74" s="181" t="str"/>
      <x:c r="F74" s="182" t="n">
        <x:v>0.75</x:v>
      </x:c>
      <x:c r="G74" s="181" t="str">
        <x:v>development_assumption</x:v>
      </x:c>
      <x:c r="H7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74" s="183" t="n">
        <x:f>IF(AND(C74&lt;&gt;"",OR(D74="public_fitch_idr",D74="reviewed_appendix5_equivalent",D74="development_proxy"),H74&lt;&gt;""),VLOOKUP(C74,Fitch_WARF_Factors,2,FALSE),"")</x:f>
        <x:v>15.733</x:v>
      </x:c>
      <x:c r="J74" s="184" t="n">
        <x:f>IF(ISNUMBER(I74),B74*I74,0)</x:f>
        <x:v>18596406</x:v>
      </x:c>
      <x:c r="K74" s="184" t="n">
        <x:f>IF(AND(A74&lt;&gt;"",M74=0),B74*F74,0)</x:f>
        <x:v>886500</x:v>
      </x:c>
      <x:c r="L74" s="184" t="n">
        <x:f>IF(A74="",0,IF(ISNUMBER(I74),0,B74))</x:f>
        <x:v>0</x:v>
      </x:c>
      <x:c r="M74" s="185" t="n">
        <x:f>IF(A74="",0,IF(AND(ISNUMBER(F74),F74&gt;=0,F74&lt;=1,OR(G74="fitch_issue_recovery_estimate",G74="fitch_issue_recovery_rating",G74="reviewed_bbsf_fallback",G74="development_assumption"),H74&lt;&gt;""),0,B74))</x:f>
        <x:v>0</x:v>
      </x:c>
      <x:c r="N74" s="186" t="n">
        <x:f>IF(A74=Q74,0,1)+IF(B74=R74,0,1)+IF(C74=S74,0,1)+IF(D74=T74,0,1)+IF(E74=U74,0,1)+IF(F74=V74,0,1)+IF(G74=W74,0,1)+IF(H74=X74,0,1)</x:f>
        <x:v>0</x:v>
      </x:c>
      <x:c r="O74" s="186" t="n">
        <x:f>IF(A74="",0,IF(E74="",B74,0))</x:f>
        <x:v>1182000</x:v>
      </x:c>
      <x:c r="P74" s="187"/>
      <x:c r="Q74" s="179" t="str">
        <x:v>SYN-LN-00067</x:v>
      </x:c>
      <x:c r="R74" s="179" t="n">
        <x:v>1182000</x:v>
      </x:c>
      <x:c r="S74" s="179" t="str">
        <x:v>BB-</x:v>
      </x:c>
      <x:c r="T74" s="179" t="str">
        <x:v>development_proxy</x:v>
      </x:c>
      <x:c r="U74" s="179" t="str"/>
      <x:c r="V74" s="179" t="n">
        <x:v>0.75</x:v>
      </x:c>
      <x:c r="W74" s="179" t="str">
        <x:v>development_assumption</x:v>
      </x:c>
      <x:c r="X7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75" ht="107" customHeight="1">
      <x:c r="A75" s="179" t="str">
        <x:v>SYN-LN-00068</x:v>
      </x:c>
      <x:c r="B75" s="180" t="n">
        <x:f>IF(A75="","",SUMIF('Portfolio Inputs'!A8:A289,A75,'Portfolio Inputs'!D8:D289))</x:f>
        <x:v>1182000</x:v>
      </x:c>
      <x:c r="C75" s="179" t="str">
        <x:v>B-</x:v>
      </x:c>
      <x:c r="D75" s="181" t="str">
        <x:v>development_proxy</x:v>
      </x:c>
      <x:c r="E75" s="181" t="str"/>
      <x:c r="F75" s="182" t="n">
        <x:v>0.75</x:v>
      </x:c>
      <x:c r="G75" s="181" t="str">
        <x:v>development_assumption</x:v>
      </x:c>
      <x:c r="H7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75" s="183" t="n">
        <x:f>IF(AND(C75&lt;&gt;"",OR(D75="public_fitch_idr",D75="reviewed_appendix5_equivalent",D75="development_proxy"),H75&lt;&gt;""),VLOOKUP(C75,Fitch_WARF_Factors,2,FALSE),"")</x:f>
        <x:v>32.221</x:v>
      </x:c>
      <x:c r="J75" s="184" t="n">
        <x:f>IF(ISNUMBER(I75),B75*I75,0)</x:f>
        <x:v>38085221.99999999</x:v>
      </x:c>
      <x:c r="K75" s="184" t="n">
        <x:f>IF(AND(A75&lt;&gt;"",M75=0),B75*F75,0)</x:f>
        <x:v>886500</x:v>
      </x:c>
      <x:c r="L75" s="184" t="n">
        <x:f>IF(A75="",0,IF(ISNUMBER(I75),0,B75))</x:f>
        <x:v>0</x:v>
      </x:c>
      <x:c r="M75" s="185" t="n">
        <x:f>IF(A75="",0,IF(AND(ISNUMBER(F75),F75&gt;=0,F75&lt;=1,OR(G75="fitch_issue_recovery_estimate",G75="fitch_issue_recovery_rating",G75="reviewed_bbsf_fallback",G75="development_assumption"),H75&lt;&gt;""),0,B75))</x:f>
        <x:v>0</x:v>
      </x:c>
      <x:c r="N75" s="186" t="n">
        <x:f>IF(A75=Q75,0,1)+IF(B75=R75,0,1)+IF(C75=S75,0,1)+IF(D75=T75,0,1)+IF(E75=U75,0,1)+IF(F75=V75,0,1)+IF(G75=W75,0,1)+IF(H75=X75,0,1)</x:f>
        <x:v>0</x:v>
      </x:c>
      <x:c r="O75" s="186" t="n">
        <x:f>IF(A75="",0,IF(E75="",B75,0))</x:f>
        <x:v>1182000</x:v>
      </x:c>
      <x:c r="P75" s="187"/>
      <x:c r="Q75" s="179" t="str">
        <x:v>SYN-LN-00068</x:v>
      </x:c>
      <x:c r="R75" s="179" t="n">
        <x:v>1182000</x:v>
      </x:c>
      <x:c r="S75" s="179" t="str">
        <x:v>B-</x:v>
      </x:c>
      <x:c r="T75" s="179" t="str">
        <x:v>development_proxy</x:v>
      </x:c>
      <x:c r="U75" s="179" t="str"/>
      <x:c r="V75" s="179" t="n">
        <x:v>0.75</x:v>
      </x:c>
      <x:c r="W75" s="179" t="str">
        <x:v>development_assumption</x:v>
      </x:c>
      <x:c r="X7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76" ht="107" customHeight="1">
      <x:c r="A76" s="179" t="str">
        <x:v>SYN-LN-00069</x:v>
      </x:c>
      <x:c r="B76" s="180" t="n">
        <x:f>IF(A76="","",SUMIF('Portfolio Inputs'!A8:A289,A76,'Portfolio Inputs'!D8:D289))</x:f>
        <x:v>1182000</x:v>
      </x:c>
      <x:c r="C76" s="179" t="str">
        <x:v>BB</x:v>
      </x:c>
      <x:c r="D76" s="181" t="str">
        <x:v>development_proxy</x:v>
      </x:c>
      <x:c r="E76" s="181" t="str"/>
      <x:c r="F76" s="182" t="n">
        <x:v>0.75</x:v>
      </x:c>
      <x:c r="G76" s="181" t="str">
        <x:v>development_assumption</x:v>
      </x:c>
      <x:c r="H7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76" s="183" t="n">
        <x:f>IF(AND(C76&lt;&gt;"",OR(D76="public_fitch_idr",D76="reviewed_appendix5_equivalent",D76="development_proxy"),H76&lt;&gt;""),VLOOKUP(C76,Fitch_WARF_Factors,2,FALSE),"")</x:f>
        <x:v>11.844</x:v>
      </x:c>
      <x:c r="J76" s="184" t="n">
        <x:f>IF(ISNUMBER(I76),B76*I76,0)</x:f>
        <x:v>13999608</x:v>
      </x:c>
      <x:c r="K76" s="184" t="n">
        <x:f>IF(AND(A76&lt;&gt;"",M76=0),B76*F76,0)</x:f>
        <x:v>886500</x:v>
      </x:c>
      <x:c r="L76" s="184" t="n">
        <x:f>IF(A76="",0,IF(ISNUMBER(I76),0,B76))</x:f>
        <x:v>0</x:v>
      </x:c>
      <x:c r="M76" s="185" t="n">
        <x:f>IF(A76="",0,IF(AND(ISNUMBER(F76),F76&gt;=0,F76&lt;=1,OR(G76="fitch_issue_recovery_estimate",G76="fitch_issue_recovery_rating",G76="reviewed_bbsf_fallback",G76="development_assumption"),H76&lt;&gt;""),0,B76))</x:f>
        <x:v>0</x:v>
      </x:c>
      <x:c r="N76" s="186" t="n">
        <x:f>IF(A76=Q76,0,1)+IF(B76=R76,0,1)+IF(C76=S76,0,1)+IF(D76=T76,0,1)+IF(E76=U76,0,1)+IF(F76=V76,0,1)+IF(G76=W76,0,1)+IF(H76=X76,0,1)</x:f>
        <x:v>0</x:v>
      </x:c>
      <x:c r="O76" s="186" t="n">
        <x:f>IF(A76="",0,IF(E76="",B76,0))</x:f>
        <x:v>1182000</x:v>
      </x:c>
      <x:c r="P76" s="187"/>
      <x:c r="Q76" s="179" t="str">
        <x:v>SYN-LN-00069</x:v>
      </x:c>
      <x:c r="R76" s="179" t="n">
        <x:v>1182000</x:v>
      </x:c>
      <x:c r="S76" s="179" t="str">
        <x:v>BB</x:v>
      </x:c>
      <x:c r="T76" s="179" t="str">
        <x:v>development_proxy</x:v>
      </x:c>
      <x:c r="U76" s="179" t="str"/>
      <x:c r="V76" s="179" t="n">
        <x:v>0.75</x:v>
      </x:c>
      <x:c r="W76" s="179" t="str">
        <x:v>development_assumption</x:v>
      </x:c>
      <x:c r="X7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77" ht="107" customHeight="1">
      <x:c r="A77" s="179" t="str">
        <x:v>SYN-LN-00070</x:v>
      </x:c>
      <x:c r="B77" s="180" t="n">
        <x:f>IF(A77="","",SUMIF('Portfolio Inputs'!A8:A289,A77,'Portfolio Inputs'!D8:D289))</x:f>
        <x:v>1182000</x:v>
      </x:c>
      <x:c r="C77" s="179" t="str">
        <x:v>B</x:v>
      </x:c>
      <x:c r="D77" s="181" t="str">
        <x:v>development_proxy</x:v>
      </x:c>
      <x:c r="E77" s="181" t="str"/>
      <x:c r="F77" s="182" t="n">
        <x:v>0.75</x:v>
      </x:c>
      <x:c r="G77" s="181" t="str">
        <x:v>development_assumption</x:v>
      </x:c>
      <x:c r="H7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77" s="183" t="n">
        <x:f>IF(AND(C77&lt;&gt;"",OR(D77="public_fitch_idr",D77="reviewed_appendix5_equivalent",D77="development_proxy"),H77&lt;&gt;""),VLOOKUP(C77,Fitch_WARF_Factors,2,FALSE),"")</x:f>
        <x:v>23.671</x:v>
      </x:c>
      <x:c r="J77" s="184" t="n">
        <x:f>IF(ISNUMBER(I77),B77*I77,0)</x:f>
        <x:v>27979122</x:v>
      </x:c>
      <x:c r="K77" s="184" t="n">
        <x:f>IF(AND(A77&lt;&gt;"",M77=0),B77*F77,0)</x:f>
        <x:v>886500</x:v>
      </x:c>
      <x:c r="L77" s="184" t="n">
        <x:f>IF(A77="",0,IF(ISNUMBER(I77),0,B77))</x:f>
        <x:v>0</x:v>
      </x:c>
      <x:c r="M77" s="185" t="n">
        <x:f>IF(A77="",0,IF(AND(ISNUMBER(F77),F77&gt;=0,F77&lt;=1,OR(G77="fitch_issue_recovery_estimate",G77="fitch_issue_recovery_rating",G77="reviewed_bbsf_fallback",G77="development_assumption"),H77&lt;&gt;""),0,B77))</x:f>
        <x:v>0</x:v>
      </x:c>
      <x:c r="N77" s="186" t="n">
        <x:f>IF(A77=Q77,0,1)+IF(B77=R77,0,1)+IF(C77=S77,0,1)+IF(D77=T77,0,1)+IF(E77=U77,0,1)+IF(F77=V77,0,1)+IF(G77=W77,0,1)+IF(H77=X77,0,1)</x:f>
        <x:v>0</x:v>
      </x:c>
      <x:c r="O77" s="186" t="n">
        <x:f>IF(A77="",0,IF(E77="",B77,0))</x:f>
        <x:v>1182000</x:v>
      </x:c>
      <x:c r="P77" s="187"/>
      <x:c r="Q77" s="179" t="str">
        <x:v>SYN-LN-00070</x:v>
      </x:c>
      <x:c r="R77" s="179" t="n">
        <x:v>1182000</x:v>
      </x:c>
      <x:c r="S77" s="179" t="str">
        <x:v>B</x:v>
      </x:c>
      <x:c r="T77" s="179" t="str">
        <x:v>development_proxy</x:v>
      </x:c>
      <x:c r="U77" s="179" t="str"/>
      <x:c r="V77" s="179" t="n">
        <x:v>0.75</x:v>
      </x:c>
      <x:c r="W77" s="179" t="str">
        <x:v>development_assumption</x:v>
      </x:c>
      <x:c r="X7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78" ht="107" customHeight="1">
      <x:c r="A78" s="179" t="str">
        <x:v>SYN-LN-00071</x:v>
      </x:c>
      <x:c r="B78" s="180" t="n">
        <x:f>IF(A78="","",SUMIF('Portfolio Inputs'!A8:A289,A78,'Portfolio Inputs'!D8:D289))</x:f>
        <x:v>1182000</x:v>
      </x:c>
      <x:c r="C78" s="179" t="str">
        <x:v>B</x:v>
      </x:c>
      <x:c r="D78" s="181" t="str">
        <x:v>development_proxy</x:v>
      </x:c>
      <x:c r="E78" s="181" t="str"/>
      <x:c r="F78" s="182" t="n">
        <x:v>0.75</x:v>
      </x:c>
      <x:c r="G78" s="181" t="str">
        <x:v>development_assumption</x:v>
      </x:c>
      <x:c r="H7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78" s="183" t="n">
        <x:f>IF(AND(C78&lt;&gt;"",OR(D78="public_fitch_idr",D78="reviewed_appendix5_equivalent",D78="development_proxy"),H78&lt;&gt;""),VLOOKUP(C78,Fitch_WARF_Factors,2,FALSE),"")</x:f>
        <x:v>23.671</x:v>
      </x:c>
      <x:c r="J78" s="184" t="n">
        <x:f>IF(ISNUMBER(I78),B78*I78,0)</x:f>
        <x:v>27979122</x:v>
      </x:c>
      <x:c r="K78" s="184" t="n">
        <x:f>IF(AND(A78&lt;&gt;"",M78=0),B78*F78,0)</x:f>
        <x:v>886500</x:v>
      </x:c>
      <x:c r="L78" s="184" t="n">
        <x:f>IF(A78="",0,IF(ISNUMBER(I78),0,B78))</x:f>
        <x:v>0</x:v>
      </x:c>
      <x:c r="M78" s="185" t="n">
        <x:f>IF(A78="",0,IF(AND(ISNUMBER(F78),F78&gt;=0,F78&lt;=1,OR(G78="fitch_issue_recovery_estimate",G78="fitch_issue_recovery_rating",G78="reviewed_bbsf_fallback",G78="development_assumption"),H78&lt;&gt;""),0,B78))</x:f>
        <x:v>0</x:v>
      </x:c>
      <x:c r="N78" s="186" t="n">
        <x:f>IF(A78=Q78,0,1)+IF(B78=R78,0,1)+IF(C78=S78,0,1)+IF(D78=T78,0,1)+IF(E78=U78,0,1)+IF(F78=V78,0,1)+IF(G78=W78,0,1)+IF(H78=X78,0,1)</x:f>
        <x:v>0</x:v>
      </x:c>
      <x:c r="O78" s="186" t="n">
        <x:f>IF(A78="",0,IF(E78="",B78,0))</x:f>
        <x:v>1182000</x:v>
      </x:c>
      <x:c r="P78" s="187"/>
      <x:c r="Q78" s="179" t="str">
        <x:v>SYN-LN-00071</x:v>
      </x:c>
      <x:c r="R78" s="179" t="n">
        <x:v>1182000</x:v>
      </x:c>
      <x:c r="S78" s="179" t="str">
        <x:v>B</x:v>
      </x:c>
      <x:c r="T78" s="179" t="str">
        <x:v>development_proxy</x:v>
      </x:c>
      <x:c r="U78" s="179" t="str"/>
      <x:c r="V78" s="179" t="n">
        <x:v>0.75</x:v>
      </x:c>
      <x:c r="W78" s="179" t="str">
        <x:v>development_assumption</x:v>
      </x:c>
      <x:c r="X7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79" ht="107" customHeight="1">
      <x:c r="A79" s="179" t="str">
        <x:v>SYN-LN-00072</x:v>
      </x:c>
      <x:c r="B79" s="180" t="n">
        <x:f>IF(A79="","",SUMIF('Portfolio Inputs'!A8:A289,A79,'Portfolio Inputs'!D8:D289))</x:f>
        <x:v>630000</x:v>
      </x:c>
      <x:c r="C79" s="179" t="str">
        <x:v>B</x:v>
      </x:c>
      <x:c r="D79" s="181" t="str">
        <x:v>development_proxy</x:v>
      </x:c>
      <x:c r="E79" s="181" t="str"/>
      <x:c r="F79" s="182" t="n">
        <x:v>0.75</x:v>
      </x:c>
      <x:c r="G79" s="181" t="str">
        <x:v>development_assumption</x:v>
      </x:c>
      <x:c r="H7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79" s="183" t="n">
        <x:f>IF(AND(C79&lt;&gt;"",OR(D79="public_fitch_idr",D79="reviewed_appendix5_equivalent",D79="development_proxy"),H79&lt;&gt;""),VLOOKUP(C79,Fitch_WARF_Factors,2,FALSE),"")</x:f>
        <x:v>23.671</x:v>
      </x:c>
      <x:c r="J79" s="184" t="n">
        <x:f>IF(ISNUMBER(I79),B79*I79,0)</x:f>
        <x:v>14912730</x:v>
      </x:c>
      <x:c r="K79" s="184" t="n">
        <x:f>IF(AND(A79&lt;&gt;"",M79=0),B79*F79,0)</x:f>
        <x:v>472500</x:v>
      </x:c>
      <x:c r="L79" s="184" t="n">
        <x:f>IF(A79="",0,IF(ISNUMBER(I79),0,B79))</x:f>
        <x:v>0</x:v>
      </x:c>
      <x:c r="M79" s="185" t="n">
        <x:f>IF(A79="",0,IF(AND(ISNUMBER(F79),F79&gt;=0,F79&lt;=1,OR(G79="fitch_issue_recovery_estimate",G79="fitch_issue_recovery_rating",G79="reviewed_bbsf_fallback",G79="development_assumption"),H79&lt;&gt;""),0,B79))</x:f>
        <x:v>0</x:v>
      </x:c>
      <x:c r="N79" s="186" t="n">
        <x:f>IF(A79=Q79,0,1)+IF(B79=R79,0,1)+IF(C79=S79,0,1)+IF(D79=T79,0,1)+IF(E79=U79,0,1)+IF(F79=V79,0,1)+IF(G79=W79,0,1)+IF(H79=X79,0,1)</x:f>
        <x:v>0</x:v>
      </x:c>
      <x:c r="O79" s="186" t="n">
        <x:f>IF(A79="",0,IF(E79="",B79,0))</x:f>
        <x:v>630000</x:v>
      </x:c>
      <x:c r="P79" s="187"/>
      <x:c r="Q79" s="179" t="str">
        <x:v>SYN-LN-00072</x:v>
      </x:c>
      <x:c r="R79" s="179" t="n">
        <x:v>630000</x:v>
      </x:c>
      <x:c r="S79" s="179" t="str">
        <x:v>B</x:v>
      </x:c>
      <x:c r="T79" s="179" t="str">
        <x:v>development_proxy</x:v>
      </x:c>
      <x:c r="U79" s="179" t="str"/>
      <x:c r="V79" s="179" t="n">
        <x:v>0.75</x:v>
      </x:c>
      <x:c r="W79" s="179" t="str">
        <x:v>development_assumption</x:v>
      </x:c>
      <x:c r="X7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80" ht="107" customHeight="1">
      <x:c r="A80" s="179" t="str">
        <x:v>SYN-LN-00073</x:v>
      </x:c>
      <x:c r="B80" s="180" t="n">
        <x:f>IF(A80="","",SUMIF('Portfolio Inputs'!A8:A289,A80,'Portfolio Inputs'!D8:D289))</x:f>
        <x:v>1182000</x:v>
      </x:c>
      <x:c r="C80" s="179" t="str">
        <x:v>B-</x:v>
      </x:c>
      <x:c r="D80" s="181" t="str">
        <x:v>development_proxy</x:v>
      </x:c>
      <x:c r="E80" s="181" t="str"/>
      <x:c r="F80" s="182" t="n">
        <x:v>0.75</x:v>
      </x:c>
      <x:c r="G80" s="181" t="str">
        <x:v>development_assumption</x:v>
      </x:c>
      <x:c r="H8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80" s="183" t="n">
        <x:f>IF(AND(C80&lt;&gt;"",OR(D80="public_fitch_idr",D80="reviewed_appendix5_equivalent",D80="development_proxy"),H80&lt;&gt;""),VLOOKUP(C80,Fitch_WARF_Factors,2,FALSE),"")</x:f>
        <x:v>32.221</x:v>
      </x:c>
      <x:c r="J80" s="184" t="n">
        <x:f>IF(ISNUMBER(I80),B80*I80,0)</x:f>
        <x:v>38085221.99999999</x:v>
      </x:c>
      <x:c r="K80" s="184" t="n">
        <x:f>IF(AND(A80&lt;&gt;"",M80=0),B80*F80,0)</x:f>
        <x:v>886500</x:v>
      </x:c>
      <x:c r="L80" s="184" t="n">
        <x:f>IF(A80="",0,IF(ISNUMBER(I80),0,B80))</x:f>
        <x:v>0</x:v>
      </x:c>
      <x:c r="M80" s="185" t="n">
        <x:f>IF(A80="",0,IF(AND(ISNUMBER(F80),F80&gt;=0,F80&lt;=1,OR(G80="fitch_issue_recovery_estimate",G80="fitch_issue_recovery_rating",G80="reviewed_bbsf_fallback",G80="development_assumption"),H80&lt;&gt;""),0,B80))</x:f>
        <x:v>0</x:v>
      </x:c>
      <x:c r="N80" s="186" t="n">
        <x:f>IF(A80=Q80,0,1)+IF(B80=R80,0,1)+IF(C80=S80,0,1)+IF(D80=T80,0,1)+IF(E80=U80,0,1)+IF(F80=V80,0,1)+IF(G80=W80,0,1)+IF(H80=X80,0,1)</x:f>
        <x:v>0</x:v>
      </x:c>
      <x:c r="O80" s="186" t="n">
        <x:f>IF(A80="",0,IF(E80="",B80,0))</x:f>
        <x:v>1182000</x:v>
      </x:c>
      <x:c r="P80" s="187"/>
      <x:c r="Q80" s="179" t="str">
        <x:v>SYN-LN-00073</x:v>
      </x:c>
      <x:c r="R80" s="179" t="n">
        <x:v>1182000</x:v>
      </x:c>
      <x:c r="S80" s="179" t="str">
        <x:v>B-</x:v>
      </x:c>
      <x:c r="T80" s="179" t="str">
        <x:v>development_proxy</x:v>
      </x:c>
      <x:c r="U80" s="179" t="str"/>
      <x:c r="V80" s="179" t="n">
        <x:v>0.75</x:v>
      </x:c>
      <x:c r="W80" s="179" t="str">
        <x:v>development_assumption</x:v>
      </x:c>
      <x:c r="X8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81" ht="107" customHeight="1">
      <x:c r="A81" s="179" t="str">
        <x:v>SYN-LN-00074</x:v>
      </x:c>
      <x:c r="B81" s="180" t="n">
        <x:f>IF(A81="","",SUMIF('Portfolio Inputs'!A8:A289,A81,'Portfolio Inputs'!D8:D289))</x:f>
        <x:v>630000</x:v>
      </x:c>
      <x:c r="C81" s="179" t="str">
        <x:v>A-</x:v>
      </x:c>
      <x:c r="D81" s="181" t="str">
        <x:v>development_proxy</x:v>
      </x:c>
      <x:c r="E81" s="181" t="str"/>
      <x:c r="F81" s="182" t="n">
        <x:v>0.65</x:v>
      </x:c>
      <x:c r="G81" s="181" t="str">
        <x:v>development_assumption</x:v>
      </x:c>
      <x:c r="H81" s="181" t="str">
        <x:v>FICTIONAL DEVELOPMENT: copied S&amp;P symbol as Fitch IDR-equivalency proxy; no Fitch rating or Appendix 5 review. Assumed first-lien facility is senior secured loan with no issue recovery opinion; Germany Group 2; Fitch June 1 2026 Appendix 4 pp42-43 and Appendix 6 pp47-48 BBsf Strong fallback.</x:v>
      </x:c>
      <x:c r="I81" s="183" t="n">
        <x:f>IF(AND(C81&lt;&gt;"",OR(D81="public_fitch_idr",D81="reviewed_appendix5_equivalent",D81="development_proxy"),H81&lt;&gt;""),VLOOKUP(C81,Fitch_WARF_Factors,2,FALSE),"")</x:f>
        <x:v>2.099</x:v>
      </x:c>
      <x:c r="J81" s="184" t="n">
        <x:f>IF(ISNUMBER(I81),B81*I81,0)</x:f>
        <x:v>1322370.0000000002</x:v>
      </x:c>
      <x:c r="K81" s="184" t="n">
        <x:f>IF(AND(A81&lt;&gt;"",M81=0),B81*F81,0)</x:f>
        <x:v>409500</x:v>
      </x:c>
      <x:c r="L81" s="184" t="n">
        <x:f>IF(A81="",0,IF(ISNUMBER(I81),0,B81))</x:f>
        <x:v>0</x:v>
      </x:c>
      <x:c r="M81" s="185" t="n">
        <x:f>IF(A81="",0,IF(AND(ISNUMBER(F81),F81&gt;=0,F81&lt;=1,OR(G81="fitch_issue_recovery_estimate",G81="fitch_issue_recovery_rating",G81="reviewed_bbsf_fallback",G81="development_assumption"),H81&lt;&gt;""),0,B81))</x:f>
        <x:v>0</x:v>
      </x:c>
      <x:c r="N81" s="186" t="n">
        <x:f>IF(A81=Q81,0,1)+IF(B81=R81,0,1)+IF(C81=S81,0,1)+IF(D81=T81,0,1)+IF(E81=U81,0,1)+IF(F81=V81,0,1)+IF(G81=W81,0,1)+IF(H81=X81,0,1)</x:f>
        <x:v>0</x:v>
      </x:c>
      <x:c r="O81" s="186" t="n">
        <x:f>IF(A81="",0,IF(E81="",B81,0))</x:f>
        <x:v>630000</x:v>
      </x:c>
      <x:c r="P81" s="187"/>
      <x:c r="Q81" s="179" t="str">
        <x:v>SYN-LN-00074</x:v>
      </x:c>
      <x:c r="R81" s="179" t="n">
        <x:v>630000</x:v>
      </x:c>
      <x:c r="S81" s="179" t="str">
        <x:v>A-</x:v>
      </x:c>
      <x:c r="T81" s="179" t="str">
        <x:v>development_proxy</x:v>
      </x:c>
      <x:c r="U81" s="179" t="str"/>
      <x:c r="V81" s="179" t="n">
        <x:v>0.65</x:v>
      </x:c>
      <x:c r="W81" s="179" t="str">
        <x:v>development_assumption</x:v>
      </x:c>
      <x:c r="X81" s="179" t="str">
        <x:v>FICTIONAL DEVELOPMENT: copied S&amp;P symbol as Fitch IDR-equivalency proxy; no Fitch rating or Appendix 5 review. Assumed first-lien facility is senior secured loan with no issue recovery opinion; Germany Group 2; Fitch June 1 2026 Appendix 4 pp42-43 and Appendix 6 pp47-48 BBsf Strong fallback.</x:v>
      </x:c>
    </x:row>
    <x:row r="82" ht="107" customHeight="1">
      <x:c r="A82" s="179" t="str">
        <x:v>SYN-LN-00075</x:v>
      </x:c>
      <x:c r="B82" s="180" t="n">
        <x:f>IF(A82="","",SUMIF('Portfolio Inputs'!A8:A289,A82,'Portfolio Inputs'!D8:D289))</x:f>
        <x:v>1182000</x:v>
      </x:c>
      <x:c r="C82" s="179" t="str">
        <x:v>B-</x:v>
      </x:c>
      <x:c r="D82" s="181" t="str">
        <x:v>development_proxy</x:v>
      </x:c>
      <x:c r="E82" s="181" t="str"/>
      <x:c r="F82" s="182" t="n">
        <x:v>0.75</x:v>
      </x:c>
      <x:c r="G82" s="181" t="str">
        <x:v>development_assumption</x:v>
      </x:c>
      <x:c r="H8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82" s="183" t="n">
        <x:f>IF(AND(C82&lt;&gt;"",OR(D82="public_fitch_idr",D82="reviewed_appendix5_equivalent",D82="development_proxy"),H82&lt;&gt;""),VLOOKUP(C82,Fitch_WARF_Factors,2,FALSE),"")</x:f>
        <x:v>32.221</x:v>
      </x:c>
      <x:c r="J82" s="184" t="n">
        <x:f>IF(ISNUMBER(I82),B82*I82,0)</x:f>
        <x:v>38085221.99999999</x:v>
      </x:c>
      <x:c r="K82" s="184" t="n">
        <x:f>IF(AND(A82&lt;&gt;"",M82=0),B82*F82,0)</x:f>
        <x:v>886500</x:v>
      </x:c>
      <x:c r="L82" s="184" t="n">
        <x:f>IF(A82="",0,IF(ISNUMBER(I82),0,B82))</x:f>
        <x:v>0</x:v>
      </x:c>
      <x:c r="M82" s="185" t="n">
        <x:f>IF(A82="",0,IF(AND(ISNUMBER(F82),F82&gt;=0,F82&lt;=1,OR(G82="fitch_issue_recovery_estimate",G82="fitch_issue_recovery_rating",G82="reviewed_bbsf_fallback",G82="development_assumption"),H82&lt;&gt;""),0,B82))</x:f>
        <x:v>0</x:v>
      </x:c>
      <x:c r="N82" s="186" t="n">
        <x:f>IF(A82=Q82,0,1)+IF(B82=R82,0,1)+IF(C82=S82,0,1)+IF(D82=T82,0,1)+IF(E82=U82,0,1)+IF(F82=V82,0,1)+IF(G82=W82,0,1)+IF(H82=X82,0,1)</x:f>
        <x:v>0</x:v>
      </x:c>
      <x:c r="O82" s="186" t="n">
        <x:f>IF(A82="",0,IF(E82="",B82,0))</x:f>
        <x:v>1182000</x:v>
      </x:c>
      <x:c r="P82" s="187"/>
      <x:c r="Q82" s="179" t="str">
        <x:v>SYN-LN-00075</x:v>
      </x:c>
      <x:c r="R82" s="179" t="n">
        <x:v>1182000</x:v>
      </x:c>
      <x:c r="S82" s="179" t="str">
        <x:v>B-</x:v>
      </x:c>
      <x:c r="T82" s="179" t="str">
        <x:v>development_proxy</x:v>
      </x:c>
      <x:c r="U82" s="179" t="str"/>
      <x:c r="V82" s="179" t="n">
        <x:v>0.75</x:v>
      </x:c>
      <x:c r="W82" s="179" t="str">
        <x:v>development_assumption</x:v>
      </x:c>
      <x:c r="X8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83" ht="107" customHeight="1">
      <x:c r="A83" s="179" t="str">
        <x:v>SYN-LN-00076</x:v>
      </x:c>
      <x:c r="B83" s="180" t="n">
        <x:f>IF(A83="","",SUMIF('Portfolio Inputs'!A8:A289,A83,'Portfolio Inputs'!D8:D289))</x:f>
        <x:v>1182000</x:v>
      </x:c>
      <x:c r="C83" s="179" t="str">
        <x:v>B</x:v>
      </x:c>
      <x:c r="D83" s="181" t="str">
        <x:v>development_proxy</x:v>
      </x:c>
      <x:c r="E83" s="181" t="str"/>
      <x:c r="F83" s="182" t="n">
        <x:v>0.75</x:v>
      </x:c>
      <x:c r="G83" s="181" t="str">
        <x:v>development_assumption</x:v>
      </x:c>
      <x:c r="H8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83" s="183" t="n">
        <x:f>IF(AND(C83&lt;&gt;"",OR(D83="public_fitch_idr",D83="reviewed_appendix5_equivalent",D83="development_proxy"),H83&lt;&gt;""),VLOOKUP(C83,Fitch_WARF_Factors,2,FALSE),"")</x:f>
        <x:v>23.671</x:v>
      </x:c>
      <x:c r="J83" s="184" t="n">
        <x:f>IF(ISNUMBER(I83),B83*I83,0)</x:f>
        <x:v>27979122</x:v>
      </x:c>
      <x:c r="K83" s="184" t="n">
        <x:f>IF(AND(A83&lt;&gt;"",M83=0),B83*F83,0)</x:f>
        <x:v>886500</x:v>
      </x:c>
      <x:c r="L83" s="184" t="n">
        <x:f>IF(A83="",0,IF(ISNUMBER(I83),0,B83))</x:f>
        <x:v>0</x:v>
      </x:c>
      <x:c r="M83" s="185" t="n">
        <x:f>IF(A83="",0,IF(AND(ISNUMBER(F83),F83&gt;=0,F83&lt;=1,OR(G83="fitch_issue_recovery_estimate",G83="fitch_issue_recovery_rating",G83="reviewed_bbsf_fallback",G83="development_assumption"),H83&lt;&gt;""),0,B83))</x:f>
        <x:v>0</x:v>
      </x:c>
      <x:c r="N83" s="186" t="n">
        <x:f>IF(A83=Q83,0,1)+IF(B83=R83,0,1)+IF(C83=S83,0,1)+IF(D83=T83,0,1)+IF(E83=U83,0,1)+IF(F83=V83,0,1)+IF(G83=W83,0,1)+IF(H83=X83,0,1)</x:f>
        <x:v>0</x:v>
      </x:c>
      <x:c r="O83" s="186" t="n">
        <x:f>IF(A83="",0,IF(E83="",B83,0))</x:f>
        <x:v>1182000</x:v>
      </x:c>
      <x:c r="P83" s="187"/>
      <x:c r="Q83" s="179" t="str">
        <x:v>SYN-LN-00076</x:v>
      </x:c>
      <x:c r="R83" s="179" t="n">
        <x:v>1182000</x:v>
      </x:c>
      <x:c r="S83" s="179" t="str">
        <x:v>B</x:v>
      </x:c>
      <x:c r="T83" s="179" t="str">
        <x:v>development_proxy</x:v>
      </x:c>
      <x:c r="U83" s="179" t="str"/>
      <x:c r="V83" s="179" t="n">
        <x:v>0.75</x:v>
      </x:c>
      <x:c r="W83" s="179" t="str">
        <x:v>development_assumption</x:v>
      </x:c>
      <x:c r="X8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84" ht="107" customHeight="1">
      <x:c r="A84" s="179" t="str">
        <x:v>SYN-LN-00077</x:v>
      </x:c>
      <x:c r="B84" s="180" t="n">
        <x:f>IF(A84="","",SUMIF('Portfolio Inputs'!A8:A289,A84,'Portfolio Inputs'!D8:D289))</x:f>
        <x:v>1182000</x:v>
      </x:c>
      <x:c r="C84" s="179" t="str">
        <x:v>B+</x:v>
      </x:c>
      <x:c r="D84" s="181" t="str">
        <x:v>development_proxy</x:v>
      </x:c>
      <x:c r="E84" s="181" t="str"/>
      <x:c r="F84" s="182" t="n">
        <x:v>0.75</x:v>
      </x:c>
      <x:c r="G84" s="181" t="str">
        <x:v>development_assumption</x:v>
      </x:c>
      <x:c r="H8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84" s="183" t="n">
        <x:f>IF(AND(C84&lt;&gt;"",OR(D84="public_fitch_idr",D84="reviewed_appendix5_equivalent",D84="development_proxy"),H84&lt;&gt;""),VLOOKUP(C84,Fitch_WARF_Factors,2,FALSE),"")</x:f>
        <x:v>19.627</x:v>
      </x:c>
      <x:c r="J84" s="184" t="n">
        <x:f>IF(ISNUMBER(I84),B84*I84,0)</x:f>
        <x:v>23199114</x:v>
      </x:c>
      <x:c r="K84" s="184" t="n">
        <x:f>IF(AND(A84&lt;&gt;"",M84=0),B84*F84,0)</x:f>
        <x:v>886500</x:v>
      </x:c>
      <x:c r="L84" s="184" t="n">
        <x:f>IF(A84="",0,IF(ISNUMBER(I84),0,B84))</x:f>
        <x:v>0</x:v>
      </x:c>
      <x:c r="M84" s="185" t="n">
        <x:f>IF(A84="",0,IF(AND(ISNUMBER(F84),F84&gt;=0,F84&lt;=1,OR(G84="fitch_issue_recovery_estimate",G84="fitch_issue_recovery_rating",G84="reviewed_bbsf_fallback",G84="development_assumption"),H84&lt;&gt;""),0,B84))</x:f>
        <x:v>0</x:v>
      </x:c>
      <x:c r="N84" s="186" t="n">
        <x:f>IF(A84=Q84,0,1)+IF(B84=R84,0,1)+IF(C84=S84,0,1)+IF(D84=T84,0,1)+IF(E84=U84,0,1)+IF(F84=V84,0,1)+IF(G84=W84,0,1)+IF(H84=X84,0,1)</x:f>
        <x:v>0</x:v>
      </x:c>
      <x:c r="O84" s="186" t="n">
        <x:f>IF(A84="",0,IF(E84="",B84,0))</x:f>
        <x:v>1182000</x:v>
      </x:c>
      <x:c r="P84" s="187"/>
      <x:c r="Q84" s="179" t="str">
        <x:v>SYN-LN-00077</x:v>
      </x:c>
      <x:c r="R84" s="179" t="n">
        <x:v>1182000</x:v>
      </x:c>
      <x:c r="S84" s="179" t="str">
        <x:v>B+</x:v>
      </x:c>
      <x:c r="T84" s="179" t="str">
        <x:v>development_proxy</x:v>
      </x:c>
      <x:c r="U84" s="179" t="str"/>
      <x:c r="V84" s="179" t="n">
        <x:v>0.75</x:v>
      </x:c>
      <x:c r="W84" s="179" t="str">
        <x:v>development_assumption</x:v>
      </x:c>
      <x:c r="X8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85" ht="107" customHeight="1">
      <x:c r="A85" s="179" t="str">
        <x:v>SYN-LN-00078</x:v>
      </x:c>
      <x:c r="B85" s="180" t="n">
        <x:f>IF(A85="","",SUMIF('Portfolio Inputs'!A8:A289,A85,'Portfolio Inputs'!D8:D289))</x:f>
        <x:v>770000</x:v>
      </x:c>
      <x:c r="C85" s="179" t="str">
        <x:v>BB-</x:v>
      </x:c>
      <x:c r="D85" s="181" t="str">
        <x:v>development_proxy</x:v>
      </x:c>
      <x:c r="E85" s="181" t="str"/>
      <x:c r="F85" s="182" t="n">
        <x:v>0.75</x:v>
      </x:c>
      <x:c r="G85" s="181" t="str">
        <x:v>development_assumption</x:v>
      </x:c>
      <x:c r="H8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85" s="183" t="n">
        <x:f>IF(AND(C85&lt;&gt;"",OR(D85="public_fitch_idr",D85="reviewed_appendix5_equivalent",D85="development_proxy"),H85&lt;&gt;""),VLOOKUP(C85,Fitch_WARF_Factors,2,FALSE),"")</x:f>
        <x:v>15.733</x:v>
      </x:c>
      <x:c r="J85" s="184" t="n">
        <x:f>IF(ISNUMBER(I85),B85*I85,0)</x:f>
        <x:v>12114410</x:v>
      </x:c>
      <x:c r="K85" s="184" t="n">
        <x:f>IF(AND(A85&lt;&gt;"",M85=0),B85*F85,0)</x:f>
        <x:v>577500</x:v>
      </x:c>
      <x:c r="L85" s="184" t="n">
        <x:f>IF(A85="",0,IF(ISNUMBER(I85),0,B85))</x:f>
        <x:v>0</x:v>
      </x:c>
      <x:c r="M85" s="185" t="n">
        <x:f>IF(A85="",0,IF(AND(ISNUMBER(F85),F85&gt;=0,F85&lt;=1,OR(G85="fitch_issue_recovery_estimate",G85="fitch_issue_recovery_rating",G85="reviewed_bbsf_fallback",G85="development_assumption"),H85&lt;&gt;""),0,B85))</x:f>
        <x:v>0</x:v>
      </x:c>
      <x:c r="N85" s="186" t="n">
        <x:f>IF(A85=Q85,0,1)+IF(B85=R85,0,1)+IF(C85=S85,0,1)+IF(D85=T85,0,1)+IF(E85=U85,0,1)+IF(F85=V85,0,1)+IF(G85=W85,0,1)+IF(H85=X85,0,1)</x:f>
        <x:v>0</x:v>
      </x:c>
      <x:c r="O85" s="186" t="n">
        <x:f>IF(A85="",0,IF(E85="",B85,0))</x:f>
        <x:v>770000</x:v>
      </x:c>
      <x:c r="P85" s="187"/>
      <x:c r="Q85" s="179" t="str">
        <x:v>SYN-LN-00078</x:v>
      </x:c>
      <x:c r="R85" s="179" t="n">
        <x:v>770000</x:v>
      </x:c>
      <x:c r="S85" s="179" t="str">
        <x:v>BB-</x:v>
      </x:c>
      <x:c r="T85" s="179" t="str">
        <x:v>development_proxy</x:v>
      </x:c>
      <x:c r="U85" s="179" t="str"/>
      <x:c r="V85" s="179" t="n">
        <x:v>0.75</x:v>
      </x:c>
      <x:c r="W85" s="179" t="str">
        <x:v>development_assumption</x:v>
      </x:c>
      <x:c r="X8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86" ht="107" customHeight="1">
      <x:c r="A86" s="179" t="str">
        <x:v>SYN-LN-00079</x:v>
      </x:c>
      <x:c r="B86" s="180" t="n">
        <x:f>IF(A86="","",SUMIF('Portfolio Inputs'!A8:A289,A86,'Portfolio Inputs'!D8:D289))</x:f>
        <x:v>412000</x:v>
      </x:c>
      <x:c r="C86" s="179" t="str">
        <x:v>BB-</x:v>
      </x:c>
      <x:c r="D86" s="181" t="str">
        <x:v>development_proxy</x:v>
      </x:c>
      <x:c r="E86" s="181" t="str"/>
      <x:c r="F86" s="182" t="n">
        <x:v>0.75</x:v>
      </x:c>
      <x:c r="G86" s="181" t="str">
        <x:v>development_assumption</x:v>
      </x:c>
      <x:c r="H8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86" s="183" t="n">
        <x:f>IF(AND(C86&lt;&gt;"",OR(D86="public_fitch_idr",D86="reviewed_appendix5_equivalent",D86="development_proxy"),H86&lt;&gt;""),VLOOKUP(C86,Fitch_WARF_Factors,2,FALSE),"")</x:f>
        <x:v>15.733</x:v>
      </x:c>
      <x:c r="J86" s="184" t="n">
        <x:f>IF(ISNUMBER(I86),B86*I86,0)</x:f>
        <x:v>6481996</x:v>
      </x:c>
      <x:c r="K86" s="184" t="n">
        <x:f>IF(AND(A86&lt;&gt;"",M86=0),B86*F86,0)</x:f>
        <x:v>309000</x:v>
      </x:c>
      <x:c r="L86" s="184" t="n">
        <x:f>IF(A86="",0,IF(ISNUMBER(I86),0,B86))</x:f>
        <x:v>0</x:v>
      </x:c>
      <x:c r="M86" s="185" t="n">
        <x:f>IF(A86="",0,IF(AND(ISNUMBER(F86),F86&gt;=0,F86&lt;=1,OR(G86="fitch_issue_recovery_estimate",G86="fitch_issue_recovery_rating",G86="reviewed_bbsf_fallback",G86="development_assumption"),H86&lt;&gt;""),0,B86))</x:f>
        <x:v>0</x:v>
      </x:c>
      <x:c r="N86" s="186" t="n">
        <x:f>IF(A86=Q86,0,1)+IF(B86=R86,0,1)+IF(C86=S86,0,1)+IF(D86=T86,0,1)+IF(E86=U86,0,1)+IF(F86=V86,0,1)+IF(G86=W86,0,1)+IF(H86=X86,0,1)</x:f>
        <x:v>0</x:v>
      </x:c>
      <x:c r="O86" s="186" t="n">
        <x:f>IF(A86="",0,IF(E86="",B86,0))</x:f>
        <x:v>412000</x:v>
      </x:c>
      <x:c r="P86" s="187"/>
      <x:c r="Q86" s="179" t="str">
        <x:v>SYN-LN-00079</x:v>
      </x:c>
      <x:c r="R86" s="179" t="n">
        <x:v>412000</x:v>
      </x:c>
      <x:c r="S86" s="179" t="str">
        <x:v>BB-</x:v>
      </x:c>
      <x:c r="T86" s="179" t="str">
        <x:v>development_proxy</x:v>
      </x:c>
      <x:c r="U86" s="179" t="str"/>
      <x:c r="V86" s="179" t="n">
        <x:v>0.75</x:v>
      </x:c>
      <x:c r="W86" s="179" t="str">
        <x:v>development_assumption</x:v>
      </x:c>
      <x:c r="X8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87" ht="107" customHeight="1">
      <x:c r="A87" s="179" t="str">
        <x:v>SYN-LN-00080</x:v>
      </x:c>
      <x:c r="B87" s="180" t="n">
        <x:f>IF(A87="","",SUMIF('Portfolio Inputs'!A8:A289,A87,'Portfolio Inputs'!D8:D289))</x:f>
        <x:v>1182000</x:v>
      </x:c>
      <x:c r="C87" s="179" t="str">
        <x:v>B</x:v>
      </x:c>
      <x:c r="D87" s="181" t="str">
        <x:v>development_proxy</x:v>
      </x:c>
      <x:c r="E87" s="181" t="str"/>
      <x:c r="F87" s="182" t="n">
        <x:v>0.75</x:v>
      </x:c>
      <x:c r="G87" s="181" t="str">
        <x:v>development_assumption</x:v>
      </x:c>
      <x:c r="H8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87" s="183" t="n">
        <x:f>IF(AND(C87&lt;&gt;"",OR(D87="public_fitch_idr",D87="reviewed_appendix5_equivalent",D87="development_proxy"),H87&lt;&gt;""),VLOOKUP(C87,Fitch_WARF_Factors,2,FALSE),"")</x:f>
        <x:v>23.671</x:v>
      </x:c>
      <x:c r="J87" s="184" t="n">
        <x:f>IF(ISNUMBER(I87),B87*I87,0)</x:f>
        <x:v>27979122</x:v>
      </x:c>
      <x:c r="K87" s="184" t="n">
        <x:f>IF(AND(A87&lt;&gt;"",M87=0),B87*F87,0)</x:f>
        <x:v>886500</x:v>
      </x:c>
      <x:c r="L87" s="184" t="n">
        <x:f>IF(A87="",0,IF(ISNUMBER(I87),0,B87))</x:f>
        <x:v>0</x:v>
      </x:c>
      <x:c r="M87" s="185" t="n">
        <x:f>IF(A87="",0,IF(AND(ISNUMBER(F87),F87&gt;=0,F87&lt;=1,OR(G87="fitch_issue_recovery_estimate",G87="fitch_issue_recovery_rating",G87="reviewed_bbsf_fallback",G87="development_assumption"),H87&lt;&gt;""),0,B87))</x:f>
        <x:v>0</x:v>
      </x:c>
      <x:c r="N87" s="186" t="n">
        <x:f>IF(A87=Q87,0,1)+IF(B87=R87,0,1)+IF(C87=S87,0,1)+IF(D87=T87,0,1)+IF(E87=U87,0,1)+IF(F87=V87,0,1)+IF(G87=W87,0,1)+IF(H87=X87,0,1)</x:f>
        <x:v>0</x:v>
      </x:c>
      <x:c r="O87" s="186" t="n">
        <x:f>IF(A87="",0,IF(E87="",B87,0))</x:f>
        <x:v>1182000</x:v>
      </x:c>
      <x:c r="P87" s="187"/>
      <x:c r="Q87" s="179" t="str">
        <x:v>SYN-LN-00080</x:v>
      </x:c>
      <x:c r="R87" s="179" t="n">
        <x:v>1182000</x:v>
      </x:c>
      <x:c r="S87" s="179" t="str">
        <x:v>B</x:v>
      </x:c>
      <x:c r="T87" s="179" t="str">
        <x:v>development_proxy</x:v>
      </x:c>
      <x:c r="U87" s="179" t="str"/>
      <x:c r="V87" s="179" t="n">
        <x:v>0.75</x:v>
      </x:c>
      <x:c r="W87" s="179" t="str">
        <x:v>development_assumption</x:v>
      </x:c>
      <x:c r="X8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88" ht="107" customHeight="1">
      <x:c r="A88" s="179" t="str">
        <x:v>SYN-LN-00081</x:v>
      </x:c>
      <x:c r="B88" s="180" t="n">
        <x:f>IF(A88="","",SUMIF('Portfolio Inputs'!A8:A289,A88,'Portfolio Inputs'!D8:D289))</x:f>
        <x:v>1182000</x:v>
      </x:c>
      <x:c r="C88" s="179" t="str">
        <x:v>B</x:v>
      </x:c>
      <x:c r="D88" s="181" t="str">
        <x:v>development_proxy</x:v>
      </x:c>
      <x:c r="E88" s="181" t="str"/>
      <x:c r="F88" s="182" t="n">
        <x:v>0.75</x:v>
      </x:c>
      <x:c r="G88" s="181" t="str">
        <x:v>development_assumption</x:v>
      </x:c>
      <x:c r="H8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88" s="183" t="n">
        <x:f>IF(AND(C88&lt;&gt;"",OR(D88="public_fitch_idr",D88="reviewed_appendix5_equivalent",D88="development_proxy"),H88&lt;&gt;""),VLOOKUP(C88,Fitch_WARF_Factors,2,FALSE),"")</x:f>
        <x:v>23.671</x:v>
      </x:c>
      <x:c r="J88" s="184" t="n">
        <x:f>IF(ISNUMBER(I88),B88*I88,0)</x:f>
        <x:v>27979122</x:v>
      </x:c>
      <x:c r="K88" s="184" t="n">
        <x:f>IF(AND(A88&lt;&gt;"",M88=0),B88*F88,0)</x:f>
        <x:v>886500</x:v>
      </x:c>
      <x:c r="L88" s="184" t="n">
        <x:f>IF(A88="",0,IF(ISNUMBER(I88),0,B88))</x:f>
        <x:v>0</x:v>
      </x:c>
      <x:c r="M88" s="185" t="n">
        <x:f>IF(A88="",0,IF(AND(ISNUMBER(F88),F88&gt;=0,F88&lt;=1,OR(G88="fitch_issue_recovery_estimate",G88="fitch_issue_recovery_rating",G88="reviewed_bbsf_fallback",G88="development_assumption"),H88&lt;&gt;""),0,B88))</x:f>
        <x:v>0</x:v>
      </x:c>
      <x:c r="N88" s="186" t="n">
        <x:f>IF(A88=Q88,0,1)+IF(B88=R88,0,1)+IF(C88=S88,0,1)+IF(D88=T88,0,1)+IF(E88=U88,0,1)+IF(F88=V88,0,1)+IF(G88=W88,0,1)+IF(H88=X88,0,1)</x:f>
        <x:v>0</x:v>
      </x:c>
      <x:c r="O88" s="186" t="n">
        <x:f>IF(A88="",0,IF(E88="",B88,0))</x:f>
        <x:v>1182000</x:v>
      </x:c>
      <x:c r="P88" s="187"/>
      <x:c r="Q88" s="179" t="str">
        <x:v>SYN-LN-00081</x:v>
      </x:c>
      <x:c r="R88" s="179" t="n">
        <x:v>1182000</x:v>
      </x:c>
      <x:c r="S88" s="179" t="str">
        <x:v>B</x:v>
      </x:c>
      <x:c r="T88" s="179" t="str">
        <x:v>development_proxy</x:v>
      </x:c>
      <x:c r="U88" s="179" t="str"/>
      <x:c r="V88" s="179" t="n">
        <x:v>0.75</x:v>
      </x:c>
      <x:c r="W88" s="179" t="str">
        <x:v>development_assumption</x:v>
      </x:c>
      <x:c r="X8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89" ht="107" customHeight="1">
      <x:c r="A89" s="179" t="str">
        <x:v>SYN-LN-00082</x:v>
      </x:c>
      <x:c r="B89" s="180" t="n">
        <x:f>IF(A89="","",SUMIF('Portfolio Inputs'!A8:A289,A89,'Portfolio Inputs'!D8:D289))</x:f>
        <x:v>1182000</x:v>
      </x:c>
      <x:c r="C89" s="179" t="str">
        <x:v>B</x:v>
      </x:c>
      <x:c r="D89" s="181" t="str">
        <x:v>development_proxy</x:v>
      </x:c>
      <x:c r="E89" s="181" t="str"/>
      <x:c r="F89" s="182" t="n">
        <x:v>0.75</x:v>
      </x:c>
      <x:c r="G89" s="181" t="str">
        <x:v>development_assumption</x:v>
      </x:c>
      <x:c r="H8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89" s="183" t="n">
        <x:f>IF(AND(C89&lt;&gt;"",OR(D89="public_fitch_idr",D89="reviewed_appendix5_equivalent",D89="development_proxy"),H89&lt;&gt;""),VLOOKUP(C89,Fitch_WARF_Factors,2,FALSE),"")</x:f>
        <x:v>23.671</x:v>
      </x:c>
      <x:c r="J89" s="184" t="n">
        <x:f>IF(ISNUMBER(I89),B89*I89,0)</x:f>
        <x:v>27979122</x:v>
      </x:c>
      <x:c r="K89" s="184" t="n">
        <x:f>IF(AND(A89&lt;&gt;"",M89=0),B89*F89,0)</x:f>
        <x:v>886500</x:v>
      </x:c>
      <x:c r="L89" s="184" t="n">
        <x:f>IF(A89="",0,IF(ISNUMBER(I89),0,B89))</x:f>
        <x:v>0</x:v>
      </x:c>
      <x:c r="M89" s="185" t="n">
        <x:f>IF(A89="",0,IF(AND(ISNUMBER(F89),F89&gt;=0,F89&lt;=1,OR(G89="fitch_issue_recovery_estimate",G89="fitch_issue_recovery_rating",G89="reviewed_bbsf_fallback",G89="development_assumption"),H89&lt;&gt;""),0,B89))</x:f>
        <x:v>0</x:v>
      </x:c>
      <x:c r="N89" s="186" t="n">
        <x:f>IF(A89=Q89,0,1)+IF(B89=R89,0,1)+IF(C89=S89,0,1)+IF(D89=T89,0,1)+IF(E89=U89,0,1)+IF(F89=V89,0,1)+IF(G89=W89,0,1)+IF(H89=X89,0,1)</x:f>
        <x:v>0</x:v>
      </x:c>
      <x:c r="O89" s="186" t="n">
        <x:f>IF(A89="",0,IF(E89="",B89,0))</x:f>
        <x:v>1182000</x:v>
      </x:c>
      <x:c r="P89" s="187"/>
      <x:c r="Q89" s="179" t="str">
        <x:v>SYN-LN-00082</x:v>
      </x:c>
      <x:c r="R89" s="179" t="n">
        <x:v>1182000</x:v>
      </x:c>
      <x:c r="S89" s="179" t="str">
        <x:v>B</x:v>
      </x:c>
      <x:c r="T89" s="179" t="str">
        <x:v>development_proxy</x:v>
      </x:c>
      <x:c r="U89" s="179" t="str"/>
      <x:c r="V89" s="179" t="n">
        <x:v>0.75</x:v>
      </x:c>
      <x:c r="W89" s="179" t="str">
        <x:v>development_assumption</x:v>
      </x:c>
      <x:c r="X8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90" ht="107" customHeight="1">
      <x:c r="A90" s="179" t="str">
        <x:v>SYN-LN-00083</x:v>
      </x:c>
      <x:c r="B90" s="180" t="n">
        <x:f>IF(A90="","",SUMIF('Portfolio Inputs'!A8:A289,A90,'Portfolio Inputs'!D8:D289))</x:f>
        <x:v>1182000</x:v>
      </x:c>
      <x:c r="C90" s="179" t="str">
        <x:v>B-</x:v>
      </x:c>
      <x:c r="D90" s="181" t="str">
        <x:v>development_proxy</x:v>
      </x:c>
      <x:c r="E90" s="181" t="str"/>
      <x:c r="F90" s="182" t="n">
        <x:v>0.75</x:v>
      </x:c>
      <x:c r="G90" s="181" t="str">
        <x:v>development_assumption</x:v>
      </x:c>
      <x:c r="H9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90" s="183" t="n">
        <x:f>IF(AND(C90&lt;&gt;"",OR(D90="public_fitch_idr",D90="reviewed_appendix5_equivalent",D90="development_proxy"),H90&lt;&gt;""),VLOOKUP(C90,Fitch_WARF_Factors,2,FALSE),"")</x:f>
        <x:v>32.221</x:v>
      </x:c>
      <x:c r="J90" s="184" t="n">
        <x:f>IF(ISNUMBER(I90),B90*I90,0)</x:f>
        <x:v>38085221.99999999</x:v>
      </x:c>
      <x:c r="K90" s="184" t="n">
        <x:f>IF(AND(A90&lt;&gt;"",M90=0),B90*F90,0)</x:f>
        <x:v>886500</x:v>
      </x:c>
      <x:c r="L90" s="184" t="n">
        <x:f>IF(A90="",0,IF(ISNUMBER(I90),0,B90))</x:f>
        <x:v>0</x:v>
      </x:c>
      <x:c r="M90" s="185" t="n">
        <x:f>IF(A90="",0,IF(AND(ISNUMBER(F90),F90&gt;=0,F90&lt;=1,OR(G90="fitch_issue_recovery_estimate",G90="fitch_issue_recovery_rating",G90="reviewed_bbsf_fallback",G90="development_assumption"),H90&lt;&gt;""),0,B90))</x:f>
        <x:v>0</x:v>
      </x:c>
      <x:c r="N90" s="186" t="n">
        <x:f>IF(A90=Q90,0,1)+IF(B90=R90,0,1)+IF(C90=S90,0,1)+IF(D90=T90,0,1)+IF(E90=U90,0,1)+IF(F90=V90,0,1)+IF(G90=W90,0,1)+IF(H90=X90,0,1)</x:f>
        <x:v>0</x:v>
      </x:c>
      <x:c r="O90" s="186" t="n">
        <x:f>IF(A90="",0,IF(E90="",B90,0))</x:f>
        <x:v>1182000</x:v>
      </x:c>
      <x:c r="P90" s="187"/>
      <x:c r="Q90" s="179" t="str">
        <x:v>SYN-LN-00083</x:v>
      </x:c>
      <x:c r="R90" s="179" t="n">
        <x:v>1182000</x:v>
      </x:c>
      <x:c r="S90" s="179" t="str">
        <x:v>B-</x:v>
      </x:c>
      <x:c r="T90" s="179" t="str">
        <x:v>development_proxy</x:v>
      </x:c>
      <x:c r="U90" s="179" t="str"/>
      <x:c r="V90" s="179" t="n">
        <x:v>0.75</x:v>
      </x:c>
      <x:c r="W90" s="179" t="str">
        <x:v>development_assumption</x:v>
      </x:c>
      <x:c r="X9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91" ht="107" customHeight="1">
      <x:c r="A91" s="179" t="str">
        <x:v>SYN-LN-00084</x:v>
      </x:c>
      <x:c r="B91" s="180" t="n">
        <x:f>IF(A91="","",SUMIF('Portfolio Inputs'!A8:A289,A91,'Portfolio Inputs'!D8:D289))</x:f>
        <x:v>1182000</x:v>
      </x:c>
      <x:c r="C91" s="179" t="str">
        <x:v>BB</x:v>
      </x:c>
      <x:c r="D91" s="181" t="str">
        <x:v>development_proxy</x:v>
      </x:c>
      <x:c r="E91" s="181" t="str"/>
      <x:c r="F91" s="182" t="n">
        <x:v>0.75</x:v>
      </x:c>
      <x:c r="G91" s="181" t="str">
        <x:v>development_assumption</x:v>
      </x:c>
      <x:c r="H9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91" s="183" t="n">
        <x:f>IF(AND(C91&lt;&gt;"",OR(D91="public_fitch_idr",D91="reviewed_appendix5_equivalent",D91="development_proxy"),H91&lt;&gt;""),VLOOKUP(C91,Fitch_WARF_Factors,2,FALSE),"")</x:f>
        <x:v>11.844</x:v>
      </x:c>
      <x:c r="J91" s="184" t="n">
        <x:f>IF(ISNUMBER(I91),B91*I91,0)</x:f>
        <x:v>13999608</x:v>
      </x:c>
      <x:c r="K91" s="184" t="n">
        <x:f>IF(AND(A91&lt;&gt;"",M91=0),B91*F91,0)</x:f>
        <x:v>886500</x:v>
      </x:c>
      <x:c r="L91" s="184" t="n">
        <x:f>IF(A91="",0,IF(ISNUMBER(I91),0,B91))</x:f>
        <x:v>0</x:v>
      </x:c>
      <x:c r="M91" s="185" t="n">
        <x:f>IF(A91="",0,IF(AND(ISNUMBER(F91),F91&gt;=0,F91&lt;=1,OR(G91="fitch_issue_recovery_estimate",G91="fitch_issue_recovery_rating",G91="reviewed_bbsf_fallback",G91="development_assumption"),H91&lt;&gt;""),0,B91))</x:f>
        <x:v>0</x:v>
      </x:c>
      <x:c r="N91" s="186" t="n">
        <x:f>IF(A91=Q91,0,1)+IF(B91=R91,0,1)+IF(C91=S91,0,1)+IF(D91=T91,0,1)+IF(E91=U91,0,1)+IF(F91=V91,0,1)+IF(G91=W91,0,1)+IF(H91=X91,0,1)</x:f>
        <x:v>0</x:v>
      </x:c>
      <x:c r="O91" s="186" t="n">
        <x:f>IF(A91="",0,IF(E91="",B91,0))</x:f>
        <x:v>1182000</x:v>
      </x:c>
      <x:c r="P91" s="187"/>
      <x:c r="Q91" s="179" t="str">
        <x:v>SYN-LN-00084</x:v>
      </x:c>
      <x:c r="R91" s="179" t="n">
        <x:v>1182000</x:v>
      </x:c>
      <x:c r="S91" s="179" t="str">
        <x:v>BB</x:v>
      </x:c>
      <x:c r="T91" s="179" t="str">
        <x:v>development_proxy</x:v>
      </x:c>
      <x:c r="U91" s="179" t="str"/>
      <x:c r="V91" s="179" t="n">
        <x:v>0.75</x:v>
      </x:c>
      <x:c r="W91" s="179" t="str">
        <x:v>development_assumption</x:v>
      </x:c>
      <x:c r="X9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92" ht="107" customHeight="1">
      <x:c r="A92" s="179" t="str">
        <x:v>SYN-LN-00085</x:v>
      </x:c>
      <x:c r="B92" s="180" t="n">
        <x:f>IF(A92="","",SUMIF('Portfolio Inputs'!A8:A289,A92,'Portfolio Inputs'!D8:D289))</x:f>
        <x:v>630000</x:v>
      </x:c>
      <x:c r="C92" s="179" t="str">
        <x:v>BBB-</x:v>
      </x:c>
      <x:c r="D92" s="181" t="str">
        <x:v>development_proxy</x:v>
      </x:c>
      <x:c r="E92" s="181" t="str"/>
      <x:c r="F92" s="182" t="n">
        <x:v>0.65</x:v>
      </x:c>
      <x:c r="G92" s="181" t="str">
        <x:v>development_assumption</x:v>
      </x:c>
      <x:c r="H92" s="181" t="str">
        <x:v>FICTIONAL DEVELOPMENT: copied S&amp;P symbol as Fitch IDR-equivalency proxy; no Fitch rating or Appendix 5 review. Assumed first-lien facility is senior secured loan with no issue recovery opinion; Netherlands Group 2; Fitch June 1 2026 Appendix 4 pp42-43 and Appendix 6 pp47-48 BBsf Strong fallback.</x:v>
      </x:c>
      <x:c r="I92" s="183" t="n">
        <x:f>IF(AND(C92&lt;&gt;"",OR(D92="public_fitch_idr",D92="reviewed_appendix5_equivalent",D92="development_proxy"),H92&lt;&gt;""),VLOOKUP(C92,Fitch_WARF_Factors,2,FALSE),"")</x:f>
        <x:v>6.039</x:v>
      </x:c>
      <x:c r="J92" s="184" t="n">
        <x:f>IF(ISNUMBER(I92),B92*I92,0)</x:f>
        <x:v>3804570</x:v>
      </x:c>
      <x:c r="K92" s="184" t="n">
        <x:f>IF(AND(A92&lt;&gt;"",M92=0),B92*F92,0)</x:f>
        <x:v>409500</x:v>
      </x:c>
      <x:c r="L92" s="184" t="n">
        <x:f>IF(A92="",0,IF(ISNUMBER(I92),0,B92))</x:f>
        <x:v>0</x:v>
      </x:c>
      <x:c r="M92" s="185" t="n">
        <x:f>IF(A92="",0,IF(AND(ISNUMBER(F92),F92&gt;=0,F92&lt;=1,OR(G92="fitch_issue_recovery_estimate",G92="fitch_issue_recovery_rating",G92="reviewed_bbsf_fallback",G92="development_assumption"),H92&lt;&gt;""),0,B92))</x:f>
        <x:v>0</x:v>
      </x:c>
      <x:c r="N92" s="186" t="n">
        <x:f>IF(A92=Q92,0,1)+IF(B92=R92,0,1)+IF(C92=S92,0,1)+IF(D92=T92,0,1)+IF(E92=U92,0,1)+IF(F92=V92,0,1)+IF(G92=W92,0,1)+IF(H92=X92,0,1)</x:f>
        <x:v>0</x:v>
      </x:c>
      <x:c r="O92" s="186" t="n">
        <x:f>IF(A92="",0,IF(E92="",B92,0))</x:f>
        <x:v>630000</x:v>
      </x:c>
      <x:c r="P92" s="187"/>
      <x:c r="Q92" s="179" t="str">
        <x:v>SYN-LN-00085</x:v>
      </x:c>
      <x:c r="R92" s="179" t="n">
        <x:v>630000</x:v>
      </x:c>
      <x:c r="S92" s="179" t="str">
        <x:v>BBB-</x:v>
      </x:c>
      <x:c r="T92" s="179" t="str">
        <x:v>development_proxy</x:v>
      </x:c>
      <x:c r="U92" s="179" t="str"/>
      <x:c r="V92" s="179" t="n">
        <x:v>0.65</x:v>
      </x:c>
      <x:c r="W92" s="179" t="str">
        <x:v>development_assumption</x:v>
      </x:c>
      <x:c r="X92" s="179" t="str">
        <x:v>FICTIONAL DEVELOPMENT: copied S&amp;P symbol as Fitch IDR-equivalency proxy; no Fitch rating or Appendix 5 review. Assumed first-lien facility is senior secured loan with no issue recovery opinion; Netherlands Group 2; Fitch June 1 2026 Appendix 4 pp42-43 and Appendix 6 pp47-48 BBsf Strong fallback.</x:v>
      </x:c>
    </x:row>
    <x:row r="93" ht="107" customHeight="1">
      <x:c r="A93" s="179" t="str">
        <x:v>SYN-LN-00086</x:v>
      </x:c>
      <x:c r="B93" s="180" t="n">
        <x:f>IF(A93="","",SUMIF('Portfolio Inputs'!A8:A289,A93,'Portfolio Inputs'!D8:D289))</x:f>
        <x:v>1182000</x:v>
      </x:c>
      <x:c r="C93" s="179" t="str">
        <x:v>BB+</x:v>
      </x:c>
      <x:c r="D93" s="181" t="str">
        <x:v>development_proxy</x:v>
      </x:c>
      <x:c r="E93" s="181" t="str"/>
      <x:c r="F93" s="182" t="n">
        <x:v>0.75</x:v>
      </x:c>
      <x:c r="G93" s="181" t="str">
        <x:v>development_assumption</x:v>
      </x:c>
      <x:c r="H9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93" s="183" t="n">
        <x:f>IF(AND(C93&lt;&gt;"",OR(D93="public_fitch_idr",D93="reviewed_appendix5_equivalent",D93="development_proxy"),H93&lt;&gt;""),VLOOKUP(C93,Fitch_WARF_Factors,2,FALSE),"")</x:f>
        <x:v>8.903</x:v>
      </x:c>
      <x:c r="J93" s="184" t="n">
        <x:f>IF(ISNUMBER(I93),B93*I93,0)</x:f>
        <x:v>10523346</x:v>
      </x:c>
      <x:c r="K93" s="184" t="n">
        <x:f>IF(AND(A93&lt;&gt;"",M93=0),B93*F93,0)</x:f>
        <x:v>886500</x:v>
      </x:c>
      <x:c r="L93" s="184" t="n">
        <x:f>IF(A93="",0,IF(ISNUMBER(I93),0,B93))</x:f>
        <x:v>0</x:v>
      </x:c>
      <x:c r="M93" s="185" t="n">
        <x:f>IF(A93="",0,IF(AND(ISNUMBER(F93),F93&gt;=0,F93&lt;=1,OR(G93="fitch_issue_recovery_estimate",G93="fitch_issue_recovery_rating",G93="reviewed_bbsf_fallback",G93="development_assumption"),H93&lt;&gt;""),0,B93))</x:f>
        <x:v>0</x:v>
      </x:c>
      <x:c r="N93" s="186" t="n">
        <x:f>IF(A93=Q93,0,1)+IF(B93=R93,0,1)+IF(C93=S93,0,1)+IF(D93=T93,0,1)+IF(E93=U93,0,1)+IF(F93=V93,0,1)+IF(G93=W93,0,1)+IF(H93=X93,0,1)</x:f>
        <x:v>0</x:v>
      </x:c>
      <x:c r="O93" s="186" t="n">
        <x:f>IF(A93="",0,IF(E93="",B93,0))</x:f>
        <x:v>1182000</x:v>
      </x:c>
      <x:c r="P93" s="187"/>
      <x:c r="Q93" s="179" t="str">
        <x:v>SYN-LN-00086</x:v>
      </x:c>
      <x:c r="R93" s="179" t="n">
        <x:v>1182000</x:v>
      </x:c>
      <x:c r="S93" s="179" t="str">
        <x:v>BB+</x:v>
      </x:c>
      <x:c r="T93" s="179" t="str">
        <x:v>development_proxy</x:v>
      </x:c>
      <x:c r="U93" s="179" t="str"/>
      <x:c r="V93" s="179" t="n">
        <x:v>0.75</x:v>
      </x:c>
      <x:c r="W93" s="179" t="str">
        <x:v>development_assumption</x:v>
      </x:c>
      <x:c r="X9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94" ht="107" customHeight="1">
      <x:c r="A94" s="179" t="str">
        <x:v>SYN-LN-00087</x:v>
      </x:c>
      <x:c r="B94" s="180" t="n">
        <x:f>IF(A94="","",SUMIF('Portfolio Inputs'!A8:A289,A94,'Portfolio Inputs'!D8:D289))</x:f>
        <x:v>630000</x:v>
      </x:c>
      <x:c r="C94" s="179" t="str">
        <x:v>BB+</x:v>
      </x:c>
      <x:c r="D94" s="181" t="str">
        <x:v>development_proxy</x:v>
      </x:c>
      <x:c r="E94" s="181" t="str"/>
      <x:c r="F94" s="182" t="n">
        <x:v>0.65</x:v>
      </x:c>
      <x:c r="G94" s="181" t="str">
        <x:v>development_assumption</x:v>
      </x:c>
      <x:c r="H94" s="181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  <x:c r="I94" s="183" t="n">
        <x:f>IF(AND(C94&lt;&gt;"",OR(D94="public_fitch_idr",D94="reviewed_appendix5_equivalent",D94="development_proxy"),H94&lt;&gt;""),VLOOKUP(C94,Fitch_WARF_Factors,2,FALSE),"")</x:f>
        <x:v>8.903</x:v>
      </x:c>
      <x:c r="J94" s="184" t="n">
        <x:f>IF(ISNUMBER(I94),B94*I94,0)</x:f>
        <x:v>5608890</x:v>
      </x:c>
      <x:c r="K94" s="184" t="n">
        <x:f>IF(AND(A94&lt;&gt;"",M94=0),B94*F94,0)</x:f>
        <x:v>409500</x:v>
      </x:c>
      <x:c r="L94" s="184" t="n">
        <x:f>IF(A94="",0,IF(ISNUMBER(I94),0,B94))</x:f>
        <x:v>0</x:v>
      </x:c>
      <x:c r="M94" s="185" t="n">
        <x:f>IF(A94="",0,IF(AND(ISNUMBER(F94),F94&gt;=0,F94&lt;=1,OR(G94="fitch_issue_recovery_estimate",G94="fitch_issue_recovery_rating",G94="reviewed_bbsf_fallback",G94="development_assumption"),H94&lt;&gt;""),0,B94))</x:f>
        <x:v>0</x:v>
      </x:c>
      <x:c r="N94" s="186" t="n">
        <x:f>IF(A94=Q94,0,1)+IF(B94=R94,0,1)+IF(C94=S94,0,1)+IF(D94=T94,0,1)+IF(E94=U94,0,1)+IF(F94=V94,0,1)+IF(G94=W94,0,1)+IF(H94=X94,0,1)</x:f>
        <x:v>0</x:v>
      </x:c>
      <x:c r="O94" s="186" t="n">
        <x:f>IF(A94="",0,IF(E94="",B94,0))</x:f>
        <x:v>630000</x:v>
      </x:c>
      <x:c r="P94" s="187"/>
      <x:c r="Q94" s="179" t="str">
        <x:v>SYN-LN-00087</x:v>
      </x:c>
      <x:c r="R94" s="179" t="n">
        <x:v>630000</x:v>
      </x:c>
      <x:c r="S94" s="179" t="str">
        <x:v>BB+</x:v>
      </x:c>
      <x:c r="T94" s="179" t="str">
        <x:v>development_proxy</x:v>
      </x:c>
      <x:c r="U94" s="179" t="str"/>
      <x:c r="V94" s="179" t="n">
        <x:v>0.65</x:v>
      </x:c>
      <x:c r="W94" s="179" t="str">
        <x:v>development_assumption</x:v>
      </x:c>
      <x:c r="X94" s="179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</x:row>
    <x:row r="95" ht="107" customHeight="1">
      <x:c r="A95" s="179" t="str">
        <x:v>SYN-LN-00088</x:v>
      </x:c>
      <x:c r="B95" s="180" t="n">
        <x:f>IF(A95="","",SUMIF('Portfolio Inputs'!A8:A289,A95,'Portfolio Inputs'!D8:D289))</x:f>
        <x:v>1182000</x:v>
      </x:c>
      <x:c r="C95" s="179" t="str">
        <x:v>B</x:v>
      </x:c>
      <x:c r="D95" s="181" t="str">
        <x:v>development_proxy</x:v>
      </x:c>
      <x:c r="E95" s="181" t="str"/>
      <x:c r="F95" s="182" t="n">
        <x:v>0.75</x:v>
      </x:c>
      <x:c r="G95" s="181" t="str">
        <x:v>development_assumption</x:v>
      </x:c>
      <x:c r="H9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95" s="183" t="n">
        <x:f>IF(AND(C95&lt;&gt;"",OR(D95="public_fitch_idr",D95="reviewed_appendix5_equivalent",D95="development_proxy"),H95&lt;&gt;""),VLOOKUP(C95,Fitch_WARF_Factors,2,FALSE),"")</x:f>
        <x:v>23.671</x:v>
      </x:c>
      <x:c r="J95" s="184" t="n">
        <x:f>IF(ISNUMBER(I95),B95*I95,0)</x:f>
        <x:v>27979122</x:v>
      </x:c>
      <x:c r="K95" s="184" t="n">
        <x:f>IF(AND(A95&lt;&gt;"",M95=0),B95*F95,0)</x:f>
        <x:v>886500</x:v>
      </x:c>
      <x:c r="L95" s="184" t="n">
        <x:f>IF(A95="",0,IF(ISNUMBER(I95),0,B95))</x:f>
        <x:v>0</x:v>
      </x:c>
      <x:c r="M95" s="185" t="n">
        <x:f>IF(A95="",0,IF(AND(ISNUMBER(F95),F95&gt;=0,F95&lt;=1,OR(G95="fitch_issue_recovery_estimate",G95="fitch_issue_recovery_rating",G95="reviewed_bbsf_fallback",G95="development_assumption"),H95&lt;&gt;""),0,B95))</x:f>
        <x:v>0</x:v>
      </x:c>
      <x:c r="N95" s="186" t="n">
        <x:f>IF(A95=Q95,0,1)+IF(B95=R95,0,1)+IF(C95=S95,0,1)+IF(D95=T95,0,1)+IF(E95=U95,0,1)+IF(F95=V95,0,1)+IF(G95=W95,0,1)+IF(H95=X95,0,1)</x:f>
        <x:v>0</x:v>
      </x:c>
      <x:c r="O95" s="186" t="n">
        <x:f>IF(A95="",0,IF(E95="",B95,0))</x:f>
        <x:v>1182000</x:v>
      </x:c>
      <x:c r="P95" s="187"/>
      <x:c r="Q95" s="179" t="str">
        <x:v>SYN-LN-00088</x:v>
      </x:c>
      <x:c r="R95" s="179" t="n">
        <x:v>1182000</x:v>
      </x:c>
      <x:c r="S95" s="179" t="str">
        <x:v>B</x:v>
      </x:c>
      <x:c r="T95" s="179" t="str">
        <x:v>development_proxy</x:v>
      </x:c>
      <x:c r="U95" s="179" t="str"/>
      <x:c r="V95" s="179" t="n">
        <x:v>0.75</x:v>
      </x:c>
      <x:c r="W95" s="179" t="str">
        <x:v>development_assumption</x:v>
      </x:c>
      <x:c r="X9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96" ht="107" customHeight="1">
      <x:c r="A96" s="179" t="str">
        <x:v>SYN-LN-00089</x:v>
      </x:c>
      <x:c r="B96" s="180" t="n">
        <x:f>IF(A96="","",SUMIF('Portfolio Inputs'!A8:A289,A96,'Portfolio Inputs'!D8:D289))</x:f>
        <x:v>1182000</x:v>
      </x:c>
      <x:c r="C96" s="179" t="str">
        <x:v>BB</x:v>
      </x:c>
      <x:c r="D96" s="181" t="str">
        <x:v>development_proxy</x:v>
      </x:c>
      <x:c r="E96" s="181" t="str"/>
      <x:c r="F96" s="182" t="n">
        <x:v>0.75</x:v>
      </x:c>
      <x:c r="G96" s="181" t="str">
        <x:v>development_assumption</x:v>
      </x:c>
      <x:c r="H9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96" s="183" t="n">
        <x:f>IF(AND(C96&lt;&gt;"",OR(D96="public_fitch_idr",D96="reviewed_appendix5_equivalent",D96="development_proxy"),H96&lt;&gt;""),VLOOKUP(C96,Fitch_WARF_Factors,2,FALSE),"")</x:f>
        <x:v>11.844</x:v>
      </x:c>
      <x:c r="J96" s="184" t="n">
        <x:f>IF(ISNUMBER(I96),B96*I96,0)</x:f>
        <x:v>13999608</x:v>
      </x:c>
      <x:c r="K96" s="184" t="n">
        <x:f>IF(AND(A96&lt;&gt;"",M96=0),B96*F96,0)</x:f>
        <x:v>886500</x:v>
      </x:c>
      <x:c r="L96" s="184" t="n">
        <x:f>IF(A96="",0,IF(ISNUMBER(I96),0,B96))</x:f>
        <x:v>0</x:v>
      </x:c>
      <x:c r="M96" s="185" t="n">
        <x:f>IF(A96="",0,IF(AND(ISNUMBER(F96),F96&gt;=0,F96&lt;=1,OR(G96="fitch_issue_recovery_estimate",G96="fitch_issue_recovery_rating",G96="reviewed_bbsf_fallback",G96="development_assumption"),H96&lt;&gt;""),0,B96))</x:f>
        <x:v>0</x:v>
      </x:c>
      <x:c r="N96" s="186" t="n">
        <x:f>IF(A96=Q96,0,1)+IF(B96=R96,0,1)+IF(C96=S96,0,1)+IF(D96=T96,0,1)+IF(E96=U96,0,1)+IF(F96=V96,0,1)+IF(G96=W96,0,1)+IF(H96=X96,0,1)</x:f>
        <x:v>0</x:v>
      </x:c>
      <x:c r="O96" s="186" t="n">
        <x:f>IF(A96="",0,IF(E96="",B96,0))</x:f>
        <x:v>1182000</x:v>
      </x:c>
      <x:c r="P96" s="187"/>
      <x:c r="Q96" s="179" t="str">
        <x:v>SYN-LN-00089</x:v>
      </x:c>
      <x:c r="R96" s="179" t="n">
        <x:v>1182000</x:v>
      </x:c>
      <x:c r="S96" s="179" t="str">
        <x:v>BB</x:v>
      </x:c>
      <x:c r="T96" s="179" t="str">
        <x:v>development_proxy</x:v>
      </x:c>
      <x:c r="U96" s="179" t="str"/>
      <x:c r="V96" s="179" t="n">
        <x:v>0.75</x:v>
      </x:c>
      <x:c r="W96" s="179" t="str">
        <x:v>development_assumption</x:v>
      </x:c>
      <x:c r="X9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97" ht="107" customHeight="1">
      <x:c r="A97" s="179" t="str">
        <x:v>SYN-LN-00090</x:v>
      </x:c>
      <x:c r="B97" s="180" t="n">
        <x:f>IF(A97="","",SUMIF('Portfolio Inputs'!A8:A289,A97,'Portfolio Inputs'!D8:D289))</x:f>
        <x:v>1182000</x:v>
      </x:c>
      <x:c r="C97" s="179" t="str">
        <x:v>B+</x:v>
      </x:c>
      <x:c r="D97" s="181" t="str">
        <x:v>development_proxy</x:v>
      </x:c>
      <x:c r="E97" s="181" t="str"/>
      <x:c r="F97" s="182" t="n">
        <x:v>0.75</x:v>
      </x:c>
      <x:c r="G97" s="181" t="str">
        <x:v>development_assumption</x:v>
      </x:c>
      <x:c r="H9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97" s="183" t="n">
        <x:f>IF(AND(C97&lt;&gt;"",OR(D97="public_fitch_idr",D97="reviewed_appendix5_equivalent",D97="development_proxy"),H97&lt;&gt;""),VLOOKUP(C97,Fitch_WARF_Factors,2,FALSE),"")</x:f>
        <x:v>19.627</x:v>
      </x:c>
      <x:c r="J97" s="184" t="n">
        <x:f>IF(ISNUMBER(I97),B97*I97,0)</x:f>
        <x:v>23199114</x:v>
      </x:c>
      <x:c r="K97" s="184" t="n">
        <x:f>IF(AND(A97&lt;&gt;"",M97=0),B97*F97,0)</x:f>
        <x:v>886500</x:v>
      </x:c>
      <x:c r="L97" s="184" t="n">
        <x:f>IF(A97="",0,IF(ISNUMBER(I97),0,B97))</x:f>
        <x:v>0</x:v>
      </x:c>
      <x:c r="M97" s="185" t="n">
        <x:f>IF(A97="",0,IF(AND(ISNUMBER(F97),F97&gt;=0,F97&lt;=1,OR(G97="fitch_issue_recovery_estimate",G97="fitch_issue_recovery_rating",G97="reviewed_bbsf_fallback",G97="development_assumption"),H97&lt;&gt;""),0,B97))</x:f>
        <x:v>0</x:v>
      </x:c>
      <x:c r="N97" s="186" t="n">
        <x:f>IF(A97=Q97,0,1)+IF(B97=R97,0,1)+IF(C97=S97,0,1)+IF(D97=T97,0,1)+IF(E97=U97,0,1)+IF(F97=V97,0,1)+IF(G97=W97,0,1)+IF(H97=X97,0,1)</x:f>
        <x:v>0</x:v>
      </x:c>
      <x:c r="O97" s="186" t="n">
        <x:f>IF(A97="",0,IF(E97="",B97,0))</x:f>
        <x:v>1182000</x:v>
      </x:c>
      <x:c r="P97" s="187"/>
      <x:c r="Q97" s="179" t="str">
        <x:v>SYN-LN-00090</x:v>
      </x:c>
      <x:c r="R97" s="179" t="n">
        <x:v>1182000</x:v>
      </x:c>
      <x:c r="S97" s="179" t="str">
        <x:v>B+</x:v>
      </x:c>
      <x:c r="T97" s="179" t="str">
        <x:v>development_proxy</x:v>
      </x:c>
      <x:c r="U97" s="179" t="str"/>
      <x:c r="V97" s="179" t="n">
        <x:v>0.75</x:v>
      </x:c>
      <x:c r="W97" s="179" t="str">
        <x:v>development_assumption</x:v>
      </x:c>
      <x:c r="X9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98" ht="107" customHeight="1">
      <x:c r="A98" s="179" t="str">
        <x:v>SYN-LN-00091</x:v>
      </x:c>
      <x:c r="B98" s="180" t="n">
        <x:f>IF(A98="","",SUMIF('Portfolio Inputs'!A8:A289,A98,'Portfolio Inputs'!D8:D289))</x:f>
        <x:v>630000</x:v>
      </x:c>
      <x:c r="C98" s="179" t="str">
        <x:v>BBB-</x:v>
      </x:c>
      <x:c r="D98" s="181" t="str">
        <x:v>development_proxy</x:v>
      </x:c>
      <x:c r="E98" s="181" t="str"/>
      <x:c r="F98" s="182"/>
      <x:c r="G98" s="181" t="str"/>
      <x:c r="H98" s="181" t="str">
        <x:v>FICTIONAL DEVELOPMENT: copied S&amp;P symbol as Fitch IDR-equivalency proxy; no Fitch rating or Appendix 5 review.</x:v>
      </x:c>
      <x:c r="I98" s="183" t="n">
        <x:f>IF(AND(C98&lt;&gt;"",OR(D98="public_fitch_idr",D98="reviewed_appendix5_equivalent",D98="development_proxy"),H98&lt;&gt;""),VLOOKUP(C98,Fitch_WARF_Factors,2,FALSE),"")</x:f>
        <x:v>6.039</x:v>
      </x:c>
      <x:c r="J98" s="184" t="n">
        <x:f>IF(ISNUMBER(I98),B98*I98,0)</x:f>
        <x:v>3804570</x:v>
      </x:c>
      <x:c r="K98" s="184" t="n">
        <x:f>IF(AND(A98&lt;&gt;"",M98=0),B98*F98,0)</x:f>
        <x:v>0</x:v>
      </x:c>
      <x:c r="L98" s="184" t="n">
        <x:f>IF(A98="",0,IF(ISNUMBER(I98),0,B98))</x:f>
        <x:v>0</x:v>
      </x:c>
      <x:c r="M98" s="185" t="n">
        <x:f>IF(A98="",0,IF(AND(ISNUMBER(F98),F98&gt;=0,F98&lt;=1,OR(G98="fitch_issue_recovery_estimate",G98="fitch_issue_recovery_rating",G98="reviewed_bbsf_fallback",G98="development_assumption"),H98&lt;&gt;""),0,B98))</x:f>
        <x:v>630000</x:v>
      </x:c>
      <x:c r="N98" s="186" t="n">
        <x:f>IF(A98=Q98,0,1)+IF(B98=R98,0,1)+IF(C98=S98,0,1)+IF(D98=T98,0,1)+IF(E98=U98,0,1)+IF(F98=V98,0,1)+IF(G98=W98,0,1)+IF(H98=X98,0,1)</x:f>
        <x:v>0</x:v>
      </x:c>
      <x:c r="O98" s="186" t="n">
        <x:f>IF(A98="",0,IF(E98="",B98,0))</x:f>
        <x:v>630000</x:v>
      </x:c>
      <x:c r="P98" s="187"/>
      <x:c r="Q98" s="179" t="str">
        <x:v>SYN-LN-00091</x:v>
      </x:c>
      <x:c r="R98" s="179" t="n">
        <x:v>630000</x:v>
      </x:c>
      <x:c r="S98" s="179" t="str">
        <x:v>BBB-</x:v>
      </x:c>
      <x:c r="T98" s="179" t="str">
        <x:v>development_proxy</x:v>
      </x:c>
      <x:c r="U98" s="179" t="str"/>
      <x:c r="V98" s="179"/>
      <x:c r="W98" s="179" t="str"/>
      <x:c r="X98" s="179" t="str">
        <x:v>FICTIONAL DEVELOPMENT: copied S&amp;P symbol as Fitch IDR-equivalency proxy; no Fitch rating or Appendix 5 review.</x:v>
      </x:c>
    </x:row>
    <x:row r="99" ht="107" customHeight="1">
      <x:c r="A99" s="179" t="str">
        <x:v>SYN-LN-00092</x:v>
      </x:c>
      <x:c r="B99" s="180" t="n">
        <x:f>IF(A99="","",SUMIF('Portfolio Inputs'!A8:A289,A99,'Portfolio Inputs'!D8:D289))</x:f>
        <x:v>1182000</x:v>
      </x:c>
      <x:c r="C99" s="179" t="str">
        <x:v>BB</x:v>
      </x:c>
      <x:c r="D99" s="181" t="str">
        <x:v>development_proxy</x:v>
      </x:c>
      <x:c r="E99" s="181" t="str"/>
      <x:c r="F99" s="182" t="n">
        <x:v>0.75</x:v>
      </x:c>
      <x:c r="G99" s="181" t="str">
        <x:v>development_assumption</x:v>
      </x:c>
      <x:c r="H9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99" s="183" t="n">
        <x:f>IF(AND(C99&lt;&gt;"",OR(D99="public_fitch_idr",D99="reviewed_appendix5_equivalent",D99="development_proxy"),H99&lt;&gt;""),VLOOKUP(C99,Fitch_WARF_Factors,2,FALSE),"")</x:f>
        <x:v>11.844</x:v>
      </x:c>
      <x:c r="J99" s="184" t="n">
        <x:f>IF(ISNUMBER(I99),B99*I99,0)</x:f>
        <x:v>13999608</x:v>
      </x:c>
      <x:c r="K99" s="184" t="n">
        <x:f>IF(AND(A99&lt;&gt;"",M99=0),B99*F99,0)</x:f>
        <x:v>886500</x:v>
      </x:c>
      <x:c r="L99" s="184" t="n">
        <x:f>IF(A99="",0,IF(ISNUMBER(I99),0,B99))</x:f>
        <x:v>0</x:v>
      </x:c>
      <x:c r="M99" s="185" t="n">
        <x:f>IF(A99="",0,IF(AND(ISNUMBER(F99),F99&gt;=0,F99&lt;=1,OR(G99="fitch_issue_recovery_estimate",G99="fitch_issue_recovery_rating",G99="reviewed_bbsf_fallback",G99="development_assumption"),H99&lt;&gt;""),0,B99))</x:f>
        <x:v>0</x:v>
      </x:c>
      <x:c r="N99" s="186" t="n">
        <x:f>IF(A99=Q99,0,1)+IF(B99=R99,0,1)+IF(C99=S99,0,1)+IF(D99=T99,0,1)+IF(E99=U99,0,1)+IF(F99=V99,0,1)+IF(G99=W99,0,1)+IF(H99=X99,0,1)</x:f>
        <x:v>0</x:v>
      </x:c>
      <x:c r="O99" s="186" t="n">
        <x:f>IF(A99="",0,IF(E99="",B99,0))</x:f>
        <x:v>1182000</x:v>
      </x:c>
      <x:c r="P99" s="187"/>
      <x:c r="Q99" s="179" t="str">
        <x:v>SYN-LN-00092</x:v>
      </x:c>
      <x:c r="R99" s="179" t="n">
        <x:v>1182000</x:v>
      </x:c>
      <x:c r="S99" s="179" t="str">
        <x:v>BB</x:v>
      </x:c>
      <x:c r="T99" s="179" t="str">
        <x:v>development_proxy</x:v>
      </x:c>
      <x:c r="U99" s="179" t="str"/>
      <x:c r="V99" s="179" t="n">
        <x:v>0.75</x:v>
      </x:c>
      <x:c r="W99" s="179" t="str">
        <x:v>development_assumption</x:v>
      </x:c>
      <x:c r="X9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00" ht="107" customHeight="1">
      <x:c r="A100" s="179" t="str">
        <x:v>SYN-LN-00093</x:v>
      </x:c>
      <x:c r="B100" s="180" t="n">
        <x:f>IF(A100="","",SUMIF('Portfolio Inputs'!A8:A289,A100,'Portfolio Inputs'!D8:D289))</x:f>
        <x:v>1182000</x:v>
      </x:c>
      <x:c r="C100" s="179" t="str">
        <x:v>B</x:v>
      </x:c>
      <x:c r="D100" s="181" t="str">
        <x:v>development_proxy</x:v>
      </x:c>
      <x:c r="E100" s="181" t="str"/>
      <x:c r="F100" s="182" t="n">
        <x:v>0.75</x:v>
      </x:c>
      <x:c r="G100" s="181" t="str">
        <x:v>development_assumption</x:v>
      </x:c>
      <x:c r="H10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00" s="183" t="n">
        <x:f>IF(AND(C100&lt;&gt;"",OR(D100="public_fitch_idr",D100="reviewed_appendix5_equivalent",D100="development_proxy"),H100&lt;&gt;""),VLOOKUP(C100,Fitch_WARF_Factors,2,FALSE),"")</x:f>
        <x:v>23.671</x:v>
      </x:c>
      <x:c r="J100" s="184" t="n">
        <x:f>IF(ISNUMBER(I100),B100*I100,0)</x:f>
        <x:v>27979122</x:v>
      </x:c>
      <x:c r="K100" s="184" t="n">
        <x:f>IF(AND(A100&lt;&gt;"",M100=0),B100*F100,0)</x:f>
        <x:v>886500</x:v>
      </x:c>
      <x:c r="L100" s="184" t="n">
        <x:f>IF(A100="",0,IF(ISNUMBER(I100),0,B100))</x:f>
        <x:v>0</x:v>
      </x:c>
      <x:c r="M100" s="185" t="n">
        <x:f>IF(A100="",0,IF(AND(ISNUMBER(F100),F100&gt;=0,F100&lt;=1,OR(G100="fitch_issue_recovery_estimate",G100="fitch_issue_recovery_rating",G100="reviewed_bbsf_fallback",G100="development_assumption"),H100&lt;&gt;""),0,B100))</x:f>
        <x:v>0</x:v>
      </x:c>
      <x:c r="N100" s="186" t="n">
        <x:f>IF(A100=Q100,0,1)+IF(B100=R100,0,1)+IF(C100=S100,0,1)+IF(D100=T100,0,1)+IF(E100=U100,0,1)+IF(F100=V100,0,1)+IF(G100=W100,0,1)+IF(H100=X100,0,1)</x:f>
        <x:v>0</x:v>
      </x:c>
      <x:c r="O100" s="186" t="n">
        <x:f>IF(A100="",0,IF(E100="",B100,0))</x:f>
        <x:v>1182000</x:v>
      </x:c>
      <x:c r="P100" s="187"/>
      <x:c r="Q100" s="179" t="str">
        <x:v>SYN-LN-00093</x:v>
      </x:c>
      <x:c r="R100" s="179" t="n">
        <x:v>1182000</x:v>
      </x:c>
      <x:c r="S100" s="179" t="str">
        <x:v>B</x:v>
      </x:c>
      <x:c r="T100" s="179" t="str">
        <x:v>development_proxy</x:v>
      </x:c>
      <x:c r="U100" s="179" t="str"/>
      <x:c r="V100" s="179" t="n">
        <x:v>0.75</x:v>
      </x:c>
      <x:c r="W100" s="179" t="str">
        <x:v>development_assumption</x:v>
      </x:c>
      <x:c r="X10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01" ht="107" customHeight="1">
      <x:c r="A101" s="179" t="str">
        <x:v>SYN-LN-00094</x:v>
      </x:c>
      <x:c r="B101" s="180" t="n">
        <x:f>IF(A101="","",SUMIF('Portfolio Inputs'!A8:A289,A101,'Portfolio Inputs'!D8:D289))</x:f>
        <x:v>1182000</x:v>
      </x:c>
      <x:c r="C101" s="179" t="str">
        <x:v>B</x:v>
      </x:c>
      <x:c r="D101" s="181" t="str">
        <x:v>development_proxy</x:v>
      </x:c>
      <x:c r="E101" s="181" t="str"/>
      <x:c r="F101" s="182" t="n">
        <x:v>0.75</x:v>
      </x:c>
      <x:c r="G101" s="181" t="str">
        <x:v>development_assumption</x:v>
      </x:c>
      <x:c r="H10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01" s="183" t="n">
        <x:f>IF(AND(C101&lt;&gt;"",OR(D101="public_fitch_idr",D101="reviewed_appendix5_equivalent",D101="development_proxy"),H101&lt;&gt;""),VLOOKUP(C101,Fitch_WARF_Factors,2,FALSE),"")</x:f>
        <x:v>23.671</x:v>
      </x:c>
      <x:c r="J101" s="184" t="n">
        <x:f>IF(ISNUMBER(I101),B101*I101,0)</x:f>
        <x:v>27979122</x:v>
      </x:c>
      <x:c r="K101" s="184" t="n">
        <x:f>IF(AND(A101&lt;&gt;"",M101=0),B101*F101,0)</x:f>
        <x:v>886500</x:v>
      </x:c>
      <x:c r="L101" s="184" t="n">
        <x:f>IF(A101="",0,IF(ISNUMBER(I101),0,B101))</x:f>
        <x:v>0</x:v>
      </x:c>
      <x:c r="M101" s="185" t="n">
        <x:f>IF(A101="",0,IF(AND(ISNUMBER(F101),F101&gt;=0,F101&lt;=1,OR(G101="fitch_issue_recovery_estimate",G101="fitch_issue_recovery_rating",G101="reviewed_bbsf_fallback",G101="development_assumption"),H101&lt;&gt;""),0,B101))</x:f>
        <x:v>0</x:v>
      </x:c>
      <x:c r="N101" s="186" t="n">
        <x:f>IF(A101=Q101,0,1)+IF(B101=R101,0,1)+IF(C101=S101,0,1)+IF(D101=T101,0,1)+IF(E101=U101,0,1)+IF(F101=V101,0,1)+IF(G101=W101,0,1)+IF(H101=X101,0,1)</x:f>
        <x:v>0</x:v>
      </x:c>
      <x:c r="O101" s="186" t="n">
        <x:f>IF(A101="",0,IF(E101="",B101,0))</x:f>
        <x:v>1182000</x:v>
      </x:c>
      <x:c r="P101" s="187"/>
      <x:c r="Q101" s="179" t="str">
        <x:v>SYN-LN-00094</x:v>
      </x:c>
      <x:c r="R101" s="179" t="n">
        <x:v>1182000</x:v>
      </x:c>
      <x:c r="S101" s="179" t="str">
        <x:v>B</x:v>
      </x:c>
      <x:c r="T101" s="179" t="str">
        <x:v>development_proxy</x:v>
      </x:c>
      <x:c r="U101" s="179" t="str"/>
      <x:c r="V101" s="179" t="n">
        <x:v>0.75</x:v>
      </x:c>
      <x:c r="W101" s="179" t="str">
        <x:v>development_assumption</x:v>
      </x:c>
      <x:c r="X10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02" ht="107" customHeight="1">
      <x:c r="A102" s="179" t="str">
        <x:v>SYN-LN-00095</x:v>
      </x:c>
      <x:c r="B102" s="180" t="n">
        <x:f>IF(A102="","",SUMIF('Portfolio Inputs'!A8:A289,A102,'Portfolio Inputs'!D8:D289))</x:f>
        <x:v>630000</x:v>
      </x:c>
      <x:c r="C102" s="179" t="str">
        <x:v>B+</x:v>
      </x:c>
      <x:c r="D102" s="181" t="str">
        <x:v>development_proxy</x:v>
      </x:c>
      <x:c r="E102" s="181" t="str"/>
      <x:c r="F102" s="182" t="n">
        <x:v>0.65</x:v>
      </x:c>
      <x:c r="G102" s="181" t="str">
        <x:v>development_assumption</x:v>
      </x:c>
      <x:c r="H102" s="181" t="str">
        <x:v>FICTIONAL DEVELOPMENT: copied S&amp;P symbol as Fitch IDR-equivalency proxy; no Fitch rating or Appendix 5 review. Assumed first-lien facility is senior secured loan with no issue recovery opinion; Germany Group 2; Fitch June 1 2026 Appendix 4 pp42-43 and Appendix 6 pp47-48 BBsf Strong fallback.</x:v>
      </x:c>
      <x:c r="I102" s="183" t="n">
        <x:f>IF(AND(C102&lt;&gt;"",OR(D102="public_fitch_idr",D102="reviewed_appendix5_equivalent",D102="development_proxy"),H102&lt;&gt;""),VLOOKUP(C102,Fitch_WARF_Factors,2,FALSE),"")</x:f>
        <x:v>19.627</x:v>
      </x:c>
      <x:c r="J102" s="184" t="n">
        <x:f>IF(ISNUMBER(I102),B102*I102,0)</x:f>
        <x:v>12365010</x:v>
      </x:c>
      <x:c r="K102" s="184" t="n">
        <x:f>IF(AND(A102&lt;&gt;"",M102=0),B102*F102,0)</x:f>
        <x:v>409500</x:v>
      </x:c>
      <x:c r="L102" s="184" t="n">
        <x:f>IF(A102="",0,IF(ISNUMBER(I102),0,B102))</x:f>
        <x:v>0</x:v>
      </x:c>
      <x:c r="M102" s="185" t="n">
        <x:f>IF(A102="",0,IF(AND(ISNUMBER(F102),F102&gt;=0,F102&lt;=1,OR(G102="fitch_issue_recovery_estimate",G102="fitch_issue_recovery_rating",G102="reviewed_bbsf_fallback",G102="development_assumption"),H102&lt;&gt;""),0,B102))</x:f>
        <x:v>0</x:v>
      </x:c>
      <x:c r="N102" s="186" t="n">
        <x:f>IF(A102=Q102,0,1)+IF(B102=R102,0,1)+IF(C102=S102,0,1)+IF(D102=T102,0,1)+IF(E102=U102,0,1)+IF(F102=V102,0,1)+IF(G102=W102,0,1)+IF(H102=X102,0,1)</x:f>
        <x:v>0</x:v>
      </x:c>
      <x:c r="O102" s="186" t="n">
        <x:f>IF(A102="",0,IF(E102="",B102,0))</x:f>
        <x:v>630000</x:v>
      </x:c>
      <x:c r="P102" s="187"/>
      <x:c r="Q102" s="179" t="str">
        <x:v>SYN-LN-00095</x:v>
      </x:c>
      <x:c r="R102" s="179" t="n">
        <x:v>630000</x:v>
      </x:c>
      <x:c r="S102" s="179" t="str">
        <x:v>B+</x:v>
      </x:c>
      <x:c r="T102" s="179" t="str">
        <x:v>development_proxy</x:v>
      </x:c>
      <x:c r="U102" s="179" t="str"/>
      <x:c r="V102" s="179" t="n">
        <x:v>0.65</x:v>
      </x:c>
      <x:c r="W102" s="179" t="str">
        <x:v>development_assumption</x:v>
      </x:c>
      <x:c r="X102" s="179" t="str">
        <x:v>FICTIONAL DEVELOPMENT: copied S&amp;P symbol as Fitch IDR-equivalency proxy; no Fitch rating or Appendix 5 review. Assumed first-lien facility is senior secured loan with no issue recovery opinion; Germany Group 2; Fitch June 1 2026 Appendix 4 pp42-43 and Appendix 6 pp47-48 BBsf Strong fallback.</x:v>
      </x:c>
    </x:row>
    <x:row r="103" ht="107" customHeight="1">
      <x:c r="A103" s="179" t="str">
        <x:v>SYN-LN-00096</x:v>
      </x:c>
      <x:c r="B103" s="180" t="n">
        <x:f>IF(A103="","",SUMIF('Portfolio Inputs'!A8:A289,A103,'Portfolio Inputs'!D8:D289))</x:f>
        <x:v>1182000</x:v>
      </x:c>
      <x:c r="C103" s="179" t="str">
        <x:v>B-</x:v>
      </x:c>
      <x:c r="D103" s="181" t="str">
        <x:v>development_proxy</x:v>
      </x:c>
      <x:c r="E103" s="181" t="str"/>
      <x:c r="F103" s="182" t="n">
        <x:v>0.75</x:v>
      </x:c>
      <x:c r="G103" s="181" t="str">
        <x:v>development_assumption</x:v>
      </x:c>
      <x:c r="H10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03" s="183" t="n">
        <x:f>IF(AND(C103&lt;&gt;"",OR(D103="public_fitch_idr",D103="reviewed_appendix5_equivalent",D103="development_proxy"),H103&lt;&gt;""),VLOOKUP(C103,Fitch_WARF_Factors,2,FALSE),"")</x:f>
        <x:v>32.221</x:v>
      </x:c>
      <x:c r="J103" s="184" t="n">
        <x:f>IF(ISNUMBER(I103),B103*I103,0)</x:f>
        <x:v>38085221.99999999</x:v>
      </x:c>
      <x:c r="K103" s="184" t="n">
        <x:f>IF(AND(A103&lt;&gt;"",M103=0),B103*F103,0)</x:f>
        <x:v>886500</x:v>
      </x:c>
      <x:c r="L103" s="184" t="n">
        <x:f>IF(A103="",0,IF(ISNUMBER(I103),0,B103))</x:f>
        <x:v>0</x:v>
      </x:c>
      <x:c r="M103" s="185" t="n">
        <x:f>IF(A103="",0,IF(AND(ISNUMBER(F103),F103&gt;=0,F103&lt;=1,OR(G103="fitch_issue_recovery_estimate",G103="fitch_issue_recovery_rating",G103="reviewed_bbsf_fallback",G103="development_assumption"),H103&lt;&gt;""),0,B103))</x:f>
        <x:v>0</x:v>
      </x:c>
      <x:c r="N103" s="186" t="n">
        <x:f>IF(A103=Q103,0,1)+IF(B103=R103,0,1)+IF(C103=S103,0,1)+IF(D103=T103,0,1)+IF(E103=U103,0,1)+IF(F103=V103,0,1)+IF(G103=W103,0,1)+IF(H103=X103,0,1)</x:f>
        <x:v>0</x:v>
      </x:c>
      <x:c r="O103" s="186" t="n">
        <x:f>IF(A103="",0,IF(E103="",B103,0))</x:f>
        <x:v>1182000</x:v>
      </x:c>
      <x:c r="P103" s="187"/>
      <x:c r="Q103" s="179" t="str">
        <x:v>SYN-LN-00096</x:v>
      </x:c>
      <x:c r="R103" s="179" t="n">
        <x:v>1182000</x:v>
      </x:c>
      <x:c r="S103" s="179" t="str">
        <x:v>B-</x:v>
      </x:c>
      <x:c r="T103" s="179" t="str">
        <x:v>development_proxy</x:v>
      </x:c>
      <x:c r="U103" s="179" t="str"/>
      <x:c r="V103" s="179" t="n">
        <x:v>0.75</x:v>
      </x:c>
      <x:c r="W103" s="179" t="str">
        <x:v>development_assumption</x:v>
      </x:c>
      <x:c r="X10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04" ht="107" customHeight="1">
      <x:c r="A104" s="179" t="str">
        <x:v>SYN-LN-00097</x:v>
      </x:c>
      <x:c r="B104" s="180" t="n">
        <x:f>IF(A104="","",SUMIF('Portfolio Inputs'!A8:A289,A104,'Portfolio Inputs'!D8:D289))</x:f>
        <x:v>770000</x:v>
      </x:c>
      <x:c r="C104" s="179" t="str">
        <x:v>BB-</x:v>
      </x:c>
      <x:c r="D104" s="181" t="str">
        <x:v>development_proxy</x:v>
      </x:c>
      <x:c r="E104" s="181" t="str"/>
      <x:c r="F104" s="182" t="n">
        <x:v>0.75</x:v>
      </x:c>
      <x:c r="G104" s="181" t="str">
        <x:v>development_assumption</x:v>
      </x:c>
      <x:c r="H10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04" s="183" t="n">
        <x:f>IF(AND(C104&lt;&gt;"",OR(D104="public_fitch_idr",D104="reviewed_appendix5_equivalent",D104="development_proxy"),H104&lt;&gt;""),VLOOKUP(C104,Fitch_WARF_Factors,2,FALSE),"")</x:f>
        <x:v>15.733</x:v>
      </x:c>
      <x:c r="J104" s="184" t="n">
        <x:f>IF(ISNUMBER(I104),B104*I104,0)</x:f>
        <x:v>12114410</x:v>
      </x:c>
      <x:c r="K104" s="184" t="n">
        <x:f>IF(AND(A104&lt;&gt;"",M104=0),B104*F104,0)</x:f>
        <x:v>577500</x:v>
      </x:c>
      <x:c r="L104" s="184" t="n">
        <x:f>IF(A104="",0,IF(ISNUMBER(I104),0,B104))</x:f>
        <x:v>0</x:v>
      </x:c>
      <x:c r="M104" s="185" t="n">
        <x:f>IF(A104="",0,IF(AND(ISNUMBER(F104),F104&gt;=0,F104&lt;=1,OR(G104="fitch_issue_recovery_estimate",G104="fitch_issue_recovery_rating",G104="reviewed_bbsf_fallback",G104="development_assumption"),H104&lt;&gt;""),0,B104))</x:f>
        <x:v>0</x:v>
      </x:c>
      <x:c r="N104" s="186" t="n">
        <x:f>IF(A104=Q104,0,1)+IF(B104=R104,0,1)+IF(C104=S104,0,1)+IF(D104=T104,0,1)+IF(E104=U104,0,1)+IF(F104=V104,0,1)+IF(G104=W104,0,1)+IF(H104=X104,0,1)</x:f>
        <x:v>0</x:v>
      </x:c>
      <x:c r="O104" s="186" t="n">
        <x:f>IF(A104="",0,IF(E104="",B104,0))</x:f>
        <x:v>770000</x:v>
      </x:c>
      <x:c r="P104" s="187"/>
      <x:c r="Q104" s="179" t="str">
        <x:v>SYN-LN-00097</x:v>
      </x:c>
      <x:c r="R104" s="179" t="n">
        <x:v>770000</x:v>
      </x:c>
      <x:c r="S104" s="179" t="str">
        <x:v>BB-</x:v>
      </x:c>
      <x:c r="T104" s="179" t="str">
        <x:v>development_proxy</x:v>
      </x:c>
      <x:c r="U104" s="179" t="str"/>
      <x:c r="V104" s="179" t="n">
        <x:v>0.75</x:v>
      </x:c>
      <x:c r="W104" s="179" t="str">
        <x:v>development_assumption</x:v>
      </x:c>
      <x:c r="X10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05" ht="107" customHeight="1">
      <x:c r="A105" s="179" t="str">
        <x:v>SYN-LN-00098</x:v>
      </x:c>
      <x:c r="B105" s="180" t="n">
        <x:f>IF(A105="","",SUMIF('Portfolio Inputs'!A8:A289,A105,'Portfolio Inputs'!D8:D289))</x:f>
        <x:v>412000</x:v>
      </x:c>
      <x:c r="C105" s="179" t="str">
        <x:v>BB-</x:v>
      </x:c>
      <x:c r="D105" s="181" t="str">
        <x:v>development_proxy</x:v>
      </x:c>
      <x:c r="E105" s="181" t="str"/>
      <x:c r="F105" s="182" t="n">
        <x:v>0.75</x:v>
      </x:c>
      <x:c r="G105" s="181" t="str">
        <x:v>development_assumption</x:v>
      </x:c>
      <x:c r="H10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05" s="183" t="n">
        <x:f>IF(AND(C105&lt;&gt;"",OR(D105="public_fitch_idr",D105="reviewed_appendix5_equivalent",D105="development_proxy"),H105&lt;&gt;""),VLOOKUP(C105,Fitch_WARF_Factors,2,FALSE),"")</x:f>
        <x:v>15.733</x:v>
      </x:c>
      <x:c r="J105" s="184" t="n">
        <x:f>IF(ISNUMBER(I105),B105*I105,0)</x:f>
        <x:v>6481996</x:v>
      </x:c>
      <x:c r="K105" s="184" t="n">
        <x:f>IF(AND(A105&lt;&gt;"",M105=0),B105*F105,0)</x:f>
        <x:v>309000</x:v>
      </x:c>
      <x:c r="L105" s="184" t="n">
        <x:f>IF(A105="",0,IF(ISNUMBER(I105),0,B105))</x:f>
        <x:v>0</x:v>
      </x:c>
      <x:c r="M105" s="185" t="n">
        <x:f>IF(A105="",0,IF(AND(ISNUMBER(F105),F105&gt;=0,F105&lt;=1,OR(G105="fitch_issue_recovery_estimate",G105="fitch_issue_recovery_rating",G105="reviewed_bbsf_fallback",G105="development_assumption"),H105&lt;&gt;""),0,B105))</x:f>
        <x:v>0</x:v>
      </x:c>
      <x:c r="N105" s="186" t="n">
        <x:f>IF(A105=Q105,0,1)+IF(B105=R105,0,1)+IF(C105=S105,0,1)+IF(D105=T105,0,1)+IF(E105=U105,0,1)+IF(F105=V105,0,1)+IF(G105=W105,0,1)+IF(H105=X105,0,1)</x:f>
        <x:v>0</x:v>
      </x:c>
      <x:c r="O105" s="186" t="n">
        <x:f>IF(A105="",0,IF(E105="",B105,0))</x:f>
        <x:v>412000</x:v>
      </x:c>
      <x:c r="P105" s="187"/>
      <x:c r="Q105" s="179" t="str">
        <x:v>SYN-LN-00098</x:v>
      </x:c>
      <x:c r="R105" s="179" t="n">
        <x:v>412000</x:v>
      </x:c>
      <x:c r="S105" s="179" t="str">
        <x:v>BB-</x:v>
      </x:c>
      <x:c r="T105" s="179" t="str">
        <x:v>development_proxy</x:v>
      </x:c>
      <x:c r="U105" s="179" t="str"/>
      <x:c r="V105" s="179" t="n">
        <x:v>0.75</x:v>
      </x:c>
      <x:c r="W105" s="179" t="str">
        <x:v>development_assumption</x:v>
      </x:c>
      <x:c r="X10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06" ht="107" customHeight="1">
      <x:c r="A106" s="179" t="str">
        <x:v>SYN-LN-00099</x:v>
      </x:c>
      <x:c r="B106" s="180" t="n">
        <x:f>IF(A106="","",SUMIF('Portfolio Inputs'!A8:A289,A106,'Portfolio Inputs'!D8:D289))</x:f>
        <x:v>1182000</x:v>
      </x:c>
      <x:c r="C106" s="179" t="str">
        <x:v>BB+</x:v>
      </x:c>
      <x:c r="D106" s="181" t="str">
        <x:v>development_proxy</x:v>
      </x:c>
      <x:c r="E106" s="181" t="str"/>
      <x:c r="F106" s="182" t="n">
        <x:v>0.65</x:v>
      </x:c>
      <x:c r="G106" s="181" t="str">
        <x:v>development_assumption</x:v>
      </x:c>
      <x:c r="H106" s="181" t="str">
        <x:v>FICTIONAL DEVELOPMENT: copied S&amp;P symbol as Fitch IDR-equivalency proxy; no Fitch rating or Appendix 5 review. Assumed first-lien facility is senior secured loan with no issue recovery opinion; Luxembourg Group 2; Fitch June 1 2026 Appendix 4 pp42-43 and Appendix 6 pp47-48 BBsf Strong fallback.</x:v>
      </x:c>
      <x:c r="I106" s="183" t="n">
        <x:f>IF(AND(C106&lt;&gt;"",OR(D106="public_fitch_idr",D106="reviewed_appendix5_equivalent",D106="development_proxy"),H106&lt;&gt;""),VLOOKUP(C106,Fitch_WARF_Factors,2,FALSE),"")</x:f>
        <x:v>8.903</x:v>
      </x:c>
      <x:c r="J106" s="184" t="n">
        <x:f>IF(ISNUMBER(I106),B106*I106,0)</x:f>
        <x:v>10523346</x:v>
      </x:c>
      <x:c r="K106" s="184" t="n">
        <x:f>IF(AND(A106&lt;&gt;"",M106=0),B106*F106,0)</x:f>
        <x:v>768300</x:v>
      </x:c>
      <x:c r="L106" s="184" t="n">
        <x:f>IF(A106="",0,IF(ISNUMBER(I106),0,B106))</x:f>
        <x:v>0</x:v>
      </x:c>
      <x:c r="M106" s="185" t="n">
        <x:f>IF(A106="",0,IF(AND(ISNUMBER(F106),F106&gt;=0,F106&lt;=1,OR(G106="fitch_issue_recovery_estimate",G106="fitch_issue_recovery_rating",G106="reviewed_bbsf_fallback",G106="development_assumption"),H106&lt;&gt;""),0,B106))</x:f>
        <x:v>0</x:v>
      </x:c>
      <x:c r="N106" s="186" t="n">
        <x:f>IF(A106=Q106,0,1)+IF(B106=R106,0,1)+IF(C106=S106,0,1)+IF(D106=T106,0,1)+IF(E106=U106,0,1)+IF(F106=V106,0,1)+IF(G106=W106,0,1)+IF(H106=X106,0,1)</x:f>
        <x:v>0</x:v>
      </x:c>
      <x:c r="O106" s="186" t="n">
        <x:f>IF(A106="",0,IF(E106="",B106,0))</x:f>
        <x:v>1182000</x:v>
      </x:c>
      <x:c r="P106" s="187"/>
      <x:c r="Q106" s="179" t="str">
        <x:v>SYN-LN-00099</x:v>
      </x:c>
      <x:c r="R106" s="179" t="n">
        <x:v>1182000</x:v>
      </x:c>
      <x:c r="S106" s="179" t="str">
        <x:v>BB+</x:v>
      </x:c>
      <x:c r="T106" s="179" t="str">
        <x:v>development_proxy</x:v>
      </x:c>
      <x:c r="U106" s="179" t="str"/>
      <x:c r="V106" s="179" t="n">
        <x:v>0.65</x:v>
      </x:c>
      <x:c r="W106" s="179" t="str">
        <x:v>development_assumption</x:v>
      </x:c>
      <x:c r="X106" s="179" t="str">
        <x:v>FICTIONAL DEVELOPMENT: copied S&amp;P symbol as Fitch IDR-equivalency proxy; no Fitch rating or Appendix 5 review. Assumed first-lien facility is senior secured loan with no issue recovery opinion; Luxembourg Group 2; Fitch June 1 2026 Appendix 4 pp42-43 and Appendix 6 pp47-48 BBsf Strong fallback.</x:v>
      </x:c>
    </x:row>
    <x:row r="107" ht="107" customHeight="1">
      <x:c r="A107" s="179" t="str">
        <x:v>SYN-LN-00100</x:v>
      </x:c>
      <x:c r="B107" s="180" t="n">
        <x:f>IF(A107="","",SUMIF('Portfolio Inputs'!A8:A289,A107,'Portfolio Inputs'!D8:D289))</x:f>
        <x:v>1182000</x:v>
      </x:c>
      <x:c r="C107" s="179" t="str">
        <x:v>B</x:v>
      </x:c>
      <x:c r="D107" s="181" t="str">
        <x:v>development_proxy</x:v>
      </x:c>
      <x:c r="E107" s="181" t="str"/>
      <x:c r="F107" s="182" t="n">
        <x:v>0.65</x:v>
      </x:c>
      <x:c r="G107" s="181" t="str">
        <x:v>development_assumption</x:v>
      </x:c>
      <x:c r="H107" s="181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  <x:c r="I107" s="183" t="n">
        <x:f>IF(AND(C107&lt;&gt;"",OR(D107="public_fitch_idr",D107="reviewed_appendix5_equivalent",D107="development_proxy"),H107&lt;&gt;""),VLOOKUP(C107,Fitch_WARF_Factors,2,FALSE),"")</x:f>
        <x:v>23.671</x:v>
      </x:c>
      <x:c r="J107" s="184" t="n">
        <x:f>IF(ISNUMBER(I107),B107*I107,0)</x:f>
        <x:v>27979122</x:v>
      </x:c>
      <x:c r="K107" s="184" t="n">
        <x:f>IF(AND(A107&lt;&gt;"",M107=0),B107*F107,0)</x:f>
        <x:v>768300</x:v>
      </x:c>
      <x:c r="L107" s="184" t="n">
        <x:f>IF(A107="",0,IF(ISNUMBER(I107),0,B107))</x:f>
        <x:v>0</x:v>
      </x:c>
      <x:c r="M107" s="185" t="n">
        <x:f>IF(A107="",0,IF(AND(ISNUMBER(F107),F107&gt;=0,F107&lt;=1,OR(G107="fitch_issue_recovery_estimate",G107="fitch_issue_recovery_rating",G107="reviewed_bbsf_fallback",G107="development_assumption"),H107&lt;&gt;""),0,B107))</x:f>
        <x:v>0</x:v>
      </x:c>
      <x:c r="N107" s="186" t="n">
        <x:f>IF(A107=Q107,0,1)+IF(B107=R107,0,1)+IF(C107=S107,0,1)+IF(D107=T107,0,1)+IF(E107=U107,0,1)+IF(F107=V107,0,1)+IF(G107=W107,0,1)+IF(H107=X107,0,1)</x:f>
        <x:v>0</x:v>
      </x:c>
      <x:c r="O107" s="186" t="n">
        <x:f>IF(A107="",0,IF(E107="",B107,0))</x:f>
        <x:v>1182000</x:v>
      </x:c>
      <x:c r="P107" s="187"/>
      <x:c r="Q107" s="179" t="str">
        <x:v>SYN-LN-00100</x:v>
      </x:c>
      <x:c r="R107" s="179" t="n">
        <x:v>1182000</x:v>
      </x:c>
      <x:c r="S107" s="179" t="str">
        <x:v>B</x:v>
      </x:c>
      <x:c r="T107" s="179" t="str">
        <x:v>development_proxy</x:v>
      </x:c>
      <x:c r="U107" s="179" t="str"/>
      <x:c r="V107" s="179" t="n">
        <x:v>0.65</x:v>
      </x:c>
      <x:c r="W107" s="179" t="str">
        <x:v>development_assumption</x:v>
      </x:c>
      <x:c r="X107" s="179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</x:row>
    <x:row r="108" ht="107" customHeight="1">
      <x:c r="A108" s="179" t="str">
        <x:v>SYN-LN-00101</x:v>
      </x:c>
      <x:c r="B108" s="180" t="n">
        <x:f>IF(A108="","",SUMIF('Portfolio Inputs'!A8:A289,A108,'Portfolio Inputs'!D8:D289))</x:f>
        <x:v>1182000</x:v>
      </x:c>
      <x:c r="C108" s="179" t="str">
        <x:v>B</x:v>
      </x:c>
      <x:c r="D108" s="181" t="str">
        <x:v>development_proxy</x:v>
      </x:c>
      <x:c r="E108" s="181" t="str"/>
      <x:c r="F108" s="182" t="n">
        <x:v>0.75</x:v>
      </x:c>
      <x:c r="G108" s="181" t="str">
        <x:v>development_assumption</x:v>
      </x:c>
      <x:c r="H10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08" s="183" t="n">
        <x:f>IF(AND(C108&lt;&gt;"",OR(D108="public_fitch_idr",D108="reviewed_appendix5_equivalent",D108="development_proxy"),H108&lt;&gt;""),VLOOKUP(C108,Fitch_WARF_Factors,2,FALSE),"")</x:f>
        <x:v>23.671</x:v>
      </x:c>
      <x:c r="J108" s="184" t="n">
        <x:f>IF(ISNUMBER(I108),B108*I108,0)</x:f>
        <x:v>27979122</x:v>
      </x:c>
      <x:c r="K108" s="184" t="n">
        <x:f>IF(AND(A108&lt;&gt;"",M108=0),B108*F108,0)</x:f>
        <x:v>886500</x:v>
      </x:c>
      <x:c r="L108" s="184" t="n">
        <x:f>IF(A108="",0,IF(ISNUMBER(I108),0,B108))</x:f>
        <x:v>0</x:v>
      </x:c>
      <x:c r="M108" s="185" t="n">
        <x:f>IF(A108="",0,IF(AND(ISNUMBER(F108),F108&gt;=0,F108&lt;=1,OR(G108="fitch_issue_recovery_estimate",G108="fitch_issue_recovery_rating",G108="reviewed_bbsf_fallback",G108="development_assumption"),H108&lt;&gt;""),0,B108))</x:f>
        <x:v>0</x:v>
      </x:c>
      <x:c r="N108" s="186" t="n">
        <x:f>IF(A108=Q108,0,1)+IF(B108=R108,0,1)+IF(C108=S108,0,1)+IF(D108=T108,0,1)+IF(E108=U108,0,1)+IF(F108=V108,0,1)+IF(G108=W108,0,1)+IF(H108=X108,0,1)</x:f>
        <x:v>0</x:v>
      </x:c>
      <x:c r="O108" s="186" t="n">
        <x:f>IF(A108="",0,IF(E108="",B108,0))</x:f>
        <x:v>1182000</x:v>
      </x:c>
      <x:c r="P108" s="187"/>
      <x:c r="Q108" s="179" t="str">
        <x:v>SYN-LN-00101</x:v>
      </x:c>
      <x:c r="R108" s="179" t="n">
        <x:v>1182000</x:v>
      </x:c>
      <x:c r="S108" s="179" t="str">
        <x:v>B</x:v>
      </x:c>
      <x:c r="T108" s="179" t="str">
        <x:v>development_proxy</x:v>
      </x:c>
      <x:c r="U108" s="179" t="str"/>
      <x:c r="V108" s="179" t="n">
        <x:v>0.75</x:v>
      </x:c>
      <x:c r="W108" s="179" t="str">
        <x:v>development_assumption</x:v>
      </x:c>
      <x:c r="X10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09" ht="107" customHeight="1">
      <x:c r="A109" s="179" t="str">
        <x:v>SYN-LN-00102</x:v>
      </x:c>
      <x:c r="B109" s="180" t="n">
        <x:f>IF(A109="","",SUMIF('Portfolio Inputs'!A8:A289,A109,'Portfolio Inputs'!D8:D289))</x:f>
        <x:v>1182000</x:v>
      </x:c>
      <x:c r="C109" s="179" t="str">
        <x:v>BB</x:v>
      </x:c>
      <x:c r="D109" s="181" t="str">
        <x:v>development_proxy</x:v>
      </x:c>
      <x:c r="E109" s="181" t="str"/>
      <x:c r="F109" s="182" t="n">
        <x:v>0.75</x:v>
      </x:c>
      <x:c r="G109" s="181" t="str">
        <x:v>development_assumption</x:v>
      </x:c>
      <x:c r="H10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09" s="183" t="n">
        <x:f>IF(AND(C109&lt;&gt;"",OR(D109="public_fitch_idr",D109="reviewed_appendix5_equivalent",D109="development_proxy"),H109&lt;&gt;""),VLOOKUP(C109,Fitch_WARF_Factors,2,FALSE),"")</x:f>
        <x:v>11.844</x:v>
      </x:c>
      <x:c r="J109" s="184" t="n">
        <x:f>IF(ISNUMBER(I109),B109*I109,0)</x:f>
        <x:v>13999608</x:v>
      </x:c>
      <x:c r="K109" s="184" t="n">
        <x:f>IF(AND(A109&lt;&gt;"",M109=0),B109*F109,0)</x:f>
        <x:v>886500</x:v>
      </x:c>
      <x:c r="L109" s="184" t="n">
        <x:f>IF(A109="",0,IF(ISNUMBER(I109),0,B109))</x:f>
        <x:v>0</x:v>
      </x:c>
      <x:c r="M109" s="185" t="n">
        <x:f>IF(A109="",0,IF(AND(ISNUMBER(F109),F109&gt;=0,F109&lt;=1,OR(G109="fitch_issue_recovery_estimate",G109="fitch_issue_recovery_rating",G109="reviewed_bbsf_fallback",G109="development_assumption"),H109&lt;&gt;""),0,B109))</x:f>
        <x:v>0</x:v>
      </x:c>
      <x:c r="N109" s="186" t="n">
        <x:f>IF(A109=Q109,0,1)+IF(B109=R109,0,1)+IF(C109=S109,0,1)+IF(D109=T109,0,1)+IF(E109=U109,0,1)+IF(F109=V109,0,1)+IF(G109=W109,0,1)+IF(H109=X109,0,1)</x:f>
        <x:v>0</x:v>
      </x:c>
      <x:c r="O109" s="186" t="n">
        <x:f>IF(A109="",0,IF(E109="",B109,0))</x:f>
        <x:v>1182000</x:v>
      </x:c>
      <x:c r="P109" s="187"/>
      <x:c r="Q109" s="179" t="str">
        <x:v>SYN-LN-00102</x:v>
      </x:c>
      <x:c r="R109" s="179" t="n">
        <x:v>1182000</x:v>
      </x:c>
      <x:c r="S109" s="179" t="str">
        <x:v>BB</x:v>
      </x:c>
      <x:c r="T109" s="179" t="str">
        <x:v>development_proxy</x:v>
      </x:c>
      <x:c r="U109" s="179" t="str"/>
      <x:c r="V109" s="179" t="n">
        <x:v>0.75</x:v>
      </x:c>
      <x:c r="W109" s="179" t="str">
        <x:v>development_assumption</x:v>
      </x:c>
      <x:c r="X10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10" ht="107" customHeight="1">
      <x:c r="A110" s="179" t="str">
        <x:v>SYN-LN-00103</x:v>
      </x:c>
      <x:c r="B110" s="180" t="n">
        <x:f>IF(A110="","",SUMIF('Portfolio Inputs'!A8:A289,A110,'Portfolio Inputs'!D8:D289))</x:f>
        <x:v>1182000</x:v>
      </x:c>
      <x:c r="C110" s="179" t="str">
        <x:v>B</x:v>
      </x:c>
      <x:c r="D110" s="181" t="str">
        <x:v>development_proxy</x:v>
      </x:c>
      <x:c r="E110" s="181" t="str"/>
      <x:c r="F110" s="182" t="n">
        <x:v>0.75</x:v>
      </x:c>
      <x:c r="G110" s="181" t="str">
        <x:v>development_assumption</x:v>
      </x:c>
      <x:c r="H11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10" s="183" t="n">
        <x:f>IF(AND(C110&lt;&gt;"",OR(D110="public_fitch_idr",D110="reviewed_appendix5_equivalent",D110="development_proxy"),H110&lt;&gt;""),VLOOKUP(C110,Fitch_WARF_Factors,2,FALSE),"")</x:f>
        <x:v>23.671</x:v>
      </x:c>
      <x:c r="J110" s="184" t="n">
        <x:f>IF(ISNUMBER(I110),B110*I110,0)</x:f>
        <x:v>27979122</x:v>
      </x:c>
      <x:c r="K110" s="184" t="n">
        <x:f>IF(AND(A110&lt;&gt;"",M110=0),B110*F110,0)</x:f>
        <x:v>886500</x:v>
      </x:c>
      <x:c r="L110" s="184" t="n">
        <x:f>IF(A110="",0,IF(ISNUMBER(I110),0,B110))</x:f>
        <x:v>0</x:v>
      </x:c>
      <x:c r="M110" s="185" t="n">
        <x:f>IF(A110="",0,IF(AND(ISNUMBER(F110),F110&gt;=0,F110&lt;=1,OR(G110="fitch_issue_recovery_estimate",G110="fitch_issue_recovery_rating",G110="reviewed_bbsf_fallback",G110="development_assumption"),H110&lt;&gt;""),0,B110))</x:f>
        <x:v>0</x:v>
      </x:c>
      <x:c r="N110" s="186" t="n">
        <x:f>IF(A110=Q110,0,1)+IF(B110=R110,0,1)+IF(C110=S110,0,1)+IF(D110=T110,0,1)+IF(E110=U110,0,1)+IF(F110=V110,0,1)+IF(G110=W110,0,1)+IF(H110=X110,0,1)</x:f>
        <x:v>0</x:v>
      </x:c>
      <x:c r="O110" s="186" t="n">
        <x:f>IF(A110="",0,IF(E110="",B110,0))</x:f>
        <x:v>1182000</x:v>
      </x:c>
      <x:c r="P110" s="187"/>
      <x:c r="Q110" s="179" t="str">
        <x:v>SYN-LN-00103</x:v>
      </x:c>
      <x:c r="R110" s="179" t="n">
        <x:v>1182000</x:v>
      </x:c>
      <x:c r="S110" s="179" t="str">
        <x:v>B</x:v>
      </x:c>
      <x:c r="T110" s="179" t="str">
        <x:v>development_proxy</x:v>
      </x:c>
      <x:c r="U110" s="179" t="str"/>
      <x:c r="V110" s="179" t="n">
        <x:v>0.75</x:v>
      </x:c>
      <x:c r="W110" s="179" t="str">
        <x:v>development_assumption</x:v>
      </x:c>
      <x:c r="X11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11" ht="107" customHeight="1">
      <x:c r="A111" s="179" t="str">
        <x:v>SYN-LN-00104</x:v>
      </x:c>
      <x:c r="B111" s="180" t="n">
        <x:f>IF(A111="","",SUMIF('Portfolio Inputs'!A8:A289,A111,'Portfolio Inputs'!D8:D289))</x:f>
        <x:v>1182000</x:v>
      </x:c>
      <x:c r="C111" s="179" t="str">
        <x:v>B-</x:v>
      </x:c>
      <x:c r="D111" s="181" t="str">
        <x:v>development_proxy</x:v>
      </x:c>
      <x:c r="E111" s="181" t="str"/>
      <x:c r="F111" s="182" t="n">
        <x:v>0.75</x:v>
      </x:c>
      <x:c r="G111" s="181" t="str">
        <x:v>development_assumption</x:v>
      </x:c>
      <x:c r="H11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11" s="183" t="n">
        <x:f>IF(AND(C111&lt;&gt;"",OR(D111="public_fitch_idr",D111="reviewed_appendix5_equivalent",D111="development_proxy"),H111&lt;&gt;""),VLOOKUP(C111,Fitch_WARF_Factors,2,FALSE),"")</x:f>
        <x:v>32.221</x:v>
      </x:c>
      <x:c r="J111" s="184" t="n">
        <x:f>IF(ISNUMBER(I111),B111*I111,0)</x:f>
        <x:v>38085221.99999999</x:v>
      </x:c>
      <x:c r="K111" s="184" t="n">
        <x:f>IF(AND(A111&lt;&gt;"",M111=0),B111*F111,0)</x:f>
        <x:v>886500</x:v>
      </x:c>
      <x:c r="L111" s="184" t="n">
        <x:f>IF(A111="",0,IF(ISNUMBER(I111),0,B111))</x:f>
        <x:v>0</x:v>
      </x:c>
      <x:c r="M111" s="185" t="n">
        <x:f>IF(A111="",0,IF(AND(ISNUMBER(F111),F111&gt;=0,F111&lt;=1,OR(G111="fitch_issue_recovery_estimate",G111="fitch_issue_recovery_rating",G111="reviewed_bbsf_fallback",G111="development_assumption"),H111&lt;&gt;""),0,B111))</x:f>
        <x:v>0</x:v>
      </x:c>
      <x:c r="N111" s="186" t="n">
        <x:f>IF(A111=Q111,0,1)+IF(B111=R111,0,1)+IF(C111=S111,0,1)+IF(D111=T111,0,1)+IF(E111=U111,0,1)+IF(F111=V111,0,1)+IF(G111=W111,0,1)+IF(H111=X111,0,1)</x:f>
        <x:v>0</x:v>
      </x:c>
      <x:c r="O111" s="186" t="n">
        <x:f>IF(A111="",0,IF(E111="",B111,0))</x:f>
        <x:v>1182000</x:v>
      </x:c>
      <x:c r="P111" s="187"/>
      <x:c r="Q111" s="179" t="str">
        <x:v>SYN-LN-00104</x:v>
      </x:c>
      <x:c r="R111" s="179" t="n">
        <x:v>1182000</x:v>
      </x:c>
      <x:c r="S111" s="179" t="str">
        <x:v>B-</x:v>
      </x:c>
      <x:c r="T111" s="179" t="str">
        <x:v>development_proxy</x:v>
      </x:c>
      <x:c r="U111" s="179" t="str"/>
      <x:c r="V111" s="179" t="n">
        <x:v>0.75</x:v>
      </x:c>
      <x:c r="W111" s="179" t="str">
        <x:v>development_assumption</x:v>
      </x:c>
      <x:c r="X11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12" ht="107" customHeight="1">
      <x:c r="A112" s="179" t="str">
        <x:v>SYN-LN-00105</x:v>
      </x:c>
      <x:c r="B112" s="180" t="n">
        <x:f>IF(A112="","",SUMIF('Portfolio Inputs'!A8:A289,A112,'Portfolio Inputs'!D8:D289))</x:f>
        <x:v>1182000</x:v>
      </x:c>
      <x:c r="C112" s="179" t="str">
        <x:v>B-</x:v>
      </x:c>
      <x:c r="D112" s="181" t="str">
        <x:v>development_proxy</x:v>
      </x:c>
      <x:c r="E112" s="181" t="str"/>
      <x:c r="F112" s="182" t="n">
        <x:v>0.75</x:v>
      </x:c>
      <x:c r="G112" s="181" t="str">
        <x:v>development_assumption</x:v>
      </x:c>
      <x:c r="H11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12" s="183" t="n">
        <x:f>IF(AND(C112&lt;&gt;"",OR(D112="public_fitch_idr",D112="reviewed_appendix5_equivalent",D112="development_proxy"),H112&lt;&gt;""),VLOOKUP(C112,Fitch_WARF_Factors,2,FALSE),"")</x:f>
        <x:v>32.221</x:v>
      </x:c>
      <x:c r="J112" s="184" t="n">
        <x:f>IF(ISNUMBER(I112),B112*I112,0)</x:f>
        <x:v>38085221.99999999</x:v>
      </x:c>
      <x:c r="K112" s="184" t="n">
        <x:f>IF(AND(A112&lt;&gt;"",M112=0),B112*F112,0)</x:f>
        <x:v>886500</x:v>
      </x:c>
      <x:c r="L112" s="184" t="n">
        <x:f>IF(A112="",0,IF(ISNUMBER(I112),0,B112))</x:f>
        <x:v>0</x:v>
      </x:c>
      <x:c r="M112" s="185" t="n">
        <x:f>IF(A112="",0,IF(AND(ISNUMBER(F112),F112&gt;=0,F112&lt;=1,OR(G112="fitch_issue_recovery_estimate",G112="fitch_issue_recovery_rating",G112="reviewed_bbsf_fallback",G112="development_assumption"),H112&lt;&gt;""),0,B112))</x:f>
        <x:v>0</x:v>
      </x:c>
      <x:c r="N112" s="186" t="n">
        <x:f>IF(A112=Q112,0,1)+IF(B112=R112,0,1)+IF(C112=S112,0,1)+IF(D112=T112,0,1)+IF(E112=U112,0,1)+IF(F112=V112,0,1)+IF(G112=W112,0,1)+IF(H112=X112,0,1)</x:f>
        <x:v>0</x:v>
      </x:c>
      <x:c r="O112" s="186" t="n">
        <x:f>IF(A112="",0,IF(E112="",B112,0))</x:f>
        <x:v>1182000</x:v>
      </x:c>
      <x:c r="P112" s="187"/>
      <x:c r="Q112" s="179" t="str">
        <x:v>SYN-LN-00105</x:v>
      </x:c>
      <x:c r="R112" s="179" t="n">
        <x:v>1182000</x:v>
      </x:c>
      <x:c r="S112" s="179" t="str">
        <x:v>B-</x:v>
      </x:c>
      <x:c r="T112" s="179" t="str">
        <x:v>development_proxy</x:v>
      </x:c>
      <x:c r="U112" s="179" t="str"/>
      <x:c r="V112" s="179" t="n">
        <x:v>0.75</x:v>
      </x:c>
      <x:c r="W112" s="179" t="str">
        <x:v>development_assumption</x:v>
      </x:c>
      <x:c r="X11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13" ht="107" customHeight="1">
      <x:c r="A113" s="179" t="str">
        <x:v>SYN-LN-00106</x:v>
      </x:c>
      <x:c r="B113" s="180" t="n">
        <x:f>IF(A113="","",SUMIF('Portfolio Inputs'!A8:A289,A113,'Portfolio Inputs'!D8:D289))</x:f>
        <x:v>1182000</x:v>
      </x:c>
      <x:c r="C113" s="179" t="str">
        <x:v>B+</x:v>
      </x:c>
      <x:c r="D113" s="181" t="str">
        <x:v>development_proxy</x:v>
      </x:c>
      <x:c r="E113" s="181" t="str"/>
      <x:c r="F113" s="182" t="n">
        <x:v>0.75</x:v>
      </x:c>
      <x:c r="G113" s="181" t="str">
        <x:v>development_assumption</x:v>
      </x:c>
      <x:c r="H11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13" s="183" t="n">
        <x:f>IF(AND(C113&lt;&gt;"",OR(D113="public_fitch_idr",D113="reviewed_appendix5_equivalent",D113="development_proxy"),H113&lt;&gt;""),VLOOKUP(C113,Fitch_WARF_Factors,2,FALSE),"")</x:f>
        <x:v>19.627</x:v>
      </x:c>
      <x:c r="J113" s="184" t="n">
        <x:f>IF(ISNUMBER(I113),B113*I113,0)</x:f>
        <x:v>23199114</x:v>
      </x:c>
      <x:c r="K113" s="184" t="n">
        <x:f>IF(AND(A113&lt;&gt;"",M113=0),B113*F113,0)</x:f>
        <x:v>886500</x:v>
      </x:c>
      <x:c r="L113" s="184" t="n">
        <x:f>IF(A113="",0,IF(ISNUMBER(I113),0,B113))</x:f>
        <x:v>0</x:v>
      </x:c>
      <x:c r="M113" s="185" t="n">
        <x:f>IF(A113="",0,IF(AND(ISNUMBER(F113),F113&gt;=0,F113&lt;=1,OR(G113="fitch_issue_recovery_estimate",G113="fitch_issue_recovery_rating",G113="reviewed_bbsf_fallback",G113="development_assumption"),H113&lt;&gt;""),0,B113))</x:f>
        <x:v>0</x:v>
      </x:c>
      <x:c r="N113" s="186" t="n">
        <x:f>IF(A113=Q113,0,1)+IF(B113=R113,0,1)+IF(C113=S113,0,1)+IF(D113=T113,0,1)+IF(E113=U113,0,1)+IF(F113=V113,0,1)+IF(G113=W113,0,1)+IF(H113=X113,0,1)</x:f>
        <x:v>0</x:v>
      </x:c>
      <x:c r="O113" s="186" t="n">
        <x:f>IF(A113="",0,IF(E113="",B113,0))</x:f>
        <x:v>1182000</x:v>
      </x:c>
      <x:c r="P113" s="187"/>
      <x:c r="Q113" s="179" t="str">
        <x:v>SYN-LN-00106</x:v>
      </x:c>
      <x:c r="R113" s="179" t="n">
        <x:v>1182000</x:v>
      </x:c>
      <x:c r="S113" s="179" t="str">
        <x:v>B+</x:v>
      </x:c>
      <x:c r="T113" s="179" t="str">
        <x:v>development_proxy</x:v>
      </x:c>
      <x:c r="U113" s="179" t="str"/>
      <x:c r="V113" s="179" t="n">
        <x:v>0.75</x:v>
      </x:c>
      <x:c r="W113" s="179" t="str">
        <x:v>development_assumption</x:v>
      </x:c>
      <x:c r="X11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14" ht="107" customHeight="1">
      <x:c r="A114" s="179" t="str">
        <x:v>SYN-LN-00107</x:v>
      </x:c>
      <x:c r="B114" s="180" t="n">
        <x:f>IF(A114="","",SUMIF('Portfolio Inputs'!A8:A289,A114,'Portfolio Inputs'!D8:D289))</x:f>
        <x:v>1182000</x:v>
      </x:c>
      <x:c r="C114" s="179" t="str">
        <x:v>BB-</x:v>
      </x:c>
      <x:c r="D114" s="181" t="str">
        <x:v>development_proxy</x:v>
      </x:c>
      <x:c r="E114" s="181" t="str"/>
      <x:c r="F114" s="182" t="n">
        <x:v>0.75</x:v>
      </x:c>
      <x:c r="G114" s="181" t="str">
        <x:v>development_assumption</x:v>
      </x:c>
      <x:c r="H11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14" s="183" t="n">
        <x:f>IF(AND(C114&lt;&gt;"",OR(D114="public_fitch_idr",D114="reviewed_appendix5_equivalent",D114="development_proxy"),H114&lt;&gt;""),VLOOKUP(C114,Fitch_WARF_Factors,2,FALSE),"")</x:f>
        <x:v>15.733</x:v>
      </x:c>
      <x:c r="J114" s="184" t="n">
        <x:f>IF(ISNUMBER(I114),B114*I114,0)</x:f>
        <x:v>18596406</x:v>
      </x:c>
      <x:c r="K114" s="184" t="n">
        <x:f>IF(AND(A114&lt;&gt;"",M114=0),B114*F114,0)</x:f>
        <x:v>886500</x:v>
      </x:c>
      <x:c r="L114" s="184" t="n">
        <x:f>IF(A114="",0,IF(ISNUMBER(I114),0,B114))</x:f>
        <x:v>0</x:v>
      </x:c>
      <x:c r="M114" s="185" t="n">
        <x:f>IF(A114="",0,IF(AND(ISNUMBER(F114),F114&gt;=0,F114&lt;=1,OR(G114="fitch_issue_recovery_estimate",G114="fitch_issue_recovery_rating",G114="reviewed_bbsf_fallback",G114="development_assumption"),H114&lt;&gt;""),0,B114))</x:f>
        <x:v>0</x:v>
      </x:c>
      <x:c r="N114" s="186" t="n">
        <x:f>IF(A114=Q114,0,1)+IF(B114=R114,0,1)+IF(C114=S114,0,1)+IF(D114=T114,0,1)+IF(E114=U114,0,1)+IF(F114=V114,0,1)+IF(G114=W114,0,1)+IF(H114=X114,0,1)</x:f>
        <x:v>0</x:v>
      </x:c>
      <x:c r="O114" s="186" t="n">
        <x:f>IF(A114="",0,IF(E114="",B114,0))</x:f>
        <x:v>1182000</x:v>
      </x:c>
      <x:c r="P114" s="187"/>
      <x:c r="Q114" s="179" t="str">
        <x:v>SYN-LN-00107</x:v>
      </x:c>
      <x:c r="R114" s="179" t="n">
        <x:v>1182000</x:v>
      </x:c>
      <x:c r="S114" s="179" t="str">
        <x:v>BB-</x:v>
      </x:c>
      <x:c r="T114" s="179" t="str">
        <x:v>development_proxy</x:v>
      </x:c>
      <x:c r="U114" s="179" t="str"/>
      <x:c r="V114" s="179" t="n">
        <x:v>0.75</x:v>
      </x:c>
      <x:c r="W114" s="179" t="str">
        <x:v>development_assumption</x:v>
      </x:c>
      <x:c r="X11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15" ht="107" customHeight="1">
      <x:c r="A115" s="179" t="str">
        <x:v>SYN-LN-00108</x:v>
      </x:c>
      <x:c r="B115" s="180" t="n">
        <x:f>IF(A115="","",SUMIF('Portfolio Inputs'!A8:A289,A115,'Portfolio Inputs'!D8:D289))</x:f>
        <x:v>630000</x:v>
      </x:c>
      <x:c r="C115" s="179" t="str">
        <x:v>B-</x:v>
      </x:c>
      <x:c r="D115" s="181" t="str">
        <x:v>development_proxy</x:v>
      </x:c>
      <x:c r="E115" s="181" t="str"/>
      <x:c r="F115" s="182" t="n">
        <x:v>0.75</x:v>
      </x:c>
      <x:c r="G115" s="181" t="str">
        <x:v>development_assumption</x:v>
      </x:c>
      <x:c r="H11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15" s="183" t="n">
        <x:f>IF(AND(C115&lt;&gt;"",OR(D115="public_fitch_idr",D115="reviewed_appendix5_equivalent",D115="development_proxy"),H115&lt;&gt;""),VLOOKUP(C115,Fitch_WARF_Factors,2,FALSE),"")</x:f>
        <x:v>32.221</x:v>
      </x:c>
      <x:c r="J115" s="184" t="n">
        <x:f>IF(ISNUMBER(I115),B115*I115,0)</x:f>
        <x:v>20299229.999999996</x:v>
      </x:c>
      <x:c r="K115" s="184" t="n">
        <x:f>IF(AND(A115&lt;&gt;"",M115=0),B115*F115,0)</x:f>
        <x:v>472500</x:v>
      </x:c>
      <x:c r="L115" s="184" t="n">
        <x:f>IF(A115="",0,IF(ISNUMBER(I115),0,B115))</x:f>
        <x:v>0</x:v>
      </x:c>
      <x:c r="M115" s="185" t="n">
        <x:f>IF(A115="",0,IF(AND(ISNUMBER(F115),F115&gt;=0,F115&lt;=1,OR(G115="fitch_issue_recovery_estimate",G115="fitch_issue_recovery_rating",G115="reviewed_bbsf_fallback",G115="development_assumption"),H115&lt;&gt;""),0,B115))</x:f>
        <x:v>0</x:v>
      </x:c>
      <x:c r="N115" s="186" t="n">
        <x:f>IF(A115=Q115,0,1)+IF(B115=R115,0,1)+IF(C115=S115,0,1)+IF(D115=T115,0,1)+IF(E115=U115,0,1)+IF(F115=V115,0,1)+IF(G115=W115,0,1)+IF(H115=X115,0,1)</x:f>
        <x:v>0</x:v>
      </x:c>
      <x:c r="O115" s="186" t="n">
        <x:f>IF(A115="",0,IF(E115="",B115,0))</x:f>
        <x:v>630000</x:v>
      </x:c>
      <x:c r="P115" s="187"/>
      <x:c r="Q115" s="179" t="str">
        <x:v>SYN-LN-00108</x:v>
      </x:c>
      <x:c r="R115" s="179" t="n">
        <x:v>630000</x:v>
      </x:c>
      <x:c r="S115" s="179" t="str">
        <x:v>B-</x:v>
      </x:c>
      <x:c r="T115" s="179" t="str">
        <x:v>development_proxy</x:v>
      </x:c>
      <x:c r="U115" s="179" t="str"/>
      <x:c r="V115" s="179" t="n">
        <x:v>0.75</x:v>
      </x:c>
      <x:c r="W115" s="179" t="str">
        <x:v>development_assumption</x:v>
      </x:c>
      <x:c r="X11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16" ht="107" customHeight="1">
      <x:c r="A116" s="179" t="str">
        <x:v>SYN-LN-00109</x:v>
      </x:c>
      <x:c r="B116" s="180" t="n">
        <x:f>IF(A116="","",SUMIF('Portfolio Inputs'!A8:A289,A116,'Portfolio Inputs'!D8:D289))</x:f>
        <x:v>1182000</x:v>
      </x:c>
      <x:c r="C116" s="179" t="str">
        <x:v>B</x:v>
      </x:c>
      <x:c r="D116" s="181" t="str">
        <x:v>development_proxy</x:v>
      </x:c>
      <x:c r="E116" s="181" t="str"/>
      <x:c r="F116" s="182" t="n">
        <x:v>0.75</x:v>
      </x:c>
      <x:c r="G116" s="181" t="str">
        <x:v>development_assumption</x:v>
      </x:c>
      <x:c r="H11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16" s="183" t="n">
        <x:f>IF(AND(C116&lt;&gt;"",OR(D116="public_fitch_idr",D116="reviewed_appendix5_equivalent",D116="development_proxy"),H116&lt;&gt;""),VLOOKUP(C116,Fitch_WARF_Factors,2,FALSE),"")</x:f>
        <x:v>23.671</x:v>
      </x:c>
      <x:c r="J116" s="184" t="n">
        <x:f>IF(ISNUMBER(I116),B116*I116,0)</x:f>
        <x:v>27979122</x:v>
      </x:c>
      <x:c r="K116" s="184" t="n">
        <x:f>IF(AND(A116&lt;&gt;"",M116=0),B116*F116,0)</x:f>
        <x:v>886500</x:v>
      </x:c>
      <x:c r="L116" s="184" t="n">
        <x:f>IF(A116="",0,IF(ISNUMBER(I116),0,B116))</x:f>
        <x:v>0</x:v>
      </x:c>
      <x:c r="M116" s="185" t="n">
        <x:f>IF(A116="",0,IF(AND(ISNUMBER(F116),F116&gt;=0,F116&lt;=1,OR(G116="fitch_issue_recovery_estimate",G116="fitch_issue_recovery_rating",G116="reviewed_bbsf_fallback",G116="development_assumption"),H116&lt;&gt;""),0,B116))</x:f>
        <x:v>0</x:v>
      </x:c>
      <x:c r="N116" s="186" t="n">
        <x:f>IF(A116=Q116,0,1)+IF(B116=R116,0,1)+IF(C116=S116,0,1)+IF(D116=T116,0,1)+IF(E116=U116,0,1)+IF(F116=V116,0,1)+IF(G116=W116,0,1)+IF(H116=X116,0,1)</x:f>
        <x:v>0</x:v>
      </x:c>
      <x:c r="O116" s="186" t="n">
        <x:f>IF(A116="",0,IF(E116="",B116,0))</x:f>
        <x:v>1182000</x:v>
      </x:c>
      <x:c r="P116" s="187"/>
      <x:c r="Q116" s="179" t="str">
        <x:v>SYN-LN-00109</x:v>
      </x:c>
      <x:c r="R116" s="179" t="n">
        <x:v>1182000</x:v>
      </x:c>
      <x:c r="S116" s="179" t="str">
        <x:v>B</x:v>
      </x:c>
      <x:c r="T116" s="179" t="str">
        <x:v>development_proxy</x:v>
      </x:c>
      <x:c r="U116" s="179" t="str"/>
      <x:c r="V116" s="179" t="n">
        <x:v>0.75</x:v>
      </x:c>
      <x:c r="W116" s="179" t="str">
        <x:v>development_assumption</x:v>
      </x:c>
      <x:c r="X11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17" ht="107" customHeight="1">
      <x:c r="A117" s="179" t="str">
        <x:v>SYN-LN-00110</x:v>
      </x:c>
      <x:c r="B117" s="180" t="n">
        <x:f>IF(A117="","",SUMIF('Portfolio Inputs'!A8:A289,A117,'Portfolio Inputs'!D8:D289))</x:f>
        <x:v>1182000</x:v>
      </x:c>
      <x:c r="C117" s="179" t="str">
        <x:v>B+</x:v>
      </x:c>
      <x:c r="D117" s="181" t="str">
        <x:v>development_proxy</x:v>
      </x:c>
      <x:c r="E117" s="181" t="str"/>
      <x:c r="F117" s="182" t="n">
        <x:v>0.75</x:v>
      </x:c>
      <x:c r="G117" s="181" t="str">
        <x:v>development_assumption</x:v>
      </x:c>
      <x:c r="H11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17" s="183" t="n">
        <x:f>IF(AND(C117&lt;&gt;"",OR(D117="public_fitch_idr",D117="reviewed_appendix5_equivalent",D117="development_proxy"),H117&lt;&gt;""),VLOOKUP(C117,Fitch_WARF_Factors,2,FALSE),"")</x:f>
        <x:v>19.627</x:v>
      </x:c>
      <x:c r="J117" s="184" t="n">
        <x:f>IF(ISNUMBER(I117),B117*I117,0)</x:f>
        <x:v>23199114</x:v>
      </x:c>
      <x:c r="K117" s="184" t="n">
        <x:f>IF(AND(A117&lt;&gt;"",M117=0),B117*F117,0)</x:f>
        <x:v>886500</x:v>
      </x:c>
      <x:c r="L117" s="184" t="n">
        <x:f>IF(A117="",0,IF(ISNUMBER(I117),0,B117))</x:f>
        <x:v>0</x:v>
      </x:c>
      <x:c r="M117" s="185" t="n">
        <x:f>IF(A117="",0,IF(AND(ISNUMBER(F117),F117&gt;=0,F117&lt;=1,OR(G117="fitch_issue_recovery_estimate",G117="fitch_issue_recovery_rating",G117="reviewed_bbsf_fallback",G117="development_assumption"),H117&lt;&gt;""),0,B117))</x:f>
        <x:v>0</x:v>
      </x:c>
      <x:c r="N117" s="186" t="n">
        <x:f>IF(A117=Q117,0,1)+IF(B117=R117,0,1)+IF(C117=S117,0,1)+IF(D117=T117,0,1)+IF(E117=U117,0,1)+IF(F117=V117,0,1)+IF(G117=W117,0,1)+IF(H117=X117,0,1)</x:f>
        <x:v>0</x:v>
      </x:c>
      <x:c r="O117" s="186" t="n">
        <x:f>IF(A117="",0,IF(E117="",B117,0))</x:f>
        <x:v>1182000</x:v>
      </x:c>
      <x:c r="P117" s="187"/>
      <x:c r="Q117" s="179" t="str">
        <x:v>SYN-LN-00110</x:v>
      </x:c>
      <x:c r="R117" s="179" t="n">
        <x:v>1182000</x:v>
      </x:c>
      <x:c r="S117" s="179" t="str">
        <x:v>B+</x:v>
      </x:c>
      <x:c r="T117" s="179" t="str">
        <x:v>development_proxy</x:v>
      </x:c>
      <x:c r="U117" s="179" t="str"/>
      <x:c r="V117" s="179" t="n">
        <x:v>0.75</x:v>
      </x:c>
      <x:c r="W117" s="179" t="str">
        <x:v>development_assumption</x:v>
      </x:c>
      <x:c r="X11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18" ht="107" customHeight="1">
      <x:c r="A118" s="179" t="str">
        <x:v>SYN-LN-00111</x:v>
      </x:c>
      <x:c r="B118" s="180" t="n">
        <x:f>IF(A118="","",SUMIF('Portfolio Inputs'!A8:A289,A118,'Portfolio Inputs'!D8:D289))</x:f>
        <x:v>630000</x:v>
      </x:c>
      <x:c r="C118" s="179" t="str">
        <x:v>A-</x:v>
      </x:c>
      <x:c r="D118" s="181" t="str">
        <x:v>development_proxy</x:v>
      </x:c>
      <x:c r="E118" s="181" t="str"/>
      <x:c r="F118" s="182" t="n">
        <x:v>0.65</x:v>
      </x:c>
      <x:c r="G118" s="181" t="str">
        <x:v>development_assumption</x:v>
      </x:c>
      <x:c r="H118" s="181" t="str">
        <x:v>FICTIONAL DEVELOPMENT: copied S&amp;P symbol as Fitch IDR-equivalency proxy; no Fitch rating or Appendix 5 review. Assumed first-lien facility is senior secured loan with no issue recovery opinion; Netherlands Group 2; Fitch June 1 2026 Appendix 4 pp42-43 and Appendix 6 pp47-48 BBsf Strong fallback.</x:v>
      </x:c>
      <x:c r="I118" s="183" t="n">
        <x:f>IF(AND(C118&lt;&gt;"",OR(D118="public_fitch_idr",D118="reviewed_appendix5_equivalent",D118="development_proxy"),H118&lt;&gt;""),VLOOKUP(C118,Fitch_WARF_Factors,2,FALSE),"")</x:f>
        <x:v>2.099</x:v>
      </x:c>
      <x:c r="J118" s="184" t="n">
        <x:f>IF(ISNUMBER(I118),B118*I118,0)</x:f>
        <x:v>1322370.0000000002</x:v>
      </x:c>
      <x:c r="K118" s="184" t="n">
        <x:f>IF(AND(A118&lt;&gt;"",M118=0),B118*F118,0)</x:f>
        <x:v>409500</x:v>
      </x:c>
      <x:c r="L118" s="184" t="n">
        <x:f>IF(A118="",0,IF(ISNUMBER(I118),0,B118))</x:f>
        <x:v>0</x:v>
      </x:c>
      <x:c r="M118" s="185" t="n">
        <x:f>IF(A118="",0,IF(AND(ISNUMBER(F118),F118&gt;=0,F118&lt;=1,OR(G118="fitch_issue_recovery_estimate",G118="fitch_issue_recovery_rating",G118="reviewed_bbsf_fallback",G118="development_assumption"),H118&lt;&gt;""),0,B118))</x:f>
        <x:v>0</x:v>
      </x:c>
      <x:c r="N118" s="186" t="n">
        <x:f>IF(A118=Q118,0,1)+IF(B118=R118,0,1)+IF(C118=S118,0,1)+IF(D118=T118,0,1)+IF(E118=U118,0,1)+IF(F118=V118,0,1)+IF(G118=W118,0,1)+IF(H118=X118,0,1)</x:f>
        <x:v>0</x:v>
      </x:c>
      <x:c r="O118" s="186" t="n">
        <x:f>IF(A118="",0,IF(E118="",B118,0))</x:f>
        <x:v>630000</x:v>
      </x:c>
      <x:c r="P118" s="187"/>
      <x:c r="Q118" s="179" t="str">
        <x:v>SYN-LN-00111</x:v>
      </x:c>
      <x:c r="R118" s="179" t="n">
        <x:v>630000</x:v>
      </x:c>
      <x:c r="S118" s="179" t="str">
        <x:v>A-</x:v>
      </x:c>
      <x:c r="T118" s="179" t="str">
        <x:v>development_proxy</x:v>
      </x:c>
      <x:c r="U118" s="179" t="str"/>
      <x:c r="V118" s="179" t="n">
        <x:v>0.65</x:v>
      </x:c>
      <x:c r="W118" s="179" t="str">
        <x:v>development_assumption</x:v>
      </x:c>
      <x:c r="X118" s="179" t="str">
        <x:v>FICTIONAL DEVELOPMENT: copied S&amp;P symbol as Fitch IDR-equivalency proxy; no Fitch rating or Appendix 5 review. Assumed first-lien facility is senior secured loan with no issue recovery opinion; Netherlands Group 2; Fitch June 1 2026 Appendix 4 pp42-43 and Appendix 6 pp47-48 BBsf Strong fallback.</x:v>
      </x:c>
    </x:row>
    <x:row r="119" ht="107" customHeight="1">
      <x:c r="A119" s="179" t="str">
        <x:v>SYN-LN-00112</x:v>
      </x:c>
      <x:c r="B119" s="180" t="n">
        <x:f>IF(A119="","",SUMIF('Portfolio Inputs'!A8:A289,A119,'Portfolio Inputs'!D8:D289))</x:f>
        <x:v>630000</x:v>
      </x:c>
      <x:c r="C119" s="179" t="str">
        <x:v>B</x:v>
      </x:c>
      <x:c r="D119" s="181" t="str">
        <x:v>development_proxy</x:v>
      </x:c>
      <x:c r="E119" s="181" t="str"/>
      <x:c r="F119" s="182" t="n">
        <x:v>0.65</x:v>
      </x:c>
      <x:c r="G119" s="181" t="str">
        <x:v>development_assumption</x:v>
      </x:c>
      <x:c r="H119" s="181" t="str">
        <x:v>FICTIONAL DEVELOPMENT: copied S&amp;P symbol as Fitch IDR-equivalency proxy; no Fitch rating or Appendix 5 review. Assumed first-lien facility is senior secured loan with no issue recovery opinion; Luxembourg Group 2; Fitch June 1 2026 Appendix 4 pp42-43 and Appendix 6 pp47-48 BBsf Strong fallback.</x:v>
      </x:c>
      <x:c r="I119" s="183" t="n">
        <x:f>IF(AND(C119&lt;&gt;"",OR(D119="public_fitch_idr",D119="reviewed_appendix5_equivalent",D119="development_proxy"),H119&lt;&gt;""),VLOOKUP(C119,Fitch_WARF_Factors,2,FALSE),"")</x:f>
        <x:v>23.671</x:v>
      </x:c>
      <x:c r="J119" s="184" t="n">
        <x:f>IF(ISNUMBER(I119),B119*I119,0)</x:f>
        <x:v>14912730</x:v>
      </x:c>
      <x:c r="K119" s="184" t="n">
        <x:f>IF(AND(A119&lt;&gt;"",M119=0),B119*F119,0)</x:f>
        <x:v>409500</x:v>
      </x:c>
      <x:c r="L119" s="184" t="n">
        <x:f>IF(A119="",0,IF(ISNUMBER(I119),0,B119))</x:f>
        <x:v>0</x:v>
      </x:c>
      <x:c r="M119" s="185" t="n">
        <x:f>IF(A119="",0,IF(AND(ISNUMBER(F119),F119&gt;=0,F119&lt;=1,OR(G119="fitch_issue_recovery_estimate",G119="fitch_issue_recovery_rating",G119="reviewed_bbsf_fallback",G119="development_assumption"),H119&lt;&gt;""),0,B119))</x:f>
        <x:v>0</x:v>
      </x:c>
      <x:c r="N119" s="186" t="n">
        <x:f>IF(A119=Q119,0,1)+IF(B119=R119,0,1)+IF(C119=S119,0,1)+IF(D119=T119,0,1)+IF(E119=U119,0,1)+IF(F119=V119,0,1)+IF(G119=W119,0,1)+IF(H119=X119,0,1)</x:f>
        <x:v>0</x:v>
      </x:c>
      <x:c r="O119" s="186" t="n">
        <x:f>IF(A119="",0,IF(E119="",B119,0))</x:f>
        <x:v>630000</x:v>
      </x:c>
      <x:c r="P119" s="187"/>
      <x:c r="Q119" s="179" t="str">
        <x:v>SYN-LN-00112</x:v>
      </x:c>
      <x:c r="R119" s="179" t="n">
        <x:v>630000</x:v>
      </x:c>
      <x:c r="S119" s="179" t="str">
        <x:v>B</x:v>
      </x:c>
      <x:c r="T119" s="179" t="str">
        <x:v>development_proxy</x:v>
      </x:c>
      <x:c r="U119" s="179" t="str"/>
      <x:c r="V119" s="179" t="n">
        <x:v>0.65</x:v>
      </x:c>
      <x:c r="W119" s="179" t="str">
        <x:v>development_assumption</x:v>
      </x:c>
      <x:c r="X119" s="179" t="str">
        <x:v>FICTIONAL DEVELOPMENT: copied S&amp;P symbol as Fitch IDR-equivalency proxy; no Fitch rating or Appendix 5 review. Assumed first-lien facility is senior secured loan with no issue recovery opinion; Luxembourg Group 2; Fitch June 1 2026 Appendix 4 pp42-43 and Appendix 6 pp47-48 BBsf Strong fallback.</x:v>
      </x:c>
    </x:row>
    <x:row r="120" ht="107" customHeight="1">
      <x:c r="A120" s="179" t="str">
        <x:v>SYN-LN-00113</x:v>
      </x:c>
      <x:c r="B120" s="180" t="n">
        <x:f>IF(A120="","",SUMIF('Portfolio Inputs'!A8:A289,A120,'Portfolio Inputs'!D8:D289))</x:f>
        <x:v>1220000</x:v>
      </x:c>
      <x:c r="C120" s="179" t="str">
        <x:v>B</x:v>
      </x:c>
      <x:c r="D120" s="181" t="str">
        <x:v>development_proxy</x:v>
      </x:c>
      <x:c r="E120" s="181" t="str"/>
      <x:c r="F120" s="182" t="n">
        <x:v>0.75</x:v>
      </x:c>
      <x:c r="G120" s="181" t="str">
        <x:v>development_assumption</x:v>
      </x:c>
      <x:c r="H12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20" s="183" t="n">
        <x:f>IF(AND(C120&lt;&gt;"",OR(D120="public_fitch_idr",D120="reviewed_appendix5_equivalent",D120="development_proxy"),H120&lt;&gt;""),VLOOKUP(C120,Fitch_WARF_Factors,2,FALSE),"")</x:f>
        <x:v>23.671</x:v>
      </x:c>
      <x:c r="J120" s="184" t="n">
        <x:f>IF(ISNUMBER(I120),B120*I120,0)</x:f>
        <x:v>28878620</x:v>
      </x:c>
      <x:c r="K120" s="184" t="n">
        <x:f>IF(AND(A120&lt;&gt;"",M120=0),B120*F120,0)</x:f>
        <x:v>915000</x:v>
      </x:c>
      <x:c r="L120" s="184" t="n">
        <x:f>IF(A120="",0,IF(ISNUMBER(I120),0,B120))</x:f>
        <x:v>0</x:v>
      </x:c>
      <x:c r="M120" s="185" t="n">
        <x:f>IF(A120="",0,IF(AND(ISNUMBER(F120),F120&gt;=0,F120&lt;=1,OR(G120="fitch_issue_recovery_estimate",G120="fitch_issue_recovery_rating",G120="reviewed_bbsf_fallback",G120="development_assumption"),H120&lt;&gt;""),0,B120))</x:f>
        <x:v>0</x:v>
      </x:c>
      <x:c r="N120" s="186" t="n">
        <x:f>IF(A120=Q120,0,1)+IF(B120=R120,0,1)+IF(C120=S120,0,1)+IF(D120=T120,0,1)+IF(E120=U120,0,1)+IF(F120=V120,0,1)+IF(G120=W120,0,1)+IF(H120=X120,0,1)</x:f>
        <x:v>0</x:v>
      </x:c>
      <x:c r="O120" s="186" t="n">
        <x:f>IF(A120="",0,IF(E120="",B120,0))</x:f>
        <x:v>1220000</x:v>
      </x:c>
      <x:c r="P120" s="187"/>
      <x:c r="Q120" s="179" t="str">
        <x:v>SYN-LN-00113</x:v>
      </x:c>
      <x:c r="R120" s="179" t="n">
        <x:v>1220000</x:v>
      </x:c>
      <x:c r="S120" s="179" t="str">
        <x:v>B</x:v>
      </x:c>
      <x:c r="T120" s="179" t="str">
        <x:v>development_proxy</x:v>
      </x:c>
      <x:c r="U120" s="179" t="str"/>
      <x:c r="V120" s="179" t="n">
        <x:v>0.75</x:v>
      </x:c>
      <x:c r="W120" s="179" t="str">
        <x:v>development_assumption</x:v>
      </x:c>
      <x:c r="X12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21" ht="107" customHeight="1">
      <x:c r="A121" s="179" t="str">
        <x:v>SYN-LN-00114</x:v>
      </x:c>
      <x:c r="B121" s="180" t="n">
        <x:f>IF(A121="","",SUMIF('Portfolio Inputs'!A8:A289,A121,'Portfolio Inputs'!D8:D289))</x:f>
        <x:v>1182000</x:v>
      </x:c>
      <x:c r="C121" s="179" t="str">
        <x:v>B</x:v>
      </x:c>
      <x:c r="D121" s="181" t="str">
        <x:v>development_proxy</x:v>
      </x:c>
      <x:c r="E121" s="181" t="str"/>
      <x:c r="F121" s="182" t="n">
        <x:v>0.65</x:v>
      </x:c>
      <x:c r="G121" s="181" t="str">
        <x:v>development_assumption</x:v>
      </x:c>
      <x:c r="H121" s="181" t="str">
        <x:v>FICTIONAL DEVELOPMENT: copied S&amp;P symbol as Fitch IDR-equivalency proxy; no Fitch rating or Appendix 5 review. Assumed first-lien facility is senior secured loan with no issue recovery opinion; Netherlands Group 2; Fitch June 1 2026 Appendix 4 pp42-43 and Appendix 6 pp47-48 BBsf Strong fallback.</x:v>
      </x:c>
      <x:c r="I121" s="183" t="n">
        <x:f>IF(AND(C121&lt;&gt;"",OR(D121="public_fitch_idr",D121="reviewed_appendix5_equivalent",D121="development_proxy"),H121&lt;&gt;""),VLOOKUP(C121,Fitch_WARF_Factors,2,FALSE),"")</x:f>
        <x:v>23.671</x:v>
      </x:c>
      <x:c r="J121" s="184" t="n">
        <x:f>IF(ISNUMBER(I121),B121*I121,0)</x:f>
        <x:v>27979122</x:v>
      </x:c>
      <x:c r="K121" s="184" t="n">
        <x:f>IF(AND(A121&lt;&gt;"",M121=0),B121*F121,0)</x:f>
        <x:v>768300</x:v>
      </x:c>
      <x:c r="L121" s="184" t="n">
        <x:f>IF(A121="",0,IF(ISNUMBER(I121),0,B121))</x:f>
        <x:v>0</x:v>
      </x:c>
      <x:c r="M121" s="185" t="n">
        <x:f>IF(A121="",0,IF(AND(ISNUMBER(F121),F121&gt;=0,F121&lt;=1,OR(G121="fitch_issue_recovery_estimate",G121="fitch_issue_recovery_rating",G121="reviewed_bbsf_fallback",G121="development_assumption"),H121&lt;&gt;""),0,B121))</x:f>
        <x:v>0</x:v>
      </x:c>
      <x:c r="N121" s="186" t="n">
        <x:f>IF(A121=Q121,0,1)+IF(B121=R121,0,1)+IF(C121=S121,0,1)+IF(D121=T121,0,1)+IF(E121=U121,0,1)+IF(F121=V121,0,1)+IF(G121=W121,0,1)+IF(H121=X121,0,1)</x:f>
        <x:v>0</x:v>
      </x:c>
      <x:c r="O121" s="186" t="n">
        <x:f>IF(A121="",0,IF(E121="",B121,0))</x:f>
        <x:v>1182000</x:v>
      </x:c>
      <x:c r="P121" s="187"/>
      <x:c r="Q121" s="179" t="str">
        <x:v>SYN-LN-00114</x:v>
      </x:c>
      <x:c r="R121" s="179" t="n">
        <x:v>1182000</x:v>
      </x:c>
      <x:c r="S121" s="179" t="str">
        <x:v>B</x:v>
      </x:c>
      <x:c r="T121" s="179" t="str">
        <x:v>development_proxy</x:v>
      </x:c>
      <x:c r="U121" s="179" t="str"/>
      <x:c r="V121" s="179" t="n">
        <x:v>0.65</x:v>
      </x:c>
      <x:c r="W121" s="179" t="str">
        <x:v>development_assumption</x:v>
      </x:c>
      <x:c r="X121" s="179" t="str">
        <x:v>FICTIONAL DEVELOPMENT: copied S&amp;P symbol as Fitch IDR-equivalency proxy; no Fitch rating or Appendix 5 review. Assumed first-lien facility is senior secured loan with no issue recovery opinion; Netherlands Group 2; Fitch June 1 2026 Appendix 4 pp42-43 and Appendix 6 pp47-48 BBsf Strong fallback.</x:v>
      </x:c>
    </x:row>
    <x:row r="122" ht="107" customHeight="1">
      <x:c r="A122" s="179" t="str">
        <x:v>SYN-LN-00115</x:v>
      </x:c>
      <x:c r="B122" s="180" t="n">
        <x:f>IF(A122="","",SUMIF('Portfolio Inputs'!A8:A289,A122,'Portfolio Inputs'!D8:D289))</x:f>
        <x:v>1182000</x:v>
      </x:c>
      <x:c r="C122" s="179" t="str">
        <x:v>B+</x:v>
      </x:c>
      <x:c r="D122" s="181" t="str">
        <x:v>development_proxy</x:v>
      </x:c>
      <x:c r="E122" s="181" t="str"/>
      <x:c r="F122" s="182" t="n">
        <x:v>0.75</x:v>
      </x:c>
      <x:c r="G122" s="181" t="str">
        <x:v>development_assumption</x:v>
      </x:c>
      <x:c r="H12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22" s="183" t="n">
        <x:f>IF(AND(C122&lt;&gt;"",OR(D122="public_fitch_idr",D122="reviewed_appendix5_equivalent",D122="development_proxy"),H122&lt;&gt;""),VLOOKUP(C122,Fitch_WARF_Factors,2,FALSE),"")</x:f>
        <x:v>19.627</x:v>
      </x:c>
      <x:c r="J122" s="184" t="n">
        <x:f>IF(ISNUMBER(I122),B122*I122,0)</x:f>
        <x:v>23199114</x:v>
      </x:c>
      <x:c r="K122" s="184" t="n">
        <x:f>IF(AND(A122&lt;&gt;"",M122=0),B122*F122,0)</x:f>
        <x:v>886500</x:v>
      </x:c>
      <x:c r="L122" s="184" t="n">
        <x:f>IF(A122="",0,IF(ISNUMBER(I122),0,B122))</x:f>
        <x:v>0</x:v>
      </x:c>
      <x:c r="M122" s="185" t="n">
        <x:f>IF(A122="",0,IF(AND(ISNUMBER(F122),F122&gt;=0,F122&lt;=1,OR(G122="fitch_issue_recovery_estimate",G122="fitch_issue_recovery_rating",G122="reviewed_bbsf_fallback",G122="development_assumption"),H122&lt;&gt;""),0,B122))</x:f>
        <x:v>0</x:v>
      </x:c>
      <x:c r="N122" s="186" t="n">
        <x:f>IF(A122=Q122,0,1)+IF(B122=R122,0,1)+IF(C122=S122,0,1)+IF(D122=T122,0,1)+IF(E122=U122,0,1)+IF(F122=V122,0,1)+IF(G122=W122,0,1)+IF(H122=X122,0,1)</x:f>
        <x:v>0</x:v>
      </x:c>
      <x:c r="O122" s="186" t="n">
        <x:f>IF(A122="",0,IF(E122="",B122,0))</x:f>
        <x:v>1182000</x:v>
      </x:c>
      <x:c r="P122" s="187"/>
      <x:c r="Q122" s="179" t="str">
        <x:v>SYN-LN-00115</x:v>
      </x:c>
      <x:c r="R122" s="179" t="n">
        <x:v>1182000</x:v>
      </x:c>
      <x:c r="S122" s="179" t="str">
        <x:v>B+</x:v>
      </x:c>
      <x:c r="T122" s="179" t="str">
        <x:v>development_proxy</x:v>
      </x:c>
      <x:c r="U122" s="179" t="str"/>
      <x:c r="V122" s="179" t="n">
        <x:v>0.75</x:v>
      </x:c>
      <x:c r="W122" s="179" t="str">
        <x:v>development_assumption</x:v>
      </x:c>
      <x:c r="X12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23" ht="107" customHeight="1">
      <x:c r="A123" s="179" t="str">
        <x:v>SYN-LN-00116</x:v>
      </x:c>
      <x:c r="B123" s="180" t="n">
        <x:f>IF(A123="","",SUMIF('Portfolio Inputs'!A8:A289,A123,'Portfolio Inputs'!D8:D289))</x:f>
        <x:v>1182000</x:v>
      </x:c>
      <x:c r="C123" s="179" t="str">
        <x:v>B</x:v>
      </x:c>
      <x:c r="D123" s="181" t="str">
        <x:v>development_proxy</x:v>
      </x:c>
      <x:c r="E123" s="181" t="str"/>
      <x:c r="F123" s="182" t="n">
        <x:v>0.75</x:v>
      </x:c>
      <x:c r="G123" s="181" t="str">
        <x:v>development_assumption</x:v>
      </x:c>
      <x:c r="H12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23" s="183" t="n">
        <x:f>IF(AND(C123&lt;&gt;"",OR(D123="public_fitch_idr",D123="reviewed_appendix5_equivalent",D123="development_proxy"),H123&lt;&gt;""),VLOOKUP(C123,Fitch_WARF_Factors,2,FALSE),"")</x:f>
        <x:v>23.671</x:v>
      </x:c>
      <x:c r="J123" s="184" t="n">
        <x:f>IF(ISNUMBER(I123),B123*I123,0)</x:f>
        <x:v>27979122</x:v>
      </x:c>
      <x:c r="K123" s="184" t="n">
        <x:f>IF(AND(A123&lt;&gt;"",M123=0),B123*F123,0)</x:f>
        <x:v>886500</x:v>
      </x:c>
      <x:c r="L123" s="184" t="n">
        <x:f>IF(A123="",0,IF(ISNUMBER(I123),0,B123))</x:f>
        <x:v>0</x:v>
      </x:c>
      <x:c r="M123" s="185" t="n">
        <x:f>IF(A123="",0,IF(AND(ISNUMBER(F123),F123&gt;=0,F123&lt;=1,OR(G123="fitch_issue_recovery_estimate",G123="fitch_issue_recovery_rating",G123="reviewed_bbsf_fallback",G123="development_assumption"),H123&lt;&gt;""),0,B123))</x:f>
        <x:v>0</x:v>
      </x:c>
      <x:c r="N123" s="186" t="n">
        <x:f>IF(A123=Q123,0,1)+IF(B123=R123,0,1)+IF(C123=S123,0,1)+IF(D123=T123,0,1)+IF(E123=U123,0,1)+IF(F123=V123,0,1)+IF(G123=W123,0,1)+IF(H123=X123,0,1)</x:f>
        <x:v>0</x:v>
      </x:c>
      <x:c r="O123" s="186" t="n">
        <x:f>IF(A123="",0,IF(E123="",B123,0))</x:f>
        <x:v>1182000</x:v>
      </x:c>
      <x:c r="P123" s="187"/>
      <x:c r="Q123" s="179" t="str">
        <x:v>SYN-LN-00116</x:v>
      </x:c>
      <x:c r="R123" s="179" t="n">
        <x:v>1182000</x:v>
      </x:c>
      <x:c r="S123" s="179" t="str">
        <x:v>B</x:v>
      </x:c>
      <x:c r="T123" s="179" t="str">
        <x:v>development_proxy</x:v>
      </x:c>
      <x:c r="U123" s="179" t="str"/>
      <x:c r="V123" s="179" t="n">
        <x:v>0.75</x:v>
      </x:c>
      <x:c r="W123" s="179" t="str">
        <x:v>development_assumption</x:v>
      </x:c>
      <x:c r="X12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24" ht="107" customHeight="1">
      <x:c r="A124" s="179" t="str">
        <x:v>SYN-LN-00117</x:v>
      </x:c>
      <x:c r="B124" s="180" t="n">
        <x:f>IF(A124="","",SUMIF('Portfolio Inputs'!A8:A289,A124,'Portfolio Inputs'!D8:D289))</x:f>
        <x:v>1182000</x:v>
      </x:c>
      <x:c r="C124" s="179" t="str">
        <x:v>B-</x:v>
      </x:c>
      <x:c r="D124" s="181" t="str">
        <x:v>development_proxy</x:v>
      </x:c>
      <x:c r="E124" s="181" t="str"/>
      <x:c r="F124" s="182" t="n">
        <x:v>0.75</x:v>
      </x:c>
      <x:c r="G124" s="181" t="str">
        <x:v>development_assumption</x:v>
      </x:c>
      <x:c r="H12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24" s="183" t="n">
        <x:f>IF(AND(C124&lt;&gt;"",OR(D124="public_fitch_idr",D124="reviewed_appendix5_equivalent",D124="development_proxy"),H124&lt;&gt;""),VLOOKUP(C124,Fitch_WARF_Factors,2,FALSE),"")</x:f>
        <x:v>32.221</x:v>
      </x:c>
      <x:c r="J124" s="184" t="n">
        <x:f>IF(ISNUMBER(I124),B124*I124,0)</x:f>
        <x:v>38085221.99999999</x:v>
      </x:c>
      <x:c r="K124" s="184" t="n">
        <x:f>IF(AND(A124&lt;&gt;"",M124=0),B124*F124,0)</x:f>
        <x:v>886500</x:v>
      </x:c>
      <x:c r="L124" s="184" t="n">
        <x:f>IF(A124="",0,IF(ISNUMBER(I124),0,B124))</x:f>
        <x:v>0</x:v>
      </x:c>
      <x:c r="M124" s="185" t="n">
        <x:f>IF(A124="",0,IF(AND(ISNUMBER(F124),F124&gt;=0,F124&lt;=1,OR(G124="fitch_issue_recovery_estimate",G124="fitch_issue_recovery_rating",G124="reviewed_bbsf_fallback",G124="development_assumption"),H124&lt;&gt;""),0,B124))</x:f>
        <x:v>0</x:v>
      </x:c>
      <x:c r="N124" s="186" t="n">
        <x:f>IF(A124=Q124,0,1)+IF(B124=R124,0,1)+IF(C124=S124,0,1)+IF(D124=T124,0,1)+IF(E124=U124,0,1)+IF(F124=V124,0,1)+IF(G124=W124,0,1)+IF(H124=X124,0,1)</x:f>
        <x:v>0</x:v>
      </x:c>
      <x:c r="O124" s="186" t="n">
        <x:f>IF(A124="",0,IF(E124="",B124,0))</x:f>
        <x:v>1182000</x:v>
      </x:c>
      <x:c r="P124" s="187"/>
      <x:c r="Q124" s="179" t="str">
        <x:v>SYN-LN-00117</x:v>
      </x:c>
      <x:c r="R124" s="179" t="n">
        <x:v>1182000</x:v>
      </x:c>
      <x:c r="S124" s="179" t="str">
        <x:v>B-</x:v>
      </x:c>
      <x:c r="T124" s="179" t="str">
        <x:v>development_proxy</x:v>
      </x:c>
      <x:c r="U124" s="179" t="str"/>
      <x:c r="V124" s="179" t="n">
        <x:v>0.75</x:v>
      </x:c>
      <x:c r="W124" s="179" t="str">
        <x:v>development_assumption</x:v>
      </x:c>
      <x:c r="X12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25" ht="107" customHeight="1">
      <x:c r="A125" s="179" t="str">
        <x:v>SYN-LN-00118</x:v>
      </x:c>
      <x:c r="B125" s="180" t="n">
        <x:f>IF(A125="","",SUMIF('Portfolio Inputs'!A8:A289,A125,'Portfolio Inputs'!D8:D289))</x:f>
        <x:v>1224000</x:v>
      </x:c>
      <x:c r="C125" s="179" t="str">
        <x:v>B</x:v>
      </x:c>
      <x:c r="D125" s="181" t="str">
        <x:v>development_proxy</x:v>
      </x:c>
      <x:c r="E125" s="181" t="str"/>
      <x:c r="F125" s="182" t="n">
        <x:v>0.75</x:v>
      </x:c>
      <x:c r="G125" s="181" t="str">
        <x:v>development_assumption</x:v>
      </x:c>
      <x:c r="H12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25" s="183" t="n">
        <x:f>IF(AND(C125&lt;&gt;"",OR(D125="public_fitch_idr",D125="reviewed_appendix5_equivalent",D125="development_proxy"),H125&lt;&gt;""),VLOOKUP(C125,Fitch_WARF_Factors,2,FALSE),"")</x:f>
        <x:v>23.671</x:v>
      </x:c>
      <x:c r="J125" s="184" t="n">
        <x:f>IF(ISNUMBER(I125),B125*I125,0)</x:f>
        <x:v>28973304</x:v>
      </x:c>
      <x:c r="K125" s="184" t="n">
        <x:f>IF(AND(A125&lt;&gt;"",M125=0),B125*F125,0)</x:f>
        <x:v>918000</x:v>
      </x:c>
      <x:c r="L125" s="184" t="n">
        <x:f>IF(A125="",0,IF(ISNUMBER(I125),0,B125))</x:f>
        <x:v>0</x:v>
      </x:c>
      <x:c r="M125" s="185" t="n">
        <x:f>IF(A125="",0,IF(AND(ISNUMBER(F125),F125&gt;=0,F125&lt;=1,OR(G125="fitch_issue_recovery_estimate",G125="fitch_issue_recovery_rating",G125="reviewed_bbsf_fallback",G125="development_assumption"),H125&lt;&gt;""),0,B125))</x:f>
        <x:v>0</x:v>
      </x:c>
      <x:c r="N125" s="186" t="n">
        <x:f>IF(A125=Q125,0,1)+IF(B125=R125,0,1)+IF(C125=S125,0,1)+IF(D125=T125,0,1)+IF(E125=U125,0,1)+IF(F125=V125,0,1)+IF(G125=W125,0,1)+IF(H125=X125,0,1)</x:f>
        <x:v>0</x:v>
      </x:c>
      <x:c r="O125" s="186" t="n">
        <x:f>IF(A125="",0,IF(E125="",B125,0))</x:f>
        <x:v>1224000</x:v>
      </x:c>
      <x:c r="P125" s="187"/>
      <x:c r="Q125" s="179" t="str">
        <x:v>SYN-LN-00118</x:v>
      </x:c>
      <x:c r="R125" s="179" t="n">
        <x:v>1224000</x:v>
      </x:c>
      <x:c r="S125" s="179" t="str">
        <x:v>B</x:v>
      </x:c>
      <x:c r="T125" s="179" t="str">
        <x:v>development_proxy</x:v>
      </x:c>
      <x:c r="U125" s="179" t="str"/>
      <x:c r="V125" s="179" t="n">
        <x:v>0.75</x:v>
      </x:c>
      <x:c r="W125" s="179" t="str">
        <x:v>development_assumption</x:v>
      </x:c>
      <x:c r="X12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26" ht="107" customHeight="1">
      <x:c r="A126" s="179" t="str">
        <x:v>SYN-LN-00119</x:v>
      </x:c>
      <x:c r="B126" s="180" t="n">
        <x:f>IF(A126="","",SUMIF('Portfolio Inputs'!A8:A289,A126,'Portfolio Inputs'!D8:D289))</x:f>
        <x:v>610000</x:v>
      </x:c>
      <x:c r="C126" s="179" t="str">
        <x:v>B+</x:v>
      </x:c>
      <x:c r="D126" s="181" t="str">
        <x:v>development_proxy</x:v>
      </x:c>
      <x:c r="E126" s="181" t="str"/>
      <x:c r="F126" s="182" t="n">
        <x:v>0.75</x:v>
      </x:c>
      <x:c r="G126" s="181" t="str">
        <x:v>development_assumption</x:v>
      </x:c>
      <x:c r="H12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26" s="183" t="n">
        <x:f>IF(AND(C126&lt;&gt;"",OR(D126="public_fitch_idr",D126="reviewed_appendix5_equivalent",D126="development_proxy"),H126&lt;&gt;""),VLOOKUP(C126,Fitch_WARF_Factors,2,FALSE),"")</x:f>
        <x:v>19.627</x:v>
      </x:c>
      <x:c r="J126" s="184" t="n">
        <x:f>IF(ISNUMBER(I126),B126*I126,0)</x:f>
        <x:v>11972470</x:v>
      </x:c>
      <x:c r="K126" s="184" t="n">
        <x:f>IF(AND(A126&lt;&gt;"",M126=0),B126*F126,0)</x:f>
        <x:v>457500</x:v>
      </x:c>
      <x:c r="L126" s="184" t="n">
        <x:f>IF(A126="",0,IF(ISNUMBER(I126),0,B126))</x:f>
        <x:v>0</x:v>
      </x:c>
      <x:c r="M126" s="185" t="n">
        <x:f>IF(A126="",0,IF(AND(ISNUMBER(F126),F126&gt;=0,F126&lt;=1,OR(G126="fitch_issue_recovery_estimate",G126="fitch_issue_recovery_rating",G126="reviewed_bbsf_fallback",G126="development_assumption"),H126&lt;&gt;""),0,B126))</x:f>
        <x:v>0</x:v>
      </x:c>
      <x:c r="N126" s="186" t="n">
        <x:f>IF(A126=Q126,0,1)+IF(B126=R126,0,1)+IF(C126=S126,0,1)+IF(D126=T126,0,1)+IF(E126=U126,0,1)+IF(F126=V126,0,1)+IF(G126=W126,0,1)+IF(H126=X126,0,1)</x:f>
        <x:v>0</x:v>
      </x:c>
      <x:c r="O126" s="186" t="n">
        <x:f>IF(A126="",0,IF(E126="",B126,0))</x:f>
        <x:v>610000</x:v>
      </x:c>
      <x:c r="P126" s="187"/>
      <x:c r="Q126" s="179" t="str">
        <x:v>SYN-LN-00119</x:v>
      </x:c>
      <x:c r="R126" s="179" t="n">
        <x:v>610000</x:v>
      </x:c>
      <x:c r="S126" s="179" t="str">
        <x:v>B+</x:v>
      </x:c>
      <x:c r="T126" s="179" t="str">
        <x:v>development_proxy</x:v>
      </x:c>
      <x:c r="U126" s="179" t="str"/>
      <x:c r="V126" s="179" t="n">
        <x:v>0.75</x:v>
      </x:c>
      <x:c r="W126" s="179" t="str">
        <x:v>development_assumption</x:v>
      </x:c>
      <x:c r="X12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27" ht="107" customHeight="1">
      <x:c r="A127" s="179" t="str">
        <x:v>SYN-LN-00120</x:v>
      </x:c>
      <x:c r="B127" s="180" t="n">
        <x:f>IF(A127="","",SUMIF('Portfolio Inputs'!A8:A289,A127,'Portfolio Inputs'!D8:D289))</x:f>
        <x:v>572000</x:v>
      </x:c>
      <x:c r="C127" s="179" t="str">
        <x:v>B+</x:v>
      </x:c>
      <x:c r="D127" s="181" t="str">
        <x:v>development_proxy</x:v>
      </x:c>
      <x:c r="E127" s="181" t="str"/>
      <x:c r="F127" s="182" t="n">
        <x:v>0.75</x:v>
      </x:c>
      <x:c r="G127" s="181" t="str">
        <x:v>development_assumption</x:v>
      </x:c>
      <x:c r="H12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27" s="183" t="n">
        <x:f>IF(AND(C127&lt;&gt;"",OR(D127="public_fitch_idr",D127="reviewed_appendix5_equivalent",D127="development_proxy"),H127&lt;&gt;""),VLOOKUP(C127,Fitch_WARF_Factors,2,FALSE),"")</x:f>
        <x:v>19.627</x:v>
      </x:c>
      <x:c r="J127" s="184" t="n">
        <x:f>IF(ISNUMBER(I127),B127*I127,0)</x:f>
        <x:v>11226644</x:v>
      </x:c>
      <x:c r="K127" s="184" t="n">
        <x:f>IF(AND(A127&lt;&gt;"",M127=0),B127*F127,0)</x:f>
        <x:v>429000</x:v>
      </x:c>
      <x:c r="L127" s="184" t="n">
        <x:f>IF(A127="",0,IF(ISNUMBER(I127),0,B127))</x:f>
        <x:v>0</x:v>
      </x:c>
      <x:c r="M127" s="185" t="n">
        <x:f>IF(A127="",0,IF(AND(ISNUMBER(F127),F127&gt;=0,F127&lt;=1,OR(G127="fitch_issue_recovery_estimate",G127="fitch_issue_recovery_rating",G127="reviewed_bbsf_fallback",G127="development_assumption"),H127&lt;&gt;""),0,B127))</x:f>
        <x:v>0</x:v>
      </x:c>
      <x:c r="N127" s="186" t="n">
        <x:f>IF(A127=Q127,0,1)+IF(B127=R127,0,1)+IF(C127=S127,0,1)+IF(D127=T127,0,1)+IF(E127=U127,0,1)+IF(F127=V127,0,1)+IF(G127=W127,0,1)+IF(H127=X127,0,1)</x:f>
        <x:v>0</x:v>
      </x:c>
      <x:c r="O127" s="186" t="n">
        <x:f>IF(A127="",0,IF(E127="",B127,0))</x:f>
        <x:v>572000</x:v>
      </x:c>
      <x:c r="P127" s="187"/>
      <x:c r="Q127" s="179" t="str">
        <x:v>SYN-LN-00120</x:v>
      </x:c>
      <x:c r="R127" s="179" t="n">
        <x:v>572000</x:v>
      </x:c>
      <x:c r="S127" s="179" t="str">
        <x:v>B+</x:v>
      </x:c>
      <x:c r="T127" s="179" t="str">
        <x:v>development_proxy</x:v>
      </x:c>
      <x:c r="U127" s="179" t="str"/>
      <x:c r="V127" s="179" t="n">
        <x:v>0.75</x:v>
      </x:c>
      <x:c r="W127" s="179" t="str">
        <x:v>development_assumption</x:v>
      </x:c>
      <x:c r="X12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28" ht="107" customHeight="1">
      <x:c r="A128" s="179" t="str">
        <x:v>SYN-LN-00121</x:v>
      </x:c>
      <x:c r="B128" s="180" t="n">
        <x:f>IF(A128="","",SUMIF('Portfolio Inputs'!A8:A289,A128,'Portfolio Inputs'!D8:D289))</x:f>
        <x:v>1182000</x:v>
      </x:c>
      <x:c r="C128" s="179" t="str">
        <x:v>B</x:v>
      </x:c>
      <x:c r="D128" s="181" t="str">
        <x:v>development_proxy</x:v>
      </x:c>
      <x:c r="E128" s="181" t="str"/>
      <x:c r="F128" s="182" t="n">
        <x:v>0.75</x:v>
      </x:c>
      <x:c r="G128" s="181" t="str">
        <x:v>development_assumption</x:v>
      </x:c>
      <x:c r="H12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28" s="183" t="n">
        <x:f>IF(AND(C128&lt;&gt;"",OR(D128="public_fitch_idr",D128="reviewed_appendix5_equivalent",D128="development_proxy"),H128&lt;&gt;""),VLOOKUP(C128,Fitch_WARF_Factors,2,FALSE),"")</x:f>
        <x:v>23.671</x:v>
      </x:c>
      <x:c r="J128" s="184" t="n">
        <x:f>IF(ISNUMBER(I128),B128*I128,0)</x:f>
        <x:v>27979122</x:v>
      </x:c>
      <x:c r="K128" s="184" t="n">
        <x:f>IF(AND(A128&lt;&gt;"",M128=0),B128*F128,0)</x:f>
        <x:v>886500</x:v>
      </x:c>
      <x:c r="L128" s="184" t="n">
        <x:f>IF(A128="",0,IF(ISNUMBER(I128),0,B128))</x:f>
        <x:v>0</x:v>
      </x:c>
      <x:c r="M128" s="185" t="n">
        <x:f>IF(A128="",0,IF(AND(ISNUMBER(F128),F128&gt;=0,F128&lt;=1,OR(G128="fitch_issue_recovery_estimate",G128="fitch_issue_recovery_rating",G128="reviewed_bbsf_fallback",G128="development_assumption"),H128&lt;&gt;""),0,B128))</x:f>
        <x:v>0</x:v>
      </x:c>
      <x:c r="N128" s="186" t="n">
        <x:f>IF(A128=Q128,0,1)+IF(B128=R128,0,1)+IF(C128=S128,0,1)+IF(D128=T128,0,1)+IF(E128=U128,0,1)+IF(F128=V128,0,1)+IF(G128=W128,0,1)+IF(H128=X128,0,1)</x:f>
        <x:v>0</x:v>
      </x:c>
      <x:c r="O128" s="186" t="n">
        <x:f>IF(A128="",0,IF(E128="",B128,0))</x:f>
        <x:v>1182000</x:v>
      </x:c>
      <x:c r="P128" s="187"/>
      <x:c r="Q128" s="179" t="str">
        <x:v>SYN-LN-00121</x:v>
      </x:c>
      <x:c r="R128" s="179" t="n">
        <x:v>1182000</x:v>
      </x:c>
      <x:c r="S128" s="179" t="str">
        <x:v>B</x:v>
      </x:c>
      <x:c r="T128" s="179" t="str">
        <x:v>development_proxy</x:v>
      </x:c>
      <x:c r="U128" s="179" t="str"/>
      <x:c r="V128" s="179" t="n">
        <x:v>0.75</x:v>
      </x:c>
      <x:c r="W128" s="179" t="str">
        <x:v>development_assumption</x:v>
      </x:c>
      <x:c r="X12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29" ht="107" customHeight="1">
      <x:c r="A129" s="179" t="str">
        <x:v>SYN-LN-00122</x:v>
      </x:c>
      <x:c r="B129" s="180" t="n">
        <x:f>IF(A129="","",SUMIF('Portfolio Inputs'!A8:A289,A129,'Portfolio Inputs'!D8:D289))</x:f>
        <x:v>630000</x:v>
      </x:c>
      <x:c r="C129" s="179" t="str">
        <x:v>B+</x:v>
      </x:c>
      <x:c r="D129" s="181" t="str">
        <x:v>development_proxy</x:v>
      </x:c>
      <x:c r="E129" s="181" t="str"/>
      <x:c r="F129" s="182"/>
      <x:c r="G129" s="181" t="str"/>
      <x:c r="H129" s="181" t="str">
        <x:v>FICTIONAL DEVELOPMENT: copied S&amp;P symbol as Fitch IDR-equivalency proxy; no Fitch rating or Appendix 5 review.</x:v>
      </x:c>
      <x:c r="I129" s="183" t="n">
        <x:f>IF(AND(C129&lt;&gt;"",OR(D129="public_fitch_idr",D129="reviewed_appendix5_equivalent",D129="development_proxy"),H129&lt;&gt;""),VLOOKUP(C129,Fitch_WARF_Factors,2,FALSE),"")</x:f>
        <x:v>19.627</x:v>
      </x:c>
      <x:c r="J129" s="184" t="n">
        <x:f>IF(ISNUMBER(I129),B129*I129,0)</x:f>
        <x:v>12365010</x:v>
      </x:c>
      <x:c r="K129" s="184" t="n">
        <x:f>IF(AND(A129&lt;&gt;"",M129=0),B129*F129,0)</x:f>
        <x:v>0</x:v>
      </x:c>
      <x:c r="L129" s="184" t="n">
        <x:f>IF(A129="",0,IF(ISNUMBER(I129),0,B129))</x:f>
        <x:v>0</x:v>
      </x:c>
      <x:c r="M129" s="185" t="n">
        <x:f>IF(A129="",0,IF(AND(ISNUMBER(F129),F129&gt;=0,F129&lt;=1,OR(G129="fitch_issue_recovery_estimate",G129="fitch_issue_recovery_rating",G129="reviewed_bbsf_fallback",G129="development_assumption"),H129&lt;&gt;""),0,B129))</x:f>
        <x:v>630000</x:v>
      </x:c>
      <x:c r="N129" s="186" t="n">
        <x:f>IF(A129=Q129,0,1)+IF(B129=R129,0,1)+IF(C129=S129,0,1)+IF(D129=T129,0,1)+IF(E129=U129,0,1)+IF(F129=V129,0,1)+IF(G129=W129,0,1)+IF(H129=X129,0,1)</x:f>
        <x:v>0</x:v>
      </x:c>
      <x:c r="O129" s="186" t="n">
        <x:f>IF(A129="",0,IF(E129="",B129,0))</x:f>
        <x:v>630000</x:v>
      </x:c>
      <x:c r="P129" s="187"/>
      <x:c r="Q129" s="179" t="str">
        <x:v>SYN-LN-00122</x:v>
      </x:c>
      <x:c r="R129" s="179" t="n">
        <x:v>630000</x:v>
      </x:c>
      <x:c r="S129" s="179" t="str">
        <x:v>B+</x:v>
      </x:c>
      <x:c r="T129" s="179" t="str">
        <x:v>development_proxy</x:v>
      </x:c>
      <x:c r="U129" s="179" t="str"/>
      <x:c r="V129" s="179"/>
      <x:c r="W129" s="179" t="str"/>
      <x:c r="X129" s="179" t="str">
        <x:v>FICTIONAL DEVELOPMENT: copied S&amp;P symbol as Fitch IDR-equivalency proxy; no Fitch rating or Appendix 5 review.</x:v>
      </x:c>
    </x:row>
    <x:row r="130" ht="107" customHeight="1">
      <x:c r="A130" s="179" t="str">
        <x:v>SYN-LN-00123</x:v>
      </x:c>
      <x:c r="B130" s="180" t="n">
        <x:f>IF(A130="","",SUMIF('Portfolio Inputs'!A8:A289,A130,'Portfolio Inputs'!D8:D289))</x:f>
        <x:v>1182000</x:v>
      </x:c>
      <x:c r="C130" s="179" t="str">
        <x:v>B-</x:v>
      </x:c>
      <x:c r="D130" s="181" t="str">
        <x:v>development_proxy</x:v>
      </x:c>
      <x:c r="E130" s="181" t="str"/>
      <x:c r="F130" s="182" t="n">
        <x:v>0.75</x:v>
      </x:c>
      <x:c r="G130" s="181" t="str">
        <x:v>development_assumption</x:v>
      </x:c>
      <x:c r="H13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30" s="183" t="n">
        <x:f>IF(AND(C130&lt;&gt;"",OR(D130="public_fitch_idr",D130="reviewed_appendix5_equivalent",D130="development_proxy"),H130&lt;&gt;""),VLOOKUP(C130,Fitch_WARF_Factors,2,FALSE),"")</x:f>
        <x:v>32.221</x:v>
      </x:c>
      <x:c r="J130" s="184" t="n">
        <x:f>IF(ISNUMBER(I130),B130*I130,0)</x:f>
        <x:v>38085221.99999999</x:v>
      </x:c>
      <x:c r="K130" s="184" t="n">
        <x:f>IF(AND(A130&lt;&gt;"",M130=0),B130*F130,0)</x:f>
        <x:v>886500</x:v>
      </x:c>
      <x:c r="L130" s="184" t="n">
        <x:f>IF(A130="",0,IF(ISNUMBER(I130),0,B130))</x:f>
        <x:v>0</x:v>
      </x:c>
      <x:c r="M130" s="185" t="n">
        <x:f>IF(A130="",0,IF(AND(ISNUMBER(F130),F130&gt;=0,F130&lt;=1,OR(G130="fitch_issue_recovery_estimate",G130="fitch_issue_recovery_rating",G130="reviewed_bbsf_fallback",G130="development_assumption"),H130&lt;&gt;""),0,B130))</x:f>
        <x:v>0</x:v>
      </x:c>
      <x:c r="N130" s="186" t="n">
        <x:f>IF(A130=Q130,0,1)+IF(B130=R130,0,1)+IF(C130=S130,0,1)+IF(D130=T130,0,1)+IF(E130=U130,0,1)+IF(F130=V130,0,1)+IF(G130=W130,0,1)+IF(H130=X130,0,1)</x:f>
        <x:v>0</x:v>
      </x:c>
      <x:c r="O130" s="186" t="n">
        <x:f>IF(A130="",0,IF(E130="",B130,0))</x:f>
        <x:v>1182000</x:v>
      </x:c>
      <x:c r="P130" s="187"/>
      <x:c r="Q130" s="179" t="str">
        <x:v>SYN-LN-00123</x:v>
      </x:c>
      <x:c r="R130" s="179" t="n">
        <x:v>1182000</x:v>
      </x:c>
      <x:c r="S130" s="179" t="str">
        <x:v>B-</x:v>
      </x:c>
      <x:c r="T130" s="179" t="str">
        <x:v>development_proxy</x:v>
      </x:c>
      <x:c r="U130" s="179" t="str"/>
      <x:c r="V130" s="179" t="n">
        <x:v>0.75</x:v>
      </x:c>
      <x:c r="W130" s="179" t="str">
        <x:v>development_assumption</x:v>
      </x:c>
      <x:c r="X13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31" ht="107" customHeight="1">
      <x:c r="A131" s="179" t="str">
        <x:v>SYN-LN-00124</x:v>
      </x:c>
      <x:c r="B131" s="180" t="n">
        <x:f>IF(A131="","",SUMIF('Portfolio Inputs'!A8:A289,A131,'Portfolio Inputs'!D8:D289))</x:f>
        <x:v>1182000</x:v>
      </x:c>
      <x:c r="C131" s="179" t="str">
        <x:v>B-</x:v>
      </x:c>
      <x:c r="D131" s="181" t="str">
        <x:v>development_proxy</x:v>
      </x:c>
      <x:c r="E131" s="181" t="str"/>
      <x:c r="F131" s="182" t="n">
        <x:v>0.75</x:v>
      </x:c>
      <x:c r="G131" s="181" t="str">
        <x:v>development_assumption</x:v>
      </x:c>
      <x:c r="H13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31" s="183" t="n">
        <x:f>IF(AND(C131&lt;&gt;"",OR(D131="public_fitch_idr",D131="reviewed_appendix5_equivalent",D131="development_proxy"),H131&lt;&gt;""),VLOOKUP(C131,Fitch_WARF_Factors,2,FALSE),"")</x:f>
        <x:v>32.221</x:v>
      </x:c>
      <x:c r="J131" s="184" t="n">
        <x:f>IF(ISNUMBER(I131),B131*I131,0)</x:f>
        <x:v>38085221.99999999</x:v>
      </x:c>
      <x:c r="K131" s="184" t="n">
        <x:f>IF(AND(A131&lt;&gt;"",M131=0),B131*F131,0)</x:f>
        <x:v>886500</x:v>
      </x:c>
      <x:c r="L131" s="184" t="n">
        <x:f>IF(A131="",0,IF(ISNUMBER(I131),0,B131))</x:f>
        <x:v>0</x:v>
      </x:c>
      <x:c r="M131" s="185" t="n">
        <x:f>IF(A131="",0,IF(AND(ISNUMBER(F131),F131&gt;=0,F131&lt;=1,OR(G131="fitch_issue_recovery_estimate",G131="fitch_issue_recovery_rating",G131="reviewed_bbsf_fallback",G131="development_assumption"),H131&lt;&gt;""),0,B131))</x:f>
        <x:v>0</x:v>
      </x:c>
      <x:c r="N131" s="186" t="n">
        <x:f>IF(A131=Q131,0,1)+IF(B131=R131,0,1)+IF(C131=S131,0,1)+IF(D131=T131,0,1)+IF(E131=U131,0,1)+IF(F131=V131,0,1)+IF(G131=W131,0,1)+IF(H131=X131,0,1)</x:f>
        <x:v>0</x:v>
      </x:c>
      <x:c r="O131" s="186" t="n">
        <x:f>IF(A131="",0,IF(E131="",B131,0))</x:f>
        <x:v>1182000</x:v>
      </x:c>
      <x:c r="P131" s="187"/>
      <x:c r="Q131" s="179" t="str">
        <x:v>SYN-LN-00124</x:v>
      </x:c>
      <x:c r="R131" s="179" t="n">
        <x:v>1182000</x:v>
      </x:c>
      <x:c r="S131" s="179" t="str">
        <x:v>B-</x:v>
      </x:c>
      <x:c r="T131" s="179" t="str">
        <x:v>development_proxy</x:v>
      </x:c>
      <x:c r="U131" s="179" t="str"/>
      <x:c r="V131" s="179" t="n">
        <x:v>0.75</x:v>
      </x:c>
      <x:c r="W131" s="179" t="str">
        <x:v>development_assumption</x:v>
      </x:c>
      <x:c r="X13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32" ht="107" customHeight="1">
      <x:c r="A132" s="179" t="str">
        <x:v>SYN-LN-00125</x:v>
      </x:c>
      <x:c r="B132" s="180" t="n">
        <x:f>IF(A132="","",SUMIF('Portfolio Inputs'!A8:A289,A132,'Portfolio Inputs'!D8:D289))</x:f>
        <x:v>1182000</x:v>
      </x:c>
      <x:c r="C132" s="179" t="str">
        <x:v>BB-</x:v>
      </x:c>
      <x:c r="D132" s="181" t="str">
        <x:v>development_proxy</x:v>
      </x:c>
      <x:c r="E132" s="181" t="str"/>
      <x:c r="F132" s="182" t="n">
        <x:v>0.75</x:v>
      </x:c>
      <x:c r="G132" s="181" t="str">
        <x:v>development_assumption</x:v>
      </x:c>
      <x:c r="H13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32" s="183" t="n">
        <x:f>IF(AND(C132&lt;&gt;"",OR(D132="public_fitch_idr",D132="reviewed_appendix5_equivalent",D132="development_proxy"),H132&lt;&gt;""),VLOOKUP(C132,Fitch_WARF_Factors,2,FALSE),"")</x:f>
        <x:v>15.733</x:v>
      </x:c>
      <x:c r="J132" s="184" t="n">
        <x:f>IF(ISNUMBER(I132),B132*I132,0)</x:f>
        <x:v>18596406</x:v>
      </x:c>
      <x:c r="K132" s="184" t="n">
        <x:f>IF(AND(A132&lt;&gt;"",M132=0),B132*F132,0)</x:f>
        <x:v>886500</x:v>
      </x:c>
      <x:c r="L132" s="184" t="n">
        <x:f>IF(A132="",0,IF(ISNUMBER(I132),0,B132))</x:f>
        <x:v>0</x:v>
      </x:c>
      <x:c r="M132" s="185" t="n">
        <x:f>IF(A132="",0,IF(AND(ISNUMBER(F132),F132&gt;=0,F132&lt;=1,OR(G132="fitch_issue_recovery_estimate",G132="fitch_issue_recovery_rating",G132="reviewed_bbsf_fallback",G132="development_assumption"),H132&lt;&gt;""),0,B132))</x:f>
        <x:v>0</x:v>
      </x:c>
      <x:c r="N132" s="186" t="n">
        <x:f>IF(A132=Q132,0,1)+IF(B132=R132,0,1)+IF(C132=S132,0,1)+IF(D132=T132,0,1)+IF(E132=U132,0,1)+IF(F132=V132,0,1)+IF(G132=W132,0,1)+IF(H132=X132,0,1)</x:f>
        <x:v>0</x:v>
      </x:c>
      <x:c r="O132" s="186" t="n">
        <x:f>IF(A132="",0,IF(E132="",B132,0))</x:f>
        <x:v>1182000</x:v>
      </x:c>
      <x:c r="P132" s="187"/>
      <x:c r="Q132" s="179" t="str">
        <x:v>SYN-LN-00125</x:v>
      </x:c>
      <x:c r="R132" s="179" t="n">
        <x:v>1182000</x:v>
      </x:c>
      <x:c r="S132" s="179" t="str">
        <x:v>BB-</x:v>
      </x:c>
      <x:c r="T132" s="179" t="str">
        <x:v>development_proxy</x:v>
      </x:c>
      <x:c r="U132" s="179" t="str"/>
      <x:c r="V132" s="179" t="n">
        <x:v>0.75</x:v>
      </x:c>
      <x:c r="W132" s="179" t="str">
        <x:v>development_assumption</x:v>
      </x:c>
      <x:c r="X13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33" ht="107" customHeight="1">
      <x:c r="A133" s="179" t="str">
        <x:v>SYN-LN-00126</x:v>
      </x:c>
      <x:c r="B133" s="180" t="n">
        <x:f>IF(A133="","",SUMIF('Portfolio Inputs'!A8:A289,A133,'Portfolio Inputs'!D8:D289))</x:f>
        <x:v>1182000</x:v>
      </x:c>
      <x:c r="C133" s="179" t="str">
        <x:v>B-</x:v>
      </x:c>
      <x:c r="D133" s="181" t="str">
        <x:v>development_proxy</x:v>
      </x:c>
      <x:c r="E133" s="181" t="str"/>
      <x:c r="F133" s="182" t="n">
        <x:v>0.75</x:v>
      </x:c>
      <x:c r="G133" s="181" t="str">
        <x:v>development_assumption</x:v>
      </x:c>
      <x:c r="H13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33" s="183" t="n">
        <x:f>IF(AND(C133&lt;&gt;"",OR(D133="public_fitch_idr",D133="reviewed_appendix5_equivalent",D133="development_proxy"),H133&lt;&gt;""),VLOOKUP(C133,Fitch_WARF_Factors,2,FALSE),"")</x:f>
        <x:v>32.221</x:v>
      </x:c>
      <x:c r="J133" s="184" t="n">
        <x:f>IF(ISNUMBER(I133),B133*I133,0)</x:f>
        <x:v>38085221.99999999</x:v>
      </x:c>
      <x:c r="K133" s="184" t="n">
        <x:f>IF(AND(A133&lt;&gt;"",M133=0),B133*F133,0)</x:f>
        <x:v>886500</x:v>
      </x:c>
      <x:c r="L133" s="184" t="n">
        <x:f>IF(A133="",0,IF(ISNUMBER(I133),0,B133))</x:f>
        <x:v>0</x:v>
      </x:c>
      <x:c r="M133" s="185" t="n">
        <x:f>IF(A133="",0,IF(AND(ISNUMBER(F133),F133&gt;=0,F133&lt;=1,OR(G133="fitch_issue_recovery_estimate",G133="fitch_issue_recovery_rating",G133="reviewed_bbsf_fallback",G133="development_assumption"),H133&lt;&gt;""),0,B133))</x:f>
        <x:v>0</x:v>
      </x:c>
      <x:c r="N133" s="186" t="n">
        <x:f>IF(A133=Q133,0,1)+IF(B133=R133,0,1)+IF(C133=S133,0,1)+IF(D133=T133,0,1)+IF(E133=U133,0,1)+IF(F133=V133,0,1)+IF(G133=W133,0,1)+IF(H133=X133,0,1)</x:f>
        <x:v>0</x:v>
      </x:c>
      <x:c r="O133" s="186" t="n">
        <x:f>IF(A133="",0,IF(E133="",B133,0))</x:f>
        <x:v>1182000</x:v>
      </x:c>
      <x:c r="P133" s="187"/>
      <x:c r="Q133" s="179" t="str">
        <x:v>SYN-LN-00126</x:v>
      </x:c>
      <x:c r="R133" s="179" t="n">
        <x:v>1182000</x:v>
      </x:c>
      <x:c r="S133" s="179" t="str">
        <x:v>B-</x:v>
      </x:c>
      <x:c r="T133" s="179" t="str">
        <x:v>development_proxy</x:v>
      </x:c>
      <x:c r="U133" s="179" t="str"/>
      <x:c r="V133" s="179" t="n">
        <x:v>0.75</x:v>
      </x:c>
      <x:c r="W133" s="179" t="str">
        <x:v>development_assumption</x:v>
      </x:c>
      <x:c r="X13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34" ht="107" customHeight="1">
      <x:c r="A134" s="179" t="str">
        <x:v>SYN-LN-00127</x:v>
      </x:c>
      <x:c r="B134" s="180" t="n">
        <x:f>IF(A134="","",SUMIF('Portfolio Inputs'!A8:A289,A134,'Portfolio Inputs'!D8:D289))</x:f>
        <x:v>1182000</x:v>
      </x:c>
      <x:c r="C134" s="179" t="str">
        <x:v>BB-</x:v>
      </x:c>
      <x:c r="D134" s="181" t="str">
        <x:v>development_proxy</x:v>
      </x:c>
      <x:c r="E134" s="181" t="str"/>
      <x:c r="F134" s="182" t="n">
        <x:v>0.75</x:v>
      </x:c>
      <x:c r="G134" s="181" t="str">
        <x:v>development_assumption</x:v>
      </x:c>
      <x:c r="H13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34" s="183" t="n">
        <x:f>IF(AND(C134&lt;&gt;"",OR(D134="public_fitch_idr",D134="reviewed_appendix5_equivalent",D134="development_proxy"),H134&lt;&gt;""),VLOOKUP(C134,Fitch_WARF_Factors,2,FALSE),"")</x:f>
        <x:v>15.733</x:v>
      </x:c>
      <x:c r="J134" s="184" t="n">
        <x:f>IF(ISNUMBER(I134),B134*I134,0)</x:f>
        <x:v>18596406</x:v>
      </x:c>
      <x:c r="K134" s="184" t="n">
        <x:f>IF(AND(A134&lt;&gt;"",M134=0),B134*F134,0)</x:f>
        <x:v>886500</x:v>
      </x:c>
      <x:c r="L134" s="184" t="n">
        <x:f>IF(A134="",0,IF(ISNUMBER(I134),0,B134))</x:f>
        <x:v>0</x:v>
      </x:c>
      <x:c r="M134" s="185" t="n">
        <x:f>IF(A134="",0,IF(AND(ISNUMBER(F134),F134&gt;=0,F134&lt;=1,OR(G134="fitch_issue_recovery_estimate",G134="fitch_issue_recovery_rating",G134="reviewed_bbsf_fallback",G134="development_assumption"),H134&lt;&gt;""),0,B134))</x:f>
        <x:v>0</x:v>
      </x:c>
      <x:c r="N134" s="186" t="n">
        <x:f>IF(A134=Q134,0,1)+IF(B134=R134,0,1)+IF(C134=S134,0,1)+IF(D134=T134,0,1)+IF(E134=U134,0,1)+IF(F134=V134,0,1)+IF(G134=W134,0,1)+IF(H134=X134,0,1)</x:f>
        <x:v>0</x:v>
      </x:c>
      <x:c r="O134" s="186" t="n">
        <x:f>IF(A134="",0,IF(E134="",B134,0))</x:f>
        <x:v>1182000</x:v>
      </x:c>
      <x:c r="P134" s="187"/>
      <x:c r="Q134" s="179" t="str">
        <x:v>SYN-LN-00127</x:v>
      </x:c>
      <x:c r="R134" s="179" t="n">
        <x:v>1182000</x:v>
      </x:c>
      <x:c r="S134" s="179" t="str">
        <x:v>BB-</x:v>
      </x:c>
      <x:c r="T134" s="179" t="str">
        <x:v>development_proxy</x:v>
      </x:c>
      <x:c r="U134" s="179" t="str"/>
      <x:c r="V134" s="179" t="n">
        <x:v>0.75</x:v>
      </x:c>
      <x:c r="W134" s="179" t="str">
        <x:v>development_assumption</x:v>
      </x:c>
      <x:c r="X13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35" ht="107" customHeight="1">
      <x:c r="A135" s="179" t="str">
        <x:v>SYN-LN-00128</x:v>
      </x:c>
      <x:c r="B135" s="180" t="n">
        <x:f>IF(A135="","",SUMIF('Portfolio Inputs'!A8:A289,A135,'Portfolio Inputs'!D8:D289))</x:f>
        <x:v>1182000</x:v>
      </x:c>
      <x:c r="C135" s="179" t="str">
        <x:v>B+</x:v>
      </x:c>
      <x:c r="D135" s="181" t="str">
        <x:v>development_proxy</x:v>
      </x:c>
      <x:c r="E135" s="181" t="str"/>
      <x:c r="F135" s="182" t="n">
        <x:v>0.75</x:v>
      </x:c>
      <x:c r="G135" s="181" t="str">
        <x:v>development_assumption</x:v>
      </x:c>
      <x:c r="H13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35" s="183" t="n">
        <x:f>IF(AND(C135&lt;&gt;"",OR(D135="public_fitch_idr",D135="reviewed_appendix5_equivalent",D135="development_proxy"),H135&lt;&gt;""),VLOOKUP(C135,Fitch_WARF_Factors,2,FALSE),"")</x:f>
        <x:v>19.627</x:v>
      </x:c>
      <x:c r="J135" s="184" t="n">
        <x:f>IF(ISNUMBER(I135),B135*I135,0)</x:f>
        <x:v>23199114</x:v>
      </x:c>
      <x:c r="K135" s="184" t="n">
        <x:f>IF(AND(A135&lt;&gt;"",M135=0),B135*F135,0)</x:f>
        <x:v>886500</x:v>
      </x:c>
      <x:c r="L135" s="184" t="n">
        <x:f>IF(A135="",0,IF(ISNUMBER(I135),0,B135))</x:f>
        <x:v>0</x:v>
      </x:c>
      <x:c r="M135" s="185" t="n">
        <x:f>IF(A135="",0,IF(AND(ISNUMBER(F135),F135&gt;=0,F135&lt;=1,OR(G135="fitch_issue_recovery_estimate",G135="fitch_issue_recovery_rating",G135="reviewed_bbsf_fallback",G135="development_assumption"),H135&lt;&gt;""),0,B135))</x:f>
        <x:v>0</x:v>
      </x:c>
      <x:c r="N135" s="186" t="n">
        <x:f>IF(A135=Q135,0,1)+IF(B135=R135,0,1)+IF(C135=S135,0,1)+IF(D135=T135,0,1)+IF(E135=U135,0,1)+IF(F135=V135,0,1)+IF(G135=W135,0,1)+IF(H135=X135,0,1)</x:f>
        <x:v>0</x:v>
      </x:c>
      <x:c r="O135" s="186" t="n">
        <x:f>IF(A135="",0,IF(E135="",B135,0))</x:f>
        <x:v>1182000</x:v>
      </x:c>
      <x:c r="P135" s="187"/>
      <x:c r="Q135" s="179" t="str">
        <x:v>SYN-LN-00128</x:v>
      </x:c>
      <x:c r="R135" s="179" t="n">
        <x:v>1182000</x:v>
      </x:c>
      <x:c r="S135" s="179" t="str">
        <x:v>B+</x:v>
      </x:c>
      <x:c r="T135" s="179" t="str">
        <x:v>development_proxy</x:v>
      </x:c>
      <x:c r="U135" s="179" t="str"/>
      <x:c r="V135" s="179" t="n">
        <x:v>0.75</x:v>
      </x:c>
      <x:c r="W135" s="179" t="str">
        <x:v>development_assumption</x:v>
      </x:c>
      <x:c r="X13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36" ht="107" customHeight="1">
      <x:c r="A136" s="179" t="str">
        <x:v>SYN-LN-00129</x:v>
      </x:c>
      <x:c r="B136" s="180" t="n">
        <x:f>IF(A136="","",SUMIF('Portfolio Inputs'!A8:A289,A136,'Portfolio Inputs'!D8:D289))</x:f>
        <x:v>1182000</x:v>
      </x:c>
      <x:c r="C136" s="179" t="str">
        <x:v>BB-</x:v>
      </x:c>
      <x:c r="D136" s="181" t="str">
        <x:v>development_proxy</x:v>
      </x:c>
      <x:c r="E136" s="181" t="str"/>
      <x:c r="F136" s="182" t="n">
        <x:v>0.75</x:v>
      </x:c>
      <x:c r="G136" s="181" t="str">
        <x:v>development_assumption</x:v>
      </x:c>
      <x:c r="H13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36" s="183" t="n">
        <x:f>IF(AND(C136&lt;&gt;"",OR(D136="public_fitch_idr",D136="reviewed_appendix5_equivalent",D136="development_proxy"),H136&lt;&gt;""),VLOOKUP(C136,Fitch_WARF_Factors,2,FALSE),"")</x:f>
        <x:v>15.733</x:v>
      </x:c>
      <x:c r="J136" s="184" t="n">
        <x:f>IF(ISNUMBER(I136),B136*I136,0)</x:f>
        <x:v>18596406</x:v>
      </x:c>
      <x:c r="K136" s="184" t="n">
        <x:f>IF(AND(A136&lt;&gt;"",M136=0),B136*F136,0)</x:f>
        <x:v>886500</x:v>
      </x:c>
      <x:c r="L136" s="184" t="n">
        <x:f>IF(A136="",0,IF(ISNUMBER(I136),0,B136))</x:f>
        <x:v>0</x:v>
      </x:c>
      <x:c r="M136" s="185" t="n">
        <x:f>IF(A136="",0,IF(AND(ISNUMBER(F136),F136&gt;=0,F136&lt;=1,OR(G136="fitch_issue_recovery_estimate",G136="fitch_issue_recovery_rating",G136="reviewed_bbsf_fallback",G136="development_assumption"),H136&lt;&gt;""),0,B136))</x:f>
        <x:v>0</x:v>
      </x:c>
      <x:c r="N136" s="186" t="n">
        <x:f>IF(A136=Q136,0,1)+IF(B136=R136,0,1)+IF(C136=S136,0,1)+IF(D136=T136,0,1)+IF(E136=U136,0,1)+IF(F136=V136,0,1)+IF(G136=W136,0,1)+IF(H136=X136,0,1)</x:f>
        <x:v>0</x:v>
      </x:c>
      <x:c r="O136" s="186" t="n">
        <x:f>IF(A136="",0,IF(E136="",B136,0))</x:f>
        <x:v>1182000</x:v>
      </x:c>
      <x:c r="P136" s="187"/>
      <x:c r="Q136" s="179" t="str">
        <x:v>SYN-LN-00129</x:v>
      </x:c>
      <x:c r="R136" s="179" t="n">
        <x:v>1182000</x:v>
      </x:c>
      <x:c r="S136" s="179" t="str">
        <x:v>BB-</x:v>
      </x:c>
      <x:c r="T136" s="179" t="str">
        <x:v>development_proxy</x:v>
      </x:c>
      <x:c r="U136" s="179" t="str"/>
      <x:c r="V136" s="179" t="n">
        <x:v>0.75</x:v>
      </x:c>
      <x:c r="W136" s="179" t="str">
        <x:v>development_assumption</x:v>
      </x:c>
      <x:c r="X13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37" ht="107" customHeight="1">
      <x:c r="A137" s="179" t="str">
        <x:v>SYN-LN-00130</x:v>
      </x:c>
      <x:c r="B137" s="180" t="n">
        <x:f>IF(A137="","",SUMIF('Portfolio Inputs'!A8:A289,A137,'Portfolio Inputs'!D8:D289))</x:f>
        <x:v>1182000</x:v>
      </x:c>
      <x:c r="C137" s="179" t="str">
        <x:v>B+</x:v>
      </x:c>
      <x:c r="D137" s="181" t="str">
        <x:v>development_proxy</x:v>
      </x:c>
      <x:c r="E137" s="181" t="str"/>
      <x:c r="F137" s="182" t="n">
        <x:v>0.75</x:v>
      </x:c>
      <x:c r="G137" s="181" t="str">
        <x:v>development_assumption</x:v>
      </x:c>
      <x:c r="H13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37" s="183" t="n">
        <x:f>IF(AND(C137&lt;&gt;"",OR(D137="public_fitch_idr",D137="reviewed_appendix5_equivalent",D137="development_proxy"),H137&lt;&gt;""),VLOOKUP(C137,Fitch_WARF_Factors,2,FALSE),"")</x:f>
        <x:v>19.627</x:v>
      </x:c>
      <x:c r="J137" s="184" t="n">
        <x:f>IF(ISNUMBER(I137),B137*I137,0)</x:f>
        <x:v>23199114</x:v>
      </x:c>
      <x:c r="K137" s="184" t="n">
        <x:f>IF(AND(A137&lt;&gt;"",M137=0),B137*F137,0)</x:f>
        <x:v>886500</x:v>
      </x:c>
      <x:c r="L137" s="184" t="n">
        <x:f>IF(A137="",0,IF(ISNUMBER(I137),0,B137))</x:f>
        <x:v>0</x:v>
      </x:c>
      <x:c r="M137" s="185" t="n">
        <x:f>IF(A137="",0,IF(AND(ISNUMBER(F137),F137&gt;=0,F137&lt;=1,OR(G137="fitch_issue_recovery_estimate",G137="fitch_issue_recovery_rating",G137="reviewed_bbsf_fallback",G137="development_assumption"),H137&lt;&gt;""),0,B137))</x:f>
        <x:v>0</x:v>
      </x:c>
      <x:c r="N137" s="186" t="n">
        <x:f>IF(A137=Q137,0,1)+IF(B137=R137,0,1)+IF(C137=S137,0,1)+IF(D137=T137,0,1)+IF(E137=U137,0,1)+IF(F137=V137,0,1)+IF(G137=W137,0,1)+IF(H137=X137,0,1)</x:f>
        <x:v>0</x:v>
      </x:c>
      <x:c r="O137" s="186" t="n">
        <x:f>IF(A137="",0,IF(E137="",B137,0))</x:f>
        <x:v>1182000</x:v>
      </x:c>
      <x:c r="P137" s="187"/>
      <x:c r="Q137" s="179" t="str">
        <x:v>SYN-LN-00130</x:v>
      </x:c>
      <x:c r="R137" s="179" t="n">
        <x:v>1182000</x:v>
      </x:c>
      <x:c r="S137" s="179" t="str">
        <x:v>B+</x:v>
      </x:c>
      <x:c r="T137" s="179" t="str">
        <x:v>development_proxy</x:v>
      </x:c>
      <x:c r="U137" s="179" t="str"/>
      <x:c r="V137" s="179" t="n">
        <x:v>0.75</x:v>
      </x:c>
      <x:c r="W137" s="179" t="str">
        <x:v>development_assumption</x:v>
      </x:c>
      <x:c r="X13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38" ht="107" customHeight="1">
      <x:c r="A138" s="179" t="str">
        <x:v>SYN-LN-00131</x:v>
      </x:c>
      <x:c r="B138" s="180" t="n">
        <x:f>IF(A138="","",SUMIF('Portfolio Inputs'!A8:A289,A138,'Portfolio Inputs'!D8:D289))</x:f>
        <x:v>1182000</x:v>
      </x:c>
      <x:c r="C138" s="179" t="str">
        <x:v>BB-</x:v>
      </x:c>
      <x:c r="D138" s="181" t="str">
        <x:v>development_proxy</x:v>
      </x:c>
      <x:c r="E138" s="181" t="str"/>
      <x:c r="F138" s="182" t="n">
        <x:v>0.75</x:v>
      </x:c>
      <x:c r="G138" s="181" t="str">
        <x:v>development_assumption</x:v>
      </x:c>
      <x:c r="H13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38" s="183" t="n">
        <x:f>IF(AND(C138&lt;&gt;"",OR(D138="public_fitch_idr",D138="reviewed_appendix5_equivalent",D138="development_proxy"),H138&lt;&gt;""),VLOOKUP(C138,Fitch_WARF_Factors,2,FALSE),"")</x:f>
        <x:v>15.733</x:v>
      </x:c>
      <x:c r="J138" s="184" t="n">
        <x:f>IF(ISNUMBER(I138),B138*I138,0)</x:f>
        <x:v>18596406</x:v>
      </x:c>
      <x:c r="K138" s="184" t="n">
        <x:f>IF(AND(A138&lt;&gt;"",M138=0),B138*F138,0)</x:f>
        <x:v>886500</x:v>
      </x:c>
      <x:c r="L138" s="184" t="n">
        <x:f>IF(A138="",0,IF(ISNUMBER(I138),0,B138))</x:f>
        <x:v>0</x:v>
      </x:c>
      <x:c r="M138" s="185" t="n">
        <x:f>IF(A138="",0,IF(AND(ISNUMBER(F138),F138&gt;=0,F138&lt;=1,OR(G138="fitch_issue_recovery_estimate",G138="fitch_issue_recovery_rating",G138="reviewed_bbsf_fallback",G138="development_assumption"),H138&lt;&gt;""),0,B138))</x:f>
        <x:v>0</x:v>
      </x:c>
      <x:c r="N138" s="186" t="n">
        <x:f>IF(A138=Q138,0,1)+IF(B138=R138,0,1)+IF(C138=S138,0,1)+IF(D138=T138,0,1)+IF(E138=U138,0,1)+IF(F138=V138,0,1)+IF(G138=W138,0,1)+IF(H138=X138,0,1)</x:f>
        <x:v>0</x:v>
      </x:c>
      <x:c r="O138" s="186" t="n">
        <x:f>IF(A138="",0,IF(E138="",B138,0))</x:f>
        <x:v>1182000</x:v>
      </x:c>
      <x:c r="P138" s="187"/>
      <x:c r="Q138" s="179" t="str">
        <x:v>SYN-LN-00131</x:v>
      </x:c>
      <x:c r="R138" s="179" t="n">
        <x:v>1182000</x:v>
      </x:c>
      <x:c r="S138" s="179" t="str">
        <x:v>BB-</x:v>
      </x:c>
      <x:c r="T138" s="179" t="str">
        <x:v>development_proxy</x:v>
      </x:c>
      <x:c r="U138" s="179" t="str"/>
      <x:c r="V138" s="179" t="n">
        <x:v>0.75</x:v>
      </x:c>
      <x:c r="W138" s="179" t="str">
        <x:v>development_assumption</x:v>
      </x:c>
      <x:c r="X13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39" ht="107" customHeight="1">
      <x:c r="A139" s="179" t="str">
        <x:v>SYN-LN-00132</x:v>
      </x:c>
      <x:c r="B139" s="180" t="n">
        <x:f>IF(A139="","",SUMIF('Portfolio Inputs'!A8:A289,A139,'Portfolio Inputs'!D8:D289))</x:f>
        <x:v>1182000</x:v>
      </x:c>
      <x:c r="C139" s="179" t="str">
        <x:v>B-</x:v>
      </x:c>
      <x:c r="D139" s="181" t="str">
        <x:v>development_proxy</x:v>
      </x:c>
      <x:c r="E139" s="181" t="str"/>
      <x:c r="F139" s="182" t="n">
        <x:v>0.75</x:v>
      </x:c>
      <x:c r="G139" s="181" t="str">
        <x:v>development_assumption</x:v>
      </x:c>
      <x:c r="H13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39" s="183" t="n">
        <x:f>IF(AND(C139&lt;&gt;"",OR(D139="public_fitch_idr",D139="reviewed_appendix5_equivalent",D139="development_proxy"),H139&lt;&gt;""),VLOOKUP(C139,Fitch_WARF_Factors,2,FALSE),"")</x:f>
        <x:v>32.221</x:v>
      </x:c>
      <x:c r="J139" s="184" t="n">
        <x:f>IF(ISNUMBER(I139),B139*I139,0)</x:f>
        <x:v>38085221.99999999</x:v>
      </x:c>
      <x:c r="K139" s="184" t="n">
        <x:f>IF(AND(A139&lt;&gt;"",M139=0),B139*F139,0)</x:f>
        <x:v>886500</x:v>
      </x:c>
      <x:c r="L139" s="184" t="n">
        <x:f>IF(A139="",0,IF(ISNUMBER(I139),0,B139))</x:f>
        <x:v>0</x:v>
      </x:c>
      <x:c r="M139" s="185" t="n">
        <x:f>IF(A139="",0,IF(AND(ISNUMBER(F139),F139&gt;=0,F139&lt;=1,OR(G139="fitch_issue_recovery_estimate",G139="fitch_issue_recovery_rating",G139="reviewed_bbsf_fallback",G139="development_assumption"),H139&lt;&gt;""),0,B139))</x:f>
        <x:v>0</x:v>
      </x:c>
      <x:c r="N139" s="186" t="n">
        <x:f>IF(A139=Q139,0,1)+IF(B139=R139,0,1)+IF(C139=S139,0,1)+IF(D139=T139,0,1)+IF(E139=U139,0,1)+IF(F139=V139,0,1)+IF(G139=W139,0,1)+IF(H139=X139,0,1)</x:f>
        <x:v>0</x:v>
      </x:c>
      <x:c r="O139" s="186" t="n">
        <x:f>IF(A139="",0,IF(E139="",B139,0))</x:f>
        <x:v>1182000</x:v>
      </x:c>
      <x:c r="P139" s="187"/>
      <x:c r="Q139" s="179" t="str">
        <x:v>SYN-LN-00132</x:v>
      </x:c>
      <x:c r="R139" s="179" t="n">
        <x:v>1182000</x:v>
      </x:c>
      <x:c r="S139" s="179" t="str">
        <x:v>B-</x:v>
      </x:c>
      <x:c r="T139" s="179" t="str">
        <x:v>development_proxy</x:v>
      </x:c>
      <x:c r="U139" s="179" t="str"/>
      <x:c r="V139" s="179" t="n">
        <x:v>0.75</x:v>
      </x:c>
      <x:c r="W139" s="179" t="str">
        <x:v>development_assumption</x:v>
      </x:c>
      <x:c r="X13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40" ht="107" customHeight="1">
      <x:c r="A140" s="179" t="str">
        <x:v>SYN-LN-00133</x:v>
      </x:c>
      <x:c r="B140" s="180" t="n">
        <x:f>IF(A140="","",SUMIF('Portfolio Inputs'!A8:A289,A140,'Portfolio Inputs'!D8:D289))</x:f>
        <x:v>1182000</x:v>
      </x:c>
      <x:c r="C140" s="179" t="str">
        <x:v>B</x:v>
      </x:c>
      <x:c r="D140" s="181" t="str">
        <x:v>development_proxy</x:v>
      </x:c>
      <x:c r="E140" s="181" t="str"/>
      <x:c r="F140" s="182" t="n">
        <x:v>0.75</x:v>
      </x:c>
      <x:c r="G140" s="181" t="str">
        <x:v>development_assumption</x:v>
      </x:c>
      <x:c r="H14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40" s="183" t="n">
        <x:f>IF(AND(C140&lt;&gt;"",OR(D140="public_fitch_idr",D140="reviewed_appendix5_equivalent",D140="development_proxy"),H140&lt;&gt;""),VLOOKUP(C140,Fitch_WARF_Factors,2,FALSE),"")</x:f>
        <x:v>23.671</x:v>
      </x:c>
      <x:c r="J140" s="184" t="n">
        <x:f>IF(ISNUMBER(I140),B140*I140,0)</x:f>
        <x:v>27979122</x:v>
      </x:c>
      <x:c r="K140" s="184" t="n">
        <x:f>IF(AND(A140&lt;&gt;"",M140=0),B140*F140,0)</x:f>
        <x:v>886500</x:v>
      </x:c>
      <x:c r="L140" s="184" t="n">
        <x:f>IF(A140="",0,IF(ISNUMBER(I140),0,B140))</x:f>
        <x:v>0</x:v>
      </x:c>
      <x:c r="M140" s="185" t="n">
        <x:f>IF(A140="",0,IF(AND(ISNUMBER(F140),F140&gt;=0,F140&lt;=1,OR(G140="fitch_issue_recovery_estimate",G140="fitch_issue_recovery_rating",G140="reviewed_bbsf_fallback",G140="development_assumption"),H140&lt;&gt;""),0,B140))</x:f>
        <x:v>0</x:v>
      </x:c>
      <x:c r="N140" s="186" t="n">
        <x:f>IF(A140=Q140,0,1)+IF(B140=R140,0,1)+IF(C140=S140,0,1)+IF(D140=T140,0,1)+IF(E140=U140,0,1)+IF(F140=V140,0,1)+IF(G140=W140,0,1)+IF(H140=X140,0,1)</x:f>
        <x:v>0</x:v>
      </x:c>
      <x:c r="O140" s="186" t="n">
        <x:f>IF(A140="",0,IF(E140="",B140,0))</x:f>
        <x:v>1182000</x:v>
      </x:c>
      <x:c r="P140" s="187"/>
      <x:c r="Q140" s="179" t="str">
        <x:v>SYN-LN-00133</x:v>
      </x:c>
      <x:c r="R140" s="179" t="n">
        <x:v>1182000</x:v>
      </x:c>
      <x:c r="S140" s="179" t="str">
        <x:v>B</x:v>
      </x:c>
      <x:c r="T140" s="179" t="str">
        <x:v>development_proxy</x:v>
      </x:c>
      <x:c r="U140" s="179" t="str"/>
      <x:c r="V140" s="179" t="n">
        <x:v>0.75</x:v>
      </x:c>
      <x:c r="W140" s="179" t="str">
        <x:v>development_assumption</x:v>
      </x:c>
      <x:c r="X14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41" ht="107" customHeight="1">
      <x:c r="A141" s="179" t="str">
        <x:v>SYN-LN-00134</x:v>
      </x:c>
      <x:c r="B141" s="180" t="n">
        <x:f>IF(A141="","",SUMIF('Portfolio Inputs'!A8:A289,A141,'Portfolio Inputs'!D8:D289))</x:f>
        <x:v>1182000</x:v>
      </x:c>
      <x:c r="C141" s="179" t="str">
        <x:v>B+</x:v>
      </x:c>
      <x:c r="D141" s="181" t="str">
        <x:v>development_proxy</x:v>
      </x:c>
      <x:c r="E141" s="181" t="str"/>
      <x:c r="F141" s="182" t="n">
        <x:v>0.75</x:v>
      </x:c>
      <x:c r="G141" s="181" t="str">
        <x:v>development_assumption</x:v>
      </x:c>
      <x:c r="H14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41" s="183" t="n">
        <x:f>IF(AND(C141&lt;&gt;"",OR(D141="public_fitch_idr",D141="reviewed_appendix5_equivalent",D141="development_proxy"),H141&lt;&gt;""),VLOOKUP(C141,Fitch_WARF_Factors,2,FALSE),"")</x:f>
        <x:v>19.627</x:v>
      </x:c>
      <x:c r="J141" s="184" t="n">
        <x:f>IF(ISNUMBER(I141),B141*I141,0)</x:f>
        <x:v>23199114</x:v>
      </x:c>
      <x:c r="K141" s="184" t="n">
        <x:f>IF(AND(A141&lt;&gt;"",M141=0),B141*F141,0)</x:f>
        <x:v>886500</x:v>
      </x:c>
      <x:c r="L141" s="184" t="n">
        <x:f>IF(A141="",0,IF(ISNUMBER(I141),0,B141))</x:f>
        <x:v>0</x:v>
      </x:c>
      <x:c r="M141" s="185" t="n">
        <x:f>IF(A141="",0,IF(AND(ISNUMBER(F141),F141&gt;=0,F141&lt;=1,OR(G141="fitch_issue_recovery_estimate",G141="fitch_issue_recovery_rating",G141="reviewed_bbsf_fallback",G141="development_assumption"),H141&lt;&gt;""),0,B141))</x:f>
        <x:v>0</x:v>
      </x:c>
      <x:c r="N141" s="186" t="n">
        <x:f>IF(A141=Q141,0,1)+IF(B141=R141,0,1)+IF(C141=S141,0,1)+IF(D141=T141,0,1)+IF(E141=U141,0,1)+IF(F141=V141,0,1)+IF(G141=W141,0,1)+IF(H141=X141,0,1)</x:f>
        <x:v>0</x:v>
      </x:c>
      <x:c r="O141" s="186" t="n">
        <x:f>IF(A141="",0,IF(E141="",B141,0))</x:f>
        <x:v>1182000</x:v>
      </x:c>
      <x:c r="P141" s="187"/>
      <x:c r="Q141" s="179" t="str">
        <x:v>SYN-LN-00134</x:v>
      </x:c>
      <x:c r="R141" s="179" t="n">
        <x:v>1182000</x:v>
      </x:c>
      <x:c r="S141" s="179" t="str">
        <x:v>B+</x:v>
      </x:c>
      <x:c r="T141" s="179" t="str">
        <x:v>development_proxy</x:v>
      </x:c>
      <x:c r="U141" s="179" t="str"/>
      <x:c r="V141" s="179" t="n">
        <x:v>0.75</x:v>
      </x:c>
      <x:c r="W141" s="179" t="str">
        <x:v>development_assumption</x:v>
      </x:c>
      <x:c r="X14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42" ht="107" customHeight="1">
      <x:c r="A142" s="179" t="str">
        <x:v>SYN-LN-00135</x:v>
      </x:c>
      <x:c r="B142" s="180" t="n">
        <x:f>IF(A142="","",SUMIF('Portfolio Inputs'!A8:A289,A142,'Portfolio Inputs'!D8:D289))</x:f>
        <x:v>1182000</x:v>
      </x:c>
      <x:c r="C142" s="179" t="str">
        <x:v>B</x:v>
      </x:c>
      <x:c r="D142" s="181" t="str">
        <x:v>development_proxy</x:v>
      </x:c>
      <x:c r="E142" s="181" t="str"/>
      <x:c r="F142" s="182" t="n">
        <x:v>0.75</x:v>
      </x:c>
      <x:c r="G142" s="181" t="str">
        <x:v>development_assumption</x:v>
      </x:c>
      <x:c r="H14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42" s="183" t="n">
        <x:f>IF(AND(C142&lt;&gt;"",OR(D142="public_fitch_idr",D142="reviewed_appendix5_equivalent",D142="development_proxy"),H142&lt;&gt;""),VLOOKUP(C142,Fitch_WARF_Factors,2,FALSE),"")</x:f>
        <x:v>23.671</x:v>
      </x:c>
      <x:c r="J142" s="184" t="n">
        <x:f>IF(ISNUMBER(I142),B142*I142,0)</x:f>
        <x:v>27979122</x:v>
      </x:c>
      <x:c r="K142" s="184" t="n">
        <x:f>IF(AND(A142&lt;&gt;"",M142=0),B142*F142,0)</x:f>
        <x:v>886500</x:v>
      </x:c>
      <x:c r="L142" s="184" t="n">
        <x:f>IF(A142="",0,IF(ISNUMBER(I142),0,B142))</x:f>
        <x:v>0</x:v>
      </x:c>
      <x:c r="M142" s="185" t="n">
        <x:f>IF(A142="",0,IF(AND(ISNUMBER(F142),F142&gt;=0,F142&lt;=1,OR(G142="fitch_issue_recovery_estimate",G142="fitch_issue_recovery_rating",G142="reviewed_bbsf_fallback",G142="development_assumption"),H142&lt;&gt;""),0,B142))</x:f>
        <x:v>0</x:v>
      </x:c>
      <x:c r="N142" s="186" t="n">
        <x:f>IF(A142=Q142,0,1)+IF(B142=R142,0,1)+IF(C142=S142,0,1)+IF(D142=T142,0,1)+IF(E142=U142,0,1)+IF(F142=V142,0,1)+IF(G142=W142,0,1)+IF(H142=X142,0,1)</x:f>
        <x:v>0</x:v>
      </x:c>
      <x:c r="O142" s="186" t="n">
        <x:f>IF(A142="",0,IF(E142="",B142,0))</x:f>
        <x:v>1182000</x:v>
      </x:c>
      <x:c r="P142" s="187"/>
      <x:c r="Q142" s="179" t="str">
        <x:v>SYN-LN-00135</x:v>
      </x:c>
      <x:c r="R142" s="179" t="n">
        <x:v>1182000</x:v>
      </x:c>
      <x:c r="S142" s="179" t="str">
        <x:v>B</x:v>
      </x:c>
      <x:c r="T142" s="179" t="str">
        <x:v>development_proxy</x:v>
      </x:c>
      <x:c r="U142" s="179" t="str"/>
      <x:c r="V142" s="179" t="n">
        <x:v>0.75</x:v>
      </x:c>
      <x:c r="W142" s="179" t="str">
        <x:v>development_assumption</x:v>
      </x:c>
      <x:c r="X14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43" ht="107" customHeight="1">
      <x:c r="A143" s="179" t="str">
        <x:v>SYN-LN-00136</x:v>
      </x:c>
      <x:c r="B143" s="180" t="n">
        <x:f>IF(A143="","",SUMIF('Portfolio Inputs'!A8:A289,A143,'Portfolio Inputs'!D8:D289))</x:f>
        <x:v>1182000</x:v>
      </x:c>
      <x:c r="C143" s="179" t="str">
        <x:v>B</x:v>
      </x:c>
      <x:c r="D143" s="181" t="str">
        <x:v>development_proxy</x:v>
      </x:c>
      <x:c r="E143" s="181" t="str"/>
      <x:c r="F143" s="182" t="n">
        <x:v>0.75</x:v>
      </x:c>
      <x:c r="G143" s="181" t="str">
        <x:v>development_assumption</x:v>
      </x:c>
      <x:c r="H14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43" s="183" t="n">
        <x:f>IF(AND(C143&lt;&gt;"",OR(D143="public_fitch_idr",D143="reviewed_appendix5_equivalent",D143="development_proxy"),H143&lt;&gt;""),VLOOKUP(C143,Fitch_WARF_Factors,2,FALSE),"")</x:f>
        <x:v>23.671</x:v>
      </x:c>
      <x:c r="J143" s="184" t="n">
        <x:f>IF(ISNUMBER(I143),B143*I143,0)</x:f>
        <x:v>27979122</x:v>
      </x:c>
      <x:c r="K143" s="184" t="n">
        <x:f>IF(AND(A143&lt;&gt;"",M143=0),B143*F143,0)</x:f>
        <x:v>886500</x:v>
      </x:c>
      <x:c r="L143" s="184" t="n">
        <x:f>IF(A143="",0,IF(ISNUMBER(I143),0,B143))</x:f>
        <x:v>0</x:v>
      </x:c>
      <x:c r="M143" s="185" t="n">
        <x:f>IF(A143="",0,IF(AND(ISNUMBER(F143),F143&gt;=0,F143&lt;=1,OR(G143="fitch_issue_recovery_estimate",G143="fitch_issue_recovery_rating",G143="reviewed_bbsf_fallback",G143="development_assumption"),H143&lt;&gt;""),0,B143))</x:f>
        <x:v>0</x:v>
      </x:c>
      <x:c r="N143" s="186" t="n">
        <x:f>IF(A143=Q143,0,1)+IF(B143=R143,0,1)+IF(C143=S143,0,1)+IF(D143=T143,0,1)+IF(E143=U143,0,1)+IF(F143=V143,0,1)+IF(G143=W143,0,1)+IF(H143=X143,0,1)</x:f>
        <x:v>0</x:v>
      </x:c>
      <x:c r="O143" s="186" t="n">
        <x:f>IF(A143="",0,IF(E143="",B143,0))</x:f>
        <x:v>1182000</x:v>
      </x:c>
      <x:c r="P143" s="187"/>
      <x:c r="Q143" s="179" t="str">
        <x:v>SYN-LN-00136</x:v>
      </x:c>
      <x:c r="R143" s="179" t="n">
        <x:v>1182000</x:v>
      </x:c>
      <x:c r="S143" s="179" t="str">
        <x:v>B</x:v>
      </x:c>
      <x:c r="T143" s="179" t="str">
        <x:v>development_proxy</x:v>
      </x:c>
      <x:c r="U143" s="179" t="str"/>
      <x:c r="V143" s="179" t="n">
        <x:v>0.75</x:v>
      </x:c>
      <x:c r="W143" s="179" t="str">
        <x:v>development_assumption</x:v>
      </x:c>
      <x:c r="X14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44" ht="107" customHeight="1">
      <x:c r="A144" s="179" t="str">
        <x:v>SYN-LN-00137</x:v>
      </x:c>
      <x:c r="B144" s="180" t="n">
        <x:f>IF(A144="","",SUMIF('Portfolio Inputs'!A8:A289,A144,'Portfolio Inputs'!D8:D289))</x:f>
        <x:v>1182000</x:v>
      </x:c>
      <x:c r="C144" s="179" t="str">
        <x:v>BB</x:v>
      </x:c>
      <x:c r="D144" s="181" t="str">
        <x:v>development_proxy</x:v>
      </x:c>
      <x:c r="E144" s="181" t="str"/>
      <x:c r="F144" s="182" t="n">
        <x:v>0.75</x:v>
      </x:c>
      <x:c r="G144" s="181" t="str">
        <x:v>development_assumption</x:v>
      </x:c>
      <x:c r="H14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44" s="183" t="n">
        <x:f>IF(AND(C144&lt;&gt;"",OR(D144="public_fitch_idr",D144="reviewed_appendix5_equivalent",D144="development_proxy"),H144&lt;&gt;""),VLOOKUP(C144,Fitch_WARF_Factors,2,FALSE),"")</x:f>
        <x:v>11.844</x:v>
      </x:c>
      <x:c r="J144" s="184" t="n">
        <x:f>IF(ISNUMBER(I144),B144*I144,0)</x:f>
        <x:v>13999608</x:v>
      </x:c>
      <x:c r="K144" s="184" t="n">
        <x:f>IF(AND(A144&lt;&gt;"",M144=0),B144*F144,0)</x:f>
        <x:v>886500</x:v>
      </x:c>
      <x:c r="L144" s="184" t="n">
        <x:f>IF(A144="",0,IF(ISNUMBER(I144),0,B144))</x:f>
        <x:v>0</x:v>
      </x:c>
      <x:c r="M144" s="185" t="n">
        <x:f>IF(A144="",0,IF(AND(ISNUMBER(F144),F144&gt;=0,F144&lt;=1,OR(G144="fitch_issue_recovery_estimate",G144="fitch_issue_recovery_rating",G144="reviewed_bbsf_fallback",G144="development_assumption"),H144&lt;&gt;""),0,B144))</x:f>
        <x:v>0</x:v>
      </x:c>
      <x:c r="N144" s="186" t="n">
        <x:f>IF(A144=Q144,0,1)+IF(B144=R144,0,1)+IF(C144=S144,0,1)+IF(D144=T144,0,1)+IF(E144=U144,0,1)+IF(F144=V144,0,1)+IF(G144=W144,0,1)+IF(H144=X144,0,1)</x:f>
        <x:v>0</x:v>
      </x:c>
      <x:c r="O144" s="186" t="n">
        <x:f>IF(A144="",0,IF(E144="",B144,0))</x:f>
        <x:v>1182000</x:v>
      </x:c>
      <x:c r="P144" s="187"/>
      <x:c r="Q144" s="179" t="str">
        <x:v>SYN-LN-00137</x:v>
      </x:c>
      <x:c r="R144" s="179" t="n">
        <x:v>1182000</x:v>
      </x:c>
      <x:c r="S144" s="179" t="str">
        <x:v>BB</x:v>
      </x:c>
      <x:c r="T144" s="179" t="str">
        <x:v>development_proxy</x:v>
      </x:c>
      <x:c r="U144" s="179" t="str"/>
      <x:c r="V144" s="179" t="n">
        <x:v>0.75</x:v>
      </x:c>
      <x:c r="W144" s="179" t="str">
        <x:v>development_assumption</x:v>
      </x:c>
      <x:c r="X14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45" ht="107" customHeight="1">
      <x:c r="A145" s="179" t="str">
        <x:v>SYN-LN-00138</x:v>
      </x:c>
      <x:c r="B145" s="180" t="n">
        <x:f>IF(A145="","",SUMIF('Portfolio Inputs'!A8:A289,A145,'Portfolio Inputs'!D8:D289))</x:f>
        <x:v>1182000</x:v>
      </x:c>
      <x:c r="C145" s="179" t="str">
        <x:v>B</x:v>
      </x:c>
      <x:c r="D145" s="181" t="str">
        <x:v>development_proxy</x:v>
      </x:c>
      <x:c r="E145" s="181" t="str"/>
      <x:c r="F145" s="182" t="n">
        <x:v>0.75</x:v>
      </x:c>
      <x:c r="G145" s="181" t="str">
        <x:v>development_assumption</x:v>
      </x:c>
      <x:c r="H14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45" s="183" t="n">
        <x:f>IF(AND(C145&lt;&gt;"",OR(D145="public_fitch_idr",D145="reviewed_appendix5_equivalent",D145="development_proxy"),H145&lt;&gt;""),VLOOKUP(C145,Fitch_WARF_Factors,2,FALSE),"")</x:f>
        <x:v>23.671</x:v>
      </x:c>
      <x:c r="J145" s="184" t="n">
        <x:f>IF(ISNUMBER(I145),B145*I145,0)</x:f>
        <x:v>27979122</x:v>
      </x:c>
      <x:c r="K145" s="184" t="n">
        <x:f>IF(AND(A145&lt;&gt;"",M145=0),B145*F145,0)</x:f>
        <x:v>886500</x:v>
      </x:c>
      <x:c r="L145" s="184" t="n">
        <x:f>IF(A145="",0,IF(ISNUMBER(I145),0,B145))</x:f>
        <x:v>0</x:v>
      </x:c>
      <x:c r="M145" s="185" t="n">
        <x:f>IF(A145="",0,IF(AND(ISNUMBER(F145),F145&gt;=0,F145&lt;=1,OR(G145="fitch_issue_recovery_estimate",G145="fitch_issue_recovery_rating",G145="reviewed_bbsf_fallback",G145="development_assumption"),H145&lt;&gt;""),0,B145))</x:f>
        <x:v>0</x:v>
      </x:c>
      <x:c r="N145" s="186" t="n">
        <x:f>IF(A145=Q145,0,1)+IF(B145=R145,0,1)+IF(C145=S145,0,1)+IF(D145=T145,0,1)+IF(E145=U145,0,1)+IF(F145=V145,0,1)+IF(G145=W145,0,1)+IF(H145=X145,0,1)</x:f>
        <x:v>0</x:v>
      </x:c>
      <x:c r="O145" s="186" t="n">
        <x:f>IF(A145="",0,IF(E145="",B145,0))</x:f>
        <x:v>1182000</x:v>
      </x:c>
      <x:c r="P145" s="187"/>
      <x:c r="Q145" s="179" t="str">
        <x:v>SYN-LN-00138</x:v>
      </x:c>
      <x:c r="R145" s="179" t="n">
        <x:v>1182000</x:v>
      </x:c>
      <x:c r="S145" s="179" t="str">
        <x:v>B</x:v>
      </x:c>
      <x:c r="T145" s="179" t="str">
        <x:v>development_proxy</x:v>
      </x:c>
      <x:c r="U145" s="179" t="str"/>
      <x:c r="V145" s="179" t="n">
        <x:v>0.75</x:v>
      </x:c>
      <x:c r="W145" s="179" t="str">
        <x:v>development_assumption</x:v>
      </x:c>
      <x:c r="X14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46" ht="107" customHeight="1">
      <x:c r="A146" s="179" t="str">
        <x:v>SYN-LN-00139</x:v>
      </x:c>
      <x:c r="B146" s="180" t="n">
        <x:f>IF(A146="","",SUMIF('Portfolio Inputs'!A8:A289,A146,'Portfolio Inputs'!D8:D289))</x:f>
        <x:v>1198000</x:v>
      </x:c>
      <x:c r="C146" s="179" t="str">
        <x:v>B</x:v>
      </x:c>
      <x:c r="D146" s="181" t="str">
        <x:v>development_proxy</x:v>
      </x:c>
      <x:c r="E146" s="181" t="str"/>
      <x:c r="F146" s="182" t="n">
        <x:v>0.75</x:v>
      </x:c>
      <x:c r="G146" s="181" t="str">
        <x:v>development_assumption</x:v>
      </x:c>
      <x:c r="H14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46" s="183" t="n">
        <x:f>IF(AND(C146&lt;&gt;"",OR(D146="public_fitch_idr",D146="reviewed_appendix5_equivalent",D146="development_proxy"),H146&lt;&gt;""),VLOOKUP(C146,Fitch_WARF_Factors,2,FALSE),"")</x:f>
        <x:v>23.671</x:v>
      </x:c>
      <x:c r="J146" s="184" t="n">
        <x:f>IF(ISNUMBER(I146),B146*I146,0)</x:f>
        <x:v>28357858</x:v>
      </x:c>
      <x:c r="K146" s="184" t="n">
        <x:f>IF(AND(A146&lt;&gt;"",M146=0),B146*F146,0)</x:f>
        <x:v>898500</x:v>
      </x:c>
      <x:c r="L146" s="184" t="n">
        <x:f>IF(A146="",0,IF(ISNUMBER(I146),0,B146))</x:f>
        <x:v>0</x:v>
      </x:c>
      <x:c r="M146" s="185" t="n">
        <x:f>IF(A146="",0,IF(AND(ISNUMBER(F146),F146&gt;=0,F146&lt;=1,OR(G146="fitch_issue_recovery_estimate",G146="fitch_issue_recovery_rating",G146="reviewed_bbsf_fallback",G146="development_assumption"),H146&lt;&gt;""),0,B146))</x:f>
        <x:v>0</x:v>
      </x:c>
      <x:c r="N146" s="186" t="n">
        <x:f>IF(A146=Q146,0,1)+IF(B146=R146,0,1)+IF(C146=S146,0,1)+IF(D146=T146,0,1)+IF(E146=U146,0,1)+IF(F146=V146,0,1)+IF(G146=W146,0,1)+IF(H146=X146,0,1)</x:f>
        <x:v>0</x:v>
      </x:c>
      <x:c r="O146" s="186" t="n">
        <x:f>IF(A146="",0,IF(E146="",B146,0))</x:f>
        <x:v>1198000</x:v>
      </x:c>
      <x:c r="P146" s="187"/>
      <x:c r="Q146" s="179" t="str">
        <x:v>SYN-LN-00139</x:v>
      </x:c>
      <x:c r="R146" s="179" t="n">
        <x:v>1198000</x:v>
      </x:c>
      <x:c r="S146" s="179" t="str">
        <x:v>B</x:v>
      </x:c>
      <x:c r="T146" s="179" t="str">
        <x:v>development_proxy</x:v>
      </x:c>
      <x:c r="U146" s="179" t="str"/>
      <x:c r="V146" s="179" t="n">
        <x:v>0.75</x:v>
      </x:c>
      <x:c r="W146" s="179" t="str">
        <x:v>development_assumption</x:v>
      </x:c>
      <x:c r="X14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47" ht="107" customHeight="1">
      <x:c r="A147" s="179" t="str">
        <x:v>SYN-LN-00140</x:v>
      </x:c>
      <x:c r="B147" s="180" t="n">
        <x:f>IF(A147="","",SUMIF('Portfolio Inputs'!A8:A289,A147,'Portfolio Inputs'!D8:D289))</x:f>
        <x:v>1182000</x:v>
      </x:c>
      <x:c r="C147" s="179" t="str">
        <x:v>B+</x:v>
      </x:c>
      <x:c r="D147" s="181" t="str">
        <x:v>development_proxy</x:v>
      </x:c>
      <x:c r="E147" s="181" t="str"/>
      <x:c r="F147" s="182" t="n">
        <x:v>0.75</x:v>
      </x:c>
      <x:c r="G147" s="181" t="str">
        <x:v>development_assumption</x:v>
      </x:c>
      <x:c r="H14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47" s="183" t="n">
        <x:f>IF(AND(C147&lt;&gt;"",OR(D147="public_fitch_idr",D147="reviewed_appendix5_equivalent",D147="development_proxy"),H147&lt;&gt;""),VLOOKUP(C147,Fitch_WARF_Factors,2,FALSE),"")</x:f>
        <x:v>19.627</x:v>
      </x:c>
      <x:c r="J147" s="184" t="n">
        <x:f>IF(ISNUMBER(I147),B147*I147,0)</x:f>
        <x:v>23199114</x:v>
      </x:c>
      <x:c r="K147" s="184" t="n">
        <x:f>IF(AND(A147&lt;&gt;"",M147=0),B147*F147,0)</x:f>
        <x:v>886500</x:v>
      </x:c>
      <x:c r="L147" s="184" t="n">
        <x:f>IF(A147="",0,IF(ISNUMBER(I147),0,B147))</x:f>
        <x:v>0</x:v>
      </x:c>
      <x:c r="M147" s="185" t="n">
        <x:f>IF(A147="",0,IF(AND(ISNUMBER(F147),F147&gt;=0,F147&lt;=1,OR(G147="fitch_issue_recovery_estimate",G147="fitch_issue_recovery_rating",G147="reviewed_bbsf_fallback",G147="development_assumption"),H147&lt;&gt;""),0,B147))</x:f>
        <x:v>0</x:v>
      </x:c>
      <x:c r="N147" s="186" t="n">
        <x:f>IF(A147=Q147,0,1)+IF(B147=R147,0,1)+IF(C147=S147,0,1)+IF(D147=T147,0,1)+IF(E147=U147,0,1)+IF(F147=V147,0,1)+IF(G147=W147,0,1)+IF(H147=X147,0,1)</x:f>
        <x:v>0</x:v>
      </x:c>
      <x:c r="O147" s="186" t="n">
        <x:f>IF(A147="",0,IF(E147="",B147,0))</x:f>
        <x:v>1182000</x:v>
      </x:c>
      <x:c r="P147" s="187"/>
      <x:c r="Q147" s="179" t="str">
        <x:v>SYN-LN-00140</x:v>
      </x:c>
      <x:c r="R147" s="179" t="n">
        <x:v>1182000</x:v>
      </x:c>
      <x:c r="S147" s="179" t="str">
        <x:v>B+</x:v>
      </x:c>
      <x:c r="T147" s="179" t="str">
        <x:v>development_proxy</x:v>
      </x:c>
      <x:c r="U147" s="179" t="str"/>
      <x:c r="V147" s="179" t="n">
        <x:v>0.75</x:v>
      </x:c>
      <x:c r="W147" s="179" t="str">
        <x:v>development_assumption</x:v>
      </x:c>
      <x:c r="X14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48" ht="107" customHeight="1">
      <x:c r="A148" s="179" t="str">
        <x:v>SYN-LN-00141</x:v>
      </x:c>
      <x:c r="B148" s="180" t="n">
        <x:f>IF(A148="","",SUMIF('Portfolio Inputs'!A8:A289,A148,'Portfolio Inputs'!D8:D289))</x:f>
        <x:v>1182000</x:v>
      </x:c>
      <x:c r="C148" s="179" t="str">
        <x:v>B</x:v>
      </x:c>
      <x:c r="D148" s="181" t="str">
        <x:v>development_proxy</x:v>
      </x:c>
      <x:c r="E148" s="181" t="str"/>
      <x:c r="F148" s="182" t="n">
        <x:v>0.75</x:v>
      </x:c>
      <x:c r="G148" s="181" t="str">
        <x:v>development_assumption</x:v>
      </x:c>
      <x:c r="H14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48" s="183" t="n">
        <x:f>IF(AND(C148&lt;&gt;"",OR(D148="public_fitch_idr",D148="reviewed_appendix5_equivalent",D148="development_proxy"),H148&lt;&gt;""),VLOOKUP(C148,Fitch_WARF_Factors,2,FALSE),"")</x:f>
        <x:v>23.671</x:v>
      </x:c>
      <x:c r="J148" s="184" t="n">
        <x:f>IF(ISNUMBER(I148),B148*I148,0)</x:f>
        <x:v>27979122</x:v>
      </x:c>
      <x:c r="K148" s="184" t="n">
        <x:f>IF(AND(A148&lt;&gt;"",M148=0),B148*F148,0)</x:f>
        <x:v>886500</x:v>
      </x:c>
      <x:c r="L148" s="184" t="n">
        <x:f>IF(A148="",0,IF(ISNUMBER(I148),0,B148))</x:f>
        <x:v>0</x:v>
      </x:c>
      <x:c r="M148" s="185" t="n">
        <x:f>IF(A148="",0,IF(AND(ISNUMBER(F148),F148&gt;=0,F148&lt;=1,OR(G148="fitch_issue_recovery_estimate",G148="fitch_issue_recovery_rating",G148="reviewed_bbsf_fallback",G148="development_assumption"),H148&lt;&gt;""),0,B148))</x:f>
        <x:v>0</x:v>
      </x:c>
      <x:c r="N148" s="186" t="n">
        <x:f>IF(A148=Q148,0,1)+IF(B148=R148,0,1)+IF(C148=S148,0,1)+IF(D148=T148,0,1)+IF(E148=U148,0,1)+IF(F148=V148,0,1)+IF(G148=W148,0,1)+IF(H148=X148,0,1)</x:f>
        <x:v>0</x:v>
      </x:c>
      <x:c r="O148" s="186" t="n">
        <x:f>IF(A148="",0,IF(E148="",B148,0))</x:f>
        <x:v>1182000</x:v>
      </x:c>
      <x:c r="P148" s="187"/>
      <x:c r="Q148" s="179" t="str">
        <x:v>SYN-LN-00141</x:v>
      </x:c>
      <x:c r="R148" s="179" t="n">
        <x:v>1182000</x:v>
      </x:c>
      <x:c r="S148" s="179" t="str">
        <x:v>B</x:v>
      </x:c>
      <x:c r="T148" s="179" t="str">
        <x:v>development_proxy</x:v>
      </x:c>
      <x:c r="U148" s="179" t="str"/>
      <x:c r="V148" s="179" t="n">
        <x:v>0.75</x:v>
      </x:c>
      <x:c r="W148" s="179" t="str">
        <x:v>development_assumption</x:v>
      </x:c>
      <x:c r="X14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49" ht="107" customHeight="1">
      <x:c r="A149" s="179" t="str">
        <x:v>SYN-LN-00142</x:v>
      </x:c>
      <x:c r="B149" s="180" t="n">
        <x:f>IF(A149="","",SUMIF('Portfolio Inputs'!A8:A289,A149,'Portfolio Inputs'!D8:D289))</x:f>
        <x:v>1182000</x:v>
      </x:c>
      <x:c r="C149" s="179" t="str">
        <x:v>BB-</x:v>
      </x:c>
      <x:c r="D149" s="181" t="str">
        <x:v>development_proxy</x:v>
      </x:c>
      <x:c r="E149" s="181" t="str"/>
      <x:c r="F149" s="182" t="n">
        <x:v>0.75</x:v>
      </x:c>
      <x:c r="G149" s="181" t="str">
        <x:v>development_assumption</x:v>
      </x:c>
      <x:c r="H14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49" s="183" t="n">
        <x:f>IF(AND(C149&lt;&gt;"",OR(D149="public_fitch_idr",D149="reviewed_appendix5_equivalent",D149="development_proxy"),H149&lt;&gt;""),VLOOKUP(C149,Fitch_WARF_Factors,2,FALSE),"")</x:f>
        <x:v>15.733</x:v>
      </x:c>
      <x:c r="J149" s="184" t="n">
        <x:f>IF(ISNUMBER(I149),B149*I149,0)</x:f>
        <x:v>18596406</x:v>
      </x:c>
      <x:c r="K149" s="184" t="n">
        <x:f>IF(AND(A149&lt;&gt;"",M149=0),B149*F149,0)</x:f>
        <x:v>886500</x:v>
      </x:c>
      <x:c r="L149" s="184" t="n">
        <x:f>IF(A149="",0,IF(ISNUMBER(I149),0,B149))</x:f>
        <x:v>0</x:v>
      </x:c>
      <x:c r="M149" s="185" t="n">
        <x:f>IF(A149="",0,IF(AND(ISNUMBER(F149),F149&gt;=0,F149&lt;=1,OR(G149="fitch_issue_recovery_estimate",G149="fitch_issue_recovery_rating",G149="reviewed_bbsf_fallback",G149="development_assumption"),H149&lt;&gt;""),0,B149))</x:f>
        <x:v>0</x:v>
      </x:c>
      <x:c r="N149" s="186" t="n">
        <x:f>IF(A149=Q149,0,1)+IF(B149=R149,0,1)+IF(C149=S149,0,1)+IF(D149=T149,0,1)+IF(E149=U149,0,1)+IF(F149=V149,0,1)+IF(G149=W149,0,1)+IF(H149=X149,0,1)</x:f>
        <x:v>0</x:v>
      </x:c>
      <x:c r="O149" s="186" t="n">
        <x:f>IF(A149="",0,IF(E149="",B149,0))</x:f>
        <x:v>1182000</x:v>
      </x:c>
      <x:c r="P149" s="187"/>
      <x:c r="Q149" s="179" t="str">
        <x:v>SYN-LN-00142</x:v>
      </x:c>
      <x:c r="R149" s="179" t="n">
        <x:v>1182000</x:v>
      </x:c>
      <x:c r="S149" s="179" t="str">
        <x:v>BB-</x:v>
      </x:c>
      <x:c r="T149" s="179" t="str">
        <x:v>development_proxy</x:v>
      </x:c>
      <x:c r="U149" s="179" t="str"/>
      <x:c r="V149" s="179" t="n">
        <x:v>0.75</x:v>
      </x:c>
      <x:c r="W149" s="179" t="str">
        <x:v>development_assumption</x:v>
      </x:c>
      <x:c r="X14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50" ht="107" customHeight="1">
      <x:c r="A150" s="179" t="str">
        <x:v>SYN-LN-00143</x:v>
      </x:c>
      <x:c r="B150" s="180" t="n">
        <x:f>IF(A150="","",SUMIF('Portfolio Inputs'!A8:A289,A150,'Portfolio Inputs'!D8:D289))</x:f>
        <x:v>1182000</x:v>
      </x:c>
      <x:c r="C150" s="179" t="str">
        <x:v>B</x:v>
      </x:c>
      <x:c r="D150" s="181" t="str">
        <x:v>development_proxy</x:v>
      </x:c>
      <x:c r="E150" s="181" t="str"/>
      <x:c r="F150" s="182" t="n">
        <x:v>0.75</x:v>
      </x:c>
      <x:c r="G150" s="181" t="str">
        <x:v>development_assumption</x:v>
      </x:c>
      <x:c r="H15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50" s="183" t="n">
        <x:f>IF(AND(C150&lt;&gt;"",OR(D150="public_fitch_idr",D150="reviewed_appendix5_equivalent",D150="development_proxy"),H150&lt;&gt;""),VLOOKUP(C150,Fitch_WARF_Factors,2,FALSE),"")</x:f>
        <x:v>23.671</x:v>
      </x:c>
      <x:c r="J150" s="184" t="n">
        <x:f>IF(ISNUMBER(I150),B150*I150,0)</x:f>
        <x:v>27979122</x:v>
      </x:c>
      <x:c r="K150" s="184" t="n">
        <x:f>IF(AND(A150&lt;&gt;"",M150=0),B150*F150,0)</x:f>
        <x:v>886500</x:v>
      </x:c>
      <x:c r="L150" s="184" t="n">
        <x:f>IF(A150="",0,IF(ISNUMBER(I150),0,B150))</x:f>
        <x:v>0</x:v>
      </x:c>
      <x:c r="M150" s="185" t="n">
        <x:f>IF(A150="",0,IF(AND(ISNUMBER(F150),F150&gt;=0,F150&lt;=1,OR(G150="fitch_issue_recovery_estimate",G150="fitch_issue_recovery_rating",G150="reviewed_bbsf_fallback",G150="development_assumption"),H150&lt;&gt;""),0,B150))</x:f>
        <x:v>0</x:v>
      </x:c>
      <x:c r="N150" s="186" t="n">
        <x:f>IF(A150=Q150,0,1)+IF(B150=R150,0,1)+IF(C150=S150,0,1)+IF(D150=T150,0,1)+IF(E150=U150,0,1)+IF(F150=V150,0,1)+IF(G150=W150,0,1)+IF(H150=X150,0,1)</x:f>
        <x:v>0</x:v>
      </x:c>
      <x:c r="O150" s="186" t="n">
        <x:f>IF(A150="",0,IF(E150="",B150,0))</x:f>
        <x:v>1182000</x:v>
      </x:c>
      <x:c r="P150" s="187"/>
      <x:c r="Q150" s="179" t="str">
        <x:v>SYN-LN-00143</x:v>
      </x:c>
      <x:c r="R150" s="179" t="n">
        <x:v>1182000</x:v>
      </x:c>
      <x:c r="S150" s="179" t="str">
        <x:v>B</x:v>
      </x:c>
      <x:c r="T150" s="179" t="str">
        <x:v>development_proxy</x:v>
      </x:c>
      <x:c r="U150" s="179" t="str"/>
      <x:c r="V150" s="179" t="n">
        <x:v>0.75</x:v>
      </x:c>
      <x:c r="W150" s="179" t="str">
        <x:v>development_assumption</x:v>
      </x:c>
      <x:c r="X15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51" ht="107" customHeight="1">
      <x:c r="A151" s="179" t="str">
        <x:v>SYN-LN-00144</x:v>
      </x:c>
      <x:c r="B151" s="180" t="n">
        <x:f>IF(A151="","",SUMIF('Portfolio Inputs'!A8:A289,A151,'Portfolio Inputs'!D8:D289))</x:f>
        <x:v>630000</x:v>
      </x:c>
      <x:c r="C151" s="179" t="str">
        <x:v>BB+</x:v>
      </x:c>
      <x:c r="D151" s="181" t="str">
        <x:v>development_proxy</x:v>
      </x:c>
      <x:c r="E151" s="181" t="str"/>
      <x:c r="F151" s="182" t="n">
        <x:v>0.65</x:v>
      </x:c>
      <x:c r="G151" s="181" t="str">
        <x:v>development_assumption</x:v>
      </x:c>
      <x:c r="H151" s="181" t="str">
        <x:v>FICTIONAL DEVELOPMENT: copied S&amp;P symbol as Fitch IDR-equivalency proxy; no Fitch rating or Appendix 5 review. Assumed first-lien facility is senior secured loan with no issue recovery opinion; Netherlands Group 2; Fitch June 1 2026 Appendix 4 pp42-43 and Appendix 6 pp47-48 BBsf Strong fallback.</x:v>
      </x:c>
      <x:c r="I151" s="183" t="n">
        <x:f>IF(AND(C151&lt;&gt;"",OR(D151="public_fitch_idr",D151="reviewed_appendix5_equivalent",D151="development_proxy"),H151&lt;&gt;""),VLOOKUP(C151,Fitch_WARF_Factors,2,FALSE),"")</x:f>
        <x:v>8.903</x:v>
      </x:c>
      <x:c r="J151" s="184" t="n">
        <x:f>IF(ISNUMBER(I151),B151*I151,0)</x:f>
        <x:v>5608890</x:v>
      </x:c>
      <x:c r="K151" s="184" t="n">
        <x:f>IF(AND(A151&lt;&gt;"",M151=0),B151*F151,0)</x:f>
        <x:v>409500</x:v>
      </x:c>
      <x:c r="L151" s="184" t="n">
        <x:f>IF(A151="",0,IF(ISNUMBER(I151),0,B151))</x:f>
        <x:v>0</x:v>
      </x:c>
      <x:c r="M151" s="185" t="n">
        <x:f>IF(A151="",0,IF(AND(ISNUMBER(F151),F151&gt;=0,F151&lt;=1,OR(G151="fitch_issue_recovery_estimate",G151="fitch_issue_recovery_rating",G151="reviewed_bbsf_fallback",G151="development_assumption"),H151&lt;&gt;""),0,B151))</x:f>
        <x:v>0</x:v>
      </x:c>
      <x:c r="N151" s="186" t="n">
        <x:f>IF(A151=Q151,0,1)+IF(B151=R151,0,1)+IF(C151=S151,0,1)+IF(D151=T151,0,1)+IF(E151=U151,0,1)+IF(F151=V151,0,1)+IF(G151=W151,0,1)+IF(H151=X151,0,1)</x:f>
        <x:v>0</x:v>
      </x:c>
      <x:c r="O151" s="186" t="n">
        <x:f>IF(A151="",0,IF(E151="",B151,0))</x:f>
        <x:v>630000</x:v>
      </x:c>
      <x:c r="P151" s="187"/>
      <x:c r="Q151" s="179" t="str">
        <x:v>SYN-LN-00144</x:v>
      </x:c>
      <x:c r="R151" s="179" t="n">
        <x:v>630000</x:v>
      </x:c>
      <x:c r="S151" s="179" t="str">
        <x:v>BB+</x:v>
      </x:c>
      <x:c r="T151" s="179" t="str">
        <x:v>development_proxy</x:v>
      </x:c>
      <x:c r="U151" s="179" t="str"/>
      <x:c r="V151" s="179" t="n">
        <x:v>0.65</x:v>
      </x:c>
      <x:c r="W151" s="179" t="str">
        <x:v>development_assumption</x:v>
      </x:c>
      <x:c r="X151" s="179" t="str">
        <x:v>FICTIONAL DEVELOPMENT: copied S&amp;P symbol as Fitch IDR-equivalency proxy; no Fitch rating or Appendix 5 review. Assumed first-lien facility is senior secured loan with no issue recovery opinion; Netherlands Group 2; Fitch June 1 2026 Appendix 4 pp42-43 and Appendix 6 pp47-48 BBsf Strong fallback.</x:v>
      </x:c>
    </x:row>
    <x:row r="152" ht="107" customHeight="1">
      <x:c r="A152" s="179" t="str">
        <x:v>SYN-LN-00145</x:v>
      </x:c>
      <x:c r="B152" s="180" t="n">
        <x:f>IF(A152="","",SUMIF('Portfolio Inputs'!A8:A289,A152,'Portfolio Inputs'!D8:D289))</x:f>
        <x:v>1182000</x:v>
      </x:c>
      <x:c r="C152" s="179" t="str">
        <x:v>B</x:v>
      </x:c>
      <x:c r="D152" s="181" t="str">
        <x:v>development_proxy</x:v>
      </x:c>
      <x:c r="E152" s="181" t="str"/>
      <x:c r="F152" s="182" t="n">
        <x:v>0.75</x:v>
      </x:c>
      <x:c r="G152" s="181" t="str">
        <x:v>development_assumption</x:v>
      </x:c>
      <x:c r="H15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52" s="183" t="n">
        <x:f>IF(AND(C152&lt;&gt;"",OR(D152="public_fitch_idr",D152="reviewed_appendix5_equivalent",D152="development_proxy"),H152&lt;&gt;""),VLOOKUP(C152,Fitch_WARF_Factors,2,FALSE),"")</x:f>
        <x:v>23.671</x:v>
      </x:c>
      <x:c r="J152" s="184" t="n">
        <x:f>IF(ISNUMBER(I152),B152*I152,0)</x:f>
        <x:v>27979122</x:v>
      </x:c>
      <x:c r="K152" s="184" t="n">
        <x:f>IF(AND(A152&lt;&gt;"",M152=0),B152*F152,0)</x:f>
        <x:v>886500</x:v>
      </x:c>
      <x:c r="L152" s="184" t="n">
        <x:f>IF(A152="",0,IF(ISNUMBER(I152),0,B152))</x:f>
        <x:v>0</x:v>
      </x:c>
      <x:c r="M152" s="185" t="n">
        <x:f>IF(A152="",0,IF(AND(ISNUMBER(F152),F152&gt;=0,F152&lt;=1,OR(G152="fitch_issue_recovery_estimate",G152="fitch_issue_recovery_rating",G152="reviewed_bbsf_fallback",G152="development_assumption"),H152&lt;&gt;""),0,B152))</x:f>
        <x:v>0</x:v>
      </x:c>
      <x:c r="N152" s="186" t="n">
        <x:f>IF(A152=Q152,0,1)+IF(B152=R152,0,1)+IF(C152=S152,0,1)+IF(D152=T152,0,1)+IF(E152=U152,0,1)+IF(F152=V152,0,1)+IF(G152=W152,0,1)+IF(H152=X152,0,1)</x:f>
        <x:v>0</x:v>
      </x:c>
      <x:c r="O152" s="186" t="n">
        <x:f>IF(A152="",0,IF(E152="",B152,0))</x:f>
        <x:v>1182000</x:v>
      </x:c>
      <x:c r="P152" s="187"/>
      <x:c r="Q152" s="179" t="str">
        <x:v>SYN-LN-00145</x:v>
      </x:c>
      <x:c r="R152" s="179" t="n">
        <x:v>1182000</x:v>
      </x:c>
      <x:c r="S152" s="179" t="str">
        <x:v>B</x:v>
      </x:c>
      <x:c r="T152" s="179" t="str">
        <x:v>development_proxy</x:v>
      </x:c>
      <x:c r="U152" s="179" t="str"/>
      <x:c r="V152" s="179" t="n">
        <x:v>0.75</x:v>
      </x:c>
      <x:c r="W152" s="179" t="str">
        <x:v>development_assumption</x:v>
      </x:c>
      <x:c r="X15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53" ht="107" customHeight="1">
      <x:c r="A153" s="179" t="str">
        <x:v>SYN-LN-00146</x:v>
      </x:c>
      <x:c r="B153" s="180" t="n">
        <x:f>IF(A153="","",SUMIF('Portfolio Inputs'!A8:A289,A153,'Portfolio Inputs'!D8:D289))</x:f>
        <x:v>1182000</x:v>
      </x:c>
      <x:c r="C153" s="179" t="str">
        <x:v>B+</x:v>
      </x:c>
      <x:c r="D153" s="181" t="str">
        <x:v>development_proxy</x:v>
      </x:c>
      <x:c r="E153" s="181" t="str"/>
      <x:c r="F153" s="182" t="n">
        <x:v>0.75</x:v>
      </x:c>
      <x:c r="G153" s="181" t="str">
        <x:v>development_assumption</x:v>
      </x:c>
      <x:c r="H15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53" s="183" t="n">
        <x:f>IF(AND(C153&lt;&gt;"",OR(D153="public_fitch_idr",D153="reviewed_appendix5_equivalent",D153="development_proxy"),H153&lt;&gt;""),VLOOKUP(C153,Fitch_WARF_Factors,2,FALSE),"")</x:f>
        <x:v>19.627</x:v>
      </x:c>
      <x:c r="J153" s="184" t="n">
        <x:f>IF(ISNUMBER(I153),B153*I153,0)</x:f>
        <x:v>23199114</x:v>
      </x:c>
      <x:c r="K153" s="184" t="n">
        <x:f>IF(AND(A153&lt;&gt;"",M153=0),B153*F153,0)</x:f>
        <x:v>886500</x:v>
      </x:c>
      <x:c r="L153" s="184" t="n">
        <x:f>IF(A153="",0,IF(ISNUMBER(I153),0,B153))</x:f>
        <x:v>0</x:v>
      </x:c>
      <x:c r="M153" s="185" t="n">
        <x:f>IF(A153="",0,IF(AND(ISNUMBER(F153),F153&gt;=0,F153&lt;=1,OR(G153="fitch_issue_recovery_estimate",G153="fitch_issue_recovery_rating",G153="reviewed_bbsf_fallback",G153="development_assumption"),H153&lt;&gt;""),0,B153))</x:f>
        <x:v>0</x:v>
      </x:c>
      <x:c r="N153" s="186" t="n">
        <x:f>IF(A153=Q153,0,1)+IF(B153=R153,0,1)+IF(C153=S153,0,1)+IF(D153=T153,0,1)+IF(E153=U153,0,1)+IF(F153=V153,0,1)+IF(G153=W153,0,1)+IF(H153=X153,0,1)</x:f>
        <x:v>0</x:v>
      </x:c>
      <x:c r="O153" s="186" t="n">
        <x:f>IF(A153="",0,IF(E153="",B153,0))</x:f>
        <x:v>1182000</x:v>
      </x:c>
      <x:c r="P153" s="187"/>
      <x:c r="Q153" s="179" t="str">
        <x:v>SYN-LN-00146</x:v>
      </x:c>
      <x:c r="R153" s="179" t="n">
        <x:v>1182000</x:v>
      </x:c>
      <x:c r="S153" s="179" t="str">
        <x:v>B+</x:v>
      </x:c>
      <x:c r="T153" s="179" t="str">
        <x:v>development_proxy</x:v>
      </x:c>
      <x:c r="U153" s="179" t="str"/>
      <x:c r="V153" s="179" t="n">
        <x:v>0.75</x:v>
      </x:c>
      <x:c r="W153" s="179" t="str">
        <x:v>development_assumption</x:v>
      </x:c>
      <x:c r="X15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54" ht="107" customHeight="1">
      <x:c r="A154" s="179" t="str">
        <x:v>SYN-LN-00147</x:v>
      </x:c>
      <x:c r="B154" s="180" t="n">
        <x:f>IF(A154="","",SUMIF('Portfolio Inputs'!A8:A289,A154,'Portfolio Inputs'!D8:D289))</x:f>
        <x:v>1182000</x:v>
      </x:c>
      <x:c r="C154" s="179" t="str">
        <x:v>B-</x:v>
      </x:c>
      <x:c r="D154" s="181" t="str">
        <x:v>development_proxy</x:v>
      </x:c>
      <x:c r="E154" s="181" t="str"/>
      <x:c r="F154" s="182" t="n">
        <x:v>0.75</x:v>
      </x:c>
      <x:c r="G154" s="181" t="str">
        <x:v>development_assumption</x:v>
      </x:c>
      <x:c r="H15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54" s="183" t="n">
        <x:f>IF(AND(C154&lt;&gt;"",OR(D154="public_fitch_idr",D154="reviewed_appendix5_equivalent",D154="development_proxy"),H154&lt;&gt;""),VLOOKUP(C154,Fitch_WARF_Factors,2,FALSE),"")</x:f>
        <x:v>32.221</x:v>
      </x:c>
      <x:c r="J154" s="184" t="n">
        <x:f>IF(ISNUMBER(I154),B154*I154,0)</x:f>
        <x:v>38085221.99999999</x:v>
      </x:c>
      <x:c r="K154" s="184" t="n">
        <x:f>IF(AND(A154&lt;&gt;"",M154=0),B154*F154,0)</x:f>
        <x:v>886500</x:v>
      </x:c>
      <x:c r="L154" s="184" t="n">
        <x:f>IF(A154="",0,IF(ISNUMBER(I154),0,B154))</x:f>
        <x:v>0</x:v>
      </x:c>
      <x:c r="M154" s="185" t="n">
        <x:f>IF(A154="",0,IF(AND(ISNUMBER(F154),F154&gt;=0,F154&lt;=1,OR(G154="fitch_issue_recovery_estimate",G154="fitch_issue_recovery_rating",G154="reviewed_bbsf_fallback",G154="development_assumption"),H154&lt;&gt;""),0,B154))</x:f>
        <x:v>0</x:v>
      </x:c>
      <x:c r="N154" s="186" t="n">
        <x:f>IF(A154=Q154,0,1)+IF(B154=R154,0,1)+IF(C154=S154,0,1)+IF(D154=T154,0,1)+IF(E154=U154,0,1)+IF(F154=V154,0,1)+IF(G154=W154,0,1)+IF(H154=X154,0,1)</x:f>
        <x:v>0</x:v>
      </x:c>
      <x:c r="O154" s="186" t="n">
        <x:f>IF(A154="",0,IF(E154="",B154,0))</x:f>
        <x:v>1182000</x:v>
      </x:c>
      <x:c r="P154" s="187"/>
      <x:c r="Q154" s="179" t="str">
        <x:v>SYN-LN-00147</x:v>
      </x:c>
      <x:c r="R154" s="179" t="n">
        <x:v>1182000</x:v>
      </x:c>
      <x:c r="S154" s="179" t="str">
        <x:v>B-</x:v>
      </x:c>
      <x:c r="T154" s="179" t="str">
        <x:v>development_proxy</x:v>
      </x:c>
      <x:c r="U154" s="179" t="str"/>
      <x:c r="V154" s="179" t="n">
        <x:v>0.75</x:v>
      </x:c>
      <x:c r="W154" s="179" t="str">
        <x:v>development_assumption</x:v>
      </x:c>
      <x:c r="X15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55" ht="107" customHeight="1">
      <x:c r="A155" s="179" t="str">
        <x:v>SYN-LN-00148</x:v>
      </x:c>
      <x:c r="B155" s="180" t="n">
        <x:f>IF(A155="","",SUMIF('Portfolio Inputs'!A8:A289,A155,'Portfolio Inputs'!D8:D289))</x:f>
        <x:v>630000</x:v>
      </x:c>
      <x:c r="C155" s="179" t="str">
        <x:v>BBB</x:v>
      </x:c>
      <x:c r="D155" s="181" t="str">
        <x:v>development_proxy</x:v>
      </x:c>
      <x:c r="E155" s="181" t="str"/>
      <x:c r="F155" s="182" t="n">
        <x:v>0.65</x:v>
      </x:c>
      <x:c r="G155" s="181" t="str">
        <x:v>development_assumption</x:v>
      </x:c>
      <x:c r="H155" s="181" t="str">
        <x:v>FICTIONAL DEVELOPMENT: copied S&amp;P symbol as Fitch IDR-equivalency proxy; no Fitch rating or Appendix 5 review. Assumed first-lien facility is senior secured loan with no issue recovery opinion; Austria Group 2; Fitch June 1 2026 Appendix 4 pp42-43 and Appendix 6 pp47-48 BBsf Strong fallback.</x:v>
      </x:c>
      <x:c r="I155" s="183" t="n">
        <x:f>IF(AND(C155&lt;&gt;"",OR(D155="public_fitch_idr",D155="reviewed_appendix5_equivalent",D155="development_proxy"),H155&lt;&gt;""),VLOOKUP(C155,Fitch_WARF_Factors,2,FALSE),"")</x:f>
        <x:v>3.162</x:v>
      </x:c>
      <x:c r="J155" s="184" t="n">
        <x:f>IF(ISNUMBER(I155),B155*I155,0)</x:f>
        <x:v>1992060</x:v>
      </x:c>
      <x:c r="K155" s="184" t="n">
        <x:f>IF(AND(A155&lt;&gt;"",M155=0),B155*F155,0)</x:f>
        <x:v>409500</x:v>
      </x:c>
      <x:c r="L155" s="184" t="n">
        <x:f>IF(A155="",0,IF(ISNUMBER(I155),0,B155))</x:f>
        <x:v>0</x:v>
      </x:c>
      <x:c r="M155" s="185" t="n">
        <x:f>IF(A155="",0,IF(AND(ISNUMBER(F155),F155&gt;=0,F155&lt;=1,OR(G155="fitch_issue_recovery_estimate",G155="fitch_issue_recovery_rating",G155="reviewed_bbsf_fallback",G155="development_assumption"),H155&lt;&gt;""),0,B155))</x:f>
        <x:v>0</x:v>
      </x:c>
      <x:c r="N155" s="186" t="n">
        <x:f>IF(A155=Q155,0,1)+IF(B155=R155,0,1)+IF(C155=S155,0,1)+IF(D155=T155,0,1)+IF(E155=U155,0,1)+IF(F155=V155,0,1)+IF(G155=W155,0,1)+IF(H155=X155,0,1)</x:f>
        <x:v>0</x:v>
      </x:c>
      <x:c r="O155" s="186" t="n">
        <x:f>IF(A155="",0,IF(E155="",B155,0))</x:f>
        <x:v>630000</x:v>
      </x:c>
      <x:c r="P155" s="187"/>
      <x:c r="Q155" s="179" t="str">
        <x:v>SYN-LN-00148</x:v>
      </x:c>
      <x:c r="R155" s="179" t="n">
        <x:v>630000</x:v>
      </x:c>
      <x:c r="S155" s="179" t="str">
        <x:v>BBB</x:v>
      </x:c>
      <x:c r="T155" s="179" t="str">
        <x:v>development_proxy</x:v>
      </x:c>
      <x:c r="U155" s="179" t="str"/>
      <x:c r="V155" s="179" t="n">
        <x:v>0.65</x:v>
      </x:c>
      <x:c r="W155" s="179" t="str">
        <x:v>development_assumption</x:v>
      </x:c>
      <x:c r="X155" s="179" t="str">
        <x:v>FICTIONAL DEVELOPMENT: copied S&amp;P symbol as Fitch IDR-equivalency proxy; no Fitch rating or Appendix 5 review. Assumed first-lien facility is senior secured loan with no issue recovery opinion; Austria Group 2; Fitch June 1 2026 Appendix 4 pp42-43 and Appendix 6 pp47-48 BBsf Strong fallback.</x:v>
      </x:c>
    </x:row>
    <x:row r="156" ht="107" customHeight="1">
      <x:c r="A156" s="179" t="str">
        <x:v>SYN-LN-00149</x:v>
      </x:c>
      <x:c r="B156" s="180" t="n">
        <x:f>IF(A156="","",SUMIF('Portfolio Inputs'!A8:A289,A156,'Portfolio Inputs'!D8:D289))</x:f>
        <x:v>1182000</x:v>
      </x:c>
      <x:c r="C156" s="179" t="str">
        <x:v>B</x:v>
      </x:c>
      <x:c r="D156" s="181" t="str">
        <x:v>development_proxy</x:v>
      </x:c>
      <x:c r="E156" s="181" t="str"/>
      <x:c r="F156" s="182" t="n">
        <x:v>0.75</x:v>
      </x:c>
      <x:c r="G156" s="181" t="str">
        <x:v>development_assumption</x:v>
      </x:c>
      <x:c r="H15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56" s="183" t="n">
        <x:f>IF(AND(C156&lt;&gt;"",OR(D156="public_fitch_idr",D156="reviewed_appendix5_equivalent",D156="development_proxy"),H156&lt;&gt;""),VLOOKUP(C156,Fitch_WARF_Factors,2,FALSE),"")</x:f>
        <x:v>23.671</x:v>
      </x:c>
      <x:c r="J156" s="184" t="n">
        <x:f>IF(ISNUMBER(I156),B156*I156,0)</x:f>
        <x:v>27979122</x:v>
      </x:c>
      <x:c r="K156" s="184" t="n">
        <x:f>IF(AND(A156&lt;&gt;"",M156=0),B156*F156,0)</x:f>
        <x:v>886500</x:v>
      </x:c>
      <x:c r="L156" s="184" t="n">
        <x:f>IF(A156="",0,IF(ISNUMBER(I156),0,B156))</x:f>
        <x:v>0</x:v>
      </x:c>
      <x:c r="M156" s="185" t="n">
        <x:f>IF(A156="",0,IF(AND(ISNUMBER(F156),F156&gt;=0,F156&lt;=1,OR(G156="fitch_issue_recovery_estimate",G156="fitch_issue_recovery_rating",G156="reviewed_bbsf_fallback",G156="development_assumption"),H156&lt;&gt;""),0,B156))</x:f>
        <x:v>0</x:v>
      </x:c>
      <x:c r="N156" s="186" t="n">
        <x:f>IF(A156=Q156,0,1)+IF(B156=R156,0,1)+IF(C156=S156,0,1)+IF(D156=T156,0,1)+IF(E156=U156,0,1)+IF(F156=V156,0,1)+IF(G156=W156,0,1)+IF(H156=X156,0,1)</x:f>
        <x:v>0</x:v>
      </x:c>
      <x:c r="O156" s="186" t="n">
        <x:f>IF(A156="",0,IF(E156="",B156,0))</x:f>
        <x:v>1182000</x:v>
      </x:c>
      <x:c r="P156" s="187"/>
      <x:c r="Q156" s="179" t="str">
        <x:v>SYN-LN-00149</x:v>
      </x:c>
      <x:c r="R156" s="179" t="n">
        <x:v>1182000</x:v>
      </x:c>
      <x:c r="S156" s="179" t="str">
        <x:v>B</x:v>
      </x:c>
      <x:c r="T156" s="179" t="str">
        <x:v>development_proxy</x:v>
      </x:c>
      <x:c r="U156" s="179" t="str"/>
      <x:c r="V156" s="179" t="n">
        <x:v>0.75</x:v>
      </x:c>
      <x:c r="W156" s="179" t="str">
        <x:v>development_assumption</x:v>
      </x:c>
      <x:c r="X15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57" ht="107" customHeight="1">
      <x:c r="A157" s="179" t="str">
        <x:v>SYN-LN-00150</x:v>
      </x:c>
      <x:c r="B157" s="180" t="n">
        <x:f>IF(A157="","",SUMIF('Portfolio Inputs'!A8:A289,A157,'Portfolio Inputs'!D8:D289))</x:f>
        <x:v>1182000</x:v>
      </x:c>
      <x:c r="C157" s="179" t="str">
        <x:v>B+</x:v>
      </x:c>
      <x:c r="D157" s="181" t="str">
        <x:v>development_proxy</x:v>
      </x:c>
      <x:c r="E157" s="181" t="str"/>
      <x:c r="F157" s="182" t="n">
        <x:v>0.75</x:v>
      </x:c>
      <x:c r="G157" s="181" t="str">
        <x:v>development_assumption</x:v>
      </x:c>
      <x:c r="H15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57" s="183" t="n">
        <x:f>IF(AND(C157&lt;&gt;"",OR(D157="public_fitch_idr",D157="reviewed_appendix5_equivalent",D157="development_proxy"),H157&lt;&gt;""),VLOOKUP(C157,Fitch_WARF_Factors,2,FALSE),"")</x:f>
        <x:v>19.627</x:v>
      </x:c>
      <x:c r="J157" s="184" t="n">
        <x:f>IF(ISNUMBER(I157),B157*I157,0)</x:f>
        <x:v>23199114</x:v>
      </x:c>
      <x:c r="K157" s="184" t="n">
        <x:f>IF(AND(A157&lt;&gt;"",M157=0),B157*F157,0)</x:f>
        <x:v>886500</x:v>
      </x:c>
      <x:c r="L157" s="184" t="n">
        <x:f>IF(A157="",0,IF(ISNUMBER(I157),0,B157))</x:f>
        <x:v>0</x:v>
      </x:c>
      <x:c r="M157" s="185" t="n">
        <x:f>IF(A157="",0,IF(AND(ISNUMBER(F157),F157&gt;=0,F157&lt;=1,OR(G157="fitch_issue_recovery_estimate",G157="fitch_issue_recovery_rating",G157="reviewed_bbsf_fallback",G157="development_assumption"),H157&lt;&gt;""),0,B157))</x:f>
        <x:v>0</x:v>
      </x:c>
      <x:c r="N157" s="186" t="n">
        <x:f>IF(A157=Q157,0,1)+IF(B157=R157,0,1)+IF(C157=S157,0,1)+IF(D157=T157,0,1)+IF(E157=U157,0,1)+IF(F157=V157,0,1)+IF(G157=W157,0,1)+IF(H157=X157,0,1)</x:f>
        <x:v>0</x:v>
      </x:c>
      <x:c r="O157" s="186" t="n">
        <x:f>IF(A157="",0,IF(E157="",B157,0))</x:f>
        <x:v>1182000</x:v>
      </x:c>
      <x:c r="P157" s="187"/>
      <x:c r="Q157" s="179" t="str">
        <x:v>SYN-LN-00150</x:v>
      </x:c>
      <x:c r="R157" s="179" t="n">
        <x:v>1182000</x:v>
      </x:c>
      <x:c r="S157" s="179" t="str">
        <x:v>B+</x:v>
      </x:c>
      <x:c r="T157" s="179" t="str">
        <x:v>development_proxy</x:v>
      </x:c>
      <x:c r="U157" s="179" t="str"/>
      <x:c r="V157" s="179" t="n">
        <x:v>0.75</x:v>
      </x:c>
      <x:c r="W157" s="179" t="str">
        <x:v>development_assumption</x:v>
      </x:c>
      <x:c r="X15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58" ht="107" customHeight="1">
      <x:c r="A158" s="179" t="str">
        <x:v>SYN-LN-00151</x:v>
      </x:c>
      <x:c r="B158" s="180" t="n">
        <x:f>IF(A158="","",SUMIF('Portfolio Inputs'!A8:A289,A158,'Portfolio Inputs'!D8:D289))</x:f>
        <x:v>1189000</x:v>
      </x:c>
      <x:c r="C158" s="179" t="str">
        <x:v>B</x:v>
      </x:c>
      <x:c r="D158" s="181" t="str">
        <x:v>development_proxy</x:v>
      </x:c>
      <x:c r="E158" s="181" t="str"/>
      <x:c r="F158" s="182" t="n">
        <x:v>0.75</x:v>
      </x:c>
      <x:c r="G158" s="181" t="str">
        <x:v>development_assumption</x:v>
      </x:c>
      <x:c r="H15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58" s="183" t="n">
        <x:f>IF(AND(C158&lt;&gt;"",OR(D158="public_fitch_idr",D158="reviewed_appendix5_equivalent",D158="development_proxy"),H158&lt;&gt;""),VLOOKUP(C158,Fitch_WARF_Factors,2,FALSE),"")</x:f>
        <x:v>23.671</x:v>
      </x:c>
      <x:c r="J158" s="184" t="n">
        <x:f>IF(ISNUMBER(I158),B158*I158,0)</x:f>
        <x:v>28144819</x:v>
      </x:c>
      <x:c r="K158" s="184" t="n">
        <x:f>IF(AND(A158&lt;&gt;"",M158=0),B158*F158,0)</x:f>
        <x:v>891750</x:v>
      </x:c>
      <x:c r="L158" s="184" t="n">
        <x:f>IF(A158="",0,IF(ISNUMBER(I158),0,B158))</x:f>
        <x:v>0</x:v>
      </x:c>
      <x:c r="M158" s="185" t="n">
        <x:f>IF(A158="",0,IF(AND(ISNUMBER(F158),F158&gt;=0,F158&lt;=1,OR(G158="fitch_issue_recovery_estimate",G158="fitch_issue_recovery_rating",G158="reviewed_bbsf_fallback",G158="development_assumption"),H158&lt;&gt;""),0,B158))</x:f>
        <x:v>0</x:v>
      </x:c>
      <x:c r="N158" s="186" t="n">
        <x:f>IF(A158=Q158,0,1)+IF(B158=R158,0,1)+IF(C158=S158,0,1)+IF(D158=T158,0,1)+IF(E158=U158,0,1)+IF(F158=V158,0,1)+IF(G158=W158,0,1)+IF(H158=X158,0,1)</x:f>
        <x:v>0</x:v>
      </x:c>
      <x:c r="O158" s="186" t="n">
        <x:f>IF(A158="",0,IF(E158="",B158,0))</x:f>
        <x:v>1189000</x:v>
      </x:c>
      <x:c r="P158" s="187"/>
      <x:c r="Q158" s="179" t="str">
        <x:v>SYN-LN-00151</x:v>
      </x:c>
      <x:c r="R158" s="179" t="n">
        <x:v>1189000</x:v>
      </x:c>
      <x:c r="S158" s="179" t="str">
        <x:v>B</x:v>
      </x:c>
      <x:c r="T158" s="179" t="str">
        <x:v>development_proxy</x:v>
      </x:c>
      <x:c r="U158" s="179" t="str"/>
      <x:c r="V158" s="179" t="n">
        <x:v>0.75</x:v>
      </x:c>
      <x:c r="W158" s="179" t="str">
        <x:v>development_assumption</x:v>
      </x:c>
      <x:c r="X15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59" ht="107" customHeight="1">
      <x:c r="A159" s="179" t="str">
        <x:v>SYN-LN-00152</x:v>
      </x:c>
      <x:c r="B159" s="180" t="n">
        <x:f>IF(A159="","",SUMIF('Portfolio Inputs'!A8:A289,A159,'Portfolio Inputs'!D8:D289))</x:f>
        <x:v>1182000</x:v>
      </x:c>
      <x:c r="C159" s="179" t="str">
        <x:v>B</x:v>
      </x:c>
      <x:c r="D159" s="181" t="str">
        <x:v>development_proxy</x:v>
      </x:c>
      <x:c r="E159" s="181" t="str"/>
      <x:c r="F159" s="182" t="n">
        <x:v>0.75</x:v>
      </x:c>
      <x:c r="G159" s="181" t="str">
        <x:v>development_assumption</x:v>
      </x:c>
      <x:c r="H15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59" s="183" t="n">
        <x:f>IF(AND(C159&lt;&gt;"",OR(D159="public_fitch_idr",D159="reviewed_appendix5_equivalent",D159="development_proxy"),H159&lt;&gt;""),VLOOKUP(C159,Fitch_WARF_Factors,2,FALSE),"")</x:f>
        <x:v>23.671</x:v>
      </x:c>
      <x:c r="J159" s="184" t="n">
        <x:f>IF(ISNUMBER(I159),B159*I159,0)</x:f>
        <x:v>27979122</x:v>
      </x:c>
      <x:c r="K159" s="184" t="n">
        <x:f>IF(AND(A159&lt;&gt;"",M159=0),B159*F159,0)</x:f>
        <x:v>886500</x:v>
      </x:c>
      <x:c r="L159" s="184" t="n">
        <x:f>IF(A159="",0,IF(ISNUMBER(I159),0,B159))</x:f>
        <x:v>0</x:v>
      </x:c>
      <x:c r="M159" s="185" t="n">
        <x:f>IF(A159="",0,IF(AND(ISNUMBER(F159),F159&gt;=0,F159&lt;=1,OR(G159="fitch_issue_recovery_estimate",G159="fitch_issue_recovery_rating",G159="reviewed_bbsf_fallback",G159="development_assumption"),H159&lt;&gt;""),0,B159))</x:f>
        <x:v>0</x:v>
      </x:c>
      <x:c r="N159" s="186" t="n">
        <x:f>IF(A159=Q159,0,1)+IF(B159=R159,0,1)+IF(C159=S159,0,1)+IF(D159=T159,0,1)+IF(E159=U159,0,1)+IF(F159=V159,0,1)+IF(G159=W159,0,1)+IF(H159=X159,0,1)</x:f>
        <x:v>0</x:v>
      </x:c>
      <x:c r="O159" s="186" t="n">
        <x:f>IF(A159="",0,IF(E159="",B159,0))</x:f>
        <x:v>1182000</x:v>
      </x:c>
      <x:c r="P159" s="187"/>
      <x:c r="Q159" s="179" t="str">
        <x:v>SYN-LN-00152</x:v>
      </x:c>
      <x:c r="R159" s="179" t="n">
        <x:v>1182000</x:v>
      </x:c>
      <x:c r="S159" s="179" t="str">
        <x:v>B</x:v>
      </x:c>
      <x:c r="T159" s="179" t="str">
        <x:v>development_proxy</x:v>
      </x:c>
      <x:c r="U159" s="179" t="str"/>
      <x:c r="V159" s="179" t="n">
        <x:v>0.75</x:v>
      </x:c>
      <x:c r="W159" s="179" t="str">
        <x:v>development_assumption</x:v>
      </x:c>
      <x:c r="X15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60" ht="107" customHeight="1">
      <x:c r="A160" s="179" t="str">
        <x:v>SYN-LN-00153</x:v>
      </x:c>
      <x:c r="B160" s="180" t="n">
        <x:f>IF(A160="","",SUMIF('Portfolio Inputs'!A8:A289,A160,'Portfolio Inputs'!D8:D289))</x:f>
        <x:v>1182000</x:v>
      </x:c>
      <x:c r="C160" s="179" t="str">
        <x:v>B</x:v>
      </x:c>
      <x:c r="D160" s="181" t="str">
        <x:v>development_proxy</x:v>
      </x:c>
      <x:c r="E160" s="181" t="str"/>
      <x:c r="F160" s="182" t="n">
        <x:v>0.75</x:v>
      </x:c>
      <x:c r="G160" s="181" t="str">
        <x:v>development_assumption</x:v>
      </x:c>
      <x:c r="H16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60" s="183" t="n">
        <x:f>IF(AND(C160&lt;&gt;"",OR(D160="public_fitch_idr",D160="reviewed_appendix5_equivalent",D160="development_proxy"),H160&lt;&gt;""),VLOOKUP(C160,Fitch_WARF_Factors,2,FALSE),"")</x:f>
        <x:v>23.671</x:v>
      </x:c>
      <x:c r="J160" s="184" t="n">
        <x:f>IF(ISNUMBER(I160),B160*I160,0)</x:f>
        <x:v>27979122</x:v>
      </x:c>
      <x:c r="K160" s="184" t="n">
        <x:f>IF(AND(A160&lt;&gt;"",M160=0),B160*F160,0)</x:f>
        <x:v>886500</x:v>
      </x:c>
      <x:c r="L160" s="184" t="n">
        <x:f>IF(A160="",0,IF(ISNUMBER(I160),0,B160))</x:f>
        <x:v>0</x:v>
      </x:c>
      <x:c r="M160" s="185" t="n">
        <x:f>IF(A160="",0,IF(AND(ISNUMBER(F160),F160&gt;=0,F160&lt;=1,OR(G160="fitch_issue_recovery_estimate",G160="fitch_issue_recovery_rating",G160="reviewed_bbsf_fallback",G160="development_assumption"),H160&lt;&gt;""),0,B160))</x:f>
        <x:v>0</x:v>
      </x:c>
      <x:c r="N160" s="186" t="n">
        <x:f>IF(A160=Q160,0,1)+IF(B160=R160,0,1)+IF(C160=S160,0,1)+IF(D160=T160,0,1)+IF(E160=U160,0,1)+IF(F160=V160,0,1)+IF(G160=W160,0,1)+IF(H160=X160,0,1)</x:f>
        <x:v>0</x:v>
      </x:c>
      <x:c r="O160" s="186" t="n">
        <x:f>IF(A160="",0,IF(E160="",B160,0))</x:f>
        <x:v>1182000</x:v>
      </x:c>
      <x:c r="P160" s="187"/>
      <x:c r="Q160" s="179" t="str">
        <x:v>SYN-LN-00153</x:v>
      </x:c>
      <x:c r="R160" s="179" t="n">
        <x:v>1182000</x:v>
      </x:c>
      <x:c r="S160" s="179" t="str">
        <x:v>B</x:v>
      </x:c>
      <x:c r="T160" s="179" t="str">
        <x:v>development_proxy</x:v>
      </x:c>
      <x:c r="U160" s="179" t="str"/>
      <x:c r="V160" s="179" t="n">
        <x:v>0.75</x:v>
      </x:c>
      <x:c r="W160" s="179" t="str">
        <x:v>development_assumption</x:v>
      </x:c>
      <x:c r="X16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61" ht="107" customHeight="1">
      <x:c r="A161" s="179" t="str">
        <x:v>SYN-LN-00154</x:v>
      </x:c>
      <x:c r="B161" s="180" t="n">
        <x:f>IF(A161="","",SUMIF('Portfolio Inputs'!A8:A289,A161,'Portfolio Inputs'!D8:D289))</x:f>
        <x:v>1182000</x:v>
      </x:c>
      <x:c r="C161" s="179" t="str">
        <x:v>B-</x:v>
      </x:c>
      <x:c r="D161" s="181" t="str">
        <x:v>development_proxy</x:v>
      </x:c>
      <x:c r="E161" s="181" t="str"/>
      <x:c r="F161" s="182" t="n">
        <x:v>0.65</x:v>
      </x:c>
      <x:c r="G161" s="181" t="str">
        <x:v>development_assumption</x:v>
      </x:c>
      <x:c r="H161" s="181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  <x:c r="I161" s="183" t="n">
        <x:f>IF(AND(C161&lt;&gt;"",OR(D161="public_fitch_idr",D161="reviewed_appendix5_equivalent",D161="development_proxy"),H161&lt;&gt;""),VLOOKUP(C161,Fitch_WARF_Factors,2,FALSE),"")</x:f>
        <x:v>32.221</x:v>
      </x:c>
      <x:c r="J161" s="184" t="n">
        <x:f>IF(ISNUMBER(I161),B161*I161,0)</x:f>
        <x:v>38085221.99999999</x:v>
      </x:c>
      <x:c r="K161" s="184" t="n">
        <x:f>IF(AND(A161&lt;&gt;"",M161=0),B161*F161,0)</x:f>
        <x:v>768300</x:v>
      </x:c>
      <x:c r="L161" s="184" t="n">
        <x:f>IF(A161="",0,IF(ISNUMBER(I161),0,B161))</x:f>
        <x:v>0</x:v>
      </x:c>
      <x:c r="M161" s="185" t="n">
        <x:f>IF(A161="",0,IF(AND(ISNUMBER(F161),F161&gt;=0,F161&lt;=1,OR(G161="fitch_issue_recovery_estimate",G161="fitch_issue_recovery_rating",G161="reviewed_bbsf_fallback",G161="development_assumption"),H161&lt;&gt;""),0,B161))</x:f>
        <x:v>0</x:v>
      </x:c>
      <x:c r="N161" s="186" t="n">
        <x:f>IF(A161=Q161,0,1)+IF(B161=R161,0,1)+IF(C161=S161,0,1)+IF(D161=T161,0,1)+IF(E161=U161,0,1)+IF(F161=V161,0,1)+IF(G161=W161,0,1)+IF(H161=X161,0,1)</x:f>
        <x:v>0</x:v>
      </x:c>
      <x:c r="O161" s="186" t="n">
        <x:f>IF(A161="",0,IF(E161="",B161,0))</x:f>
        <x:v>1182000</x:v>
      </x:c>
      <x:c r="P161" s="187"/>
      <x:c r="Q161" s="179" t="str">
        <x:v>SYN-LN-00154</x:v>
      </x:c>
      <x:c r="R161" s="179" t="n">
        <x:v>1182000</x:v>
      </x:c>
      <x:c r="S161" s="179" t="str">
        <x:v>B-</x:v>
      </x:c>
      <x:c r="T161" s="179" t="str">
        <x:v>development_proxy</x:v>
      </x:c>
      <x:c r="U161" s="179" t="str"/>
      <x:c r="V161" s="179" t="n">
        <x:v>0.65</x:v>
      </x:c>
      <x:c r="W161" s="179" t="str">
        <x:v>development_assumption</x:v>
      </x:c>
      <x:c r="X161" s="179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</x:row>
    <x:row r="162" ht="107" customHeight="1">
      <x:c r="A162" s="179" t="str">
        <x:v>SYN-LN-00155</x:v>
      </x:c>
      <x:c r="B162" s="180" t="n">
        <x:f>IF(A162="","",SUMIF('Portfolio Inputs'!A8:A289,A162,'Portfolio Inputs'!D8:D289))</x:f>
        <x:v>1182000</x:v>
      </x:c>
      <x:c r="C162" s="179" t="str">
        <x:v>BB-</x:v>
      </x:c>
      <x:c r="D162" s="181" t="str">
        <x:v>development_proxy</x:v>
      </x:c>
      <x:c r="E162" s="181" t="str"/>
      <x:c r="F162" s="182" t="n">
        <x:v>0.75</x:v>
      </x:c>
      <x:c r="G162" s="181" t="str">
        <x:v>development_assumption</x:v>
      </x:c>
      <x:c r="H16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62" s="183" t="n">
        <x:f>IF(AND(C162&lt;&gt;"",OR(D162="public_fitch_idr",D162="reviewed_appendix5_equivalent",D162="development_proxy"),H162&lt;&gt;""),VLOOKUP(C162,Fitch_WARF_Factors,2,FALSE),"")</x:f>
        <x:v>15.733</x:v>
      </x:c>
      <x:c r="J162" s="184" t="n">
        <x:f>IF(ISNUMBER(I162),B162*I162,0)</x:f>
        <x:v>18596406</x:v>
      </x:c>
      <x:c r="K162" s="184" t="n">
        <x:f>IF(AND(A162&lt;&gt;"",M162=0),B162*F162,0)</x:f>
        <x:v>886500</x:v>
      </x:c>
      <x:c r="L162" s="184" t="n">
        <x:f>IF(A162="",0,IF(ISNUMBER(I162),0,B162))</x:f>
        <x:v>0</x:v>
      </x:c>
      <x:c r="M162" s="185" t="n">
        <x:f>IF(A162="",0,IF(AND(ISNUMBER(F162),F162&gt;=0,F162&lt;=1,OR(G162="fitch_issue_recovery_estimate",G162="fitch_issue_recovery_rating",G162="reviewed_bbsf_fallback",G162="development_assumption"),H162&lt;&gt;""),0,B162))</x:f>
        <x:v>0</x:v>
      </x:c>
      <x:c r="N162" s="186" t="n">
        <x:f>IF(A162=Q162,0,1)+IF(B162=R162,0,1)+IF(C162=S162,0,1)+IF(D162=T162,0,1)+IF(E162=U162,0,1)+IF(F162=V162,0,1)+IF(G162=W162,0,1)+IF(H162=X162,0,1)</x:f>
        <x:v>0</x:v>
      </x:c>
      <x:c r="O162" s="186" t="n">
        <x:f>IF(A162="",0,IF(E162="",B162,0))</x:f>
        <x:v>1182000</x:v>
      </x:c>
      <x:c r="P162" s="187"/>
      <x:c r="Q162" s="179" t="str">
        <x:v>SYN-LN-00155</x:v>
      </x:c>
      <x:c r="R162" s="179" t="n">
        <x:v>1182000</x:v>
      </x:c>
      <x:c r="S162" s="179" t="str">
        <x:v>BB-</x:v>
      </x:c>
      <x:c r="T162" s="179" t="str">
        <x:v>development_proxy</x:v>
      </x:c>
      <x:c r="U162" s="179" t="str"/>
      <x:c r="V162" s="179" t="n">
        <x:v>0.75</x:v>
      </x:c>
      <x:c r="W162" s="179" t="str">
        <x:v>development_assumption</x:v>
      </x:c>
      <x:c r="X16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63" ht="107" customHeight="1">
      <x:c r="A163" s="179" t="str">
        <x:v>SYN-LN-00156</x:v>
      </x:c>
      <x:c r="B163" s="180" t="n">
        <x:f>IF(A163="","",SUMIF('Portfolio Inputs'!A8:A289,A163,'Portfolio Inputs'!D8:D289))</x:f>
        <x:v>1182000</x:v>
      </x:c>
      <x:c r="C163" s="179" t="str">
        <x:v>B</x:v>
      </x:c>
      <x:c r="D163" s="181" t="str">
        <x:v>development_proxy</x:v>
      </x:c>
      <x:c r="E163" s="181" t="str"/>
      <x:c r="F163" s="182" t="n">
        <x:v>0.75</x:v>
      </x:c>
      <x:c r="G163" s="181" t="str">
        <x:v>development_assumption</x:v>
      </x:c>
      <x:c r="H16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63" s="183" t="n">
        <x:f>IF(AND(C163&lt;&gt;"",OR(D163="public_fitch_idr",D163="reviewed_appendix5_equivalent",D163="development_proxy"),H163&lt;&gt;""),VLOOKUP(C163,Fitch_WARF_Factors,2,FALSE),"")</x:f>
        <x:v>23.671</x:v>
      </x:c>
      <x:c r="J163" s="184" t="n">
        <x:f>IF(ISNUMBER(I163),B163*I163,0)</x:f>
        <x:v>27979122</x:v>
      </x:c>
      <x:c r="K163" s="184" t="n">
        <x:f>IF(AND(A163&lt;&gt;"",M163=0),B163*F163,0)</x:f>
        <x:v>886500</x:v>
      </x:c>
      <x:c r="L163" s="184" t="n">
        <x:f>IF(A163="",0,IF(ISNUMBER(I163),0,B163))</x:f>
        <x:v>0</x:v>
      </x:c>
      <x:c r="M163" s="185" t="n">
        <x:f>IF(A163="",0,IF(AND(ISNUMBER(F163),F163&gt;=0,F163&lt;=1,OR(G163="fitch_issue_recovery_estimate",G163="fitch_issue_recovery_rating",G163="reviewed_bbsf_fallback",G163="development_assumption"),H163&lt;&gt;""),0,B163))</x:f>
        <x:v>0</x:v>
      </x:c>
      <x:c r="N163" s="186" t="n">
        <x:f>IF(A163=Q163,0,1)+IF(B163=R163,0,1)+IF(C163=S163,0,1)+IF(D163=T163,0,1)+IF(E163=U163,0,1)+IF(F163=V163,0,1)+IF(G163=W163,0,1)+IF(H163=X163,0,1)</x:f>
        <x:v>0</x:v>
      </x:c>
      <x:c r="O163" s="186" t="n">
        <x:f>IF(A163="",0,IF(E163="",B163,0))</x:f>
        <x:v>1182000</x:v>
      </x:c>
      <x:c r="P163" s="187"/>
      <x:c r="Q163" s="179" t="str">
        <x:v>SYN-LN-00156</x:v>
      </x:c>
      <x:c r="R163" s="179" t="n">
        <x:v>1182000</x:v>
      </x:c>
      <x:c r="S163" s="179" t="str">
        <x:v>B</x:v>
      </x:c>
      <x:c r="T163" s="179" t="str">
        <x:v>development_proxy</x:v>
      </x:c>
      <x:c r="U163" s="179" t="str"/>
      <x:c r="V163" s="179" t="n">
        <x:v>0.75</x:v>
      </x:c>
      <x:c r="W163" s="179" t="str">
        <x:v>development_assumption</x:v>
      </x:c>
      <x:c r="X16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64" ht="107" customHeight="1">
      <x:c r="A164" s="179" t="str">
        <x:v>SYN-LN-00157</x:v>
      </x:c>
      <x:c r="B164" s="180" t="n">
        <x:f>IF(A164="","",SUMIF('Portfolio Inputs'!A8:A289,A164,'Portfolio Inputs'!D8:D289))</x:f>
        <x:v>1182000</x:v>
      </x:c>
      <x:c r="C164" s="179" t="str">
        <x:v>BB</x:v>
      </x:c>
      <x:c r="D164" s="181" t="str">
        <x:v>development_proxy</x:v>
      </x:c>
      <x:c r="E164" s="181" t="str"/>
      <x:c r="F164" s="182" t="n">
        <x:v>0.75</x:v>
      </x:c>
      <x:c r="G164" s="181" t="str">
        <x:v>development_assumption</x:v>
      </x:c>
      <x:c r="H16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64" s="183" t="n">
        <x:f>IF(AND(C164&lt;&gt;"",OR(D164="public_fitch_idr",D164="reviewed_appendix5_equivalent",D164="development_proxy"),H164&lt;&gt;""),VLOOKUP(C164,Fitch_WARF_Factors,2,FALSE),"")</x:f>
        <x:v>11.844</x:v>
      </x:c>
      <x:c r="J164" s="184" t="n">
        <x:f>IF(ISNUMBER(I164),B164*I164,0)</x:f>
        <x:v>13999608</x:v>
      </x:c>
      <x:c r="K164" s="184" t="n">
        <x:f>IF(AND(A164&lt;&gt;"",M164=0),B164*F164,0)</x:f>
        <x:v>886500</x:v>
      </x:c>
      <x:c r="L164" s="184" t="n">
        <x:f>IF(A164="",0,IF(ISNUMBER(I164),0,B164))</x:f>
        <x:v>0</x:v>
      </x:c>
      <x:c r="M164" s="185" t="n">
        <x:f>IF(A164="",0,IF(AND(ISNUMBER(F164),F164&gt;=0,F164&lt;=1,OR(G164="fitch_issue_recovery_estimate",G164="fitch_issue_recovery_rating",G164="reviewed_bbsf_fallback",G164="development_assumption"),H164&lt;&gt;""),0,B164))</x:f>
        <x:v>0</x:v>
      </x:c>
      <x:c r="N164" s="186" t="n">
        <x:f>IF(A164=Q164,0,1)+IF(B164=R164,0,1)+IF(C164=S164,0,1)+IF(D164=T164,0,1)+IF(E164=U164,0,1)+IF(F164=V164,0,1)+IF(G164=W164,0,1)+IF(H164=X164,0,1)</x:f>
        <x:v>0</x:v>
      </x:c>
      <x:c r="O164" s="186" t="n">
        <x:f>IF(A164="",0,IF(E164="",B164,0))</x:f>
        <x:v>1182000</x:v>
      </x:c>
      <x:c r="P164" s="187"/>
      <x:c r="Q164" s="179" t="str">
        <x:v>SYN-LN-00157</x:v>
      </x:c>
      <x:c r="R164" s="179" t="n">
        <x:v>1182000</x:v>
      </x:c>
      <x:c r="S164" s="179" t="str">
        <x:v>BB</x:v>
      </x:c>
      <x:c r="T164" s="179" t="str">
        <x:v>development_proxy</x:v>
      </x:c>
      <x:c r="U164" s="179" t="str"/>
      <x:c r="V164" s="179" t="n">
        <x:v>0.75</x:v>
      </x:c>
      <x:c r="W164" s="179" t="str">
        <x:v>development_assumption</x:v>
      </x:c>
      <x:c r="X16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65" ht="107" customHeight="1">
      <x:c r="A165" s="179" t="str">
        <x:v>SYN-LN-00158</x:v>
      </x:c>
      <x:c r="B165" s="180" t="n">
        <x:f>IF(A165="","",SUMIF('Portfolio Inputs'!A8:A289,A165,'Portfolio Inputs'!D8:D289))</x:f>
        <x:v>1182000</x:v>
      </x:c>
      <x:c r="C165" s="179" t="str">
        <x:v>B</x:v>
      </x:c>
      <x:c r="D165" s="181" t="str">
        <x:v>development_proxy</x:v>
      </x:c>
      <x:c r="E165" s="181" t="str"/>
      <x:c r="F165" s="182" t="n">
        <x:v>0.65</x:v>
      </x:c>
      <x:c r="G165" s="181" t="str">
        <x:v>development_assumption</x:v>
      </x:c>
      <x:c r="H165" s="181" t="str">
        <x:v>FICTIONAL DEVELOPMENT: copied S&amp;P symbol as Fitch IDR-equivalency proxy; no Fitch rating or Appendix 5 review. Assumed first-lien facility is senior secured loan with no issue recovery opinion; Netherlands Group 2; Fitch June 1 2026 Appendix 4 pp42-43 and Appendix 6 pp47-48 BBsf Strong fallback.</x:v>
      </x:c>
      <x:c r="I165" s="183" t="n">
        <x:f>IF(AND(C165&lt;&gt;"",OR(D165="public_fitch_idr",D165="reviewed_appendix5_equivalent",D165="development_proxy"),H165&lt;&gt;""),VLOOKUP(C165,Fitch_WARF_Factors,2,FALSE),"")</x:f>
        <x:v>23.671</x:v>
      </x:c>
      <x:c r="J165" s="184" t="n">
        <x:f>IF(ISNUMBER(I165),B165*I165,0)</x:f>
        <x:v>27979122</x:v>
      </x:c>
      <x:c r="K165" s="184" t="n">
        <x:f>IF(AND(A165&lt;&gt;"",M165=0),B165*F165,0)</x:f>
        <x:v>768300</x:v>
      </x:c>
      <x:c r="L165" s="184" t="n">
        <x:f>IF(A165="",0,IF(ISNUMBER(I165),0,B165))</x:f>
        <x:v>0</x:v>
      </x:c>
      <x:c r="M165" s="185" t="n">
        <x:f>IF(A165="",0,IF(AND(ISNUMBER(F165),F165&gt;=0,F165&lt;=1,OR(G165="fitch_issue_recovery_estimate",G165="fitch_issue_recovery_rating",G165="reviewed_bbsf_fallback",G165="development_assumption"),H165&lt;&gt;""),0,B165))</x:f>
        <x:v>0</x:v>
      </x:c>
      <x:c r="N165" s="186" t="n">
        <x:f>IF(A165=Q165,0,1)+IF(B165=R165,0,1)+IF(C165=S165,0,1)+IF(D165=T165,0,1)+IF(E165=U165,0,1)+IF(F165=V165,0,1)+IF(G165=W165,0,1)+IF(H165=X165,0,1)</x:f>
        <x:v>0</x:v>
      </x:c>
      <x:c r="O165" s="186" t="n">
        <x:f>IF(A165="",0,IF(E165="",B165,0))</x:f>
        <x:v>1182000</x:v>
      </x:c>
      <x:c r="P165" s="187"/>
      <x:c r="Q165" s="179" t="str">
        <x:v>SYN-LN-00158</x:v>
      </x:c>
      <x:c r="R165" s="179" t="n">
        <x:v>1182000</x:v>
      </x:c>
      <x:c r="S165" s="179" t="str">
        <x:v>B</x:v>
      </x:c>
      <x:c r="T165" s="179" t="str">
        <x:v>development_proxy</x:v>
      </x:c>
      <x:c r="U165" s="179" t="str"/>
      <x:c r="V165" s="179" t="n">
        <x:v>0.65</x:v>
      </x:c>
      <x:c r="W165" s="179" t="str">
        <x:v>development_assumption</x:v>
      </x:c>
      <x:c r="X165" s="179" t="str">
        <x:v>FICTIONAL DEVELOPMENT: copied S&amp;P symbol as Fitch IDR-equivalency proxy; no Fitch rating or Appendix 5 review. Assumed first-lien facility is senior secured loan with no issue recovery opinion; Netherlands Group 2; Fitch June 1 2026 Appendix 4 pp42-43 and Appendix 6 pp47-48 BBsf Strong fallback.</x:v>
      </x:c>
    </x:row>
    <x:row r="166" ht="107" customHeight="1">
      <x:c r="A166" s="179" t="str">
        <x:v>SYN-LN-00159</x:v>
      </x:c>
      <x:c r="B166" s="180" t="n">
        <x:f>IF(A166="","",SUMIF('Portfolio Inputs'!A8:A289,A166,'Portfolio Inputs'!D8:D289))</x:f>
        <x:v>1182000</x:v>
      </x:c>
      <x:c r="C166" s="179" t="str">
        <x:v>BB-</x:v>
      </x:c>
      <x:c r="D166" s="181" t="str">
        <x:v>development_proxy</x:v>
      </x:c>
      <x:c r="E166" s="181" t="str"/>
      <x:c r="F166" s="182" t="n">
        <x:v>0.75</x:v>
      </x:c>
      <x:c r="G166" s="181" t="str">
        <x:v>development_assumption</x:v>
      </x:c>
      <x:c r="H16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66" s="183" t="n">
        <x:f>IF(AND(C166&lt;&gt;"",OR(D166="public_fitch_idr",D166="reviewed_appendix5_equivalent",D166="development_proxy"),H166&lt;&gt;""),VLOOKUP(C166,Fitch_WARF_Factors,2,FALSE),"")</x:f>
        <x:v>15.733</x:v>
      </x:c>
      <x:c r="J166" s="184" t="n">
        <x:f>IF(ISNUMBER(I166),B166*I166,0)</x:f>
        <x:v>18596406</x:v>
      </x:c>
      <x:c r="K166" s="184" t="n">
        <x:f>IF(AND(A166&lt;&gt;"",M166=0),B166*F166,0)</x:f>
        <x:v>886500</x:v>
      </x:c>
      <x:c r="L166" s="184" t="n">
        <x:f>IF(A166="",0,IF(ISNUMBER(I166),0,B166))</x:f>
        <x:v>0</x:v>
      </x:c>
      <x:c r="M166" s="185" t="n">
        <x:f>IF(A166="",0,IF(AND(ISNUMBER(F166),F166&gt;=0,F166&lt;=1,OR(G166="fitch_issue_recovery_estimate",G166="fitch_issue_recovery_rating",G166="reviewed_bbsf_fallback",G166="development_assumption"),H166&lt;&gt;""),0,B166))</x:f>
        <x:v>0</x:v>
      </x:c>
      <x:c r="N166" s="186" t="n">
        <x:f>IF(A166=Q166,0,1)+IF(B166=R166,0,1)+IF(C166=S166,0,1)+IF(D166=T166,0,1)+IF(E166=U166,0,1)+IF(F166=V166,0,1)+IF(G166=W166,0,1)+IF(H166=X166,0,1)</x:f>
        <x:v>0</x:v>
      </x:c>
      <x:c r="O166" s="186" t="n">
        <x:f>IF(A166="",0,IF(E166="",B166,0))</x:f>
        <x:v>1182000</x:v>
      </x:c>
      <x:c r="P166" s="187"/>
      <x:c r="Q166" s="179" t="str">
        <x:v>SYN-LN-00159</x:v>
      </x:c>
      <x:c r="R166" s="179" t="n">
        <x:v>1182000</x:v>
      </x:c>
      <x:c r="S166" s="179" t="str">
        <x:v>BB-</x:v>
      </x:c>
      <x:c r="T166" s="179" t="str">
        <x:v>development_proxy</x:v>
      </x:c>
      <x:c r="U166" s="179" t="str"/>
      <x:c r="V166" s="179" t="n">
        <x:v>0.75</x:v>
      </x:c>
      <x:c r="W166" s="179" t="str">
        <x:v>development_assumption</x:v>
      </x:c>
      <x:c r="X16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67" ht="107" customHeight="1">
      <x:c r="A167" s="179" t="str">
        <x:v>SYN-LN-00160</x:v>
      </x:c>
      <x:c r="B167" s="180" t="n">
        <x:f>IF(A167="","",SUMIF('Portfolio Inputs'!A8:A289,A167,'Portfolio Inputs'!D8:D289))</x:f>
        <x:v>1182000</x:v>
      </x:c>
      <x:c r="C167" s="179" t="str">
        <x:v>B</x:v>
      </x:c>
      <x:c r="D167" s="181" t="str">
        <x:v>development_proxy</x:v>
      </x:c>
      <x:c r="E167" s="181" t="str"/>
      <x:c r="F167" s="182" t="n">
        <x:v>0.75</x:v>
      </x:c>
      <x:c r="G167" s="181" t="str">
        <x:v>development_assumption</x:v>
      </x:c>
      <x:c r="H16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67" s="183" t="n">
        <x:f>IF(AND(C167&lt;&gt;"",OR(D167="public_fitch_idr",D167="reviewed_appendix5_equivalent",D167="development_proxy"),H167&lt;&gt;""),VLOOKUP(C167,Fitch_WARF_Factors,2,FALSE),"")</x:f>
        <x:v>23.671</x:v>
      </x:c>
      <x:c r="J167" s="184" t="n">
        <x:f>IF(ISNUMBER(I167),B167*I167,0)</x:f>
        <x:v>27979122</x:v>
      </x:c>
      <x:c r="K167" s="184" t="n">
        <x:f>IF(AND(A167&lt;&gt;"",M167=0),B167*F167,0)</x:f>
        <x:v>886500</x:v>
      </x:c>
      <x:c r="L167" s="184" t="n">
        <x:f>IF(A167="",0,IF(ISNUMBER(I167),0,B167))</x:f>
        <x:v>0</x:v>
      </x:c>
      <x:c r="M167" s="185" t="n">
        <x:f>IF(A167="",0,IF(AND(ISNUMBER(F167),F167&gt;=0,F167&lt;=1,OR(G167="fitch_issue_recovery_estimate",G167="fitch_issue_recovery_rating",G167="reviewed_bbsf_fallback",G167="development_assumption"),H167&lt;&gt;""),0,B167))</x:f>
        <x:v>0</x:v>
      </x:c>
      <x:c r="N167" s="186" t="n">
        <x:f>IF(A167=Q167,0,1)+IF(B167=R167,0,1)+IF(C167=S167,0,1)+IF(D167=T167,0,1)+IF(E167=U167,0,1)+IF(F167=V167,0,1)+IF(G167=W167,0,1)+IF(H167=X167,0,1)</x:f>
        <x:v>0</x:v>
      </x:c>
      <x:c r="O167" s="186" t="n">
        <x:f>IF(A167="",0,IF(E167="",B167,0))</x:f>
        <x:v>1182000</x:v>
      </x:c>
      <x:c r="P167" s="187"/>
      <x:c r="Q167" s="179" t="str">
        <x:v>SYN-LN-00160</x:v>
      </x:c>
      <x:c r="R167" s="179" t="n">
        <x:v>1182000</x:v>
      </x:c>
      <x:c r="S167" s="179" t="str">
        <x:v>B</x:v>
      </x:c>
      <x:c r="T167" s="179" t="str">
        <x:v>development_proxy</x:v>
      </x:c>
      <x:c r="U167" s="179" t="str"/>
      <x:c r="V167" s="179" t="n">
        <x:v>0.75</x:v>
      </x:c>
      <x:c r="W167" s="179" t="str">
        <x:v>development_assumption</x:v>
      </x:c>
      <x:c r="X16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68" ht="107" customHeight="1">
      <x:c r="A168" s="179" t="str">
        <x:v>SYN-LN-00161</x:v>
      </x:c>
      <x:c r="B168" s="180" t="n">
        <x:f>IF(A168="","",SUMIF('Portfolio Inputs'!A8:A289,A168,'Portfolio Inputs'!D8:D289))</x:f>
        <x:v>1182000</x:v>
      </x:c>
      <x:c r="C168" s="179" t="str">
        <x:v>BB</x:v>
      </x:c>
      <x:c r="D168" s="181" t="str">
        <x:v>development_proxy</x:v>
      </x:c>
      <x:c r="E168" s="181" t="str"/>
      <x:c r="F168" s="182" t="n">
        <x:v>0.75</x:v>
      </x:c>
      <x:c r="G168" s="181" t="str">
        <x:v>development_assumption</x:v>
      </x:c>
      <x:c r="H16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68" s="183" t="n">
        <x:f>IF(AND(C168&lt;&gt;"",OR(D168="public_fitch_idr",D168="reviewed_appendix5_equivalent",D168="development_proxy"),H168&lt;&gt;""),VLOOKUP(C168,Fitch_WARF_Factors,2,FALSE),"")</x:f>
        <x:v>11.844</x:v>
      </x:c>
      <x:c r="J168" s="184" t="n">
        <x:f>IF(ISNUMBER(I168),B168*I168,0)</x:f>
        <x:v>13999608</x:v>
      </x:c>
      <x:c r="K168" s="184" t="n">
        <x:f>IF(AND(A168&lt;&gt;"",M168=0),B168*F168,0)</x:f>
        <x:v>886500</x:v>
      </x:c>
      <x:c r="L168" s="184" t="n">
        <x:f>IF(A168="",0,IF(ISNUMBER(I168),0,B168))</x:f>
        <x:v>0</x:v>
      </x:c>
      <x:c r="M168" s="185" t="n">
        <x:f>IF(A168="",0,IF(AND(ISNUMBER(F168),F168&gt;=0,F168&lt;=1,OR(G168="fitch_issue_recovery_estimate",G168="fitch_issue_recovery_rating",G168="reviewed_bbsf_fallback",G168="development_assumption"),H168&lt;&gt;""),0,B168))</x:f>
        <x:v>0</x:v>
      </x:c>
      <x:c r="N168" s="186" t="n">
        <x:f>IF(A168=Q168,0,1)+IF(B168=R168,0,1)+IF(C168=S168,0,1)+IF(D168=T168,0,1)+IF(E168=U168,0,1)+IF(F168=V168,0,1)+IF(G168=W168,0,1)+IF(H168=X168,0,1)</x:f>
        <x:v>0</x:v>
      </x:c>
      <x:c r="O168" s="186" t="n">
        <x:f>IF(A168="",0,IF(E168="",B168,0))</x:f>
        <x:v>1182000</x:v>
      </x:c>
      <x:c r="P168" s="187"/>
      <x:c r="Q168" s="179" t="str">
        <x:v>SYN-LN-00161</x:v>
      </x:c>
      <x:c r="R168" s="179" t="n">
        <x:v>1182000</x:v>
      </x:c>
      <x:c r="S168" s="179" t="str">
        <x:v>BB</x:v>
      </x:c>
      <x:c r="T168" s="179" t="str">
        <x:v>development_proxy</x:v>
      </x:c>
      <x:c r="U168" s="179" t="str"/>
      <x:c r="V168" s="179" t="n">
        <x:v>0.75</x:v>
      </x:c>
      <x:c r="W168" s="179" t="str">
        <x:v>development_assumption</x:v>
      </x:c>
      <x:c r="X16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69" ht="107" customHeight="1">
      <x:c r="A169" s="179" t="str">
        <x:v>SYN-LN-00162</x:v>
      </x:c>
      <x:c r="B169" s="180" t="n">
        <x:f>IF(A169="","",SUMIF('Portfolio Inputs'!A8:A289,A169,'Portfolio Inputs'!D8:D289))</x:f>
        <x:v>1182000</x:v>
      </x:c>
      <x:c r="C169" s="179" t="str">
        <x:v>BB-</x:v>
      </x:c>
      <x:c r="D169" s="181" t="str">
        <x:v>development_proxy</x:v>
      </x:c>
      <x:c r="E169" s="181" t="str"/>
      <x:c r="F169" s="182" t="n">
        <x:v>0.75</x:v>
      </x:c>
      <x:c r="G169" s="181" t="str">
        <x:v>development_assumption</x:v>
      </x:c>
      <x:c r="H16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69" s="183" t="n">
        <x:f>IF(AND(C169&lt;&gt;"",OR(D169="public_fitch_idr",D169="reviewed_appendix5_equivalent",D169="development_proxy"),H169&lt;&gt;""),VLOOKUP(C169,Fitch_WARF_Factors,2,FALSE),"")</x:f>
        <x:v>15.733</x:v>
      </x:c>
      <x:c r="J169" s="184" t="n">
        <x:f>IF(ISNUMBER(I169),B169*I169,0)</x:f>
        <x:v>18596406</x:v>
      </x:c>
      <x:c r="K169" s="184" t="n">
        <x:f>IF(AND(A169&lt;&gt;"",M169=0),B169*F169,0)</x:f>
        <x:v>886500</x:v>
      </x:c>
      <x:c r="L169" s="184" t="n">
        <x:f>IF(A169="",0,IF(ISNUMBER(I169),0,B169))</x:f>
        <x:v>0</x:v>
      </x:c>
      <x:c r="M169" s="185" t="n">
        <x:f>IF(A169="",0,IF(AND(ISNUMBER(F169),F169&gt;=0,F169&lt;=1,OR(G169="fitch_issue_recovery_estimate",G169="fitch_issue_recovery_rating",G169="reviewed_bbsf_fallback",G169="development_assumption"),H169&lt;&gt;""),0,B169))</x:f>
        <x:v>0</x:v>
      </x:c>
      <x:c r="N169" s="186" t="n">
        <x:f>IF(A169=Q169,0,1)+IF(B169=R169,0,1)+IF(C169=S169,0,1)+IF(D169=T169,0,1)+IF(E169=U169,0,1)+IF(F169=V169,0,1)+IF(G169=W169,0,1)+IF(H169=X169,0,1)</x:f>
        <x:v>0</x:v>
      </x:c>
      <x:c r="O169" s="186" t="n">
        <x:f>IF(A169="",0,IF(E169="",B169,0))</x:f>
        <x:v>1182000</x:v>
      </x:c>
      <x:c r="P169" s="187"/>
      <x:c r="Q169" s="179" t="str">
        <x:v>SYN-LN-00162</x:v>
      </x:c>
      <x:c r="R169" s="179" t="n">
        <x:v>1182000</x:v>
      </x:c>
      <x:c r="S169" s="179" t="str">
        <x:v>BB-</x:v>
      </x:c>
      <x:c r="T169" s="179" t="str">
        <x:v>development_proxy</x:v>
      </x:c>
      <x:c r="U169" s="179" t="str"/>
      <x:c r="V169" s="179" t="n">
        <x:v>0.75</x:v>
      </x:c>
      <x:c r="W169" s="179" t="str">
        <x:v>development_assumption</x:v>
      </x:c>
      <x:c r="X16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70" ht="107" customHeight="1">
      <x:c r="A170" s="179" t="str">
        <x:v>SYN-LN-00163</x:v>
      </x:c>
      <x:c r="B170" s="180" t="n">
        <x:f>IF(A170="","",SUMIF('Portfolio Inputs'!A8:A289,A170,'Portfolio Inputs'!D8:D289))</x:f>
        <x:v>1182000</x:v>
      </x:c>
      <x:c r="C170" s="179" t="str">
        <x:v>BB</x:v>
      </x:c>
      <x:c r="D170" s="181" t="str">
        <x:v>development_proxy</x:v>
      </x:c>
      <x:c r="E170" s="181" t="str"/>
      <x:c r="F170" s="182" t="n">
        <x:v>0.75</x:v>
      </x:c>
      <x:c r="G170" s="181" t="str">
        <x:v>development_assumption</x:v>
      </x:c>
      <x:c r="H17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70" s="183" t="n">
        <x:f>IF(AND(C170&lt;&gt;"",OR(D170="public_fitch_idr",D170="reviewed_appendix5_equivalent",D170="development_proxy"),H170&lt;&gt;""),VLOOKUP(C170,Fitch_WARF_Factors,2,FALSE),"")</x:f>
        <x:v>11.844</x:v>
      </x:c>
      <x:c r="J170" s="184" t="n">
        <x:f>IF(ISNUMBER(I170),B170*I170,0)</x:f>
        <x:v>13999608</x:v>
      </x:c>
      <x:c r="K170" s="184" t="n">
        <x:f>IF(AND(A170&lt;&gt;"",M170=0),B170*F170,0)</x:f>
        <x:v>886500</x:v>
      </x:c>
      <x:c r="L170" s="184" t="n">
        <x:f>IF(A170="",0,IF(ISNUMBER(I170),0,B170))</x:f>
        <x:v>0</x:v>
      </x:c>
      <x:c r="M170" s="185" t="n">
        <x:f>IF(A170="",0,IF(AND(ISNUMBER(F170),F170&gt;=0,F170&lt;=1,OR(G170="fitch_issue_recovery_estimate",G170="fitch_issue_recovery_rating",G170="reviewed_bbsf_fallback",G170="development_assumption"),H170&lt;&gt;""),0,B170))</x:f>
        <x:v>0</x:v>
      </x:c>
      <x:c r="N170" s="186" t="n">
        <x:f>IF(A170=Q170,0,1)+IF(B170=R170,0,1)+IF(C170=S170,0,1)+IF(D170=T170,0,1)+IF(E170=U170,0,1)+IF(F170=V170,0,1)+IF(G170=W170,0,1)+IF(H170=X170,0,1)</x:f>
        <x:v>0</x:v>
      </x:c>
      <x:c r="O170" s="186" t="n">
        <x:f>IF(A170="",0,IF(E170="",B170,0))</x:f>
        <x:v>1182000</x:v>
      </x:c>
      <x:c r="P170" s="187"/>
      <x:c r="Q170" s="179" t="str">
        <x:v>SYN-LN-00163</x:v>
      </x:c>
      <x:c r="R170" s="179" t="n">
        <x:v>1182000</x:v>
      </x:c>
      <x:c r="S170" s="179" t="str">
        <x:v>BB</x:v>
      </x:c>
      <x:c r="T170" s="179" t="str">
        <x:v>development_proxy</x:v>
      </x:c>
      <x:c r="U170" s="179" t="str"/>
      <x:c r="V170" s="179" t="n">
        <x:v>0.75</x:v>
      </x:c>
      <x:c r="W170" s="179" t="str">
        <x:v>development_assumption</x:v>
      </x:c>
      <x:c r="X17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71" ht="107" customHeight="1">
      <x:c r="A171" s="179" t="str">
        <x:v>SYN-LN-00164</x:v>
      </x:c>
      <x:c r="B171" s="180" t="n">
        <x:f>IF(A171="","",SUMIF('Portfolio Inputs'!A8:A289,A171,'Portfolio Inputs'!D8:D289))</x:f>
        <x:v>1182000</x:v>
      </x:c>
      <x:c r="C171" s="179" t="str">
        <x:v>B</x:v>
      </x:c>
      <x:c r="D171" s="181" t="str">
        <x:v>development_proxy</x:v>
      </x:c>
      <x:c r="E171" s="181" t="str"/>
      <x:c r="F171" s="182" t="n">
        <x:v>0.75</x:v>
      </x:c>
      <x:c r="G171" s="181" t="str">
        <x:v>development_assumption</x:v>
      </x:c>
      <x:c r="H17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71" s="183" t="n">
        <x:f>IF(AND(C171&lt;&gt;"",OR(D171="public_fitch_idr",D171="reviewed_appendix5_equivalent",D171="development_proxy"),H171&lt;&gt;""),VLOOKUP(C171,Fitch_WARF_Factors,2,FALSE),"")</x:f>
        <x:v>23.671</x:v>
      </x:c>
      <x:c r="J171" s="184" t="n">
        <x:f>IF(ISNUMBER(I171),B171*I171,0)</x:f>
        <x:v>27979122</x:v>
      </x:c>
      <x:c r="K171" s="184" t="n">
        <x:f>IF(AND(A171&lt;&gt;"",M171=0),B171*F171,0)</x:f>
        <x:v>886500</x:v>
      </x:c>
      <x:c r="L171" s="184" t="n">
        <x:f>IF(A171="",0,IF(ISNUMBER(I171),0,B171))</x:f>
        <x:v>0</x:v>
      </x:c>
      <x:c r="M171" s="185" t="n">
        <x:f>IF(A171="",0,IF(AND(ISNUMBER(F171),F171&gt;=0,F171&lt;=1,OR(G171="fitch_issue_recovery_estimate",G171="fitch_issue_recovery_rating",G171="reviewed_bbsf_fallback",G171="development_assumption"),H171&lt;&gt;""),0,B171))</x:f>
        <x:v>0</x:v>
      </x:c>
      <x:c r="N171" s="186" t="n">
        <x:f>IF(A171=Q171,0,1)+IF(B171=R171,0,1)+IF(C171=S171,0,1)+IF(D171=T171,0,1)+IF(E171=U171,0,1)+IF(F171=V171,0,1)+IF(G171=W171,0,1)+IF(H171=X171,0,1)</x:f>
        <x:v>0</x:v>
      </x:c>
      <x:c r="O171" s="186" t="n">
        <x:f>IF(A171="",0,IF(E171="",B171,0))</x:f>
        <x:v>1182000</x:v>
      </x:c>
      <x:c r="P171" s="187"/>
      <x:c r="Q171" s="179" t="str">
        <x:v>SYN-LN-00164</x:v>
      </x:c>
      <x:c r="R171" s="179" t="n">
        <x:v>1182000</x:v>
      </x:c>
      <x:c r="S171" s="179" t="str">
        <x:v>B</x:v>
      </x:c>
      <x:c r="T171" s="179" t="str">
        <x:v>development_proxy</x:v>
      </x:c>
      <x:c r="U171" s="179" t="str"/>
      <x:c r="V171" s="179" t="n">
        <x:v>0.75</x:v>
      </x:c>
      <x:c r="W171" s="179" t="str">
        <x:v>development_assumption</x:v>
      </x:c>
      <x:c r="X17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72" ht="107" customHeight="1">
      <x:c r="A172" s="179" t="str">
        <x:v>SYN-LN-00165</x:v>
      </x:c>
      <x:c r="B172" s="180" t="n">
        <x:f>IF(A172="","",SUMIF('Portfolio Inputs'!A8:A289,A172,'Portfolio Inputs'!D8:D289))</x:f>
        <x:v>550000</x:v>
      </x:c>
      <x:c r="C172" s="179" t="str">
        <x:v>B</x:v>
      </x:c>
      <x:c r="D172" s="181" t="str">
        <x:v>development_proxy</x:v>
      </x:c>
      <x:c r="E172" s="181" t="str"/>
      <x:c r="F172" s="182" t="n">
        <x:v>0.75</x:v>
      </x:c>
      <x:c r="G172" s="181" t="str">
        <x:v>development_assumption</x:v>
      </x:c>
      <x:c r="H17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72" s="183" t="n">
        <x:f>IF(AND(C172&lt;&gt;"",OR(D172="public_fitch_idr",D172="reviewed_appendix5_equivalent",D172="development_proxy"),H172&lt;&gt;""),VLOOKUP(C172,Fitch_WARF_Factors,2,FALSE),"")</x:f>
        <x:v>23.671</x:v>
      </x:c>
      <x:c r="J172" s="184" t="n">
        <x:f>IF(ISNUMBER(I172),B172*I172,0)</x:f>
        <x:v>13019050</x:v>
      </x:c>
      <x:c r="K172" s="184" t="n">
        <x:f>IF(AND(A172&lt;&gt;"",M172=0),B172*F172,0)</x:f>
        <x:v>412500</x:v>
      </x:c>
      <x:c r="L172" s="184" t="n">
        <x:f>IF(A172="",0,IF(ISNUMBER(I172),0,B172))</x:f>
        <x:v>0</x:v>
      </x:c>
      <x:c r="M172" s="185" t="n">
        <x:f>IF(A172="",0,IF(AND(ISNUMBER(F172),F172&gt;=0,F172&lt;=1,OR(G172="fitch_issue_recovery_estimate",G172="fitch_issue_recovery_rating",G172="reviewed_bbsf_fallback",G172="development_assumption"),H172&lt;&gt;""),0,B172))</x:f>
        <x:v>0</x:v>
      </x:c>
      <x:c r="N172" s="186" t="n">
        <x:f>IF(A172=Q172,0,1)+IF(B172=R172,0,1)+IF(C172=S172,0,1)+IF(D172=T172,0,1)+IF(E172=U172,0,1)+IF(F172=V172,0,1)+IF(G172=W172,0,1)+IF(H172=X172,0,1)</x:f>
        <x:v>0</x:v>
      </x:c>
      <x:c r="O172" s="186" t="n">
        <x:f>IF(A172="",0,IF(E172="",B172,0))</x:f>
        <x:v>550000</x:v>
      </x:c>
      <x:c r="P172" s="187"/>
      <x:c r="Q172" s="179" t="str">
        <x:v>SYN-LN-00165</x:v>
      </x:c>
      <x:c r="R172" s="179" t="n">
        <x:v>550000</x:v>
      </x:c>
      <x:c r="S172" s="179" t="str">
        <x:v>B</x:v>
      </x:c>
      <x:c r="T172" s="179" t="str">
        <x:v>development_proxy</x:v>
      </x:c>
      <x:c r="U172" s="179" t="str"/>
      <x:c r="V172" s="179" t="n">
        <x:v>0.75</x:v>
      </x:c>
      <x:c r="W172" s="179" t="str">
        <x:v>development_assumption</x:v>
      </x:c>
      <x:c r="X17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73" ht="107" customHeight="1">
      <x:c r="A173" s="179" t="str">
        <x:v>SYN-LN-00166</x:v>
      </x:c>
      <x:c r="B173" s="180" t="n">
        <x:f>IF(A173="","",SUMIF('Portfolio Inputs'!A8:A289,A173,'Portfolio Inputs'!D8:D289))</x:f>
        <x:v>665000</x:v>
      </x:c>
      <x:c r="C173" s="179" t="str">
        <x:v>B</x:v>
      </x:c>
      <x:c r="D173" s="181" t="str">
        <x:v>development_proxy</x:v>
      </x:c>
      <x:c r="E173" s="181" t="str"/>
      <x:c r="F173" s="182" t="n">
        <x:v>0.75</x:v>
      </x:c>
      <x:c r="G173" s="181" t="str">
        <x:v>development_assumption</x:v>
      </x:c>
      <x:c r="H17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73" s="183" t="n">
        <x:f>IF(AND(C173&lt;&gt;"",OR(D173="public_fitch_idr",D173="reviewed_appendix5_equivalent",D173="development_proxy"),H173&lt;&gt;""),VLOOKUP(C173,Fitch_WARF_Factors,2,FALSE),"")</x:f>
        <x:v>23.671</x:v>
      </x:c>
      <x:c r="J173" s="184" t="n">
        <x:f>IF(ISNUMBER(I173),B173*I173,0)</x:f>
        <x:v>15741215</x:v>
      </x:c>
      <x:c r="K173" s="184" t="n">
        <x:f>IF(AND(A173&lt;&gt;"",M173=0),B173*F173,0)</x:f>
        <x:v>498750</x:v>
      </x:c>
      <x:c r="L173" s="184" t="n">
        <x:f>IF(A173="",0,IF(ISNUMBER(I173),0,B173))</x:f>
        <x:v>0</x:v>
      </x:c>
      <x:c r="M173" s="185" t="n">
        <x:f>IF(A173="",0,IF(AND(ISNUMBER(F173),F173&gt;=0,F173&lt;=1,OR(G173="fitch_issue_recovery_estimate",G173="fitch_issue_recovery_rating",G173="reviewed_bbsf_fallback",G173="development_assumption"),H173&lt;&gt;""),0,B173))</x:f>
        <x:v>0</x:v>
      </x:c>
      <x:c r="N173" s="186" t="n">
        <x:f>IF(A173=Q173,0,1)+IF(B173=R173,0,1)+IF(C173=S173,0,1)+IF(D173=T173,0,1)+IF(E173=U173,0,1)+IF(F173=V173,0,1)+IF(G173=W173,0,1)+IF(H173=X173,0,1)</x:f>
        <x:v>0</x:v>
      </x:c>
      <x:c r="O173" s="186" t="n">
        <x:f>IF(A173="",0,IF(E173="",B173,0))</x:f>
        <x:v>665000</x:v>
      </x:c>
      <x:c r="P173" s="187"/>
      <x:c r="Q173" s="179" t="str">
        <x:v>SYN-LN-00166</x:v>
      </x:c>
      <x:c r="R173" s="179" t="n">
        <x:v>665000</x:v>
      </x:c>
      <x:c r="S173" s="179" t="str">
        <x:v>B</x:v>
      </x:c>
      <x:c r="T173" s="179" t="str">
        <x:v>development_proxy</x:v>
      </x:c>
      <x:c r="U173" s="179" t="str"/>
      <x:c r="V173" s="179" t="n">
        <x:v>0.75</x:v>
      </x:c>
      <x:c r="W173" s="179" t="str">
        <x:v>development_assumption</x:v>
      </x:c>
      <x:c r="X17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74" ht="107" customHeight="1">
      <x:c r="A174" s="179" t="str">
        <x:v>SYN-LN-00167</x:v>
      </x:c>
      <x:c r="B174" s="180" t="n">
        <x:f>IF(A174="","",SUMIF('Portfolio Inputs'!A8:A289,A174,'Portfolio Inputs'!D8:D289))</x:f>
        <x:v>1182000</x:v>
      </x:c>
      <x:c r="C174" s="179" t="str">
        <x:v>B</x:v>
      </x:c>
      <x:c r="D174" s="181" t="str">
        <x:v>development_proxy</x:v>
      </x:c>
      <x:c r="E174" s="181" t="str"/>
      <x:c r="F174" s="182" t="n">
        <x:v>0.75</x:v>
      </x:c>
      <x:c r="G174" s="181" t="str">
        <x:v>development_assumption</x:v>
      </x:c>
      <x:c r="H17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74" s="183" t="n">
        <x:f>IF(AND(C174&lt;&gt;"",OR(D174="public_fitch_idr",D174="reviewed_appendix5_equivalent",D174="development_proxy"),H174&lt;&gt;""),VLOOKUP(C174,Fitch_WARF_Factors,2,FALSE),"")</x:f>
        <x:v>23.671</x:v>
      </x:c>
      <x:c r="J174" s="184" t="n">
        <x:f>IF(ISNUMBER(I174),B174*I174,0)</x:f>
        <x:v>27979122</x:v>
      </x:c>
      <x:c r="K174" s="184" t="n">
        <x:f>IF(AND(A174&lt;&gt;"",M174=0),B174*F174,0)</x:f>
        <x:v>886500</x:v>
      </x:c>
      <x:c r="L174" s="184" t="n">
        <x:f>IF(A174="",0,IF(ISNUMBER(I174),0,B174))</x:f>
        <x:v>0</x:v>
      </x:c>
      <x:c r="M174" s="185" t="n">
        <x:f>IF(A174="",0,IF(AND(ISNUMBER(F174),F174&gt;=0,F174&lt;=1,OR(G174="fitch_issue_recovery_estimate",G174="fitch_issue_recovery_rating",G174="reviewed_bbsf_fallback",G174="development_assumption"),H174&lt;&gt;""),0,B174))</x:f>
        <x:v>0</x:v>
      </x:c>
      <x:c r="N174" s="186" t="n">
        <x:f>IF(A174=Q174,0,1)+IF(B174=R174,0,1)+IF(C174=S174,0,1)+IF(D174=T174,0,1)+IF(E174=U174,0,1)+IF(F174=V174,0,1)+IF(G174=W174,0,1)+IF(H174=X174,0,1)</x:f>
        <x:v>0</x:v>
      </x:c>
      <x:c r="O174" s="186" t="n">
        <x:f>IF(A174="",0,IF(E174="",B174,0))</x:f>
        <x:v>1182000</x:v>
      </x:c>
      <x:c r="P174" s="187"/>
      <x:c r="Q174" s="179" t="str">
        <x:v>SYN-LN-00167</x:v>
      </x:c>
      <x:c r="R174" s="179" t="n">
        <x:v>1182000</x:v>
      </x:c>
      <x:c r="S174" s="179" t="str">
        <x:v>B</x:v>
      </x:c>
      <x:c r="T174" s="179" t="str">
        <x:v>development_proxy</x:v>
      </x:c>
      <x:c r="U174" s="179" t="str"/>
      <x:c r="V174" s="179" t="n">
        <x:v>0.75</x:v>
      </x:c>
      <x:c r="W174" s="179" t="str">
        <x:v>development_assumption</x:v>
      </x:c>
      <x:c r="X17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75" ht="107" customHeight="1">
      <x:c r="A175" s="179" t="str">
        <x:v>SYN-LN-00168</x:v>
      </x:c>
      <x:c r="B175" s="180" t="n">
        <x:f>IF(A175="","",SUMIF('Portfolio Inputs'!A8:A289,A175,'Portfolio Inputs'!D8:D289))</x:f>
        <x:v>630000</x:v>
      </x:c>
      <x:c r="C175" s="179" t="str">
        <x:v>BB-</x:v>
      </x:c>
      <x:c r="D175" s="181" t="str">
        <x:v>development_proxy</x:v>
      </x:c>
      <x:c r="E175" s="181" t="str"/>
      <x:c r="F175" s="182" t="n">
        <x:v>0.65</x:v>
      </x:c>
      <x:c r="G175" s="181" t="str">
        <x:v>development_assumption</x:v>
      </x:c>
      <x:c r="H175" s="181" t="str">
        <x:v>FICTIONAL DEVELOPMENT: copied S&amp;P symbol as Fitch IDR-equivalency proxy; no Fitch rating or Appendix 5 review. Assumed first-lien facility is senior secured loan with no issue recovery opinion; Luxembourg Group 2; Fitch June 1 2026 Appendix 4 pp42-43 and Appendix 6 pp47-48 BBsf Strong fallback.</x:v>
      </x:c>
      <x:c r="I175" s="183" t="n">
        <x:f>IF(AND(C175&lt;&gt;"",OR(D175="public_fitch_idr",D175="reviewed_appendix5_equivalent",D175="development_proxy"),H175&lt;&gt;""),VLOOKUP(C175,Fitch_WARF_Factors,2,FALSE),"")</x:f>
        <x:v>15.733</x:v>
      </x:c>
      <x:c r="J175" s="184" t="n">
        <x:f>IF(ISNUMBER(I175),B175*I175,0)</x:f>
        <x:v>9911790</x:v>
      </x:c>
      <x:c r="K175" s="184" t="n">
        <x:f>IF(AND(A175&lt;&gt;"",M175=0),B175*F175,0)</x:f>
        <x:v>409500</x:v>
      </x:c>
      <x:c r="L175" s="184" t="n">
        <x:f>IF(A175="",0,IF(ISNUMBER(I175),0,B175))</x:f>
        <x:v>0</x:v>
      </x:c>
      <x:c r="M175" s="185" t="n">
        <x:f>IF(A175="",0,IF(AND(ISNUMBER(F175),F175&gt;=0,F175&lt;=1,OR(G175="fitch_issue_recovery_estimate",G175="fitch_issue_recovery_rating",G175="reviewed_bbsf_fallback",G175="development_assumption"),H175&lt;&gt;""),0,B175))</x:f>
        <x:v>0</x:v>
      </x:c>
      <x:c r="N175" s="186" t="n">
        <x:f>IF(A175=Q175,0,1)+IF(B175=R175,0,1)+IF(C175=S175,0,1)+IF(D175=T175,0,1)+IF(E175=U175,0,1)+IF(F175=V175,0,1)+IF(G175=W175,0,1)+IF(H175=X175,0,1)</x:f>
        <x:v>0</x:v>
      </x:c>
      <x:c r="O175" s="186" t="n">
        <x:f>IF(A175="",0,IF(E175="",B175,0))</x:f>
        <x:v>630000</x:v>
      </x:c>
      <x:c r="P175" s="187"/>
      <x:c r="Q175" s="179" t="str">
        <x:v>SYN-LN-00168</x:v>
      </x:c>
      <x:c r="R175" s="179" t="n">
        <x:v>630000</x:v>
      </x:c>
      <x:c r="S175" s="179" t="str">
        <x:v>BB-</x:v>
      </x:c>
      <x:c r="T175" s="179" t="str">
        <x:v>development_proxy</x:v>
      </x:c>
      <x:c r="U175" s="179" t="str"/>
      <x:c r="V175" s="179" t="n">
        <x:v>0.65</x:v>
      </x:c>
      <x:c r="W175" s="179" t="str">
        <x:v>development_assumption</x:v>
      </x:c>
      <x:c r="X175" s="179" t="str">
        <x:v>FICTIONAL DEVELOPMENT: copied S&amp;P symbol as Fitch IDR-equivalency proxy; no Fitch rating or Appendix 5 review. Assumed first-lien facility is senior secured loan with no issue recovery opinion; Luxembourg Group 2; Fitch June 1 2026 Appendix 4 pp42-43 and Appendix 6 pp47-48 BBsf Strong fallback.</x:v>
      </x:c>
    </x:row>
    <x:row r="176" ht="107" customHeight="1">
      <x:c r="A176" s="179" t="str">
        <x:v>SYN-LN-00169</x:v>
      </x:c>
      <x:c r="B176" s="180" t="n">
        <x:f>IF(A176="","",SUMIF('Portfolio Inputs'!A8:A289,A176,'Portfolio Inputs'!D8:D289))</x:f>
        <x:v>660000</x:v>
      </x:c>
      <x:c r="C176" s="179" t="str">
        <x:v>B+</x:v>
      </x:c>
      <x:c r="D176" s="181" t="str">
        <x:v>development_proxy</x:v>
      </x:c>
      <x:c r="E176" s="181" t="str"/>
      <x:c r="F176" s="182" t="n">
        <x:v>0.75</x:v>
      </x:c>
      <x:c r="G176" s="181" t="str">
        <x:v>development_assumption</x:v>
      </x:c>
      <x:c r="H17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76" s="183" t="n">
        <x:f>IF(AND(C176&lt;&gt;"",OR(D176="public_fitch_idr",D176="reviewed_appendix5_equivalent",D176="development_proxy"),H176&lt;&gt;""),VLOOKUP(C176,Fitch_WARF_Factors,2,FALSE),"")</x:f>
        <x:v>19.627</x:v>
      </x:c>
      <x:c r="J176" s="184" t="n">
        <x:f>IF(ISNUMBER(I176),B176*I176,0)</x:f>
        <x:v>12953820</x:v>
      </x:c>
      <x:c r="K176" s="184" t="n">
        <x:f>IF(AND(A176&lt;&gt;"",M176=0),B176*F176,0)</x:f>
        <x:v>495000</x:v>
      </x:c>
      <x:c r="L176" s="184" t="n">
        <x:f>IF(A176="",0,IF(ISNUMBER(I176),0,B176))</x:f>
        <x:v>0</x:v>
      </x:c>
      <x:c r="M176" s="185" t="n">
        <x:f>IF(A176="",0,IF(AND(ISNUMBER(F176),F176&gt;=0,F176&lt;=1,OR(G176="fitch_issue_recovery_estimate",G176="fitch_issue_recovery_rating",G176="reviewed_bbsf_fallback",G176="development_assumption"),H176&lt;&gt;""),0,B176))</x:f>
        <x:v>0</x:v>
      </x:c>
      <x:c r="N176" s="186" t="n">
        <x:f>IF(A176=Q176,0,1)+IF(B176=R176,0,1)+IF(C176=S176,0,1)+IF(D176=T176,0,1)+IF(E176=U176,0,1)+IF(F176=V176,0,1)+IF(G176=W176,0,1)+IF(H176=X176,0,1)</x:f>
        <x:v>0</x:v>
      </x:c>
      <x:c r="O176" s="186" t="n">
        <x:f>IF(A176="",0,IF(E176="",B176,0))</x:f>
        <x:v>660000</x:v>
      </x:c>
      <x:c r="P176" s="187"/>
      <x:c r="Q176" s="179" t="str">
        <x:v>SYN-LN-00169</x:v>
      </x:c>
      <x:c r="R176" s="179" t="n">
        <x:v>660000</x:v>
      </x:c>
      <x:c r="S176" s="179" t="str">
        <x:v>B+</x:v>
      </x:c>
      <x:c r="T176" s="179" t="str">
        <x:v>development_proxy</x:v>
      </x:c>
      <x:c r="U176" s="179" t="str"/>
      <x:c r="V176" s="179" t="n">
        <x:v>0.75</x:v>
      </x:c>
      <x:c r="W176" s="179" t="str">
        <x:v>development_assumption</x:v>
      </x:c>
      <x:c r="X17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77" ht="107" customHeight="1">
      <x:c r="A177" s="179" t="str">
        <x:v>SYN-LN-00170</x:v>
      </x:c>
      <x:c r="B177" s="180" t="n">
        <x:f>IF(A177="","",SUMIF('Portfolio Inputs'!A8:A289,A177,'Portfolio Inputs'!D8:D289))</x:f>
        <x:v>522000</x:v>
      </x:c>
      <x:c r="C177" s="179" t="str">
        <x:v>B+</x:v>
      </x:c>
      <x:c r="D177" s="181" t="str">
        <x:v>development_proxy</x:v>
      </x:c>
      <x:c r="E177" s="181" t="str"/>
      <x:c r="F177" s="182" t="n">
        <x:v>0.75</x:v>
      </x:c>
      <x:c r="G177" s="181" t="str">
        <x:v>development_assumption</x:v>
      </x:c>
      <x:c r="H17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77" s="183" t="n">
        <x:f>IF(AND(C177&lt;&gt;"",OR(D177="public_fitch_idr",D177="reviewed_appendix5_equivalent",D177="development_proxy"),H177&lt;&gt;""),VLOOKUP(C177,Fitch_WARF_Factors,2,FALSE),"")</x:f>
        <x:v>19.627</x:v>
      </x:c>
      <x:c r="J177" s="184" t="n">
        <x:f>IF(ISNUMBER(I177),B177*I177,0)</x:f>
        <x:v>10245294</x:v>
      </x:c>
      <x:c r="K177" s="184" t="n">
        <x:f>IF(AND(A177&lt;&gt;"",M177=0),B177*F177,0)</x:f>
        <x:v>391500</x:v>
      </x:c>
      <x:c r="L177" s="184" t="n">
        <x:f>IF(A177="",0,IF(ISNUMBER(I177),0,B177))</x:f>
        <x:v>0</x:v>
      </x:c>
      <x:c r="M177" s="185" t="n">
        <x:f>IF(A177="",0,IF(AND(ISNUMBER(F177),F177&gt;=0,F177&lt;=1,OR(G177="fitch_issue_recovery_estimate",G177="fitch_issue_recovery_rating",G177="reviewed_bbsf_fallback",G177="development_assumption"),H177&lt;&gt;""),0,B177))</x:f>
        <x:v>0</x:v>
      </x:c>
      <x:c r="N177" s="186" t="n">
        <x:f>IF(A177=Q177,0,1)+IF(B177=R177,0,1)+IF(C177=S177,0,1)+IF(D177=T177,0,1)+IF(E177=U177,0,1)+IF(F177=V177,0,1)+IF(G177=W177,0,1)+IF(H177=X177,0,1)</x:f>
        <x:v>0</x:v>
      </x:c>
      <x:c r="O177" s="186" t="n">
        <x:f>IF(A177="",0,IF(E177="",B177,0))</x:f>
        <x:v>522000</x:v>
      </x:c>
      <x:c r="P177" s="187"/>
      <x:c r="Q177" s="179" t="str">
        <x:v>SYN-LN-00170</x:v>
      </x:c>
      <x:c r="R177" s="179" t="n">
        <x:v>522000</x:v>
      </x:c>
      <x:c r="S177" s="179" t="str">
        <x:v>B+</x:v>
      </x:c>
      <x:c r="T177" s="179" t="str">
        <x:v>development_proxy</x:v>
      </x:c>
      <x:c r="U177" s="179" t="str"/>
      <x:c r="V177" s="179" t="n">
        <x:v>0.75</x:v>
      </x:c>
      <x:c r="W177" s="179" t="str">
        <x:v>development_assumption</x:v>
      </x:c>
      <x:c r="X17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78" ht="107" customHeight="1">
      <x:c r="A178" s="179" t="str">
        <x:v>SYN-LN-00171</x:v>
      </x:c>
      <x:c r="B178" s="180" t="n">
        <x:f>IF(A178="","",SUMIF('Portfolio Inputs'!A8:A289,A178,'Portfolio Inputs'!D8:D289))</x:f>
        <x:v>1182000</x:v>
      </x:c>
      <x:c r="C178" s="179" t="str">
        <x:v>B-</x:v>
      </x:c>
      <x:c r="D178" s="181" t="str">
        <x:v>development_proxy</x:v>
      </x:c>
      <x:c r="E178" s="181" t="str"/>
      <x:c r="F178" s="182" t="n">
        <x:v>0.75</x:v>
      </x:c>
      <x:c r="G178" s="181" t="str">
        <x:v>development_assumption</x:v>
      </x:c>
      <x:c r="H17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78" s="183" t="n">
        <x:f>IF(AND(C178&lt;&gt;"",OR(D178="public_fitch_idr",D178="reviewed_appendix5_equivalent",D178="development_proxy"),H178&lt;&gt;""),VLOOKUP(C178,Fitch_WARF_Factors,2,FALSE),"")</x:f>
        <x:v>32.221</x:v>
      </x:c>
      <x:c r="J178" s="184" t="n">
        <x:f>IF(ISNUMBER(I178),B178*I178,0)</x:f>
        <x:v>38085221.99999999</x:v>
      </x:c>
      <x:c r="K178" s="184" t="n">
        <x:f>IF(AND(A178&lt;&gt;"",M178=0),B178*F178,0)</x:f>
        <x:v>886500</x:v>
      </x:c>
      <x:c r="L178" s="184" t="n">
        <x:f>IF(A178="",0,IF(ISNUMBER(I178),0,B178))</x:f>
        <x:v>0</x:v>
      </x:c>
      <x:c r="M178" s="185" t="n">
        <x:f>IF(A178="",0,IF(AND(ISNUMBER(F178),F178&gt;=0,F178&lt;=1,OR(G178="fitch_issue_recovery_estimate",G178="fitch_issue_recovery_rating",G178="reviewed_bbsf_fallback",G178="development_assumption"),H178&lt;&gt;""),0,B178))</x:f>
        <x:v>0</x:v>
      </x:c>
      <x:c r="N178" s="186" t="n">
        <x:f>IF(A178=Q178,0,1)+IF(B178=R178,0,1)+IF(C178=S178,0,1)+IF(D178=T178,0,1)+IF(E178=U178,0,1)+IF(F178=V178,0,1)+IF(G178=W178,0,1)+IF(H178=X178,0,1)</x:f>
        <x:v>0</x:v>
      </x:c>
      <x:c r="O178" s="186" t="n">
        <x:f>IF(A178="",0,IF(E178="",B178,0))</x:f>
        <x:v>1182000</x:v>
      </x:c>
      <x:c r="P178" s="187"/>
      <x:c r="Q178" s="179" t="str">
        <x:v>SYN-LN-00171</x:v>
      </x:c>
      <x:c r="R178" s="179" t="n">
        <x:v>1182000</x:v>
      </x:c>
      <x:c r="S178" s="179" t="str">
        <x:v>B-</x:v>
      </x:c>
      <x:c r="T178" s="179" t="str">
        <x:v>development_proxy</x:v>
      </x:c>
      <x:c r="U178" s="179" t="str"/>
      <x:c r="V178" s="179" t="n">
        <x:v>0.75</x:v>
      </x:c>
      <x:c r="W178" s="179" t="str">
        <x:v>development_assumption</x:v>
      </x:c>
      <x:c r="X17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79" ht="107" customHeight="1">
      <x:c r="A179" s="179" t="str">
        <x:v>SYN-LN-00172</x:v>
      </x:c>
      <x:c r="B179" s="180" t="n">
        <x:f>IF(A179="","",SUMIF('Portfolio Inputs'!A8:A289,A179,'Portfolio Inputs'!D8:D289))</x:f>
        <x:v>1182000</x:v>
      </x:c>
      <x:c r="C179" s="179" t="str">
        <x:v>B-</x:v>
      </x:c>
      <x:c r="D179" s="181" t="str">
        <x:v>development_proxy</x:v>
      </x:c>
      <x:c r="E179" s="181" t="str"/>
      <x:c r="F179" s="182" t="n">
        <x:v>0.75</x:v>
      </x:c>
      <x:c r="G179" s="181" t="str">
        <x:v>development_assumption</x:v>
      </x:c>
      <x:c r="H17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79" s="183" t="n">
        <x:f>IF(AND(C179&lt;&gt;"",OR(D179="public_fitch_idr",D179="reviewed_appendix5_equivalent",D179="development_proxy"),H179&lt;&gt;""),VLOOKUP(C179,Fitch_WARF_Factors,2,FALSE),"")</x:f>
        <x:v>32.221</x:v>
      </x:c>
      <x:c r="J179" s="184" t="n">
        <x:f>IF(ISNUMBER(I179),B179*I179,0)</x:f>
        <x:v>38085221.99999999</x:v>
      </x:c>
      <x:c r="K179" s="184" t="n">
        <x:f>IF(AND(A179&lt;&gt;"",M179=0),B179*F179,0)</x:f>
        <x:v>886500</x:v>
      </x:c>
      <x:c r="L179" s="184" t="n">
        <x:f>IF(A179="",0,IF(ISNUMBER(I179),0,B179))</x:f>
        <x:v>0</x:v>
      </x:c>
      <x:c r="M179" s="185" t="n">
        <x:f>IF(A179="",0,IF(AND(ISNUMBER(F179),F179&gt;=0,F179&lt;=1,OR(G179="fitch_issue_recovery_estimate",G179="fitch_issue_recovery_rating",G179="reviewed_bbsf_fallback",G179="development_assumption"),H179&lt;&gt;""),0,B179))</x:f>
        <x:v>0</x:v>
      </x:c>
      <x:c r="N179" s="186" t="n">
        <x:f>IF(A179=Q179,0,1)+IF(B179=R179,0,1)+IF(C179=S179,0,1)+IF(D179=T179,0,1)+IF(E179=U179,0,1)+IF(F179=V179,0,1)+IF(G179=W179,0,1)+IF(H179=X179,0,1)</x:f>
        <x:v>0</x:v>
      </x:c>
      <x:c r="O179" s="186" t="n">
        <x:f>IF(A179="",0,IF(E179="",B179,0))</x:f>
        <x:v>1182000</x:v>
      </x:c>
      <x:c r="P179" s="187"/>
      <x:c r="Q179" s="179" t="str">
        <x:v>SYN-LN-00172</x:v>
      </x:c>
      <x:c r="R179" s="179" t="n">
        <x:v>1182000</x:v>
      </x:c>
      <x:c r="S179" s="179" t="str">
        <x:v>B-</x:v>
      </x:c>
      <x:c r="T179" s="179" t="str">
        <x:v>development_proxy</x:v>
      </x:c>
      <x:c r="U179" s="179" t="str"/>
      <x:c r="V179" s="179" t="n">
        <x:v>0.75</x:v>
      </x:c>
      <x:c r="W179" s="179" t="str">
        <x:v>development_assumption</x:v>
      </x:c>
      <x:c r="X17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80" ht="107" customHeight="1">
      <x:c r="A180" s="179" t="str">
        <x:v>SYN-LN-00173</x:v>
      </x:c>
      <x:c r="B180" s="180" t="n">
        <x:f>IF(A180="","",SUMIF('Portfolio Inputs'!A8:A289,A180,'Portfolio Inputs'!D8:D289))</x:f>
        <x:v>1207000</x:v>
      </x:c>
      <x:c r="C180" s="179" t="str">
        <x:v>B</x:v>
      </x:c>
      <x:c r="D180" s="181" t="str">
        <x:v>development_proxy</x:v>
      </x:c>
      <x:c r="E180" s="181" t="str"/>
      <x:c r="F180" s="182" t="n">
        <x:v>0.75</x:v>
      </x:c>
      <x:c r="G180" s="181" t="str">
        <x:v>development_assumption</x:v>
      </x:c>
      <x:c r="H18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80" s="183" t="n">
        <x:f>IF(AND(C180&lt;&gt;"",OR(D180="public_fitch_idr",D180="reviewed_appendix5_equivalent",D180="development_proxy"),H180&lt;&gt;""),VLOOKUP(C180,Fitch_WARF_Factors,2,FALSE),"")</x:f>
        <x:v>23.671</x:v>
      </x:c>
      <x:c r="J180" s="184" t="n">
        <x:f>IF(ISNUMBER(I180),B180*I180,0)</x:f>
        <x:v>28570897</x:v>
      </x:c>
      <x:c r="K180" s="184" t="n">
        <x:f>IF(AND(A180&lt;&gt;"",M180=0),B180*F180,0)</x:f>
        <x:v>905250</x:v>
      </x:c>
      <x:c r="L180" s="184" t="n">
        <x:f>IF(A180="",0,IF(ISNUMBER(I180),0,B180))</x:f>
        <x:v>0</x:v>
      </x:c>
      <x:c r="M180" s="185" t="n">
        <x:f>IF(A180="",0,IF(AND(ISNUMBER(F180),F180&gt;=0,F180&lt;=1,OR(G180="fitch_issue_recovery_estimate",G180="fitch_issue_recovery_rating",G180="reviewed_bbsf_fallback",G180="development_assumption"),H180&lt;&gt;""),0,B180))</x:f>
        <x:v>0</x:v>
      </x:c>
      <x:c r="N180" s="186" t="n">
        <x:f>IF(A180=Q180,0,1)+IF(B180=R180,0,1)+IF(C180=S180,0,1)+IF(D180=T180,0,1)+IF(E180=U180,0,1)+IF(F180=V180,0,1)+IF(G180=W180,0,1)+IF(H180=X180,0,1)</x:f>
        <x:v>0</x:v>
      </x:c>
      <x:c r="O180" s="186" t="n">
        <x:f>IF(A180="",0,IF(E180="",B180,0))</x:f>
        <x:v>1207000</x:v>
      </x:c>
      <x:c r="P180" s="187"/>
      <x:c r="Q180" s="179" t="str">
        <x:v>SYN-LN-00173</x:v>
      </x:c>
      <x:c r="R180" s="179" t="n">
        <x:v>1207000</x:v>
      </x:c>
      <x:c r="S180" s="179" t="str">
        <x:v>B</x:v>
      </x:c>
      <x:c r="T180" s="179" t="str">
        <x:v>development_proxy</x:v>
      </x:c>
      <x:c r="U180" s="179" t="str"/>
      <x:c r="V180" s="179" t="n">
        <x:v>0.75</x:v>
      </x:c>
      <x:c r="W180" s="179" t="str">
        <x:v>development_assumption</x:v>
      </x:c>
      <x:c r="X18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81" ht="107" customHeight="1">
      <x:c r="A181" s="179" t="str">
        <x:v>SYN-LN-00174</x:v>
      </x:c>
      <x:c r="B181" s="180" t="n">
        <x:f>IF(A181="","",SUMIF('Portfolio Inputs'!A8:A289,A181,'Portfolio Inputs'!D8:D289))</x:f>
        <x:v>1182000</x:v>
      </x:c>
      <x:c r="C181" s="179" t="str">
        <x:v>B-</x:v>
      </x:c>
      <x:c r="D181" s="181" t="str">
        <x:v>development_proxy</x:v>
      </x:c>
      <x:c r="E181" s="181" t="str"/>
      <x:c r="F181" s="182" t="n">
        <x:v>0.75</x:v>
      </x:c>
      <x:c r="G181" s="181" t="str">
        <x:v>development_assumption</x:v>
      </x:c>
      <x:c r="H18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81" s="183" t="n">
        <x:f>IF(AND(C181&lt;&gt;"",OR(D181="public_fitch_idr",D181="reviewed_appendix5_equivalent",D181="development_proxy"),H181&lt;&gt;""),VLOOKUP(C181,Fitch_WARF_Factors,2,FALSE),"")</x:f>
        <x:v>32.221</x:v>
      </x:c>
      <x:c r="J181" s="184" t="n">
        <x:f>IF(ISNUMBER(I181),B181*I181,0)</x:f>
        <x:v>38085221.99999999</x:v>
      </x:c>
      <x:c r="K181" s="184" t="n">
        <x:f>IF(AND(A181&lt;&gt;"",M181=0),B181*F181,0)</x:f>
        <x:v>886500</x:v>
      </x:c>
      <x:c r="L181" s="184" t="n">
        <x:f>IF(A181="",0,IF(ISNUMBER(I181),0,B181))</x:f>
        <x:v>0</x:v>
      </x:c>
      <x:c r="M181" s="185" t="n">
        <x:f>IF(A181="",0,IF(AND(ISNUMBER(F181),F181&gt;=0,F181&lt;=1,OR(G181="fitch_issue_recovery_estimate",G181="fitch_issue_recovery_rating",G181="reviewed_bbsf_fallback",G181="development_assumption"),H181&lt;&gt;""),0,B181))</x:f>
        <x:v>0</x:v>
      </x:c>
      <x:c r="N181" s="186" t="n">
        <x:f>IF(A181=Q181,0,1)+IF(B181=R181,0,1)+IF(C181=S181,0,1)+IF(D181=T181,0,1)+IF(E181=U181,0,1)+IF(F181=V181,0,1)+IF(G181=W181,0,1)+IF(H181=X181,0,1)</x:f>
        <x:v>0</x:v>
      </x:c>
      <x:c r="O181" s="186" t="n">
        <x:f>IF(A181="",0,IF(E181="",B181,0))</x:f>
        <x:v>1182000</x:v>
      </x:c>
      <x:c r="P181" s="187"/>
      <x:c r="Q181" s="179" t="str">
        <x:v>SYN-LN-00174</x:v>
      </x:c>
      <x:c r="R181" s="179" t="n">
        <x:v>1182000</x:v>
      </x:c>
      <x:c r="S181" s="179" t="str">
        <x:v>B-</x:v>
      </x:c>
      <x:c r="T181" s="179" t="str">
        <x:v>development_proxy</x:v>
      </x:c>
      <x:c r="U181" s="179" t="str"/>
      <x:c r="V181" s="179" t="n">
        <x:v>0.75</x:v>
      </x:c>
      <x:c r="W181" s="179" t="str">
        <x:v>development_assumption</x:v>
      </x:c>
      <x:c r="X18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82" ht="107" customHeight="1">
      <x:c r="A182" s="179" t="str">
        <x:v>SYN-LN-00175</x:v>
      </x:c>
      <x:c r="B182" s="180" t="n">
        <x:f>IF(A182="","",SUMIF('Portfolio Inputs'!A8:A289,A182,'Portfolio Inputs'!D8:D289))</x:f>
        <x:v>1182000</x:v>
      </x:c>
      <x:c r="C182" s="179" t="str">
        <x:v>B+</x:v>
      </x:c>
      <x:c r="D182" s="181" t="str">
        <x:v>development_proxy</x:v>
      </x:c>
      <x:c r="E182" s="181" t="str"/>
      <x:c r="F182" s="182" t="n">
        <x:v>0.75</x:v>
      </x:c>
      <x:c r="G182" s="181" t="str">
        <x:v>development_assumption</x:v>
      </x:c>
      <x:c r="H18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82" s="183" t="n">
        <x:f>IF(AND(C182&lt;&gt;"",OR(D182="public_fitch_idr",D182="reviewed_appendix5_equivalent",D182="development_proxy"),H182&lt;&gt;""),VLOOKUP(C182,Fitch_WARF_Factors,2,FALSE),"")</x:f>
        <x:v>19.627</x:v>
      </x:c>
      <x:c r="J182" s="184" t="n">
        <x:f>IF(ISNUMBER(I182),B182*I182,0)</x:f>
        <x:v>23199114</x:v>
      </x:c>
      <x:c r="K182" s="184" t="n">
        <x:f>IF(AND(A182&lt;&gt;"",M182=0),B182*F182,0)</x:f>
        <x:v>886500</x:v>
      </x:c>
      <x:c r="L182" s="184" t="n">
        <x:f>IF(A182="",0,IF(ISNUMBER(I182),0,B182))</x:f>
        <x:v>0</x:v>
      </x:c>
      <x:c r="M182" s="185" t="n">
        <x:f>IF(A182="",0,IF(AND(ISNUMBER(F182),F182&gt;=0,F182&lt;=1,OR(G182="fitch_issue_recovery_estimate",G182="fitch_issue_recovery_rating",G182="reviewed_bbsf_fallback",G182="development_assumption"),H182&lt;&gt;""),0,B182))</x:f>
        <x:v>0</x:v>
      </x:c>
      <x:c r="N182" s="186" t="n">
        <x:f>IF(A182=Q182,0,1)+IF(B182=R182,0,1)+IF(C182=S182,0,1)+IF(D182=T182,0,1)+IF(E182=U182,0,1)+IF(F182=V182,0,1)+IF(G182=W182,0,1)+IF(H182=X182,0,1)</x:f>
        <x:v>0</x:v>
      </x:c>
      <x:c r="O182" s="186" t="n">
        <x:f>IF(A182="",0,IF(E182="",B182,0))</x:f>
        <x:v>1182000</x:v>
      </x:c>
      <x:c r="P182" s="187"/>
      <x:c r="Q182" s="179" t="str">
        <x:v>SYN-LN-00175</x:v>
      </x:c>
      <x:c r="R182" s="179" t="n">
        <x:v>1182000</x:v>
      </x:c>
      <x:c r="S182" s="179" t="str">
        <x:v>B+</x:v>
      </x:c>
      <x:c r="T182" s="179" t="str">
        <x:v>development_proxy</x:v>
      </x:c>
      <x:c r="U182" s="179" t="str"/>
      <x:c r="V182" s="179" t="n">
        <x:v>0.75</x:v>
      </x:c>
      <x:c r="W182" s="179" t="str">
        <x:v>development_assumption</x:v>
      </x:c>
      <x:c r="X18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83" ht="107" customHeight="1">
      <x:c r="A183" s="179" t="str">
        <x:v>SYN-LN-00176</x:v>
      </x:c>
      <x:c r="B183" s="180" t="n">
        <x:f>IF(A183="","",SUMIF('Portfolio Inputs'!A8:A289,A183,'Portfolio Inputs'!D8:D289))</x:f>
        <x:v>1182000</x:v>
      </x:c>
      <x:c r="C183" s="179" t="str">
        <x:v>B</x:v>
      </x:c>
      <x:c r="D183" s="181" t="str">
        <x:v>development_proxy</x:v>
      </x:c>
      <x:c r="E183" s="181" t="str"/>
      <x:c r="F183" s="182" t="n">
        <x:v>0.75</x:v>
      </x:c>
      <x:c r="G183" s="181" t="str">
        <x:v>development_assumption</x:v>
      </x:c>
      <x:c r="H18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83" s="183" t="n">
        <x:f>IF(AND(C183&lt;&gt;"",OR(D183="public_fitch_idr",D183="reviewed_appendix5_equivalent",D183="development_proxy"),H183&lt;&gt;""),VLOOKUP(C183,Fitch_WARF_Factors,2,FALSE),"")</x:f>
        <x:v>23.671</x:v>
      </x:c>
      <x:c r="J183" s="184" t="n">
        <x:f>IF(ISNUMBER(I183),B183*I183,0)</x:f>
        <x:v>27979122</x:v>
      </x:c>
      <x:c r="K183" s="184" t="n">
        <x:f>IF(AND(A183&lt;&gt;"",M183=0),B183*F183,0)</x:f>
        <x:v>886500</x:v>
      </x:c>
      <x:c r="L183" s="184" t="n">
        <x:f>IF(A183="",0,IF(ISNUMBER(I183),0,B183))</x:f>
        <x:v>0</x:v>
      </x:c>
      <x:c r="M183" s="185" t="n">
        <x:f>IF(A183="",0,IF(AND(ISNUMBER(F183),F183&gt;=0,F183&lt;=1,OR(G183="fitch_issue_recovery_estimate",G183="fitch_issue_recovery_rating",G183="reviewed_bbsf_fallback",G183="development_assumption"),H183&lt;&gt;""),0,B183))</x:f>
        <x:v>0</x:v>
      </x:c>
      <x:c r="N183" s="186" t="n">
        <x:f>IF(A183=Q183,0,1)+IF(B183=R183,0,1)+IF(C183=S183,0,1)+IF(D183=T183,0,1)+IF(E183=U183,0,1)+IF(F183=V183,0,1)+IF(G183=W183,0,1)+IF(H183=X183,0,1)</x:f>
        <x:v>0</x:v>
      </x:c>
      <x:c r="O183" s="186" t="n">
        <x:f>IF(A183="",0,IF(E183="",B183,0))</x:f>
        <x:v>1182000</x:v>
      </x:c>
      <x:c r="P183" s="187"/>
      <x:c r="Q183" s="179" t="str">
        <x:v>SYN-LN-00176</x:v>
      </x:c>
      <x:c r="R183" s="179" t="n">
        <x:v>1182000</x:v>
      </x:c>
      <x:c r="S183" s="179" t="str">
        <x:v>B</x:v>
      </x:c>
      <x:c r="T183" s="179" t="str">
        <x:v>development_proxy</x:v>
      </x:c>
      <x:c r="U183" s="179" t="str"/>
      <x:c r="V183" s="179" t="n">
        <x:v>0.75</x:v>
      </x:c>
      <x:c r="W183" s="179" t="str">
        <x:v>development_assumption</x:v>
      </x:c>
      <x:c r="X18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84" ht="107" customHeight="1">
      <x:c r="A184" s="179" t="str">
        <x:v>SYN-LN-00177</x:v>
      </x:c>
      <x:c r="B184" s="180" t="n">
        <x:f>IF(A184="","",SUMIF('Portfolio Inputs'!A8:A289,A184,'Portfolio Inputs'!D8:D289))</x:f>
        <x:v>1182000</x:v>
      </x:c>
      <x:c r="C184" s="179" t="str">
        <x:v>B+</x:v>
      </x:c>
      <x:c r="D184" s="181" t="str">
        <x:v>development_proxy</x:v>
      </x:c>
      <x:c r="E184" s="181" t="str"/>
      <x:c r="F184" s="182" t="n">
        <x:v>0.75</x:v>
      </x:c>
      <x:c r="G184" s="181" t="str">
        <x:v>development_assumption</x:v>
      </x:c>
      <x:c r="H18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84" s="183" t="n">
        <x:f>IF(AND(C184&lt;&gt;"",OR(D184="public_fitch_idr",D184="reviewed_appendix5_equivalent",D184="development_proxy"),H184&lt;&gt;""),VLOOKUP(C184,Fitch_WARF_Factors,2,FALSE),"")</x:f>
        <x:v>19.627</x:v>
      </x:c>
      <x:c r="J184" s="184" t="n">
        <x:f>IF(ISNUMBER(I184),B184*I184,0)</x:f>
        <x:v>23199114</x:v>
      </x:c>
      <x:c r="K184" s="184" t="n">
        <x:f>IF(AND(A184&lt;&gt;"",M184=0),B184*F184,0)</x:f>
        <x:v>886500</x:v>
      </x:c>
      <x:c r="L184" s="184" t="n">
        <x:f>IF(A184="",0,IF(ISNUMBER(I184),0,B184))</x:f>
        <x:v>0</x:v>
      </x:c>
      <x:c r="M184" s="185" t="n">
        <x:f>IF(A184="",0,IF(AND(ISNUMBER(F184),F184&gt;=0,F184&lt;=1,OR(G184="fitch_issue_recovery_estimate",G184="fitch_issue_recovery_rating",G184="reviewed_bbsf_fallback",G184="development_assumption"),H184&lt;&gt;""),0,B184))</x:f>
        <x:v>0</x:v>
      </x:c>
      <x:c r="N184" s="186" t="n">
        <x:f>IF(A184=Q184,0,1)+IF(B184=R184,0,1)+IF(C184=S184,0,1)+IF(D184=T184,0,1)+IF(E184=U184,0,1)+IF(F184=V184,0,1)+IF(G184=W184,0,1)+IF(H184=X184,0,1)</x:f>
        <x:v>0</x:v>
      </x:c>
      <x:c r="O184" s="186" t="n">
        <x:f>IF(A184="",0,IF(E184="",B184,0))</x:f>
        <x:v>1182000</x:v>
      </x:c>
      <x:c r="P184" s="187"/>
      <x:c r="Q184" s="179" t="str">
        <x:v>SYN-LN-00177</x:v>
      </x:c>
      <x:c r="R184" s="179" t="n">
        <x:v>1182000</x:v>
      </x:c>
      <x:c r="S184" s="179" t="str">
        <x:v>B+</x:v>
      </x:c>
      <x:c r="T184" s="179" t="str">
        <x:v>development_proxy</x:v>
      </x:c>
      <x:c r="U184" s="179" t="str"/>
      <x:c r="V184" s="179" t="n">
        <x:v>0.75</x:v>
      </x:c>
      <x:c r="W184" s="179" t="str">
        <x:v>development_assumption</x:v>
      </x:c>
      <x:c r="X18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85" ht="107" customHeight="1">
      <x:c r="A185" s="179" t="str">
        <x:v>SYN-LN-00178</x:v>
      </x:c>
      <x:c r="B185" s="180" t="n">
        <x:f>IF(A185="","",SUMIF('Portfolio Inputs'!A8:A289,A185,'Portfolio Inputs'!D8:D289))</x:f>
        <x:v>1182000</x:v>
      </x:c>
      <x:c r="C185" s="179" t="str">
        <x:v>BB</x:v>
      </x:c>
      <x:c r="D185" s="181" t="str">
        <x:v>development_proxy</x:v>
      </x:c>
      <x:c r="E185" s="181" t="str"/>
      <x:c r="F185" s="182" t="n">
        <x:v>0.75</x:v>
      </x:c>
      <x:c r="G185" s="181" t="str">
        <x:v>development_assumption</x:v>
      </x:c>
      <x:c r="H18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85" s="183" t="n">
        <x:f>IF(AND(C185&lt;&gt;"",OR(D185="public_fitch_idr",D185="reviewed_appendix5_equivalent",D185="development_proxy"),H185&lt;&gt;""),VLOOKUP(C185,Fitch_WARF_Factors,2,FALSE),"")</x:f>
        <x:v>11.844</x:v>
      </x:c>
      <x:c r="J185" s="184" t="n">
        <x:f>IF(ISNUMBER(I185),B185*I185,0)</x:f>
        <x:v>13999608</x:v>
      </x:c>
      <x:c r="K185" s="184" t="n">
        <x:f>IF(AND(A185&lt;&gt;"",M185=0),B185*F185,0)</x:f>
        <x:v>886500</x:v>
      </x:c>
      <x:c r="L185" s="184" t="n">
        <x:f>IF(A185="",0,IF(ISNUMBER(I185),0,B185))</x:f>
        <x:v>0</x:v>
      </x:c>
      <x:c r="M185" s="185" t="n">
        <x:f>IF(A185="",0,IF(AND(ISNUMBER(F185),F185&gt;=0,F185&lt;=1,OR(G185="fitch_issue_recovery_estimate",G185="fitch_issue_recovery_rating",G185="reviewed_bbsf_fallback",G185="development_assumption"),H185&lt;&gt;""),0,B185))</x:f>
        <x:v>0</x:v>
      </x:c>
      <x:c r="N185" s="186" t="n">
        <x:f>IF(A185=Q185,0,1)+IF(B185=R185,0,1)+IF(C185=S185,0,1)+IF(D185=T185,0,1)+IF(E185=U185,0,1)+IF(F185=V185,0,1)+IF(G185=W185,0,1)+IF(H185=X185,0,1)</x:f>
        <x:v>0</x:v>
      </x:c>
      <x:c r="O185" s="186" t="n">
        <x:f>IF(A185="",0,IF(E185="",B185,0))</x:f>
        <x:v>1182000</x:v>
      </x:c>
      <x:c r="P185" s="187"/>
      <x:c r="Q185" s="179" t="str">
        <x:v>SYN-LN-00178</x:v>
      </x:c>
      <x:c r="R185" s="179" t="n">
        <x:v>1182000</x:v>
      </x:c>
      <x:c r="S185" s="179" t="str">
        <x:v>BB</x:v>
      </x:c>
      <x:c r="T185" s="179" t="str">
        <x:v>development_proxy</x:v>
      </x:c>
      <x:c r="U185" s="179" t="str"/>
      <x:c r="V185" s="179" t="n">
        <x:v>0.75</x:v>
      </x:c>
      <x:c r="W185" s="179" t="str">
        <x:v>development_assumption</x:v>
      </x:c>
      <x:c r="X18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86" ht="107" customHeight="1">
      <x:c r="A186" s="179" t="str">
        <x:v>SYN-LN-00179</x:v>
      </x:c>
      <x:c r="B186" s="180" t="n">
        <x:f>IF(A186="","",SUMIF('Portfolio Inputs'!A8:A289,A186,'Portfolio Inputs'!D8:D289))</x:f>
        <x:v>1182000</x:v>
      </x:c>
      <x:c r="C186" s="179" t="str">
        <x:v>B-</x:v>
      </x:c>
      <x:c r="D186" s="181" t="str">
        <x:v>development_proxy</x:v>
      </x:c>
      <x:c r="E186" s="181" t="str"/>
      <x:c r="F186" s="182" t="n">
        <x:v>0.75</x:v>
      </x:c>
      <x:c r="G186" s="181" t="str">
        <x:v>development_assumption</x:v>
      </x:c>
      <x:c r="H18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86" s="183" t="n">
        <x:f>IF(AND(C186&lt;&gt;"",OR(D186="public_fitch_idr",D186="reviewed_appendix5_equivalent",D186="development_proxy"),H186&lt;&gt;""),VLOOKUP(C186,Fitch_WARF_Factors,2,FALSE),"")</x:f>
        <x:v>32.221</x:v>
      </x:c>
      <x:c r="J186" s="184" t="n">
        <x:f>IF(ISNUMBER(I186),B186*I186,0)</x:f>
        <x:v>38085221.99999999</x:v>
      </x:c>
      <x:c r="K186" s="184" t="n">
        <x:f>IF(AND(A186&lt;&gt;"",M186=0),B186*F186,0)</x:f>
        <x:v>886500</x:v>
      </x:c>
      <x:c r="L186" s="184" t="n">
        <x:f>IF(A186="",0,IF(ISNUMBER(I186),0,B186))</x:f>
        <x:v>0</x:v>
      </x:c>
      <x:c r="M186" s="185" t="n">
        <x:f>IF(A186="",0,IF(AND(ISNUMBER(F186),F186&gt;=0,F186&lt;=1,OR(G186="fitch_issue_recovery_estimate",G186="fitch_issue_recovery_rating",G186="reviewed_bbsf_fallback",G186="development_assumption"),H186&lt;&gt;""),0,B186))</x:f>
        <x:v>0</x:v>
      </x:c>
      <x:c r="N186" s="186" t="n">
        <x:f>IF(A186=Q186,0,1)+IF(B186=R186,0,1)+IF(C186=S186,0,1)+IF(D186=T186,0,1)+IF(E186=U186,0,1)+IF(F186=V186,0,1)+IF(G186=W186,0,1)+IF(H186=X186,0,1)</x:f>
        <x:v>0</x:v>
      </x:c>
      <x:c r="O186" s="186" t="n">
        <x:f>IF(A186="",0,IF(E186="",B186,0))</x:f>
        <x:v>1182000</x:v>
      </x:c>
      <x:c r="P186" s="187"/>
      <x:c r="Q186" s="179" t="str">
        <x:v>SYN-LN-00179</x:v>
      </x:c>
      <x:c r="R186" s="179" t="n">
        <x:v>1182000</x:v>
      </x:c>
      <x:c r="S186" s="179" t="str">
        <x:v>B-</x:v>
      </x:c>
      <x:c r="T186" s="179" t="str">
        <x:v>development_proxy</x:v>
      </x:c>
      <x:c r="U186" s="179" t="str"/>
      <x:c r="V186" s="179" t="n">
        <x:v>0.75</x:v>
      </x:c>
      <x:c r="W186" s="179" t="str">
        <x:v>development_assumption</x:v>
      </x:c>
      <x:c r="X18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87" ht="107" customHeight="1">
      <x:c r="A187" s="179" t="str">
        <x:v>SYN-LN-00180</x:v>
      </x:c>
      <x:c r="B187" s="180" t="n">
        <x:f>IF(A187="","",SUMIF('Portfolio Inputs'!A8:A289,A187,'Portfolio Inputs'!D8:D289))</x:f>
        <x:v>630000</x:v>
      </x:c>
      <x:c r="C187" s="179" t="str">
        <x:v>BBB+</x:v>
      </x:c>
      <x:c r="D187" s="181" t="str">
        <x:v>development_proxy</x:v>
      </x:c>
      <x:c r="E187" s="181" t="str"/>
      <x:c r="F187" s="182" t="n">
        <x:v>0.65</x:v>
      </x:c>
      <x:c r="G187" s="181" t="str">
        <x:v>development_assumption</x:v>
      </x:c>
      <x:c r="H187" s="181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  <x:c r="I187" s="183" t="n">
        <x:f>IF(AND(C187&lt;&gt;"",OR(D187="public_fitch_idr",D187="reviewed_appendix5_equivalent",D187="development_proxy"),H187&lt;&gt;""),VLOOKUP(C187,Fitch_WARF_Factors,2,FALSE),"")</x:f>
        <x:v>2.63</x:v>
      </x:c>
      <x:c r="J187" s="184" t="n">
        <x:f>IF(ISNUMBER(I187),B187*I187,0)</x:f>
        <x:v>1656900</x:v>
      </x:c>
      <x:c r="K187" s="184" t="n">
        <x:f>IF(AND(A187&lt;&gt;"",M187=0),B187*F187,0)</x:f>
        <x:v>409500</x:v>
      </x:c>
      <x:c r="L187" s="184" t="n">
        <x:f>IF(A187="",0,IF(ISNUMBER(I187),0,B187))</x:f>
        <x:v>0</x:v>
      </x:c>
      <x:c r="M187" s="185" t="n">
        <x:f>IF(A187="",0,IF(AND(ISNUMBER(F187),F187&gt;=0,F187&lt;=1,OR(G187="fitch_issue_recovery_estimate",G187="fitch_issue_recovery_rating",G187="reviewed_bbsf_fallback",G187="development_assumption"),H187&lt;&gt;""),0,B187))</x:f>
        <x:v>0</x:v>
      </x:c>
      <x:c r="N187" s="186" t="n">
        <x:f>IF(A187=Q187,0,1)+IF(B187=R187,0,1)+IF(C187=S187,0,1)+IF(D187=T187,0,1)+IF(E187=U187,0,1)+IF(F187=V187,0,1)+IF(G187=W187,0,1)+IF(H187=X187,0,1)</x:f>
        <x:v>0</x:v>
      </x:c>
      <x:c r="O187" s="186" t="n">
        <x:f>IF(A187="",0,IF(E187="",B187,0))</x:f>
        <x:v>630000</x:v>
      </x:c>
      <x:c r="P187" s="187"/>
      <x:c r="Q187" s="179" t="str">
        <x:v>SYN-LN-00180</x:v>
      </x:c>
      <x:c r="R187" s="179" t="n">
        <x:v>630000</x:v>
      </x:c>
      <x:c r="S187" s="179" t="str">
        <x:v>BBB+</x:v>
      </x:c>
      <x:c r="T187" s="179" t="str">
        <x:v>development_proxy</x:v>
      </x:c>
      <x:c r="U187" s="179" t="str"/>
      <x:c r="V187" s="179" t="n">
        <x:v>0.65</x:v>
      </x:c>
      <x:c r="W187" s="179" t="str">
        <x:v>development_assumption</x:v>
      </x:c>
      <x:c r="X187" s="179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</x:row>
    <x:row r="188" ht="107" customHeight="1">
      <x:c r="A188" s="179" t="str">
        <x:v>SYN-LN-00181</x:v>
      </x:c>
      <x:c r="B188" s="180" t="n">
        <x:f>IF(A188="","",SUMIF('Portfolio Inputs'!A8:A289,A188,'Portfolio Inputs'!D8:D289))</x:f>
        <x:v>1211000</x:v>
      </x:c>
      <x:c r="C188" s="179" t="str">
        <x:v>B</x:v>
      </x:c>
      <x:c r="D188" s="181" t="str">
        <x:v>development_proxy</x:v>
      </x:c>
      <x:c r="E188" s="181" t="str"/>
      <x:c r="F188" s="182" t="n">
        <x:v>0.75</x:v>
      </x:c>
      <x:c r="G188" s="181" t="str">
        <x:v>development_assumption</x:v>
      </x:c>
      <x:c r="H18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88" s="183" t="n">
        <x:f>IF(AND(C188&lt;&gt;"",OR(D188="public_fitch_idr",D188="reviewed_appendix5_equivalent",D188="development_proxy"),H188&lt;&gt;""),VLOOKUP(C188,Fitch_WARF_Factors,2,FALSE),"")</x:f>
        <x:v>23.671</x:v>
      </x:c>
      <x:c r="J188" s="184" t="n">
        <x:f>IF(ISNUMBER(I188),B188*I188,0)</x:f>
        <x:v>28665581</x:v>
      </x:c>
      <x:c r="K188" s="184" t="n">
        <x:f>IF(AND(A188&lt;&gt;"",M188=0),B188*F188,0)</x:f>
        <x:v>908250</x:v>
      </x:c>
      <x:c r="L188" s="184" t="n">
        <x:f>IF(A188="",0,IF(ISNUMBER(I188),0,B188))</x:f>
        <x:v>0</x:v>
      </x:c>
      <x:c r="M188" s="185" t="n">
        <x:f>IF(A188="",0,IF(AND(ISNUMBER(F188),F188&gt;=0,F188&lt;=1,OR(G188="fitch_issue_recovery_estimate",G188="fitch_issue_recovery_rating",G188="reviewed_bbsf_fallback",G188="development_assumption"),H188&lt;&gt;""),0,B188))</x:f>
        <x:v>0</x:v>
      </x:c>
      <x:c r="N188" s="186" t="n">
        <x:f>IF(A188=Q188,0,1)+IF(B188=R188,0,1)+IF(C188=S188,0,1)+IF(D188=T188,0,1)+IF(E188=U188,0,1)+IF(F188=V188,0,1)+IF(G188=W188,0,1)+IF(H188=X188,0,1)</x:f>
        <x:v>0</x:v>
      </x:c>
      <x:c r="O188" s="186" t="n">
        <x:f>IF(A188="",0,IF(E188="",B188,0))</x:f>
        <x:v>1211000</x:v>
      </x:c>
      <x:c r="P188" s="187"/>
      <x:c r="Q188" s="179" t="str">
        <x:v>SYN-LN-00181</x:v>
      </x:c>
      <x:c r="R188" s="179" t="n">
        <x:v>1211000</x:v>
      </x:c>
      <x:c r="S188" s="179" t="str">
        <x:v>B</x:v>
      </x:c>
      <x:c r="T188" s="179" t="str">
        <x:v>development_proxy</x:v>
      </x:c>
      <x:c r="U188" s="179" t="str"/>
      <x:c r="V188" s="179" t="n">
        <x:v>0.75</x:v>
      </x:c>
      <x:c r="W188" s="179" t="str">
        <x:v>development_assumption</x:v>
      </x:c>
      <x:c r="X18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89" ht="107" customHeight="1">
      <x:c r="A189" s="179" t="str">
        <x:v>SYN-LN-00182</x:v>
      </x:c>
      <x:c r="B189" s="180" t="n">
        <x:f>IF(A189="","",SUMIF('Portfolio Inputs'!A8:A289,A189,'Portfolio Inputs'!D8:D289))</x:f>
        <x:v>1182000</x:v>
      </x:c>
      <x:c r="C189" s="179" t="str">
        <x:v>B+</x:v>
      </x:c>
      <x:c r="D189" s="181" t="str">
        <x:v>development_proxy</x:v>
      </x:c>
      <x:c r="E189" s="181" t="str"/>
      <x:c r="F189" s="182" t="n">
        <x:v>0.75</x:v>
      </x:c>
      <x:c r="G189" s="181" t="str">
        <x:v>development_assumption</x:v>
      </x:c>
      <x:c r="H18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89" s="183" t="n">
        <x:f>IF(AND(C189&lt;&gt;"",OR(D189="public_fitch_idr",D189="reviewed_appendix5_equivalent",D189="development_proxy"),H189&lt;&gt;""),VLOOKUP(C189,Fitch_WARF_Factors,2,FALSE),"")</x:f>
        <x:v>19.627</x:v>
      </x:c>
      <x:c r="J189" s="184" t="n">
        <x:f>IF(ISNUMBER(I189),B189*I189,0)</x:f>
        <x:v>23199114</x:v>
      </x:c>
      <x:c r="K189" s="184" t="n">
        <x:f>IF(AND(A189&lt;&gt;"",M189=0),B189*F189,0)</x:f>
        <x:v>886500</x:v>
      </x:c>
      <x:c r="L189" s="184" t="n">
        <x:f>IF(A189="",0,IF(ISNUMBER(I189),0,B189))</x:f>
        <x:v>0</x:v>
      </x:c>
      <x:c r="M189" s="185" t="n">
        <x:f>IF(A189="",0,IF(AND(ISNUMBER(F189),F189&gt;=0,F189&lt;=1,OR(G189="fitch_issue_recovery_estimate",G189="fitch_issue_recovery_rating",G189="reviewed_bbsf_fallback",G189="development_assumption"),H189&lt;&gt;""),0,B189))</x:f>
        <x:v>0</x:v>
      </x:c>
      <x:c r="N189" s="186" t="n">
        <x:f>IF(A189=Q189,0,1)+IF(B189=R189,0,1)+IF(C189=S189,0,1)+IF(D189=T189,0,1)+IF(E189=U189,0,1)+IF(F189=V189,0,1)+IF(G189=W189,0,1)+IF(H189=X189,0,1)</x:f>
        <x:v>0</x:v>
      </x:c>
      <x:c r="O189" s="186" t="n">
        <x:f>IF(A189="",0,IF(E189="",B189,0))</x:f>
        <x:v>1182000</x:v>
      </x:c>
      <x:c r="P189" s="187"/>
      <x:c r="Q189" s="179" t="str">
        <x:v>SYN-LN-00182</x:v>
      </x:c>
      <x:c r="R189" s="179" t="n">
        <x:v>1182000</x:v>
      </x:c>
      <x:c r="S189" s="179" t="str">
        <x:v>B+</x:v>
      </x:c>
      <x:c r="T189" s="179" t="str">
        <x:v>development_proxy</x:v>
      </x:c>
      <x:c r="U189" s="179" t="str"/>
      <x:c r="V189" s="179" t="n">
        <x:v>0.75</x:v>
      </x:c>
      <x:c r="W189" s="179" t="str">
        <x:v>development_assumption</x:v>
      </x:c>
      <x:c r="X18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90" ht="107" customHeight="1">
      <x:c r="A190" s="179" t="str">
        <x:v>SYN-LN-00183</x:v>
      </x:c>
      <x:c r="B190" s="180" t="n">
        <x:f>IF(A190="","",SUMIF('Portfolio Inputs'!A8:A289,A190,'Portfolio Inputs'!D8:D289))</x:f>
        <x:v>1182000</x:v>
      </x:c>
      <x:c r="C190" s="179" t="str">
        <x:v>B+</x:v>
      </x:c>
      <x:c r="D190" s="181" t="str">
        <x:v>development_proxy</x:v>
      </x:c>
      <x:c r="E190" s="181" t="str"/>
      <x:c r="F190" s="182" t="n">
        <x:v>0.75</x:v>
      </x:c>
      <x:c r="G190" s="181" t="str">
        <x:v>development_assumption</x:v>
      </x:c>
      <x:c r="H19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90" s="183" t="n">
        <x:f>IF(AND(C190&lt;&gt;"",OR(D190="public_fitch_idr",D190="reviewed_appendix5_equivalent",D190="development_proxy"),H190&lt;&gt;""),VLOOKUP(C190,Fitch_WARF_Factors,2,FALSE),"")</x:f>
        <x:v>19.627</x:v>
      </x:c>
      <x:c r="J190" s="184" t="n">
        <x:f>IF(ISNUMBER(I190),B190*I190,0)</x:f>
        <x:v>23199114</x:v>
      </x:c>
      <x:c r="K190" s="184" t="n">
        <x:f>IF(AND(A190&lt;&gt;"",M190=0),B190*F190,0)</x:f>
        <x:v>886500</x:v>
      </x:c>
      <x:c r="L190" s="184" t="n">
        <x:f>IF(A190="",0,IF(ISNUMBER(I190),0,B190))</x:f>
        <x:v>0</x:v>
      </x:c>
      <x:c r="M190" s="185" t="n">
        <x:f>IF(A190="",0,IF(AND(ISNUMBER(F190),F190&gt;=0,F190&lt;=1,OR(G190="fitch_issue_recovery_estimate",G190="fitch_issue_recovery_rating",G190="reviewed_bbsf_fallback",G190="development_assumption"),H190&lt;&gt;""),0,B190))</x:f>
        <x:v>0</x:v>
      </x:c>
      <x:c r="N190" s="186" t="n">
        <x:f>IF(A190=Q190,0,1)+IF(B190=R190,0,1)+IF(C190=S190,0,1)+IF(D190=T190,0,1)+IF(E190=U190,0,1)+IF(F190=V190,0,1)+IF(G190=W190,0,1)+IF(H190=X190,0,1)</x:f>
        <x:v>0</x:v>
      </x:c>
      <x:c r="O190" s="186" t="n">
        <x:f>IF(A190="",0,IF(E190="",B190,0))</x:f>
        <x:v>1182000</x:v>
      </x:c>
      <x:c r="P190" s="187"/>
      <x:c r="Q190" s="179" t="str">
        <x:v>SYN-LN-00183</x:v>
      </x:c>
      <x:c r="R190" s="179" t="n">
        <x:v>1182000</x:v>
      </x:c>
      <x:c r="S190" s="179" t="str">
        <x:v>B+</x:v>
      </x:c>
      <x:c r="T190" s="179" t="str">
        <x:v>development_proxy</x:v>
      </x:c>
      <x:c r="U190" s="179" t="str"/>
      <x:c r="V190" s="179" t="n">
        <x:v>0.75</x:v>
      </x:c>
      <x:c r="W190" s="179" t="str">
        <x:v>development_assumption</x:v>
      </x:c>
      <x:c r="X19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91" ht="107" customHeight="1">
      <x:c r="A191" s="179" t="str">
        <x:v>SYN-LN-00184</x:v>
      </x:c>
      <x:c r="B191" s="180" t="n">
        <x:f>IF(A191="","",SUMIF('Portfolio Inputs'!A8:A289,A191,'Portfolio Inputs'!D8:D289))</x:f>
        <x:v>1182000</x:v>
      </x:c>
      <x:c r="C191" s="179" t="str">
        <x:v>BB-</x:v>
      </x:c>
      <x:c r="D191" s="181" t="str">
        <x:v>development_proxy</x:v>
      </x:c>
      <x:c r="E191" s="181" t="str"/>
      <x:c r="F191" s="182" t="n">
        <x:v>0.75</x:v>
      </x:c>
      <x:c r="G191" s="181" t="str">
        <x:v>development_assumption</x:v>
      </x:c>
      <x:c r="H19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91" s="183" t="n">
        <x:f>IF(AND(C191&lt;&gt;"",OR(D191="public_fitch_idr",D191="reviewed_appendix5_equivalent",D191="development_proxy"),H191&lt;&gt;""),VLOOKUP(C191,Fitch_WARF_Factors,2,FALSE),"")</x:f>
        <x:v>15.733</x:v>
      </x:c>
      <x:c r="J191" s="184" t="n">
        <x:f>IF(ISNUMBER(I191),B191*I191,0)</x:f>
        <x:v>18596406</x:v>
      </x:c>
      <x:c r="K191" s="184" t="n">
        <x:f>IF(AND(A191&lt;&gt;"",M191=0),B191*F191,0)</x:f>
        <x:v>886500</x:v>
      </x:c>
      <x:c r="L191" s="184" t="n">
        <x:f>IF(A191="",0,IF(ISNUMBER(I191),0,B191))</x:f>
        <x:v>0</x:v>
      </x:c>
      <x:c r="M191" s="185" t="n">
        <x:f>IF(A191="",0,IF(AND(ISNUMBER(F191),F191&gt;=0,F191&lt;=1,OR(G191="fitch_issue_recovery_estimate",G191="fitch_issue_recovery_rating",G191="reviewed_bbsf_fallback",G191="development_assumption"),H191&lt;&gt;""),0,B191))</x:f>
        <x:v>0</x:v>
      </x:c>
      <x:c r="N191" s="186" t="n">
        <x:f>IF(A191=Q191,0,1)+IF(B191=R191,0,1)+IF(C191=S191,0,1)+IF(D191=T191,0,1)+IF(E191=U191,0,1)+IF(F191=V191,0,1)+IF(G191=W191,0,1)+IF(H191=X191,0,1)</x:f>
        <x:v>0</x:v>
      </x:c>
      <x:c r="O191" s="186" t="n">
        <x:f>IF(A191="",0,IF(E191="",B191,0))</x:f>
        <x:v>1182000</x:v>
      </x:c>
      <x:c r="P191" s="187"/>
      <x:c r="Q191" s="179" t="str">
        <x:v>SYN-LN-00184</x:v>
      </x:c>
      <x:c r="R191" s="179" t="n">
        <x:v>1182000</x:v>
      </x:c>
      <x:c r="S191" s="179" t="str">
        <x:v>BB-</x:v>
      </x:c>
      <x:c r="T191" s="179" t="str">
        <x:v>development_proxy</x:v>
      </x:c>
      <x:c r="U191" s="179" t="str"/>
      <x:c r="V191" s="179" t="n">
        <x:v>0.75</x:v>
      </x:c>
      <x:c r="W191" s="179" t="str">
        <x:v>development_assumption</x:v>
      </x:c>
      <x:c r="X19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92" ht="107" customHeight="1">
      <x:c r="A192" s="179" t="str">
        <x:v>SYN-LN-00185</x:v>
      </x:c>
      <x:c r="B192" s="180" t="n">
        <x:f>IF(A192="","",SUMIF('Portfolio Inputs'!A8:A289,A192,'Portfolio Inputs'!D8:D289))</x:f>
        <x:v>630000</x:v>
      </x:c>
      <x:c r="C192" s="179" t="str">
        <x:v>BBB-</x:v>
      </x:c>
      <x:c r="D192" s="181" t="str">
        <x:v>development_proxy</x:v>
      </x:c>
      <x:c r="E192" s="181" t="str"/>
      <x:c r="F192" s="182" t="n">
        <x:v>0.75</x:v>
      </x:c>
      <x:c r="G192" s="181" t="str">
        <x:v>development_assumption</x:v>
      </x:c>
      <x:c r="H192" s="181" t="str">
        <x:v>FICTIONAL DEVELOPMENT: copied S&amp;P symbol as Fitch IDR-equivalency proxy; no Fitch rating or Appendix 5 review. Assumed first-lien facility is senior secured loan with no issue recovery opinion; Canada Group 1; Fitch June 1 2026 Appendix 4 pp42-43 and Appendix 6 pp47-48 BBsf Strong fallback.</x:v>
      </x:c>
      <x:c r="I192" s="183" t="n">
        <x:f>IF(AND(C192&lt;&gt;"",OR(D192="public_fitch_idr",D192="reviewed_appendix5_equivalent",D192="development_proxy"),H192&lt;&gt;""),VLOOKUP(C192,Fitch_WARF_Factors,2,FALSE),"")</x:f>
        <x:v>6.039</x:v>
      </x:c>
      <x:c r="J192" s="184" t="n">
        <x:f>IF(ISNUMBER(I192),B192*I192,0)</x:f>
        <x:v>3804570</x:v>
      </x:c>
      <x:c r="K192" s="184" t="n">
        <x:f>IF(AND(A192&lt;&gt;"",M192=0),B192*F192,0)</x:f>
        <x:v>472500</x:v>
      </x:c>
      <x:c r="L192" s="184" t="n">
        <x:f>IF(A192="",0,IF(ISNUMBER(I192),0,B192))</x:f>
        <x:v>0</x:v>
      </x:c>
      <x:c r="M192" s="185" t="n">
        <x:f>IF(A192="",0,IF(AND(ISNUMBER(F192),F192&gt;=0,F192&lt;=1,OR(G192="fitch_issue_recovery_estimate",G192="fitch_issue_recovery_rating",G192="reviewed_bbsf_fallback",G192="development_assumption"),H192&lt;&gt;""),0,B192))</x:f>
        <x:v>0</x:v>
      </x:c>
      <x:c r="N192" s="186" t="n">
        <x:f>IF(A192=Q192,0,1)+IF(B192=R192,0,1)+IF(C192=S192,0,1)+IF(D192=T192,0,1)+IF(E192=U192,0,1)+IF(F192=V192,0,1)+IF(G192=W192,0,1)+IF(H192=X192,0,1)</x:f>
        <x:v>0</x:v>
      </x:c>
      <x:c r="O192" s="186" t="n">
        <x:f>IF(A192="",0,IF(E192="",B192,0))</x:f>
        <x:v>630000</x:v>
      </x:c>
      <x:c r="P192" s="187"/>
      <x:c r="Q192" s="179" t="str">
        <x:v>SYN-LN-00185</x:v>
      </x:c>
      <x:c r="R192" s="179" t="n">
        <x:v>630000</x:v>
      </x:c>
      <x:c r="S192" s="179" t="str">
        <x:v>BBB-</x:v>
      </x:c>
      <x:c r="T192" s="179" t="str">
        <x:v>development_proxy</x:v>
      </x:c>
      <x:c r="U192" s="179" t="str"/>
      <x:c r="V192" s="179" t="n">
        <x:v>0.75</x:v>
      </x:c>
      <x:c r="W192" s="179" t="str">
        <x:v>development_assumption</x:v>
      </x:c>
      <x:c r="X192" s="179" t="str">
        <x:v>FICTIONAL DEVELOPMENT: copied S&amp;P symbol as Fitch IDR-equivalency proxy; no Fitch rating or Appendix 5 review. Assumed first-lien facility is senior secured loan with no issue recovery opinion; Canada Group 1; Fitch June 1 2026 Appendix 4 pp42-43 and Appendix 6 pp47-48 BBsf Strong fallback.</x:v>
      </x:c>
    </x:row>
    <x:row r="193" ht="107" customHeight="1">
      <x:c r="A193" s="179" t="str">
        <x:v>SYN-LN-00186</x:v>
      </x:c>
      <x:c r="B193" s="180" t="n">
        <x:f>IF(A193="","",SUMIF('Portfolio Inputs'!A8:A289,A193,'Portfolio Inputs'!D8:D289))</x:f>
        <x:v>1182000</x:v>
      </x:c>
      <x:c r="C193" s="179" t="str">
        <x:v>B+</x:v>
      </x:c>
      <x:c r="D193" s="181" t="str">
        <x:v>development_proxy</x:v>
      </x:c>
      <x:c r="E193" s="181" t="str"/>
      <x:c r="F193" s="182" t="n">
        <x:v>0.75</x:v>
      </x:c>
      <x:c r="G193" s="181" t="str">
        <x:v>development_assumption</x:v>
      </x:c>
      <x:c r="H19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93" s="183" t="n">
        <x:f>IF(AND(C193&lt;&gt;"",OR(D193="public_fitch_idr",D193="reviewed_appendix5_equivalent",D193="development_proxy"),H193&lt;&gt;""),VLOOKUP(C193,Fitch_WARF_Factors,2,FALSE),"")</x:f>
        <x:v>19.627</x:v>
      </x:c>
      <x:c r="J193" s="184" t="n">
        <x:f>IF(ISNUMBER(I193),B193*I193,0)</x:f>
        <x:v>23199114</x:v>
      </x:c>
      <x:c r="K193" s="184" t="n">
        <x:f>IF(AND(A193&lt;&gt;"",M193=0),B193*F193,0)</x:f>
        <x:v>886500</x:v>
      </x:c>
      <x:c r="L193" s="184" t="n">
        <x:f>IF(A193="",0,IF(ISNUMBER(I193),0,B193))</x:f>
        <x:v>0</x:v>
      </x:c>
      <x:c r="M193" s="185" t="n">
        <x:f>IF(A193="",0,IF(AND(ISNUMBER(F193),F193&gt;=0,F193&lt;=1,OR(G193="fitch_issue_recovery_estimate",G193="fitch_issue_recovery_rating",G193="reviewed_bbsf_fallback",G193="development_assumption"),H193&lt;&gt;""),0,B193))</x:f>
        <x:v>0</x:v>
      </x:c>
      <x:c r="N193" s="186" t="n">
        <x:f>IF(A193=Q193,0,1)+IF(B193=R193,0,1)+IF(C193=S193,0,1)+IF(D193=T193,0,1)+IF(E193=U193,0,1)+IF(F193=V193,0,1)+IF(G193=W193,0,1)+IF(H193=X193,0,1)</x:f>
        <x:v>0</x:v>
      </x:c>
      <x:c r="O193" s="186" t="n">
        <x:f>IF(A193="",0,IF(E193="",B193,0))</x:f>
        <x:v>1182000</x:v>
      </x:c>
      <x:c r="P193" s="187"/>
      <x:c r="Q193" s="179" t="str">
        <x:v>SYN-LN-00186</x:v>
      </x:c>
      <x:c r="R193" s="179" t="n">
        <x:v>1182000</x:v>
      </x:c>
      <x:c r="S193" s="179" t="str">
        <x:v>B+</x:v>
      </x:c>
      <x:c r="T193" s="179" t="str">
        <x:v>development_proxy</x:v>
      </x:c>
      <x:c r="U193" s="179" t="str"/>
      <x:c r="V193" s="179" t="n">
        <x:v>0.75</x:v>
      </x:c>
      <x:c r="W193" s="179" t="str">
        <x:v>development_assumption</x:v>
      </x:c>
      <x:c r="X19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94" ht="107" customHeight="1">
      <x:c r="A194" s="179" t="str">
        <x:v>SYN-LN-00187</x:v>
      </x:c>
      <x:c r="B194" s="180" t="n">
        <x:f>IF(A194="","",SUMIF('Portfolio Inputs'!A8:A289,A194,'Portfolio Inputs'!D8:D289))</x:f>
        <x:v>1182000</x:v>
      </x:c>
      <x:c r="C194" s="179" t="str">
        <x:v>B</x:v>
      </x:c>
      <x:c r="D194" s="181" t="str">
        <x:v>development_proxy</x:v>
      </x:c>
      <x:c r="E194" s="181" t="str"/>
      <x:c r="F194" s="182" t="n">
        <x:v>0.75</x:v>
      </x:c>
      <x:c r="G194" s="181" t="str">
        <x:v>development_assumption</x:v>
      </x:c>
      <x:c r="H19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94" s="183" t="n">
        <x:f>IF(AND(C194&lt;&gt;"",OR(D194="public_fitch_idr",D194="reviewed_appendix5_equivalent",D194="development_proxy"),H194&lt;&gt;""),VLOOKUP(C194,Fitch_WARF_Factors,2,FALSE),"")</x:f>
        <x:v>23.671</x:v>
      </x:c>
      <x:c r="J194" s="184" t="n">
        <x:f>IF(ISNUMBER(I194),B194*I194,0)</x:f>
        <x:v>27979122</x:v>
      </x:c>
      <x:c r="K194" s="184" t="n">
        <x:f>IF(AND(A194&lt;&gt;"",M194=0),B194*F194,0)</x:f>
        <x:v>886500</x:v>
      </x:c>
      <x:c r="L194" s="184" t="n">
        <x:f>IF(A194="",0,IF(ISNUMBER(I194),0,B194))</x:f>
        <x:v>0</x:v>
      </x:c>
      <x:c r="M194" s="185" t="n">
        <x:f>IF(A194="",0,IF(AND(ISNUMBER(F194),F194&gt;=0,F194&lt;=1,OR(G194="fitch_issue_recovery_estimate",G194="fitch_issue_recovery_rating",G194="reviewed_bbsf_fallback",G194="development_assumption"),H194&lt;&gt;""),0,B194))</x:f>
        <x:v>0</x:v>
      </x:c>
      <x:c r="N194" s="186" t="n">
        <x:f>IF(A194=Q194,0,1)+IF(B194=R194,0,1)+IF(C194=S194,0,1)+IF(D194=T194,0,1)+IF(E194=U194,0,1)+IF(F194=V194,0,1)+IF(G194=W194,0,1)+IF(H194=X194,0,1)</x:f>
        <x:v>0</x:v>
      </x:c>
      <x:c r="O194" s="186" t="n">
        <x:f>IF(A194="",0,IF(E194="",B194,0))</x:f>
        <x:v>1182000</x:v>
      </x:c>
      <x:c r="P194" s="187"/>
      <x:c r="Q194" s="179" t="str">
        <x:v>SYN-LN-00187</x:v>
      </x:c>
      <x:c r="R194" s="179" t="n">
        <x:v>1182000</x:v>
      </x:c>
      <x:c r="S194" s="179" t="str">
        <x:v>B</x:v>
      </x:c>
      <x:c r="T194" s="179" t="str">
        <x:v>development_proxy</x:v>
      </x:c>
      <x:c r="U194" s="179" t="str"/>
      <x:c r="V194" s="179" t="n">
        <x:v>0.75</x:v>
      </x:c>
      <x:c r="W194" s="179" t="str">
        <x:v>development_assumption</x:v>
      </x:c>
      <x:c r="X19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95" ht="107" customHeight="1">
      <x:c r="A195" s="179" t="str">
        <x:v>SYN-LN-00188</x:v>
      </x:c>
      <x:c r="B195" s="180" t="n">
        <x:f>IF(A195="","",SUMIF('Portfolio Inputs'!A8:A289,A195,'Portfolio Inputs'!D8:D289))</x:f>
        <x:v>1182000</x:v>
      </x:c>
      <x:c r="C195" s="179" t="str">
        <x:v>BB-</x:v>
      </x:c>
      <x:c r="D195" s="181" t="str">
        <x:v>development_proxy</x:v>
      </x:c>
      <x:c r="E195" s="181" t="str"/>
      <x:c r="F195" s="182" t="n">
        <x:v>0.75</x:v>
      </x:c>
      <x:c r="G195" s="181" t="str">
        <x:v>development_assumption</x:v>
      </x:c>
      <x:c r="H19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95" s="183" t="n">
        <x:f>IF(AND(C195&lt;&gt;"",OR(D195="public_fitch_idr",D195="reviewed_appendix5_equivalent",D195="development_proxy"),H195&lt;&gt;""),VLOOKUP(C195,Fitch_WARF_Factors,2,FALSE),"")</x:f>
        <x:v>15.733</x:v>
      </x:c>
      <x:c r="J195" s="184" t="n">
        <x:f>IF(ISNUMBER(I195),B195*I195,0)</x:f>
        <x:v>18596406</x:v>
      </x:c>
      <x:c r="K195" s="184" t="n">
        <x:f>IF(AND(A195&lt;&gt;"",M195=0),B195*F195,0)</x:f>
        <x:v>886500</x:v>
      </x:c>
      <x:c r="L195" s="184" t="n">
        <x:f>IF(A195="",0,IF(ISNUMBER(I195),0,B195))</x:f>
        <x:v>0</x:v>
      </x:c>
      <x:c r="M195" s="185" t="n">
        <x:f>IF(A195="",0,IF(AND(ISNUMBER(F195),F195&gt;=0,F195&lt;=1,OR(G195="fitch_issue_recovery_estimate",G195="fitch_issue_recovery_rating",G195="reviewed_bbsf_fallback",G195="development_assumption"),H195&lt;&gt;""),0,B195))</x:f>
        <x:v>0</x:v>
      </x:c>
      <x:c r="N195" s="186" t="n">
        <x:f>IF(A195=Q195,0,1)+IF(B195=R195,0,1)+IF(C195=S195,0,1)+IF(D195=T195,0,1)+IF(E195=U195,0,1)+IF(F195=V195,0,1)+IF(G195=W195,0,1)+IF(H195=X195,0,1)</x:f>
        <x:v>0</x:v>
      </x:c>
      <x:c r="O195" s="186" t="n">
        <x:f>IF(A195="",0,IF(E195="",B195,0))</x:f>
        <x:v>1182000</x:v>
      </x:c>
      <x:c r="P195" s="187"/>
      <x:c r="Q195" s="179" t="str">
        <x:v>SYN-LN-00188</x:v>
      </x:c>
      <x:c r="R195" s="179" t="n">
        <x:v>1182000</x:v>
      </x:c>
      <x:c r="S195" s="179" t="str">
        <x:v>BB-</x:v>
      </x:c>
      <x:c r="T195" s="179" t="str">
        <x:v>development_proxy</x:v>
      </x:c>
      <x:c r="U195" s="179" t="str"/>
      <x:c r="V195" s="179" t="n">
        <x:v>0.75</x:v>
      </x:c>
      <x:c r="W195" s="179" t="str">
        <x:v>development_assumption</x:v>
      </x:c>
      <x:c r="X19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96" ht="107" customHeight="1">
      <x:c r="A196" s="179" t="str">
        <x:v>SYN-LN-00189</x:v>
      </x:c>
      <x:c r="B196" s="180" t="n">
        <x:f>IF(A196="","",SUMIF('Portfolio Inputs'!A8:A289,A196,'Portfolio Inputs'!D8:D289))</x:f>
        <x:v>1182000</x:v>
      </x:c>
      <x:c r="C196" s="179" t="str">
        <x:v>B-</x:v>
      </x:c>
      <x:c r="D196" s="181" t="str">
        <x:v>development_proxy</x:v>
      </x:c>
      <x:c r="E196" s="181" t="str"/>
      <x:c r="F196" s="182" t="n">
        <x:v>0.75</x:v>
      </x:c>
      <x:c r="G196" s="181" t="str">
        <x:v>development_assumption</x:v>
      </x:c>
      <x:c r="H19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96" s="183" t="n">
        <x:f>IF(AND(C196&lt;&gt;"",OR(D196="public_fitch_idr",D196="reviewed_appendix5_equivalent",D196="development_proxy"),H196&lt;&gt;""),VLOOKUP(C196,Fitch_WARF_Factors,2,FALSE),"")</x:f>
        <x:v>32.221</x:v>
      </x:c>
      <x:c r="J196" s="184" t="n">
        <x:f>IF(ISNUMBER(I196),B196*I196,0)</x:f>
        <x:v>38085221.99999999</x:v>
      </x:c>
      <x:c r="K196" s="184" t="n">
        <x:f>IF(AND(A196&lt;&gt;"",M196=0),B196*F196,0)</x:f>
        <x:v>886500</x:v>
      </x:c>
      <x:c r="L196" s="184" t="n">
        <x:f>IF(A196="",0,IF(ISNUMBER(I196),0,B196))</x:f>
        <x:v>0</x:v>
      </x:c>
      <x:c r="M196" s="185" t="n">
        <x:f>IF(A196="",0,IF(AND(ISNUMBER(F196),F196&gt;=0,F196&lt;=1,OR(G196="fitch_issue_recovery_estimate",G196="fitch_issue_recovery_rating",G196="reviewed_bbsf_fallback",G196="development_assumption"),H196&lt;&gt;""),0,B196))</x:f>
        <x:v>0</x:v>
      </x:c>
      <x:c r="N196" s="186" t="n">
        <x:f>IF(A196=Q196,0,1)+IF(B196=R196,0,1)+IF(C196=S196,0,1)+IF(D196=T196,0,1)+IF(E196=U196,0,1)+IF(F196=V196,0,1)+IF(G196=W196,0,1)+IF(H196=X196,0,1)</x:f>
        <x:v>0</x:v>
      </x:c>
      <x:c r="O196" s="186" t="n">
        <x:f>IF(A196="",0,IF(E196="",B196,0))</x:f>
        <x:v>1182000</x:v>
      </x:c>
      <x:c r="P196" s="187"/>
      <x:c r="Q196" s="179" t="str">
        <x:v>SYN-LN-00189</x:v>
      </x:c>
      <x:c r="R196" s="179" t="n">
        <x:v>1182000</x:v>
      </x:c>
      <x:c r="S196" s="179" t="str">
        <x:v>B-</x:v>
      </x:c>
      <x:c r="T196" s="179" t="str">
        <x:v>development_proxy</x:v>
      </x:c>
      <x:c r="U196" s="179" t="str"/>
      <x:c r="V196" s="179" t="n">
        <x:v>0.75</x:v>
      </x:c>
      <x:c r="W196" s="179" t="str">
        <x:v>development_assumption</x:v>
      </x:c>
      <x:c r="X19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97" ht="107" customHeight="1">
      <x:c r="A197" s="179" t="str">
        <x:v>SYN-LN-00190</x:v>
      </x:c>
      <x:c r="B197" s="180" t="n">
        <x:f>IF(A197="","",SUMIF('Portfolio Inputs'!A8:A289,A197,'Portfolio Inputs'!D8:D289))</x:f>
        <x:v>1182000</x:v>
      </x:c>
      <x:c r="C197" s="179" t="str">
        <x:v>B</x:v>
      </x:c>
      <x:c r="D197" s="181" t="str">
        <x:v>development_proxy</x:v>
      </x:c>
      <x:c r="E197" s="181" t="str"/>
      <x:c r="F197" s="182" t="n">
        <x:v>0.75</x:v>
      </x:c>
      <x:c r="G197" s="181" t="str">
        <x:v>development_assumption</x:v>
      </x:c>
      <x:c r="H19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97" s="183" t="n">
        <x:f>IF(AND(C197&lt;&gt;"",OR(D197="public_fitch_idr",D197="reviewed_appendix5_equivalent",D197="development_proxy"),H197&lt;&gt;""),VLOOKUP(C197,Fitch_WARF_Factors,2,FALSE),"")</x:f>
        <x:v>23.671</x:v>
      </x:c>
      <x:c r="J197" s="184" t="n">
        <x:f>IF(ISNUMBER(I197),B197*I197,0)</x:f>
        <x:v>27979122</x:v>
      </x:c>
      <x:c r="K197" s="184" t="n">
        <x:f>IF(AND(A197&lt;&gt;"",M197=0),B197*F197,0)</x:f>
        <x:v>886500</x:v>
      </x:c>
      <x:c r="L197" s="184" t="n">
        <x:f>IF(A197="",0,IF(ISNUMBER(I197),0,B197))</x:f>
        <x:v>0</x:v>
      </x:c>
      <x:c r="M197" s="185" t="n">
        <x:f>IF(A197="",0,IF(AND(ISNUMBER(F197),F197&gt;=0,F197&lt;=1,OR(G197="fitch_issue_recovery_estimate",G197="fitch_issue_recovery_rating",G197="reviewed_bbsf_fallback",G197="development_assumption"),H197&lt;&gt;""),0,B197))</x:f>
        <x:v>0</x:v>
      </x:c>
      <x:c r="N197" s="186" t="n">
        <x:f>IF(A197=Q197,0,1)+IF(B197=R197,0,1)+IF(C197=S197,0,1)+IF(D197=T197,0,1)+IF(E197=U197,0,1)+IF(F197=V197,0,1)+IF(G197=W197,0,1)+IF(H197=X197,0,1)</x:f>
        <x:v>0</x:v>
      </x:c>
      <x:c r="O197" s="186" t="n">
        <x:f>IF(A197="",0,IF(E197="",B197,0))</x:f>
        <x:v>1182000</x:v>
      </x:c>
      <x:c r="P197" s="187"/>
      <x:c r="Q197" s="179" t="str">
        <x:v>SYN-LN-00190</x:v>
      </x:c>
      <x:c r="R197" s="179" t="n">
        <x:v>1182000</x:v>
      </x:c>
      <x:c r="S197" s="179" t="str">
        <x:v>B</x:v>
      </x:c>
      <x:c r="T197" s="179" t="str">
        <x:v>development_proxy</x:v>
      </x:c>
      <x:c r="U197" s="179" t="str"/>
      <x:c r="V197" s="179" t="n">
        <x:v>0.75</x:v>
      </x:c>
      <x:c r="W197" s="179" t="str">
        <x:v>development_assumption</x:v>
      </x:c>
      <x:c r="X19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98" ht="107" customHeight="1">
      <x:c r="A198" s="179" t="str">
        <x:v>SYN-LN-00191</x:v>
      </x:c>
      <x:c r="B198" s="180" t="n">
        <x:f>IF(A198="","",SUMIF('Portfolio Inputs'!A8:A289,A198,'Portfolio Inputs'!D8:D289))</x:f>
        <x:v>1182000</x:v>
      </x:c>
      <x:c r="C198" s="179" t="str">
        <x:v>B-</x:v>
      </x:c>
      <x:c r="D198" s="181" t="str">
        <x:v>development_proxy</x:v>
      </x:c>
      <x:c r="E198" s="181" t="str"/>
      <x:c r="F198" s="182" t="n">
        <x:v>0.75</x:v>
      </x:c>
      <x:c r="G198" s="181" t="str">
        <x:v>development_assumption</x:v>
      </x:c>
      <x:c r="H19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198" s="183" t="n">
        <x:f>IF(AND(C198&lt;&gt;"",OR(D198="public_fitch_idr",D198="reviewed_appendix5_equivalent",D198="development_proxy"),H198&lt;&gt;""),VLOOKUP(C198,Fitch_WARF_Factors,2,FALSE),"")</x:f>
        <x:v>32.221</x:v>
      </x:c>
      <x:c r="J198" s="184" t="n">
        <x:f>IF(ISNUMBER(I198),B198*I198,0)</x:f>
        <x:v>38085221.99999999</x:v>
      </x:c>
      <x:c r="K198" s="184" t="n">
        <x:f>IF(AND(A198&lt;&gt;"",M198=0),B198*F198,0)</x:f>
        <x:v>886500</x:v>
      </x:c>
      <x:c r="L198" s="184" t="n">
        <x:f>IF(A198="",0,IF(ISNUMBER(I198),0,B198))</x:f>
        <x:v>0</x:v>
      </x:c>
      <x:c r="M198" s="185" t="n">
        <x:f>IF(A198="",0,IF(AND(ISNUMBER(F198),F198&gt;=0,F198&lt;=1,OR(G198="fitch_issue_recovery_estimate",G198="fitch_issue_recovery_rating",G198="reviewed_bbsf_fallback",G198="development_assumption"),H198&lt;&gt;""),0,B198))</x:f>
        <x:v>0</x:v>
      </x:c>
      <x:c r="N198" s="186" t="n">
        <x:f>IF(A198=Q198,0,1)+IF(B198=R198,0,1)+IF(C198=S198,0,1)+IF(D198=T198,0,1)+IF(E198=U198,0,1)+IF(F198=V198,0,1)+IF(G198=W198,0,1)+IF(H198=X198,0,1)</x:f>
        <x:v>0</x:v>
      </x:c>
      <x:c r="O198" s="186" t="n">
        <x:f>IF(A198="",0,IF(E198="",B198,0))</x:f>
        <x:v>1182000</x:v>
      </x:c>
      <x:c r="P198" s="187"/>
      <x:c r="Q198" s="179" t="str">
        <x:v>SYN-LN-00191</x:v>
      </x:c>
      <x:c r="R198" s="179" t="n">
        <x:v>1182000</x:v>
      </x:c>
      <x:c r="S198" s="179" t="str">
        <x:v>B-</x:v>
      </x:c>
      <x:c r="T198" s="179" t="str">
        <x:v>development_proxy</x:v>
      </x:c>
      <x:c r="U198" s="179" t="str"/>
      <x:c r="V198" s="179" t="n">
        <x:v>0.75</x:v>
      </x:c>
      <x:c r="W198" s="179" t="str">
        <x:v>development_assumption</x:v>
      </x:c>
      <x:c r="X19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199" ht="107" customHeight="1">
      <x:c r="A199" s="179" t="str">
        <x:v>SYN-LN-00192</x:v>
      </x:c>
      <x:c r="B199" s="180" t="n">
        <x:f>IF(A199="","",SUMIF('Portfolio Inputs'!A8:A289,A199,'Portfolio Inputs'!D8:D289))</x:f>
        <x:v>630000</x:v>
      </x:c>
      <x:c r="C199" s="179" t="str">
        <x:v>BB+</x:v>
      </x:c>
      <x:c r="D199" s="181" t="str">
        <x:v>development_proxy</x:v>
      </x:c>
      <x:c r="E199" s="181" t="str"/>
      <x:c r="F199" s="182" t="n">
        <x:v>0.65</x:v>
      </x:c>
      <x:c r="G199" s="181" t="str">
        <x:v>development_assumption</x:v>
      </x:c>
      <x:c r="H199" s="181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  <x:c r="I199" s="183" t="n">
        <x:f>IF(AND(C199&lt;&gt;"",OR(D199="public_fitch_idr",D199="reviewed_appendix5_equivalent",D199="development_proxy"),H199&lt;&gt;""),VLOOKUP(C199,Fitch_WARF_Factors,2,FALSE),"")</x:f>
        <x:v>8.903</x:v>
      </x:c>
      <x:c r="J199" s="184" t="n">
        <x:f>IF(ISNUMBER(I199),B199*I199,0)</x:f>
        <x:v>5608890</x:v>
      </x:c>
      <x:c r="K199" s="184" t="n">
        <x:f>IF(AND(A199&lt;&gt;"",M199=0),B199*F199,0)</x:f>
        <x:v>409500</x:v>
      </x:c>
      <x:c r="L199" s="184" t="n">
        <x:f>IF(A199="",0,IF(ISNUMBER(I199),0,B199))</x:f>
        <x:v>0</x:v>
      </x:c>
      <x:c r="M199" s="185" t="n">
        <x:f>IF(A199="",0,IF(AND(ISNUMBER(F199),F199&gt;=0,F199&lt;=1,OR(G199="fitch_issue_recovery_estimate",G199="fitch_issue_recovery_rating",G199="reviewed_bbsf_fallback",G199="development_assumption"),H199&lt;&gt;""),0,B199))</x:f>
        <x:v>0</x:v>
      </x:c>
      <x:c r="N199" s="186" t="n">
        <x:f>IF(A199=Q199,0,1)+IF(B199=R199,0,1)+IF(C199=S199,0,1)+IF(D199=T199,0,1)+IF(E199=U199,0,1)+IF(F199=V199,0,1)+IF(G199=W199,0,1)+IF(H199=X199,0,1)</x:f>
        <x:v>0</x:v>
      </x:c>
      <x:c r="O199" s="186" t="n">
        <x:f>IF(A199="",0,IF(E199="",B199,0))</x:f>
        <x:v>630000</x:v>
      </x:c>
      <x:c r="P199" s="187"/>
      <x:c r="Q199" s="179" t="str">
        <x:v>SYN-LN-00192</x:v>
      </x:c>
      <x:c r="R199" s="179" t="n">
        <x:v>630000</x:v>
      </x:c>
      <x:c r="S199" s="179" t="str">
        <x:v>BB+</x:v>
      </x:c>
      <x:c r="T199" s="179" t="str">
        <x:v>development_proxy</x:v>
      </x:c>
      <x:c r="U199" s="179" t="str"/>
      <x:c r="V199" s="179" t="n">
        <x:v>0.65</x:v>
      </x:c>
      <x:c r="W199" s="179" t="str">
        <x:v>development_assumption</x:v>
      </x:c>
      <x:c r="X199" s="179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</x:row>
    <x:row r="200" ht="107" customHeight="1">
      <x:c r="A200" s="179" t="str">
        <x:v>SYN-LN-00193</x:v>
      </x:c>
      <x:c r="B200" s="180" t="n">
        <x:f>IF(A200="","",SUMIF('Portfolio Inputs'!A8:A289,A200,'Portfolio Inputs'!D8:D289))</x:f>
        <x:v>1193000</x:v>
      </x:c>
      <x:c r="C200" s="179" t="str">
        <x:v>B</x:v>
      </x:c>
      <x:c r="D200" s="181" t="str">
        <x:v>development_proxy</x:v>
      </x:c>
      <x:c r="E200" s="181" t="str"/>
      <x:c r="F200" s="182" t="n">
        <x:v>0.75</x:v>
      </x:c>
      <x:c r="G200" s="181" t="str">
        <x:v>development_assumption</x:v>
      </x:c>
      <x:c r="H20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00" s="183" t="n">
        <x:f>IF(AND(C200&lt;&gt;"",OR(D200="public_fitch_idr",D200="reviewed_appendix5_equivalent",D200="development_proxy"),H200&lt;&gt;""),VLOOKUP(C200,Fitch_WARF_Factors,2,FALSE),"")</x:f>
        <x:v>23.671</x:v>
      </x:c>
      <x:c r="J200" s="184" t="n">
        <x:f>IF(ISNUMBER(I200),B200*I200,0)</x:f>
        <x:v>28239503</x:v>
      </x:c>
      <x:c r="K200" s="184" t="n">
        <x:f>IF(AND(A200&lt;&gt;"",M200=0),B200*F200,0)</x:f>
        <x:v>894750</x:v>
      </x:c>
      <x:c r="L200" s="184" t="n">
        <x:f>IF(A200="",0,IF(ISNUMBER(I200),0,B200))</x:f>
        <x:v>0</x:v>
      </x:c>
      <x:c r="M200" s="185" t="n">
        <x:f>IF(A200="",0,IF(AND(ISNUMBER(F200),F200&gt;=0,F200&lt;=1,OR(G200="fitch_issue_recovery_estimate",G200="fitch_issue_recovery_rating",G200="reviewed_bbsf_fallback",G200="development_assumption"),H200&lt;&gt;""),0,B200))</x:f>
        <x:v>0</x:v>
      </x:c>
      <x:c r="N200" s="186" t="n">
        <x:f>IF(A200=Q200,0,1)+IF(B200=R200,0,1)+IF(C200=S200,0,1)+IF(D200=T200,0,1)+IF(E200=U200,0,1)+IF(F200=V200,0,1)+IF(G200=W200,0,1)+IF(H200=X200,0,1)</x:f>
        <x:v>0</x:v>
      </x:c>
      <x:c r="O200" s="186" t="n">
        <x:f>IF(A200="",0,IF(E200="",B200,0))</x:f>
        <x:v>1193000</x:v>
      </x:c>
      <x:c r="P200" s="187"/>
      <x:c r="Q200" s="179" t="str">
        <x:v>SYN-LN-00193</x:v>
      </x:c>
      <x:c r="R200" s="179" t="n">
        <x:v>1193000</x:v>
      </x:c>
      <x:c r="S200" s="179" t="str">
        <x:v>B</x:v>
      </x:c>
      <x:c r="T200" s="179" t="str">
        <x:v>development_proxy</x:v>
      </x:c>
      <x:c r="U200" s="179" t="str"/>
      <x:c r="V200" s="179" t="n">
        <x:v>0.75</x:v>
      </x:c>
      <x:c r="W200" s="179" t="str">
        <x:v>development_assumption</x:v>
      </x:c>
      <x:c r="X20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01" ht="107" customHeight="1">
      <x:c r="A201" s="179" t="str">
        <x:v>SYN-LN-00194</x:v>
      </x:c>
      <x:c r="B201" s="180" t="n">
        <x:f>IF(A201="","",SUMIF('Portfolio Inputs'!A8:A289,A201,'Portfolio Inputs'!D8:D289))</x:f>
        <x:v>1182000</x:v>
      </x:c>
      <x:c r="C201" s="179" t="str">
        <x:v>B</x:v>
      </x:c>
      <x:c r="D201" s="181" t="str">
        <x:v>development_proxy</x:v>
      </x:c>
      <x:c r="E201" s="181" t="str"/>
      <x:c r="F201" s="182" t="n">
        <x:v>0.75</x:v>
      </x:c>
      <x:c r="G201" s="181" t="str">
        <x:v>development_assumption</x:v>
      </x:c>
      <x:c r="H20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01" s="183" t="n">
        <x:f>IF(AND(C201&lt;&gt;"",OR(D201="public_fitch_idr",D201="reviewed_appendix5_equivalent",D201="development_proxy"),H201&lt;&gt;""),VLOOKUP(C201,Fitch_WARF_Factors,2,FALSE),"")</x:f>
        <x:v>23.671</x:v>
      </x:c>
      <x:c r="J201" s="184" t="n">
        <x:f>IF(ISNUMBER(I201),B201*I201,0)</x:f>
        <x:v>27979122</x:v>
      </x:c>
      <x:c r="K201" s="184" t="n">
        <x:f>IF(AND(A201&lt;&gt;"",M201=0),B201*F201,0)</x:f>
        <x:v>886500</x:v>
      </x:c>
      <x:c r="L201" s="184" t="n">
        <x:f>IF(A201="",0,IF(ISNUMBER(I201),0,B201))</x:f>
        <x:v>0</x:v>
      </x:c>
      <x:c r="M201" s="185" t="n">
        <x:f>IF(A201="",0,IF(AND(ISNUMBER(F201),F201&gt;=0,F201&lt;=1,OR(G201="fitch_issue_recovery_estimate",G201="fitch_issue_recovery_rating",G201="reviewed_bbsf_fallback",G201="development_assumption"),H201&lt;&gt;""),0,B201))</x:f>
        <x:v>0</x:v>
      </x:c>
      <x:c r="N201" s="186" t="n">
        <x:f>IF(A201=Q201,0,1)+IF(B201=R201,0,1)+IF(C201=S201,0,1)+IF(D201=T201,0,1)+IF(E201=U201,0,1)+IF(F201=V201,0,1)+IF(G201=W201,0,1)+IF(H201=X201,0,1)</x:f>
        <x:v>0</x:v>
      </x:c>
      <x:c r="O201" s="186" t="n">
        <x:f>IF(A201="",0,IF(E201="",B201,0))</x:f>
        <x:v>1182000</x:v>
      </x:c>
      <x:c r="P201" s="187"/>
      <x:c r="Q201" s="179" t="str">
        <x:v>SYN-LN-00194</x:v>
      </x:c>
      <x:c r="R201" s="179" t="n">
        <x:v>1182000</x:v>
      </x:c>
      <x:c r="S201" s="179" t="str">
        <x:v>B</x:v>
      </x:c>
      <x:c r="T201" s="179" t="str">
        <x:v>development_proxy</x:v>
      </x:c>
      <x:c r="U201" s="179" t="str"/>
      <x:c r="V201" s="179" t="n">
        <x:v>0.75</x:v>
      </x:c>
      <x:c r="W201" s="179" t="str">
        <x:v>development_assumption</x:v>
      </x:c>
      <x:c r="X20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02" ht="107" customHeight="1">
      <x:c r="A202" s="179" t="str">
        <x:v>SYN-LN-00195</x:v>
      </x:c>
      <x:c r="B202" s="180" t="n">
        <x:f>IF(A202="","",SUMIF('Portfolio Inputs'!A8:A289,A202,'Portfolio Inputs'!D8:D289))</x:f>
        <x:v>1182000</x:v>
      </x:c>
      <x:c r="C202" s="179" t="str">
        <x:v>B</x:v>
      </x:c>
      <x:c r="D202" s="181" t="str">
        <x:v>development_proxy</x:v>
      </x:c>
      <x:c r="E202" s="181" t="str"/>
      <x:c r="F202" s="182" t="n">
        <x:v>0.75</x:v>
      </x:c>
      <x:c r="G202" s="181" t="str">
        <x:v>development_assumption</x:v>
      </x:c>
      <x:c r="H20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02" s="183" t="n">
        <x:f>IF(AND(C202&lt;&gt;"",OR(D202="public_fitch_idr",D202="reviewed_appendix5_equivalent",D202="development_proxy"),H202&lt;&gt;""),VLOOKUP(C202,Fitch_WARF_Factors,2,FALSE),"")</x:f>
        <x:v>23.671</x:v>
      </x:c>
      <x:c r="J202" s="184" t="n">
        <x:f>IF(ISNUMBER(I202),B202*I202,0)</x:f>
        <x:v>27979122</x:v>
      </x:c>
      <x:c r="K202" s="184" t="n">
        <x:f>IF(AND(A202&lt;&gt;"",M202=0),B202*F202,0)</x:f>
        <x:v>886500</x:v>
      </x:c>
      <x:c r="L202" s="184" t="n">
        <x:f>IF(A202="",0,IF(ISNUMBER(I202),0,B202))</x:f>
        <x:v>0</x:v>
      </x:c>
      <x:c r="M202" s="185" t="n">
        <x:f>IF(A202="",0,IF(AND(ISNUMBER(F202),F202&gt;=0,F202&lt;=1,OR(G202="fitch_issue_recovery_estimate",G202="fitch_issue_recovery_rating",G202="reviewed_bbsf_fallback",G202="development_assumption"),H202&lt;&gt;""),0,B202))</x:f>
        <x:v>0</x:v>
      </x:c>
      <x:c r="N202" s="186" t="n">
        <x:f>IF(A202=Q202,0,1)+IF(B202=R202,0,1)+IF(C202=S202,0,1)+IF(D202=T202,0,1)+IF(E202=U202,0,1)+IF(F202=V202,0,1)+IF(G202=W202,0,1)+IF(H202=X202,0,1)</x:f>
        <x:v>0</x:v>
      </x:c>
      <x:c r="O202" s="186" t="n">
        <x:f>IF(A202="",0,IF(E202="",B202,0))</x:f>
        <x:v>1182000</x:v>
      </x:c>
      <x:c r="P202" s="187"/>
      <x:c r="Q202" s="179" t="str">
        <x:v>SYN-LN-00195</x:v>
      </x:c>
      <x:c r="R202" s="179" t="n">
        <x:v>1182000</x:v>
      </x:c>
      <x:c r="S202" s="179" t="str">
        <x:v>B</x:v>
      </x:c>
      <x:c r="T202" s="179" t="str">
        <x:v>development_proxy</x:v>
      </x:c>
      <x:c r="U202" s="179" t="str"/>
      <x:c r="V202" s="179" t="n">
        <x:v>0.75</x:v>
      </x:c>
      <x:c r="W202" s="179" t="str">
        <x:v>development_assumption</x:v>
      </x:c>
      <x:c r="X20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03" ht="107" customHeight="1">
      <x:c r="A203" s="179" t="str">
        <x:v>SYN-LN-00196</x:v>
      </x:c>
      <x:c r="B203" s="180" t="n">
        <x:f>IF(A203="","",SUMIF('Portfolio Inputs'!A8:A289,A203,'Portfolio Inputs'!D8:D289))</x:f>
        <x:v>660000</x:v>
      </x:c>
      <x:c r="C203" s="179" t="str">
        <x:v>B+</x:v>
      </x:c>
      <x:c r="D203" s="181" t="str">
        <x:v>development_proxy</x:v>
      </x:c>
      <x:c r="E203" s="181" t="str"/>
      <x:c r="F203" s="182" t="n">
        <x:v>0.75</x:v>
      </x:c>
      <x:c r="G203" s="181" t="str">
        <x:v>development_assumption</x:v>
      </x:c>
      <x:c r="H20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03" s="183" t="n">
        <x:f>IF(AND(C203&lt;&gt;"",OR(D203="public_fitch_idr",D203="reviewed_appendix5_equivalent",D203="development_proxy"),H203&lt;&gt;""),VLOOKUP(C203,Fitch_WARF_Factors,2,FALSE),"")</x:f>
        <x:v>19.627</x:v>
      </x:c>
      <x:c r="J203" s="184" t="n">
        <x:f>IF(ISNUMBER(I203),B203*I203,0)</x:f>
        <x:v>12953820</x:v>
      </x:c>
      <x:c r="K203" s="184" t="n">
        <x:f>IF(AND(A203&lt;&gt;"",M203=0),B203*F203,0)</x:f>
        <x:v>495000</x:v>
      </x:c>
      <x:c r="L203" s="184" t="n">
        <x:f>IF(A203="",0,IF(ISNUMBER(I203),0,B203))</x:f>
        <x:v>0</x:v>
      </x:c>
      <x:c r="M203" s="185" t="n">
        <x:f>IF(A203="",0,IF(AND(ISNUMBER(F203),F203&gt;=0,F203&lt;=1,OR(G203="fitch_issue_recovery_estimate",G203="fitch_issue_recovery_rating",G203="reviewed_bbsf_fallback",G203="development_assumption"),H203&lt;&gt;""),0,B203))</x:f>
        <x:v>0</x:v>
      </x:c>
      <x:c r="N203" s="186" t="n">
        <x:f>IF(A203=Q203,0,1)+IF(B203=R203,0,1)+IF(C203=S203,0,1)+IF(D203=T203,0,1)+IF(E203=U203,0,1)+IF(F203=V203,0,1)+IF(G203=W203,0,1)+IF(H203=X203,0,1)</x:f>
        <x:v>0</x:v>
      </x:c>
      <x:c r="O203" s="186" t="n">
        <x:f>IF(A203="",0,IF(E203="",B203,0))</x:f>
        <x:v>660000</x:v>
      </x:c>
      <x:c r="P203" s="187"/>
      <x:c r="Q203" s="179" t="str">
        <x:v>SYN-LN-00196</x:v>
      </x:c>
      <x:c r="R203" s="179" t="n">
        <x:v>660000</x:v>
      </x:c>
      <x:c r="S203" s="179" t="str">
        <x:v>B+</x:v>
      </x:c>
      <x:c r="T203" s="179" t="str">
        <x:v>development_proxy</x:v>
      </x:c>
      <x:c r="U203" s="179" t="str"/>
      <x:c r="V203" s="179" t="n">
        <x:v>0.75</x:v>
      </x:c>
      <x:c r="W203" s="179" t="str">
        <x:v>development_assumption</x:v>
      </x:c>
      <x:c r="X20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04" ht="107" customHeight="1">
      <x:c r="A204" s="179" t="str">
        <x:v>SYN-LN-00197</x:v>
      </x:c>
      <x:c r="B204" s="180" t="n">
        <x:f>IF(A204="","",SUMIF('Portfolio Inputs'!A8:A289,A204,'Portfolio Inputs'!D8:D289))</x:f>
        <x:v>522000</x:v>
      </x:c>
      <x:c r="C204" s="179" t="str">
        <x:v>B+</x:v>
      </x:c>
      <x:c r="D204" s="181" t="str">
        <x:v>development_proxy</x:v>
      </x:c>
      <x:c r="E204" s="181" t="str"/>
      <x:c r="F204" s="182" t="n">
        <x:v>0.75</x:v>
      </x:c>
      <x:c r="G204" s="181" t="str">
        <x:v>development_assumption</x:v>
      </x:c>
      <x:c r="H20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04" s="183" t="n">
        <x:f>IF(AND(C204&lt;&gt;"",OR(D204="public_fitch_idr",D204="reviewed_appendix5_equivalent",D204="development_proxy"),H204&lt;&gt;""),VLOOKUP(C204,Fitch_WARF_Factors,2,FALSE),"")</x:f>
        <x:v>19.627</x:v>
      </x:c>
      <x:c r="J204" s="184" t="n">
        <x:f>IF(ISNUMBER(I204),B204*I204,0)</x:f>
        <x:v>10245294</x:v>
      </x:c>
      <x:c r="K204" s="184" t="n">
        <x:f>IF(AND(A204&lt;&gt;"",M204=0),B204*F204,0)</x:f>
        <x:v>391500</x:v>
      </x:c>
      <x:c r="L204" s="184" t="n">
        <x:f>IF(A204="",0,IF(ISNUMBER(I204),0,B204))</x:f>
        <x:v>0</x:v>
      </x:c>
      <x:c r="M204" s="185" t="n">
        <x:f>IF(A204="",0,IF(AND(ISNUMBER(F204),F204&gt;=0,F204&lt;=1,OR(G204="fitch_issue_recovery_estimate",G204="fitch_issue_recovery_rating",G204="reviewed_bbsf_fallback",G204="development_assumption"),H204&lt;&gt;""),0,B204))</x:f>
        <x:v>0</x:v>
      </x:c>
      <x:c r="N204" s="186" t="n">
        <x:f>IF(A204=Q204,0,1)+IF(B204=R204,0,1)+IF(C204=S204,0,1)+IF(D204=T204,0,1)+IF(E204=U204,0,1)+IF(F204=V204,0,1)+IF(G204=W204,0,1)+IF(H204=X204,0,1)</x:f>
        <x:v>0</x:v>
      </x:c>
      <x:c r="O204" s="186" t="n">
        <x:f>IF(A204="",0,IF(E204="",B204,0))</x:f>
        <x:v>522000</x:v>
      </x:c>
      <x:c r="P204" s="187"/>
      <x:c r="Q204" s="179" t="str">
        <x:v>SYN-LN-00197</x:v>
      </x:c>
      <x:c r="R204" s="179" t="n">
        <x:v>522000</x:v>
      </x:c>
      <x:c r="S204" s="179" t="str">
        <x:v>B+</x:v>
      </x:c>
      <x:c r="T204" s="179" t="str">
        <x:v>development_proxy</x:v>
      </x:c>
      <x:c r="U204" s="179" t="str"/>
      <x:c r="V204" s="179" t="n">
        <x:v>0.75</x:v>
      </x:c>
      <x:c r="W204" s="179" t="str">
        <x:v>development_assumption</x:v>
      </x:c>
      <x:c r="X20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05" ht="107" customHeight="1">
      <x:c r="A205" s="179" t="str">
        <x:v>SYN-LN-00198</x:v>
      </x:c>
      <x:c r="B205" s="180" t="n">
        <x:f>IF(A205="","",SUMIF('Portfolio Inputs'!A8:A289,A205,'Portfolio Inputs'!D8:D289))</x:f>
        <x:v>1182000</x:v>
      </x:c>
      <x:c r="C205" s="179" t="str">
        <x:v>BB-</x:v>
      </x:c>
      <x:c r="D205" s="181" t="str">
        <x:v>development_proxy</x:v>
      </x:c>
      <x:c r="E205" s="181" t="str"/>
      <x:c r="F205" s="182" t="n">
        <x:v>0.75</x:v>
      </x:c>
      <x:c r="G205" s="181" t="str">
        <x:v>development_assumption</x:v>
      </x:c>
      <x:c r="H20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05" s="183" t="n">
        <x:f>IF(AND(C205&lt;&gt;"",OR(D205="public_fitch_idr",D205="reviewed_appendix5_equivalent",D205="development_proxy"),H205&lt;&gt;""),VLOOKUP(C205,Fitch_WARF_Factors,2,FALSE),"")</x:f>
        <x:v>15.733</x:v>
      </x:c>
      <x:c r="J205" s="184" t="n">
        <x:f>IF(ISNUMBER(I205),B205*I205,0)</x:f>
        <x:v>18596406</x:v>
      </x:c>
      <x:c r="K205" s="184" t="n">
        <x:f>IF(AND(A205&lt;&gt;"",M205=0),B205*F205,0)</x:f>
        <x:v>886500</x:v>
      </x:c>
      <x:c r="L205" s="184" t="n">
        <x:f>IF(A205="",0,IF(ISNUMBER(I205),0,B205))</x:f>
        <x:v>0</x:v>
      </x:c>
      <x:c r="M205" s="185" t="n">
        <x:f>IF(A205="",0,IF(AND(ISNUMBER(F205),F205&gt;=0,F205&lt;=1,OR(G205="fitch_issue_recovery_estimate",G205="fitch_issue_recovery_rating",G205="reviewed_bbsf_fallback",G205="development_assumption"),H205&lt;&gt;""),0,B205))</x:f>
        <x:v>0</x:v>
      </x:c>
      <x:c r="N205" s="186" t="n">
        <x:f>IF(A205=Q205,0,1)+IF(B205=R205,0,1)+IF(C205=S205,0,1)+IF(D205=T205,0,1)+IF(E205=U205,0,1)+IF(F205=V205,0,1)+IF(G205=W205,0,1)+IF(H205=X205,0,1)</x:f>
        <x:v>0</x:v>
      </x:c>
      <x:c r="O205" s="186" t="n">
        <x:f>IF(A205="",0,IF(E205="",B205,0))</x:f>
        <x:v>1182000</x:v>
      </x:c>
      <x:c r="P205" s="187"/>
      <x:c r="Q205" s="179" t="str">
        <x:v>SYN-LN-00198</x:v>
      </x:c>
      <x:c r="R205" s="179" t="n">
        <x:v>1182000</x:v>
      </x:c>
      <x:c r="S205" s="179" t="str">
        <x:v>BB-</x:v>
      </x:c>
      <x:c r="T205" s="179" t="str">
        <x:v>development_proxy</x:v>
      </x:c>
      <x:c r="U205" s="179" t="str"/>
      <x:c r="V205" s="179" t="n">
        <x:v>0.75</x:v>
      </x:c>
      <x:c r="W205" s="179" t="str">
        <x:v>development_assumption</x:v>
      </x:c>
      <x:c r="X20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06" ht="107" customHeight="1">
      <x:c r="A206" s="179" t="str">
        <x:v>SYN-LN-00199</x:v>
      </x:c>
      <x:c r="B206" s="180" t="n">
        <x:f>IF(A206="","",SUMIF('Portfolio Inputs'!A8:A289,A206,'Portfolio Inputs'!D8:D289))</x:f>
        <x:v>1182000</x:v>
      </x:c>
      <x:c r="C206" s="179" t="str">
        <x:v>B-</x:v>
      </x:c>
      <x:c r="D206" s="181" t="str">
        <x:v>development_proxy</x:v>
      </x:c>
      <x:c r="E206" s="181" t="str"/>
      <x:c r="F206" s="182" t="n">
        <x:v>0.75</x:v>
      </x:c>
      <x:c r="G206" s="181" t="str">
        <x:v>development_assumption</x:v>
      </x:c>
      <x:c r="H20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06" s="183" t="n">
        <x:f>IF(AND(C206&lt;&gt;"",OR(D206="public_fitch_idr",D206="reviewed_appendix5_equivalent",D206="development_proxy"),H206&lt;&gt;""),VLOOKUP(C206,Fitch_WARF_Factors,2,FALSE),"")</x:f>
        <x:v>32.221</x:v>
      </x:c>
      <x:c r="J206" s="184" t="n">
        <x:f>IF(ISNUMBER(I206),B206*I206,0)</x:f>
        <x:v>38085221.99999999</x:v>
      </x:c>
      <x:c r="K206" s="184" t="n">
        <x:f>IF(AND(A206&lt;&gt;"",M206=0),B206*F206,0)</x:f>
        <x:v>886500</x:v>
      </x:c>
      <x:c r="L206" s="184" t="n">
        <x:f>IF(A206="",0,IF(ISNUMBER(I206),0,B206))</x:f>
        <x:v>0</x:v>
      </x:c>
      <x:c r="M206" s="185" t="n">
        <x:f>IF(A206="",0,IF(AND(ISNUMBER(F206),F206&gt;=0,F206&lt;=1,OR(G206="fitch_issue_recovery_estimate",G206="fitch_issue_recovery_rating",G206="reviewed_bbsf_fallback",G206="development_assumption"),H206&lt;&gt;""),0,B206))</x:f>
        <x:v>0</x:v>
      </x:c>
      <x:c r="N206" s="186" t="n">
        <x:f>IF(A206=Q206,0,1)+IF(B206=R206,0,1)+IF(C206=S206,0,1)+IF(D206=T206,0,1)+IF(E206=U206,0,1)+IF(F206=V206,0,1)+IF(G206=W206,0,1)+IF(H206=X206,0,1)</x:f>
        <x:v>0</x:v>
      </x:c>
      <x:c r="O206" s="186" t="n">
        <x:f>IF(A206="",0,IF(E206="",B206,0))</x:f>
        <x:v>1182000</x:v>
      </x:c>
      <x:c r="P206" s="187"/>
      <x:c r="Q206" s="179" t="str">
        <x:v>SYN-LN-00199</x:v>
      </x:c>
      <x:c r="R206" s="179" t="n">
        <x:v>1182000</x:v>
      </x:c>
      <x:c r="S206" s="179" t="str">
        <x:v>B-</x:v>
      </x:c>
      <x:c r="T206" s="179" t="str">
        <x:v>development_proxy</x:v>
      </x:c>
      <x:c r="U206" s="179" t="str"/>
      <x:c r="V206" s="179" t="n">
        <x:v>0.75</x:v>
      </x:c>
      <x:c r="W206" s="179" t="str">
        <x:v>development_assumption</x:v>
      </x:c>
      <x:c r="X20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07" ht="107" customHeight="1">
      <x:c r="A207" s="179" t="str">
        <x:v>SYN-LN-00200</x:v>
      </x:c>
      <x:c r="B207" s="180" t="n">
        <x:f>IF(A207="","",SUMIF('Portfolio Inputs'!A8:A289,A207,'Portfolio Inputs'!D8:D289))</x:f>
        <x:v>1182000</x:v>
      </x:c>
      <x:c r="C207" s="179" t="str">
        <x:v>B+</x:v>
      </x:c>
      <x:c r="D207" s="181" t="str">
        <x:v>development_proxy</x:v>
      </x:c>
      <x:c r="E207" s="181" t="str"/>
      <x:c r="F207" s="182" t="n">
        <x:v>0.75</x:v>
      </x:c>
      <x:c r="G207" s="181" t="str">
        <x:v>development_assumption</x:v>
      </x:c>
      <x:c r="H20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07" s="183" t="n">
        <x:f>IF(AND(C207&lt;&gt;"",OR(D207="public_fitch_idr",D207="reviewed_appendix5_equivalent",D207="development_proxy"),H207&lt;&gt;""),VLOOKUP(C207,Fitch_WARF_Factors,2,FALSE),"")</x:f>
        <x:v>19.627</x:v>
      </x:c>
      <x:c r="J207" s="184" t="n">
        <x:f>IF(ISNUMBER(I207),B207*I207,0)</x:f>
        <x:v>23199114</x:v>
      </x:c>
      <x:c r="K207" s="184" t="n">
        <x:f>IF(AND(A207&lt;&gt;"",M207=0),B207*F207,0)</x:f>
        <x:v>886500</x:v>
      </x:c>
      <x:c r="L207" s="184" t="n">
        <x:f>IF(A207="",0,IF(ISNUMBER(I207),0,B207))</x:f>
        <x:v>0</x:v>
      </x:c>
      <x:c r="M207" s="185" t="n">
        <x:f>IF(A207="",0,IF(AND(ISNUMBER(F207),F207&gt;=0,F207&lt;=1,OR(G207="fitch_issue_recovery_estimate",G207="fitch_issue_recovery_rating",G207="reviewed_bbsf_fallback",G207="development_assumption"),H207&lt;&gt;""),0,B207))</x:f>
        <x:v>0</x:v>
      </x:c>
      <x:c r="N207" s="186" t="n">
        <x:f>IF(A207=Q207,0,1)+IF(B207=R207,0,1)+IF(C207=S207,0,1)+IF(D207=T207,0,1)+IF(E207=U207,0,1)+IF(F207=V207,0,1)+IF(G207=W207,0,1)+IF(H207=X207,0,1)</x:f>
        <x:v>0</x:v>
      </x:c>
      <x:c r="O207" s="186" t="n">
        <x:f>IF(A207="",0,IF(E207="",B207,0))</x:f>
        <x:v>1182000</x:v>
      </x:c>
      <x:c r="P207" s="187"/>
      <x:c r="Q207" s="179" t="str">
        <x:v>SYN-LN-00200</x:v>
      </x:c>
      <x:c r="R207" s="179" t="n">
        <x:v>1182000</x:v>
      </x:c>
      <x:c r="S207" s="179" t="str">
        <x:v>B+</x:v>
      </x:c>
      <x:c r="T207" s="179" t="str">
        <x:v>development_proxy</x:v>
      </x:c>
      <x:c r="U207" s="179" t="str"/>
      <x:c r="V207" s="179" t="n">
        <x:v>0.75</x:v>
      </x:c>
      <x:c r="W207" s="179" t="str">
        <x:v>development_assumption</x:v>
      </x:c>
      <x:c r="X20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08" ht="107" customHeight="1">
      <x:c r="A208" s="179" t="str">
        <x:v>SYN-LN-00201</x:v>
      </x:c>
      <x:c r="B208" s="180" t="n">
        <x:f>IF(A208="","",SUMIF('Portfolio Inputs'!A8:A289,A208,'Portfolio Inputs'!D8:D289))</x:f>
        <x:v>1182000</x:v>
      </x:c>
      <x:c r="C208" s="179" t="str">
        <x:v>B-</x:v>
      </x:c>
      <x:c r="D208" s="181" t="str">
        <x:v>development_proxy</x:v>
      </x:c>
      <x:c r="E208" s="181" t="str"/>
      <x:c r="F208" s="182" t="n">
        <x:v>0.75</x:v>
      </x:c>
      <x:c r="G208" s="181" t="str">
        <x:v>development_assumption</x:v>
      </x:c>
      <x:c r="H20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08" s="183" t="n">
        <x:f>IF(AND(C208&lt;&gt;"",OR(D208="public_fitch_idr",D208="reviewed_appendix5_equivalent",D208="development_proxy"),H208&lt;&gt;""),VLOOKUP(C208,Fitch_WARF_Factors,2,FALSE),"")</x:f>
        <x:v>32.221</x:v>
      </x:c>
      <x:c r="J208" s="184" t="n">
        <x:f>IF(ISNUMBER(I208),B208*I208,0)</x:f>
        <x:v>38085221.99999999</x:v>
      </x:c>
      <x:c r="K208" s="184" t="n">
        <x:f>IF(AND(A208&lt;&gt;"",M208=0),B208*F208,0)</x:f>
        <x:v>886500</x:v>
      </x:c>
      <x:c r="L208" s="184" t="n">
        <x:f>IF(A208="",0,IF(ISNUMBER(I208),0,B208))</x:f>
        <x:v>0</x:v>
      </x:c>
      <x:c r="M208" s="185" t="n">
        <x:f>IF(A208="",0,IF(AND(ISNUMBER(F208),F208&gt;=0,F208&lt;=1,OR(G208="fitch_issue_recovery_estimate",G208="fitch_issue_recovery_rating",G208="reviewed_bbsf_fallback",G208="development_assumption"),H208&lt;&gt;""),0,B208))</x:f>
        <x:v>0</x:v>
      </x:c>
      <x:c r="N208" s="186" t="n">
        <x:f>IF(A208=Q208,0,1)+IF(B208=R208,0,1)+IF(C208=S208,0,1)+IF(D208=T208,0,1)+IF(E208=U208,0,1)+IF(F208=V208,0,1)+IF(G208=W208,0,1)+IF(H208=X208,0,1)</x:f>
        <x:v>0</x:v>
      </x:c>
      <x:c r="O208" s="186" t="n">
        <x:f>IF(A208="",0,IF(E208="",B208,0))</x:f>
        <x:v>1182000</x:v>
      </x:c>
      <x:c r="P208" s="187"/>
      <x:c r="Q208" s="179" t="str">
        <x:v>SYN-LN-00201</x:v>
      </x:c>
      <x:c r="R208" s="179" t="n">
        <x:v>1182000</x:v>
      </x:c>
      <x:c r="S208" s="179" t="str">
        <x:v>B-</x:v>
      </x:c>
      <x:c r="T208" s="179" t="str">
        <x:v>development_proxy</x:v>
      </x:c>
      <x:c r="U208" s="179" t="str"/>
      <x:c r="V208" s="179" t="n">
        <x:v>0.75</x:v>
      </x:c>
      <x:c r="W208" s="179" t="str">
        <x:v>development_assumption</x:v>
      </x:c>
      <x:c r="X20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09" ht="107" customHeight="1">
      <x:c r="A209" s="179" t="str">
        <x:v>SYN-LN-00202</x:v>
      </x:c>
      <x:c r="B209" s="180" t="n">
        <x:f>IF(A209="","",SUMIF('Portfolio Inputs'!A8:A289,A209,'Portfolio Inputs'!D8:D289))</x:f>
        <x:v>1182000</x:v>
      </x:c>
      <x:c r="C209" s="179" t="str">
        <x:v>BB-</x:v>
      </x:c>
      <x:c r="D209" s="181" t="str">
        <x:v>development_proxy</x:v>
      </x:c>
      <x:c r="E209" s="181" t="str"/>
      <x:c r="F209" s="182" t="n">
        <x:v>0.75</x:v>
      </x:c>
      <x:c r="G209" s="181" t="str">
        <x:v>development_assumption</x:v>
      </x:c>
      <x:c r="H20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09" s="183" t="n">
        <x:f>IF(AND(C209&lt;&gt;"",OR(D209="public_fitch_idr",D209="reviewed_appendix5_equivalent",D209="development_proxy"),H209&lt;&gt;""),VLOOKUP(C209,Fitch_WARF_Factors,2,FALSE),"")</x:f>
        <x:v>15.733</x:v>
      </x:c>
      <x:c r="J209" s="184" t="n">
        <x:f>IF(ISNUMBER(I209),B209*I209,0)</x:f>
        <x:v>18596406</x:v>
      </x:c>
      <x:c r="K209" s="184" t="n">
        <x:f>IF(AND(A209&lt;&gt;"",M209=0),B209*F209,0)</x:f>
        <x:v>886500</x:v>
      </x:c>
      <x:c r="L209" s="184" t="n">
        <x:f>IF(A209="",0,IF(ISNUMBER(I209),0,B209))</x:f>
        <x:v>0</x:v>
      </x:c>
      <x:c r="M209" s="185" t="n">
        <x:f>IF(A209="",0,IF(AND(ISNUMBER(F209),F209&gt;=0,F209&lt;=1,OR(G209="fitch_issue_recovery_estimate",G209="fitch_issue_recovery_rating",G209="reviewed_bbsf_fallback",G209="development_assumption"),H209&lt;&gt;""),0,B209))</x:f>
        <x:v>0</x:v>
      </x:c>
      <x:c r="N209" s="186" t="n">
        <x:f>IF(A209=Q209,0,1)+IF(B209=R209,0,1)+IF(C209=S209,0,1)+IF(D209=T209,0,1)+IF(E209=U209,0,1)+IF(F209=V209,0,1)+IF(G209=W209,0,1)+IF(H209=X209,0,1)</x:f>
        <x:v>0</x:v>
      </x:c>
      <x:c r="O209" s="186" t="n">
        <x:f>IF(A209="",0,IF(E209="",B209,0))</x:f>
        <x:v>1182000</x:v>
      </x:c>
      <x:c r="P209" s="187"/>
      <x:c r="Q209" s="179" t="str">
        <x:v>SYN-LN-00202</x:v>
      </x:c>
      <x:c r="R209" s="179" t="n">
        <x:v>1182000</x:v>
      </x:c>
      <x:c r="S209" s="179" t="str">
        <x:v>BB-</x:v>
      </x:c>
      <x:c r="T209" s="179" t="str">
        <x:v>development_proxy</x:v>
      </x:c>
      <x:c r="U209" s="179" t="str"/>
      <x:c r="V209" s="179" t="n">
        <x:v>0.75</x:v>
      </x:c>
      <x:c r="W209" s="179" t="str">
        <x:v>development_assumption</x:v>
      </x:c>
      <x:c r="X20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10" ht="107" customHeight="1">
      <x:c r="A210" s="179" t="str">
        <x:v>SYN-LN-00203</x:v>
      </x:c>
      <x:c r="B210" s="180" t="n">
        <x:f>IF(A210="","",SUMIF('Portfolio Inputs'!A8:A289,A210,'Portfolio Inputs'!D8:D289))</x:f>
        <x:v>1182000</x:v>
      </x:c>
      <x:c r="C210" s="179" t="str">
        <x:v>B-</x:v>
      </x:c>
      <x:c r="D210" s="181" t="str">
        <x:v>development_proxy</x:v>
      </x:c>
      <x:c r="E210" s="181" t="str"/>
      <x:c r="F210" s="182" t="n">
        <x:v>0.75</x:v>
      </x:c>
      <x:c r="G210" s="181" t="str">
        <x:v>development_assumption</x:v>
      </x:c>
      <x:c r="H21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10" s="183" t="n">
        <x:f>IF(AND(C210&lt;&gt;"",OR(D210="public_fitch_idr",D210="reviewed_appendix5_equivalent",D210="development_proxy"),H210&lt;&gt;""),VLOOKUP(C210,Fitch_WARF_Factors,2,FALSE),"")</x:f>
        <x:v>32.221</x:v>
      </x:c>
      <x:c r="J210" s="184" t="n">
        <x:f>IF(ISNUMBER(I210),B210*I210,0)</x:f>
        <x:v>38085221.99999999</x:v>
      </x:c>
      <x:c r="K210" s="184" t="n">
        <x:f>IF(AND(A210&lt;&gt;"",M210=0),B210*F210,0)</x:f>
        <x:v>886500</x:v>
      </x:c>
      <x:c r="L210" s="184" t="n">
        <x:f>IF(A210="",0,IF(ISNUMBER(I210),0,B210))</x:f>
        <x:v>0</x:v>
      </x:c>
      <x:c r="M210" s="185" t="n">
        <x:f>IF(A210="",0,IF(AND(ISNUMBER(F210),F210&gt;=0,F210&lt;=1,OR(G210="fitch_issue_recovery_estimate",G210="fitch_issue_recovery_rating",G210="reviewed_bbsf_fallback",G210="development_assumption"),H210&lt;&gt;""),0,B210))</x:f>
        <x:v>0</x:v>
      </x:c>
      <x:c r="N210" s="186" t="n">
        <x:f>IF(A210=Q210,0,1)+IF(B210=R210,0,1)+IF(C210=S210,0,1)+IF(D210=T210,0,1)+IF(E210=U210,0,1)+IF(F210=V210,0,1)+IF(G210=W210,0,1)+IF(H210=X210,0,1)</x:f>
        <x:v>0</x:v>
      </x:c>
      <x:c r="O210" s="186" t="n">
        <x:f>IF(A210="",0,IF(E210="",B210,0))</x:f>
        <x:v>1182000</x:v>
      </x:c>
      <x:c r="P210" s="187"/>
      <x:c r="Q210" s="179" t="str">
        <x:v>SYN-LN-00203</x:v>
      </x:c>
      <x:c r="R210" s="179" t="n">
        <x:v>1182000</x:v>
      </x:c>
      <x:c r="S210" s="179" t="str">
        <x:v>B-</x:v>
      </x:c>
      <x:c r="T210" s="179" t="str">
        <x:v>development_proxy</x:v>
      </x:c>
      <x:c r="U210" s="179" t="str"/>
      <x:c r="V210" s="179" t="n">
        <x:v>0.75</x:v>
      </x:c>
      <x:c r="W210" s="179" t="str">
        <x:v>development_assumption</x:v>
      </x:c>
      <x:c r="X21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11" ht="107" customHeight="1">
      <x:c r="A211" s="179" t="str">
        <x:v>SYN-LN-00204</x:v>
      </x:c>
      <x:c r="B211" s="180" t="n">
        <x:f>IF(A211="","",SUMIF('Portfolio Inputs'!A8:A289,A211,'Portfolio Inputs'!D8:D289))</x:f>
        <x:v>1182000</x:v>
      </x:c>
      <x:c r="C211" s="179" t="str">
        <x:v>B-</x:v>
      </x:c>
      <x:c r="D211" s="181" t="str">
        <x:v>development_proxy</x:v>
      </x:c>
      <x:c r="E211" s="181" t="str"/>
      <x:c r="F211" s="182" t="n">
        <x:v>0.75</x:v>
      </x:c>
      <x:c r="G211" s="181" t="str">
        <x:v>development_assumption</x:v>
      </x:c>
      <x:c r="H21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11" s="183" t="n">
        <x:f>IF(AND(C211&lt;&gt;"",OR(D211="public_fitch_idr",D211="reviewed_appendix5_equivalent",D211="development_proxy"),H211&lt;&gt;""),VLOOKUP(C211,Fitch_WARF_Factors,2,FALSE),"")</x:f>
        <x:v>32.221</x:v>
      </x:c>
      <x:c r="J211" s="184" t="n">
        <x:f>IF(ISNUMBER(I211),B211*I211,0)</x:f>
        <x:v>38085221.99999999</x:v>
      </x:c>
      <x:c r="K211" s="184" t="n">
        <x:f>IF(AND(A211&lt;&gt;"",M211=0),B211*F211,0)</x:f>
        <x:v>886500</x:v>
      </x:c>
      <x:c r="L211" s="184" t="n">
        <x:f>IF(A211="",0,IF(ISNUMBER(I211),0,B211))</x:f>
        <x:v>0</x:v>
      </x:c>
      <x:c r="M211" s="185" t="n">
        <x:f>IF(A211="",0,IF(AND(ISNUMBER(F211),F211&gt;=0,F211&lt;=1,OR(G211="fitch_issue_recovery_estimate",G211="fitch_issue_recovery_rating",G211="reviewed_bbsf_fallback",G211="development_assumption"),H211&lt;&gt;""),0,B211))</x:f>
        <x:v>0</x:v>
      </x:c>
      <x:c r="N211" s="186" t="n">
        <x:f>IF(A211=Q211,0,1)+IF(B211=R211,0,1)+IF(C211=S211,0,1)+IF(D211=T211,0,1)+IF(E211=U211,0,1)+IF(F211=V211,0,1)+IF(G211=W211,0,1)+IF(H211=X211,0,1)</x:f>
        <x:v>0</x:v>
      </x:c>
      <x:c r="O211" s="186" t="n">
        <x:f>IF(A211="",0,IF(E211="",B211,0))</x:f>
        <x:v>1182000</x:v>
      </x:c>
      <x:c r="P211" s="187"/>
      <x:c r="Q211" s="179" t="str">
        <x:v>SYN-LN-00204</x:v>
      </x:c>
      <x:c r="R211" s="179" t="n">
        <x:v>1182000</x:v>
      </x:c>
      <x:c r="S211" s="179" t="str">
        <x:v>B-</x:v>
      </x:c>
      <x:c r="T211" s="179" t="str">
        <x:v>development_proxy</x:v>
      </x:c>
      <x:c r="U211" s="179" t="str"/>
      <x:c r="V211" s="179" t="n">
        <x:v>0.75</x:v>
      </x:c>
      <x:c r="W211" s="179" t="str">
        <x:v>development_assumption</x:v>
      </x:c>
      <x:c r="X21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12" ht="107" customHeight="1">
      <x:c r="A212" s="179" t="str">
        <x:v>SYN-LN-00205</x:v>
      </x:c>
      <x:c r="B212" s="180" t="n">
        <x:f>IF(A212="","",SUMIF('Portfolio Inputs'!A8:A289,A212,'Portfolio Inputs'!D8:D289))</x:f>
        <x:v>1182000</x:v>
      </x:c>
      <x:c r="C212" s="179" t="str">
        <x:v>B</x:v>
      </x:c>
      <x:c r="D212" s="181" t="str">
        <x:v>development_proxy</x:v>
      </x:c>
      <x:c r="E212" s="181" t="str"/>
      <x:c r="F212" s="182" t="n">
        <x:v>0.75</x:v>
      </x:c>
      <x:c r="G212" s="181" t="str">
        <x:v>development_assumption</x:v>
      </x:c>
      <x:c r="H21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12" s="183" t="n">
        <x:f>IF(AND(C212&lt;&gt;"",OR(D212="public_fitch_idr",D212="reviewed_appendix5_equivalent",D212="development_proxy"),H212&lt;&gt;""),VLOOKUP(C212,Fitch_WARF_Factors,2,FALSE),"")</x:f>
        <x:v>23.671</x:v>
      </x:c>
      <x:c r="J212" s="184" t="n">
        <x:f>IF(ISNUMBER(I212),B212*I212,0)</x:f>
        <x:v>27979122</x:v>
      </x:c>
      <x:c r="K212" s="184" t="n">
        <x:f>IF(AND(A212&lt;&gt;"",M212=0),B212*F212,0)</x:f>
        <x:v>886500</x:v>
      </x:c>
      <x:c r="L212" s="184" t="n">
        <x:f>IF(A212="",0,IF(ISNUMBER(I212),0,B212))</x:f>
        <x:v>0</x:v>
      </x:c>
      <x:c r="M212" s="185" t="n">
        <x:f>IF(A212="",0,IF(AND(ISNUMBER(F212),F212&gt;=0,F212&lt;=1,OR(G212="fitch_issue_recovery_estimate",G212="fitch_issue_recovery_rating",G212="reviewed_bbsf_fallback",G212="development_assumption"),H212&lt;&gt;""),0,B212))</x:f>
        <x:v>0</x:v>
      </x:c>
      <x:c r="N212" s="186" t="n">
        <x:f>IF(A212=Q212,0,1)+IF(B212=R212,0,1)+IF(C212=S212,0,1)+IF(D212=T212,0,1)+IF(E212=U212,0,1)+IF(F212=V212,0,1)+IF(G212=W212,0,1)+IF(H212=X212,0,1)</x:f>
        <x:v>0</x:v>
      </x:c>
      <x:c r="O212" s="186" t="n">
        <x:f>IF(A212="",0,IF(E212="",B212,0))</x:f>
        <x:v>1182000</x:v>
      </x:c>
      <x:c r="P212" s="187"/>
      <x:c r="Q212" s="179" t="str">
        <x:v>SYN-LN-00205</x:v>
      </x:c>
      <x:c r="R212" s="179" t="n">
        <x:v>1182000</x:v>
      </x:c>
      <x:c r="S212" s="179" t="str">
        <x:v>B</x:v>
      </x:c>
      <x:c r="T212" s="179" t="str">
        <x:v>development_proxy</x:v>
      </x:c>
      <x:c r="U212" s="179" t="str"/>
      <x:c r="V212" s="179" t="n">
        <x:v>0.75</x:v>
      </x:c>
      <x:c r="W212" s="179" t="str">
        <x:v>development_assumption</x:v>
      </x:c>
      <x:c r="X21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13" ht="107" customHeight="1">
      <x:c r="A213" s="179" t="str">
        <x:v>SYN-LN-00206</x:v>
      </x:c>
      <x:c r="B213" s="180" t="n">
        <x:f>IF(A213="","",SUMIF('Portfolio Inputs'!A8:A289,A213,'Portfolio Inputs'!D8:D289))</x:f>
        <x:v>1182000</x:v>
      </x:c>
      <x:c r="C213" s="179" t="str">
        <x:v>B-</x:v>
      </x:c>
      <x:c r="D213" s="181" t="str">
        <x:v>development_proxy</x:v>
      </x:c>
      <x:c r="E213" s="181" t="str"/>
      <x:c r="F213" s="182" t="n">
        <x:v>0.75</x:v>
      </x:c>
      <x:c r="G213" s="181" t="str">
        <x:v>development_assumption</x:v>
      </x:c>
      <x:c r="H21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13" s="183" t="n">
        <x:f>IF(AND(C213&lt;&gt;"",OR(D213="public_fitch_idr",D213="reviewed_appendix5_equivalent",D213="development_proxy"),H213&lt;&gt;""),VLOOKUP(C213,Fitch_WARF_Factors,2,FALSE),"")</x:f>
        <x:v>32.221</x:v>
      </x:c>
      <x:c r="J213" s="184" t="n">
        <x:f>IF(ISNUMBER(I213),B213*I213,0)</x:f>
        <x:v>38085221.99999999</x:v>
      </x:c>
      <x:c r="K213" s="184" t="n">
        <x:f>IF(AND(A213&lt;&gt;"",M213=0),B213*F213,0)</x:f>
        <x:v>886500</x:v>
      </x:c>
      <x:c r="L213" s="184" t="n">
        <x:f>IF(A213="",0,IF(ISNUMBER(I213),0,B213))</x:f>
        <x:v>0</x:v>
      </x:c>
      <x:c r="M213" s="185" t="n">
        <x:f>IF(A213="",0,IF(AND(ISNUMBER(F213),F213&gt;=0,F213&lt;=1,OR(G213="fitch_issue_recovery_estimate",G213="fitch_issue_recovery_rating",G213="reviewed_bbsf_fallback",G213="development_assumption"),H213&lt;&gt;""),0,B213))</x:f>
        <x:v>0</x:v>
      </x:c>
      <x:c r="N213" s="186" t="n">
        <x:f>IF(A213=Q213,0,1)+IF(B213=R213,0,1)+IF(C213=S213,0,1)+IF(D213=T213,0,1)+IF(E213=U213,0,1)+IF(F213=V213,0,1)+IF(G213=W213,0,1)+IF(H213=X213,0,1)</x:f>
        <x:v>0</x:v>
      </x:c>
      <x:c r="O213" s="186" t="n">
        <x:f>IF(A213="",0,IF(E213="",B213,0))</x:f>
        <x:v>1182000</x:v>
      </x:c>
      <x:c r="P213" s="187"/>
      <x:c r="Q213" s="179" t="str">
        <x:v>SYN-LN-00206</x:v>
      </x:c>
      <x:c r="R213" s="179" t="n">
        <x:v>1182000</x:v>
      </x:c>
      <x:c r="S213" s="179" t="str">
        <x:v>B-</x:v>
      </x:c>
      <x:c r="T213" s="179" t="str">
        <x:v>development_proxy</x:v>
      </x:c>
      <x:c r="U213" s="179" t="str"/>
      <x:c r="V213" s="179" t="n">
        <x:v>0.75</x:v>
      </x:c>
      <x:c r="W213" s="179" t="str">
        <x:v>development_assumption</x:v>
      </x:c>
      <x:c r="X21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14" ht="107" customHeight="1">
      <x:c r="A214" s="179" t="str">
        <x:v>SYN-LN-00207</x:v>
      </x:c>
      <x:c r="B214" s="180" t="n">
        <x:f>IF(A214="","",SUMIF('Portfolio Inputs'!A8:A289,A214,'Portfolio Inputs'!D8:D289))</x:f>
        <x:v>1182000</x:v>
      </x:c>
      <x:c r="C214" s="179" t="str">
        <x:v>BB</x:v>
      </x:c>
      <x:c r="D214" s="181" t="str">
        <x:v>development_proxy</x:v>
      </x:c>
      <x:c r="E214" s="181" t="str"/>
      <x:c r="F214" s="182" t="n">
        <x:v>0.75</x:v>
      </x:c>
      <x:c r="G214" s="181" t="str">
        <x:v>development_assumption</x:v>
      </x:c>
      <x:c r="H21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14" s="183" t="n">
        <x:f>IF(AND(C214&lt;&gt;"",OR(D214="public_fitch_idr",D214="reviewed_appendix5_equivalent",D214="development_proxy"),H214&lt;&gt;""),VLOOKUP(C214,Fitch_WARF_Factors,2,FALSE),"")</x:f>
        <x:v>11.844</x:v>
      </x:c>
      <x:c r="J214" s="184" t="n">
        <x:f>IF(ISNUMBER(I214),B214*I214,0)</x:f>
        <x:v>13999608</x:v>
      </x:c>
      <x:c r="K214" s="184" t="n">
        <x:f>IF(AND(A214&lt;&gt;"",M214=0),B214*F214,0)</x:f>
        <x:v>886500</x:v>
      </x:c>
      <x:c r="L214" s="184" t="n">
        <x:f>IF(A214="",0,IF(ISNUMBER(I214),0,B214))</x:f>
        <x:v>0</x:v>
      </x:c>
      <x:c r="M214" s="185" t="n">
        <x:f>IF(A214="",0,IF(AND(ISNUMBER(F214),F214&gt;=0,F214&lt;=1,OR(G214="fitch_issue_recovery_estimate",G214="fitch_issue_recovery_rating",G214="reviewed_bbsf_fallback",G214="development_assumption"),H214&lt;&gt;""),0,B214))</x:f>
        <x:v>0</x:v>
      </x:c>
      <x:c r="N214" s="186" t="n">
        <x:f>IF(A214=Q214,0,1)+IF(B214=R214,0,1)+IF(C214=S214,0,1)+IF(D214=T214,0,1)+IF(E214=U214,0,1)+IF(F214=V214,0,1)+IF(G214=W214,0,1)+IF(H214=X214,0,1)</x:f>
        <x:v>0</x:v>
      </x:c>
      <x:c r="O214" s="186" t="n">
        <x:f>IF(A214="",0,IF(E214="",B214,0))</x:f>
        <x:v>1182000</x:v>
      </x:c>
      <x:c r="P214" s="187"/>
      <x:c r="Q214" s="179" t="str">
        <x:v>SYN-LN-00207</x:v>
      </x:c>
      <x:c r="R214" s="179" t="n">
        <x:v>1182000</x:v>
      </x:c>
      <x:c r="S214" s="179" t="str">
        <x:v>BB</x:v>
      </x:c>
      <x:c r="T214" s="179" t="str">
        <x:v>development_proxy</x:v>
      </x:c>
      <x:c r="U214" s="179" t="str"/>
      <x:c r="V214" s="179" t="n">
        <x:v>0.75</x:v>
      </x:c>
      <x:c r="W214" s="179" t="str">
        <x:v>development_assumption</x:v>
      </x:c>
      <x:c r="X21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15" ht="107" customHeight="1">
      <x:c r="A215" s="179" t="str">
        <x:v>SYN-LN-00208</x:v>
      </x:c>
      <x:c r="B215" s="180" t="n">
        <x:f>IF(A215="","",SUMIF('Portfolio Inputs'!A8:A289,A215,'Portfolio Inputs'!D8:D289))</x:f>
        <x:v>630000</x:v>
      </x:c>
      <x:c r="C215" s="179" t="str">
        <x:v>B</x:v>
      </x:c>
      <x:c r="D215" s="181" t="str">
        <x:v>development_proxy</x:v>
      </x:c>
      <x:c r="E215" s="181" t="str"/>
      <x:c r="F215" s="182"/>
      <x:c r="G215" s="181" t="str"/>
      <x:c r="H215" s="181" t="str">
        <x:v>FICTIONAL DEVELOPMENT: copied S&amp;P symbol as Fitch IDR-equivalency proxy; no Fitch rating or Appendix 5 review.</x:v>
      </x:c>
      <x:c r="I215" s="183" t="n">
        <x:f>IF(AND(C215&lt;&gt;"",OR(D215="public_fitch_idr",D215="reviewed_appendix5_equivalent",D215="development_proxy"),H215&lt;&gt;""),VLOOKUP(C215,Fitch_WARF_Factors,2,FALSE),"")</x:f>
        <x:v>23.671</x:v>
      </x:c>
      <x:c r="J215" s="184" t="n">
        <x:f>IF(ISNUMBER(I215),B215*I215,0)</x:f>
        <x:v>14912730</x:v>
      </x:c>
      <x:c r="K215" s="184" t="n">
        <x:f>IF(AND(A215&lt;&gt;"",M215=0),B215*F215,0)</x:f>
        <x:v>0</x:v>
      </x:c>
      <x:c r="L215" s="184" t="n">
        <x:f>IF(A215="",0,IF(ISNUMBER(I215),0,B215))</x:f>
        <x:v>0</x:v>
      </x:c>
      <x:c r="M215" s="185" t="n">
        <x:f>IF(A215="",0,IF(AND(ISNUMBER(F215),F215&gt;=0,F215&lt;=1,OR(G215="fitch_issue_recovery_estimate",G215="fitch_issue_recovery_rating",G215="reviewed_bbsf_fallback",G215="development_assumption"),H215&lt;&gt;""),0,B215))</x:f>
        <x:v>630000</x:v>
      </x:c>
      <x:c r="N215" s="186" t="n">
        <x:f>IF(A215=Q215,0,1)+IF(B215=R215,0,1)+IF(C215=S215,0,1)+IF(D215=T215,0,1)+IF(E215=U215,0,1)+IF(F215=V215,0,1)+IF(G215=W215,0,1)+IF(H215=X215,0,1)</x:f>
        <x:v>0</x:v>
      </x:c>
      <x:c r="O215" s="186" t="n">
        <x:f>IF(A215="",0,IF(E215="",B215,0))</x:f>
        <x:v>630000</x:v>
      </x:c>
      <x:c r="P215" s="187"/>
      <x:c r="Q215" s="179" t="str">
        <x:v>SYN-LN-00208</x:v>
      </x:c>
      <x:c r="R215" s="179" t="n">
        <x:v>630000</x:v>
      </x:c>
      <x:c r="S215" s="179" t="str">
        <x:v>B</x:v>
      </x:c>
      <x:c r="T215" s="179" t="str">
        <x:v>development_proxy</x:v>
      </x:c>
      <x:c r="U215" s="179" t="str"/>
      <x:c r="V215" s="179"/>
      <x:c r="W215" s="179" t="str"/>
      <x:c r="X215" s="179" t="str">
        <x:v>FICTIONAL DEVELOPMENT: copied S&amp;P symbol as Fitch IDR-equivalency proxy; no Fitch rating or Appendix 5 review.</x:v>
      </x:c>
    </x:row>
    <x:row r="216" ht="107" customHeight="1">
      <x:c r="A216" s="179" t="str">
        <x:v>SYN-LN-00209</x:v>
      </x:c>
      <x:c r="B216" s="180" t="n">
        <x:f>IF(A216="","",SUMIF('Portfolio Inputs'!A8:A289,A216,'Portfolio Inputs'!D8:D289))</x:f>
        <x:v>1182000</x:v>
      </x:c>
      <x:c r="C216" s="179" t="str">
        <x:v>B</x:v>
      </x:c>
      <x:c r="D216" s="181" t="str">
        <x:v>development_proxy</x:v>
      </x:c>
      <x:c r="E216" s="181" t="str"/>
      <x:c r="F216" s="182" t="n">
        <x:v>0.75</x:v>
      </x:c>
      <x:c r="G216" s="181" t="str">
        <x:v>development_assumption</x:v>
      </x:c>
      <x:c r="H21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16" s="183" t="n">
        <x:f>IF(AND(C216&lt;&gt;"",OR(D216="public_fitch_idr",D216="reviewed_appendix5_equivalent",D216="development_proxy"),H216&lt;&gt;""),VLOOKUP(C216,Fitch_WARF_Factors,2,FALSE),"")</x:f>
        <x:v>23.671</x:v>
      </x:c>
      <x:c r="J216" s="184" t="n">
        <x:f>IF(ISNUMBER(I216),B216*I216,0)</x:f>
        <x:v>27979122</x:v>
      </x:c>
      <x:c r="K216" s="184" t="n">
        <x:f>IF(AND(A216&lt;&gt;"",M216=0),B216*F216,0)</x:f>
        <x:v>886500</x:v>
      </x:c>
      <x:c r="L216" s="184" t="n">
        <x:f>IF(A216="",0,IF(ISNUMBER(I216),0,B216))</x:f>
        <x:v>0</x:v>
      </x:c>
      <x:c r="M216" s="185" t="n">
        <x:f>IF(A216="",0,IF(AND(ISNUMBER(F216),F216&gt;=0,F216&lt;=1,OR(G216="fitch_issue_recovery_estimate",G216="fitch_issue_recovery_rating",G216="reviewed_bbsf_fallback",G216="development_assumption"),H216&lt;&gt;""),0,B216))</x:f>
        <x:v>0</x:v>
      </x:c>
      <x:c r="N216" s="186" t="n">
        <x:f>IF(A216=Q216,0,1)+IF(B216=R216,0,1)+IF(C216=S216,0,1)+IF(D216=T216,0,1)+IF(E216=U216,0,1)+IF(F216=V216,0,1)+IF(G216=W216,0,1)+IF(H216=X216,0,1)</x:f>
        <x:v>0</x:v>
      </x:c>
      <x:c r="O216" s="186" t="n">
        <x:f>IF(A216="",0,IF(E216="",B216,0))</x:f>
        <x:v>1182000</x:v>
      </x:c>
      <x:c r="P216" s="187"/>
      <x:c r="Q216" s="179" t="str">
        <x:v>SYN-LN-00209</x:v>
      </x:c>
      <x:c r="R216" s="179" t="n">
        <x:v>1182000</x:v>
      </x:c>
      <x:c r="S216" s="179" t="str">
        <x:v>B</x:v>
      </x:c>
      <x:c r="T216" s="179" t="str">
        <x:v>development_proxy</x:v>
      </x:c>
      <x:c r="U216" s="179" t="str"/>
      <x:c r="V216" s="179" t="n">
        <x:v>0.75</x:v>
      </x:c>
      <x:c r="W216" s="179" t="str">
        <x:v>development_assumption</x:v>
      </x:c>
      <x:c r="X21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17" ht="107" customHeight="1">
      <x:c r="A217" s="179" t="str">
        <x:v>SYN-LN-00210</x:v>
      </x:c>
      <x:c r="B217" s="180" t="n">
        <x:f>IF(A217="","",SUMIF('Portfolio Inputs'!A8:A289,A217,'Portfolio Inputs'!D8:D289))</x:f>
        <x:v>630000</x:v>
      </x:c>
      <x:c r="C217" s="179" t="str">
        <x:v>BB</x:v>
      </x:c>
      <x:c r="D217" s="181" t="str">
        <x:v>development_proxy</x:v>
      </x:c>
      <x:c r="E217" s="181" t="str"/>
      <x:c r="F217" s="182" t="n">
        <x:v>0.75</x:v>
      </x:c>
      <x:c r="G217" s="181" t="str">
        <x:v>development_assumption</x:v>
      </x:c>
      <x:c r="H217" s="181" t="str">
        <x:v>FICTIONAL DEVELOPMENT: copied S&amp;P symbol as Fitch IDR-equivalency proxy; no Fitch rating or Appendix 5 review. Assumed first-lien facility is senior secured loan with no issue recovery opinion; Canada Group 1; Fitch June 1 2026 Appendix 4 pp42-43 and Appendix 6 pp47-48 BBsf Strong fallback.</x:v>
      </x:c>
      <x:c r="I217" s="183" t="n">
        <x:f>IF(AND(C217&lt;&gt;"",OR(D217="public_fitch_idr",D217="reviewed_appendix5_equivalent",D217="development_proxy"),H217&lt;&gt;""),VLOOKUP(C217,Fitch_WARF_Factors,2,FALSE),"")</x:f>
        <x:v>11.844</x:v>
      </x:c>
      <x:c r="J217" s="184" t="n">
        <x:f>IF(ISNUMBER(I217),B217*I217,0)</x:f>
        <x:v>7461720</x:v>
      </x:c>
      <x:c r="K217" s="184" t="n">
        <x:f>IF(AND(A217&lt;&gt;"",M217=0),B217*F217,0)</x:f>
        <x:v>472500</x:v>
      </x:c>
      <x:c r="L217" s="184" t="n">
        <x:f>IF(A217="",0,IF(ISNUMBER(I217),0,B217))</x:f>
        <x:v>0</x:v>
      </x:c>
      <x:c r="M217" s="185" t="n">
        <x:f>IF(A217="",0,IF(AND(ISNUMBER(F217),F217&gt;=0,F217&lt;=1,OR(G217="fitch_issue_recovery_estimate",G217="fitch_issue_recovery_rating",G217="reviewed_bbsf_fallback",G217="development_assumption"),H217&lt;&gt;""),0,B217))</x:f>
        <x:v>0</x:v>
      </x:c>
      <x:c r="N217" s="186" t="n">
        <x:f>IF(A217=Q217,0,1)+IF(B217=R217,0,1)+IF(C217=S217,0,1)+IF(D217=T217,0,1)+IF(E217=U217,0,1)+IF(F217=V217,0,1)+IF(G217=W217,0,1)+IF(H217=X217,0,1)</x:f>
        <x:v>0</x:v>
      </x:c>
      <x:c r="O217" s="186" t="n">
        <x:f>IF(A217="",0,IF(E217="",B217,0))</x:f>
        <x:v>630000</x:v>
      </x:c>
      <x:c r="P217" s="187"/>
      <x:c r="Q217" s="179" t="str">
        <x:v>SYN-LN-00210</x:v>
      </x:c>
      <x:c r="R217" s="179" t="n">
        <x:v>630000</x:v>
      </x:c>
      <x:c r="S217" s="179" t="str">
        <x:v>BB</x:v>
      </x:c>
      <x:c r="T217" s="179" t="str">
        <x:v>development_proxy</x:v>
      </x:c>
      <x:c r="U217" s="179" t="str"/>
      <x:c r="V217" s="179" t="n">
        <x:v>0.75</x:v>
      </x:c>
      <x:c r="W217" s="179" t="str">
        <x:v>development_assumption</x:v>
      </x:c>
      <x:c r="X217" s="179" t="str">
        <x:v>FICTIONAL DEVELOPMENT: copied S&amp;P symbol as Fitch IDR-equivalency proxy; no Fitch rating or Appendix 5 review. Assumed first-lien facility is senior secured loan with no issue recovery opinion; Canada Group 1; Fitch June 1 2026 Appendix 4 pp42-43 and Appendix 6 pp47-48 BBsf Strong fallback.</x:v>
      </x:c>
    </x:row>
    <x:row r="218" ht="107" customHeight="1">
      <x:c r="A218" s="179" t="str">
        <x:v>SYN-LN-00211</x:v>
      </x:c>
      <x:c r="B218" s="180" t="n">
        <x:f>IF(A218="","",SUMIF('Portfolio Inputs'!A8:A289,A218,'Portfolio Inputs'!D8:D289))</x:f>
        <x:v>1182000</x:v>
      </x:c>
      <x:c r="C218" s="179" t="str">
        <x:v>B</x:v>
      </x:c>
      <x:c r="D218" s="181" t="str">
        <x:v>development_proxy</x:v>
      </x:c>
      <x:c r="E218" s="181" t="str"/>
      <x:c r="F218" s="182" t="n">
        <x:v>0.75</x:v>
      </x:c>
      <x:c r="G218" s="181" t="str">
        <x:v>development_assumption</x:v>
      </x:c>
      <x:c r="H21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18" s="183" t="n">
        <x:f>IF(AND(C218&lt;&gt;"",OR(D218="public_fitch_idr",D218="reviewed_appendix5_equivalent",D218="development_proxy"),H218&lt;&gt;""),VLOOKUP(C218,Fitch_WARF_Factors,2,FALSE),"")</x:f>
        <x:v>23.671</x:v>
      </x:c>
      <x:c r="J218" s="184" t="n">
        <x:f>IF(ISNUMBER(I218),B218*I218,0)</x:f>
        <x:v>27979122</x:v>
      </x:c>
      <x:c r="K218" s="184" t="n">
        <x:f>IF(AND(A218&lt;&gt;"",M218=0),B218*F218,0)</x:f>
        <x:v>886500</x:v>
      </x:c>
      <x:c r="L218" s="184" t="n">
        <x:f>IF(A218="",0,IF(ISNUMBER(I218),0,B218))</x:f>
        <x:v>0</x:v>
      </x:c>
      <x:c r="M218" s="185" t="n">
        <x:f>IF(A218="",0,IF(AND(ISNUMBER(F218),F218&gt;=0,F218&lt;=1,OR(G218="fitch_issue_recovery_estimate",G218="fitch_issue_recovery_rating",G218="reviewed_bbsf_fallback",G218="development_assumption"),H218&lt;&gt;""),0,B218))</x:f>
        <x:v>0</x:v>
      </x:c>
      <x:c r="N218" s="186" t="n">
        <x:f>IF(A218=Q218,0,1)+IF(B218=R218,0,1)+IF(C218=S218,0,1)+IF(D218=T218,0,1)+IF(E218=U218,0,1)+IF(F218=V218,0,1)+IF(G218=W218,0,1)+IF(H218=X218,0,1)</x:f>
        <x:v>0</x:v>
      </x:c>
      <x:c r="O218" s="186" t="n">
        <x:f>IF(A218="",0,IF(E218="",B218,0))</x:f>
        <x:v>1182000</x:v>
      </x:c>
      <x:c r="P218" s="187"/>
      <x:c r="Q218" s="179" t="str">
        <x:v>SYN-LN-00211</x:v>
      </x:c>
      <x:c r="R218" s="179" t="n">
        <x:v>1182000</x:v>
      </x:c>
      <x:c r="S218" s="179" t="str">
        <x:v>B</x:v>
      </x:c>
      <x:c r="T218" s="179" t="str">
        <x:v>development_proxy</x:v>
      </x:c>
      <x:c r="U218" s="179" t="str"/>
      <x:c r="V218" s="179" t="n">
        <x:v>0.75</x:v>
      </x:c>
      <x:c r="W218" s="179" t="str">
        <x:v>development_assumption</x:v>
      </x:c>
      <x:c r="X21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19" ht="107" customHeight="1">
      <x:c r="A219" s="179" t="str">
        <x:v>SYN-LN-00212</x:v>
      </x:c>
      <x:c r="B219" s="180" t="n">
        <x:f>IF(A219="","",SUMIF('Portfolio Inputs'!A8:A289,A219,'Portfolio Inputs'!D8:D289))</x:f>
        <x:v>1182000</x:v>
      </x:c>
      <x:c r="C219" s="179" t="str">
        <x:v>BB</x:v>
      </x:c>
      <x:c r="D219" s="181" t="str">
        <x:v>development_proxy</x:v>
      </x:c>
      <x:c r="E219" s="181" t="str"/>
      <x:c r="F219" s="182" t="n">
        <x:v>0.75</x:v>
      </x:c>
      <x:c r="G219" s="181" t="str">
        <x:v>development_assumption</x:v>
      </x:c>
      <x:c r="H21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19" s="183" t="n">
        <x:f>IF(AND(C219&lt;&gt;"",OR(D219="public_fitch_idr",D219="reviewed_appendix5_equivalent",D219="development_proxy"),H219&lt;&gt;""),VLOOKUP(C219,Fitch_WARF_Factors,2,FALSE),"")</x:f>
        <x:v>11.844</x:v>
      </x:c>
      <x:c r="J219" s="184" t="n">
        <x:f>IF(ISNUMBER(I219),B219*I219,0)</x:f>
        <x:v>13999608</x:v>
      </x:c>
      <x:c r="K219" s="184" t="n">
        <x:f>IF(AND(A219&lt;&gt;"",M219=0),B219*F219,0)</x:f>
        <x:v>886500</x:v>
      </x:c>
      <x:c r="L219" s="184" t="n">
        <x:f>IF(A219="",0,IF(ISNUMBER(I219),0,B219))</x:f>
        <x:v>0</x:v>
      </x:c>
      <x:c r="M219" s="185" t="n">
        <x:f>IF(A219="",0,IF(AND(ISNUMBER(F219),F219&gt;=0,F219&lt;=1,OR(G219="fitch_issue_recovery_estimate",G219="fitch_issue_recovery_rating",G219="reviewed_bbsf_fallback",G219="development_assumption"),H219&lt;&gt;""),0,B219))</x:f>
        <x:v>0</x:v>
      </x:c>
      <x:c r="N219" s="186" t="n">
        <x:f>IF(A219=Q219,0,1)+IF(B219=R219,0,1)+IF(C219=S219,0,1)+IF(D219=T219,0,1)+IF(E219=U219,0,1)+IF(F219=V219,0,1)+IF(G219=W219,0,1)+IF(H219=X219,0,1)</x:f>
        <x:v>0</x:v>
      </x:c>
      <x:c r="O219" s="186" t="n">
        <x:f>IF(A219="",0,IF(E219="",B219,0))</x:f>
        <x:v>1182000</x:v>
      </x:c>
      <x:c r="P219" s="187"/>
      <x:c r="Q219" s="179" t="str">
        <x:v>SYN-LN-00212</x:v>
      </x:c>
      <x:c r="R219" s="179" t="n">
        <x:v>1182000</x:v>
      </x:c>
      <x:c r="S219" s="179" t="str">
        <x:v>BB</x:v>
      </x:c>
      <x:c r="T219" s="179" t="str">
        <x:v>development_proxy</x:v>
      </x:c>
      <x:c r="U219" s="179" t="str"/>
      <x:c r="V219" s="179" t="n">
        <x:v>0.75</x:v>
      </x:c>
      <x:c r="W219" s="179" t="str">
        <x:v>development_assumption</x:v>
      </x:c>
      <x:c r="X21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20" ht="107" customHeight="1">
      <x:c r="A220" s="179" t="str">
        <x:v>SYN-LN-00213</x:v>
      </x:c>
      <x:c r="B220" s="180" t="n">
        <x:f>IF(A220="","",SUMIF('Portfolio Inputs'!A8:A289,A220,'Portfolio Inputs'!D8:D289))</x:f>
        <x:v>630000</x:v>
      </x:c>
      <x:c r="C220" s="179" t="str">
        <x:v>B-</x:v>
      </x:c>
      <x:c r="D220" s="181" t="str">
        <x:v>development_proxy</x:v>
      </x:c>
      <x:c r="E220" s="181" t="str"/>
      <x:c r="F220" s="182" t="n">
        <x:v>0.75</x:v>
      </x:c>
      <x:c r="G220" s="181" t="str">
        <x:v>development_assumption</x:v>
      </x:c>
      <x:c r="H220" s="181" t="str">
        <x:v>FICTIONAL DEVELOPMENT: copied S&amp;P symbol as Fitch IDR-equivalency proxy; no Fitch rating or Appendix 5 review. Assumed first-lien facility is senior secured loan with no issue recovery opinion; Canada Group 1; Fitch June 1 2026 Appendix 4 pp42-43 and Appendix 6 pp47-48 BBsf Strong fallback.</x:v>
      </x:c>
      <x:c r="I220" s="183" t="n">
        <x:f>IF(AND(C220&lt;&gt;"",OR(D220="public_fitch_idr",D220="reviewed_appendix5_equivalent",D220="development_proxy"),H220&lt;&gt;""),VLOOKUP(C220,Fitch_WARF_Factors,2,FALSE),"")</x:f>
        <x:v>32.221</x:v>
      </x:c>
      <x:c r="J220" s="184" t="n">
        <x:f>IF(ISNUMBER(I220),B220*I220,0)</x:f>
        <x:v>20299229.999999996</x:v>
      </x:c>
      <x:c r="K220" s="184" t="n">
        <x:f>IF(AND(A220&lt;&gt;"",M220=0),B220*F220,0)</x:f>
        <x:v>472500</x:v>
      </x:c>
      <x:c r="L220" s="184" t="n">
        <x:f>IF(A220="",0,IF(ISNUMBER(I220),0,B220))</x:f>
        <x:v>0</x:v>
      </x:c>
      <x:c r="M220" s="185" t="n">
        <x:f>IF(A220="",0,IF(AND(ISNUMBER(F220),F220&gt;=0,F220&lt;=1,OR(G220="fitch_issue_recovery_estimate",G220="fitch_issue_recovery_rating",G220="reviewed_bbsf_fallback",G220="development_assumption"),H220&lt;&gt;""),0,B220))</x:f>
        <x:v>0</x:v>
      </x:c>
      <x:c r="N220" s="186" t="n">
        <x:f>IF(A220=Q220,0,1)+IF(B220=R220,0,1)+IF(C220=S220,0,1)+IF(D220=T220,0,1)+IF(E220=U220,0,1)+IF(F220=V220,0,1)+IF(G220=W220,0,1)+IF(H220=X220,0,1)</x:f>
        <x:v>0</x:v>
      </x:c>
      <x:c r="O220" s="186" t="n">
        <x:f>IF(A220="",0,IF(E220="",B220,0))</x:f>
        <x:v>630000</x:v>
      </x:c>
      <x:c r="P220" s="187"/>
      <x:c r="Q220" s="179" t="str">
        <x:v>SYN-LN-00213</x:v>
      </x:c>
      <x:c r="R220" s="179" t="n">
        <x:v>630000</x:v>
      </x:c>
      <x:c r="S220" s="179" t="str">
        <x:v>B-</x:v>
      </x:c>
      <x:c r="T220" s="179" t="str">
        <x:v>development_proxy</x:v>
      </x:c>
      <x:c r="U220" s="179" t="str"/>
      <x:c r="V220" s="179" t="n">
        <x:v>0.75</x:v>
      </x:c>
      <x:c r="W220" s="179" t="str">
        <x:v>development_assumption</x:v>
      </x:c>
      <x:c r="X220" s="179" t="str">
        <x:v>FICTIONAL DEVELOPMENT: copied S&amp;P symbol as Fitch IDR-equivalency proxy; no Fitch rating or Appendix 5 review. Assumed first-lien facility is senior secured loan with no issue recovery opinion; Canada Group 1; Fitch June 1 2026 Appendix 4 pp42-43 and Appendix 6 pp47-48 BBsf Strong fallback.</x:v>
      </x:c>
    </x:row>
    <x:row r="221" ht="107" customHeight="1">
      <x:c r="A221" s="179" t="str">
        <x:v>SYN-LN-00214</x:v>
      </x:c>
      <x:c r="B221" s="180" t="n">
        <x:f>IF(A221="","",SUMIF('Portfolio Inputs'!A8:A289,A221,'Portfolio Inputs'!D8:D289))</x:f>
        <x:v>1182000</x:v>
      </x:c>
      <x:c r="C221" s="179" t="str">
        <x:v>B</x:v>
      </x:c>
      <x:c r="D221" s="181" t="str">
        <x:v>development_proxy</x:v>
      </x:c>
      <x:c r="E221" s="181" t="str"/>
      <x:c r="F221" s="182" t="n">
        <x:v>0.65</x:v>
      </x:c>
      <x:c r="G221" s="181" t="str">
        <x:v>development_assumption</x:v>
      </x:c>
      <x:c r="H221" s="181" t="str">
        <x:v>FICTIONAL DEVELOPMENT: copied S&amp;P symbol as Fitch IDR-equivalency proxy; no Fitch rating or Appendix 5 review. Assumed first-lien facility is senior secured loan with no issue recovery opinion; Luxembourg Group 2; Fitch June 1 2026 Appendix 4 pp42-43 and Appendix 6 pp47-48 BBsf Strong fallback.</x:v>
      </x:c>
      <x:c r="I221" s="183" t="n">
        <x:f>IF(AND(C221&lt;&gt;"",OR(D221="public_fitch_idr",D221="reviewed_appendix5_equivalent",D221="development_proxy"),H221&lt;&gt;""),VLOOKUP(C221,Fitch_WARF_Factors,2,FALSE),"")</x:f>
        <x:v>23.671</x:v>
      </x:c>
      <x:c r="J221" s="184" t="n">
        <x:f>IF(ISNUMBER(I221),B221*I221,0)</x:f>
        <x:v>27979122</x:v>
      </x:c>
      <x:c r="K221" s="184" t="n">
        <x:f>IF(AND(A221&lt;&gt;"",M221=0),B221*F221,0)</x:f>
        <x:v>768300</x:v>
      </x:c>
      <x:c r="L221" s="184" t="n">
        <x:f>IF(A221="",0,IF(ISNUMBER(I221),0,B221))</x:f>
        <x:v>0</x:v>
      </x:c>
      <x:c r="M221" s="185" t="n">
        <x:f>IF(A221="",0,IF(AND(ISNUMBER(F221),F221&gt;=0,F221&lt;=1,OR(G221="fitch_issue_recovery_estimate",G221="fitch_issue_recovery_rating",G221="reviewed_bbsf_fallback",G221="development_assumption"),H221&lt;&gt;""),0,B221))</x:f>
        <x:v>0</x:v>
      </x:c>
      <x:c r="N221" s="186" t="n">
        <x:f>IF(A221=Q221,0,1)+IF(B221=R221,0,1)+IF(C221=S221,0,1)+IF(D221=T221,0,1)+IF(E221=U221,0,1)+IF(F221=V221,0,1)+IF(G221=W221,0,1)+IF(H221=X221,0,1)</x:f>
        <x:v>0</x:v>
      </x:c>
      <x:c r="O221" s="186" t="n">
        <x:f>IF(A221="",0,IF(E221="",B221,0))</x:f>
        <x:v>1182000</x:v>
      </x:c>
      <x:c r="P221" s="187"/>
      <x:c r="Q221" s="179" t="str">
        <x:v>SYN-LN-00214</x:v>
      </x:c>
      <x:c r="R221" s="179" t="n">
        <x:v>1182000</x:v>
      </x:c>
      <x:c r="S221" s="179" t="str">
        <x:v>B</x:v>
      </x:c>
      <x:c r="T221" s="179" t="str">
        <x:v>development_proxy</x:v>
      </x:c>
      <x:c r="U221" s="179" t="str"/>
      <x:c r="V221" s="179" t="n">
        <x:v>0.65</x:v>
      </x:c>
      <x:c r="W221" s="179" t="str">
        <x:v>development_assumption</x:v>
      </x:c>
      <x:c r="X221" s="179" t="str">
        <x:v>FICTIONAL DEVELOPMENT: copied S&amp;P symbol as Fitch IDR-equivalency proxy; no Fitch rating or Appendix 5 review. Assumed first-lien facility is senior secured loan with no issue recovery opinion; Luxembourg Group 2; Fitch June 1 2026 Appendix 4 pp42-43 and Appendix 6 pp47-48 BBsf Strong fallback.</x:v>
      </x:c>
    </x:row>
    <x:row r="222" ht="107" customHeight="1">
      <x:c r="A222" s="179" t="str">
        <x:v>SYN-LN-00215</x:v>
      </x:c>
      <x:c r="B222" s="180" t="n">
        <x:f>IF(A222="","",SUMIF('Portfolio Inputs'!A8:A289,A222,'Portfolio Inputs'!D8:D289))</x:f>
        <x:v>1182000</x:v>
      </x:c>
      <x:c r="C222" s="179" t="str">
        <x:v>BB+</x:v>
      </x:c>
      <x:c r="D222" s="181" t="str">
        <x:v>development_proxy</x:v>
      </x:c>
      <x:c r="E222" s="181" t="str"/>
      <x:c r="F222" s="182" t="n">
        <x:v>0.75</x:v>
      </x:c>
      <x:c r="G222" s="181" t="str">
        <x:v>development_assumption</x:v>
      </x:c>
      <x:c r="H22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22" s="183" t="n">
        <x:f>IF(AND(C222&lt;&gt;"",OR(D222="public_fitch_idr",D222="reviewed_appendix5_equivalent",D222="development_proxy"),H222&lt;&gt;""),VLOOKUP(C222,Fitch_WARF_Factors,2,FALSE),"")</x:f>
        <x:v>8.903</x:v>
      </x:c>
      <x:c r="J222" s="184" t="n">
        <x:f>IF(ISNUMBER(I222),B222*I222,0)</x:f>
        <x:v>10523346</x:v>
      </x:c>
      <x:c r="K222" s="184" t="n">
        <x:f>IF(AND(A222&lt;&gt;"",M222=0),B222*F222,0)</x:f>
        <x:v>886500</x:v>
      </x:c>
      <x:c r="L222" s="184" t="n">
        <x:f>IF(A222="",0,IF(ISNUMBER(I222),0,B222))</x:f>
        <x:v>0</x:v>
      </x:c>
      <x:c r="M222" s="185" t="n">
        <x:f>IF(A222="",0,IF(AND(ISNUMBER(F222),F222&gt;=0,F222&lt;=1,OR(G222="fitch_issue_recovery_estimate",G222="fitch_issue_recovery_rating",G222="reviewed_bbsf_fallback",G222="development_assumption"),H222&lt;&gt;""),0,B222))</x:f>
        <x:v>0</x:v>
      </x:c>
      <x:c r="N222" s="186" t="n">
        <x:f>IF(A222=Q222,0,1)+IF(B222=R222,0,1)+IF(C222=S222,0,1)+IF(D222=T222,0,1)+IF(E222=U222,0,1)+IF(F222=V222,0,1)+IF(G222=W222,0,1)+IF(H222=X222,0,1)</x:f>
        <x:v>0</x:v>
      </x:c>
      <x:c r="O222" s="186" t="n">
        <x:f>IF(A222="",0,IF(E222="",B222,0))</x:f>
        <x:v>1182000</x:v>
      </x:c>
      <x:c r="P222" s="187"/>
      <x:c r="Q222" s="179" t="str">
        <x:v>SYN-LN-00215</x:v>
      </x:c>
      <x:c r="R222" s="179" t="n">
        <x:v>1182000</x:v>
      </x:c>
      <x:c r="S222" s="179" t="str">
        <x:v>BB+</x:v>
      </x:c>
      <x:c r="T222" s="179" t="str">
        <x:v>development_proxy</x:v>
      </x:c>
      <x:c r="U222" s="179" t="str"/>
      <x:c r="V222" s="179" t="n">
        <x:v>0.75</x:v>
      </x:c>
      <x:c r="W222" s="179" t="str">
        <x:v>development_assumption</x:v>
      </x:c>
      <x:c r="X22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23" ht="107" customHeight="1">
      <x:c r="A223" s="179" t="str">
        <x:v>SYN-LN-00216</x:v>
      </x:c>
      <x:c r="B223" s="180" t="n">
        <x:f>IF(A223="","",SUMIF('Portfolio Inputs'!A8:A289,A223,'Portfolio Inputs'!D8:D289))</x:f>
        <x:v>630000</x:v>
      </x:c>
      <x:c r="C223" s="179" t="str">
        <x:v>B+</x:v>
      </x:c>
      <x:c r="D223" s="181" t="str">
        <x:v>development_proxy</x:v>
      </x:c>
      <x:c r="E223" s="181" t="str"/>
      <x:c r="F223" s="182"/>
      <x:c r="G223" s="181" t="str"/>
      <x:c r="H223" s="181" t="str">
        <x:v>FICTIONAL DEVELOPMENT: copied S&amp;P symbol as Fitch IDR-equivalency proxy; no Fitch rating or Appendix 5 review.</x:v>
      </x:c>
      <x:c r="I223" s="183" t="n">
        <x:f>IF(AND(C223&lt;&gt;"",OR(D223="public_fitch_idr",D223="reviewed_appendix5_equivalent",D223="development_proxy"),H223&lt;&gt;""),VLOOKUP(C223,Fitch_WARF_Factors,2,FALSE),"")</x:f>
        <x:v>19.627</x:v>
      </x:c>
      <x:c r="J223" s="184" t="n">
        <x:f>IF(ISNUMBER(I223),B223*I223,0)</x:f>
        <x:v>12365010</x:v>
      </x:c>
      <x:c r="K223" s="184" t="n">
        <x:f>IF(AND(A223&lt;&gt;"",M223=0),B223*F223,0)</x:f>
        <x:v>0</x:v>
      </x:c>
      <x:c r="L223" s="184" t="n">
        <x:f>IF(A223="",0,IF(ISNUMBER(I223),0,B223))</x:f>
        <x:v>0</x:v>
      </x:c>
      <x:c r="M223" s="185" t="n">
        <x:f>IF(A223="",0,IF(AND(ISNUMBER(F223),F223&gt;=0,F223&lt;=1,OR(G223="fitch_issue_recovery_estimate",G223="fitch_issue_recovery_rating",G223="reviewed_bbsf_fallback",G223="development_assumption"),H223&lt;&gt;""),0,B223))</x:f>
        <x:v>630000</x:v>
      </x:c>
      <x:c r="N223" s="186" t="n">
        <x:f>IF(A223=Q223,0,1)+IF(B223=R223,0,1)+IF(C223=S223,0,1)+IF(D223=T223,0,1)+IF(E223=U223,0,1)+IF(F223=V223,0,1)+IF(G223=W223,0,1)+IF(H223=X223,0,1)</x:f>
        <x:v>0</x:v>
      </x:c>
      <x:c r="O223" s="186" t="n">
        <x:f>IF(A223="",0,IF(E223="",B223,0))</x:f>
        <x:v>630000</x:v>
      </x:c>
      <x:c r="P223" s="187"/>
      <x:c r="Q223" s="179" t="str">
        <x:v>SYN-LN-00216</x:v>
      </x:c>
      <x:c r="R223" s="179" t="n">
        <x:v>630000</x:v>
      </x:c>
      <x:c r="S223" s="179" t="str">
        <x:v>B+</x:v>
      </x:c>
      <x:c r="T223" s="179" t="str">
        <x:v>development_proxy</x:v>
      </x:c>
      <x:c r="U223" s="179" t="str"/>
      <x:c r="V223" s="179"/>
      <x:c r="W223" s="179" t="str"/>
      <x:c r="X223" s="179" t="str">
        <x:v>FICTIONAL DEVELOPMENT: copied S&amp;P symbol as Fitch IDR-equivalency proxy; no Fitch rating or Appendix 5 review.</x:v>
      </x:c>
    </x:row>
    <x:row r="224" ht="107" customHeight="1">
      <x:c r="A224" s="179" t="str">
        <x:v>SYN-LN-00217</x:v>
      </x:c>
      <x:c r="B224" s="180" t="n">
        <x:f>IF(A224="","",SUMIF('Portfolio Inputs'!A8:A289,A224,'Portfolio Inputs'!D8:D289))</x:f>
        <x:v>1182000</x:v>
      </x:c>
      <x:c r="C224" s="179" t="str">
        <x:v>B+</x:v>
      </x:c>
      <x:c r="D224" s="181" t="str">
        <x:v>development_proxy</x:v>
      </x:c>
      <x:c r="E224" s="181" t="str"/>
      <x:c r="F224" s="182" t="n">
        <x:v>0.75</x:v>
      </x:c>
      <x:c r="G224" s="181" t="str">
        <x:v>development_assumption</x:v>
      </x:c>
      <x:c r="H22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24" s="183" t="n">
        <x:f>IF(AND(C224&lt;&gt;"",OR(D224="public_fitch_idr",D224="reviewed_appendix5_equivalent",D224="development_proxy"),H224&lt;&gt;""),VLOOKUP(C224,Fitch_WARF_Factors,2,FALSE),"")</x:f>
        <x:v>19.627</x:v>
      </x:c>
      <x:c r="J224" s="184" t="n">
        <x:f>IF(ISNUMBER(I224),B224*I224,0)</x:f>
        <x:v>23199114</x:v>
      </x:c>
      <x:c r="K224" s="184" t="n">
        <x:f>IF(AND(A224&lt;&gt;"",M224=0),B224*F224,0)</x:f>
        <x:v>886500</x:v>
      </x:c>
      <x:c r="L224" s="184" t="n">
        <x:f>IF(A224="",0,IF(ISNUMBER(I224),0,B224))</x:f>
        <x:v>0</x:v>
      </x:c>
      <x:c r="M224" s="185" t="n">
        <x:f>IF(A224="",0,IF(AND(ISNUMBER(F224),F224&gt;=0,F224&lt;=1,OR(G224="fitch_issue_recovery_estimate",G224="fitch_issue_recovery_rating",G224="reviewed_bbsf_fallback",G224="development_assumption"),H224&lt;&gt;""),0,B224))</x:f>
        <x:v>0</x:v>
      </x:c>
      <x:c r="N224" s="186" t="n">
        <x:f>IF(A224=Q224,0,1)+IF(B224=R224,0,1)+IF(C224=S224,0,1)+IF(D224=T224,0,1)+IF(E224=U224,0,1)+IF(F224=V224,0,1)+IF(G224=W224,0,1)+IF(H224=X224,0,1)</x:f>
        <x:v>0</x:v>
      </x:c>
      <x:c r="O224" s="186" t="n">
        <x:f>IF(A224="",0,IF(E224="",B224,0))</x:f>
        <x:v>1182000</x:v>
      </x:c>
      <x:c r="P224" s="187"/>
      <x:c r="Q224" s="179" t="str">
        <x:v>SYN-LN-00217</x:v>
      </x:c>
      <x:c r="R224" s="179" t="n">
        <x:v>1182000</x:v>
      </x:c>
      <x:c r="S224" s="179" t="str">
        <x:v>B+</x:v>
      </x:c>
      <x:c r="T224" s="179" t="str">
        <x:v>development_proxy</x:v>
      </x:c>
      <x:c r="U224" s="179" t="str"/>
      <x:c r="V224" s="179" t="n">
        <x:v>0.75</x:v>
      </x:c>
      <x:c r="W224" s="179" t="str">
        <x:v>development_assumption</x:v>
      </x:c>
      <x:c r="X22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25" ht="107" customHeight="1">
      <x:c r="A225" s="179" t="str">
        <x:v>SYN-LN-00218</x:v>
      </x:c>
      <x:c r="B225" s="180" t="n">
        <x:f>IF(A225="","",SUMIF('Portfolio Inputs'!A8:A289,A225,'Portfolio Inputs'!D8:D289))</x:f>
        <x:v>1182000</x:v>
      </x:c>
      <x:c r="C225" s="179" t="str">
        <x:v>BB+</x:v>
      </x:c>
      <x:c r="D225" s="181" t="str">
        <x:v>development_proxy</x:v>
      </x:c>
      <x:c r="E225" s="181" t="str"/>
      <x:c r="F225" s="182" t="n">
        <x:v>0.75</x:v>
      </x:c>
      <x:c r="G225" s="181" t="str">
        <x:v>development_assumption</x:v>
      </x:c>
      <x:c r="H22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25" s="183" t="n">
        <x:f>IF(AND(C225&lt;&gt;"",OR(D225="public_fitch_idr",D225="reviewed_appendix5_equivalent",D225="development_proxy"),H225&lt;&gt;""),VLOOKUP(C225,Fitch_WARF_Factors,2,FALSE),"")</x:f>
        <x:v>8.903</x:v>
      </x:c>
      <x:c r="J225" s="184" t="n">
        <x:f>IF(ISNUMBER(I225),B225*I225,0)</x:f>
        <x:v>10523346</x:v>
      </x:c>
      <x:c r="K225" s="184" t="n">
        <x:f>IF(AND(A225&lt;&gt;"",M225=0),B225*F225,0)</x:f>
        <x:v>886500</x:v>
      </x:c>
      <x:c r="L225" s="184" t="n">
        <x:f>IF(A225="",0,IF(ISNUMBER(I225),0,B225))</x:f>
        <x:v>0</x:v>
      </x:c>
      <x:c r="M225" s="185" t="n">
        <x:f>IF(A225="",0,IF(AND(ISNUMBER(F225),F225&gt;=0,F225&lt;=1,OR(G225="fitch_issue_recovery_estimate",G225="fitch_issue_recovery_rating",G225="reviewed_bbsf_fallback",G225="development_assumption"),H225&lt;&gt;""),0,B225))</x:f>
        <x:v>0</x:v>
      </x:c>
      <x:c r="N225" s="186" t="n">
        <x:f>IF(A225=Q225,0,1)+IF(B225=R225,0,1)+IF(C225=S225,0,1)+IF(D225=T225,0,1)+IF(E225=U225,0,1)+IF(F225=V225,0,1)+IF(G225=W225,0,1)+IF(H225=X225,0,1)</x:f>
        <x:v>0</x:v>
      </x:c>
      <x:c r="O225" s="186" t="n">
        <x:f>IF(A225="",0,IF(E225="",B225,0))</x:f>
        <x:v>1182000</x:v>
      </x:c>
      <x:c r="P225" s="187"/>
      <x:c r="Q225" s="179" t="str">
        <x:v>SYN-LN-00218</x:v>
      </x:c>
      <x:c r="R225" s="179" t="n">
        <x:v>1182000</x:v>
      </x:c>
      <x:c r="S225" s="179" t="str">
        <x:v>BB+</x:v>
      </x:c>
      <x:c r="T225" s="179" t="str">
        <x:v>development_proxy</x:v>
      </x:c>
      <x:c r="U225" s="179" t="str"/>
      <x:c r="V225" s="179" t="n">
        <x:v>0.75</x:v>
      </x:c>
      <x:c r="W225" s="179" t="str">
        <x:v>development_assumption</x:v>
      </x:c>
      <x:c r="X22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26" ht="107" customHeight="1">
      <x:c r="A226" s="179" t="str">
        <x:v>SYN-LN-00219</x:v>
      </x:c>
      <x:c r="B226" s="180" t="n">
        <x:f>IF(A226="","",SUMIF('Portfolio Inputs'!A8:A289,A226,'Portfolio Inputs'!D8:D289))</x:f>
        <x:v>1182000</x:v>
      </x:c>
      <x:c r="C226" s="179" t="str">
        <x:v>B-</x:v>
      </x:c>
      <x:c r="D226" s="181" t="str">
        <x:v>development_proxy</x:v>
      </x:c>
      <x:c r="E226" s="181" t="str"/>
      <x:c r="F226" s="182" t="n">
        <x:v>0.75</x:v>
      </x:c>
      <x:c r="G226" s="181" t="str">
        <x:v>development_assumption</x:v>
      </x:c>
      <x:c r="H22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26" s="183" t="n">
        <x:f>IF(AND(C226&lt;&gt;"",OR(D226="public_fitch_idr",D226="reviewed_appendix5_equivalent",D226="development_proxy"),H226&lt;&gt;""),VLOOKUP(C226,Fitch_WARF_Factors,2,FALSE),"")</x:f>
        <x:v>32.221</x:v>
      </x:c>
      <x:c r="J226" s="184" t="n">
        <x:f>IF(ISNUMBER(I226),B226*I226,0)</x:f>
        <x:v>38085221.99999999</x:v>
      </x:c>
      <x:c r="K226" s="184" t="n">
        <x:f>IF(AND(A226&lt;&gt;"",M226=0),B226*F226,0)</x:f>
        <x:v>886500</x:v>
      </x:c>
      <x:c r="L226" s="184" t="n">
        <x:f>IF(A226="",0,IF(ISNUMBER(I226),0,B226))</x:f>
        <x:v>0</x:v>
      </x:c>
      <x:c r="M226" s="185" t="n">
        <x:f>IF(A226="",0,IF(AND(ISNUMBER(F226),F226&gt;=0,F226&lt;=1,OR(G226="fitch_issue_recovery_estimate",G226="fitch_issue_recovery_rating",G226="reviewed_bbsf_fallback",G226="development_assumption"),H226&lt;&gt;""),0,B226))</x:f>
        <x:v>0</x:v>
      </x:c>
      <x:c r="N226" s="186" t="n">
        <x:f>IF(A226=Q226,0,1)+IF(B226=R226,0,1)+IF(C226=S226,0,1)+IF(D226=T226,0,1)+IF(E226=U226,0,1)+IF(F226=V226,0,1)+IF(G226=W226,0,1)+IF(H226=X226,0,1)</x:f>
        <x:v>0</x:v>
      </x:c>
      <x:c r="O226" s="186" t="n">
        <x:f>IF(A226="",0,IF(E226="",B226,0))</x:f>
        <x:v>1182000</x:v>
      </x:c>
      <x:c r="P226" s="187"/>
      <x:c r="Q226" s="179" t="str">
        <x:v>SYN-LN-00219</x:v>
      </x:c>
      <x:c r="R226" s="179" t="n">
        <x:v>1182000</x:v>
      </x:c>
      <x:c r="S226" s="179" t="str">
        <x:v>B-</x:v>
      </x:c>
      <x:c r="T226" s="179" t="str">
        <x:v>development_proxy</x:v>
      </x:c>
      <x:c r="U226" s="179" t="str"/>
      <x:c r="V226" s="179" t="n">
        <x:v>0.75</x:v>
      </x:c>
      <x:c r="W226" s="179" t="str">
        <x:v>development_assumption</x:v>
      </x:c>
      <x:c r="X22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27" ht="107" customHeight="1">
      <x:c r="A227" s="179" t="str">
        <x:v>SYN-LN-00220</x:v>
      </x:c>
      <x:c r="B227" s="180" t="n">
        <x:f>IF(A227="","",SUMIF('Portfolio Inputs'!A8:A289,A227,'Portfolio Inputs'!D8:D289))</x:f>
        <x:v>1182000</x:v>
      </x:c>
      <x:c r="C227" s="179" t="str">
        <x:v>B-</x:v>
      </x:c>
      <x:c r="D227" s="181" t="str">
        <x:v>development_proxy</x:v>
      </x:c>
      <x:c r="E227" s="181" t="str"/>
      <x:c r="F227" s="182" t="n">
        <x:v>0.75</x:v>
      </x:c>
      <x:c r="G227" s="181" t="str">
        <x:v>development_assumption</x:v>
      </x:c>
      <x:c r="H22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27" s="183" t="n">
        <x:f>IF(AND(C227&lt;&gt;"",OR(D227="public_fitch_idr",D227="reviewed_appendix5_equivalent",D227="development_proxy"),H227&lt;&gt;""),VLOOKUP(C227,Fitch_WARF_Factors,2,FALSE),"")</x:f>
        <x:v>32.221</x:v>
      </x:c>
      <x:c r="J227" s="184" t="n">
        <x:f>IF(ISNUMBER(I227),B227*I227,0)</x:f>
        <x:v>38085221.99999999</x:v>
      </x:c>
      <x:c r="K227" s="184" t="n">
        <x:f>IF(AND(A227&lt;&gt;"",M227=0),B227*F227,0)</x:f>
        <x:v>886500</x:v>
      </x:c>
      <x:c r="L227" s="184" t="n">
        <x:f>IF(A227="",0,IF(ISNUMBER(I227),0,B227))</x:f>
        <x:v>0</x:v>
      </x:c>
      <x:c r="M227" s="185" t="n">
        <x:f>IF(A227="",0,IF(AND(ISNUMBER(F227),F227&gt;=0,F227&lt;=1,OR(G227="fitch_issue_recovery_estimate",G227="fitch_issue_recovery_rating",G227="reviewed_bbsf_fallback",G227="development_assumption"),H227&lt;&gt;""),0,B227))</x:f>
        <x:v>0</x:v>
      </x:c>
      <x:c r="N227" s="186" t="n">
        <x:f>IF(A227=Q227,0,1)+IF(B227=R227,0,1)+IF(C227=S227,0,1)+IF(D227=T227,0,1)+IF(E227=U227,0,1)+IF(F227=V227,0,1)+IF(G227=W227,0,1)+IF(H227=X227,0,1)</x:f>
        <x:v>0</x:v>
      </x:c>
      <x:c r="O227" s="186" t="n">
        <x:f>IF(A227="",0,IF(E227="",B227,0))</x:f>
        <x:v>1182000</x:v>
      </x:c>
      <x:c r="P227" s="187"/>
      <x:c r="Q227" s="179" t="str">
        <x:v>SYN-LN-00220</x:v>
      </x:c>
      <x:c r="R227" s="179" t="n">
        <x:v>1182000</x:v>
      </x:c>
      <x:c r="S227" s="179" t="str">
        <x:v>B-</x:v>
      </x:c>
      <x:c r="T227" s="179" t="str">
        <x:v>development_proxy</x:v>
      </x:c>
      <x:c r="U227" s="179" t="str"/>
      <x:c r="V227" s="179" t="n">
        <x:v>0.75</x:v>
      </x:c>
      <x:c r="W227" s="179" t="str">
        <x:v>development_assumption</x:v>
      </x:c>
      <x:c r="X22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28" ht="107" customHeight="1">
      <x:c r="A228" s="179" t="str">
        <x:v>SYN-LN-00221</x:v>
      </x:c>
      <x:c r="B228" s="180" t="n">
        <x:f>IF(A228="","",SUMIF('Portfolio Inputs'!A8:A289,A228,'Portfolio Inputs'!D8:D289))</x:f>
        <x:v>630000</x:v>
      </x:c>
      <x:c r="C228" s="179" t="str">
        <x:v>BBB+</x:v>
      </x:c>
      <x:c r="D228" s="181" t="str">
        <x:v>development_proxy</x:v>
      </x:c>
      <x:c r="E228" s="181" t="str"/>
      <x:c r="F228" s="182" t="n">
        <x:v>0.75</x:v>
      </x:c>
      <x:c r="G228" s="181" t="str">
        <x:v>development_assumption</x:v>
      </x:c>
      <x:c r="H228" s="181" t="str">
        <x:v>FICTIONAL DEVELOPMENT: copied S&amp;P symbol as Fitch IDR-equivalency proxy; no Fitch rating or Appendix 5 review. Assumed first-lien facility is senior secured loan with no issue recovery opinion; Canada Group 1; Fitch June 1 2026 Appendix 4 pp42-43 and Appendix 6 pp47-48 BBsf Strong fallback.</x:v>
      </x:c>
      <x:c r="I228" s="183" t="n">
        <x:f>IF(AND(C228&lt;&gt;"",OR(D228="public_fitch_idr",D228="reviewed_appendix5_equivalent",D228="development_proxy"),H228&lt;&gt;""),VLOOKUP(C228,Fitch_WARF_Factors,2,FALSE),"")</x:f>
        <x:v>2.63</x:v>
      </x:c>
      <x:c r="J228" s="184" t="n">
        <x:f>IF(ISNUMBER(I228),B228*I228,0)</x:f>
        <x:v>1656900</x:v>
      </x:c>
      <x:c r="K228" s="184" t="n">
        <x:f>IF(AND(A228&lt;&gt;"",M228=0),B228*F228,0)</x:f>
        <x:v>472500</x:v>
      </x:c>
      <x:c r="L228" s="184" t="n">
        <x:f>IF(A228="",0,IF(ISNUMBER(I228),0,B228))</x:f>
        <x:v>0</x:v>
      </x:c>
      <x:c r="M228" s="185" t="n">
        <x:f>IF(A228="",0,IF(AND(ISNUMBER(F228),F228&gt;=0,F228&lt;=1,OR(G228="fitch_issue_recovery_estimate",G228="fitch_issue_recovery_rating",G228="reviewed_bbsf_fallback",G228="development_assumption"),H228&lt;&gt;""),0,B228))</x:f>
        <x:v>0</x:v>
      </x:c>
      <x:c r="N228" s="186" t="n">
        <x:f>IF(A228=Q228,0,1)+IF(B228=R228,0,1)+IF(C228=S228,0,1)+IF(D228=T228,0,1)+IF(E228=U228,0,1)+IF(F228=V228,0,1)+IF(G228=W228,0,1)+IF(H228=X228,0,1)</x:f>
        <x:v>0</x:v>
      </x:c>
      <x:c r="O228" s="186" t="n">
        <x:f>IF(A228="",0,IF(E228="",B228,0))</x:f>
        <x:v>630000</x:v>
      </x:c>
      <x:c r="P228" s="187"/>
      <x:c r="Q228" s="179" t="str">
        <x:v>SYN-LN-00221</x:v>
      </x:c>
      <x:c r="R228" s="179" t="n">
        <x:v>630000</x:v>
      </x:c>
      <x:c r="S228" s="179" t="str">
        <x:v>BBB+</x:v>
      </x:c>
      <x:c r="T228" s="179" t="str">
        <x:v>development_proxy</x:v>
      </x:c>
      <x:c r="U228" s="179" t="str"/>
      <x:c r="V228" s="179" t="n">
        <x:v>0.75</x:v>
      </x:c>
      <x:c r="W228" s="179" t="str">
        <x:v>development_assumption</x:v>
      </x:c>
      <x:c r="X228" s="179" t="str">
        <x:v>FICTIONAL DEVELOPMENT: copied S&amp;P symbol as Fitch IDR-equivalency proxy; no Fitch rating or Appendix 5 review. Assumed first-lien facility is senior secured loan with no issue recovery opinion; Canada Group 1; Fitch June 1 2026 Appendix 4 pp42-43 and Appendix 6 pp47-48 BBsf Strong fallback.</x:v>
      </x:c>
    </x:row>
    <x:row r="229" ht="107" customHeight="1">
      <x:c r="A229" s="179" t="str">
        <x:v>SYN-LN-00222</x:v>
      </x:c>
      <x:c r="B229" s="180" t="n">
        <x:f>IF(A229="","",SUMIF('Portfolio Inputs'!A8:A289,A229,'Portfolio Inputs'!D8:D289))</x:f>
        <x:v>1182000</x:v>
      </x:c>
      <x:c r="C229" s="179" t="str">
        <x:v>BB-</x:v>
      </x:c>
      <x:c r="D229" s="181" t="str">
        <x:v>development_proxy</x:v>
      </x:c>
      <x:c r="E229" s="181" t="str"/>
      <x:c r="F229" s="182" t="n">
        <x:v>0.75</x:v>
      </x:c>
      <x:c r="G229" s="181" t="str">
        <x:v>development_assumption</x:v>
      </x:c>
      <x:c r="H22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29" s="183" t="n">
        <x:f>IF(AND(C229&lt;&gt;"",OR(D229="public_fitch_idr",D229="reviewed_appendix5_equivalent",D229="development_proxy"),H229&lt;&gt;""),VLOOKUP(C229,Fitch_WARF_Factors,2,FALSE),"")</x:f>
        <x:v>15.733</x:v>
      </x:c>
      <x:c r="J229" s="184" t="n">
        <x:f>IF(ISNUMBER(I229),B229*I229,0)</x:f>
        <x:v>18596406</x:v>
      </x:c>
      <x:c r="K229" s="184" t="n">
        <x:f>IF(AND(A229&lt;&gt;"",M229=0),B229*F229,0)</x:f>
        <x:v>886500</x:v>
      </x:c>
      <x:c r="L229" s="184" t="n">
        <x:f>IF(A229="",0,IF(ISNUMBER(I229),0,B229))</x:f>
        <x:v>0</x:v>
      </x:c>
      <x:c r="M229" s="185" t="n">
        <x:f>IF(A229="",0,IF(AND(ISNUMBER(F229),F229&gt;=0,F229&lt;=1,OR(G229="fitch_issue_recovery_estimate",G229="fitch_issue_recovery_rating",G229="reviewed_bbsf_fallback",G229="development_assumption"),H229&lt;&gt;""),0,B229))</x:f>
        <x:v>0</x:v>
      </x:c>
      <x:c r="N229" s="186" t="n">
        <x:f>IF(A229=Q229,0,1)+IF(B229=R229,0,1)+IF(C229=S229,0,1)+IF(D229=T229,0,1)+IF(E229=U229,0,1)+IF(F229=V229,0,1)+IF(G229=W229,0,1)+IF(H229=X229,0,1)</x:f>
        <x:v>0</x:v>
      </x:c>
      <x:c r="O229" s="186" t="n">
        <x:f>IF(A229="",0,IF(E229="",B229,0))</x:f>
        <x:v>1182000</x:v>
      </x:c>
      <x:c r="P229" s="187"/>
      <x:c r="Q229" s="179" t="str">
        <x:v>SYN-LN-00222</x:v>
      </x:c>
      <x:c r="R229" s="179" t="n">
        <x:v>1182000</x:v>
      </x:c>
      <x:c r="S229" s="179" t="str">
        <x:v>BB-</x:v>
      </x:c>
      <x:c r="T229" s="179" t="str">
        <x:v>development_proxy</x:v>
      </x:c>
      <x:c r="U229" s="179" t="str"/>
      <x:c r="V229" s="179" t="n">
        <x:v>0.75</x:v>
      </x:c>
      <x:c r="W229" s="179" t="str">
        <x:v>development_assumption</x:v>
      </x:c>
      <x:c r="X22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30" ht="107" customHeight="1">
      <x:c r="A230" s="179" t="str">
        <x:v>SYN-LN-00223</x:v>
      </x:c>
      <x:c r="B230" s="180" t="n">
        <x:f>IF(A230="","",SUMIF('Portfolio Inputs'!A8:A289,A230,'Portfolio Inputs'!D8:D289))</x:f>
        <x:v>1182000</x:v>
      </x:c>
      <x:c r="C230" s="179" t="str">
        <x:v>B</x:v>
      </x:c>
      <x:c r="D230" s="181" t="str">
        <x:v>development_proxy</x:v>
      </x:c>
      <x:c r="E230" s="181" t="str"/>
      <x:c r="F230" s="182" t="n">
        <x:v>0.75</x:v>
      </x:c>
      <x:c r="G230" s="181" t="str">
        <x:v>development_assumption</x:v>
      </x:c>
      <x:c r="H23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30" s="183" t="n">
        <x:f>IF(AND(C230&lt;&gt;"",OR(D230="public_fitch_idr",D230="reviewed_appendix5_equivalent",D230="development_proxy"),H230&lt;&gt;""),VLOOKUP(C230,Fitch_WARF_Factors,2,FALSE),"")</x:f>
        <x:v>23.671</x:v>
      </x:c>
      <x:c r="J230" s="184" t="n">
        <x:f>IF(ISNUMBER(I230),B230*I230,0)</x:f>
        <x:v>27979122</x:v>
      </x:c>
      <x:c r="K230" s="184" t="n">
        <x:f>IF(AND(A230&lt;&gt;"",M230=0),B230*F230,0)</x:f>
        <x:v>886500</x:v>
      </x:c>
      <x:c r="L230" s="184" t="n">
        <x:f>IF(A230="",0,IF(ISNUMBER(I230),0,B230))</x:f>
        <x:v>0</x:v>
      </x:c>
      <x:c r="M230" s="185" t="n">
        <x:f>IF(A230="",0,IF(AND(ISNUMBER(F230),F230&gt;=0,F230&lt;=1,OR(G230="fitch_issue_recovery_estimate",G230="fitch_issue_recovery_rating",G230="reviewed_bbsf_fallback",G230="development_assumption"),H230&lt;&gt;""),0,B230))</x:f>
        <x:v>0</x:v>
      </x:c>
      <x:c r="N230" s="186" t="n">
        <x:f>IF(A230=Q230,0,1)+IF(B230=R230,0,1)+IF(C230=S230,0,1)+IF(D230=T230,0,1)+IF(E230=U230,0,1)+IF(F230=V230,0,1)+IF(G230=W230,0,1)+IF(H230=X230,0,1)</x:f>
        <x:v>0</x:v>
      </x:c>
      <x:c r="O230" s="186" t="n">
        <x:f>IF(A230="",0,IF(E230="",B230,0))</x:f>
        <x:v>1182000</x:v>
      </x:c>
      <x:c r="P230" s="187"/>
      <x:c r="Q230" s="179" t="str">
        <x:v>SYN-LN-00223</x:v>
      </x:c>
      <x:c r="R230" s="179" t="n">
        <x:v>1182000</x:v>
      </x:c>
      <x:c r="S230" s="179" t="str">
        <x:v>B</x:v>
      </x:c>
      <x:c r="T230" s="179" t="str">
        <x:v>development_proxy</x:v>
      </x:c>
      <x:c r="U230" s="179" t="str"/>
      <x:c r="V230" s="179" t="n">
        <x:v>0.75</x:v>
      </x:c>
      <x:c r="W230" s="179" t="str">
        <x:v>development_assumption</x:v>
      </x:c>
      <x:c r="X23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31" ht="107" customHeight="1">
      <x:c r="A231" s="179" t="str">
        <x:v>SYN-LN-00224</x:v>
      </x:c>
      <x:c r="B231" s="180" t="n">
        <x:f>IF(A231="","",SUMIF('Portfolio Inputs'!A8:A289,A231,'Portfolio Inputs'!D8:D289))</x:f>
        <x:v>1182000</x:v>
      </x:c>
      <x:c r="C231" s="179" t="str">
        <x:v>BB-</x:v>
      </x:c>
      <x:c r="D231" s="181" t="str">
        <x:v>development_proxy</x:v>
      </x:c>
      <x:c r="E231" s="181" t="str"/>
      <x:c r="F231" s="182" t="n">
        <x:v>0.75</x:v>
      </x:c>
      <x:c r="G231" s="181" t="str">
        <x:v>development_assumption</x:v>
      </x:c>
      <x:c r="H23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31" s="183" t="n">
        <x:f>IF(AND(C231&lt;&gt;"",OR(D231="public_fitch_idr",D231="reviewed_appendix5_equivalent",D231="development_proxy"),H231&lt;&gt;""),VLOOKUP(C231,Fitch_WARF_Factors,2,FALSE),"")</x:f>
        <x:v>15.733</x:v>
      </x:c>
      <x:c r="J231" s="184" t="n">
        <x:f>IF(ISNUMBER(I231),B231*I231,0)</x:f>
        <x:v>18596406</x:v>
      </x:c>
      <x:c r="K231" s="184" t="n">
        <x:f>IF(AND(A231&lt;&gt;"",M231=0),B231*F231,0)</x:f>
        <x:v>886500</x:v>
      </x:c>
      <x:c r="L231" s="184" t="n">
        <x:f>IF(A231="",0,IF(ISNUMBER(I231),0,B231))</x:f>
        <x:v>0</x:v>
      </x:c>
      <x:c r="M231" s="185" t="n">
        <x:f>IF(A231="",0,IF(AND(ISNUMBER(F231),F231&gt;=0,F231&lt;=1,OR(G231="fitch_issue_recovery_estimate",G231="fitch_issue_recovery_rating",G231="reviewed_bbsf_fallback",G231="development_assumption"),H231&lt;&gt;""),0,B231))</x:f>
        <x:v>0</x:v>
      </x:c>
      <x:c r="N231" s="186" t="n">
        <x:f>IF(A231=Q231,0,1)+IF(B231=R231,0,1)+IF(C231=S231,0,1)+IF(D231=T231,0,1)+IF(E231=U231,0,1)+IF(F231=V231,0,1)+IF(G231=W231,0,1)+IF(H231=X231,0,1)</x:f>
        <x:v>0</x:v>
      </x:c>
      <x:c r="O231" s="186" t="n">
        <x:f>IF(A231="",0,IF(E231="",B231,0))</x:f>
        <x:v>1182000</x:v>
      </x:c>
      <x:c r="P231" s="187"/>
      <x:c r="Q231" s="179" t="str">
        <x:v>SYN-LN-00224</x:v>
      </x:c>
      <x:c r="R231" s="179" t="n">
        <x:v>1182000</x:v>
      </x:c>
      <x:c r="S231" s="179" t="str">
        <x:v>BB-</x:v>
      </x:c>
      <x:c r="T231" s="179" t="str">
        <x:v>development_proxy</x:v>
      </x:c>
      <x:c r="U231" s="179" t="str"/>
      <x:c r="V231" s="179" t="n">
        <x:v>0.75</x:v>
      </x:c>
      <x:c r="W231" s="179" t="str">
        <x:v>development_assumption</x:v>
      </x:c>
      <x:c r="X23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32" ht="107" customHeight="1">
      <x:c r="A232" s="179" t="str">
        <x:v>SYN-LN-00225</x:v>
      </x:c>
      <x:c r="B232" s="180" t="n">
        <x:f>IF(A232="","",SUMIF('Portfolio Inputs'!A8:A289,A232,'Portfolio Inputs'!D8:D289))</x:f>
        <x:v>1182000</x:v>
      </x:c>
      <x:c r="C232" s="179" t="str">
        <x:v>B</x:v>
      </x:c>
      <x:c r="D232" s="181" t="str">
        <x:v>development_proxy</x:v>
      </x:c>
      <x:c r="E232" s="181" t="str"/>
      <x:c r="F232" s="182" t="n">
        <x:v>0.75</x:v>
      </x:c>
      <x:c r="G232" s="181" t="str">
        <x:v>development_assumption</x:v>
      </x:c>
      <x:c r="H23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32" s="183" t="n">
        <x:f>IF(AND(C232&lt;&gt;"",OR(D232="public_fitch_idr",D232="reviewed_appendix5_equivalent",D232="development_proxy"),H232&lt;&gt;""),VLOOKUP(C232,Fitch_WARF_Factors,2,FALSE),"")</x:f>
        <x:v>23.671</x:v>
      </x:c>
      <x:c r="J232" s="184" t="n">
        <x:f>IF(ISNUMBER(I232),B232*I232,0)</x:f>
        <x:v>27979122</x:v>
      </x:c>
      <x:c r="K232" s="184" t="n">
        <x:f>IF(AND(A232&lt;&gt;"",M232=0),B232*F232,0)</x:f>
        <x:v>886500</x:v>
      </x:c>
      <x:c r="L232" s="184" t="n">
        <x:f>IF(A232="",0,IF(ISNUMBER(I232),0,B232))</x:f>
        <x:v>0</x:v>
      </x:c>
      <x:c r="M232" s="185" t="n">
        <x:f>IF(A232="",0,IF(AND(ISNUMBER(F232),F232&gt;=0,F232&lt;=1,OR(G232="fitch_issue_recovery_estimate",G232="fitch_issue_recovery_rating",G232="reviewed_bbsf_fallback",G232="development_assumption"),H232&lt;&gt;""),0,B232))</x:f>
        <x:v>0</x:v>
      </x:c>
      <x:c r="N232" s="186" t="n">
        <x:f>IF(A232=Q232,0,1)+IF(B232=R232,0,1)+IF(C232=S232,0,1)+IF(D232=T232,0,1)+IF(E232=U232,0,1)+IF(F232=V232,0,1)+IF(G232=W232,0,1)+IF(H232=X232,0,1)</x:f>
        <x:v>0</x:v>
      </x:c>
      <x:c r="O232" s="186" t="n">
        <x:f>IF(A232="",0,IF(E232="",B232,0))</x:f>
        <x:v>1182000</x:v>
      </x:c>
      <x:c r="P232" s="187"/>
      <x:c r="Q232" s="179" t="str">
        <x:v>SYN-LN-00225</x:v>
      </x:c>
      <x:c r="R232" s="179" t="n">
        <x:v>1182000</x:v>
      </x:c>
      <x:c r="S232" s="179" t="str">
        <x:v>B</x:v>
      </x:c>
      <x:c r="T232" s="179" t="str">
        <x:v>development_proxy</x:v>
      </x:c>
      <x:c r="U232" s="179" t="str"/>
      <x:c r="V232" s="179" t="n">
        <x:v>0.75</x:v>
      </x:c>
      <x:c r="W232" s="179" t="str">
        <x:v>development_assumption</x:v>
      </x:c>
      <x:c r="X23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33" ht="107" customHeight="1">
      <x:c r="A233" s="179" t="str">
        <x:v>SYN-LN-00226</x:v>
      </x:c>
      <x:c r="B233" s="180" t="n">
        <x:f>IF(A233="","",SUMIF('Portfolio Inputs'!A8:A289,A233,'Portfolio Inputs'!D8:D289))</x:f>
        <x:v>1182000</x:v>
      </x:c>
      <x:c r="C233" s="179" t="str">
        <x:v>B</x:v>
      </x:c>
      <x:c r="D233" s="181" t="str">
        <x:v>development_proxy</x:v>
      </x:c>
      <x:c r="E233" s="181" t="str"/>
      <x:c r="F233" s="182" t="n">
        <x:v>0.75</x:v>
      </x:c>
      <x:c r="G233" s="181" t="str">
        <x:v>development_assumption</x:v>
      </x:c>
      <x:c r="H23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33" s="183" t="n">
        <x:f>IF(AND(C233&lt;&gt;"",OR(D233="public_fitch_idr",D233="reviewed_appendix5_equivalent",D233="development_proxy"),H233&lt;&gt;""),VLOOKUP(C233,Fitch_WARF_Factors,2,FALSE),"")</x:f>
        <x:v>23.671</x:v>
      </x:c>
      <x:c r="J233" s="184" t="n">
        <x:f>IF(ISNUMBER(I233),B233*I233,0)</x:f>
        <x:v>27979122</x:v>
      </x:c>
      <x:c r="K233" s="184" t="n">
        <x:f>IF(AND(A233&lt;&gt;"",M233=0),B233*F233,0)</x:f>
        <x:v>886500</x:v>
      </x:c>
      <x:c r="L233" s="184" t="n">
        <x:f>IF(A233="",0,IF(ISNUMBER(I233),0,B233))</x:f>
        <x:v>0</x:v>
      </x:c>
      <x:c r="M233" s="185" t="n">
        <x:f>IF(A233="",0,IF(AND(ISNUMBER(F233),F233&gt;=0,F233&lt;=1,OR(G233="fitch_issue_recovery_estimate",G233="fitch_issue_recovery_rating",G233="reviewed_bbsf_fallback",G233="development_assumption"),H233&lt;&gt;""),0,B233))</x:f>
        <x:v>0</x:v>
      </x:c>
      <x:c r="N233" s="186" t="n">
        <x:f>IF(A233=Q233,0,1)+IF(B233=R233,0,1)+IF(C233=S233,0,1)+IF(D233=T233,0,1)+IF(E233=U233,0,1)+IF(F233=V233,0,1)+IF(G233=W233,0,1)+IF(H233=X233,0,1)</x:f>
        <x:v>0</x:v>
      </x:c>
      <x:c r="O233" s="186" t="n">
        <x:f>IF(A233="",0,IF(E233="",B233,0))</x:f>
        <x:v>1182000</x:v>
      </x:c>
      <x:c r="P233" s="187"/>
      <x:c r="Q233" s="179" t="str">
        <x:v>SYN-LN-00226</x:v>
      </x:c>
      <x:c r="R233" s="179" t="n">
        <x:v>1182000</x:v>
      </x:c>
      <x:c r="S233" s="179" t="str">
        <x:v>B</x:v>
      </x:c>
      <x:c r="T233" s="179" t="str">
        <x:v>development_proxy</x:v>
      </x:c>
      <x:c r="U233" s="179" t="str"/>
      <x:c r="V233" s="179" t="n">
        <x:v>0.75</x:v>
      </x:c>
      <x:c r="W233" s="179" t="str">
        <x:v>development_assumption</x:v>
      </x:c>
      <x:c r="X23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34" ht="107" customHeight="1">
      <x:c r="A234" s="179" t="str">
        <x:v>SYN-LN-00227</x:v>
      </x:c>
      <x:c r="B234" s="180" t="n">
        <x:f>IF(A234="","",SUMIF('Portfolio Inputs'!A8:A289,A234,'Portfolio Inputs'!D8:D289))</x:f>
        <x:v>1182000</x:v>
      </x:c>
      <x:c r="C234" s="179" t="str">
        <x:v>B+</x:v>
      </x:c>
      <x:c r="D234" s="181" t="str">
        <x:v>development_proxy</x:v>
      </x:c>
      <x:c r="E234" s="181" t="str"/>
      <x:c r="F234" s="182" t="n">
        <x:v>0.75</x:v>
      </x:c>
      <x:c r="G234" s="181" t="str">
        <x:v>development_assumption</x:v>
      </x:c>
      <x:c r="H23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34" s="183" t="n">
        <x:f>IF(AND(C234&lt;&gt;"",OR(D234="public_fitch_idr",D234="reviewed_appendix5_equivalent",D234="development_proxy"),H234&lt;&gt;""),VLOOKUP(C234,Fitch_WARF_Factors,2,FALSE),"")</x:f>
        <x:v>19.627</x:v>
      </x:c>
      <x:c r="J234" s="184" t="n">
        <x:f>IF(ISNUMBER(I234),B234*I234,0)</x:f>
        <x:v>23199114</x:v>
      </x:c>
      <x:c r="K234" s="184" t="n">
        <x:f>IF(AND(A234&lt;&gt;"",M234=0),B234*F234,0)</x:f>
        <x:v>886500</x:v>
      </x:c>
      <x:c r="L234" s="184" t="n">
        <x:f>IF(A234="",0,IF(ISNUMBER(I234),0,B234))</x:f>
        <x:v>0</x:v>
      </x:c>
      <x:c r="M234" s="185" t="n">
        <x:f>IF(A234="",0,IF(AND(ISNUMBER(F234),F234&gt;=0,F234&lt;=1,OR(G234="fitch_issue_recovery_estimate",G234="fitch_issue_recovery_rating",G234="reviewed_bbsf_fallback",G234="development_assumption"),H234&lt;&gt;""),0,B234))</x:f>
        <x:v>0</x:v>
      </x:c>
      <x:c r="N234" s="186" t="n">
        <x:f>IF(A234=Q234,0,1)+IF(B234=R234,0,1)+IF(C234=S234,0,1)+IF(D234=T234,0,1)+IF(E234=U234,0,1)+IF(F234=V234,0,1)+IF(G234=W234,0,1)+IF(H234=X234,0,1)</x:f>
        <x:v>0</x:v>
      </x:c>
      <x:c r="O234" s="186" t="n">
        <x:f>IF(A234="",0,IF(E234="",B234,0))</x:f>
        <x:v>1182000</x:v>
      </x:c>
      <x:c r="P234" s="187"/>
      <x:c r="Q234" s="179" t="str">
        <x:v>SYN-LN-00227</x:v>
      </x:c>
      <x:c r="R234" s="179" t="n">
        <x:v>1182000</x:v>
      </x:c>
      <x:c r="S234" s="179" t="str">
        <x:v>B+</x:v>
      </x:c>
      <x:c r="T234" s="179" t="str">
        <x:v>development_proxy</x:v>
      </x:c>
      <x:c r="U234" s="179" t="str"/>
      <x:c r="V234" s="179" t="n">
        <x:v>0.75</x:v>
      </x:c>
      <x:c r="W234" s="179" t="str">
        <x:v>development_assumption</x:v>
      </x:c>
      <x:c r="X23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35" ht="107" customHeight="1">
      <x:c r="A235" s="179" t="str">
        <x:v>SYN-LN-00228</x:v>
      </x:c>
      <x:c r="B235" s="180" t="n">
        <x:f>IF(A235="","",SUMIF('Portfolio Inputs'!A8:A289,A235,'Portfolio Inputs'!D8:D289))</x:f>
        <x:v>1182000</x:v>
      </x:c>
      <x:c r="C235" s="179" t="str">
        <x:v>B-</x:v>
      </x:c>
      <x:c r="D235" s="181" t="str">
        <x:v>development_proxy</x:v>
      </x:c>
      <x:c r="E235" s="181" t="str"/>
      <x:c r="F235" s="182" t="n">
        <x:v>0.75</x:v>
      </x:c>
      <x:c r="G235" s="181" t="str">
        <x:v>development_assumption</x:v>
      </x:c>
      <x:c r="H23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35" s="183" t="n">
        <x:f>IF(AND(C235&lt;&gt;"",OR(D235="public_fitch_idr",D235="reviewed_appendix5_equivalent",D235="development_proxy"),H235&lt;&gt;""),VLOOKUP(C235,Fitch_WARF_Factors,2,FALSE),"")</x:f>
        <x:v>32.221</x:v>
      </x:c>
      <x:c r="J235" s="184" t="n">
        <x:f>IF(ISNUMBER(I235),B235*I235,0)</x:f>
        <x:v>38085221.99999999</x:v>
      </x:c>
      <x:c r="K235" s="184" t="n">
        <x:f>IF(AND(A235&lt;&gt;"",M235=0),B235*F235,0)</x:f>
        <x:v>886500</x:v>
      </x:c>
      <x:c r="L235" s="184" t="n">
        <x:f>IF(A235="",0,IF(ISNUMBER(I235),0,B235))</x:f>
        <x:v>0</x:v>
      </x:c>
      <x:c r="M235" s="185" t="n">
        <x:f>IF(A235="",0,IF(AND(ISNUMBER(F235),F235&gt;=0,F235&lt;=1,OR(G235="fitch_issue_recovery_estimate",G235="fitch_issue_recovery_rating",G235="reviewed_bbsf_fallback",G235="development_assumption"),H235&lt;&gt;""),0,B235))</x:f>
        <x:v>0</x:v>
      </x:c>
      <x:c r="N235" s="186" t="n">
        <x:f>IF(A235=Q235,0,1)+IF(B235=R235,0,1)+IF(C235=S235,0,1)+IF(D235=T235,0,1)+IF(E235=U235,0,1)+IF(F235=V235,0,1)+IF(G235=W235,0,1)+IF(H235=X235,0,1)</x:f>
        <x:v>0</x:v>
      </x:c>
      <x:c r="O235" s="186" t="n">
        <x:f>IF(A235="",0,IF(E235="",B235,0))</x:f>
        <x:v>1182000</x:v>
      </x:c>
      <x:c r="P235" s="187"/>
      <x:c r="Q235" s="179" t="str">
        <x:v>SYN-LN-00228</x:v>
      </x:c>
      <x:c r="R235" s="179" t="n">
        <x:v>1182000</x:v>
      </x:c>
      <x:c r="S235" s="179" t="str">
        <x:v>B-</x:v>
      </x:c>
      <x:c r="T235" s="179" t="str">
        <x:v>development_proxy</x:v>
      </x:c>
      <x:c r="U235" s="179" t="str"/>
      <x:c r="V235" s="179" t="n">
        <x:v>0.75</x:v>
      </x:c>
      <x:c r="W235" s="179" t="str">
        <x:v>development_assumption</x:v>
      </x:c>
      <x:c r="X23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36" ht="107" customHeight="1">
      <x:c r="A236" s="179" t="str">
        <x:v>SYN-LN-00229</x:v>
      </x:c>
      <x:c r="B236" s="180" t="n">
        <x:f>IF(A236="","",SUMIF('Portfolio Inputs'!A8:A289,A236,'Portfolio Inputs'!D8:D289))</x:f>
        <x:v>1182000</x:v>
      </x:c>
      <x:c r="C236" s="179" t="str">
        <x:v>B-</x:v>
      </x:c>
      <x:c r="D236" s="181" t="str">
        <x:v>development_proxy</x:v>
      </x:c>
      <x:c r="E236" s="181" t="str"/>
      <x:c r="F236" s="182" t="n">
        <x:v>0.75</x:v>
      </x:c>
      <x:c r="G236" s="181" t="str">
        <x:v>development_assumption</x:v>
      </x:c>
      <x:c r="H23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36" s="183" t="n">
        <x:f>IF(AND(C236&lt;&gt;"",OR(D236="public_fitch_idr",D236="reviewed_appendix5_equivalent",D236="development_proxy"),H236&lt;&gt;""),VLOOKUP(C236,Fitch_WARF_Factors,2,FALSE),"")</x:f>
        <x:v>32.221</x:v>
      </x:c>
      <x:c r="J236" s="184" t="n">
        <x:f>IF(ISNUMBER(I236),B236*I236,0)</x:f>
        <x:v>38085221.99999999</x:v>
      </x:c>
      <x:c r="K236" s="184" t="n">
        <x:f>IF(AND(A236&lt;&gt;"",M236=0),B236*F236,0)</x:f>
        <x:v>886500</x:v>
      </x:c>
      <x:c r="L236" s="184" t="n">
        <x:f>IF(A236="",0,IF(ISNUMBER(I236),0,B236))</x:f>
        <x:v>0</x:v>
      </x:c>
      <x:c r="M236" s="185" t="n">
        <x:f>IF(A236="",0,IF(AND(ISNUMBER(F236),F236&gt;=0,F236&lt;=1,OR(G236="fitch_issue_recovery_estimate",G236="fitch_issue_recovery_rating",G236="reviewed_bbsf_fallback",G236="development_assumption"),H236&lt;&gt;""),0,B236))</x:f>
        <x:v>0</x:v>
      </x:c>
      <x:c r="N236" s="186" t="n">
        <x:f>IF(A236=Q236,0,1)+IF(B236=R236,0,1)+IF(C236=S236,0,1)+IF(D236=T236,0,1)+IF(E236=U236,0,1)+IF(F236=V236,0,1)+IF(G236=W236,0,1)+IF(H236=X236,0,1)</x:f>
        <x:v>0</x:v>
      </x:c>
      <x:c r="O236" s="186" t="n">
        <x:f>IF(A236="",0,IF(E236="",B236,0))</x:f>
        <x:v>1182000</x:v>
      </x:c>
      <x:c r="P236" s="187"/>
      <x:c r="Q236" s="179" t="str">
        <x:v>SYN-LN-00229</x:v>
      </x:c>
      <x:c r="R236" s="179" t="n">
        <x:v>1182000</x:v>
      </x:c>
      <x:c r="S236" s="179" t="str">
        <x:v>B-</x:v>
      </x:c>
      <x:c r="T236" s="179" t="str">
        <x:v>development_proxy</x:v>
      </x:c>
      <x:c r="U236" s="179" t="str"/>
      <x:c r="V236" s="179" t="n">
        <x:v>0.75</x:v>
      </x:c>
      <x:c r="W236" s="179" t="str">
        <x:v>development_assumption</x:v>
      </x:c>
      <x:c r="X23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37" ht="107" customHeight="1">
      <x:c r="A237" s="179" t="str">
        <x:v>SYN-LN-00230</x:v>
      </x:c>
      <x:c r="B237" s="180" t="n">
        <x:f>IF(A237="","",SUMIF('Portfolio Inputs'!A8:A289,A237,'Portfolio Inputs'!D8:D289))</x:f>
        <x:v>1182000</x:v>
      </x:c>
      <x:c r="C237" s="179" t="str">
        <x:v>BB</x:v>
      </x:c>
      <x:c r="D237" s="181" t="str">
        <x:v>development_proxy</x:v>
      </x:c>
      <x:c r="E237" s="181" t="str"/>
      <x:c r="F237" s="182" t="n">
        <x:v>0.65</x:v>
      </x:c>
      <x:c r="G237" s="181" t="str">
        <x:v>development_assumption</x:v>
      </x:c>
      <x:c r="H237" s="181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  <x:c r="I237" s="183" t="n">
        <x:f>IF(AND(C237&lt;&gt;"",OR(D237="public_fitch_idr",D237="reviewed_appendix5_equivalent",D237="development_proxy"),H237&lt;&gt;""),VLOOKUP(C237,Fitch_WARF_Factors,2,FALSE),"")</x:f>
        <x:v>11.844</x:v>
      </x:c>
      <x:c r="J237" s="184" t="n">
        <x:f>IF(ISNUMBER(I237),B237*I237,0)</x:f>
        <x:v>13999608</x:v>
      </x:c>
      <x:c r="K237" s="184" t="n">
        <x:f>IF(AND(A237&lt;&gt;"",M237=0),B237*F237,0)</x:f>
        <x:v>768300</x:v>
      </x:c>
      <x:c r="L237" s="184" t="n">
        <x:f>IF(A237="",0,IF(ISNUMBER(I237),0,B237))</x:f>
        <x:v>0</x:v>
      </x:c>
      <x:c r="M237" s="185" t="n">
        <x:f>IF(A237="",0,IF(AND(ISNUMBER(F237),F237&gt;=0,F237&lt;=1,OR(G237="fitch_issue_recovery_estimate",G237="fitch_issue_recovery_rating",G237="reviewed_bbsf_fallback",G237="development_assumption"),H237&lt;&gt;""),0,B237))</x:f>
        <x:v>0</x:v>
      </x:c>
      <x:c r="N237" s="186" t="n">
        <x:f>IF(A237=Q237,0,1)+IF(B237=R237,0,1)+IF(C237=S237,0,1)+IF(D237=T237,0,1)+IF(E237=U237,0,1)+IF(F237=V237,0,1)+IF(G237=W237,0,1)+IF(H237=X237,0,1)</x:f>
        <x:v>0</x:v>
      </x:c>
      <x:c r="O237" s="186" t="n">
        <x:f>IF(A237="",0,IF(E237="",B237,0))</x:f>
        <x:v>1182000</x:v>
      </x:c>
      <x:c r="P237" s="187"/>
      <x:c r="Q237" s="179" t="str">
        <x:v>SYN-LN-00230</x:v>
      </x:c>
      <x:c r="R237" s="179" t="n">
        <x:v>1182000</x:v>
      </x:c>
      <x:c r="S237" s="179" t="str">
        <x:v>BB</x:v>
      </x:c>
      <x:c r="T237" s="179" t="str">
        <x:v>development_proxy</x:v>
      </x:c>
      <x:c r="U237" s="179" t="str"/>
      <x:c r="V237" s="179" t="n">
        <x:v>0.65</x:v>
      </x:c>
      <x:c r="W237" s="179" t="str">
        <x:v>development_assumption</x:v>
      </x:c>
      <x:c r="X237" s="179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</x:row>
    <x:row r="238" ht="107" customHeight="1">
      <x:c r="A238" s="179" t="str">
        <x:v>SYN-LN-00231</x:v>
      </x:c>
      <x:c r="B238" s="180" t="n">
        <x:f>IF(A238="","",SUMIF('Portfolio Inputs'!A8:A289,A238,'Portfolio Inputs'!D8:D289))</x:f>
        <x:v>1182000</x:v>
      </x:c>
      <x:c r="C238" s="179" t="str">
        <x:v>B-</x:v>
      </x:c>
      <x:c r="D238" s="181" t="str">
        <x:v>development_proxy</x:v>
      </x:c>
      <x:c r="E238" s="181" t="str"/>
      <x:c r="F238" s="182" t="n">
        <x:v>0.75</x:v>
      </x:c>
      <x:c r="G238" s="181" t="str">
        <x:v>development_assumption</x:v>
      </x:c>
      <x:c r="H23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38" s="183" t="n">
        <x:f>IF(AND(C238&lt;&gt;"",OR(D238="public_fitch_idr",D238="reviewed_appendix5_equivalent",D238="development_proxy"),H238&lt;&gt;""),VLOOKUP(C238,Fitch_WARF_Factors,2,FALSE),"")</x:f>
        <x:v>32.221</x:v>
      </x:c>
      <x:c r="J238" s="184" t="n">
        <x:f>IF(ISNUMBER(I238),B238*I238,0)</x:f>
        <x:v>38085221.99999999</x:v>
      </x:c>
      <x:c r="K238" s="184" t="n">
        <x:f>IF(AND(A238&lt;&gt;"",M238=0),B238*F238,0)</x:f>
        <x:v>886500</x:v>
      </x:c>
      <x:c r="L238" s="184" t="n">
        <x:f>IF(A238="",0,IF(ISNUMBER(I238),0,B238))</x:f>
        <x:v>0</x:v>
      </x:c>
      <x:c r="M238" s="185" t="n">
        <x:f>IF(A238="",0,IF(AND(ISNUMBER(F238),F238&gt;=0,F238&lt;=1,OR(G238="fitch_issue_recovery_estimate",G238="fitch_issue_recovery_rating",G238="reviewed_bbsf_fallback",G238="development_assumption"),H238&lt;&gt;""),0,B238))</x:f>
        <x:v>0</x:v>
      </x:c>
      <x:c r="N238" s="186" t="n">
        <x:f>IF(A238=Q238,0,1)+IF(B238=R238,0,1)+IF(C238=S238,0,1)+IF(D238=T238,0,1)+IF(E238=U238,0,1)+IF(F238=V238,0,1)+IF(G238=W238,0,1)+IF(H238=X238,0,1)</x:f>
        <x:v>0</x:v>
      </x:c>
      <x:c r="O238" s="186" t="n">
        <x:f>IF(A238="",0,IF(E238="",B238,0))</x:f>
        <x:v>1182000</x:v>
      </x:c>
      <x:c r="P238" s="187"/>
      <x:c r="Q238" s="179" t="str">
        <x:v>SYN-LN-00231</x:v>
      </x:c>
      <x:c r="R238" s="179" t="n">
        <x:v>1182000</x:v>
      </x:c>
      <x:c r="S238" s="179" t="str">
        <x:v>B-</x:v>
      </x:c>
      <x:c r="T238" s="179" t="str">
        <x:v>development_proxy</x:v>
      </x:c>
      <x:c r="U238" s="179" t="str"/>
      <x:c r="V238" s="179" t="n">
        <x:v>0.75</x:v>
      </x:c>
      <x:c r="W238" s="179" t="str">
        <x:v>development_assumption</x:v>
      </x:c>
      <x:c r="X23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39" ht="107" customHeight="1">
      <x:c r="A239" s="179" t="str">
        <x:v>SYN-LN-00232</x:v>
      </x:c>
      <x:c r="B239" s="180" t="n">
        <x:f>IF(A239="","",SUMIF('Portfolio Inputs'!A8:A289,A239,'Portfolio Inputs'!D8:D289))</x:f>
        <x:v>650000</x:v>
      </x:c>
      <x:c r="C239" s="179" t="str">
        <x:v>BB-</x:v>
      </x:c>
      <x:c r="D239" s="181" t="str">
        <x:v>development_proxy</x:v>
      </x:c>
      <x:c r="E239" s="181" t="str"/>
      <x:c r="F239" s="182" t="n">
        <x:v>0.75</x:v>
      </x:c>
      <x:c r="G239" s="181" t="str">
        <x:v>development_assumption</x:v>
      </x:c>
      <x:c r="H23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39" s="183" t="n">
        <x:f>IF(AND(C239&lt;&gt;"",OR(D239="public_fitch_idr",D239="reviewed_appendix5_equivalent",D239="development_proxy"),H239&lt;&gt;""),VLOOKUP(C239,Fitch_WARF_Factors,2,FALSE),"")</x:f>
        <x:v>15.733</x:v>
      </x:c>
      <x:c r="J239" s="184" t="n">
        <x:f>IF(ISNUMBER(I239),B239*I239,0)</x:f>
        <x:v>10226450</x:v>
      </x:c>
      <x:c r="K239" s="184" t="n">
        <x:f>IF(AND(A239&lt;&gt;"",M239=0),B239*F239,0)</x:f>
        <x:v>487500</x:v>
      </x:c>
      <x:c r="L239" s="184" t="n">
        <x:f>IF(A239="",0,IF(ISNUMBER(I239),0,B239))</x:f>
        <x:v>0</x:v>
      </x:c>
      <x:c r="M239" s="185" t="n">
        <x:f>IF(A239="",0,IF(AND(ISNUMBER(F239),F239&gt;=0,F239&lt;=1,OR(G239="fitch_issue_recovery_estimate",G239="fitch_issue_recovery_rating",G239="reviewed_bbsf_fallback",G239="development_assumption"),H239&lt;&gt;""),0,B239))</x:f>
        <x:v>0</x:v>
      </x:c>
      <x:c r="N239" s="186" t="n">
        <x:f>IF(A239=Q239,0,1)+IF(B239=R239,0,1)+IF(C239=S239,0,1)+IF(D239=T239,0,1)+IF(E239=U239,0,1)+IF(F239=V239,0,1)+IF(G239=W239,0,1)+IF(H239=X239,0,1)</x:f>
        <x:v>0</x:v>
      </x:c>
      <x:c r="O239" s="186" t="n">
        <x:f>IF(A239="",0,IF(E239="",B239,0))</x:f>
        <x:v>650000</x:v>
      </x:c>
      <x:c r="P239" s="187"/>
      <x:c r="Q239" s="179" t="str">
        <x:v>SYN-LN-00232</x:v>
      </x:c>
      <x:c r="R239" s="179" t="n">
        <x:v>650000</x:v>
      </x:c>
      <x:c r="S239" s="179" t="str">
        <x:v>BB-</x:v>
      </x:c>
      <x:c r="T239" s="179" t="str">
        <x:v>development_proxy</x:v>
      </x:c>
      <x:c r="U239" s="179" t="str"/>
      <x:c r="V239" s="179" t="n">
        <x:v>0.75</x:v>
      </x:c>
      <x:c r="W239" s="179" t="str">
        <x:v>development_assumption</x:v>
      </x:c>
      <x:c r="X23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40" ht="107" customHeight="1">
      <x:c r="A240" s="179" t="str">
        <x:v>SYN-LN-00233</x:v>
      </x:c>
      <x:c r="B240" s="180" t="n">
        <x:f>IF(A240="","",SUMIF('Portfolio Inputs'!A8:A289,A240,'Portfolio Inputs'!D8:D289))</x:f>
        <x:v>532000</x:v>
      </x:c>
      <x:c r="C240" s="179" t="str">
        <x:v>BB-</x:v>
      </x:c>
      <x:c r="D240" s="181" t="str">
        <x:v>development_proxy</x:v>
      </x:c>
      <x:c r="E240" s="181" t="str"/>
      <x:c r="F240" s="182" t="n">
        <x:v>0.75</x:v>
      </x:c>
      <x:c r="G240" s="181" t="str">
        <x:v>development_assumption</x:v>
      </x:c>
      <x:c r="H24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40" s="183" t="n">
        <x:f>IF(AND(C240&lt;&gt;"",OR(D240="public_fitch_idr",D240="reviewed_appendix5_equivalent",D240="development_proxy"),H240&lt;&gt;""),VLOOKUP(C240,Fitch_WARF_Factors,2,FALSE),"")</x:f>
        <x:v>15.733</x:v>
      </x:c>
      <x:c r="J240" s="184" t="n">
        <x:f>IF(ISNUMBER(I240),B240*I240,0)</x:f>
        <x:v>8369956</x:v>
      </x:c>
      <x:c r="K240" s="184" t="n">
        <x:f>IF(AND(A240&lt;&gt;"",M240=0),B240*F240,0)</x:f>
        <x:v>399000</x:v>
      </x:c>
      <x:c r="L240" s="184" t="n">
        <x:f>IF(A240="",0,IF(ISNUMBER(I240),0,B240))</x:f>
        <x:v>0</x:v>
      </x:c>
      <x:c r="M240" s="185" t="n">
        <x:f>IF(A240="",0,IF(AND(ISNUMBER(F240),F240&gt;=0,F240&lt;=1,OR(G240="fitch_issue_recovery_estimate",G240="fitch_issue_recovery_rating",G240="reviewed_bbsf_fallback",G240="development_assumption"),H240&lt;&gt;""),0,B240))</x:f>
        <x:v>0</x:v>
      </x:c>
      <x:c r="N240" s="186" t="n">
        <x:f>IF(A240=Q240,0,1)+IF(B240=R240,0,1)+IF(C240=S240,0,1)+IF(D240=T240,0,1)+IF(E240=U240,0,1)+IF(F240=V240,0,1)+IF(G240=W240,0,1)+IF(H240=X240,0,1)</x:f>
        <x:v>0</x:v>
      </x:c>
      <x:c r="O240" s="186" t="n">
        <x:f>IF(A240="",0,IF(E240="",B240,0))</x:f>
        <x:v>532000</x:v>
      </x:c>
      <x:c r="P240" s="187"/>
      <x:c r="Q240" s="179" t="str">
        <x:v>SYN-LN-00233</x:v>
      </x:c>
      <x:c r="R240" s="179" t="n">
        <x:v>532000</x:v>
      </x:c>
      <x:c r="S240" s="179" t="str">
        <x:v>BB-</x:v>
      </x:c>
      <x:c r="T240" s="179" t="str">
        <x:v>development_proxy</x:v>
      </x:c>
      <x:c r="U240" s="179" t="str"/>
      <x:c r="V240" s="179" t="n">
        <x:v>0.75</x:v>
      </x:c>
      <x:c r="W240" s="179" t="str">
        <x:v>development_assumption</x:v>
      </x:c>
      <x:c r="X24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41" ht="107" customHeight="1">
      <x:c r="A241" s="179" t="str">
        <x:v>SYN-LN-00234</x:v>
      </x:c>
      <x:c r="B241" s="180" t="n">
        <x:f>IF(A241="","",SUMIF('Portfolio Inputs'!A8:A289,A241,'Portfolio Inputs'!D8:D289))</x:f>
        <x:v>1182000</x:v>
      </x:c>
      <x:c r="C241" s="179" t="str">
        <x:v>BB-</x:v>
      </x:c>
      <x:c r="D241" s="181" t="str">
        <x:v>development_proxy</x:v>
      </x:c>
      <x:c r="E241" s="181" t="str"/>
      <x:c r="F241" s="182" t="n">
        <x:v>0.65</x:v>
      </x:c>
      <x:c r="G241" s="181" t="str">
        <x:v>development_assumption</x:v>
      </x:c>
      <x:c r="H241" s="181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  <x:c r="I241" s="183" t="n">
        <x:f>IF(AND(C241&lt;&gt;"",OR(D241="public_fitch_idr",D241="reviewed_appendix5_equivalent",D241="development_proxy"),H241&lt;&gt;""),VLOOKUP(C241,Fitch_WARF_Factors,2,FALSE),"")</x:f>
        <x:v>15.733</x:v>
      </x:c>
      <x:c r="J241" s="184" t="n">
        <x:f>IF(ISNUMBER(I241),B241*I241,0)</x:f>
        <x:v>18596406</x:v>
      </x:c>
      <x:c r="K241" s="184" t="n">
        <x:f>IF(AND(A241&lt;&gt;"",M241=0),B241*F241,0)</x:f>
        <x:v>768300</x:v>
      </x:c>
      <x:c r="L241" s="184" t="n">
        <x:f>IF(A241="",0,IF(ISNUMBER(I241),0,B241))</x:f>
        <x:v>0</x:v>
      </x:c>
      <x:c r="M241" s="185" t="n">
        <x:f>IF(A241="",0,IF(AND(ISNUMBER(F241),F241&gt;=0,F241&lt;=1,OR(G241="fitch_issue_recovery_estimate",G241="fitch_issue_recovery_rating",G241="reviewed_bbsf_fallback",G241="development_assumption"),H241&lt;&gt;""),0,B241))</x:f>
        <x:v>0</x:v>
      </x:c>
      <x:c r="N241" s="186" t="n">
        <x:f>IF(A241=Q241,0,1)+IF(B241=R241,0,1)+IF(C241=S241,0,1)+IF(D241=T241,0,1)+IF(E241=U241,0,1)+IF(F241=V241,0,1)+IF(G241=W241,0,1)+IF(H241=X241,0,1)</x:f>
        <x:v>0</x:v>
      </x:c>
      <x:c r="O241" s="186" t="n">
        <x:f>IF(A241="",0,IF(E241="",B241,0))</x:f>
        <x:v>1182000</x:v>
      </x:c>
      <x:c r="P241" s="187"/>
      <x:c r="Q241" s="179" t="str">
        <x:v>SYN-LN-00234</x:v>
      </x:c>
      <x:c r="R241" s="179" t="n">
        <x:v>1182000</x:v>
      </x:c>
      <x:c r="S241" s="179" t="str">
        <x:v>BB-</x:v>
      </x:c>
      <x:c r="T241" s="179" t="str">
        <x:v>development_proxy</x:v>
      </x:c>
      <x:c r="U241" s="179" t="str"/>
      <x:c r="V241" s="179" t="n">
        <x:v>0.65</x:v>
      </x:c>
      <x:c r="W241" s="179" t="str">
        <x:v>development_assumption</x:v>
      </x:c>
      <x:c r="X241" s="179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</x:row>
    <x:row r="242" ht="107" customHeight="1">
      <x:c r="A242" s="179" t="str">
        <x:v>SYN-LN-00235</x:v>
      </x:c>
      <x:c r="B242" s="180" t="n">
        <x:f>IF(A242="","",SUMIF('Portfolio Inputs'!A8:A289,A242,'Portfolio Inputs'!D8:D289))</x:f>
        <x:v>1182000</x:v>
      </x:c>
      <x:c r="C242" s="179" t="str">
        <x:v>B</x:v>
      </x:c>
      <x:c r="D242" s="181" t="str">
        <x:v>development_proxy</x:v>
      </x:c>
      <x:c r="E242" s="181" t="str"/>
      <x:c r="F242" s="182" t="n">
        <x:v>0.75</x:v>
      </x:c>
      <x:c r="G242" s="181" t="str">
        <x:v>development_assumption</x:v>
      </x:c>
      <x:c r="H24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42" s="183" t="n">
        <x:f>IF(AND(C242&lt;&gt;"",OR(D242="public_fitch_idr",D242="reviewed_appendix5_equivalent",D242="development_proxy"),H242&lt;&gt;""),VLOOKUP(C242,Fitch_WARF_Factors,2,FALSE),"")</x:f>
        <x:v>23.671</x:v>
      </x:c>
      <x:c r="J242" s="184" t="n">
        <x:f>IF(ISNUMBER(I242),B242*I242,0)</x:f>
        <x:v>27979122</x:v>
      </x:c>
      <x:c r="K242" s="184" t="n">
        <x:f>IF(AND(A242&lt;&gt;"",M242=0),B242*F242,0)</x:f>
        <x:v>886500</x:v>
      </x:c>
      <x:c r="L242" s="184" t="n">
        <x:f>IF(A242="",0,IF(ISNUMBER(I242),0,B242))</x:f>
        <x:v>0</x:v>
      </x:c>
      <x:c r="M242" s="185" t="n">
        <x:f>IF(A242="",0,IF(AND(ISNUMBER(F242),F242&gt;=0,F242&lt;=1,OR(G242="fitch_issue_recovery_estimate",G242="fitch_issue_recovery_rating",G242="reviewed_bbsf_fallback",G242="development_assumption"),H242&lt;&gt;""),0,B242))</x:f>
        <x:v>0</x:v>
      </x:c>
      <x:c r="N242" s="186" t="n">
        <x:f>IF(A242=Q242,0,1)+IF(B242=R242,0,1)+IF(C242=S242,0,1)+IF(D242=T242,0,1)+IF(E242=U242,0,1)+IF(F242=V242,0,1)+IF(G242=W242,0,1)+IF(H242=X242,0,1)</x:f>
        <x:v>0</x:v>
      </x:c>
      <x:c r="O242" s="186" t="n">
        <x:f>IF(A242="",0,IF(E242="",B242,0))</x:f>
        <x:v>1182000</x:v>
      </x:c>
      <x:c r="P242" s="187"/>
      <x:c r="Q242" s="179" t="str">
        <x:v>SYN-LN-00235</x:v>
      </x:c>
      <x:c r="R242" s="179" t="n">
        <x:v>1182000</x:v>
      </x:c>
      <x:c r="S242" s="179" t="str">
        <x:v>B</x:v>
      </x:c>
      <x:c r="T242" s="179" t="str">
        <x:v>development_proxy</x:v>
      </x:c>
      <x:c r="U242" s="179" t="str"/>
      <x:c r="V242" s="179" t="n">
        <x:v>0.75</x:v>
      </x:c>
      <x:c r="W242" s="179" t="str">
        <x:v>development_assumption</x:v>
      </x:c>
      <x:c r="X24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43" ht="107" customHeight="1">
      <x:c r="A243" s="179" t="str">
        <x:v>SYN-LN-00236</x:v>
      </x:c>
      <x:c r="B243" s="180" t="n">
        <x:f>IF(A243="","",SUMIF('Portfolio Inputs'!A8:A289,A243,'Portfolio Inputs'!D8:D289))</x:f>
        <x:v>1182000</x:v>
      </x:c>
      <x:c r="C243" s="179" t="str">
        <x:v>BB+</x:v>
      </x:c>
      <x:c r="D243" s="181" t="str">
        <x:v>development_proxy</x:v>
      </x:c>
      <x:c r="E243" s="181" t="str"/>
      <x:c r="F243" s="182" t="n">
        <x:v>0.75</x:v>
      </x:c>
      <x:c r="G243" s="181" t="str">
        <x:v>development_assumption</x:v>
      </x:c>
      <x:c r="H24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43" s="183" t="n">
        <x:f>IF(AND(C243&lt;&gt;"",OR(D243="public_fitch_idr",D243="reviewed_appendix5_equivalent",D243="development_proxy"),H243&lt;&gt;""),VLOOKUP(C243,Fitch_WARF_Factors,2,FALSE),"")</x:f>
        <x:v>8.903</x:v>
      </x:c>
      <x:c r="J243" s="184" t="n">
        <x:f>IF(ISNUMBER(I243),B243*I243,0)</x:f>
        <x:v>10523346</x:v>
      </x:c>
      <x:c r="K243" s="184" t="n">
        <x:f>IF(AND(A243&lt;&gt;"",M243=0),B243*F243,0)</x:f>
        <x:v>886500</x:v>
      </x:c>
      <x:c r="L243" s="184" t="n">
        <x:f>IF(A243="",0,IF(ISNUMBER(I243),0,B243))</x:f>
        <x:v>0</x:v>
      </x:c>
      <x:c r="M243" s="185" t="n">
        <x:f>IF(A243="",0,IF(AND(ISNUMBER(F243),F243&gt;=0,F243&lt;=1,OR(G243="fitch_issue_recovery_estimate",G243="fitch_issue_recovery_rating",G243="reviewed_bbsf_fallback",G243="development_assumption"),H243&lt;&gt;""),0,B243))</x:f>
        <x:v>0</x:v>
      </x:c>
      <x:c r="N243" s="186" t="n">
        <x:f>IF(A243=Q243,0,1)+IF(B243=R243,0,1)+IF(C243=S243,0,1)+IF(D243=T243,0,1)+IF(E243=U243,0,1)+IF(F243=V243,0,1)+IF(G243=W243,0,1)+IF(H243=X243,0,1)</x:f>
        <x:v>0</x:v>
      </x:c>
      <x:c r="O243" s="186" t="n">
        <x:f>IF(A243="",0,IF(E243="",B243,0))</x:f>
        <x:v>1182000</x:v>
      </x:c>
      <x:c r="P243" s="187"/>
      <x:c r="Q243" s="179" t="str">
        <x:v>SYN-LN-00236</x:v>
      </x:c>
      <x:c r="R243" s="179" t="n">
        <x:v>1182000</x:v>
      </x:c>
      <x:c r="S243" s="179" t="str">
        <x:v>BB+</x:v>
      </x:c>
      <x:c r="T243" s="179" t="str">
        <x:v>development_proxy</x:v>
      </x:c>
      <x:c r="U243" s="179" t="str"/>
      <x:c r="V243" s="179" t="n">
        <x:v>0.75</x:v>
      </x:c>
      <x:c r="W243" s="179" t="str">
        <x:v>development_assumption</x:v>
      </x:c>
      <x:c r="X24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44" ht="107" customHeight="1">
      <x:c r="A244" s="179" t="str">
        <x:v>SYN-LN-00237</x:v>
      </x:c>
      <x:c r="B244" s="180" t="n">
        <x:f>IF(A244="","",SUMIF('Portfolio Inputs'!A8:A289,A244,'Portfolio Inputs'!D8:D289))</x:f>
        <x:v>1182000</x:v>
      </x:c>
      <x:c r="C244" s="179" t="str">
        <x:v>BB-</x:v>
      </x:c>
      <x:c r="D244" s="181" t="str">
        <x:v>development_proxy</x:v>
      </x:c>
      <x:c r="E244" s="181" t="str"/>
      <x:c r="F244" s="182" t="n">
        <x:v>0.75</x:v>
      </x:c>
      <x:c r="G244" s="181" t="str">
        <x:v>development_assumption</x:v>
      </x:c>
      <x:c r="H24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44" s="183" t="n">
        <x:f>IF(AND(C244&lt;&gt;"",OR(D244="public_fitch_idr",D244="reviewed_appendix5_equivalent",D244="development_proxy"),H244&lt;&gt;""),VLOOKUP(C244,Fitch_WARF_Factors,2,FALSE),"")</x:f>
        <x:v>15.733</x:v>
      </x:c>
      <x:c r="J244" s="184" t="n">
        <x:f>IF(ISNUMBER(I244),B244*I244,0)</x:f>
        <x:v>18596406</x:v>
      </x:c>
      <x:c r="K244" s="184" t="n">
        <x:f>IF(AND(A244&lt;&gt;"",M244=0),B244*F244,0)</x:f>
        <x:v>886500</x:v>
      </x:c>
      <x:c r="L244" s="184" t="n">
        <x:f>IF(A244="",0,IF(ISNUMBER(I244),0,B244))</x:f>
        <x:v>0</x:v>
      </x:c>
      <x:c r="M244" s="185" t="n">
        <x:f>IF(A244="",0,IF(AND(ISNUMBER(F244),F244&gt;=0,F244&lt;=1,OR(G244="fitch_issue_recovery_estimate",G244="fitch_issue_recovery_rating",G244="reviewed_bbsf_fallback",G244="development_assumption"),H244&lt;&gt;""),0,B244))</x:f>
        <x:v>0</x:v>
      </x:c>
      <x:c r="N244" s="186" t="n">
        <x:f>IF(A244=Q244,0,1)+IF(B244=R244,0,1)+IF(C244=S244,0,1)+IF(D244=T244,0,1)+IF(E244=U244,0,1)+IF(F244=V244,0,1)+IF(G244=W244,0,1)+IF(H244=X244,0,1)</x:f>
        <x:v>0</x:v>
      </x:c>
      <x:c r="O244" s="186" t="n">
        <x:f>IF(A244="",0,IF(E244="",B244,0))</x:f>
        <x:v>1182000</x:v>
      </x:c>
      <x:c r="P244" s="187"/>
      <x:c r="Q244" s="179" t="str">
        <x:v>SYN-LN-00237</x:v>
      </x:c>
      <x:c r="R244" s="179" t="n">
        <x:v>1182000</x:v>
      </x:c>
      <x:c r="S244" s="179" t="str">
        <x:v>BB-</x:v>
      </x:c>
      <x:c r="T244" s="179" t="str">
        <x:v>development_proxy</x:v>
      </x:c>
      <x:c r="U244" s="179" t="str"/>
      <x:c r="V244" s="179" t="n">
        <x:v>0.75</x:v>
      </x:c>
      <x:c r="W244" s="179" t="str">
        <x:v>development_assumption</x:v>
      </x:c>
      <x:c r="X24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45" ht="107" customHeight="1">
      <x:c r="A245" s="179" t="str">
        <x:v>SYN-LN-00238</x:v>
      </x:c>
      <x:c r="B245" s="180" t="n">
        <x:f>IF(A245="","",SUMIF('Portfolio Inputs'!A8:A289,A245,'Portfolio Inputs'!D8:D289))</x:f>
        <x:v>1182000</x:v>
      </x:c>
      <x:c r="C245" s="179" t="str">
        <x:v>B+</x:v>
      </x:c>
      <x:c r="D245" s="181" t="str">
        <x:v>development_proxy</x:v>
      </x:c>
      <x:c r="E245" s="181" t="str"/>
      <x:c r="F245" s="182" t="n">
        <x:v>0.75</x:v>
      </x:c>
      <x:c r="G245" s="181" t="str">
        <x:v>development_assumption</x:v>
      </x:c>
      <x:c r="H24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45" s="183" t="n">
        <x:f>IF(AND(C245&lt;&gt;"",OR(D245="public_fitch_idr",D245="reviewed_appendix5_equivalent",D245="development_proxy"),H245&lt;&gt;""),VLOOKUP(C245,Fitch_WARF_Factors,2,FALSE),"")</x:f>
        <x:v>19.627</x:v>
      </x:c>
      <x:c r="J245" s="184" t="n">
        <x:f>IF(ISNUMBER(I245),B245*I245,0)</x:f>
        <x:v>23199114</x:v>
      </x:c>
      <x:c r="K245" s="184" t="n">
        <x:f>IF(AND(A245&lt;&gt;"",M245=0),B245*F245,0)</x:f>
        <x:v>886500</x:v>
      </x:c>
      <x:c r="L245" s="184" t="n">
        <x:f>IF(A245="",0,IF(ISNUMBER(I245),0,B245))</x:f>
        <x:v>0</x:v>
      </x:c>
      <x:c r="M245" s="185" t="n">
        <x:f>IF(A245="",0,IF(AND(ISNUMBER(F245),F245&gt;=0,F245&lt;=1,OR(G245="fitch_issue_recovery_estimate",G245="fitch_issue_recovery_rating",G245="reviewed_bbsf_fallback",G245="development_assumption"),H245&lt;&gt;""),0,B245))</x:f>
        <x:v>0</x:v>
      </x:c>
      <x:c r="N245" s="186" t="n">
        <x:f>IF(A245=Q245,0,1)+IF(B245=R245,0,1)+IF(C245=S245,0,1)+IF(D245=T245,0,1)+IF(E245=U245,0,1)+IF(F245=V245,0,1)+IF(G245=W245,0,1)+IF(H245=X245,0,1)</x:f>
        <x:v>0</x:v>
      </x:c>
      <x:c r="O245" s="186" t="n">
        <x:f>IF(A245="",0,IF(E245="",B245,0))</x:f>
        <x:v>1182000</x:v>
      </x:c>
      <x:c r="P245" s="187"/>
      <x:c r="Q245" s="179" t="str">
        <x:v>SYN-LN-00238</x:v>
      </x:c>
      <x:c r="R245" s="179" t="n">
        <x:v>1182000</x:v>
      </x:c>
      <x:c r="S245" s="179" t="str">
        <x:v>B+</x:v>
      </x:c>
      <x:c r="T245" s="179" t="str">
        <x:v>development_proxy</x:v>
      </x:c>
      <x:c r="U245" s="179" t="str"/>
      <x:c r="V245" s="179" t="n">
        <x:v>0.75</x:v>
      </x:c>
      <x:c r="W245" s="179" t="str">
        <x:v>development_assumption</x:v>
      </x:c>
      <x:c r="X24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46" ht="107" customHeight="1">
      <x:c r="A246" s="179" t="str">
        <x:v>SYN-LN-00239</x:v>
      </x:c>
      <x:c r="B246" s="180" t="n">
        <x:f>IF(A246="","",SUMIF('Portfolio Inputs'!A8:A289,A246,'Portfolio Inputs'!D8:D289))</x:f>
        <x:v>630000</x:v>
      </x:c>
      <x:c r="C246" s="179" t="str">
        <x:v>BBB-</x:v>
      </x:c>
      <x:c r="D246" s="181" t="str">
        <x:v>development_proxy</x:v>
      </x:c>
      <x:c r="E246" s="181" t="str"/>
      <x:c r="F246" s="182" t="n">
        <x:v>0.65</x:v>
      </x:c>
      <x:c r="G246" s="181" t="str">
        <x:v>development_assumption</x:v>
      </x:c>
      <x:c r="H246" s="181" t="str">
        <x:v>FICTIONAL DEVELOPMENT: copied S&amp;P symbol as Fitch IDR-equivalency proxy; no Fitch rating or Appendix 5 review. Assumed first-lien facility is senior secured loan with no issue recovery opinion; Ireland Group 2; Fitch June 1 2026 Appendix 4 pp42-43 and Appendix 6 pp47-48 BBsf Strong fallback.</x:v>
      </x:c>
      <x:c r="I246" s="183" t="n">
        <x:f>IF(AND(C246&lt;&gt;"",OR(D246="public_fitch_idr",D246="reviewed_appendix5_equivalent",D246="development_proxy"),H246&lt;&gt;""),VLOOKUP(C246,Fitch_WARF_Factors,2,FALSE),"")</x:f>
        <x:v>6.039</x:v>
      </x:c>
      <x:c r="J246" s="184" t="n">
        <x:f>IF(ISNUMBER(I246),B246*I246,0)</x:f>
        <x:v>3804570</x:v>
      </x:c>
      <x:c r="K246" s="184" t="n">
        <x:f>IF(AND(A246&lt;&gt;"",M246=0),B246*F246,0)</x:f>
        <x:v>409500</x:v>
      </x:c>
      <x:c r="L246" s="184" t="n">
        <x:f>IF(A246="",0,IF(ISNUMBER(I246),0,B246))</x:f>
        <x:v>0</x:v>
      </x:c>
      <x:c r="M246" s="185" t="n">
        <x:f>IF(A246="",0,IF(AND(ISNUMBER(F246),F246&gt;=0,F246&lt;=1,OR(G246="fitch_issue_recovery_estimate",G246="fitch_issue_recovery_rating",G246="reviewed_bbsf_fallback",G246="development_assumption"),H246&lt;&gt;""),0,B246))</x:f>
        <x:v>0</x:v>
      </x:c>
      <x:c r="N246" s="186" t="n">
        <x:f>IF(A246=Q246,0,1)+IF(B246=R246,0,1)+IF(C246=S246,0,1)+IF(D246=T246,0,1)+IF(E246=U246,0,1)+IF(F246=V246,0,1)+IF(G246=W246,0,1)+IF(H246=X246,0,1)</x:f>
        <x:v>0</x:v>
      </x:c>
      <x:c r="O246" s="186" t="n">
        <x:f>IF(A246="",0,IF(E246="",B246,0))</x:f>
        <x:v>630000</x:v>
      </x:c>
      <x:c r="P246" s="187"/>
      <x:c r="Q246" s="179" t="str">
        <x:v>SYN-LN-00239</x:v>
      </x:c>
      <x:c r="R246" s="179" t="n">
        <x:v>630000</x:v>
      </x:c>
      <x:c r="S246" s="179" t="str">
        <x:v>BBB-</x:v>
      </x:c>
      <x:c r="T246" s="179" t="str">
        <x:v>development_proxy</x:v>
      </x:c>
      <x:c r="U246" s="179" t="str"/>
      <x:c r="V246" s="179" t="n">
        <x:v>0.65</x:v>
      </x:c>
      <x:c r="W246" s="179" t="str">
        <x:v>development_assumption</x:v>
      </x:c>
      <x:c r="X246" s="179" t="str">
        <x:v>FICTIONAL DEVELOPMENT: copied S&amp;P symbol as Fitch IDR-equivalency proxy; no Fitch rating or Appendix 5 review. Assumed first-lien facility is senior secured loan with no issue recovery opinion; Ireland Group 2; Fitch June 1 2026 Appendix 4 pp42-43 and Appendix 6 pp47-48 BBsf Strong fallback.</x:v>
      </x:c>
    </x:row>
    <x:row r="247" ht="107" customHeight="1">
      <x:c r="A247" s="179" t="str">
        <x:v>SYN-LN-00240</x:v>
      </x:c>
      <x:c r="B247" s="180" t="n">
        <x:f>IF(A247="","",SUMIF('Portfolio Inputs'!A8:A289,A247,'Portfolio Inputs'!D8:D289))</x:f>
        <x:v>1182000</x:v>
      </x:c>
      <x:c r="C247" s="179" t="str">
        <x:v>B</x:v>
      </x:c>
      <x:c r="D247" s="181" t="str">
        <x:v>development_proxy</x:v>
      </x:c>
      <x:c r="E247" s="181" t="str"/>
      <x:c r="F247" s="182" t="n">
        <x:v>0.75</x:v>
      </x:c>
      <x:c r="G247" s="181" t="str">
        <x:v>development_assumption</x:v>
      </x:c>
      <x:c r="H24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47" s="183" t="n">
        <x:f>IF(AND(C247&lt;&gt;"",OR(D247="public_fitch_idr",D247="reviewed_appendix5_equivalent",D247="development_proxy"),H247&lt;&gt;""),VLOOKUP(C247,Fitch_WARF_Factors,2,FALSE),"")</x:f>
        <x:v>23.671</x:v>
      </x:c>
      <x:c r="J247" s="184" t="n">
        <x:f>IF(ISNUMBER(I247),B247*I247,0)</x:f>
        <x:v>27979122</x:v>
      </x:c>
      <x:c r="K247" s="184" t="n">
        <x:f>IF(AND(A247&lt;&gt;"",M247=0),B247*F247,0)</x:f>
        <x:v>886500</x:v>
      </x:c>
      <x:c r="L247" s="184" t="n">
        <x:f>IF(A247="",0,IF(ISNUMBER(I247),0,B247))</x:f>
        <x:v>0</x:v>
      </x:c>
      <x:c r="M247" s="185" t="n">
        <x:f>IF(A247="",0,IF(AND(ISNUMBER(F247),F247&gt;=0,F247&lt;=1,OR(G247="fitch_issue_recovery_estimate",G247="fitch_issue_recovery_rating",G247="reviewed_bbsf_fallback",G247="development_assumption"),H247&lt;&gt;""),0,B247))</x:f>
        <x:v>0</x:v>
      </x:c>
      <x:c r="N247" s="186" t="n">
        <x:f>IF(A247=Q247,0,1)+IF(B247=R247,0,1)+IF(C247=S247,0,1)+IF(D247=T247,0,1)+IF(E247=U247,0,1)+IF(F247=V247,0,1)+IF(G247=W247,0,1)+IF(H247=X247,0,1)</x:f>
        <x:v>0</x:v>
      </x:c>
      <x:c r="O247" s="186" t="n">
        <x:f>IF(A247="",0,IF(E247="",B247,0))</x:f>
        <x:v>1182000</x:v>
      </x:c>
      <x:c r="P247" s="187"/>
      <x:c r="Q247" s="179" t="str">
        <x:v>SYN-LN-00240</x:v>
      </x:c>
      <x:c r="R247" s="179" t="n">
        <x:v>1182000</x:v>
      </x:c>
      <x:c r="S247" s="179" t="str">
        <x:v>B</x:v>
      </x:c>
      <x:c r="T247" s="179" t="str">
        <x:v>development_proxy</x:v>
      </x:c>
      <x:c r="U247" s="179" t="str"/>
      <x:c r="V247" s="179" t="n">
        <x:v>0.75</x:v>
      </x:c>
      <x:c r="W247" s="179" t="str">
        <x:v>development_assumption</x:v>
      </x:c>
      <x:c r="X24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48" ht="107" customHeight="1">
      <x:c r="A248" s="179" t="str">
        <x:v>SYN-LN-00241</x:v>
      </x:c>
      <x:c r="B248" s="180" t="n">
        <x:f>IF(A248="","",SUMIF('Portfolio Inputs'!A8:A289,A248,'Portfolio Inputs'!D8:D289))</x:f>
        <x:v>1182000</x:v>
      </x:c>
      <x:c r="C248" s="179" t="str">
        <x:v>B</x:v>
      </x:c>
      <x:c r="D248" s="181" t="str">
        <x:v>development_proxy</x:v>
      </x:c>
      <x:c r="E248" s="181" t="str"/>
      <x:c r="F248" s="182" t="n">
        <x:v>0.75</x:v>
      </x:c>
      <x:c r="G248" s="181" t="str">
        <x:v>development_assumption</x:v>
      </x:c>
      <x:c r="H24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48" s="183" t="n">
        <x:f>IF(AND(C248&lt;&gt;"",OR(D248="public_fitch_idr",D248="reviewed_appendix5_equivalent",D248="development_proxy"),H248&lt;&gt;""),VLOOKUP(C248,Fitch_WARF_Factors,2,FALSE),"")</x:f>
        <x:v>23.671</x:v>
      </x:c>
      <x:c r="J248" s="184" t="n">
        <x:f>IF(ISNUMBER(I248),B248*I248,0)</x:f>
        <x:v>27979122</x:v>
      </x:c>
      <x:c r="K248" s="184" t="n">
        <x:f>IF(AND(A248&lt;&gt;"",M248=0),B248*F248,0)</x:f>
        <x:v>886500</x:v>
      </x:c>
      <x:c r="L248" s="184" t="n">
        <x:f>IF(A248="",0,IF(ISNUMBER(I248),0,B248))</x:f>
        <x:v>0</x:v>
      </x:c>
      <x:c r="M248" s="185" t="n">
        <x:f>IF(A248="",0,IF(AND(ISNUMBER(F248),F248&gt;=0,F248&lt;=1,OR(G248="fitch_issue_recovery_estimate",G248="fitch_issue_recovery_rating",G248="reviewed_bbsf_fallback",G248="development_assumption"),H248&lt;&gt;""),0,B248))</x:f>
        <x:v>0</x:v>
      </x:c>
      <x:c r="N248" s="186" t="n">
        <x:f>IF(A248=Q248,0,1)+IF(B248=R248,0,1)+IF(C248=S248,0,1)+IF(D248=T248,0,1)+IF(E248=U248,0,1)+IF(F248=V248,0,1)+IF(G248=W248,0,1)+IF(H248=X248,0,1)</x:f>
        <x:v>0</x:v>
      </x:c>
      <x:c r="O248" s="186" t="n">
        <x:f>IF(A248="",0,IF(E248="",B248,0))</x:f>
        <x:v>1182000</x:v>
      </x:c>
      <x:c r="P248" s="187"/>
      <x:c r="Q248" s="179" t="str">
        <x:v>SYN-LN-00241</x:v>
      </x:c>
      <x:c r="R248" s="179" t="n">
        <x:v>1182000</x:v>
      </x:c>
      <x:c r="S248" s="179" t="str">
        <x:v>B</x:v>
      </x:c>
      <x:c r="T248" s="179" t="str">
        <x:v>development_proxy</x:v>
      </x:c>
      <x:c r="U248" s="179" t="str"/>
      <x:c r="V248" s="179" t="n">
        <x:v>0.75</x:v>
      </x:c>
      <x:c r="W248" s="179" t="str">
        <x:v>development_assumption</x:v>
      </x:c>
      <x:c r="X24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49" ht="107" customHeight="1">
      <x:c r="A249" s="179" t="str">
        <x:v>SYN-LN-00242</x:v>
      </x:c>
      <x:c r="B249" s="180" t="n">
        <x:f>IF(A249="","",SUMIF('Portfolio Inputs'!A8:A289,A249,'Portfolio Inputs'!D8:D289))</x:f>
        <x:v>1185000</x:v>
      </x:c>
      <x:c r="C249" s="179" t="str">
        <x:v>B</x:v>
      </x:c>
      <x:c r="D249" s="181" t="str">
        <x:v>development_proxy</x:v>
      </x:c>
      <x:c r="E249" s="181" t="str"/>
      <x:c r="F249" s="182" t="n">
        <x:v>0.75</x:v>
      </x:c>
      <x:c r="G249" s="181" t="str">
        <x:v>development_assumption</x:v>
      </x:c>
      <x:c r="H24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49" s="183" t="n">
        <x:f>IF(AND(C249&lt;&gt;"",OR(D249="public_fitch_idr",D249="reviewed_appendix5_equivalent",D249="development_proxy"),H249&lt;&gt;""),VLOOKUP(C249,Fitch_WARF_Factors,2,FALSE),"")</x:f>
        <x:v>23.671</x:v>
      </x:c>
      <x:c r="J249" s="184" t="n">
        <x:f>IF(ISNUMBER(I249),B249*I249,0)</x:f>
        <x:v>28050135</x:v>
      </x:c>
      <x:c r="K249" s="184" t="n">
        <x:f>IF(AND(A249&lt;&gt;"",M249=0),B249*F249,0)</x:f>
        <x:v>888750</x:v>
      </x:c>
      <x:c r="L249" s="184" t="n">
        <x:f>IF(A249="",0,IF(ISNUMBER(I249),0,B249))</x:f>
        <x:v>0</x:v>
      </x:c>
      <x:c r="M249" s="185" t="n">
        <x:f>IF(A249="",0,IF(AND(ISNUMBER(F249),F249&gt;=0,F249&lt;=1,OR(G249="fitch_issue_recovery_estimate",G249="fitch_issue_recovery_rating",G249="reviewed_bbsf_fallback",G249="development_assumption"),H249&lt;&gt;""),0,B249))</x:f>
        <x:v>0</x:v>
      </x:c>
      <x:c r="N249" s="186" t="n">
        <x:f>IF(A249=Q249,0,1)+IF(B249=R249,0,1)+IF(C249=S249,0,1)+IF(D249=T249,0,1)+IF(E249=U249,0,1)+IF(F249=V249,0,1)+IF(G249=W249,0,1)+IF(H249=X249,0,1)</x:f>
        <x:v>0</x:v>
      </x:c>
      <x:c r="O249" s="186" t="n">
        <x:f>IF(A249="",0,IF(E249="",B249,0))</x:f>
        <x:v>1185000</x:v>
      </x:c>
      <x:c r="P249" s="187"/>
      <x:c r="Q249" s="179" t="str">
        <x:v>SYN-LN-00242</x:v>
      </x:c>
      <x:c r="R249" s="179" t="n">
        <x:v>1185000</x:v>
      </x:c>
      <x:c r="S249" s="179" t="str">
        <x:v>B</x:v>
      </x:c>
      <x:c r="T249" s="179" t="str">
        <x:v>development_proxy</x:v>
      </x:c>
      <x:c r="U249" s="179" t="str"/>
      <x:c r="V249" s="179" t="n">
        <x:v>0.75</x:v>
      </x:c>
      <x:c r="W249" s="179" t="str">
        <x:v>development_assumption</x:v>
      </x:c>
      <x:c r="X24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50" ht="107" customHeight="1">
      <x:c r="A250" s="179" t="str">
        <x:v>SYN-LN-00243</x:v>
      </x:c>
      <x:c r="B250" s="180" t="n">
        <x:f>IF(A250="","",SUMIF('Portfolio Inputs'!A8:A289,A250,'Portfolio Inputs'!D8:D289))</x:f>
        <x:v>1182000</x:v>
      </x:c>
      <x:c r="C250" s="179" t="str">
        <x:v>B-</x:v>
      </x:c>
      <x:c r="D250" s="181" t="str">
        <x:v>development_proxy</x:v>
      </x:c>
      <x:c r="E250" s="181" t="str"/>
      <x:c r="F250" s="182" t="n">
        <x:v>0.75</x:v>
      </x:c>
      <x:c r="G250" s="181" t="str">
        <x:v>development_assumption</x:v>
      </x:c>
      <x:c r="H25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50" s="183" t="n">
        <x:f>IF(AND(C250&lt;&gt;"",OR(D250="public_fitch_idr",D250="reviewed_appendix5_equivalent",D250="development_proxy"),H250&lt;&gt;""),VLOOKUP(C250,Fitch_WARF_Factors,2,FALSE),"")</x:f>
        <x:v>32.221</x:v>
      </x:c>
      <x:c r="J250" s="184" t="n">
        <x:f>IF(ISNUMBER(I250),B250*I250,0)</x:f>
        <x:v>38085221.99999999</x:v>
      </x:c>
      <x:c r="K250" s="184" t="n">
        <x:f>IF(AND(A250&lt;&gt;"",M250=0),B250*F250,0)</x:f>
        <x:v>886500</x:v>
      </x:c>
      <x:c r="L250" s="184" t="n">
        <x:f>IF(A250="",0,IF(ISNUMBER(I250),0,B250))</x:f>
        <x:v>0</x:v>
      </x:c>
      <x:c r="M250" s="185" t="n">
        <x:f>IF(A250="",0,IF(AND(ISNUMBER(F250),F250&gt;=0,F250&lt;=1,OR(G250="fitch_issue_recovery_estimate",G250="fitch_issue_recovery_rating",G250="reviewed_bbsf_fallback",G250="development_assumption"),H250&lt;&gt;""),0,B250))</x:f>
        <x:v>0</x:v>
      </x:c>
      <x:c r="N250" s="186" t="n">
        <x:f>IF(A250=Q250,0,1)+IF(B250=R250,0,1)+IF(C250=S250,0,1)+IF(D250=T250,0,1)+IF(E250=U250,0,1)+IF(F250=V250,0,1)+IF(G250=W250,0,1)+IF(H250=X250,0,1)</x:f>
        <x:v>0</x:v>
      </x:c>
      <x:c r="O250" s="186" t="n">
        <x:f>IF(A250="",0,IF(E250="",B250,0))</x:f>
        <x:v>1182000</x:v>
      </x:c>
      <x:c r="P250" s="187"/>
      <x:c r="Q250" s="179" t="str">
        <x:v>SYN-LN-00243</x:v>
      </x:c>
      <x:c r="R250" s="179" t="n">
        <x:v>1182000</x:v>
      </x:c>
      <x:c r="S250" s="179" t="str">
        <x:v>B-</x:v>
      </x:c>
      <x:c r="T250" s="179" t="str">
        <x:v>development_proxy</x:v>
      </x:c>
      <x:c r="U250" s="179" t="str"/>
      <x:c r="V250" s="179" t="n">
        <x:v>0.75</x:v>
      </x:c>
      <x:c r="W250" s="179" t="str">
        <x:v>development_assumption</x:v>
      </x:c>
      <x:c r="X25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51" ht="107" customHeight="1">
      <x:c r="A251" s="179" t="str">
        <x:v>SYN-LN-00244</x:v>
      </x:c>
      <x:c r="B251" s="180" t="n">
        <x:f>IF(A251="","",SUMIF('Portfolio Inputs'!A8:A289,A251,'Portfolio Inputs'!D8:D289))</x:f>
        <x:v>1182000</x:v>
      </x:c>
      <x:c r="C251" s="179" t="str">
        <x:v>B-</x:v>
      </x:c>
      <x:c r="D251" s="181" t="str">
        <x:v>development_proxy</x:v>
      </x:c>
      <x:c r="E251" s="181" t="str"/>
      <x:c r="F251" s="182" t="n">
        <x:v>0.75</x:v>
      </x:c>
      <x:c r="G251" s="181" t="str">
        <x:v>development_assumption</x:v>
      </x:c>
      <x:c r="H25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51" s="183" t="n">
        <x:f>IF(AND(C251&lt;&gt;"",OR(D251="public_fitch_idr",D251="reviewed_appendix5_equivalent",D251="development_proxy"),H251&lt;&gt;""),VLOOKUP(C251,Fitch_WARF_Factors,2,FALSE),"")</x:f>
        <x:v>32.221</x:v>
      </x:c>
      <x:c r="J251" s="184" t="n">
        <x:f>IF(ISNUMBER(I251),B251*I251,0)</x:f>
        <x:v>38085221.99999999</x:v>
      </x:c>
      <x:c r="K251" s="184" t="n">
        <x:f>IF(AND(A251&lt;&gt;"",M251=0),B251*F251,0)</x:f>
        <x:v>886500</x:v>
      </x:c>
      <x:c r="L251" s="184" t="n">
        <x:f>IF(A251="",0,IF(ISNUMBER(I251),0,B251))</x:f>
        <x:v>0</x:v>
      </x:c>
      <x:c r="M251" s="185" t="n">
        <x:f>IF(A251="",0,IF(AND(ISNUMBER(F251),F251&gt;=0,F251&lt;=1,OR(G251="fitch_issue_recovery_estimate",G251="fitch_issue_recovery_rating",G251="reviewed_bbsf_fallback",G251="development_assumption"),H251&lt;&gt;""),0,B251))</x:f>
        <x:v>0</x:v>
      </x:c>
      <x:c r="N251" s="186" t="n">
        <x:f>IF(A251=Q251,0,1)+IF(B251=R251,0,1)+IF(C251=S251,0,1)+IF(D251=T251,0,1)+IF(E251=U251,0,1)+IF(F251=V251,0,1)+IF(G251=W251,0,1)+IF(H251=X251,0,1)</x:f>
        <x:v>0</x:v>
      </x:c>
      <x:c r="O251" s="186" t="n">
        <x:f>IF(A251="",0,IF(E251="",B251,0))</x:f>
        <x:v>1182000</x:v>
      </x:c>
      <x:c r="P251" s="187"/>
      <x:c r="Q251" s="179" t="str">
        <x:v>SYN-LN-00244</x:v>
      </x:c>
      <x:c r="R251" s="179" t="n">
        <x:v>1182000</x:v>
      </x:c>
      <x:c r="S251" s="179" t="str">
        <x:v>B-</x:v>
      </x:c>
      <x:c r="T251" s="179" t="str">
        <x:v>development_proxy</x:v>
      </x:c>
      <x:c r="U251" s="179" t="str"/>
      <x:c r="V251" s="179" t="n">
        <x:v>0.75</x:v>
      </x:c>
      <x:c r="W251" s="179" t="str">
        <x:v>development_assumption</x:v>
      </x:c>
      <x:c r="X25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52" ht="107" customHeight="1">
      <x:c r="A252" s="179" t="str">
        <x:v>SYN-LN-00245</x:v>
      </x:c>
      <x:c r="B252" s="180" t="n">
        <x:f>IF(A252="","",SUMIF('Portfolio Inputs'!A8:A289,A252,'Portfolio Inputs'!D8:D289))</x:f>
        <x:v>1182000</x:v>
      </x:c>
      <x:c r="C252" s="179" t="str">
        <x:v>BB+</x:v>
      </x:c>
      <x:c r="D252" s="181" t="str">
        <x:v>development_proxy</x:v>
      </x:c>
      <x:c r="E252" s="181" t="str"/>
      <x:c r="F252" s="182" t="n">
        <x:v>0.75</x:v>
      </x:c>
      <x:c r="G252" s="181" t="str">
        <x:v>development_assumption</x:v>
      </x:c>
      <x:c r="H25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52" s="183" t="n">
        <x:f>IF(AND(C252&lt;&gt;"",OR(D252="public_fitch_idr",D252="reviewed_appendix5_equivalent",D252="development_proxy"),H252&lt;&gt;""),VLOOKUP(C252,Fitch_WARF_Factors,2,FALSE),"")</x:f>
        <x:v>8.903</x:v>
      </x:c>
      <x:c r="J252" s="184" t="n">
        <x:f>IF(ISNUMBER(I252),B252*I252,0)</x:f>
        <x:v>10523346</x:v>
      </x:c>
      <x:c r="K252" s="184" t="n">
        <x:f>IF(AND(A252&lt;&gt;"",M252=0),B252*F252,0)</x:f>
        <x:v>886500</x:v>
      </x:c>
      <x:c r="L252" s="184" t="n">
        <x:f>IF(A252="",0,IF(ISNUMBER(I252),0,B252))</x:f>
        <x:v>0</x:v>
      </x:c>
      <x:c r="M252" s="185" t="n">
        <x:f>IF(A252="",0,IF(AND(ISNUMBER(F252),F252&gt;=0,F252&lt;=1,OR(G252="fitch_issue_recovery_estimate",G252="fitch_issue_recovery_rating",G252="reviewed_bbsf_fallback",G252="development_assumption"),H252&lt;&gt;""),0,B252))</x:f>
        <x:v>0</x:v>
      </x:c>
      <x:c r="N252" s="186" t="n">
        <x:f>IF(A252=Q252,0,1)+IF(B252=R252,0,1)+IF(C252=S252,0,1)+IF(D252=T252,0,1)+IF(E252=U252,0,1)+IF(F252=V252,0,1)+IF(G252=W252,0,1)+IF(H252=X252,0,1)</x:f>
        <x:v>0</x:v>
      </x:c>
      <x:c r="O252" s="186" t="n">
        <x:f>IF(A252="",0,IF(E252="",B252,0))</x:f>
        <x:v>1182000</x:v>
      </x:c>
      <x:c r="P252" s="187"/>
      <x:c r="Q252" s="179" t="str">
        <x:v>SYN-LN-00245</x:v>
      </x:c>
      <x:c r="R252" s="179" t="n">
        <x:v>1182000</x:v>
      </x:c>
      <x:c r="S252" s="179" t="str">
        <x:v>BB+</x:v>
      </x:c>
      <x:c r="T252" s="179" t="str">
        <x:v>development_proxy</x:v>
      </x:c>
      <x:c r="U252" s="179" t="str"/>
      <x:c r="V252" s="179" t="n">
        <x:v>0.75</x:v>
      </x:c>
      <x:c r="W252" s="179" t="str">
        <x:v>development_assumption</x:v>
      </x:c>
      <x:c r="X25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53" ht="107" customHeight="1">
      <x:c r="A253" s="179" t="str">
        <x:v>SYN-LN-00246</x:v>
      </x:c>
      <x:c r="B253" s="180" t="n">
        <x:f>IF(A253="","",SUMIF('Portfolio Inputs'!A8:A289,A253,'Portfolio Inputs'!D8:D289))</x:f>
        <x:v>1182000</x:v>
      </x:c>
      <x:c r="C253" s="179" t="str">
        <x:v>B</x:v>
      </x:c>
      <x:c r="D253" s="181" t="str">
        <x:v>development_proxy</x:v>
      </x:c>
      <x:c r="E253" s="181" t="str"/>
      <x:c r="F253" s="182" t="n">
        <x:v>0.75</x:v>
      </x:c>
      <x:c r="G253" s="181" t="str">
        <x:v>development_assumption</x:v>
      </x:c>
      <x:c r="H25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53" s="183" t="n">
        <x:f>IF(AND(C253&lt;&gt;"",OR(D253="public_fitch_idr",D253="reviewed_appendix5_equivalent",D253="development_proxy"),H253&lt;&gt;""),VLOOKUP(C253,Fitch_WARF_Factors,2,FALSE),"")</x:f>
        <x:v>23.671</x:v>
      </x:c>
      <x:c r="J253" s="184" t="n">
        <x:f>IF(ISNUMBER(I253),B253*I253,0)</x:f>
        <x:v>27979122</x:v>
      </x:c>
      <x:c r="K253" s="184" t="n">
        <x:f>IF(AND(A253&lt;&gt;"",M253=0),B253*F253,0)</x:f>
        <x:v>886500</x:v>
      </x:c>
      <x:c r="L253" s="184" t="n">
        <x:f>IF(A253="",0,IF(ISNUMBER(I253),0,B253))</x:f>
        <x:v>0</x:v>
      </x:c>
      <x:c r="M253" s="185" t="n">
        <x:f>IF(A253="",0,IF(AND(ISNUMBER(F253),F253&gt;=0,F253&lt;=1,OR(G253="fitch_issue_recovery_estimate",G253="fitch_issue_recovery_rating",G253="reviewed_bbsf_fallback",G253="development_assumption"),H253&lt;&gt;""),0,B253))</x:f>
        <x:v>0</x:v>
      </x:c>
      <x:c r="N253" s="186" t="n">
        <x:f>IF(A253=Q253,0,1)+IF(B253=R253,0,1)+IF(C253=S253,0,1)+IF(D253=T253,0,1)+IF(E253=U253,0,1)+IF(F253=V253,0,1)+IF(G253=W253,0,1)+IF(H253=X253,0,1)</x:f>
        <x:v>0</x:v>
      </x:c>
      <x:c r="O253" s="186" t="n">
        <x:f>IF(A253="",0,IF(E253="",B253,0))</x:f>
        <x:v>1182000</x:v>
      </x:c>
      <x:c r="P253" s="187"/>
      <x:c r="Q253" s="179" t="str">
        <x:v>SYN-LN-00246</x:v>
      </x:c>
      <x:c r="R253" s="179" t="n">
        <x:v>1182000</x:v>
      </x:c>
      <x:c r="S253" s="179" t="str">
        <x:v>B</x:v>
      </x:c>
      <x:c r="T253" s="179" t="str">
        <x:v>development_proxy</x:v>
      </x:c>
      <x:c r="U253" s="179" t="str"/>
      <x:c r="V253" s="179" t="n">
        <x:v>0.75</x:v>
      </x:c>
      <x:c r="W253" s="179" t="str">
        <x:v>development_assumption</x:v>
      </x:c>
      <x:c r="X25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54" ht="107" customHeight="1">
      <x:c r="A254" s="179" t="str">
        <x:v>SYN-LN-00247</x:v>
      </x:c>
      <x:c r="B254" s="180" t="n">
        <x:f>IF(A254="","",SUMIF('Portfolio Inputs'!A8:A289,A254,'Portfolio Inputs'!D8:D289))</x:f>
        <x:v>1182000</x:v>
      </x:c>
      <x:c r="C254" s="179" t="str">
        <x:v>B</x:v>
      </x:c>
      <x:c r="D254" s="181" t="str">
        <x:v>development_proxy</x:v>
      </x:c>
      <x:c r="E254" s="181" t="str"/>
      <x:c r="F254" s="182" t="n">
        <x:v>0.75</x:v>
      </x:c>
      <x:c r="G254" s="181" t="str">
        <x:v>development_assumption</x:v>
      </x:c>
      <x:c r="H25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54" s="183" t="n">
        <x:f>IF(AND(C254&lt;&gt;"",OR(D254="public_fitch_idr",D254="reviewed_appendix5_equivalent",D254="development_proxy"),H254&lt;&gt;""),VLOOKUP(C254,Fitch_WARF_Factors,2,FALSE),"")</x:f>
        <x:v>23.671</x:v>
      </x:c>
      <x:c r="J254" s="184" t="n">
        <x:f>IF(ISNUMBER(I254),B254*I254,0)</x:f>
        <x:v>27979122</x:v>
      </x:c>
      <x:c r="K254" s="184" t="n">
        <x:f>IF(AND(A254&lt;&gt;"",M254=0),B254*F254,0)</x:f>
        <x:v>886500</x:v>
      </x:c>
      <x:c r="L254" s="184" t="n">
        <x:f>IF(A254="",0,IF(ISNUMBER(I254),0,B254))</x:f>
        <x:v>0</x:v>
      </x:c>
      <x:c r="M254" s="185" t="n">
        <x:f>IF(A254="",0,IF(AND(ISNUMBER(F254),F254&gt;=0,F254&lt;=1,OR(G254="fitch_issue_recovery_estimate",G254="fitch_issue_recovery_rating",G254="reviewed_bbsf_fallback",G254="development_assumption"),H254&lt;&gt;""),0,B254))</x:f>
        <x:v>0</x:v>
      </x:c>
      <x:c r="N254" s="186" t="n">
        <x:f>IF(A254=Q254,0,1)+IF(B254=R254,0,1)+IF(C254=S254,0,1)+IF(D254=T254,0,1)+IF(E254=U254,0,1)+IF(F254=V254,0,1)+IF(G254=W254,0,1)+IF(H254=X254,0,1)</x:f>
        <x:v>0</x:v>
      </x:c>
      <x:c r="O254" s="186" t="n">
        <x:f>IF(A254="",0,IF(E254="",B254,0))</x:f>
        <x:v>1182000</x:v>
      </x:c>
      <x:c r="P254" s="187"/>
      <x:c r="Q254" s="179" t="str">
        <x:v>SYN-LN-00247</x:v>
      </x:c>
      <x:c r="R254" s="179" t="n">
        <x:v>1182000</x:v>
      </x:c>
      <x:c r="S254" s="179" t="str">
        <x:v>B</x:v>
      </x:c>
      <x:c r="T254" s="179" t="str">
        <x:v>development_proxy</x:v>
      </x:c>
      <x:c r="U254" s="179" t="str"/>
      <x:c r="V254" s="179" t="n">
        <x:v>0.75</x:v>
      </x:c>
      <x:c r="W254" s="179" t="str">
        <x:v>development_assumption</x:v>
      </x:c>
      <x:c r="X25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55" ht="107" customHeight="1">
      <x:c r="A255" s="179" t="str">
        <x:v>SYN-LN-00248</x:v>
      </x:c>
      <x:c r="B255" s="180" t="n">
        <x:f>IF(A255="","",SUMIF('Portfolio Inputs'!A8:A289,A255,'Portfolio Inputs'!D8:D289))</x:f>
        <x:v>1182000</x:v>
      </x:c>
      <x:c r="C255" s="179" t="str">
        <x:v>B-</x:v>
      </x:c>
      <x:c r="D255" s="181" t="str">
        <x:v>development_proxy</x:v>
      </x:c>
      <x:c r="E255" s="181" t="str"/>
      <x:c r="F255" s="182" t="n">
        <x:v>0.75</x:v>
      </x:c>
      <x:c r="G255" s="181" t="str">
        <x:v>development_assumption</x:v>
      </x:c>
      <x:c r="H25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55" s="183" t="n">
        <x:f>IF(AND(C255&lt;&gt;"",OR(D255="public_fitch_idr",D255="reviewed_appendix5_equivalent",D255="development_proxy"),H255&lt;&gt;""),VLOOKUP(C255,Fitch_WARF_Factors,2,FALSE),"")</x:f>
        <x:v>32.221</x:v>
      </x:c>
      <x:c r="J255" s="184" t="n">
        <x:f>IF(ISNUMBER(I255),B255*I255,0)</x:f>
        <x:v>38085221.99999999</x:v>
      </x:c>
      <x:c r="K255" s="184" t="n">
        <x:f>IF(AND(A255&lt;&gt;"",M255=0),B255*F255,0)</x:f>
        <x:v>886500</x:v>
      </x:c>
      <x:c r="L255" s="184" t="n">
        <x:f>IF(A255="",0,IF(ISNUMBER(I255),0,B255))</x:f>
        <x:v>0</x:v>
      </x:c>
      <x:c r="M255" s="185" t="n">
        <x:f>IF(A255="",0,IF(AND(ISNUMBER(F255),F255&gt;=0,F255&lt;=1,OR(G255="fitch_issue_recovery_estimate",G255="fitch_issue_recovery_rating",G255="reviewed_bbsf_fallback",G255="development_assumption"),H255&lt;&gt;""),0,B255))</x:f>
        <x:v>0</x:v>
      </x:c>
      <x:c r="N255" s="186" t="n">
        <x:f>IF(A255=Q255,0,1)+IF(B255=R255,0,1)+IF(C255=S255,0,1)+IF(D255=T255,0,1)+IF(E255=U255,0,1)+IF(F255=V255,0,1)+IF(G255=W255,0,1)+IF(H255=X255,0,1)</x:f>
        <x:v>0</x:v>
      </x:c>
      <x:c r="O255" s="186" t="n">
        <x:f>IF(A255="",0,IF(E255="",B255,0))</x:f>
        <x:v>1182000</x:v>
      </x:c>
      <x:c r="P255" s="187"/>
      <x:c r="Q255" s="179" t="str">
        <x:v>SYN-LN-00248</x:v>
      </x:c>
      <x:c r="R255" s="179" t="n">
        <x:v>1182000</x:v>
      </x:c>
      <x:c r="S255" s="179" t="str">
        <x:v>B-</x:v>
      </x:c>
      <x:c r="T255" s="179" t="str">
        <x:v>development_proxy</x:v>
      </x:c>
      <x:c r="U255" s="179" t="str"/>
      <x:c r="V255" s="179" t="n">
        <x:v>0.75</x:v>
      </x:c>
      <x:c r="W255" s="179" t="str">
        <x:v>development_assumption</x:v>
      </x:c>
      <x:c r="X25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56" ht="107" customHeight="1">
      <x:c r="A256" s="179" t="str">
        <x:v>SYN-LN-00249</x:v>
      </x:c>
      <x:c r="B256" s="180" t="n">
        <x:f>IF(A256="","",SUMIF('Portfolio Inputs'!A8:A289,A256,'Portfolio Inputs'!D8:D289))</x:f>
        <x:v>1182000</x:v>
      </x:c>
      <x:c r="C256" s="179" t="str">
        <x:v>B-</x:v>
      </x:c>
      <x:c r="D256" s="181" t="str">
        <x:v>development_proxy</x:v>
      </x:c>
      <x:c r="E256" s="181" t="str"/>
      <x:c r="F256" s="182" t="n">
        <x:v>0.75</x:v>
      </x:c>
      <x:c r="G256" s="181" t="str">
        <x:v>development_assumption</x:v>
      </x:c>
      <x:c r="H25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56" s="183" t="n">
        <x:f>IF(AND(C256&lt;&gt;"",OR(D256="public_fitch_idr",D256="reviewed_appendix5_equivalent",D256="development_proxy"),H256&lt;&gt;""),VLOOKUP(C256,Fitch_WARF_Factors,2,FALSE),"")</x:f>
        <x:v>32.221</x:v>
      </x:c>
      <x:c r="J256" s="184" t="n">
        <x:f>IF(ISNUMBER(I256),B256*I256,0)</x:f>
        <x:v>38085221.99999999</x:v>
      </x:c>
      <x:c r="K256" s="184" t="n">
        <x:f>IF(AND(A256&lt;&gt;"",M256=0),B256*F256,0)</x:f>
        <x:v>886500</x:v>
      </x:c>
      <x:c r="L256" s="184" t="n">
        <x:f>IF(A256="",0,IF(ISNUMBER(I256),0,B256))</x:f>
        <x:v>0</x:v>
      </x:c>
      <x:c r="M256" s="185" t="n">
        <x:f>IF(A256="",0,IF(AND(ISNUMBER(F256),F256&gt;=0,F256&lt;=1,OR(G256="fitch_issue_recovery_estimate",G256="fitch_issue_recovery_rating",G256="reviewed_bbsf_fallback",G256="development_assumption"),H256&lt;&gt;""),0,B256))</x:f>
        <x:v>0</x:v>
      </x:c>
      <x:c r="N256" s="186" t="n">
        <x:f>IF(A256=Q256,0,1)+IF(B256=R256,0,1)+IF(C256=S256,0,1)+IF(D256=T256,0,1)+IF(E256=U256,0,1)+IF(F256=V256,0,1)+IF(G256=W256,0,1)+IF(H256=X256,0,1)</x:f>
        <x:v>0</x:v>
      </x:c>
      <x:c r="O256" s="186" t="n">
        <x:f>IF(A256="",0,IF(E256="",B256,0))</x:f>
        <x:v>1182000</x:v>
      </x:c>
      <x:c r="P256" s="187"/>
      <x:c r="Q256" s="179" t="str">
        <x:v>SYN-LN-00249</x:v>
      </x:c>
      <x:c r="R256" s="179" t="n">
        <x:v>1182000</x:v>
      </x:c>
      <x:c r="S256" s="179" t="str">
        <x:v>B-</x:v>
      </x:c>
      <x:c r="T256" s="179" t="str">
        <x:v>development_proxy</x:v>
      </x:c>
      <x:c r="U256" s="179" t="str"/>
      <x:c r="V256" s="179" t="n">
        <x:v>0.75</x:v>
      </x:c>
      <x:c r="W256" s="179" t="str">
        <x:v>development_assumption</x:v>
      </x:c>
      <x:c r="X25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57" ht="107" customHeight="1">
      <x:c r="A257" s="179" t="str">
        <x:v>SYN-LN-00250</x:v>
      </x:c>
      <x:c r="B257" s="180" t="n">
        <x:f>IF(A257="","",SUMIF('Portfolio Inputs'!A8:A289,A257,'Portfolio Inputs'!D8:D289))</x:f>
        <x:v>1182000</x:v>
      </x:c>
      <x:c r="C257" s="179" t="str">
        <x:v>B-</x:v>
      </x:c>
      <x:c r="D257" s="181" t="str">
        <x:v>development_proxy</x:v>
      </x:c>
      <x:c r="E257" s="181" t="str"/>
      <x:c r="F257" s="182" t="n">
        <x:v>0.75</x:v>
      </x:c>
      <x:c r="G257" s="181" t="str">
        <x:v>development_assumption</x:v>
      </x:c>
      <x:c r="H25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57" s="183" t="n">
        <x:f>IF(AND(C257&lt;&gt;"",OR(D257="public_fitch_idr",D257="reviewed_appendix5_equivalent",D257="development_proxy"),H257&lt;&gt;""),VLOOKUP(C257,Fitch_WARF_Factors,2,FALSE),"")</x:f>
        <x:v>32.221</x:v>
      </x:c>
      <x:c r="J257" s="184" t="n">
        <x:f>IF(ISNUMBER(I257),B257*I257,0)</x:f>
        <x:v>38085221.99999999</x:v>
      </x:c>
      <x:c r="K257" s="184" t="n">
        <x:f>IF(AND(A257&lt;&gt;"",M257=0),B257*F257,0)</x:f>
        <x:v>886500</x:v>
      </x:c>
      <x:c r="L257" s="184" t="n">
        <x:f>IF(A257="",0,IF(ISNUMBER(I257),0,B257))</x:f>
        <x:v>0</x:v>
      </x:c>
      <x:c r="M257" s="185" t="n">
        <x:f>IF(A257="",0,IF(AND(ISNUMBER(F257),F257&gt;=0,F257&lt;=1,OR(G257="fitch_issue_recovery_estimate",G257="fitch_issue_recovery_rating",G257="reviewed_bbsf_fallback",G257="development_assumption"),H257&lt;&gt;""),0,B257))</x:f>
        <x:v>0</x:v>
      </x:c>
      <x:c r="N257" s="186" t="n">
        <x:f>IF(A257=Q257,0,1)+IF(B257=R257,0,1)+IF(C257=S257,0,1)+IF(D257=T257,0,1)+IF(E257=U257,0,1)+IF(F257=V257,0,1)+IF(G257=W257,0,1)+IF(H257=X257,0,1)</x:f>
        <x:v>0</x:v>
      </x:c>
      <x:c r="O257" s="186" t="n">
        <x:f>IF(A257="",0,IF(E257="",B257,0))</x:f>
        <x:v>1182000</x:v>
      </x:c>
      <x:c r="P257" s="187"/>
      <x:c r="Q257" s="179" t="str">
        <x:v>SYN-LN-00250</x:v>
      </x:c>
      <x:c r="R257" s="179" t="n">
        <x:v>1182000</x:v>
      </x:c>
      <x:c r="S257" s="179" t="str">
        <x:v>B-</x:v>
      </x:c>
      <x:c r="T257" s="179" t="str">
        <x:v>development_proxy</x:v>
      </x:c>
      <x:c r="U257" s="179" t="str"/>
      <x:c r="V257" s="179" t="n">
        <x:v>0.75</x:v>
      </x:c>
      <x:c r="W257" s="179" t="str">
        <x:v>development_assumption</x:v>
      </x:c>
      <x:c r="X25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58" ht="107" customHeight="1">
      <x:c r="A258" s="179" t="str">
        <x:v>SYN-LN-00251</x:v>
      </x:c>
      <x:c r="B258" s="180" t="n">
        <x:f>IF(A258="","",SUMIF('Portfolio Inputs'!A8:A289,A258,'Portfolio Inputs'!D8:D289))</x:f>
        <x:v>1182000</x:v>
      </x:c>
      <x:c r="C258" s="179" t="str">
        <x:v>B+</x:v>
      </x:c>
      <x:c r="D258" s="181" t="str">
        <x:v>development_proxy</x:v>
      </x:c>
      <x:c r="E258" s="181" t="str"/>
      <x:c r="F258" s="182" t="n">
        <x:v>0.75</x:v>
      </x:c>
      <x:c r="G258" s="181" t="str">
        <x:v>development_assumption</x:v>
      </x:c>
      <x:c r="H25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58" s="183" t="n">
        <x:f>IF(AND(C258&lt;&gt;"",OR(D258="public_fitch_idr",D258="reviewed_appendix5_equivalent",D258="development_proxy"),H258&lt;&gt;""),VLOOKUP(C258,Fitch_WARF_Factors,2,FALSE),"")</x:f>
        <x:v>19.627</x:v>
      </x:c>
      <x:c r="J258" s="184" t="n">
        <x:f>IF(ISNUMBER(I258),B258*I258,0)</x:f>
        <x:v>23199114</x:v>
      </x:c>
      <x:c r="K258" s="184" t="n">
        <x:f>IF(AND(A258&lt;&gt;"",M258=0),B258*F258,0)</x:f>
        <x:v>886500</x:v>
      </x:c>
      <x:c r="L258" s="184" t="n">
        <x:f>IF(A258="",0,IF(ISNUMBER(I258),0,B258))</x:f>
        <x:v>0</x:v>
      </x:c>
      <x:c r="M258" s="185" t="n">
        <x:f>IF(A258="",0,IF(AND(ISNUMBER(F258),F258&gt;=0,F258&lt;=1,OR(G258="fitch_issue_recovery_estimate",G258="fitch_issue_recovery_rating",G258="reviewed_bbsf_fallback",G258="development_assumption"),H258&lt;&gt;""),0,B258))</x:f>
        <x:v>0</x:v>
      </x:c>
      <x:c r="N258" s="186" t="n">
        <x:f>IF(A258=Q258,0,1)+IF(B258=R258,0,1)+IF(C258=S258,0,1)+IF(D258=T258,0,1)+IF(E258=U258,0,1)+IF(F258=V258,0,1)+IF(G258=W258,0,1)+IF(H258=X258,0,1)</x:f>
        <x:v>0</x:v>
      </x:c>
      <x:c r="O258" s="186" t="n">
        <x:f>IF(A258="",0,IF(E258="",B258,0))</x:f>
        <x:v>1182000</x:v>
      </x:c>
      <x:c r="P258" s="187"/>
      <x:c r="Q258" s="179" t="str">
        <x:v>SYN-LN-00251</x:v>
      </x:c>
      <x:c r="R258" s="179" t="n">
        <x:v>1182000</x:v>
      </x:c>
      <x:c r="S258" s="179" t="str">
        <x:v>B+</x:v>
      </x:c>
      <x:c r="T258" s="179" t="str">
        <x:v>development_proxy</x:v>
      </x:c>
      <x:c r="U258" s="179" t="str"/>
      <x:c r="V258" s="179" t="n">
        <x:v>0.75</x:v>
      </x:c>
      <x:c r="W258" s="179" t="str">
        <x:v>development_assumption</x:v>
      </x:c>
      <x:c r="X25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59" ht="107" customHeight="1">
      <x:c r="A259" s="179" t="str">
        <x:v>SYN-LN-00252</x:v>
      </x:c>
      <x:c r="B259" s="180" t="n">
        <x:f>IF(A259="","",SUMIF('Portfolio Inputs'!A8:A289,A259,'Portfolio Inputs'!D8:D289))</x:f>
        <x:v>1202000</x:v>
      </x:c>
      <x:c r="C259" s="179" t="str">
        <x:v>B</x:v>
      </x:c>
      <x:c r="D259" s="181" t="str">
        <x:v>development_proxy</x:v>
      </x:c>
      <x:c r="E259" s="181" t="str"/>
      <x:c r="F259" s="182" t="n">
        <x:v>0.75</x:v>
      </x:c>
      <x:c r="G259" s="181" t="str">
        <x:v>development_assumption</x:v>
      </x:c>
      <x:c r="H25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59" s="183" t="n">
        <x:f>IF(AND(C259&lt;&gt;"",OR(D259="public_fitch_idr",D259="reviewed_appendix5_equivalent",D259="development_proxy"),H259&lt;&gt;""),VLOOKUP(C259,Fitch_WARF_Factors,2,FALSE),"")</x:f>
        <x:v>23.671</x:v>
      </x:c>
      <x:c r="J259" s="184" t="n">
        <x:f>IF(ISNUMBER(I259),B259*I259,0)</x:f>
        <x:v>28452542</x:v>
      </x:c>
      <x:c r="K259" s="184" t="n">
        <x:f>IF(AND(A259&lt;&gt;"",M259=0),B259*F259,0)</x:f>
        <x:v>901500</x:v>
      </x:c>
      <x:c r="L259" s="184" t="n">
        <x:f>IF(A259="",0,IF(ISNUMBER(I259),0,B259))</x:f>
        <x:v>0</x:v>
      </x:c>
      <x:c r="M259" s="185" t="n">
        <x:f>IF(A259="",0,IF(AND(ISNUMBER(F259),F259&gt;=0,F259&lt;=1,OR(G259="fitch_issue_recovery_estimate",G259="fitch_issue_recovery_rating",G259="reviewed_bbsf_fallback",G259="development_assumption"),H259&lt;&gt;""),0,B259))</x:f>
        <x:v>0</x:v>
      </x:c>
      <x:c r="N259" s="186" t="n">
        <x:f>IF(A259=Q259,0,1)+IF(B259=R259,0,1)+IF(C259=S259,0,1)+IF(D259=T259,0,1)+IF(E259=U259,0,1)+IF(F259=V259,0,1)+IF(G259=W259,0,1)+IF(H259=X259,0,1)</x:f>
        <x:v>0</x:v>
      </x:c>
      <x:c r="O259" s="186" t="n">
        <x:f>IF(A259="",0,IF(E259="",B259,0))</x:f>
        <x:v>1202000</x:v>
      </x:c>
      <x:c r="P259" s="187"/>
      <x:c r="Q259" s="179" t="str">
        <x:v>SYN-LN-00252</x:v>
      </x:c>
      <x:c r="R259" s="179" t="n">
        <x:v>1202000</x:v>
      </x:c>
      <x:c r="S259" s="179" t="str">
        <x:v>B</x:v>
      </x:c>
      <x:c r="T259" s="179" t="str">
        <x:v>development_proxy</x:v>
      </x:c>
      <x:c r="U259" s="179" t="str"/>
      <x:c r="V259" s="179" t="n">
        <x:v>0.75</x:v>
      </x:c>
      <x:c r="W259" s="179" t="str">
        <x:v>development_assumption</x:v>
      </x:c>
      <x:c r="X25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60" ht="107" customHeight="1">
      <x:c r="A260" s="179" t="str">
        <x:v>SYN-LN-00253</x:v>
      </x:c>
      <x:c r="B260" s="180" t="n">
        <x:f>IF(A260="","",SUMIF('Portfolio Inputs'!A8:A289,A260,'Portfolio Inputs'!D8:D289))</x:f>
        <x:v>1182000</x:v>
      </x:c>
      <x:c r="C260" s="179" t="str">
        <x:v>B</x:v>
      </x:c>
      <x:c r="D260" s="181" t="str">
        <x:v>development_proxy</x:v>
      </x:c>
      <x:c r="E260" s="181" t="str"/>
      <x:c r="F260" s="182" t="n">
        <x:v>0.75</x:v>
      </x:c>
      <x:c r="G260" s="181" t="str">
        <x:v>development_assumption</x:v>
      </x:c>
      <x:c r="H26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60" s="183" t="n">
        <x:f>IF(AND(C260&lt;&gt;"",OR(D260="public_fitch_idr",D260="reviewed_appendix5_equivalent",D260="development_proxy"),H260&lt;&gt;""),VLOOKUP(C260,Fitch_WARF_Factors,2,FALSE),"")</x:f>
        <x:v>23.671</x:v>
      </x:c>
      <x:c r="J260" s="184" t="n">
        <x:f>IF(ISNUMBER(I260),B260*I260,0)</x:f>
        <x:v>27979122</x:v>
      </x:c>
      <x:c r="K260" s="184" t="n">
        <x:f>IF(AND(A260&lt;&gt;"",M260=0),B260*F260,0)</x:f>
        <x:v>886500</x:v>
      </x:c>
      <x:c r="L260" s="184" t="n">
        <x:f>IF(A260="",0,IF(ISNUMBER(I260),0,B260))</x:f>
        <x:v>0</x:v>
      </x:c>
      <x:c r="M260" s="185" t="n">
        <x:f>IF(A260="",0,IF(AND(ISNUMBER(F260),F260&gt;=0,F260&lt;=1,OR(G260="fitch_issue_recovery_estimate",G260="fitch_issue_recovery_rating",G260="reviewed_bbsf_fallback",G260="development_assumption"),H260&lt;&gt;""),0,B260))</x:f>
        <x:v>0</x:v>
      </x:c>
      <x:c r="N260" s="186" t="n">
        <x:f>IF(A260=Q260,0,1)+IF(B260=R260,0,1)+IF(C260=S260,0,1)+IF(D260=T260,0,1)+IF(E260=U260,0,1)+IF(F260=V260,0,1)+IF(G260=W260,0,1)+IF(H260=X260,0,1)</x:f>
        <x:v>0</x:v>
      </x:c>
      <x:c r="O260" s="186" t="n">
        <x:f>IF(A260="",0,IF(E260="",B260,0))</x:f>
        <x:v>1182000</x:v>
      </x:c>
      <x:c r="P260" s="187"/>
      <x:c r="Q260" s="179" t="str">
        <x:v>SYN-LN-00253</x:v>
      </x:c>
      <x:c r="R260" s="179" t="n">
        <x:v>1182000</x:v>
      </x:c>
      <x:c r="S260" s="179" t="str">
        <x:v>B</x:v>
      </x:c>
      <x:c r="T260" s="179" t="str">
        <x:v>development_proxy</x:v>
      </x:c>
      <x:c r="U260" s="179" t="str"/>
      <x:c r="V260" s="179" t="n">
        <x:v>0.75</x:v>
      </x:c>
      <x:c r="W260" s="179" t="str">
        <x:v>development_assumption</x:v>
      </x:c>
      <x:c r="X26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61" ht="107" customHeight="1">
      <x:c r="A261" s="179" t="str">
        <x:v>SYN-LN-00254</x:v>
      </x:c>
      <x:c r="B261" s="180" t="n">
        <x:f>IF(A261="","",SUMIF('Portfolio Inputs'!A8:A289,A261,'Portfolio Inputs'!D8:D289))</x:f>
        <x:v>630000</x:v>
      </x:c>
      <x:c r="C261" s="179" t="str">
        <x:v>B-</x:v>
      </x:c>
      <x:c r="D261" s="181" t="str">
        <x:v>development_proxy</x:v>
      </x:c>
      <x:c r="E261" s="181" t="str"/>
      <x:c r="F261" s="182" t="n">
        <x:v>0.65</x:v>
      </x:c>
      <x:c r="G261" s="181" t="str">
        <x:v>development_assumption</x:v>
      </x:c>
      <x:c r="H261" s="181" t="str">
        <x:v>FICTIONAL DEVELOPMENT: copied S&amp;P symbol as Fitch IDR-equivalency proxy; no Fitch rating or Appendix 5 review. Assumed first-lien facility is senior secured loan with no issue recovery opinion; Switzerland Group 2; Fitch June 1 2026 Appendix 4 pp42-43 and Appendix 6 pp47-48 BBsf Strong fallback.</x:v>
      </x:c>
      <x:c r="I261" s="183" t="n">
        <x:f>IF(AND(C261&lt;&gt;"",OR(D261="public_fitch_idr",D261="reviewed_appendix5_equivalent",D261="development_proxy"),H261&lt;&gt;""),VLOOKUP(C261,Fitch_WARF_Factors,2,FALSE),"")</x:f>
        <x:v>32.221</x:v>
      </x:c>
      <x:c r="J261" s="184" t="n">
        <x:f>IF(ISNUMBER(I261),B261*I261,0)</x:f>
        <x:v>20299229.999999996</x:v>
      </x:c>
      <x:c r="K261" s="184" t="n">
        <x:f>IF(AND(A261&lt;&gt;"",M261=0),B261*F261,0)</x:f>
        <x:v>409500</x:v>
      </x:c>
      <x:c r="L261" s="184" t="n">
        <x:f>IF(A261="",0,IF(ISNUMBER(I261),0,B261))</x:f>
        <x:v>0</x:v>
      </x:c>
      <x:c r="M261" s="185" t="n">
        <x:f>IF(A261="",0,IF(AND(ISNUMBER(F261),F261&gt;=0,F261&lt;=1,OR(G261="fitch_issue_recovery_estimate",G261="fitch_issue_recovery_rating",G261="reviewed_bbsf_fallback",G261="development_assumption"),H261&lt;&gt;""),0,B261))</x:f>
        <x:v>0</x:v>
      </x:c>
      <x:c r="N261" s="186" t="n">
        <x:f>IF(A261=Q261,0,1)+IF(B261=R261,0,1)+IF(C261=S261,0,1)+IF(D261=T261,0,1)+IF(E261=U261,0,1)+IF(F261=V261,0,1)+IF(G261=W261,0,1)+IF(H261=X261,0,1)</x:f>
        <x:v>0</x:v>
      </x:c>
      <x:c r="O261" s="186" t="n">
        <x:f>IF(A261="",0,IF(E261="",B261,0))</x:f>
        <x:v>630000</x:v>
      </x:c>
      <x:c r="P261" s="187"/>
      <x:c r="Q261" s="179" t="str">
        <x:v>SYN-LN-00254</x:v>
      </x:c>
      <x:c r="R261" s="179" t="n">
        <x:v>630000</x:v>
      </x:c>
      <x:c r="S261" s="179" t="str">
        <x:v>B-</x:v>
      </x:c>
      <x:c r="T261" s="179" t="str">
        <x:v>development_proxy</x:v>
      </x:c>
      <x:c r="U261" s="179" t="str"/>
      <x:c r="V261" s="179" t="n">
        <x:v>0.65</x:v>
      </x:c>
      <x:c r="W261" s="179" t="str">
        <x:v>development_assumption</x:v>
      </x:c>
      <x:c r="X261" s="179" t="str">
        <x:v>FICTIONAL DEVELOPMENT: copied S&amp;P symbol as Fitch IDR-equivalency proxy; no Fitch rating or Appendix 5 review. Assumed first-lien facility is senior secured loan with no issue recovery opinion; Switzerland Group 2; Fitch June 1 2026 Appendix 4 pp42-43 and Appendix 6 pp47-48 BBsf Strong fallback.</x:v>
      </x:c>
    </x:row>
    <x:row r="262" ht="107" customHeight="1">
      <x:c r="A262" s="179" t="str">
        <x:v>SYN-LN-00255</x:v>
      </x:c>
      <x:c r="B262" s="180" t="n">
        <x:f>IF(A262="","",SUMIF('Portfolio Inputs'!A8:A289,A262,'Portfolio Inputs'!D8:D289))</x:f>
        <x:v>1182000</x:v>
      </x:c>
      <x:c r="C262" s="179" t="str">
        <x:v>BB</x:v>
      </x:c>
      <x:c r="D262" s="181" t="str">
        <x:v>development_proxy</x:v>
      </x:c>
      <x:c r="E262" s="181" t="str"/>
      <x:c r="F262" s="182" t="n">
        <x:v>0.75</x:v>
      </x:c>
      <x:c r="G262" s="181" t="str">
        <x:v>development_assumption</x:v>
      </x:c>
      <x:c r="H26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62" s="183" t="n">
        <x:f>IF(AND(C262&lt;&gt;"",OR(D262="public_fitch_idr",D262="reviewed_appendix5_equivalent",D262="development_proxy"),H262&lt;&gt;""),VLOOKUP(C262,Fitch_WARF_Factors,2,FALSE),"")</x:f>
        <x:v>11.844</x:v>
      </x:c>
      <x:c r="J262" s="184" t="n">
        <x:f>IF(ISNUMBER(I262),B262*I262,0)</x:f>
        <x:v>13999608</x:v>
      </x:c>
      <x:c r="K262" s="184" t="n">
        <x:f>IF(AND(A262&lt;&gt;"",M262=0),B262*F262,0)</x:f>
        <x:v>886500</x:v>
      </x:c>
      <x:c r="L262" s="184" t="n">
        <x:f>IF(A262="",0,IF(ISNUMBER(I262),0,B262))</x:f>
        <x:v>0</x:v>
      </x:c>
      <x:c r="M262" s="185" t="n">
        <x:f>IF(A262="",0,IF(AND(ISNUMBER(F262),F262&gt;=0,F262&lt;=1,OR(G262="fitch_issue_recovery_estimate",G262="fitch_issue_recovery_rating",G262="reviewed_bbsf_fallback",G262="development_assumption"),H262&lt;&gt;""),0,B262))</x:f>
        <x:v>0</x:v>
      </x:c>
      <x:c r="N262" s="186" t="n">
        <x:f>IF(A262=Q262,0,1)+IF(B262=R262,0,1)+IF(C262=S262,0,1)+IF(D262=T262,0,1)+IF(E262=U262,0,1)+IF(F262=V262,0,1)+IF(G262=W262,0,1)+IF(H262=X262,0,1)</x:f>
        <x:v>0</x:v>
      </x:c>
      <x:c r="O262" s="186" t="n">
        <x:f>IF(A262="",0,IF(E262="",B262,0))</x:f>
        <x:v>1182000</x:v>
      </x:c>
      <x:c r="P262" s="187"/>
      <x:c r="Q262" s="179" t="str">
        <x:v>SYN-LN-00255</x:v>
      </x:c>
      <x:c r="R262" s="179" t="n">
        <x:v>1182000</x:v>
      </x:c>
      <x:c r="S262" s="179" t="str">
        <x:v>BB</x:v>
      </x:c>
      <x:c r="T262" s="179" t="str">
        <x:v>development_proxy</x:v>
      </x:c>
      <x:c r="U262" s="179" t="str"/>
      <x:c r="V262" s="179" t="n">
        <x:v>0.75</x:v>
      </x:c>
      <x:c r="W262" s="179" t="str">
        <x:v>development_assumption</x:v>
      </x:c>
      <x:c r="X26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63" ht="107" customHeight="1">
      <x:c r="A263" s="179" t="str">
        <x:v>SYN-LN-00256</x:v>
      </x:c>
      <x:c r="B263" s="180" t="n">
        <x:f>IF(A263="","",SUMIF('Portfolio Inputs'!A8:A289,A263,'Portfolio Inputs'!D8:D289))</x:f>
        <x:v>1182000</x:v>
      </x:c>
      <x:c r="C263" s="179" t="str">
        <x:v>B</x:v>
      </x:c>
      <x:c r="D263" s="181" t="str">
        <x:v>development_proxy</x:v>
      </x:c>
      <x:c r="E263" s="181" t="str"/>
      <x:c r="F263" s="182" t="n">
        <x:v>0.75</x:v>
      </x:c>
      <x:c r="G263" s="181" t="str">
        <x:v>development_assumption</x:v>
      </x:c>
      <x:c r="H26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63" s="183" t="n">
        <x:f>IF(AND(C263&lt;&gt;"",OR(D263="public_fitch_idr",D263="reviewed_appendix5_equivalent",D263="development_proxy"),H263&lt;&gt;""),VLOOKUP(C263,Fitch_WARF_Factors,2,FALSE),"")</x:f>
        <x:v>23.671</x:v>
      </x:c>
      <x:c r="J263" s="184" t="n">
        <x:f>IF(ISNUMBER(I263),B263*I263,0)</x:f>
        <x:v>27979122</x:v>
      </x:c>
      <x:c r="K263" s="184" t="n">
        <x:f>IF(AND(A263&lt;&gt;"",M263=0),B263*F263,0)</x:f>
        <x:v>886500</x:v>
      </x:c>
      <x:c r="L263" s="184" t="n">
        <x:f>IF(A263="",0,IF(ISNUMBER(I263),0,B263))</x:f>
        <x:v>0</x:v>
      </x:c>
      <x:c r="M263" s="185" t="n">
        <x:f>IF(A263="",0,IF(AND(ISNUMBER(F263),F263&gt;=0,F263&lt;=1,OR(G263="fitch_issue_recovery_estimate",G263="fitch_issue_recovery_rating",G263="reviewed_bbsf_fallback",G263="development_assumption"),H263&lt;&gt;""),0,B263))</x:f>
        <x:v>0</x:v>
      </x:c>
      <x:c r="N263" s="186" t="n">
        <x:f>IF(A263=Q263,0,1)+IF(B263=R263,0,1)+IF(C263=S263,0,1)+IF(D263=T263,0,1)+IF(E263=U263,0,1)+IF(F263=V263,0,1)+IF(G263=W263,0,1)+IF(H263=X263,0,1)</x:f>
        <x:v>0</x:v>
      </x:c>
      <x:c r="O263" s="186" t="n">
        <x:f>IF(A263="",0,IF(E263="",B263,0))</x:f>
        <x:v>1182000</x:v>
      </x:c>
      <x:c r="P263" s="187"/>
      <x:c r="Q263" s="179" t="str">
        <x:v>SYN-LN-00256</x:v>
      </x:c>
      <x:c r="R263" s="179" t="n">
        <x:v>1182000</x:v>
      </x:c>
      <x:c r="S263" s="179" t="str">
        <x:v>B</x:v>
      </x:c>
      <x:c r="T263" s="179" t="str">
        <x:v>development_proxy</x:v>
      </x:c>
      <x:c r="U263" s="179" t="str"/>
      <x:c r="V263" s="179" t="n">
        <x:v>0.75</x:v>
      </x:c>
      <x:c r="W263" s="179" t="str">
        <x:v>development_assumption</x:v>
      </x:c>
      <x:c r="X26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64" ht="107" customHeight="1">
      <x:c r="A264" s="179" t="str">
        <x:v>SYN-LN-00257</x:v>
      </x:c>
      <x:c r="B264" s="180" t="n">
        <x:f>IF(A264="","",SUMIF('Portfolio Inputs'!A8:A289,A264,'Portfolio Inputs'!D8:D289))</x:f>
        <x:v>630000</x:v>
      </x:c>
      <x:c r="C264" s="179" t="str">
        <x:v>BB-</x:v>
      </x:c>
      <x:c r="D264" s="181" t="str">
        <x:v>development_proxy</x:v>
      </x:c>
      <x:c r="E264" s="181" t="str"/>
      <x:c r="F264" s="182" t="n">
        <x:v>0.65</x:v>
      </x:c>
      <x:c r="G264" s="181" t="str">
        <x:v>development_assumption</x:v>
      </x:c>
      <x:c r="H264" s="181" t="str">
        <x:v>FICTIONAL DEVELOPMENT: copied S&amp;P symbol as Fitch IDR-equivalency proxy; no Fitch rating or Appendix 5 review. Assumed first-lien facility is senior secured loan with no issue recovery opinion; Germany Group 2; Fitch June 1 2026 Appendix 4 pp42-43 and Appendix 6 pp47-48 BBsf Strong fallback.</x:v>
      </x:c>
      <x:c r="I264" s="183" t="n">
        <x:f>IF(AND(C264&lt;&gt;"",OR(D264="public_fitch_idr",D264="reviewed_appendix5_equivalent",D264="development_proxy"),H264&lt;&gt;""),VLOOKUP(C264,Fitch_WARF_Factors,2,FALSE),"")</x:f>
        <x:v>15.733</x:v>
      </x:c>
      <x:c r="J264" s="184" t="n">
        <x:f>IF(ISNUMBER(I264),B264*I264,0)</x:f>
        <x:v>9911790</x:v>
      </x:c>
      <x:c r="K264" s="184" t="n">
        <x:f>IF(AND(A264&lt;&gt;"",M264=0),B264*F264,0)</x:f>
        <x:v>409500</x:v>
      </x:c>
      <x:c r="L264" s="184" t="n">
        <x:f>IF(A264="",0,IF(ISNUMBER(I264),0,B264))</x:f>
        <x:v>0</x:v>
      </x:c>
      <x:c r="M264" s="185" t="n">
        <x:f>IF(A264="",0,IF(AND(ISNUMBER(F264),F264&gt;=0,F264&lt;=1,OR(G264="fitch_issue_recovery_estimate",G264="fitch_issue_recovery_rating",G264="reviewed_bbsf_fallback",G264="development_assumption"),H264&lt;&gt;""),0,B264))</x:f>
        <x:v>0</x:v>
      </x:c>
      <x:c r="N264" s="186" t="n">
        <x:f>IF(A264=Q264,0,1)+IF(B264=R264,0,1)+IF(C264=S264,0,1)+IF(D264=T264,0,1)+IF(E264=U264,0,1)+IF(F264=V264,0,1)+IF(G264=W264,0,1)+IF(H264=X264,0,1)</x:f>
        <x:v>0</x:v>
      </x:c>
      <x:c r="O264" s="186" t="n">
        <x:f>IF(A264="",0,IF(E264="",B264,0))</x:f>
        <x:v>630000</x:v>
      </x:c>
      <x:c r="P264" s="187"/>
      <x:c r="Q264" s="179" t="str">
        <x:v>SYN-LN-00257</x:v>
      </x:c>
      <x:c r="R264" s="179" t="n">
        <x:v>630000</x:v>
      </x:c>
      <x:c r="S264" s="179" t="str">
        <x:v>BB-</x:v>
      </x:c>
      <x:c r="T264" s="179" t="str">
        <x:v>development_proxy</x:v>
      </x:c>
      <x:c r="U264" s="179" t="str"/>
      <x:c r="V264" s="179" t="n">
        <x:v>0.65</x:v>
      </x:c>
      <x:c r="W264" s="179" t="str">
        <x:v>development_assumption</x:v>
      </x:c>
      <x:c r="X264" s="179" t="str">
        <x:v>FICTIONAL DEVELOPMENT: copied S&amp;P symbol as Fitch IDR-equivalency proxy; no Fitch rating or Appendix 5 review. Assumed first-lien facility is senior secured loan with no issue recovery opinion; Germany Group 2; Fitch June 1 2026 Appendix 4 pp42-43 and Appendix 6 pp47-48 BBsf Strong fallback.</x:v>
      </x:c>
    </x:row>
    <x:row r="265" ht="107" customHeight="1">
      <x:c r="A265" s="179" t="str">
        <x:v>SYN-LN-00258</x:v>
      </x:c>
      <x:c r="B265" s="180" t="n">
        <x:f>IF(A265="","",SUMIF('Portfolio Inputs'!A8:A289,A265,'Portfolio Inputs'!D8:D289))</x:f>
        <x:v>1182000</x:v>
      </x:c>
      <x:c r="C265" s="179" t="str">
        <x:v>BB-</x:v>
      </x:c>
      <x:c r="D265" s="181" t="str">
        <x:v>development_proxy</x:v>
      </x:c>
      <x:c r="E265" s="181" t="str"/>
      <x:c r="F265" s="182" t="n">
        <x:v>0.75</x:v>
      </x:c>
      <x:c r="G265" s="181" t="str">
        <x:v>development_assumption</x:v>
      </x:c>
      <x:c r="H26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65" s="183" t="n">
        <x:f>IF(AND(C265&lt;&gt;"",OR(D265="public_fitch_idr",D265="reviewed_appendix5_equivalent",D265="development_proxy"),H265&lt;&gt;""),VLOOKUP(C265,Fitch_WARF_Factors,2,FALSE),"")</x:f>
        <x:v>15.733</x:v>
      </x:c>
      <x:c r="J265" s="184" t="n">
        <x:f>IF(ISNUMBER(I265),B265*I265,0)</x:f>
        <x:v>18596406</x:v>
      </x:c>
      <x:c r="K265" s="184" t="n">
        <x:f>IF(AND(A265&lt;&gt;"",M265=0),B265*F265,0)</x:f>
        <x:v>886500</x:v>
      </x:c>
      <x:c r="L265" s="184" t="n">
        <x:f>IF(A265="",0,IF(ISNUMBER(I265),0,B265))</x:f>
        <x:v>0</x:v>
      </x:c>
      <x:c r="M265" s="185" t="n">
        <x:f>IF(A265="",0,IF(AND(ISNUMBER(F265),F265&gt;=0,F265&lt;=1,OR(G265="fitch_issue_recovery_estimate",G265="fitch_issue_recovery_rating",G265="reviewed_bbsf_fallback",G265="development_assumption"),H265&lt;&gt;""),0,B265))</x:f>
        <x:v>0</x:v>
      </x:c>
      <x:c r="N265" s="186" t="n">
        <x:f>IF(A265=Q265,0,1)+IF(B265=R265,0,1)+IF(C265=S265,0,1)+IF(D265=T265,0,1)+IF(E265=U265,0,1)+IF(F265=V265,0,1)+IF(G265=W265,0,1)+IF(H265=X265,0,1)</x:f>
        <x:v>0</x:v>
      </x:c>
      <x:c r="O265" s="186" t="n">
        <x:f>IF(A265="",0,IF(E265="",B265,0))</x:f>
        <x:v>1182000</x:v>
      </x:c>
      <x:c r="P265" s="187"/>
      <x:c r="Q265" s="179" t="str">
        <x:v>SYN-LN-00258</x:v>
      </x:c>
      <x:c r="R265" s="179" t="n">
        <x:v>1182000</x:v>
      </x:c>
      <x:c r="S265" s="179" t="str">
        <x:v>BB-</x:v>
      </x:c>
      <x:c r="T265" s="179" t="str">
        <x:v>development_proxy</x:v>
      </x:c>
      <x:c r="U265" s="179" t="str"/>
      <x:c r="V265" s="179" t="n">
        <x:v>0.75</x:v>
      </x:c>
      <x:c r="W265" s="179" t="str">
        <x:v>development_assumption</x:v>
      </x:c>
      <x:c r="X26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66" ht="107" customHeight="1">
      <x:c r="A266" s="179" t="str">
        <x:v>SYN-LN-00259</x:v>
      </x:c>
      <x:c r="B266" s="180" t="n">
        <x:f>IF(A266="","",SUMIF('Portfolio Inputs'!A8:A289,A266,'Portfolio Inputs'!D8:D289))</x:f>
        <x:v>1182000</x:v>
      </x:c>
      <x:c r="C266" s="179" t="str">
        <x:v>B+</x:v>
      </x:c>
      <x:c r="D266" s="181" t="str">
        <x:v>development_proxy</x:v>
      </x:c>
      <x:c r="E266" s="181" t="str"/>
      <x:c r="F266" s="182" t="n">
        <x:v>0.75</x:v>
      </x:c>
      <x:c r="G266" s="181" t="str">
        <x:v>development_assumption</x:v>
      </x:c>
      <x:c r="H26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66" s="183" t="n">
        <x:f>IF(AND(C266&lt;&gt;"",OR(D266="public_fitch_idr",D266="reviewed_appendix5_equivalent",D266="development_proxy"),H266&lt;&gt;""),VLOOKUP(C266,Fitch_WARF_Factors,2,FALSE),"")</x:f>
        <x:v>19.627</x:v>
      </x:c>
      <x:c r="J266" s="184" t="n">
        <x:f>IF(ISNUMBER(I266),B266*I266,0)</x:f>
        <x:v>23199114</x:v>
      </x:c>
      <x:c r="K266" s="184" t="n">
        <x:f>IF(AND(A266&lt;&gt;"",M266=0),B266*F266,0)</x:f>
        <x:v>886500</x:v>
      </x:c>
      <x:c r="L266" s="184" t="n">
        <x:f>IF(A266="",0,IF(ISNUMBER(I266),0,B266))</x:f>
        <x:v>0</x:v>
      </x:c>
      <x:c r="M266" s="185" t="n">
        <x:f>IF(A266="",0,IF(AND(ISNUMBER(F266),F266&gt;=0,F266&lt;=1,OR(G266="fitch_issue_recovery_estimate",G266="fitch_issue_recovery_rating",G266="reviewed_bbsf_fallback",G266="development_assumption"),H266&lt;&gt;""),0,B266))</x:f>
        <x:v>0</x:v>
      </x:c>
      <x:c r="N266" s="186" t="n">
        <x:f>IF(A266=Q266,0,1)+IF(B266=R266,0,1)+IF(C266=S266,0,1)+IF(D266=T266,0,1)+IF(E266=U266,0,1)+IF(F266=V266,0,1)+IF(G266=W266,0,1)+IF(H266=X266,0,1)</x:f>
        <x:v>0</x:v>
      </x:c>
      <x:c r="O266" s="186" t="n">
        <x:f>IF(A266="",0,IF(E266="",B266,0))</x:f>
        <x:v>1182000</x:v>
      </x:c>
      <x:c r="P266" s="187"/>
      <x:c r="Q266" s="179" t="str">
        <x:v>SYN-LN-00259</x:v>
      </x:c>
      <x:c r="R266" s="179" t="n">
        <x:v>1182000</x:v>
      </x:c>
      <x:c r="S266" s="179" t="str">
        <x:v>B+</x:v>
      </x:c>
      <x:c r="T266" s="179" t="str">
        <x:v>development_proxy</x:v>
      </x:c>
      <x:c r="U266" s="179" t="str"/>
      <x:c r="V266" s="179" t="n">
        <x:v>0.75</x:v>
      </x:c>
      <x:c r="W266" s="179" t="str">
        <x:v>development_assumption</x:v>
      </x:c>
      <x:c r="X26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67" ht="107" customHeight="1">
      <x:c r="A267" s="179" t="str">
        <x:v>SYN-LN-00260</x:v>
      </x:c>
      <x:c r="B267" s="180" t="n">
        <x:f>IF(A267="","",SUMIF('Portfolio Inputs'!A8:A289,A267,'Portfolio Inputs'!D8:D289))</x:f>
        <x:v>630000</x:v>
      </x:c>
      <x:c r="C267" s="179" t="str">
        <x:v>BB</x:v>
      </x:c>
      <x:c r="D267" s="181" t="str">
        <x:v>development_proxy</x:v>
      </x:c>
      <x:c r="E267" s="181" t="str"/>
      <x:c r="F267" s="182" t="n">
        <x:v>0.75</x:v>
      </x:c>
      <x:c r="G267" s="181" t="str">
        <x:v>development_assumption</x:v>
      </x:c>
      <x:c r="H267" s="181" t="str">
        <x:v>FICTIONAL DEVELOPMENT: copied S&amp;P symbol as Fitch IDR-equivalency proxy; no Fitch rating or Appendix 5 review. Assumed first-lien facility is senior secured loan with no issue recovery opinion; Australia Group 1; Fitch June 1 2026 Appendix 4 pp42-43 and Appendix 6 pp47-48 BBsf Strong fallback.</x:v>
      </x:c>
      <x:c r="I267" s="183" t="n">
        <x:f>IF(AND(C267&lt;&gt;"",OR(D267="public_fitch_idr",D267="reviewed_appendix5_equivalent",D267="development_proxy"),H267&lt;&gt;""),VLOOKUP(C267,Fitch_WARF_Factors,2,FALSE),"")</x:f>
        <x:v>11.844</x:v>
      </x:c>
      <x:c r="J267" s="184" t="n">
        <x:f>IF(ISNUMBER(I267),B267*I267,0)</x:f>
        <x:v>7461720</x:v>
      </x:c>
      <x:c r="K267" s="184" t="n">
        <x:f>IF(AND(A267&lt;&gt;"",M267=0),B267*F267,0)</x:f>
        <x:v>472500</x:v>
      </x:c>
      <x:c r="L267" s="184" t="n">
        <x:f>IF(A267="",0,IF(ISNUMBER(I267),0,B267))</x:f>
        <x:v>0</x:v>
      </x:c>
      <x:c r="M267" s="185" t="n">
        <x:f>IF(A267="",0,IF(AND(ISNUMBER(F267),F267&gt;=0,F267&lt;=1,OR(G267="fitch_issue_recovery_estimate",G267="fitch_issue_recovery_rating",G267="reviewed_bbsf_fallback",G267="development_assumption"),H267&lt;&gt;""),0,B267))</x:f>
        <x:v>0</x:v>
      </x:c>
      <x:c r="N267" s="186" t="n">
        <x:f>IF(A267=Q267,0,1)+IF(B267=R267,0,1)+IF(C267=S267,0,1)+IF(D267=T267,0,1)+IF(E267=U267,0,1)+IF(F267=V267,0,1)+IF(G267=W267,0,1)+IF(H267=X267,0,1)</x:f>
        <x:v>0</x:v>
      </x:c>
      <x:c r="O267" s="186" t="n">
        <x:f>IF(A267="",0,IF(E267="",B267,0))</x:f>
        <x:v>630000</x:v>
      </x:c>
      <x:c r="P267" s="187"/>
      <x:c r="Q267" s="179" t="str">
        <x:v>SYN-LN-00260</x:v>
      </x:c>
      <x:c r="R267" s="179" t="n">
        <x:v>630000</x:v>
      </x:c>
      <x:c r="S267" s="179" t="str">
        <x:v>BB</x:v>
      </x:c>
      <x:c r="T267" s="179" t="str">
        <x:v>development_proxy</x:v>
      </x:c>
      <x:c r="U267" s="179" t="str"/>
      <x:c r="V267" s="179" t="n">
        <x:v>0.75</x:v>
      </x:c>
      <x:c r="W267" s="179" t="str">
        <x:v>development_assumption</x:v>
      </x:c>
      <x:c r="X267" s="179" t="str">
        <x:v>FICTIONAL DEVELOPMENT: copied S&amp;P symbol as Fitch IDR-equivalency proxy; no Fitch rating or Appendix 5 review. Assumed first-lien facility is senior secured loan with no issue recovery opinion; Australia Group 1; Fitch June 1 2026 Appendix 4 pp42-43 and Appendix 6 pp47-48 BBsf Strong fallback.</x:v>
      </x:c>
    </x:row>
    <x:row r="268" ht="107" customHeight="1">
      <x:c r="A268" s="179" t="str">
        <x:v>SYN-LN-00261</x:v>
      </x:c>
      <x:c r="B268" s="180" t="n">
        <x:f>IF(A268="","",SUMIF('Portfolio Inputs'!A8:A289,A268,'Portfolio Inputs'!D8:D289))</x:f>
        <x:v>1182000</x:v>
      </x:c>
      <x:c r="C268" s="179" t="str">
        <x:v>BB-</x:v>
      </x:c>
      <x:c r="D268" s="181" t="str">
        <x:v>development_proxy</x:v>
      </x:c>
      <x:c r="E268" s="181" t="str"/>
      <x:c r="F268" s="182" t="n">
        <x:v>0.75</x:v>
      </x:c>
      <x:c r="G268" s="181" t="str">
        <x:v>development_assumption</x:v>
      </x:c>
      <x:c r="H26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68" s="183" t="n">
        <x:f>IF(AND(C268&lt;&gt;"",OR(D268="public_fitch_idr",D268="reviewed_appendix5_equivalent",D268="development_proxy"),H268&lt;&gt;""),VLOOKUP(C268,Fitch_WARF_Factors,2,FALSE),"")</x:f>
        <x:v>15.733</x:v>
      </x:c>
      <x:c r="J268" s="184" t="n">
        <x:f>IF(ISNUMBER(I268),B268*I268,0)</x:f>
        <x:v>18596406</x:v>
      </x:c>
      <x:c r="K268" s="184" t="n">
        <x:f>IF(AND(A268&lt;&gt;"",M268=0),B268*F268,0)</x:f>
        <x:v>886500</x:v>
      </x:c>
      <x:c r="L268" s="184" t="n">
        <x:f>IF(A268="",0,IF(ISNUMBER(I268),0,B268))</x:f>
        <x:v>0</x:v>
      </x:c>
      <x:c r="M268" s="185" t="n">
        <x:f>IF(A268="",0,IF(AND(ISNUMBER(F268),F268&gt;=0,F268&lt;=1,OR(G268="fitch_issue_recovery_estimate",G268="fitch_issue_recovery_rating",G268="reviewed_bbsf_fallback",G268="development_assumption"),H268&lt;&gt;""),0,B268))</x:f>
        <x:v>0</x:v>
      </x:c>
      <x:c r="N268" s="186" t="n">
        <x:f>IF(A268=Q268,0,1)+IF(B268=R268,0,1)+IF(C268=S268,0,1)+IF(D268=T268,0,1)+IF(E268=U268,0,1)+IF(F268=V268,0,1)+IF(G268=W268,0,1)+IF(H268=X268,0,1)</x:f>
        <x:v>0</x:v>
      </x:c>
      <x:c r="O268" s="186" t="n">
        <x:f>IF(A268="",0,IF(E268="",B268,0))</x:f>
        <x:v>1182000</x:v>
      </x:c>
      <x:c r="P268" s="187"/>
      <x:c r="Q268" s="179" t="str">
        <x:v>SYN-LN-00261</x:v>
      </x:c>
      <x:c r="R268" s="179" t="n">
        <x:v>1182000</x:v>
      </x:c>
      <x:c r="S268" s="179" t="str">
        <x:v>BB-</x:v>
      </x:c>
      <x:c r="T268" s="179" t="str">
        <x:v>development_proxy</x:v>
      </x:c>
      <x:c r="U268" s="179" t="str"/>
      <x:c r="V268" s="179" t="n">
        <x:v>0.75</x:v>
      </x:c>
      <x:c r="W268" s="179" t="str">
        <x:v>development_assumption</x:v>
      </x:c>
      <x:c r="X26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69" ht="107" customHeight="1">
      <x:c r="A269" s="179" t="str">
        <x:v>SYN-LN-00262</x:v>
      </x:c>
      <x:c r="B269" s="180" t="n">
        <x:f>IF(A269="","",SUMIF('Portfolio Inputs'!A8:A289,A269,'Portfolio Inputs'!D8:D289))</x:f>
        <x:v>1182000</x:v>
      </x:c>
      <x:c r="C269" s="179" t="str">
        <x:v>BB</x:v>
      </x:c>
      <x:c r="D269" s="181" t="str">
        <x:v>development_proxy</x:v>
      </x:c>
      <x:c r="E269" s="181" t="str"/>
      <x:c r="F269" s="182" t="n">
        <x:v>0.75</x:v>
      </x:c>
      <x:c r="G269" s="181" t="str">
        <x:v>development_assumption</x:v>
      </x:c>
      <x:c r="H26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69" s="183" t="n">
        <x:f>IF(AND(C269&lt;&gt;"",OR(D269="public_fitch_idr",D269="reviewed_appendix5_equivalent",D269="development_proxy"),H269&lt;&gt;""),VLOOKUP(C269,Fitch_WARF_Factors,2,FALSE),"")</x:f>
        <x:v>11.844</x:v>
      </x:c>
      <x:c r="J269" s="184" t="n">
        <x:f>IF(ISNUMBER(I269),B269*I269,0)</x:f>
        <x:v>13999608</x:v>
      </x:c>
      <x:c r="K269" s="184" t="n">
        <x:f>IF(AND(A269&lt;&gt;"",M269=0),B269*F269,0)</x:f>
        <x:v>886500</x:v>
      </x:c>
      <x:c r="L269" s="184" t="n">
        <x:f>IF(A269="",0,IF(ISNUMBER(I269),0,B269))</x:f>
        <x:v>0</x:v>
      </x:c>
      <x:c r="M269" s="185" t="n">
        <x:f>IF(A269="",0,IF(AND(ISNUMBER(F269),F269&gt;=0,F269&lt;=1,OR(G269="fitch_issue_recovery_estimate",G269="fitch_issue_recovery_rating",G269="reviewed_bbsf_fallback",G269="development_assumption"),H269&lt;&gt;""),0,B269))</x:f>
        <x:v>0</x:v>
      </x:c>
      <x:c r="N269" s="186" t="n">
        <x:f>IF(A269=Q269,0,1)+IF(B269=R269,0,1)+IF(C269=S269,0,1)+IF(D269=T269,0,1)+IF(E269=U269,0,1)+IF(F269=V269,0,1)+IF(G269=W269,0,1)+IF(H269=X269,0,1)</x:f>
        <x:v>0</x:v>
      </x:c>
      <x:c r="O269" s="186" t="n">
        <x:f>IF(A269="",0,IF(E269="",B269,0))</x:f>
        <x:v>1182000</x:v>
      </x:c>
      <x:c r="P269" s="187"/>
      <x:c r="Q269" s="179" t="str">
        <x:v>SYN-LN-00262</x:v>
      </x:c>
      <x:c r="R269" s="179" t="n">
        <x:v>1182000</x:v>
      </x:c>
      <x:c r="S269" s="179" t="str">
        <x:v>BB</x:v>
      </x:c>
      <x:c r="T269" s="179" t="str">
        <x:v>development_proxy</x:v>
      </x:c>
      <x:c r="U269" s="179" t="str"/>
      <x:c r="V269" s="179" t="n">
        <x:v>0.75</x:v>
      </x:c>
      <x:c r="W269" s="179" t="str">
        <x:v>development_assumption</x:v>
      </x:c>
      <x:c r="X26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70" ht="107" customHeight="1">
      <x:c r="A270" s="179" t="str">
        <x:v>SYN-LN-00263</x:v>
      </x:c>
      <x:c r="B270" s="180" t="n">
        <x:f>IF(A270="","",SUMIF('Portfolio Inputs'!A8:A289,A270,'Portfolio Inputs'!D8:D289))</x:f>
        <x:v>1182000</x:v>
      </x:c>
      <x:c r="C270" s="179" t="str">
        <x:v>B</x:v>
      </x:c>
      <x:c r="D270" s="181" t="str">
        <x:v>development_proxy</x:v>
      </x:c>
      <x:c r="E270" s="181" t="str"/>
      <x:c r="F270" s="182" t="n">
        <x:v>0.75</x:v>
      </x:c>
      <x:c r="G270" s="181" t="str">
        <x:v>development_assumption</x:v>
      </x:c>
      <x:c r="H270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70" s="183" t="n">
        <x:f>IF(AND(C270&lt;&gt;"",OR(D270="public_fitch_idr",D270="reviewed_appendix5_equivalent",D270="development_proxy"),H270&lt;&gt;""),VLOOKUP(C270,Fitch_WARF_Factors,2,FALSE),"")</x:f>
        <x:v>23.671</x:v>
      </x:c>
      <x:c r="J270" s="184" t="n">
        <x:f>IF(ISNUMBER(I270),B270*I270,0)</x:f>
        <x:v>27979122</x:v>
      </x:c>
      <x:c r="K270" s="184" t="n">
        <x:f>IF(AND(A270&lt;&gt;"",M270=0),B270*F270,0)</x:f>
        <x:v>886500</x:v>
      </x:c>
      <x:c r="L270" s="184" t="n">
        <x:f>IF(A270="",0,IF(ISNUMBER(I270),0,B270))</x:f>
        <x:v>0</x:v>
      </x:c>
      <x:c r="M270" s="185" t="n">
        <x:f>IF(A270="",0,IF(AND(ISNUMBER(F270),F270&gt;=0,F270&lt;=1,OR(G270="fitch_issue_recovery_estimate",G270="fitch_issue_recovery_rating",G270="reviewed_bbsf_fallback",G270="development_assumption"),H270&lt;&gt;""),0,B270))</x:f>
        <x:v>0</x:v>
      </x:c>
      <x:c r="N270" s="186" t="n">
        <x:f>IF(A270=Q270,0,1)+IF(B270=R270,0,1)+IF(C270=S270,0,1)+IF(D270=T270,0,1)+IF(E270=U270,0,1)+IF(F270=V270,0,1)+IF(G270=W270,0,1)+IF(H270=X270,0,1)</x:f>
        <x:v>0</x:v>
      </x:c>
      <x:c r="O270" s="186" t="n">
        <x:f>IF(A270="",0,IF(E270="",B270,0))</x:f>
        <x:v>1182000</x:v>
      </x:c>
      <x:c r="P270" s="187"/>
      <x:c r="Q270" s="179" t="str">
        <x:v>SYN-LN-00263</x:v>
      </x:c>
      <x:c r="R270" s="179" t="n">
        <x:v>1182000</x:v>
      </x:c>
      <x:c r="S270" s="179" t="str">
        <x:v>B</x:v>
      </x:c>
      <x:c r="T270" s="179" t="str">
        <x:v>development_proxy</x:v>
      </x:c>
      <x:c r="U270" s="179" t="str"/>
      <x:c r="V270" s="179" t="n">
        <x:v>0.75</x:v>
      </x:c>
      <x:c r="W270" s="179" t="str">
        <x:v>development_assumption</x:v>
      </x:c>
      <x:c r="X270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71" ht="107" customHeight="1">
      <x:c r="A271" s="179" t="str">
        <x:v>SYN-LN-00264</x:v>
      </x:c>
      <x:c r="B271" s="180" t="n">
        <x:f>IF(A271="","",SUMIF('Portfolio Inputs'!A8:A289,A271,'Portfolio Inputs'!D8:D289))</x:f>
        <x:v>1182000</x:v>
      </x:c>
      <x:c r="C271" s="179" t="str">
        <x:v>B+</x:v>
      </x:c>
      <x:c r="D271" s="181" t="str">
        <x:v>development_proxy</x:v>
      </x:c>
      <x:c r="E271" s="181" t="str"/>
      <x:c r="F271" s="182" t="n">
        <x:v>0.75</x:v>
      </x:c>
      <x:c r="G271" s="181" t="str">
        <x:v>development_assumption</x:v>
      </x:c>
      <x:c r="H27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71" s="183" t="n">
        <x:f>IF(AND(C271&lt;&gt;"",OR(D271="public_fitch_idr",D271="reviewed_appendix5_equivalent",D271="development_proxy"),H271&lt;&gt;""),VLOOKUP(C271,Fitch_WARF_Factors,2,FALSE),"")</x:f>
        <x:v>19.627</x:v>
      </x:c>
      <x:c r="J271" s="184" t="n">
        <x:f>IF(ISNUMBER(I271),B271*I271,0)</x:f>
        <x:v>23199114</x:v>
      </x:c>
      <x:c r="K271" s="184" t="n">
        <x:f>IF(AND(A271&lt;&gt;"",M271=0),B271*F271,0)</x:f>
        <x:v>886500</x:v>
      </x:c>
      <x:c r="L271" s="184" t="n">
        <x:f>IF(A271="",0,IF(ISNUMBER(I271),0,B271))</x:f>
        <x:v>0</x:v>
      </x:c>
      <x:c r="M271" s="185" t="n">
        <x:f>IF(A271="",0,IF(AND(ISNUMBER(F271),F271&gt;=0,F271&lt;=1,OR(G271="fitch_issue_recovery_estimate",G271="fitch_issue_recovery_rating",G271="reviewed_bbsf_fallback",G271="development_assumption"),H271&lt;&gt;""),0,B271))</x:f>
        <x:v>0</x:v>
      </x:c>
      <x:c r="N271" s="186" t="n">
        <x:f>IF(A271=Q271,0,1)+IF(B271=R271,0,1)+IF(C271=S271,0,1)+IF(D271=T271,0,1)+IF(E271=U271,0,1)+IF(F271=V271,0,1)+IF(G271=W271,0,1)+IF(H271=X271,0,1)</x:f>
        <x:v>0</x:v>
      </x:c>
      <x:c r="O271" s="186" t="n">
        <x:f>IF(A271="",0,IF(E271="",B271,0))</x:f>
        <x:v>1182000</x:v>
      </x:c>
      <x:c r="P271" s="187"/>
      <x:c r="Q271" s="179" t="str">
        <x:v>SYN-LN-00264</x:v>
      </x:c>
      <x:c r="R271" s="179" t="n">
        <x:v>1182000</x:v>
      </x:c>
      <x:c r="S271" s="179" t="str">
        <x:v>B+</x:v>
      </x:c>
      <x:c r="T271" s="179" t="str">
        <x:v>development_proxy</x:v>
      </x:c>
      <x:c r="U271" s="179" t="str"/>
      <x:c r="V271" s="179" t="n">
        <x:v>0.75</x:v>
      </x:c>
      <x:c r="W271" s="179" t="str">
        <x:v>development_assumption</x:v>
      </x:c>
      <x:c r="X27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72" ht="107" customHeight="1">
      <x:c r="A272" s="179" t="str">
        <x:v>SYN-LN-00265</x:v>
      </x:c>
      <x:c r="B272" s="180" t="n">
        <x:f>IF(A272="","",SUMIF('Portfolio Inputs'!A8:A289,A272,'Portfolio Inputs'!D8:D289))</x:f>
        <x:v>1182000</x:v>
      </x:c>
      <x:c r="C272" s="179" t="str">
        <x:v>B+</x:v>
      </x:c>
      <x:c r="D272" s="181" t="str">
        <x:v>development_proxy</x:v>
      </x:c>
      <x:c r="E272" s="181" t="str"/>
      <x:c r="F272" s="182" t="n">
        <x:v>0.75</x:v>
      </x:c>
      <x:c r="G272" s="181" t="str">
        <x:v>development_assumption</x:v>
      </x:c>
      <x:c r="H272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72" s="183" t="n">
        <x:f>IF(AND(C272&lt;&gt;"",OR(D272="public_fitch_idr",D272="reviewed_appendix5_equivalent",D272="development_proxy"),H272&lt;&gt;""),VLOOKUP(C272,Fitch_WARF_Factors,2,FALSE),"")</x:f>
        <x:v>19.627</x:v>
      </x:c>
      <x:c r="J272" s="184" t="n">
        <x:f>IF(ISNUMBER(I272),B272*I272,0)</x:f>
        <x:v>23199114</x:v>
      </x:c>
      <x:c r="K272" s="184" t="n">
        <x:f>IF(AND(A272&lt;&gt;"",M272=0),B272*F272,0)</x:f>
        <x:v>886500</x:v>
      </x:c>
      <x:c r="L272" s="184" t="n">
        <x:f>IF(A272="",0,IF(ISNUMBER(I272),0,B272))</x:f>
        <x:v>0</x:v>
      </x:c>
      <x:c r="M272" s="185" t="n">
        <x:f>IF(A272="",0,IF(AND(ISNUMBER(F272),F272&gt;=0,F272&lt;=1,OR(G272="fitch_issue_recovery_estimate",G272="fitch_issue_recovery_rating",G272="reviewed_bbsf_fallback",G272="development_assumption"),H272&lt;&gt;""),0,B272))</x:f>
        <x:v>0</x:v>
      </x:c>
      <x:c r="N272" s="186" t="n">
        <x:f>IF(A272=Q272,0,1)+IF(B272=R272,0,1)+IF(C272=S272,0,1)+IF(D272=T272,0,1)+IF(E272=U272,0,1)+IF(F272=V272,0,1)+IF(G272=W272,0,1)+IF(H272=X272,0,1)</x:f>
        <x:v>0</x:v>
      </x:c>
      <x:c r="O272" s="186" t="n">
        <x:f>IF(A272="",0,IF(E272="",B272,0))</x:f>
        <x:v>1182000</x:v>
      </x:c>
      <x:c r="P272" s="187"/>
      <x:c r="Q272" s="179" t="str">
        <x:v>SYN-LN-00265</x:v>
      </x:c>
      <x:c r="R272" s="179" t="n">
        <x:v>1182000</x:v>
      </x:c>
      <x:c r="S272" s="179" t="str">
        <x:v>B+</x:v>
      </x:c>
      <x:c r="T272" s="179" t="str">
        <x:v>development_proxy</x:v>
      </x:c>
      <x:c r="U272" s="179" t="str"/>
      <x:c r="V272" s="179" t="n">
        <x:v>0.75</x:v>
      </x:c>
      <x:c r="W272" s="179" t="str">
        <x:v>development_assumption</x:v>
      </x:c>
      <x:c r="X272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73" ht="107" customHeight="1">
      <x:c r="A273" s="179" t="str">
        <x:v>SYN-LN-00266</x:v>
      </x:c>
      <x:c r="B273" s="180" t="n">
        <x:f>IF(A273="","",SUMIF('Portfolio Inputs'!A8:A289,A273,'Portfolio Inputs'!D8:D289))</x:f>
        <x:v>1182000</x:v>
      </x:c>
      <x:c r="C273" s="179" t="str">
        <x:v>B+</x:v>
      </x:c>
      <x:c r="D273" s="181" t="str">
        <x:v>development_proxy</x:v>
      </x:c>
      <x:c r="E273" s="181" t="str"/>
      <x:c r="F273" s="182" t="n">
        <x:v>0.75</x:v>
      </x:c>
      <x:c r="G273" s="181" t="str">
        <x:v>development_assumption</x:v>
      </x:c>
      <x:c r="H27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73" s="183" t="n">
        <x:f>IF(AND(C273&lt;&gt;"",OR(D273="public_fitch_idr",D273="reviewed_appendix5_equivalent",D273="development_proxy"),H273&lt;&gt;""),VLOOKUP(C273,Fitch_WARF_Factors,2,FALSE),"")</x:f>
        <x:v>19.627</x:v>
      </x:c>
      <x:c r="J273" s="184" t="n">
        <x:f>IF(ISNUMBER(I273),B273*I273,0)</x:f>
        <x:v>23199114</x:v>
      </x:c>
      <x:c r="K273" s="184" t="n">
        <x:f>IF(AND(A273&lt;&gt;"",M273=0),B273*F273,0)</x:f>
        <x:v>886500</x:v>
      </x:c>
      <x:c r="L273" s="184" t="n">
        <x:f>IF(A273="",0,IF(ISNUMBER(I273),0,B273))</x:f>
        <x:v>0</x:v>
      </x:c>
      <x:c r="M273" s="185" t="n">
        <x:f>IF(A273="",0,IF(AND(ISNUMBER(F273),F273&gt;=0,F273&lt;=1,OR(G273="fitch_issue_recovery_estimate",G273="fitch_issue_recovery_rating",G273="reviewed_bbsf_fallback",G273="development_assumption"),H273&lt;&gt;""),0,B273))</x:f>
        <x:v>0</x:v>
      </x:c>
      <x:c r="N273" s="186" t="n">
        <x:f>IF(A273=Q273,0,1)+IF(B273=R273,0,1)+IF(C273=S273,0,1)+IF(D273=T273,0,1)+IF(E273=U273,0,1)+IF(F273=V273,0,1)+IF(G273=W273,0,1)+IF(H273=X273,0,1)</x:f>
        <x:v>0</x:v>
      </x:c>
      <x:c r="O273" s="186" t="n">
        <x:f>IF(A273="",0,IF(E273="",B273,0))</x:f>
        <x:v>1182000</x:v>
      </x:c>
      <x:c r="P273" s="187"/>
      <x:c r="Q273" s="179" t="str">
        <x:v>SYN-LN-00266</x:v>
      </x:c>
      <x:c r="R273" s="179" t="n">
        <x:v>1182000</x:v>
      </x:c>
      <x:c r="S273" s="179" t="str">
        <x:v>B+</x:v>
      </x:c>
      <x:c r="T273" s="179" t="str">
        <x:v>development_proxy</x:v>
      </x:c>
      <x:c r="U273" s="179" t="str"/>
      <x:c r="V273" s="179" t="n">
        <x:v>0.75</x:v>
      </x:c>
      <x:c r="W273" s="179" t="str">
        <x:v>development_assumption</x:v>
      </x:c>
      <x:c r="X27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74" ht="107" customHeight="1">
      <x:c r="A274" s="179" t="str">
        <x:v>SYN-LN-00267</x:v>
      </x:c>
      <x:c r="B274" s="180" t="n">
        <x:f>IF(A274="","",SUMIF('Portfolio Inputs'!A8:A289,A274,'Portfolio Inputs'!D8:D289))</x:f>
        <x:v>1182000</x:v>
      </x:c>
      <x:c r="C274" s="179" t="str">
        <x:v>B+</x:v>
      </x:c>
      <x:c r="D274" s="181" t="str">
        <x:v>development_proxy</x:v>
      </x:c>
      <x:c r="E274" s="181" t="str"/>
      <x:c r="F274" s="182" t="n">
        <x:v>0.75</x:v>
      </x:c>
      <x:c r="G274" s="181" t="str">
        <x:v>development_assumption</x:v>
      </x:c>
      <x:c r="H27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74" s="183" t="n">
        <x:f>IF(AND(C274&lt;&gt;"",OR(D274="public_fitch_idr",D274="reviewed_appendix5_equivalent",D274="development_proxy"),H274&lt;&gt;""),VLOOKUP(C274,Fitch_WARF_Factors,2,FALSE),"")</x:f>
        <x:v>19.627</x:v>
      </x:c>
      <x:c r="J274" s="184" t="n">
        <x:f>IF(ISNUMBER(I274),B274*I274,0)</x:f>
        <x:v>23199114</x:v>
      </x:c>
      <x:c r="K274" s="184" t="n">
        <x:f>IF(AND(A274&lt;&gt;"",M274=0),B274*F274,0)</x:f>
        <x:v>886500</x:v>
      </x:c>
      <x:c r="L274" s="184" t="n">
        <x:f>IF(A274="",0,IF(ISNUMBER(I274),0,B274))</x:f>
        <x:v>0</x:v>
      </x:c>
      <x:c r="M274" s="185" t="n">
        <x:f>IF(A274="",0,IF(AND(ISNUMBER(F274),F274&gt;=0,F274&lt;=1,OR(G274="fitch_issue_recovery_estimate",G274="fitch_issue_recovery_rating",G274="reviewed_bbsf_fallback",G274="development_assumption"),H274&lt;&gt;""),0,B274))</x:f>
        <x:v>0</x:v>
      </x:c>
      <x:c r="N274" s="186" t="n">
        <x:f>IF(A274=Q274,0,1)+IF(B274=R274,0,1)+IF(C274=S274,0,1)+IF(D274=T274,0,1)+IF(E274=U274,0,1)+IF(F274=V274,0,1)+IF(G274=W274,0,1)+IF(H274=X274,0,1)</x:f>
        <x:v>0</x:v>
      </x:c>
      <x:c r="O274" s="186" t="n">
        <x:f>IF(A274="",0,IF(E274="",B274,0))</x:f>
        <x:v>1182000</x:v>
      </x:c>
      <x:c r="P274" s="187"/>
      <x:c r="Q274" s="179" t="str">
        <x:v>SYN-LN-00267</x:v>
      </x:c>
      <x:c r="R274" s="179" t="n">
        <x:v>1182000</x:v>
      </x:c>
      <x:c r="S274" s="179" t="str">
        <x:v>B+</x:v>
      </x:c>
      <x:c r="T274" s="179" t="str">
        <x:v>development_proxy</x:v>
      </x:c>
      <x:c r="U274" s="179" t="str"/>
      <x:c r="V274" s="179" t="n">
        <x:v>0.75</x:v>
      </x:c>
      <x:c r="W274" s="179" t="str">
        <x:v>development_assumption</x:v>
      </x:c>
      <x:c r="X27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75" ht="107" customHeight="1">
      <x:c r="A275" s="179" t="str">
        <x:v>SYN-LN-00268</x:v>
      </x:c>
      <x:c r="B275" s="180" t="n">
        <x:f>IF(A275="","",SUMIF('Portfolio Inputs'!A8:A289,A275,'Portfolio Inputs'!D8:D289))</x:f>
        <x:v>710000</x:v>
      </x:c>
      <x:c r="C275" s="179" t="str">
        <x:v>B-</x:v>
      </x:c>
      <x:c r="D275" s="181" t="str">
        <x:v>development_proxy</x:v>
      </x:c>
      <x:c r="E275" s="181" t="str"/>
      <x:c r="F275" s="182" t="n">
        <x:v>0.75</x:v>
      </x:c>
      <x:c r="G275" s="181" t="str">
        <x:v>development_assumption</x:v>
      </x:c>
      <x:c r="H27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75" s="183" t="n">
        <x:f>IF(AND(C275&lt;&gt;"",OR(D275="public_fitch_idr",D275="reviewed_appendix5_equivalent",D275="development_proxy"),H275&lt;&gt;""),VLOOKUP(C275,Fitch_WARF_Factors,2,FALSE),"")</x:f>
        <x:v>32.221</x:v>
      </x:c>
      <x:c r="J275" s="184" t="n">
        <x:f>IF(ISNUMBER(I275),B275*I275,0)</x:f>
        <x:v>22876909.999999996</x:v>
      </x:c>
      <x:c r="K275" s="184" t="n">
        <x:f>IF(AND(A275&lt;&gt;"",M275=0),B275*F275,0)</x:f>
        <x:v>532500</x:v>
      </x:c>
      <x:c r="L275" s="184" t="n">
        <x:f>IF(A275="",0,IF(ISNUMBER(I275),0,B275))</x:f>
        <x:v>0</x:v>
      </x:c>
      <x:c r="M275" s="185" t="n">
        <x:f>IF(A275="",0,IF(AND(ISNUMBER(F275),F275&gt;=0,F275&lt;=1,OR(G275="fitch_issue_recovery_estimate",G275="fitch_issue_recovery_rating",G275="reviewed_bbsf_fallback",G275="development_assumption"),H275&lt;&gt;""),0,B275))</x:f>
        <x:v>0</x:v>
      </x:c>
      <x:c r="N275" s="186" t="n">
        <x:f>IF(A275=Q275,0,1)+IF(B275=R275,0,1)+IF(C275=S275,0,1)+IF(D275=T275,0,1)+IF(E275=U275,0,1)+IF(F275=V275,0,1)+IF(G275=W275,0,1)+IF(H275=X275,0,1)</x:f>
        <x:v>0</x:v>
      </x:c>
      <x:c r="O275" s="186" t="n">
        <x:f>IF(A275="",0,IF(E275="",B275,0))</x:f>
        <x:v>710000</x:v>
      </x:c>
      <x:c r="P275" s="187"/>
      <x:c r="Q275" s="179" t="str">
        <x:v>SYN-LN-00268</x:v>
      </x:c>
      <x:c r="R275" s="179" t="n">
        <x:v>710000</x:v>
      </x:c>
      <x:c r="S275" s="179" t="str">
        <x:v>B-</x:v>
      </x:c>
      <x:c r="T275" s="179" t="str">
        <x:v>development_proxy</x:v>
      </x:c>
      <x:c r="U275" s="179" t="str"/>
      <x:c r="V275" s="179" t="n">
        <x:v>0.75</x:v>
      </x:c>
      <x:c r="W275" s="179" t="str">
        <x:v>development_assumption</x:v>
      </x:c>
      <x:c r="X27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76" ht="107" customHeight="1">
      <x:c r="A276" s="179" t="str">
        <x:v>SYN-LN-00269</x:v>
      </x:c>
      <x:c r="B276" s="180" t="n">
        <x:f>IF(A276="","",SUMIF('Portfolio Inputs'!A8:A289,A276,'Portfolio Inputs'!D8:D289))</x:f>
        <x:v>472000</x:v>
      </x:c>
      <x:c r="C276" s="179" t="str">
        <x:v>B-</x:v>
      </x:c>
      <x:c r="D276" s="181" t="str">
        <x:v>development_proxy</x:v>
      </x:c>
      <x:c r="E276" s="181" t="str"/>
      <x:c r="F276" s="182" t="n">
        <x:v>0.75</x:v>
      </x:c>
      <x:c r="G276" s="181" t="str">
        <x:v>development_assumption</x:v>
      </x:c>
      <x:c r="H27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76" s="183" t="n">
        <x:f>IF(AND(C276&lt;&gt;"",OR(D276="public_fitch_idr",D276="reviewed_appendix5_equivalent",D276="development_proxy"),H276&lt;&gt;""),VLOOKUP(C276,Fitch_WARF_Factors,2,FALSE),"")</x:f>
        <x:v>32.221</x:v>
      </x:c>
      <x:c r="J276" s="184" t="n">
        <x:f>IF(ISNUMBER(I276),B276*I276,0)</x:f>
        <x:v>15208311.999999998</x:v>
      </x:c>
      <x:c r="K276" s="184" t="n">
        <x:f>IF(AND(A276&lt;&gt;"",M276=0),B276*F276,0)</x:f>
        <x:v>354000</x:v>
      </x:c>
      <x:c r="L276" s="184" t="n">
        <x:f>IF(A276="",0,IF(ISNUMBER(I276),0,B276))</x:f>
        <x:v>0</x:v>
      </x:c>
      <x:c r="M276" s="185" t="n">
        <x:f>IF(A276="",0,IF(AND(ISNUMBER(F276),F276&gt;=0,F276&lt;=1,OR(G276="fitch_issue_recovery_estimate",G276="fitch_issue_recovery_rating",G276="reviewed_bbsf_fallback",G276="development_assumption"),H276&lt;&gt;""),0,B276))</x:f>
        <x:v>0</x:v>
      </x:c>
      <x:c r="N276" s="186" t="n">
        <x:f>IF(A276=Q276,0,1)+IF(B276=R276,0,1)+IF(C276=S276,0,1)+IF(D276=T276,0,1)+IF(E276=U276,0,1)+IF(F276=V276,0,1)+IF(G276=W276,0,1)+IF(H276=X276,0,1)</x:f>
        <x:v>0</x:v>
      </x:c>
      <x:c r="O276" s="186" t="n">
        <x:f>IF(A276="",0,IF(E276="",B276,0))</x:f>
        <x:v>472000</x:v>
      </x:c>
      <x:c r="P276" s="187"/>
      <x:c r="Q276" s="179" t="str">
        <x:v>SYN-LN-00269</x:v>
      </x:c>
      <x:c r="R276" s="179" t="n">
        <x:v>472000</x:v>
      </x:c>
      <x:c r="S276" s="179" t="str">
        <x:v>B-</x:v>
      </x:c>
      <x:c r="T276" s="179" t="str">
        <x:v>development_proxy</x:v>
      </x:c>
      <x:c r="U276" s="179" t="str"/>
      <x:c r="V276" s="179" t="n">
        <x:v>0.75</x:v>
      </x:c>
      <x:c r="W276" s="179" t="str">
        <x:v>development_assumption</x:v>
      </x:c>
      <x:c r="X27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77" ht="107" customHeight="1">
      <x:c r="A277" s="179" t="str">
        <x:v>SYN-LN-00270</x:v>
      </x:c>
      <x:c r="B277" s="180" t="n">
        <x:f>IF(A277="","",SUMIF('Portfolio Inputs'!A8:A289,A277,'Portfolio Inputs'!D8:D289))</x:f>
        <x:v>1182000</x:v>
      </x:c>
      <x:c r="C277" s="179" t="str">
        <x:v>B-</x:v>
      </x:c>
      <x:c r="D277" s="181" t="str">
        <x:v>development_proxy</x:v>
      </x:c>
      <x:c r="E277" s="181" t="str"/>
      <x:c r="F277" s="182" t="n">
        <x:v>0.75</x:v>
      </x:c>
      <x:c r="G277" s="181" t="str">
        <x:v>development_assumption</x:v>
      </x:c>
      <x:c r="H27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77" s="183" t="n">
        <x:f>IF(AND(C277&lt;&gt;"",OR(D277="public_fitch_idr",D277="reviewed_appendix5_equivalent",D277="development_proxy"),H277&lt;&gt;""),VLOOKUP(C277,Fitch_WARF_Factors,2,FALSE),"")</x:f>
        <x:v>32.221</x:v>
      </x:c>
      <x:c r="J277" s="184" t="n">
        <x:f>IF(ISNUMBER(I277),B277*I277,0)</x:f>
        <x:v>38085221.99999999</x:v>
      </x:c>
      <x:c r="K277" s="184" t="n">
        <x:f>IF(AND(A277&lt;&gt;"",M277=0),B277*F277,0)</x:f>
        <x:v>886500</x:v>
      </x:c>
      <x:c r="L277" s="184" t="n">
        <x:f>IF(A277="",0,IF(ISNUMBER(I277),0,B277))</x:f>
        <x:v>0</x:v>
      </x:c>
      <x:c r="M277" s="185" t="n">
        <x:f>IF(A277="",0,IF(AND(ISNUMBER(F277),F277&gt;=0,F277&lt;=1,OR(G277="fitch_issue_recovery_estimate",G277="fitch_issue_recovery_rating",G277="reviewed_bbsf_fallback",G277="development_assumption"),H277&lt;&gt;""),0,B277))</x:f>
        <x:v>0</x:v>
      </x:c>
      <x:c r="N277" s="186" t="n">
        <x:f>IF(A277=Q277,0,1)+IF(B277=R277,0,1)+IF(C277=S277,0,1)+IF(D277=T277,0,1)+IF(E277=U277,0,1)+IF(F277=V277,0,1)+IF(G277=W277,0,1)+IF(H277=X277,0,1)</x:f>
        <x:v>0</x:v>
      </x:c>
      <x:c r="O277" s="186" t="n">
        <x:f>IF(A277="",0,IF(E277="",B277,0))</x:f>
        <x:v>1182000</x:v>
      </x:c>
      <x:c r="P277" s="187"/>
      <x:c r="Q277" s="179" t="str">
        <x:v>SYN-LN-00270</x:v>
      </x:c>
      <x:c r="R277" s="179" t="n">
        <x:v>1182000</x:v>
      </x:c>
      <x:c r="S277" s="179" t="str">
        <x:v>B-</x:v>
      </x:c>
      <x:c r="T277" s="179" t="str">
        <x:v>development_proxy</x:v>
      </x:c>
      <x:c r="U277" s="179" t="str"/>
      <x:c r="V277" s="179" t="n">
        <x:v>0.75</x:v>
      </x:c>
      <x:c r="W277" s="179" t="str">
        <x:v>development_assumption</x:v>
      </x:c>
      <x:c r="X27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78" ht="107" customHeight="1">
      <x:c r="A278" s="179" t="str">
        <x:v>SYN-LN-00271</x:v>
      </x:c>
      <x:c r="B278" s="180" t="n">
        <x:f>IF(A278="","",SUMIF('Portfolio Inputs'!A8:A289,A278,'Portfolio Inputs'!D8:D289))</x:f>
        <x:v>1182000</x:v>
      </x:c>
      <x:c r="C278" s="179" t="str">
        <x:v>BB-</x:v>
      </x:c>
      <x:c r="D278" s="181" t="str">
        <x:v>development_proxy</x:v>
      </x:c>
      <x:c r="E278" s="181" t="str"/>
      <x:c r="F278" s="182" t="n">
        <x:v>0.75</x:v>
      </x:c>
      <x:c r="G278" s="181" t="str">
        <x:v>development_assumption</x:v>
      </x:c>
      <x:c r="H27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78" s="183" t="n">
        <x:f>IF(AND(C278&lt;&gt;"",OR(D278="public_fitch_idr",D278="reviewed_appendix5_equivalent",D278="development_proxy"),H278&lt;&gt;""),VLOOKUP(C278,Fitch_WARF_Factors,2,FALSE),"")</x:f>
        <x:v>15.733</x:v>
      </x:c>
      <x:c r="J278" s="184" t="n">
        <x:f>IF(ISNUMBER(I278),B278*I278,0)</x:f>
        <x:v>18596406</x:v>
      </x:c>
      <x:c r="K278" s="184" t="n">
        <x:f>IF(AND(A278&lt;&gt;"",M278=0),B278*F278,0)</x:f>
        <x:v>886500</x:v>
      </x:c>
      <x:c r="L278" s="184" t="n">
        <x:f>IF(A278="",0,IF(ISNUMBER(I278),0,B278))</x:f>
        <x:v>0</x:v>
      </x:c>
      <x:c r="M278" s="185" t="n">
        <x:f>IF(A278="",0,IF(AND(ISNUMBER(F278),F278&gt;=0,F278&lt;=1,OR(G278="fitch_issue_recovery_estimate",G278="fitch_issue_recovery_rating",G278="reviewed_bbsf_fallback",G278="development_assumption"),H278&lt;&gt;""),0,B278))</x:f>
        <x:v>0</x:v>
      </x:c>
      <x:c r="N278" s="186" t="n">
        <x:f>IF(A278=Q278,0,1)+IF(B278=R278,0,1)+IF(C278=S278,0,1)+IF(D278=T278,0,1)+IF(E278=U278,0,1)+IF(F278=V278,0,1)+IF(G278=W278,0,1)+IF(H278=X278,0,1)</x:f>
        <x:v>0</x:v>
      </x:c>
      <x:c r="O278" s="186" t="n">
        <x:f>IF(A278="",0,IF(E278="",B278,0))</x:f>
        <x:v>1182000</x:v>
      </x:c>
      <x:c r="P278" s="187"/>
      <x:c r="Q278" s="179" t="str">
        <x:v>SYN-LN-00271</x:v>
      </x:c>
      <x:c r="R278" s="179" t="n">
        <x:v>1182000</x:v>
      </x:c>
      <x:c r="S278" s="179" t="str">
        <x:v>BB-</x:v>
      </x:c>
      <x:c r="T278" s="179" t="str">
        <x:v>development_proxy</x:v>
      </x:c>
      <x:c r="U278" s="179" t="str"/>
      <x:c r="V278" s="179" t="n">
        <x:v>0.75</x:v>
      </x:c>
      <x:c r="W278" s="179" t="str">
        <x:v>development_assumption</x:v>
      </x:c>
      <x:c r="X27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79" ht="107" customHeight="1">
      <x:c r="A279" s="179" t="str">
        <x:v>SYN-LN-00272</x:v>
      </x:c>
      <x:c r="B279" s="180" t="n">
        <x:f>IF(A279="","",SUMIF('Portfolio Inputs'!A8:A289,A279,'Portfolio Inputs'!D8:D289))</x:f>
        <x:v>1182000</x:v>
      </x:c>
      <x:c r="C279" s="179" t="str">
        <x:v>B-</x:v>
      </x:c>
      <x:c r="D279" s="181" t="str">
        <x:v>development_proxy</x:v>
      </x:c>
      <x:c r="E279" s="181" t="str"/>
      <x:c r="F279" s="182" t="n">
        <x:v>0.75</x:v>
      </x:c>
      <x:c r="G279" s="181" t="str">
        <x:v>development_assumption</x:v>
      </x:c>
      <x:c r="H279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79" s="183" t="n">
        <x:f>IF(AND(C279&lt;&gt;"",OR(D279="public_fitch_idr",D279="reviewed_appendix5_equivalent",D279="development_proxy"),H279&lt;&gt;""),VLOOKUP(C279,Fitch_WARF_Factors,2,FALSE),"")</x:f>
        <x:v>32.221</x:v>
      </x:c>
      <x:c r="J279" s="184" t="n">
        <x:f>IF(ISNUMBER(I279),B279*I279,0)</x:f>
        <x:v>38085221.99999999</x:v>
      </x:c>
      <x:c r="K279" s="184" t="n">
        <x:f>IF(AND(A279&lt;&gt;"",M279=0),B279*F279,0)</x:f>
        <x:v>886500</x:v>
      </x:c>
      <x:c r="L279" s="184" t="n">
        <x:f>IF(A279="",0,IF(ISNUMBER(I279),0,B279))</x:f>
        <x:v>0</x:v>
      </x:c>
      <x:c r="M279" s="185" t="n">
        <x:f>IF(A279="",0,IF(AND(ISNUMBER(F279),F279&gt;=0,F279&lt;=1,OR(G279="fitch_issue_recovery_estimate",G279="fitch_issue_recovery_rating",G279="reviewed_bbsf_fallback",G279="development_assumption"),H279&lt;&gt;""),0,B279))</x:f>
        <x:v>0</x:v>
      </x:c>
      <x:c r="N279" s="186" t="n">
        <x:f>IF(A279=Q279,0,1)+IF(B279=R279,0,1)+IF(C279=S279,0,1)+IF(D279=T279,0,1)+IF(E279=U279,0,1)+IF(F279=V279,0,1)+IF(G279=W279,0,1)+IF(H279=X279,0,1)</x:f>
        <x:v>0</x:v>
      </x:c>
      <x:c r="O279" s="186" t="n">
        <x:f>IF(A279="",0,IF(E279="",B279,0))</x:f>
        <x:v>1182000</x:v>
      </x:c>
      <x:c r="P279" s="187"/>
      <x:c r="Q279" s="179" t="str">
        <x:v>SYN-LN-00272</x:v>
      </x:c>
      <x:c r="R279" s="179" t="n">
        <x:v>1182000</x:v>
      </x:c>
      <x:c r="S279" s="179" t="str">
        <x:v>B-</x:v>
      </x:c>
      <x:c r="T279" s="179" t="str">
        <x:v>development_proxy</x:v>
      </x:c>
      <x:c r="U279" s="179" t="str"/>
      <x:c r="V279" s="179" t="n">
        <x:v>0.75</x:v>
      </x:c>
      <x:c r="W279" s="179" t="str">
        <x:v>development_assumption</x:v>
      </x:c>
      <x:c r="X279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80" ht="107" customHeight="1">
      <x:c r="A280" s="179" t="str">
        <x:v>SYN-LN-00273</x:v>
      </x:c>
      <x:c r="B280" s="180" t="n">
        <x:f>IF(A280="","",SUMIF('Portfolio Inputs'!A8:A289,A280,'Portfolio Inputs'!D8:D289))</x:f>
        <x:v>630000</x:v>
      </x:c>
      <x:c r="C280" s="179" t="str">
        <x:v>BBB+</x:v>
      </x:c>
      <x:c r="D280" s="181" t="str">
        <x:v>development_proxy</x:v>
      </x:c>
      <x:c r="E280" s="181" t="str"/>
      <x:c r="F280" s="182" t="n">
        <x:v>0.65</x:v>
      </x:c>
      <x:c r="G280" s="181" t="str">
        <x:v>development_assumption</x:v>
      </x:c>
      <x:c r="H280" s="181" t="str">
        <x:v>FICTIONAL DEVELOPMENT: copied S&amp;P symbol as Fitch IDR-equivalency proxy; no Fitch rating or Appendix 5 review. Assumed first-lien facility is senior secured loan with no issue recovery opinion; Luxembourg Group 2; Fitch June 1 2026 Appendix 4 pp42-43 and Appendix 6 pp47-48 BBsf Strong fallback.</x:v>
      </x:c>
      <x:c r="I280" s="183" t="n">
        <x:f>IF(AND(C280&lt;&gt;"",OR(D280="public_fitch_idr",D280="reviewed_appendix5_equivalent",D280="development_proxy"),H280&lt;&gt;""),VLOOKUP(C280,Fitch_WARF_Factors,2,FALSE),"")</x:f>
        <x:v>2.63</x:v>
      </x:c>
      <x:c r="J280" s="184" t="n">
        <x:f>IF(ISNUMBER(I280),B280*I280,0)</x:f>
        <x:v>1656900</x:v>
      </x:c>
      <x:c r="K280" s="184" t="n">
        <x:f>IF(AND(A280&lt;&gt;"",M280=0),B280*F280,0)</x:f>
        <x:v>409500</x:v>
      </x:c>
      <x:c r="L280" s="184" t="n">
        <x:f>IF(A280="",0,IF(ISNUMBER(I280),0,B280))</x:f>
        <x:v>0</x:v>
      </x:c>
      <x:c r="M280" s="185" t="n">
        <x:f>IF(A280="",0,IF(AND(ISNUMBER(F280),F280&gt;=0,F280&lt;=1,OR(G280="fitch_issue_recovery_estimate",G280="fitch_issue_recovery_rating",G280="reviewed_bbsf_fallback",G280="development_assumption"),H280&lt;&gt;""),0,B280))</x:f>
        <x:v>0</x:v>
      </x:c>
      <x:c r="N280" s="186" t="n">
        <x:f>IF(A280=Q280,0,1)+IF(B280=R280,0,1)+IF(C280=S280,0,1)+IF(D280=T280,0,1)+IF(E280=U280,0,1)+IF(F280=V280,0,1)+IF(G280=W280,0,1)+IF(H280=X280,0,1)</x:f>
        <x:v>0</x:v>
      </x:c>
      <x:c r="O280" s="186" t="n">
        <x:f>IF(A280="",0,IF(E280="",B280,0))</x:f>
        <x:v>630000</x:v>
      </x:c>
      <x:c r="P280" s="187"/>
      <x:c r="Q280" s="179" t="str">
        <x:v>SYN-LN-00273</x:v>
      </x:c>
      <x:c r="R280" s="179" t="n">
        <x:v>630000</x:v>
      </x:c>
      <x:c r="S280" s="179" t="str">
        <x:v>BBB+</x:v>
      </x:c>
      <x:c r="T280" s="179" t="str">
        <x:v>development_proxy</x:v>
      </x:c>
      <x:c r="U280" s="179" t="str"/>
      <x:c r="V280" s="179" t="n">
        <x:v>0.65</x:v>
      </x:c>
      <x:c r="W280" s="179" t="str">
        <x:v>development_assumption</x:v>
      </x:c>
      <x:c r="X280" s="179" t="str">
        <x:v>FICTIONAL DEVELOPMENT: copied S&amp;P symbol as Fitch IDR-equivalency proxy; no Fitch rating or Appendix 5 review. Assumed first-lien facility is senior secured loan with no issue recovery opinion; Luxembourg Group 2; Fitch June 1 2026 Appendix 4 pp42-43 and Appendix 6 pp47-48 BBsf Strong fallback.</x:v>
      </x:c>
    </x:row>
    <x:row r="281" ht="107" customHeight="1">
      <x:c r="A281" s="179" t="str">
        <x:v>SYN-LN-00274</x:v>
      </x:c>
      <x:c r="B281" s="180" t="n">
        <x:f>IF(A281="","",SUMIF('Portfolio Inputs'!A8:A289,A281,'Portfolio Inputs'!D8:D289))</x:f>
        <x:v>1182000</x:v>
      </x:c>
      <x:c r="C281" s="179" t="str">
        <x:v>B</x:v>
      </x:c>
      <x:c r="D281" s="181" t="str">
        <x:v>development_proxy</x:v>
      </x:c>
      <x:c r="E281" s="181" t="str"/>
      <x:c r="F281" s="182" t="n">
        <x:v>0.75</x:v>
      </x:c>
      <x:c r="G281" s="181" t="str">
        <x:v>development_assumption</x:v>
      </x:c>
      <x:c r="H281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81" s="183" t="n">
        <x:f>IF(AND(C281&lt;&gt;"",OR(D281="public_fitch_idr",D281="reviewed_appendix5_equivalent",D281="development_proxy"),H281&lt;&gt;""),VLOOKUP(C281,Fitch_WARF_Factors,2,FALSE),"")</x:f>
        <x:v>23.671</x:v>
      </x:c>
      <x:c r="J281" s="184" t="n">
        <x:f>IF(ISNUMBER(I281),B281*I281,0)</x:f>
        <x:v>27979122</x:v>
      </x:c>
      <x:c r="K281" s="184" t="n">
        <x:f>IF(AND(A281&lt;&gt;"",M281=0),B281*F281,0)</x:f>
        <x:v>886500</x:v>
      </x:c>
      <x:c r="L281" s="184" t="n">
        <x:f>IF(A281="",0,IF(ISNUMBER(I281),0,B281))</x:f>
        <x:v>0</x:v>
      </x:c>
      <x:c r="M281" s="185" t="n">
        <x:f>IF(A281="",0,IF(AND(ISNUMBER(F281),F281&gt;=0,F281&lt;=1,OR(G281="fitch_issue_recovery_estimate",G281="fitch_issue_recovery_rating",G281="reviewed_bbsf_fallback",G281="development_assumption"),H281&lt;&gt;""),0,B281))</x:f>
        <x:v>0</x:v>
      </x:c>
      <x:c r="N281" s="186" t="n">
        <x:f>IF(A281=Q281,0,1)+IF(B281=R281,0,1)+IF(C281=S281,0,1)+IF(D281=T281,0,1)+IF(E281=U281,0,1)+IF(F281=V281,0,1)+IF(G281=W281,0,1)+IF(H281=X281,0,1)</x:f>
        <x:v>0</x:v>
      </x:c>
      <x:c r="O281" s="186" t="n">
        <x:f>IF(A281="",0,IF(E281="",B281,0))</x:f>
        <x:v>1182000</x:v>
      </x:c>
      <x:c r="P281" s="187"/>
      <x:c r="Q281" s="179" t="str">
        <x:v>SYN-LN-00274</x:v>
      </x:c>
      <x:c r="R281" s="179" t="n">
        <x:v>1182000</x:v>
      </x:c>
      <x:c r="S281" s="179" t="str">
        <x:v>B</x:v>
      </x:c>
      <x:c r="T281" s="179" t="str">
        <x:v>development_proxy</x:v>
      </x:c>
      <x:c r="U281" s="179" t="str"/>
      <x:c r="V281" s="179" t="n">
        <x:v>0.75</x:v>
      </x:c>
      <x:c r="W281" s="179" t="str">
        <x:v>development_assumption</x:v>
      </x:c>
      <x:c r="X281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82" ht="107" customHeight="1">
      <x:c r="A282" s="179" t="str">
        <x:v>SYN-LN-00275</x:v>
      </x:c>
      <x:c r="B282" s="180" t="n">
        <x:f>IF(A282="","",SUMIF('Portfolio Inputs'!A8:A289,A282,'Portfolio Inputs'!D8:D289))</x:f>
        <x:v>1182000</x:v>
      </x:c>
      <x:c r="C282" s="179" t="str">
        <x:v>B-</x:v>
      </x:c>
      <x:c r="D282" s="181" t="str">
        <x:v>development_proxy</x:v>
      </x:c>
      <x:c r="E282" s="181" t="str"/>
      <x:c r="F282" s="182" t="n">
        <x:v>0.65</x:v>
      </x:c>
      <x:c r="G282" s="181" t="str">
        <x:v>development_assumption</x:v>
      </x:c>
      <x:c r="H282" s="181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  <x:c r="I282" s="183" t="n">
        <x:f>IF(AND(C282&lt;&gt;"",OR(D282="public_fitch_idr",D282="reviewed_appendix5_equivalent",D282="development_proxy"),H282&lt;&gt;""),VLOOKUP(C282,Fitch_WARF_Factors,2,FALSE),"")</x:f>
        <x:v>32.221</x:v>
      </x:c>
      <x:c r="J282" s="184" t="n">
        <x:f>IF(ISNUMBER(I282),B282*I282,0)</x:f>
        <x:v>38085221.99999999</x:v>
      </x:c>
      <x:c r="K282" s="184" t="n">
        <x:f>IF(AND(A282&lt;&gt;"",M282=0),B282*F282,0)</x:f>
        <x:v>768300</x:v>
      </x:c>
      <x:c r="L282" s="184" t="n">
        <x:f>IF(A282="",0,IF(ISNUMBER(I282),0,B282))</x:f>
        <x:v>0</x:v>
      </x:c>
      <x:c r="M282" s="185" t="n">
        <x:f>IF(A282="",0,IF(AND(ISNUMBER(F282),F282&gt;=0,F282&lt;=1,OR(G282="fitch_issue_recovery_estimate",G282="fitch_issue_recovery_rating",G282="reviewed_bbsf_fallback",G282="development_assumption"),H282&lt;&gt;""),0,B282))</x:f>
        <x:v>0</x:v>
      </x:c>
      <x:c r="N282" s="186" t="n">
        <x:f>IF(A282=Q282,0,1)+IF(B282=R282,0,1)+IF(C282=S282,0,1)+IF(D282=T282,0,1)+IF(E282=U282,0,1)+IF(F282=V282,0,1)+IF(G282=W282,0,1)+IF(H282=X282,0,1)</x:f>
        <x:v>0</x:v>
      </x:c>
      <x:c r="O282" s="186" t="n">
        <x:f>IF(A282="",0,IF(E282="",B282,0))</x:f>
        <x:v>1182000</x:v>
      </x:c>
      <x:c r="P282" s="187"/>
      <x:c r="Q282" s="179" t="str">
        <x:v>SYN-LN-00275</x:v>
      </x:c>
      <x:c r="R282" s="179" t="n">
        <x:v>1182000</x:v>
      </x:c>
      <x:c r="S282" s="179" t="str">
        <x:v>B-</x:v>
      </x:c>
      <x:c r="T282" s="179" t="str">
        <x:v>development_proxy</x:v>
      </x:c>
      <x:c r="U282" s="179" t="str"/>
      <x:c r="V282" s="179" t="n">
        <x:v>0.65</x:v>
      </x:c>
      <x:c r="W282" s="179" t="str">
        <x:v>development_assumption</x:v>
      </x:c>
      <x:c r="X282" s="179" t="str">
        <x:v>FICTIONAL DEVELOPMENT: copied S&amp;P symbol as Fitch IDR-equivalency proxy; no Fitch rating or Appendix 5 review. Assumed first-lien facility is senior secured loan with no issue recovery opinion; United Kingdom Group 2; Fitch June 1 2026 Appendix 4 pp42-43 and Appendix 6 pp47-48 BBsf Strong fallback.</x:v>
      </x:c>
    </x:row>
    <x:row r="283" ht="107" customHeight="1">
      <x:c r="A283" s="179" t="str">
        <x:v>SYN-LN-00276</x:v>
      </x:c>
      <x:c r="B283" s="180" t="n">
        <x:f>IF(A283="","",SUMIF('Portfolio Inputs'!A8:A289,A283,'Portfolio Inputs'!D8:D289))</x:f>
        <x:v>1182000</x:v>
      </x:c>
      <x:c r="C283" s="179" t="str">
        <x:v>BB</x:v>
      </x:c>
      <x:c r="D283" s="181" t="str">
        <x:v>development_proxy</x:v>
      </x:c>
      <x:c r="E283" s="181" t="str"/>
      <x:c r="F283" s="182" t="n">
        <x:v>0.75</x:v>
      </x:c>
      <x:c r="G283" s="181" t="str">
        <x:v>development_assumption</x:v>
      </x:c>
      <x:c r="H283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83" s="183" t="n">
        <x:f>IF(AND(C283&lt;&gt;"",OR(D283="public_fitch_idr",D283="reviewed_appendix5_equivalent",D283="development_proxy"),H283&lt;&gt;""),VLOOKUP(C283,Fitch_WARF_Factors,2,FALSE),"")</x:f>
        <x:v>11.844</x:v>
      </x:c>
      <x:c r="J283" s="184" t="n">
        <x:f>IF(ISNUMBER(I283),B283*I283,0)</x:f>
        <x:v>13999608</x:v>
      </x:c>
      <x:c r="K283" s="184" t="n">
        <x:f>IF(AND(A283&lt;&gt;"",M283=0),B283*F283,0)</x:f>
        <x:v>886500</x:v>
      </x:c>
      <x:c r="L283" s="184" t="n">
        <x:f>IF(A283="",0,IF(ISNUMBER(I283),0,B283))</x:f>
        <x:v>0</x:v>
      </x:c>
      <x:c r="M283" s="185" t="n">
        <x:f>IF(A283="",0,IF(AND(ISNUMBER(F283),F283&gt;=0,F283&lt;=1,OR(G283="fitch_issue_recovery_estimate",G283="fitch_issue_recovery_rating",G283="reviewed_bbsf_fallback",G283="development_assumption"),H283&lt;&gt;""),0,B283))</x:f>
        <x:v>0</x:v>
      </x:c>
      <x:c r="N283" s="186" t="n">
        <x:f>IF(A283=Q283,0,1)+IF(B283=R283,0,1)+IF(C283=S283,0,1)+IF(D283=T283,0,1)+IF(E283=U283,0,1)+IF(F283=V283,0,1)+IF(G283=W283,0,1)+IF(H283=X283,0,1)</x:f>
        <x:v>0</x:v>
      </x:c>
      <x:c r="O283" s="186" t="n">
        <x:f>IF(A283="",0,IF(E283="",B283,0))</x:f>
        <x:v>1182000</x:v>
      </x:c>
      <x:c r="P283" s="187"/>
      <x:c r="Q283" s="179" t="str">
        <x:v>SYN-LN-00276</x:v>
      </x:c>
      <x:c r="R283" s="179" t="n">
        <x:v>1182000</x:v>
      </x:c>
      <x:c r="S283" s="179" t="str">
        <x:v>BB</x:v>
      </x:c>
      <x:c r="T283" s="179" t="str">
        <x:v>development_proxy</x:v>
      </x:c>
      <x:c r="U283" s="179" t="str"/>
      <x:c r="V283" s="179" t="n">
        <x:v>0.75</x:v>
      </x:c>
      <x:c r="W283" s="179" t="str">
        <x:v>development_assumption</x:v>
      </x:c>
      <x:c r="X283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84" ht="107" customHeight="1">
      <x:c r="A284" s="179" t="str">
        <x:v>SYN-LN-00277</x:v>
      </x:c>
      <x:c r="B284" s="180" t="n">
        <x:f>IF(A284="","",SUMIF('Portfolio Inputs'!A8:A289,A284,'Portfolio Inputs'!D8:D289))</x:f>
        <x:v>790000</x:v>
      </x:c>
      <x:c r="C284" s="179" t="str">
        <x:v>BB-</x:v>
      </x:c>
      <x:c r="D284" s="181" t="str">
        <x:v>development_proxy</x:v>
      </x:c>
      <x:c r="E284" s="181" t="str"/>
      <x:c r="F284" s="182" t="n">
        <x:v>0.75</x:v>
      </x:c>
      <x:c r="G284" s="181" t="str">
        <x:v>development_assumption</x:v>
      </x:c>
      <x:c r="H284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84" s="183" t="n">
        <x:f>IF(AND(C284&lt;&gt;"",OR(D284="public_fitch_idr",D284="reviewed_appendix5_equivalent",D284="development_proxy"),H284&lt;&gt;""),VLOOKUP(C284,Fitch_WARF_Factors,2,FALSE),"")</x:f>
        <x:v>15.733</x:v>
      </x:c>
      <x:c r="J284" s="184" t="n">
        <x:f>IF(ISNUMBER(I284),B284*I284,0)</x:f>
        <x:v>12429070</x:v>
      </x:c>
      <x:c r="K284" s="184" t="n">
        <x:f>IF(AND(A284&lt;&gt;"",M284=0),B284*F284,0)</x:f>
        <x:v>592500</x:v>
      </x:c>
      <x:c r="L284" s="184" t="n">
        <x:f>IF(A284="",0,IF(ISNUMBER(I284),0,B284))</x:f>
        <x:v>0</x:v>
      </x:c>
      <x:c r="M284" s="185" t="n">
        <x:f>IF(A284="",0,IF(AND(ISNUMBER(F284),F284&gt;=0,F284&lt;=1,OR(G284="fitch_issue_recovery_estimate",G284="fitch_issue_recovery_rating",G284="reviewed_bbsf_fallback",G284="development_assumption"),H284&lt;&gt;""),0,B284))</x:f>
        <x:v>0</x:v>
      </x:c>
      <x:c r="N284" s="186" t="n">
        <x:f>IF(A284=Q284,0,1)+IF(B284=R284,0,1)+IF(C284=S284,0,1)+IF(D284=T284,0,1)+IF(E284=U284,0,1)+IF(F284=V284,0,1)+IF(G284=W284,0,1)+IF(H284=X284,0,1)</x:f>
        <x:v>0</x:v>
      </x:c>
      <x:c r="O284" s="186" t="n">
        <x:f>IF(A284="",0,IF(E284="",B284,0))</x:f>
        <x:v>790000</x:v>
      </x:c>
      <x:c r="P284" s="187"/>
      <x:c r="Q284" s="179" t="str">
        <x:v>SYN-LN-00277</x:v>
      </x:c>
      <x:c r="R284" s="179" t="n">
        <x:v>790000</x:v>
      </x:c>
      <x:c r="S284" s="179" t="str">
        <x:v>BB-</x:v>
      </x:c>
      <x:c r="T284" s="179" t="str">
        <x:v>development_proxy</x:v>
      </x:c>
      <x:c r="U284" s="179" t="str"/>
      <x:c r="V284" s="179" t="n">
        <x:v>0.75</x:v>
      </x:c>
      <x:c r="W284" s="179" t="str">
        <x:v>development_assumption</x:v>
      </x:c>
      <x:c r="X284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85" ht="107" customHeight="1">
      <x:c r="A285" s="179" t="str">
        <x:v>SYN-LN-00278</x:v>
      </x:c>
      <x:c r="B285" s="180" t="n">
        <x:f>IF(A285="","",SUMIF('Portfolio Inputs'!A8:A289,A285,'Portfolio Inputs'!D8:D289))</x:f>
        <x:v>392000</x:v>
      </x:c>
      <x:c r="C285" s="179" t="str">
        <x:v>BB-</x:v>
      </x:c>
      <x:c r="D285" s="181" t="str">
        <x:v>development_proxy</x:v>
      </x:c>
      <x:c r="E285" s="181" t="str"/>
      <x:c r="F285" s="182" t="n">
        <x:v>0.75</x:v>
      </x:c>
      <x:c r="G285" s="181" t="str">
        <x:v>development_assumption</x:v>
      </x:c>
      <x:c r="H285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85" s="183" t="n">
        <x:f>IF(AND(C285&lt;&gt;"",OR(D285="public_fitch_idr",D285="reviewed_appendix5_equivalent",D285="development_proxy"),H285&lt;&gt;""),VLOOKUP(C285,Fitch_WARF_Factors,2,FALSE),"")</x:f>
        <x:v>15.733</x:v>
      </x:c>
      <x:c r="J285" s="184" t="n">
        <x:f>IF(ISNUMBER(I285),B285*I285,0)</x:f>
        <x:v>6167336</x:v>
      </x:c>
      <x:c r="K285" s="184" t="n">
        <x:f>IF(AND(A285&lt;&gt;"",M285=0),B285*F285,0)</x:f>
        <x:v>294000</x:v>
      </x:c>
      <x:c r="L285" s="184" t="n">
        <x:f>IF(A285="",0,IF(ISNUMBER(I285),0,B285))</x:f>
        <x:v>0</x:v>
      </x:c>
      <x:c r="M285" s="185" t="n">
        <x:f>IF(A285="",0,IF(AND(ISNUMBER(F285),F285&gt;=0,F285&lt;=1,OR(G285="fitch_issue_recovery_estimate",G285="fitch_issue_recovery_rating",G285="reviewed_bbsf_fallback",G285="development_assumption"),H285&lt;&gt;""),0,B285))</x:f>
        <x:v>0</x:v>
      </x:c>
      <x:c r="N285" s="186" t="n">
        <x:f>IF(A285=Q285,0,1)+IF(B285=R285,0,1)+IF(C285=S285,0,1)+IF(D285=T285,0,1)+IF(E285=U285,0,1)+IF(F285=V285,0,1)+IF(G285=W285,0,1)+IF(H285=X285,0,1)</x:f>
        <x:v>0</x:v>
      </x:c>
      <x:c r="O285" s="186" t="n">
        <x:f>IF(A285="",0,IF(E285="",B285,0))</x:f>
        <x:v>392000</x:v>
      </x:c>
      <x:c r="P285" s="187"/>
      <x:c r="Q285" s="179" t="str">
        <x:v>SYN-LN-00278</x:v>
      </x:c>
      <x:c r="R285" s="179" t="n">
        <x:v>392000</x:v>
      </x:c>
      <x:c r="S285" s="179" t="str">
        <x:v>BB-</x:v>
      </x:c>
      <x:c r="T285" s="179" t="str">
        <x:v>development_proxy</x:v>
      </x:c>
      <x:c r="U285" s="179" t="str"/>
      <x:c r="V285" s="179" t="n">
        <x:v>0.75</x:v>
      </x:c>
      <x:c r="W285" s="179" t="str">
        <x:v>development_assumption</x:v>
      </x:c>
      <x:c r="X285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86" ht="107" customHeight="1">
      <x:c r="A286" s="179" t="str">
        <x:v>SYN-LN-00279</x:v>
      </x:c>
      <x:c r="B286" s="180" t="n">
        <x:f>IF(A286="","",SUMIF('Portfolio Inputs'!A8:A289,A286,'Portfolio Inputs'!D8:D289))</x:f>
        <x:v>780000</x:v>
      </x:c>
      <x:c r="C286" s="179" t="str">
        <x:v>BB-</x:v>
      </x:c>
      <x:c r="D286" s="181" t="str">
        <x:v>development_proxy</x:v>
      </x:c>
      <x:c r="E286" s="181" t="str"/>
      <x:c r="F286" s="182" t="n">
        <x:v>0.75</x:v>
      </x:c>
      <x:c r="G286" s="181" t="str">
        <x:v>development_assumption</x:v>
      </x:c>
      <x:c r="H286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86" s="183" t="n">
        <x:f>IF(AND(C286&lt;&gt;"",OR(D286="public_fitch_idr",D286="reviewed_appendix5_equivalent",D286="development_proxy"),H286&lt;&gt;""),VLOOKUP(C286,Fitch_WARF_Factors,2,FALSE),"")</x:f>
        <x:v>15.733</x:v>
      </x:c>
      <x:c r="J286" s="184" t="n">
        <x:f>IF(ISNUMBER(I286),B286*I286,0)</x:f>
        <x:v>12271740</x:v>
      </x:c>
      <x:c r="K286" s="184" t="n">
        <x:f>IF(AND(A286&lt;&gt;"",M286=0),B286*F286,0)</x:f>
        <x:v>585000</x:v>
      </x:c>
      <x:c r="L286" s="184" t="n">
        <x:f>IF(A286="",0,IF(ISNUMBER(I286),0,B286))</x:f>
        <x:v>0</x:v>
      </x:c>
      <x:c r="M286" s="185" t="n">
        <x:f>IF(A286="",0,IF(AND(ISNUMBER(F286),F286&gt;=0,F286&lt;=1,OR(G286="fitch_issue_recovery_estimate",G286="fitch_issue_recovery_rating",G286="reviewed_bbsf_fallback",G286="development_assumption"),H286&lt;&gt;""),0,B286))</x:f>
        <x:v>0</x:v>
      </x:c>
      <x:c r="N286" s="186" t="n">
        <x:f>IF(A286=Q286,0,1)+IF(B286=R286,0,1)+IF(C286=S286,0,1)+IF(D286=T286,0,1)+IF(E286=U286,0,1)+IF(F286=V286,0,1)+IF(G286=W286,0,1)+IF(H286=X286,0,1)</x:f>
        <x:v>0</x:v>
      </x:c>
      <x:c r="O286" s="186" t="n">
        <x:f>IF(A286="",0,IF(E286="",B286,0))</x:f>
        <x:v>780000</x:v>
      </x:c>
      <x:c r="P286" s="187"/>
      <x:c r="Q286" s="179" t="str">
        <x:v>SYN-LN-00279</x:v>
      </x:c>
      <x:c r="R286" s="179" t="n">
        <x:v>780000</x:v>
      </x:c>
      <x:c r="S286" s="179" t="str">
        <x:v>BB-</x:v>
      </x:c>
      <x:c r="T286" s="179" t="str">
        <x:v>development_proxy</x:v>
      </x:c>
      <x:c r="U286" s="179" t="str"/>
      <x:c r="V286" s="179" t="n">
        <x:v>0.75</x:v>
      </x:c>
      <x:c r="W286" s="179" t="str">
        <x:v>development_assumption</x:v>
      </x:c>
      <x:c r="X286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87" ht="107" customHeight="1">
      <x:c r="A287" s="179" t="str">
        <x:v>SYN-LN-00280</x:v>
      </x:c>
      <x:c r="B287" s="180" t="n">
        <x:f>IF(A287="","",SUMIF('Portfolio Inputs'!A8:A289,A287,'Portfolio Inputs'!D8:D289))</x:f>
        <x:v>402000</x:v>
      </x:c>
      <x:c r="C287" s="179" t="str">
        <x:v>BB-</x:v>
      </x:c>
      <x:c r="D287" s="181" t="str">
        <x:v>development_proxy</x:v>
      </x:c>
      <x:c r="E287" s="181" t="str"/>
      <x:c r="F287" s="182" t="n">
        <x:v>0.75</x:v>
      </x:c>
      <x:c r="G287" s="181" t="str">
        <x:v>development_assumption</x:v>
      </x:c>
      <x:c r="H287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87" s="183" t="n">
        <x:f>IF(AND(C287&lt;&gt;"",OR(D287="public_fitch_idr",D287="reviewed_appendix5_equivalent",D287="development_proxy"),H287&lt;&gt;""),VLOOKUP(C287,Fitch_WARF_Factors,2,FALSE),"")</x:f>
        <x:v>15.733</x:v>
      </x:c>
      <x:c r="J287" s="184" t="n">
        <x:f>IF(ISNUMBER(I287),B287*I287,0)</x:f>
        <x:v>6324666</x:v>
      </x:c>
      <x:c r="K287" s="184" t="n">
        <x:f>IF(AND(A287&lt;&gt;"",M287=0),B287*F287,0)</x:f>
        <x:v>301500</x:v>
      </x:c>
      <x:c r="L287" s="184" t="n">
        <x:f>IF(A287="",0,IF(ISNUMBER(I287),0,B287))</x:f>
        <x:v>0</x:v>
      </x:c>
      <x:c r="M287" s="185" t="n">
        <x:f>IF(A287="",0,IF(AND(ISNUMBER(F287),F287&gt;=0,F287&lt;=1,OR(G287="fitch_issue_recovery_estimate",G287="fitch_issue_recovery_rating",G287="reviewed_bbsf_fallback",G287="development_assumption"),H287&lt;&gt;""),0,B287))</x:f>
        <x:v>0</x:v>
      </x:c>
      <x:c r="N287" s="186" t="n">
        <x:f>IF(A287=Q287,0,1)+IF(B287=R287,0,1)+IF(C287=S287,0,1)+IF(D287=T287,0,1)+IF(E287=U287,0,1)+IF(F287=V287,0,1)+IF(G287=W287,0,1)+IF(H287=X287,0,1)</x:f>
        <x:v>0</x:v>
      </x:c>
      <x:c r="O287" s="186" t="n">
        <x:f>IF(A287="",0,IF(E287="",B287,0))</x:f>
        <x:v>402000</x:v>
      </x:c>
      <x:c r="P287" s="187"/>
      <x:c r="Q287" s="179" t="str">
        <x:v>SYN-LN-00280</x:v>
      </x:c>
      <x:c r="R287" s="179" t="n">
        <x:v>402000</x:v>
      </x:c>
      <x:c r="S287" s="179" t="str">
        <x:v>BB-</x:v>
      </x:c>
      <x:c r="T287" s="179" t="str">
        <x:v>development_proxy</x:v>
      </x:c>
      <x:c r="U287" s="179" t="str"/>
      <x:c r="V287" s="179" t="n">
        <x:v>0.75</x:v>
      </x:c>
      <x:c r="W287" s="179" t="str">
        <x:v>development_assumption</x:v>
      </x:c>
      <x:c r="X287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88" ht="107" customHeight="1">
      <x:c r="A288" s="179" t="str">
        <x:v>SYN-LN-00281</x:v>
      </x:c>
      <x:c r="B288" s="180" t="n">
        <x:f>IF(A288="","",SUMIF('Portfolio Inputs'!A8:A289,A288,'Portfolio Inputs'!D8:D289))</x:f>
        <x:v>1182000</x:v>
      </x:c>
      <x:c r="C288" s="179" t="str">
        <x:v>BB-</x:v>
      </x:c>
      <x:c r="D288" s="181" t="str">
        <x:v>development_proxy</x:v>
      </x:c>
      <x:c r="E288" s="181" t="str"/>
      <x:c r="F288" s="182" t="n">
        <x:v>0.75</x:v>
      </x:c>
      <x:c r="G288" s="181" t="str">
        <x:v>development_assumption</x:v>
      </x:c>
      <x:c r="H288" s="181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  <x:c r="I288" s="183" t="n">
        <x:f>IF(AND(C288&lt;&gt;"",OR(D288="public_fitch_idr",D288="reviewed_appendix5_equivalent",D288="development_proxy"),H288&lt;&gt;""),VLOOKUP(C288,Fitch_WARF_Factors,2,FALSE),"")</x:f>
        <x:v>15.733</x:v>
      </x:c>
      <x:c r="J288" s="184" t="n">
        <x:f>IF(ISNUMBER(I288),B288*I288,0)</x:f>
        <x:v>18596406</x:v>
      </x:c>
      <x:c r="K288" s="184" t="n">
        <x:f>IF(AND(A288&lt;&gt;"",M288=0),B288*F288,0)</x:f>
        <x:v>886500</x:v>
      </x:c>
      <x:c r="L288" s="184" t="n">
        <x:f>IF(A288="",0,IF(ISNUMBER(I288),0,B288))</x:f>
        <x:v>0</x:v>
      </x:c>
      <x:c r="M288" s="185" t="n">
        <x:f>IF(A288="",0,IF(AND(ISNUMBER(F288),F288&gt;=0,F288&lt;=1,OR(G288="fitch_issue_recovery_estimate",G288="fitch_issue_recovery_rating",G288="reviewed_bbsf_fallback",G288="development_assumption"),H288&lt;&gt;""),0,B288))</x:f>
        <x:v>0</x:v>
      </x:c>
      <x:c r="N288" s="186" t="n">
        <x:f>IF(A288=Q288,0,1)+IF(B288=R288,0,1)+IF(C288=S288,0,1)+IF(D288=T288,0,1)+IF(E288=U288,0,1)+IF(F288=V288,0,1)+IF(G288=W288,0,1)+IF(H288=X288,0,1)</x:f>
        <x:v>0</x:v>
      </x:c>
      <x:c r="O288" s="186" t="n">
        <x:f>IF(A288="",0,IF(E288="",B288,0))</x:f>
        <x:v>1182000</x:v>
      </x:c>
      <x:c r="P288" s="187"/>
      <x:c r="Q288" s="179" t="str">
        <x:v>SYN-LN-00281</x:v>
      </x:c>
      <x:c r="R288" s="179" t="n">
        <x:v>1182000</x:v>
      </x:c>
      <x:c r="S288" s="179" t="str">
        <x:v>BB-</x:v>
      </x:c>
      <x:c r="T288" s="179" t="str">
        <x:v>development_proxy</x:v>
      </x:c>
      <x:c r="U288" s="179" t="str"/>
      <x:c r="V288" s="179" t="n">
        <x:v>0.75</x:v>
      </x:c>
      <x:c r="W288" s="179" t="str">
        <x:v>development_assumption</x:v>
      </x:c>
      <x:c r="X288" s="179" t="str">
        <x:v>FICTIONAL DEVELOPMENT: copied S&amp;P symbol as Fitch IDR-equivalency proxy; no Fitch rating or Appendix 5 review. Assumed first-lien facility is senior secured loan with no issue recovery opinion; United States Group 1; Fitch June 1 2026 Appendix 4 pp42-43 and Appendix 6 pp47-48 BBsf Strong fallback.</x:v>
      </x:c>
    </x:row>
    <x:row r="289" ht="107" customHeight="1">
      <x:c r="A289" s="179" t="str">
        <x:v>SYN-LN-00282</x:v>
      </x:c>
      <x:c r="B289" s="180" t="n">
        <x:f>IF(A289="","",SUMIF('Portfolio Inputs'!A8:A289,A289,'Portfolio Inputs'!D8:D289))</x:f>
        <x:v>1182000</x:v>
      </x:c>
      <x:c r="C289" s="179" t="str">
        <x:v>B-</x:v>
      </x:c>
      <x:c r="D289" s="181" t="str">
        <x:v>development_proxy</x:v>
      </x:c>
      <x:c r="E289" s="181" t="str"/>
      <x:c r="F289" s="182" t="n">
        <x:v>0.65</x:v>
      </x:c>
      <x:c r="G289" s="181" t="str">
        <x:v>development_assumption</x:v>
      </x:c>
      <x:c r="H289" s="181" t="str">
        <x:v>FICTIONAL DEVELOPMENT: copied S&amp;P symbol as Fitch IDR-equivalency proxy; no Fitch rating or Appendix 5 review. Assumed first-lien facility is senior secured loan with no issue recovery opinion; Luxembourg Group 2; Fitch June 1 2026 Appendix 4 pp42-43 and Appendix 6 pp47-48 BBsf Strong fallback.</x:v>
      </x:c>
      <x:c r="I289" s="183" t="n">
        <x:f>IF(AND(C289&lt;&gt;"",OR(D289="public_fitch_idr",D289="reviewed_appendix5_equivalent",D289="development_proxy"),H289&lt;&gt;""),VLOOKUP(C289,Fitch_WARF_Factors,2,FALSE),"")</x:f>
        <x:v>32.221</x:v>
      </x:c>
      <x:c r="J289" s="184" t="n">
        <x:f>IF(ISNUMBER(I289),B289*I289,0)</x:f>
        <x:v>38085221.99999999</x:v>
      </x:c>
      <x:c r="K289" s="184" t="n">
        <x:f>IF(AND(A289&lt;&gt;"",M289=0),B289*F289,0)</x:f>
        <x:v>768300</x:v>
      </x:c>
      <x:c r="L289" s="184" t="n">
        <x:f>IF(A289="",0,IF(ISNUMBER(I289),0,B289))</x:f>
        <x:v>0</x:v>
      </x:c>
      <x:c r="M289" s="185" t="n">
        <x:f>IF(A289="",0,IF(AND(ISNUMBER(F289),F289&gt;=0,F289&lt;=1,OR(G289="fitch_issue_recovery_estimate",G289="fitch_issue_recovery_rating",G289="reviewed_bbsf_fallback",G289="development_assumption"),H289&lt;&gt;""),0,B289))</x:f>
        <x:v>0</x:v>
      </x:c>
      <x:c r="N289" s="186" t="n">
        <x:f>IF(A289=Q289,0,1)+IF(B289=R289,0,1)+IF(C289=S289,0,1)+IF(D289=T289,0,1)+IF(E289=U289,0,1)+IF(F289=V289,0,1)+IF(G289=W289,0,1)+IF(H289=X289,0,1)</x:f>
        <x:v>0</x:v>
      </x:c>
      <x:c r="O289" s="186" t="n">
        <x:f>IF(A289="",0,IF(E289="",B289,0))</x:f>
        <x:v>1182000</x:v>
      </x:c>
      <x:c r="P289" s="187"/>
      <x:c r="Q289" s="179" t="str">
        <x:v>SYN-LN-00282</x:v>
      </x:c>
      <x:c r="R289" s="179" t="n">
        <x:v>1182000</x:v>
      </x:c>
      <x:c r="S289" s="179" t="str">
        <x:v>B-</x:v>
      </x:c>
      <x:c r="T289" s="179" t="str">
        <x:v>development_proxy</x:v>
      </x:c>
      <x:c r="U289" s="179" t="str"/>
      <x:c r="V289" s="179" t="n">
        <x:v>0.65</x:v>
      </x:c>
      <x:c r="W289" s="179" t="str">
        <x:v>development_assumption</x:v>
      </x:c>
      <x:c r="X289" s="179" t="str">
        <x:v>FICTIONAL DEVELOPMENT: copied S&amp;P symbol as Fitch IDR-equivalency proxy; no Fitch rating or Appendix 5 review. Assumed first-lien facility is senior secured loan with no issue recovery opinion; Luxembourg Group 2; Fitch June 1 2026 Appendix 4 pp42-43 and Appendix 6 pp47-48 BBsf Strong fallback.</x:v>
      </x:c>
    </x:row>
  </x:sheetData>
  <x:pageMargins left="0.7" right="0.7" top="0.75" bottom="0.75" header="0.3" footer="0.3"/>
  <x:tableParts count="1">
    <x:tablePart xmlns:r="http://schemas.openxmlformats.org/officeDocument/2006/relationships" r:id="R3ede40a849d5416a"/>
  </x:tableParts>
</x:worksheet>
</file>

<file path=xl/worksheets/sheet12.xml><?xml version="1.0" encoding="utf-8"?>
<x:worksheet xmlns:x="http://schemas.openxmlformats.org/spreadsheetml/2006/main">
  <x:sheetPr>
    <x:tabColor rgb="FF8859A3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8" hidden="0" customWidth="1"/>
    <x:col min="4" max="4" width="24" hidden="0" customWidth="1"/>
    <x:col min="5" max="5" width="5" hidden="0" customWidth="1"/>
    <x:col min="6" max="6" width="31" hidden="0" customWidth="1"/>
    <x:col min="7" max="7" width="95" hidden="0" customWidth="1"/>
  </x:cols>
  <x:sheetData>
    <x:row r="1">
      <x:c r="A1" s="23"/>
      <x:c r="B1" s="23"/>
      <x:c r="C1" s="115" t="str">
        <x:v>Fitch sources</x:v>
      </x:c>
      <x:c r="D1" s="23"/>
      <x:c r="E1" s="23"/>
      <x:c r="F1" s="23"/>
      <x:c r="G1" s="23"/>
    </x:row>
    <x:row r="2">
      <x:c r="A2" s="23"/>
      <x:c r="B2" s="23"/>
      <x:c r="C2" s="24" t="str">
        <x:v>Fitch Credit Parameters</x:v>
      </x:c>
      <x:c r="D2" s="25"/>
      <x:c r="E2" s="25"/>
      <x:c r="F2" s="25"/>
      <x:c r="G2" s="25"/>
    </x:row>
    <x:row r="3" ht="22" customHeight="1">
      <x:c r="A3" s="23"/>
      <x:c r="B3" s="23"/>
      <x:c r="C3" s="26" t="str">
        <x:v>1 June 2026 criteria. WARF and WARR use different units and recovery bases from S&amp;P.</x:v>
      </x:c>
      <x:c r="D3" s="23"/>
      <x:c r="E3" s="23"/>
      <x:c r="F3" s="23"/>
      <x:c r="G3" s="23"/>
    </x:row>
    <x:row r="4">
      <x:c r="A4" s="23"/>
      <x:c r="B4" s="23"/>
      <x:c r="C4" s="23"/>
      <x:c r="D4" s="23"/>
      <x:c r="E4" s="23"/>
      <x:c r="F4" s="23"/>
      <x:c r="G4" s="23"/>
    </x:row>
    <x:row r="5">
      <x:c r="A5" s="23"/>
      <x:c r="B5" s="23"/>
      <x:c r="C5" s="23"/>
      <x:c r="D5" s="23"/>
      <x:c r="E5" s="23"/>
      <x:c r="F5" s="23"/>
      <x:c r="G5" s="23"/>
    </x:row>
    <x:row r="6">
      <x:c r="A6" s="23"/>
      <x:c r="B6" s="23"/>
      <x:c r="C6" s="23"/>
      <x:c r="D6" s="23"/>
      <x:c r="E6" s="23"/>
      <x:c r="F6" s="23"/>
      <x:c r="G6" s="23"/>
    </x:row>
    <x:row r="7" ht="65" customHeight="1">
      <x:c r="A7" s="23"/>
      <x:c r="B7" s="23"/>
      <x:c r="C7" s="7" t="str">
        <x:v>Fitch IDR input</x:v>
      </x:c>
      <x:c r="D7" s="7" t="str">
        <x:v>10-year PD factor</x:v>
      </x:c>
      <x:c r="E7" s="23"/>
      <x:c r="F7" s="33" t="str">
        <x:v>Criteria</x:v>
      </x:c>
      <x:c r="G7" s="99" t="str">
        <x:v>CLOs and Corporate CDOs Rating Criteria, 1 June 2026. Replaces 21 July 2023.</x:v>
      </x:c>
    </x:row>
    <x:row r="8" ht="65" customHeight="1">
      <x:c r="A8" s="23"/>
      <x:c r="B8" s="23"/>
      <x:c r="C8" s="28" t="str">
        <x:v>AAA</x:v>
      </x:c>
      <x:c r="D8" s="97" t="n">
        <x:v>0.136</x:v>
      </x:c>
      <x:c r="E8" s="23"/>
      <x:c r="F8" s="33" t="str">
        <x:v>WARF basis</x:v>
      </x:c>
      <x:c r="G8" s="99" t="str">
        <x:v>Appendix 6: par-weighted 10-year default-rate factors. Displayed as factor points, e.g. B = 23.671. Do not compare this number directly with SPWARF.</x:v>
      </x:c>
    </x:row>
    <x:row r="9" ht="65" customHeight="1">
      <x:c r="A9" s="150"/>
      <x:c r="B9" s="150"/>
      <x:c r="C9" s="165" t="str">
        <x:v>AA+</x:v>
      </x:c>
      <x:c r="D9" s="188" t="n">
        <x:v>0.349</x:v>
      </x:c>
      <x:c r="E9" s="150"/>
      <x:c r="F9" s="154" t="str">
        <x:v>WARR basis</x:v>
      </x:c>
      <x:c r="G9" s="189" t="str">
        <x:v>Issue-level recovery estimate / recovery rating, or applicable BBsf recovery stress where required. The S&amp;P recovery_aaa field is never reused automatically.</x:v>
      </x:c>
    </x:row>
    <x:row r="10" ht="65" customHeight="1">
      <x:c r="A10" s="150"/>
      <x:c r="B10" s="150"/>
      <x:c r="C10" s="165" t="str">
        <x:v>AA</x:v>
      </x:c>
      <x:c r="D10" s="188" t="n">
        <x:v>0.629</x:v>
      </x:c>
      <x:c r="E10" s="150"/>
      <x:c r="F10" s="154" t="str">
        <x:v>Example convention</x:v>
      </x:c>
      <x:c r="G10" s="189" t="str">
        <x:v>The optional fictional sidecar labels each rating proxy and recovery fallback. Review the assumptions before replacing them with approved Fitch inputs.</x:v>
      </x:c>
    </x:row>
    <x:row r="11" ht="65" customHeight="1">
      <x:c r="A11" s="150"/>
      <x:c r="B11" s="150"/>
      <x:c r="C11" s="165" t="str">
        <x:v>AA-</x:v>
      </x:c>
      <x:c r="D11" s="188" t="n">
        <x:v>0.858</x:v>
      </x:c>
      <x:c r="E11" s="150"/>
      <x:c r="F11" s="154" t="str">
        <x:v>Recovery coverage</x:v>
      </x:c>
      <x:c r="G11" s="189" t="str">
        <x:v>Missing facility recoveries leave whole-portfolio WARR unavailable. Weighted sums of populated recoveries are helpers only, not a partial-portfolio WARR presented as complete.</x:v>
      </x:c>
    </x:row>
    <x:row r="12" ht="65" customHeight="1">
      <x:c r="A12" s="150"/>
      <x:c r="B12" s="150"/>
      <x:c r="C12" s="165" t="str">
        <x:v>A+</x:v>
      </x:c>
      <x:c r="D12" s="188" t="n">
        <x:v>1.237</x:v>
      </x:c>
      <x:c r="E12" s="150"/>
      <x:c r="F12" s="154" t="str">
        <x:v>Industry mapping</x:v>
      </x:c>
      <x:c r="G12" s="189" t="str">
        <x:v>Fitch industry classification remains separate. No mapping is inferred from S&amp;P labels. Missing industries prevent a complete PCM-ready dataset.</x:v>
      </x:c>
    </x:row>
    <x:row r="13" ht="65" customHeight="1">
      <x:c r="A13" s="150"/>
      <x:c r="B13" s="150"/>
      <x:c r="C13" s="165" t="str">
        <x:v>A</x:v>
      </x:c>
      <x:c r="D13" s="188" t="n">
        <x:v>1.572</x:v>
      </x:c>
      <x:c r="E13" s="150"/>
      <x:c r="F13" s="154" t="str">
        <x:v>Default/loss hurdle</x:v>
      </x:c>
      <x:c r="G13" s="189" t="str">
        <x:v>RDR and RLR require applicable Portfolio Credit Model analysis and documented inputs/version. They are not computed from WARF or WARR alone.</x:v>
      </x:c>
    </x:row>
    <x:row r="14" ht="65" customHeight="1">
      <x:c r="A14" s="150"/>
      <x:c r="B14" s="150"/>
      <x:c r="C14" s="165" t="str">
        <x:v>A-</x:v>
      </x:c>
      <x:c r="D14" s="188" t="n">
        <x:v>2.099</x:v>
      </x:c>
      <x:c r="E14" s="150"/>
      <x:c r="F14" s="154" t="str">
        <x:v>Cash-flow gap</x:v>
      </x:c>
      <x:c r="G14" s="189" t="str">
        <x:v>Fitch timing, survivor-scaled amortisation, recovery lags and rate scenarios need implementation and benchmarking. Current development cash flows are not Fitch BDRs.</x:v>
      </x:c>
    </x:row>
    <x:row r="15" ht="65" customHeight="1">
      <x:c r="A15" s="150"/>
      <x:c r="B15" s="150"/>
      <x:c r="C15" s="165" t="str">
        <x:v>BBB+</x:v>
      </x:c>
      <x:c r="D15" s="188" t="n">
        <x:v>2.63</x:v>
      </x:c>
      <x:c r="E15" s="150"/>
      <x:c r="F15" s="154" t="str">
        <x:v>Public source</x:v>
      </x:c>
      <x:c r="G15" s="189" t="str">
        <x:v>https://assets.fitchratings.com/downloadFile?reportType=report&amp;sfReport=false&amp;slug=structured-finance%2Fclos-corporate-cdos-rating-criteria-01-06-2026</x:v>
      </x:c>
    </x:row>
    <x:row r="16" ht="65" customHeight="1">
      <x:c r="A16" s="150"/>
      <x:c r="B16" s="150"/>
      <x:c r="C16" s="165" t="str">
        <x:v>BBB</x:v>
      </x:c>
      <x:c r="D16" s="188" t="n">
        <x:v>3.162</x:v>
      </x:c>
      <x:c r="E16" s="150"/>
      <x:c r="F16" s="154" t="str">
        <x:v>Editing</x:v>
      </x:c>
      <x:c r="G16" s="189" t="str">
        <x:v>Sourced constants: change the versioned code table and rebuild. These cells are not user assumption controls.</x:v>
      </x:c>
    </x:row>
    <x:row r="17">
      <x:c r="A17" s="150"/>
      <x:c r="B17" s="150"/>
      <x:c r="C17" s="165" t="str">
        <x:v>BBB-</x:v>
      </x:c>
      <x:c r="D17" s="188" t="n">
        <x:v>6.039</x:v>
      </x:c>
      <x:c r="E17" s="150"/>
      <x:c r="F17" s="150"/>
      <x:c r="G17" s="150"/>
    </x:row>
    <x:row r="18">
      <x:c r="A18" s="150"/>
      <x:c r="B18" s="150"/>
      <x:c r="C18" s="165" t="str">
        <x:v>BB+</x:v>
      </x:c>
      <x:c r="D18" s="188" t="n">
        <x:v>8.903</x:v>
      </x:c>
      <x:c r="E18" s="150"/>
      <x:c r="F18" s="150"/>
      <x:c r="G18" s="150"/>
    </x:row>
    <x:row r="19">
      <x:c r="A19" s="150"/>
      <x:c r="B19" s="150"/>
      <x:c r="C19" s="165" t="str">
        <x:v>BB</x:v>
      </x:c>
      <x:c r="D19" s="188" t="n">
        <x:v>11.844</x:v>
      </x:c>
      <x:c r="E19" s="150"/>
      <x:c r="F19" s="150"/>
      <x:c r="G19" s="150"/>
    </x:row>
    <x:row r="20" ht="38" customHeight="1">
      <x:c r="A20" s="150"/>
      <x:c r="B20" s="150"/>
      <x:c r="C20" s="165" t="str">
        <x:v>BB-</x:v>
      </x:c>
      <x:c r="D20" s="188" t="n">
        <x:v>15.733</x:v>
      </x:c>
      <x:c r="E20" s="150"/>
      <x:c r="F20" s="7" t="str">
        <x:v>Fallback classification</x:v>
      </x:c>
      <x:c r="G20" s="7" t="str">
        <x:v>BBsf WARR factor</x:v>
      </x:c>
    </x:row>
    <x:row r="21" ht="30" customHeight="1">
      <x:c r="A21" s="150"/>
      <x:c r="B21" s="150"/>
      <x:c r="C21" s="165" t="str">
        <x:v>B+</x:v>
      </x:c>
      <x:c r="D21" s="188" t="n">
        <x:v>19.627</x:v>
      </x:c>
      <x:c r="E21" s="150"/>
      <x:c r="F21" s="189" t="str">
        <x:v>Group 1 - DIP instrument</x:v>
      </x:c>
      <x:c r="G21" s="164" t="n">
        <x:v>0.95</x:v>
      </x:c>
    </x:row>
    <x:row r="22" ht="30" customHeight="1">
      <x:c r="A22" s="150"/>
      <x:c r="B22" s="150"/>
      <x:c r="C22" s="165" t="str">
        <x:v>B</x:v>
      </x:c>
      <x:c r="D22" s="188" t="n">
        <x:v>23.671</x:v>
      </x:c>
      <x:c r="E22" s="150"/>
      <x:c r="F22" s="189" t="str">
        <x:v>Group 1 - Strong</x:v>
      </x:c>
      <x:c r="G22" s="164" t="n">
        <x:v>0.75</x:v>
      </x:c>
    </x:row>
    <x:row r="23" ht="30" customHeight="1">
      <x:c r="A23" s="150"/>
      <x:c r="B23" s="150"/>
      <x:c r="C23" s="165" t="str">
        <x:v>B-</x:v>
      </x:c>
      <x:c r="D23" s="188" t="n">
        <x:v>32.221</x:v>
      </x:c>
      <x:c r="E23" s="150"/>
      <x:c r="F23" s="189" t="str">
        <x:v>Group 1 - Senior secured bond</x:v>
      </x:c>
      <x:c r="G23" s="164" t="n">
        <x:v>0.6</x:v>
      </x:c>
    </x:row>
    <x:row r="24" ht="30" customHeight="1">
      <x:c r="A24" s="150"/>
      <x:c r="B24" s="150"/>
      <x:c r="C24" s="165" t="str">
        <x:v>CCC+</x:v>
      </x:c>
      <x:c r="D24" s="188" t="n">
        <x:v>41.111</x:v>
      </x:c>
      <x:c r="E24" s="150"/>
      <x:c r="F24" s="189" t="str">
        <x:v>Group 1 - Moderate</x:v>
      </x:c>
      <x:c r="G24" s="164" t="n">
        <x:v>0.4</x:v>
      </x:c>
    </x:row>
    <x:row r="25" ht="30" customHeight="1">
      <x:c r="A25" s="150"/>
      <x:c r="B25" s="150"/>
      <x:c r="C25" s="165" t="str">
        <x:v>CCC</x:v>
      </x:c>
      <x:c r="D25" s="188" t="n">
        <x:v>50</x:v>
      </x:c>
      <x:c r="E25" s="150"/>
      <x:c r="F25" s="189" t="str">
        <x:v>Group 1 - Weak</x:v>
      </x:c>
      <x:c r="G25" s="164" t="n">
        <x:v>0.15</x:v>
      </x:c>
    </x:row>
    <x:row r="26" ht="30" customHeight="1">
      <x:c r="A26" s="150"/>
      <x:c r="B26" s="150"/>
      <x:c r="C26" s="165" t="str">
        <x:v>CCC-</x:v>
      </x:c>
      <x:c r="D26" s="188" t="n">
        <x:v>63.431</x:v>
      </x:c>
      <x:c r="E26" s="150"/>
      <x:c r="F26" s="189" t="str">
        <x:v>Group 2 - Strong</x:v>
      </x:c>
      <x:c r="G26" s="164" t="n">
        <x:v>0.65</x:v>
      </x:c>
    </x:row>
    <x:row r="27" ht="30" customHeight="1">
      <x:c r="A27" s="150"/>
      <x:c r="B27" s="150"/>
      <x:c r="C27" s="165" t="str">
        <x:v>CC</x:v>
      </x:c>
      <x:c r="D27" s="188" t="n">
        <x:v>100</x:v>
      </x:c>
      <x:c r="E27" s="150"/>
      <x:c r="F27" s="189" t="str">
        <x:v>Group 2 - Senior secured bond</x:v>
      </x:c>
      <x:c r="G27" s="164" t="n">
        <x:v>0.6</x:v>
      </x:c>
    </x:row>
    <x:row r="28" ht="30" customHeight="1">
      <x:c r="A28" s="150"/>
      <x:c r="B28" s="150"/>
      <x:c r="C28" s="165" t="str">
        <x:v>C</x:v>
      </x:c>
      <x:c r="D28" s="188" t="n">
        <x:v>100</x:v>
      </x:c>
      <x:c r="E28" s="150"/>
      <x:c r="F28" s="189" t="str">
        <x:v>Group 2 - Moderate</x:v>
      </x:c>
      <x:c r="G28" s="164" t="n">
        <x:v>0.4</x:v>
      </x:c>
    </x:row>
    <x:row r="29" ht="30" customHeight="1">
      <x:c r="A29" s="150"/>
      <x:c r="B29" s="150"/>
      <x:c r="C29" s="150"/>
      <x:c r="D29" s="150"/>
      <x:c r="E29" s="150"/>
      <x:c r="F29" s="189" t="str">
        <x:v>Group 2 - Weak</x:v>
      </x:c>
      <x:c r="G29" s="164" t="n">
        <x:v>0.15</x:v>
      </x:c>
    </x:row>
    <x:row r="30" ht="30" customHeight="1">
      <x:c r="A30" s="150"/>
      <x:c r="B30" s="150"/>
      <x:c r="C30" s="150"/>
      <x:c r="D30" s="150"/>
      <x:c r="E30" s="150"/>
      <x:c r="F30" s="189" t="str">
        <x:v>Group 3 - Strong</x:v>
      </x:c>
      <x:c r="G30" s="164" t="n">
        <x:v>0.3</x:v>
      </x:c>
    </x:row>
    <x:row r="31" ht="30" customHeight="1">
      <x:c r="A31" s="150"/>
      <x:c r="B31" s="150"/>
      <x:c r="C31" s="150"/>
      <x:c r="D31" s="150"/>
      <x:c r="E31" s="150"/>
      <x:c r="F31" s="189" t="str">
        <x:v>Group 3 - Moderate</x:v>
      </x:c>
      <x:c r="G31" s="164" t="n">
        <x:v>0.2</x:v>
      </x:c>
    </x:row>
    <x:row r="32" ht="30" customHeight="1">
      <x:c r="A32" s="150"/>
      <x:c r="B32" s="150"/>
      <x:c r="C32" s="150"/>
      <x:c r="D32" s="150"/>
      <x:c r="E32" s="150"/>
      <x:c r="F32" s="189" t="str">
        <x:v>Group 3 - Weak</x:v>
      </x:c>
      <x:c r="G32" s="164" t="n">
        <x:v>0.05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8859A3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33" hidden="0" customWidth="1"/>
    <x:col min="5" max="5" width="5" hidden="0" customWidth="1"/>
    <x:col min="6" max="6" width="89" hidden="0" customWidth="1"/>
  </x:cols>
  <x:sheetData>
    <x:row r="1">
      <x:c r="A1" s="23"/>
      <x:c r="B1" s="23"/>
      <x:c r="C1" s="115" t="str">
        <x:v>Fitch calculations</x:v>
      </x:c>
      <x:c r="D1" s="23"/>
      <x:c r="E1" s="23"/>
      <x:c r="F1" s="23"/>
    </x:row>
    <x:row r="2">
      <x:c r="A2" s="23"/>
      <x:c r="B2" s="23"/>
      <x:c r="C2" s="24" t="str">
        <x:v>Fitch Portfolio Credit Calculations</x:v>
      </x:c>
      <x:c r="D2" s="25"/>
      <x:c r="E2" s="25"/>
      <x:c r="F2" s="25"/>
    </x:row>
    <x:row r="3" ht="22" customHeight="1">
      <x:c r="A3" s="23"/>
      <x:c r="B3" s="23"/>
      <x:c r="C3" s="26" t="str">
        <x:v>Formula results require complete inputs for the metric. See source and development basis by facility.</x:v>
      </x:c>
      <x:c r="D3" s="23"/>
      <x:c r="E3" s="23"/>
      <x:c r="F3" s="23"/>
    </x:row>
    <x:row r="4">
      <x:c r="A4" s="23"/>
      <x:c r="B4" s="23"/>
      <x:c r="C4" s="23"/>
      <x:c r="D4" s="23"/>
      <x:c r="E4" s="23"/>
      <x:c r="F4" s="23"/>
    </x:row>
    <x:row r="5">
      <x:c r="A5" s="23"/>
      <x:c r="B5" s="23"/>
      <x:c r="C5" s="32" t="str">
        <x:f>IF(Refresh_Required,"REFRESH REQUIRED — Python results reflect the last run","Python results match the imported inputs")</x:f>
        <x:v>Python results match the imported inputs</x:v>
      </x:c>
      <x:c r="D5" s="23"/>
      <x:c r="E5" s="23"/>
      <x:c r="F5" s="23"/>
    </x:row>
    <x:row r="6">
      <x:c r="A6" s="23"/>
      <x:c r="B6" s="23"/>
      <x:c r="C6" s="23"/>
      <x:c r="D6" s="23"/>
      <x:c r="E6" s="23"/>
      <x:c r="F6" s="23"/>
    </x:row>
    <x:row r="7" ht="38" customHeight="1">
      <x:c r="A7" s="23"/>
      <x:c r="B7" s="23"/>
      <x:c r="C7" s="7" t="str">
        <x:v>Metric</x:v>
      </x:c>
      <x:c r="D7" s="7" t="str">
        <x:v>Result</x:v>
      </x:c>
      <x:c r="E7" s="23"/>
      <x:c r="F7" s="32" t="str">
        <x:v>WARF calculation basis</x:v>
      </x:c>
    </x:row>
    <x:row r="8" ht="58" customHeight="1">
      <x:c r="A8" s="23"/>
      <x:c r="B8" s="23"/>
      <x:c r="C8" s="23" t="str">
        <x:v>Shared portfolio par</x:v>
      </x:c>
      <x:c r="D8" s="101" t="n">
        <x:f>Portfolio_Par</x:f>
        <x:v>300000000</x:v>
      </x:c>
      <x:c r="E8" s="23"/>
      <x:c r="F8" s="33" t="str">
        <x:v>CALCULATED - development assumptions</x:v>
      </x:c>
    </x:row>
    <x:row r="9">
      <x:c r="A9" s="150"/>
      <x:c r="B9" s="150"/>
      <x:c r="C9" s="150" t="str">
        <x:v>Rating input coverage</x:v>
      </x:c>
      <x:c r="D9" s="190" t="n">
        <x:f>IF(D8&gt;0,1-SUM('Fitch Inputs'!L8:L289)/D8,"")</x:f>
        <x:v>1</x:v>
      </x:c>
      <x:c r="E9" s="150"/>
      <x:c r="F9" s="177" t="str">
        <x:v>WARR calculation status</x:v>
      </x:c>
    </x:row>
    <x:row r="10" ht="58" customHeight="1">
      <x:c r="A10" s="150"/>
      <x:c r="B10" s="150"/>
      <x:c r="C10" s="150" t="str">
        <x:v>Fitch WARF</x:v>
      </x:c>
      <x:c r="D10" s="191" t="n">
        <x:f>IF(D8=0,"NOT RUN",IF(D9=1,SUM('Fitch Inputs'!J8:J289)/D8,"Missing rating inputs"))</x:f>
        <x:v>21.428948526666666</x:v>
      </x:c>
      <x:c r="E10" s="150"/>
      <x:c r="F10" s="154" t="str">
        <x:v>NOT CALCULATED - incomplete Fitch inputs</x:v>
      </x:c>
    </x:row>
    <x:row r="11">
      <x:c r="A11" s="150"/>
      <x:c r="B11" s="150"/>
      <x:c r="C11" s="150" t="str">
        <x:v>Recovery input coverage</x:v>
      </x:c>
      <x:c r="D11" s="190" t="n">
        <x:f>IF(D8&gt;0,1-SUM('Fitch Inputs'!M8:M289)/D8,"")</x:f>
        <x:v>0.9854466666666667</x:v>
      </x:c>
      <x:c r="E11" s="150"/>
      <x:c r="F11" s="177" t="str">
        <x:v>Input source</x:v>
      </x:c>
    </x:row>
    <x:row r="12" ht="58" customHeight="1">
      <x:c r="A12" s="150"/>
      <x:c r="B12" s="150"/>
      <x:c r="C12" s="150" t="str">
        <x:v>Fitch WARR</x:v>
      </x:c>
      <x:c r="D12" s="171" t="str">
        <x:f>IF(D8=0,"NOT RUN",IF(D11=1,SUM('Fitch Inputs'!K8:K289)/D8,"Missing recovery inputs"))</x:f>
        <x:v>Missing recovery inputs</x:v>
      </x:c>
      <x:c r="E12" s="150"/>
      <x:c r="F12" s="154" t="str">
        <x:v>fitch_example.csv</x:v>
      </x:c>
    </x:row>
    <x:row r="13">
      <x:c r="A13" s="150"/>
      <x:c r="B13" s="150"/>
      <x:c r="C13" s="150" t="str">
        <x:v>Industry input coverage</x:v>
      </x:c>
      <x:c r="D13" s="190" t="n">
        <x:f>IF(D8&gt;0,1-SUM('Fitch Inputs'!O8:O289)/D8,"")</x:f>
        <x:v>0</x:v>
      </x:c>
      <x:c r="E13" s="150"/>
      <x:c r="F13" s="177" t="str">
        <x:v>What to update</x:v>
      </x:c>
    </x:row>
    <x:row r="14" ht="58" customHeight="1">
      <x:c r="A14" s="150"/>
      <x:c r="B14" s="150"/>
      <x:c r="C14" s="150" t="str">
        <x:v>Fitch AAA RDR</x:v>
      </x:c>
      <x:c r="D14" s="154" t="str">
        <x:v>NOT CALCULATED</x:v>
      </x:c>
      <x:c r="E14" s="150"/>
      <x:c r="F14" s="154" t="str">
        <x:v>Use templates/fitch_inputs_template.csv. Match instrument IDs to the portfolio CSV. Supply separately reviewed IDR basis, recovery basis, industry and source reference.</x:v>
      </x:c>
    </x:row>
    <x:row r="15">
      <x:c r="A15" s="150"/>
      <x:c r="B15" s="150"/>
      <x:c r="C15" s="150" t="str">
        <x:v>Fitch AAA RLR</x:v>
      </x:c>
      <x:c r="D15" s="154" t="str">
        <x:v>NOT CALCULATED</x:v>
      </x:c>
      <x:c r="E15" s="150"/>
      <x:c r="F15" s="177" t="str">
        <x:v>What is live</x:v>
      </x:c>
    </x:row>
    <x:row r="16" ht="58" customHeight="1">
      <x:c r="A16" s="150"/>
      <x:c r="B16" s="150"/>
      <x:c r="C16" s="150" t="str">
        <x:v>Fitch AAA result</x:v>
      </x:c>
      <x:c r="D16" s="154" t="str">
        <x:v>NOT DETERMINED</x:v>
      </x:c>
      <x:c r="E16" s="150"/>
      <x:c r="F16" s="154" t="str">
        <x:v>Factors, weighted sums, coverage, WARF and WARR recalculate in Excel. The comparison page flags edits until the authoritative CSV is rerun.</x:v>
      </x:c>
    </x:row>
    <x:row r="17">
      <x:c r="A17" s="150"/>
      <x:c r="B17" s="150"/>
      <x:c r="C17" s="150" t="str">
        <x:v>Edited Fitch source cells</x:v>
      </x:c>
      <x:c r="D17" s="192" t="n">
        <x:f>SUM('Fitch Inputs'!N8:N289)+ABS(COUNTA('Fitch Inputs'!A8:A1048576)-282)</x:f>
        <x:v>0</x:v>
      </x:c>
      <x:c r="E17" s="150"/>
      <x:c r="F17" s="177" t="str">
        <x:v>What is missing</x:v>
      </x:c>
    </x:row>
    <x:row r="18" ht="58" customHeight="1">
      <x:c r="A18" s="150"/>
      <x:c r="B18" s="150"/>
      <x:c r="C18" s="150" t="str">
        <x:v>Edited Fitch factor cells</x:v>
      </x:c>
      <x:c r="D18" s="192" t="n">
        <x:f>IF('Fitch Parameters'!C8="AAA",0,1)+IF('Fitch Parameters'!D8=0.136,0,1)+IF('Fitch Parameters'!C9="AA+",0,1)+IF('Fitch Parameters'!D9=0.349,0,1)+IF('Fitch Parameters'!C10="AA",0,1)+IF('Fitch Parameters'!D10=0.629,0,1)+IF('Fitch Parameters'!C11="AA-",0,1)+IF('Fitch Parameters'!D11=0.858,0,1)+IF('Fitch Parameters'!C12="A+",0,1)+IF('Fitch Parameters'!D12=1.237,0,1)+IF('Fitch Parameters'!C13="A",0,1)+IF('Fitch Parameters'!D13=1.572,0,1)+IF('Fitch Parameters'!C14="A-",0,1)+IF('Fitch Parameters'!D14=2.099,0,1)+IF('Fitch Parameters'!C15="BBB+",0,1)+IF('Fitch Parameters'!D15=2.63,0,1)+IF('Fitch Parameters'!C16="BBB",0,1)+IF('Fitch Parameters'!D16=3.162,0,1)+IF('Fitch Parameters'!C17="BBB-",0,1)+IF('Fitch Parameters'!D17=6.039,0,1)+IF('Fitch Parameters'!C18="BB+",0,1)+IF('Fitch Parameters'!D18=8.903,0,1)+IF('Fitch Parameters'!C19="BB",0,1)+IF('Fitch Parameters'!D19=11.844,0,1)+IF('Fitch Parameters'!C20="BB-",0,1)+IF('Fitch Parameters'!D20=15.733,0,1)+IF('Fitch Parameters'!C21="B+",0,1)+IF('Fitch Parameters'!D21=19.627,0,1)+IF('Fitch Parameters'!C22="B",0,1)+IF('Fitch Parameters'!D22=23.671,0,1)+IF('Fitch Parameters'!C23="B-",0,1)+IF('Fitch Parameters'!D23=32.221,0,1)+IF('Fitch Parameters'!C24="CCC+",0,1)+IF('Fitch Parameters'!D24=41.111,0,1)+IF('Fitch Parameters'!C25="CCC",0,1)+IF('Fitch Parameters'!D25=50,0,1)+IF('Fitch Parameters'!C26="CCC-",0,1)+IF('Fitch Parameters'!D26=63.431,0,1)+IF('Fitch Parameters'!C27="CC",0,1)+IF('Fitch Parameters'!D27=100,0,1)+IF('Fitch Parameters'!C28="C",0,1)+IF('Fitch Parameters'!D28=100,0,1)</x:f>
        <x:v>0</x:v>
      </x:c>
      <x:c r="E18" s="150"/>
      <x:c r="F18" s="154" t="str">
        <x:v>An agency result also needs a complete credit dataset, PCM RDR/RLR, agency-specific cash-flow implementation and deal-level review.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D8823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3" hidden="0" customWidth="1"/>
  </x:cols>
  <x:sheetData>
    <x:row r="1">
      <x:c r="A1" s="116" t="str">
        <x:v>Development / S&amp;P-informed timing</x:v>
      </x:c>
      <x:c r="B1" s="150"/>
      <x:c r="C1" s="150"/>
      <x:c r="D1" s="150"/>
      <x:c r="E1" s="150"/>
      <x:c r="F1" s="150"/>
      <x:c r="G1" s="150"/>
      <x:c r="H1" s="150"/>
      <x:c r="I1" s="150"/>
    </x:row>
    <x:row r="2">
      <x:c r="A2" s="64" t="str">
        <x:v>Stress Timing And Interest Rates</x:v>
      </x:c>
      <x:c r="B2" s="150"/>
      <x:c r="C2" s="150"/>
      <x:c r="D2" s="150"/>
      <x:c r="E2" s="150"/>
      <x:c r="F2" s="150"/>
      <x:c r="G2" s="150"/>
      <x:c r="H2" s="150"/>
      <x:c r="I2" s="150"/>
    </x:row>
    <x:row r="3">
      <x:c r="A3" s="150" t="str">
        <x:v>Default weights are fractions of total cumulative defaults. Rate paths are fictional development scenarios.</x:v>
      </x:c>
      <x:c r="B3" s="150"/>
      <x:c r="C3" s="150"/>
      <x:c r="D3" s="150"/>
      <x:c r="E3" s="150"/>
      <x:c r="F3" s="150"/>
      <x:c r="G3" s="150"/>
      <x:c r="H3" s="150"/>
      <x:c r="I3" s="150"/>
    </x:row>
    <x:row r="4">
      <x:c r="A4" s="150"/>
      <x:c r="B4" s="150"/>
      <x:c r="C4" s="150"/>
      <x:c r="D4" s="150"/>
      <x:c r="E4" s="150"/>
      <x:c r="F4" s="150"/>
      <x:c r="G4" s="150"/>
      <x:c r="H4" s="150"/>
      <x:c r="I4" s="150"/>
    </x:row>
    <x:row r="5">
      <x:c r="A5" s="150"/>
      <x:c r="B5" s="150"/>
      <x:c r="C5" s="150"/>
      <x:c r="D5" s="150"/>
      <x:c r="E5" s="150"/>
      <x:c r="F5" s="150"/>
      <x:c r="G5" s="150"/>
      <x:c r="H5" s="150"/>
      <x:c r="I5" s="150"/>
    </x:row>
    <x:row r="6">
      <x:c r="A6" s="150"/>
      <x:c r="B6" s="150"/>
      <x:c r="C6" s="150"/>
      <x:c r="D6" s="150"/>
      <x:c r="E6" s="150"/>
      <x:c r="F6" s="150"/>
      <x:c r="G6" s="150"/>
      <x:c r="H6" s="150"/>
      <x:c r="I6" s="150"/>
    </x:row>
    <x:row r="7" ht="38" customHeight="1">
      <x:c r="A7" s="7" t="str">
        <x:v>Scenario</x:v>
      </x:c>
      <x:c r="B7" s="7" t="str">
        <x:v>Period</x:v>
      </x:c>
      <x:c r="C7" s="7" t="str">
        <x:v>Period end</x:v>
      </x:c>
      <x:c r="D7" s="7" t="str">
        <x:v>Default weight</x:v>
      </x:c>
      <x:c r="E7" s="7" t="str">
        <x:v>Index rate</x:v>
      </x:c>
      <x:c r="F7" s="7" t="str">
        <x:v>Run weight</x:v>
      </x:c>
      <x:c r="G7" s="7" t="str">
        <x:v>Run rate</x:v>
      </x:c>
      <x:c r="H7" s="7" t="str">
        <x:v>Changed</x:v>
      </x:c>
      <x:c r="I7" s="7" t="str">
        <x:v>Source</x:v>
      </x:c>
    </x:row>
    <x:row r="8" ht="21" customHeight="1">
      <x:c r="A8" s="23" t="str">
        <x:v>front_flat</x:v>
      </x:c>
      <x:c r="B8" s="23" t="n">
        <x:v>1</x:v>
      </x:c>
      <x:c r="C8" s="37" t="n">
        <x:v>46478</x:v>
      </x:c>
      <x:c r="D8" s="55" t="n">
        <x:v>0.0975</x:v>
      </x:c>
      <x:c r="E8" s="55" t="n">
        <x:v>0.03</x:v>
      </x:c>
      <x:c r="F8" s="60" t="n">
        <x:v>0.0975</x:v>
      </x:c>
      <x:c r="G8" s="60" t="n">
        <x:v>0.03</x:v>
      </x:c>
      <x:c r="H8" s="23" t="n">
        <x:f>IF(D8=F8,0,1)+IF(E8=G8,0,1)</x:f>
        <x:v>0</x:v>
      </x:c>
      <x:c r="I8" s="23" t="str">
        <x:v>Timing T20 / fictional rates</x:v>
      </x:c>
    </x:row>
    <x:row r="9" ht="21" customHeight="1">
      <x:c r="A9" s="23" t="str">
        <x:v>front_flat</x:v>
      </x:c>
      <x:c r="B9" s="23" t="n">
        <x:v>2</x:v>
      </x:c>
      <x:c r="C9" s="37" t="n">
        <x:v>46569</x:v>
      </x:c>
      <x:c r="D9" s="55" t="n">
        <x:v>0.0975</x:v>
      </x:c>
      <x:c r="E9" s="55" t="n">
        <x:v>0.03</x:v>
      </x:c>
      <x:c r="F9" s="60" t="n">
        <x:v>0.0975</x:v>
      </x:c>
      <x:c r="G9" s="60" t="n">
        <x:v>0.03</x:v>
      </x:c>
      <x:c r="H9" s="23" t="n">
        <x:f>IF(D9=F9,0,1)+IF(E9=G9,0,1)</x:f>
        <x:v>0</x:v>
      </x:c>
      <x:c r="I9" s="23" t="str">
        <x:v>Timing T20 / fictional rates</x:v>
      </x:c>
    </x:row>
    <x:row r="10" ht="21" customHeight="1">
      <x:c r="A10" s="23" t="str">
        <x:v>front_flat</x:v>
      </x:c>
      <x:c r="B10" s="23" t="n">
        <x:v>3</x:v>
      </x:c>
      <x:c r="C10" s="37" t="n">
        <x:v>46661</x:v>
      </x:c>
      <x:c r="D10" s="55" t="n">
        <x:v>0.0975</x:v>
      </x:c>
      <x:c r="E10" s="55" t="n">
        <x:v>0.03</x:v>
      </x:c>
      <x:c r="F10" s="60" t="n">
        <x:v>0.0975</x:v>
      </x:c>
      <x:c r="G10" s="60" t="n">
        <x:v>0.03</x:v>
      </x:c>
      <x:c r="H10" s="23" t="n">
        <x:f>IF(D10=F10,0,1)+IF(E10=G10,0,1)</x:f>
        <x:v>0</x:v>
      </x:c>
      <x:c r="I10" s="23" t="str">
        <x:v>Timing T20 / fictional rates</x:v>
      </x:c>
    </x:row>
    <x:row r="11" ht="21" customHeight="1">
      <x:c r="A11" s="23" t="str">
        <x:v>front_flat</x:v>
      </x:c>
      <x:c r="B11" s="23" t="n">
        <x:v>4</x:v>
      </x:c>
      <x:c r="C11" s="37" t="n">
        <x:v>46753</x:v>
      </x:c>
      <x:c r="D11" s="55" t="n">
        <x:v>0.0975</x:v>
      </x:c>
      <x:c r="E11" s="55" t="n">
        <x:v>0.03</x:v>
      </x:c>
      <x:c r="F11" s="60" t="n">
        <x:v>0.0975</x:v>
      </x:c>
      <x:c r="G11" s="60" t="n">
        <x:v>0.03</x:v>
      </x:c>
      <x:c r="H11" s="23" t="n">
        <x:f>IF(D11=F11,0,1)+IF(E11=G11,0,1)</x:f>
        <x:v>0</x:v>
      </x:c>
      <x:c r="I11" s="23" t="str">
        <x:v>Timing T20 / fictional rates</x:v>
      </x:c>
    </x:row>
    <x:row r="12" ht="21" customHeight="1">
      <x:c r="A12" s="23" t="str">
        <x:v>front_flat</x:v>
      </x:c>
      <x:c r="B12" s="23" t="n">
        <x:v>5</x:v>
      </x:c>
      <x:c r="C12" s="37" t="n">
        <x:v>46844</x:v>
      </x:c>
      <x:c r="D12" s="55" t="n">
        <x:v>0.055</x:v>
      </x:c>
      <x:c r="E12" s="55" t="n">
        <x:v>0.03</x:v>
      </x:c>
      <x:c r="F12" s="60" t="n">
        <x:v>0.055</x:v>
      </x:c>
      <x:c r="G12" s="60" t="n">
        <x:v>0.03</x:v>
      </x:c>
      <x:c r="H12" s="23" t="n">
        <x:f>IF(D12=F12,0,1)+IF(E12=G12,0,1)</x:f>
        <x:v>0</x:v>
      </x:c>
      <x:c r="I12" s="23" t="str">
        <x:v>Timing T20 / fictional rates</x:v>
      </x:c>
    </x:row>
    <x:row r="13" ht="21" customHeight="1">
      <x:c r="A13" s="23" t="str">
        <x:v>front_flat</x:v>
      </x:c>
      <x:c r="B13" s="23" t="n">
        <x:v>6</x:v>
      </x:c>
      <x:c r="C13" s="37" t="n">
        <x:v>46935</x:v>
      </x:c>
      <x:c r="D13" s="55" t="n">
        <x:v>0.055</x:v>
      </x:c>
      <x:c r="E13" s="55" t="n">
        <x:v>0.03</x:v>
      </x:c>
      <x:c r="F13" s="60" t="n">
        <x:v>0.055</x:v>
      </x:c>
      <x:c r="G13" s="60" t="n">
        <x:v>0.03</x:v>
      </x:c>
      <x:c r="H13" s="23" t="n">
        <x:f>IF(D13=F13,0,1)+IF(E13=G13,0,1)</x:f>
        <x:v>0</x:v>
      </x:c>
      <x:c r="I13" s="23" t="str">
        <x:v>Timing T20 / fictional rates</x:v>
      </x:c>
    </x:row>
    <x:row r="14" ht="21" customHeight="1">
      <x:c r="A14" s="23" t="str">
        <x:v>front_flat</x:v>
      </x:c>
      <x:c r="B14" s="23" t="n">
        <x:v>7</x:v>
      </x:c>
      <x:c r="C14" s="37" t="n">
        <x:v>47027</x:v>
      </x:c>
      <x:c r="D14" s="55" t="n">
        <x:v>0.055</x:v>
      </x:c>
      <x:c r="E14" s="55" t="n">
        <x:v>0.03</x:v>
      </x:c>
      <x:c r="F14" s="60" t="n">
        <x:v>0.055</x:v>
      </x:c>
      <x:c r="G14" s="60" t="n">
        <x:v>0.03</x:v>
      </x:c>
      <x:c r="H14" s="23" t="n">
        <x:f>IF(D14=F14,0,1)+IF(E14=G14,0,1)</x:f>
        <x:v>0</x:v>
      </x:c>
      <x:c r="I14" s="23" t="str">
        <x:v>Timing T20 / fictional rates</x:v>
      </x:c>
    </x:row>
    <x:row r="15" ht="21" customHeight="1">
      <x:c r="A15" s="23" t="str">
        <x:v>front_flat</x:v>
      </x:c>
      <x:c r="B15" s="23" t="n">
        <x:v>8</x:v>
      </x:c>
      <x:c r="C15" s="37" t="n">
        <x:v>47119</x:v>
      </x:c>
      <x:c r="D15" s="55" t="n">
        <x:v>0.055</x:v>
      </x:c>
      <x:c r="E15" s="55" t="n">
        <x:v>0.03</x:v>
      </x:c>
      <x:c r="F15" s="60" t="n">
        <x:v>0.055</x:v>
      </x:c>
      <x:c r="G15" s="60" t="n">
        <x:v>0.03</x:v>
      </x:c>
      <x:c r="H15" s="23" t="n">
        <x:f>IF(D15=F15,0,1)+IF(E15=G15,0,1)</x:f>
        <x:v>0</x:v>
      </x:c>
      <x:c r="I15" s="23" t="str">
        <x:v>Timing T20 / fictional rates</x:v>
      </x:c>
    </x:row>
    <x:row r="16" ht="21" customHeight="1">
      <x:c r="A16" s="23" t="str">
        <x:v>front_flat</x:v>
      </x:c>
      <x:c r="B16" s="23" t="n">
        <x:v>9</x:v>
      </x:c>
      <x:c r="C16" s="37" t="n">
        <x:v>47209</x:v>
      </x:c>
      <x:c r="D16" s="55" t="n">
        <x:v>0.04</x:v>
      </x:c>
      <x:c r="E16" s="55" t="n">
        <x:v>0.03</x:v>
      </x:c>
      <x:c r="F16" s="60" t="n">
        <x:v>0.04</x:v>
      </x:c>
      <x:c r="G16" s="60" t="n">
        <x:v>0.03</x:v>
      </x:c>
      <x:c r="H16" s="23" t="n">
        <x:f>IF(D16=F16,0,1)+IF(E16=G16,0,1)</x:f>
        <x:v>0</x:v>
      </x:c>
      <x:c r="I16" s="23" t="str">
        <x:v>Timing T20 / fictional rates</x:v>
      </x:c>
    </x:row>
    <x:row r="17" ht="21" customHeight="1">
      <x:c r="A17" s="23" t="str">
        <x:v>front_flat</x:v>
      </x:c>
      <x:c r="B17" s="23" t="n">
        <x:v>10</x:v>
      </x:c>
      <x:c r="C17" s="37" t="n">
        <x:v>47300</x:v>
      </x:c>
      <x:c r="D17" s="55" t="n">
        <x:v>0.04</x:v>
      </x:c>
      <x:c r="E17" s="55" t="n">
        <x:v>0.03</x:v>
      </x:c>
      <x:c r="F17" s="60" t="n">
        <x:v>0.04</x:v>
      </x:c>
      <x:c r="G17" s="60" t="n">
        <x:v>0.03</x:v>
      </x:c>
      <x:c r="H17" s="23" t="n">
        <x:f>IF(D17=F17,0,1)+IF(E17=G17,0,1)</x:f>
        <x:v>0</x:v>
      </x:c>
      <x:c r="I17" s="23" t="str">
        <x:v>Timing T20 / fictional rates</x:v>
      </x:c>
    </x:row>
    <x:row r="18" ht="21" customHeight="1">
      <x:c r="A18" s="23" t="str">
        <x:v>front_flat</x:v>
      </x:c>
      <x:c r="B18" s="23" t="n">
        <x:v>11</x:v>
      </x:c>
      <x:c r="C18" s="37" t="n">
        <x:v>47392</x:v>
      </x:c>
      <x:c r="D18" s="55" t="n">
        <x:v>0.04</x:v>
      </x:c>
      <x:c r="E18" s="55" t="n">
        <x:v>0.03</x:v>
      </x:c>
      <x:c r="F18" s="60" t="n">
        <x:v>0.04</x:v>
      </x:c>
      <x:c r="G18" s="60" t="n">
        <x:v>0.03</x:v>
      </x:c>
      <x:c r="H18" s="23" t="n">
        <x:f>IF(D18=F18,0,1)+IF(E18=G18,0,1)</x:f>
        <x:v>0</x:v>
      </x:c>
      <x:c r="I18" s="23" t="str">
        <x:v>Timing T20 / fictional rates</x:v>
      </x:c>
    </x:row>
    <x:row r="19" ht="21" customHeight="1">
      <x:c r="A19" s="23" t="str">
        <x:v>front_flat</x:v>
      </x:c>
      <x:c r="B19" s="23" t="n">
        <x:v>12</x:v>
      </x:c>
      <x:c r="C19" s="37" t="n">
        <x:v>47484</x:v>
      </x:c>
      <x:c r="D19" s="55" t="n">
        <x:v>0.04</x:v>
      </x:c>
      <x:c r="E19" s="55" t="n">
        <x:v>0.03</x:v>
      </x:c>
      <x:c r="F19" s="60" t="n">
        <x:v>0.04</x:v>
      </x:c>
      <x:c r="G19" s="60" t="n">
        <x:v>0.03</x:v>
      </x:c>
      <x:c r="H19" s="23" t="n">
        <x:f>IF(D19=F19,0,1)+IF(E19=G19,0,1)</x:f>
        <x:v>0</x:v>
      </x:c>
      <x:c r="I19" s="23" t="str">
        <x:v>Timing T20 / fictional rates</x:v>
      </x:c>
    </x:row>
    <x:row r="20" ht="21" customHeight="1">
      <x:c r="A20" s="23" t="str">
        <x:v>front_flat</x:v>
      </x:c>
      <x:c r="B20" s="23" t="n">
        <x:v>13</x:v>
      </x:c>
      <x:c r="C20" s="37" t="n">
        <x:v>47574</x:v>
      </x:c>
      <x:c r="D20" s="55" t="n">
        <x:v>0.0325</x:v>
      </x:c>
      <x:c r="E20" s="55" t="n">
        <x:v>0.03</x:v>
      </x:c>
      <x:c r="F20" s="60" t="n">
        <x:v>0.0325</x:v>
      </x:c>
      <x:c r="G20" s="60" t="n">
        <x:v>0.03</x:v>
      </x:c>
      <x:c r="H20" s="23" t="n">
        <x:f>IF(D20=F20,0,1)+IF(E20=G20,0,1)</x:f>
        <x:v>0</x:v>
      </x:c>
      <x:c r="I20" s="23" t="str">
        <x:v>Timing T20 / fictional rates</x:v>
      </x:c>
    </x:row>
    <x:row r="21" ht="21" customHeight="1">
      <x:c r="A21" s="23" t="str">
        <x:v>front_flat</x:v>
      </x:c>
      <x:c r="B21" s="23" t="n">
        <x:v>14</x:v>
      </x:c>
      <x:c r="C21" s="37" t="n">
        <x:v>47665</x:v>
      </x:c>
      <x:c r="D21" s="55" t="n">
        <x:v>0.0325</x:v>
      </x:c>
      <x:c r="E21" s="55" t="n">
        <x:v>0.03</x:v>
      </x:c>
      <x:c r="F21" s="60" t="n">
        <x:v>0.0325</x:v>
      </x:c>
      <x:c r="G21" s="60" t="n">
        <x:v>0.03</x:v>
      </x:c>
      <x:c r="H21" s="23" t="n">
        <x:f>IF(D21=F21,0,1)+IF(E21=G21,0,1)</x:f>
        <x:v>0</x:v>
      </x:c>
      <x:c r="I21" s="23" t="str">
        <x:v>Timing T20 / fictional rates</x:v>
      </x:c>
    </x:row>
    <x:row r="22" ht="21" customHeight="1">
      <x:c r="A22" s="23" t="str">
        <x:v>front_flat</x:v>
      </x:c>
      <x:c r="B22" s="23" t="n">
        <x:v>15</x:v>
      </x:c>
      <x:c r="C22" s="37" t="n">
        <x:v>47757</x:v>
      </x:c>
      <x:c r="D22" s="55" t="n">
        <x:v>0.0325</x:v>
      </x:c>
      <x:c r="E22" s="55" t="n">
        <x:v>0.03</x:v>
      </x:c>
      <x:c r="F22" s="60" t="n">
        <x:v>0.0325</x:v>
      </x:c>
      <x:c r="G22" s="60" t="n">
        <x:v>0.03</x:v>
      </x:c>
      <x:c r="H22" s="23" t="n">
        <x:f>IF(D22=F22,0,1)+IF(E22=G22,0,1)</x:f>
        <x:v>0</x:v>
      </x:c>
      <x:c r="I22" s="23" t="str">
        <x:v>Timing T20 / fictional rates</x:v>
      </x:c>
    </x:row>
    <x:row r="23" ht="21" customHeight="1">
      <x:c r="A23" s="23" t="str">
        <x:v>front_flat</x:v>
      </x:c>
      <x:c r="B23" s="23" t="n">
        <x:v>16</x:v>
      </x:c>
      <x:c r="C23" s="37" t="n">
        <x:v>47849</x:v>
      </x:c>
      <x:c r="D23" s="55" t="n">
        <x:v>0.0325</x:v>
      </x:c>
      <x:c r="E23" s="55" t="n">
        <x:v>0.03</x:v>
      </x:c>
      <x:c r="F23" s="60" t="n">
        <x:v>0.0325</x:v>
      </x:c>
      <x:c r="G23" s="60" t="n">
        <x:v>0.03</x:v>
      </x:c>
      <x:c r="H23" s="23" t="n">
        <x:f>IF(D23=F23,0,1)+IF(E23=G23,0,1)</x:f>
        <x:v>0</x:v>
      </x:c>
      <x:c r="I23" s="23" t="str">
        <x:v>Timing T20 / fictional rates</x:v>
      </x:c>
    </x:row>
    <x:row r="24" ht="21" customHeight="1">
      <x:c r="A24" s="23" t="str">
        <x:v>front_flat</x:v>
      </x:c>
      <x:c r="B24" s="23" t="n">
        <x:v>17</x:v>
      </x:c>
      <x:c r="C24" s="37" t="n">
        <x:v>47939</x:v>
      </x:c>
      <x:c r="D24" s="55" t="n">
        <x:v>0.025</x:v>
      </x:c>
      <x:c r="E24" s="55" t="n">
        <x:v>0.03</x:v>
      </x:c>
      <x:c r="F24" s="60" t="n">
        <x:v>0.025</x:v>
      </x:c>
      <x:c r="G24" s="60" t="n">
        <x:v>0.03</x:v>
      </x:c>
      <x:c r="H24" s="23" t="n">
        <x:f>IF(D24=F24,0,1)+IF(E24=G24,0,1)</x:f>
        <x:v>0</x:v>
      </x:c>
      <x:c r="I24" s="23" t="str">
        <x:v>Timing T20 / fictional rates</x:v>
      </x:c>
    </x:row>
    <x:row r="25" ht="21" customHeight="1">
      <x:c r="A25" s="23" t="str">
        <x:v>front_flat</x:v>
      </x:c>
      <x:c r="B25" s="23" t="n">
        <x:v>18</x:v>
      </x:c>
      <x:c r="C25" s="37" t="n">
        <x:v>48030</x:v>
      </x:c>
      <x:c r="D25" s="55" t="n">
        <x:v>0.025</x:v>
      </x:c>
      <x:c r="E25" s="55" t="n">
        <x:v>0.03</x:v>
      </x:c>
      <x:c r="F25" s="60" t="n">
        <x:v>0.025</x:v>
      </x:c>
      <x:c r="G25" s="60" t="n">
        <x:v>0.03</x:v>
      </x:c>
      <x:c r="H25" s="23" t="n">
        <x:f>IF(D25=F25,0,1)+IF(E25=G25,0,1)</x:f>
        <x:v>0</x:v>
      </x:c>
      <x:c r="I25" s="23" t="str">
        <x:v>Timing T20 / fictional rates</x:v>
      </x:c>
    </x:row>
    <x:row r="26" ht="21" customHeight="1">
      <x:c r="A26" s="23" t="str">
        <x:v>front_flat</x:v>
      </x:c>
      <x:c r="B26" s="23" t="n">
        <x:v>19</x:v>
      </x:c>
      <x:c r="C26" s="37" t="n">
        <x:v>48122</x:v>
      </x:c>
      <x:c r="D26" s="55" t="n">
        <x:v>0.025</x:v>
      </x:c>
      <x:c r="E26" s="55" t="n">
        <x:v>0.03</x:v>
      </x:c>
      <x:c r="F26" s="60" t="n">
        <x:v>0.025</x:v>
      </x:c>
      <x:c r="G26" s="60" t="n">
        <x:v>0.03</x:v>
      </x:c>
      <x:c r="H26" s="23" t="n">
        <x:f>IF(D26=F26,0,1)+IF(E26=G26,0,1)</x:f>
        <x:v>0</x:v>
      </x:c>
      <x:c r="I26" s="23" t="str">
        <x:v>Timing T20 / fictional rates</x:v>
      </x:c>
    </x:row>
    <x:row r="27" ht="21" customHeight="1">
      <x:c r="A27" s="23" t="str">
        <x:v>front_flat</x:v>
      </x:c>
      <x:c r="B27" s="23" t="n">
        <x:v>20</x:v>
      </x:c>
      <x:c r="C27" s="37" t="n">
        <x:v>48214</x:v>
      </x:c>
      <x:c r="D27" s="55" t="n">
        <x:v>0.025</x:v>
      </x:c>
      <x:c r="E27" s="55" t="n">
        <x:v>0.03</x:v>
      </x:c>
      <x:c r="F27" s="60" t="n">
        <x:v>0.025</x:v>
      </x:c>
      <x:c r="G27" s="60" t="n">
        <x:v>0.03</x:v>
      </x:c>
      <x:c r="H27" s="23" t="n">
        <x:f>IF(D27=F27,0,1)+IF(E27=G27,0,1)</x:f>
        <x:v>0</x:v>
      </x:c>
      <x:c r="I27" s="23" t="str">
        <x:v>Timing T20 / fictional rates</x:v>
      </x:c>
    </x:row>
    <x:row r="28" ht="21" customHeight="1">
      <x:c r="A28" s="23" t="str">
        <x:v>front_flat</x:v>
      </x:c>
      <x:c r="B28" s="23" t="n">
        <x:v>21</x:v>
      </x:c>
      <x:c r="C28" s="37" t="n">
        <x:v>48305</x:v>
      </x:c>
      <x:c r="D28" s="55" t="n">
        <x:v>0</x:v>
      </x:c>
      <x:c r="E28" s="55" t="n">
        <x:v>0.03</x:v>
      </x:c>
      <x:c r="F28" s="60" t="n">
        <x:v>0</x:v>
      </x:c>
      <x:c r="G28" s="60" t="n">
        <x:v>0.03</x:v>
      </x:c>
      <x:c r="H28" s="23" t="n">
        <x:f>IF(D28=F28,0,1)+IF(E28=G28,0,1)</x:f>
        <x:v>0</x:v>
      </x:c>
      <x:c r="I28" s="23" t="str">
        <x:v>Timing T20 / fictional rates</x:v>
      </x:c>
    </x:row>
    <x:row r="29" ht="21" customHeight="1">
      <x:c r="A29" s="23" t="str">
        <x:v>front_flat</x:v>
      </x:c>
      <x:c r="B29" s="23" t="n">
        <x:v>22</x:v>
      </x:c>
      <x:c r="C29" s="37" t="n">
        <x:v>48396</x:v>
      </x:c>
      <x:c r="D29" s="55" t="n">
        <x:v>0</x:v>
      </x:c>
      <x:c r="E29" s="55" t="n">
        <x:v>0.03</x:v>
      </x:c>
      <x:c r="F29" s="60" t="n">
        <x:v>0</x:v>
      </x:c>
      <x:c r="G29" s="60" t="n">
        <x:v>0.03</x:v>
      </x:c>
      <x:c r="H29" s="23" t="n">
        <x:f>IF(D29=F29,0,1)+IF(E29=G29,0,1)</x:f>
        <x:v>0</x:v>
      </x:c>
      <x:c r="I29" s="23" t="str">
        <x:v>Timing T20 / fictional rates</x:v>
      </x:c>
    </x:row>
    <x:row r="30" ht="21" customHeight="1">
      <x:c r="A30" s="23" t="str">
        <x:v>front_flat</x:v>
      </x:c>
      <x:c r="B30" s="23" t="n">
        <x:v>23</x:v>
      </x:c>
      <x:c r="C30" s="37" t="n">
        <x:v>48488</x:v>
      </x:c>
      <x:c r="D30" s="55" t="n">
        <x:v>0</x:v>
      </x:c>
      <x:c r="E30" s="55" t="n">
        <x:v>0.03</x:v>
      </x:c>
      <x:c r="F30" s="60" t="n">
        <x:v>0</x:v>
      </x:c>
      <x:c r="G30" s="60" t="n">
        <x:v>0.03</x:v>
      </x:c>
      <x:c r="H30" s="23" t="n">
        <x:f>IF(D30=F30,0,1)+IF(E30=G30,0,1)</x:f>
        <x:v>0</x:v>
      </x:c>
      <x:c r="I30" s="23" t="str">
        <x:v>Timing T20 / fictional rates</x:v>
      </x:c>
    </x:row>
    <x:row r="31" ht="21" customHeight="1">
      <x:c r="A31" s="23" t="str">
        <x:v>front_flat</x:v>
      </x:c>
      <x:c r="B31" s="23" t="n">
        <x:v>24</x:v>
      </x:c>
      <x:c r="C31" s="37" t="n">
        <x:v>48580</x:v>
      </x:c>
      <x:c r="D31" s="55" t="n">
        <x:v>0</x:v>
      </x:c>
      <x:c r="E31" s="55" t="n">
        <x:v>0.03</x:v>
      </x:c>
      <x:c r="F31" s="60" t="n">
        <x:v>0</x:v>
      </x:c>
      <x:c r="G31" s="60" t="n">
        <x:v>0.03</x:v>
      </x:c>
      <x:c r="H31" s="23" t="n">
        <x:f>IF(D31=F31,0,1)+IF(E31=G31,0,1)</x:f>
        <x:v>0</x:v>
      </x:c>
      <x:c r="I31" s="23" t="str">
        <x:v>Timing T20 / fictional rates</x:v>
      </x:c>
    </x:row>
    <x:row r="32" ht="21" customHeight="1">
      <x:c r="A32" s="23" t="str">
        <x:v>front_flat</x:v>
      </x:c>
      <x:c r="B32" s="23" t="n">
        <x:v>25</x:v>
      </x:c>
      <x:c r="C32" s="37" t="n">
        <x:v>48670</x:v>
      </x:c>
      <x:c r="D32" s="55" t="n">
        <x:v>0</x:v>
      </x:c>
      <x:c r="E32" s="55" t="n">
        <x:v>0.03</x:v>
      </x:c>
      <x:c r="F32" s="60" t="n">
        <x:v>0</x:v>
      </x:c>
      <x:c r="G32" s="60" t="n">
        <x:v>0.03</x:v>
      </x:c>
      <x:c r="H32" s="23" t="n">
        <x:f>IF(D32=F32,0,1)+IF(E32=G32,0,1)</x:f>
        <x:v>0</x:v>
      </x:c>
      <x:c r="I32" s="23" t="str">
        <x:v>Timing T20 / fictional rates</x:v>
      </x:c>
    </x:row>
    <x:row r="33" ht="21" customHeight="1">
      <x:c r="A33" s="23" t="str">
        <x:v>front_flat</x:v>
      </x:c>
      <x:c r="B33" s="23" t="n">
        <x:v>26</x:v>
      </x:c>
      <x:c r="C33" s="37" t="n">
        <x:v>48761</x:v>
      </x:c>
      <x:c r="D33" s="55" t="n">
        <x:v>0</x:v>
      </x:c>
      <x:c r="E33" s="55" t="n">
        <x:v>0.03</x:v>
      </x:c>
      <x:c r="F33" s="60" t="n">
        <x:v>0</x:v>
      </x:c>
      <x:c r="G33" s="60" t="n">
        <x:v>0.03</x:v>
      </x:c>
      <x:c r="H33" s="23" t="n">
        <x:f>IF(D33=F33,0,1)+IF(E33=G33,0,1)</x:f>
        <x:v>0</x:v>
      </x:c>
      <x:c r="I33" s="23" t="str">
        <x:v>Timing T20 / fictional rates</x:v>
      </x:c>
    </x:row>
    <x:row r="34" ht="21" customHeight="1">
      <x:c r="A34" s="23" t="str">
        <x:v>front_flat</x:v>
      </x:c>
      <x:c r="B34" s="23" t="n">
        <x:v>27</x:v>
      </x:c>
      <x:c r="C34" s="37" t="n">
        <x:v>48853</x:v>
      </x:c>
      <x:c r="D34" s="55" t="n">
        <x:v>0</x:v>
      </x:c>
      <x:c r="E34" s="55" t="n">
        <x:v>0.03</x:v>
      </x:c>
      <x:c r="F34" s="60" t="n">
        <x:v>0</x:v>
      </x:c>
      <x:c r="G34" s="60" t="n">
        <x:v>0.03</x:v>
      </x:c>
      <x:c r="H34" s="23" t="n">
        <x:f>IF(D34=F34,0,1)+IF(E34=G34,0,1)</x:f>
        <x:v>0</x:v>
      </x:c>
      <x:c r="I34" s="23" t="str">
        <x:v>Timing T20 / fictional rates</x:v>
      </x:c>
    </x:row>
    <x:row r="35" ht="21" customHeight="1">
      <x:c r="A35" s="23" t="str">
        <x:v>front_flat</x:v>
      </x:c>
      <x:c r="B35" s="23" t="n">
        <x:v>28</x:v>
      </x:c>
      <x:c r="C35" s="37" t="n">
        <x:v>48945</x:v>
      </x:c>
      <x:c r="D35" s="55" t="n">
        <x:v>0</x:v>
      </x:c>
      <x:c r="E35" s="55" t="n">
        <x:v>0.03</x:v>
      </x:c>
      <x:c r="F35" s="60" t="n">
        <x:v>0</x:v>
      </x:c>
      <x:c r="G35" s="60" t="n">
        <x:v>0.03</x:v>
      </x:c>
      <x:c r="H35" s="23" t="n">
        <x:f>IF(D35=F35,0,1)+IF(E35=G35,0,1)</x:f>
        <x:v>0</x:v>
      </x:c>
      <x:c r="I35" s="23" t="str">
        <x:v>Timing T20 / fictional rates</x:v>
      </x:c>
    </x:row>
    <x:row r="36" ht="21" customHeight="1">
      <x:c r="A36" s="23" t="str">
        <x:v>front_flat</x:v>
      </x:c>
      <x:c r="B36" s="23" t="n">
        <x:v>29</x:v>
      </x:c>
      <x:c r="C36" s="37" t="n">
        <x:v>49035</x:v>
      </x:c>
      <x:c r="D36" s="55" t="n">
        <x:v>0</x:v>
      </x:c>
      <x:c r="E36" s="55" t="n">
        <x:v>0.03</x:v>
      </x:c>
      <x:c r="F36" s="60" t="n">
        <x:v>0</x:v>
      </x:c>
      <x:c r="G36" s="60" t="n">
        <x:v>0.03</x:v>
      </x:c>
      <x:c r="H36" s="23" t="n">
        <x:f>IF(D36=F36,0,1)+IF(E36=G36,0,1)</x:f>
        <x:v>0</x:v>
      </x:c>
      <x:c r="I36" s="23" t="str">
        <x:v>Timing T20 / fictional rates</x:v>
      </x:c>
    </x:row>
    <x:row r="37" ht="21" customHeight="1">
      <x:c r="A37" s="23" t="str">
        <x:v>front_flat</x:v>
      </x:c>
      <x:c r="B37" s="23" t="n">
        <x:v>30</x:v>
      </x:c>
      <x:c r="C37" s="37" t="n">
        <x:v>49126</x:v>
      </x:c>
      <x:c r="D37" s="55" t="n">
        <x:v>0</x:v>
      </x:c>
      <x:c r="E37" s="55" t="n">
        <x:v>0.03</x:v>
      </x:c>
      <x:c r="F37" s="60" t="n">
        <x:v>0</x:v>
      </x:c>
      <x:c r="G37" s="60" t="n">
        <x:v>0.03</x:v>
      </x:c>
      <x:c r="H37" s="23" t="n">
        <x:f>IF(D37=F37,0,1)+IF(E37=G37,0,1)</x:f>
        <x:v>0</x:v>
      </x:c>
      <x:c r="I37" s="23" t="str">
        <x:v>Timing T20 / fictional rates</x:v>
      </x:c>
    </x:row>
    <x:row r="38" ht="21" customHeight="1">
      <x:c r="A38" s="23" t="str">
        <x:v>front_flat</x:v>
      </x:c>
      <x:c r="B38" s="23" t="n">
        <x:v>31</x:v>
      </x:c>
      <x:c r="C38" s="37" t="n">
        <x:v>49218</x:v>
      </x:c>
      <x:c r="D38" s="55" t="n">
        <x:v>0</x:v>
      </x:c>
      <x:c r="E38" s="55" t="n">
        <x:v>0.03</x:v>
      </x:c>
      <x:c r="F38" s="60" t="n">
        <x:v>0</x:v>
      </x:c>
      <x:c r="G38" s="60" t="n">
        <x:v>0.03</x:v>
      </x:c>
      <x:c r="H38" s="23" t="n">
        <x:f>IF(D38=F38,0,1)+IF(E38=G38,0,1)</x:f>
        <x:v>0</x:v>
      </x:c>
      <x:c r="I38" s="23" t="str">
        <x:v>Timing T20 / fictional rates</x:v>
      </x:c>
    </x:row>
    <x:row r="39" ht="21" customHeight="1">
      <x:c r="A39" s="23" t="str">
        <x:v>front_flat</x:v>
      </x:c>
      <x:c r="B39" s="23" t="n">
        <x:v>32</x:v>
      </x:c>
      <x:c r="C39" s="37" t="n">
        <x:v>49310</x:v>
      </x:c>
      <x:c r="D39" s="55" t="n">
        <x:v>0</x:v>
      </x:c>
      <x:c r="E39" s="55" t="n">
        <x:v>0.03</x:v>
      </x:c>
      <x:c r="F39" s="60" t="n">
        <x:v>0</x:v>
      </x:c>
      <x:c r="G39" s="60" t="n">
        <x:v>0.03</x:v>
      </x:c>
      <x:c r="H39" s="23" t="n">
        <x:f>IF(D39=F39,0,1)+IF(E39=G39,0,1)</x:f>
        <x:v>0</x:v>
      </x:c>
      <x:c r="I39" s="23" t="str">
        <x:v>Timing T20 / fictional rates</x:v>
      </x:c>
    </x:row>
    <x:row r="40" ht="21" customHeight="1">
      <x:c r="A40" s="23" t="str">
        <x:v>front_flat</x:v>
      </x:c>
      <x:c r="B40" s="23" t="n">
        <x:v>33</x:v>
      </x:c>
      <x:c r="C40" s="37" t="n">
        <x:v>49400</x:v>
      </x:c>
      <x:c r="D40" s="55" t="n">
        <x:v>0</x:v>
      </x:c>
      <x:c r="E40" s="55" t="n">
        <x:v>0.03</x:v>
      </x:c>
      <x:c r="F40" s="60" t="n">
        <x:v>0</x:v>
      </x:c>
      <x:c r="G40" s="60" t="n">
        <x:v>0.03</x:v>
      </x:c>
      <x:c r="H40" s="23" t="n">
        <x:f>IF(D40=F40,0,1)+IF(E40=G40,0,1)</x:f>
        <x:v>0</x:v>
      </x:c>
      <x:c r="I40" s="23" t="str">
        <x:v>Timing T20 / fictional rates</x:v>
      </x:c>
    </x:row>
    <x:row r="41" ht="21" customHeight="1">
      <x:c r="A41" s="23" t="str">
        <x:v>front_flat</x:v>
      </x:c>
      <x:c r="B41" s="23" t="n">
        <x:v>34</x:v>
      </x:c>
      <x:c r="C41" s="37" t="n">
        <x:v>49491</x:v>
      </x:c>
      <x:c r="D41" s="55" t="n">
        <x:v>0</x:v>
      </x:c>
      <x:c r="E41" s="55" t="n">
        <x:v>0.03</x:v>
      </x:c>
      <x:c r="F41" s="60" t="n">
        <x:v>0</x:v>
      </x:c>
      <x:c r="G41" s="60" t="n">
        <x:v>0.03</x:v>
      </x:c>
      <x:c r="H41" s="23" t="n">
        <x:f>IF(D41=F41,0,1)+IF(E41=G41,0,1)</x:f>
        <x:v>0</x:v>
      </x:c>
      <x:c r="I41" s="23" t="str">
        <x:v>Timing T20 / fictional rates</x:v>
      </x:c>
    </x:row>
    <x:row r="42" ht="21" customHeight="1">
      <x:c r="A42" s="23" t="str">
        <x:v>front_flat</x:v>
      </x:c>
      <x:c r="B42" s="23" t="n">
        <x:v>35</x:v>
      </x:c>
      <x:c r="C42" s="37" t="n">
        <x:v>49583</x:v>
      </x:c>
      <x:c r="D42" s="55" t="n">
        <x:v>0</x:v>
      </x:c>
      <x:c r="E42" s="55" t="n">
        <x:v>0.03</x:v>
      </x:c>
      <x:c r="F42" s="60" t="n">
        <x:v>0</x:v>
      </x:c>
      <x:c r="G42" s="60" t="n">
        <x:v>0.03</x:v>
      </x:c>
      <x:c r="H42" s="23" t="n">
        <x:f>IF(D42=F42,0,1)+IF(E42=G42,0,1)</x:f>
        <x:v>0</x:v>
      </x:c>
      <x:c r="I42" s="23" t="str">
        <x:v>Timing T20 / fictional rates</x:v>
      </x:c>
    </x:row>
    <x:row r="43" ht="21" customHeight="1">
      <x:c r="A43" s="23" t="str">
        <x:v>front_flat</x:v>
      </x:c>
      <x:c r="B43" s="23" t="n">
        <x:v>36</x:v>
      </x:c>
      <x:c r="C43" s="37" t="n">
        <x:v>49675</x:v>
      </x:c>
      <x:c r="D43" s="55" t="n">
        <x:v>0</x:v>
      </x:c>
      <x:c r="E43" s="55" t="n">
        <x:v>0.03</x:v>
      </x:c>
      <x:c r="F43" s="60" t="n">
        <x:v>0</x:v>
      </x:c>
      <x:c r="G43" s="60" t="n">
        <x:v>0.03</x:v>
      </x:c>
      <x:c r="H43" s="23" t="n">
        <x:f>IF(D43=F43,0,1)+IF(E43=G43,0,1)</x:f>
        <x:v>0</x:v>
      </x:c>
      <x:c r="I43" s="23" t="str">
        <x:v>Timing T20 / fictional rates</x:v>
      </x:c>
    </x:row>
    <x:row r="44" ht="21" customHeight="1">
      <x:c r="A44" s="23" t="str">
        <x:v>front_flat</x:v>
      </x:c>
      <x:c r="B44" s="23" t="n">
        <x:v>37</x:v>
      </x:c>
      <x:c r="C44" s="37" t="n">
        <x:v>49766</x:v>
      </x:c>
      <x:c r="D44" s="55" t="n">
        <x:v>0</x:v>
      </x:c>
      <x:c r="E44" s="55" t="n">
        <x:v>0.03</x:v>
      </x:c>
      <x:c r="F44" s="60" t="n">
        <x:v>0</x:v>
      </x:c>
      <x:c r="G44" s="60" t="n">
        <x:v>0.03</x:v>
      </x:c>
      <x:c r="H44" s="23" t="n">
        <x:f>IF(D44=F44,0,1)+IF(E44=G44,0,1)</x:f>
        <x:v>0</x:v>
      </x:c>
      <x:c r="I44" s="23" t="str">
        <x:v>Timing T20 / fictional rates</x:v>
      </x:c>
    </x:row>
    <x:row r="45" ht="21" customHeight="1">
      <x:c r="A45" s="23" t="str">
        <x:v>front_flat</x:v>
      </x:c>
      <x:c r="B45" s="23" t="n">
        <x:v>38</x:v>
      </x:c>
      <x:c r="C45" s="37" t="n">
        <x:v>49857</x:v>
      </x:c>
      <x:c r="D45" s="55" t="n">
        <x:v>0</x:v>
      </x:c>
      <x:c r="E45" s="55" t="n">
        <x:v>0.03</x:v>
      </x:c>
      <x:c r="F45" s="60" t="n">
        <x:v>0</x:v>
      </x:c>
      <x:c r="G45" s="60" t="n">
        <x:v>0.03</x:v>
      </x:c>
      <x:c r="H45" s="23" t="n">
        <x:f>IF(D45=F45,0,1)+IF(E45=G45,0,1)</x:f>
        <x:v>0</x:v>
      </x:c>
      <x:c r="I45" s="23" t="str">
        <x:v>Timing T20 / fictional rates</x:v>
      </x:c>
    </x:row>
    <x:row r="46" ht="21" customHeight="1">
      <x:c r="A46" s="23" t="str">
        <x:v>front_flat</x:v>
      </x:c>
      <x:c r="B46" s="23" t="n">
        <x:v>39</x:v>
      </x:c>
      <x:c r="C46" s="37" t="n">
        <x:v>49949</x:v>
      </x:c>
      <x:c r="D46" s="55" t="n">
        <x:v>0</x:v>
      </x:c>
      <x:c r="E46" s="55" t="n">
        <x:v>0.03</x:v>
      </x:c>
      <x:c r="F46" s="60" t="n">
        <x:v>0</x:v>
      </x:c>
      <x:c r="G46" s="60" t="n">
        <x:v>0.03</x:v>
      </x:c>
      <x:c r="H46" s="23" t="n">
        <x:f>IF(D46=F46,0,1)+IF(E46=G46,0,1)</x:f>
        <x:v>0</x:v>
      </x:c>
      <x:c r="I46" s="23" t="str">
        <x:v>Timing T20 / fictional rates</x:v>
      </x:c>
    </x:row>
    <x:row r="47" ht="21" customHeight="1">
      <x:c r="A47" s="23" t="str">
        <x:v>front_flat</x:v>
      </x:c>
      <x:c r="B47" s="23" t="n">
        <x:v>40</x:v>
      </x:c>
      <x:c r="C47" s="37" t="n">
        <x:v>50041</x:v>
      </x:c>
      <x:c r="D47" s="55" t="n">
        <x:v>0</x:v>
      </x:c>
      <x:c r="E47" s="55" t="n">
        <x:v>0.03</x:v>
      </x:c>
      <x:c r="F47" s="60" t="n">
        <x:v>0</x:v>
      </x:c>
      <x:c r="G47" s="60" t="n">
        <x:v>0.03</x:v>
      </x:c>
      <x:c r="H47" s="23" t="n">
        <x:f>IF(D47=F47,0,1)+IF(E47=G47,0,1)</x:f>
        <x:v>0</x:v>
      </x:c>
      <x:c r="I47" s="23" t="str">
        <x:v>Timing T20 / fictional rates</x:v>
      </x:c>
    </x:row>
    <x:row r="48" ht="21" customHeight="1">
      <x:c r="A48" s="23" t="str">
        <x:v>front_flat</x:v>
      </x:c>
      <x:c r="B48" s="23" t="n">
        <x:v>41</x:v>
      </x:c>
      <x:c r="C48" s="37" t="n">
        <x:v>50131</x:v>
      </x:c>
      <x:c r="D48" s="55" t="n">
        <x:v>0</x:v>
      </x:c>
      <x:c r="E48" s="55" t="n">
        <x:v>0.03</x:v>
      </x:c>
      <x:c r="F48" s="60" t="n">
        <x:v>0</x:v>
      </x:c>
      <x:c r="G48" s="60" t="n">
        <x:v>0.03</x:v>
      </x:c>
      <x:c r="H48" s="23" t="n">
        <x:f>IF(D48=F48,0,1)+IF(E48=G48,0,1)</x:f>
        <x:v>0</x:v>
      </x:c>
      <x:c r="I48" s="23" t="str">
        <x:v>Timing T20 / fictional rates</x:v>
      </x:c>
    </x:row>
    <x:row r="49" ht="21" customHeight="1">
      <x:c r="A49" s="23" t="str">
        <x:v>front_flat</x:v>
      </x:c>
      <x:c r="B49" s="23" t="n">
        <x:v>42</x:v>
      </x:c>
      <x:c r="C49" s="37" t="n">
        <x:v>50222</x:v>
      </x:c>
      <x:c r="D49" s="55" t="n">
        <x:v>0</x:v>
      </x:c>
      <x:c r="E49" s="55" t="n">
        <x:v>0.03</x:v>
      </x:c>
      <x:c r="F49" s="60" t="n">
        <x:v>0</x:v>
      </x:c>
      <x:c r="G49" s="60" t="n">
        <x:v>0.03</x:v>
      </x:c>
      <x:c r="H49" s="23" t="n">
        <x:f>IF(D49=F49,0,1)+IF(E49=G49,0,1)</x:f>
        <x:v>0</x:v>
      </x:c>
      <x:c r="I49" s="23" t="str">
        <x:v>Timing T20 / fictional rates</x:v>
      </x:c>
    </x:row>
    <x:row r="50" ht="21" customHeight="1">
      <x:c r="A50" s="23" t="str">
        <x:v>front_flat</x:v>
      </x:c>
      <x:c r="B50" s="23" t="n">
        <x:v>43</x:v>
      </x:c>
      <x:c r="C50" s="37" t="n">
        <x:v>50314</x:v>
      </x:c>
      <x:c r="D50" s="55" t="n">
        <x:v>0</x:v>
      </x:c>
      <x:c r="E50" s="55" t="n">
        <x:v>0.03</x:v>
      </x:c>
      <x:c r="F50" s="60" t="n">
        <x:v>0</x:v>
      </x:c>
      <x:c r="G50" s="60" t="n">
        <x:v>0.03</x:v>
      </x:c>
      <x:c r="H50" s="23" t="n">
        <x:f>IF(D50=F50,0,1)+IF(E50=G50,0,1)</x:f>
        <x:v>0</x:v>
      </x:c>
      <x:c r="I50" s="23" t="str">
        <x:v>Timing T20 / fictional rates</x:v>
      </x:c>
    </x:row>
    <x:row r="51" ht="21" customHeight="1">
      <x:c r="A51" s="23" t="str">
        <x:v>front_flat</x:v>
      </x:c>
      <x:c r="B51" s="23" t="n">
        <x:v>44</x:v>
      </x:c>
      <x:c r="C51" s="37" t="n">
        <x:v>50406</x:v>
      </x:c>
      <x:c r="D51" s="55" t="n">
        <x:v>0</x:v>
      </x:c>
      <x:c r="E51" s="55" t="n">
        <x:v>0.03</x:v>
      </x:c>
      <x:c r="F51" s="60" t="n">
        <x:v>0</x:v>
      </x:c>
      <x:c r="G51" s="60" t="n">
        <x:v>0.03</x:v>
      </x:c>
      <x:c r="H51" s="23" t="n">
        <x:f>IF(D51=F51,0,1)+IF(E51=G51,0,1)</x:f>
        <x:v>0</x:v>
      </x:c>
      <x:c r="I51" s="23" t="str">
        <x:v>Timing T20 / fictional rates</x:v>
      </x:c>
    </x:row>
    <x:row r="52" ht="21" customHeight="1">
      <x:c r="A52" s="23" t="str">
        <x:v>front_flat</x:v>
      </x:c>
      <x:c r="B52" s="23" t="n">
        <x:v>45</x:v>
      </x:c>
      <x:c r="C52" s="37" t="n">
        <x:v>50496</x:v>
      </x:c>
      <x:c r="D52" s="55" t="n">
        <x:v>0</x:v>
      </x:c>
      <x:c r="E52" s="55" t="n">
        <x:v>0.03</x:v>
      </x:c>
      <x:c r="F52" s="60" t="n">
        <x:v>0</x:v>
      </x:c>
      <x:c r="G52" s="60" t="n">
        <x:v>0.03</x:v>
      </x:c>
      <x:c r="H52" s="23" t="n">
        <x:f>IF(D52=F52,0,1)+IF(E52=G52,0,1)</x:f>
        <x:v>0</x:v>
      </x:c>
      <x:c r="I52" s="23" t="str">
        <x:v>Timing T20 / fictional rates</x:v>
      </x:c>
    </x:row>
    <x:row r="53" ht="21" customHeight="1">
      <x:c r="A53" s="23" t="str">
        <x:v>front_flat</x:v>
      </x:c>
      <x:c r="B53" s="23" t="n">
        <x:v>46</x:v>
      </x:c>
      <x:c r="C53" s="37" t="n">
        <x:v>50587</x:v>
      </x:c>
      <x:c r="D53" s="55" t="n">
        <x:v>0</x:v>
      </x:c>
      <x:c r="E53" s="55" t="n">
        <x:v>0.03</x:v>
      </x:c>
      <x:c r="F53" s="60" t="n">
        <x:v>0</x:v>
      </x:c>
      <x:c r="G53" s="60" t="n">
        <x:v>0.03</x:v>
      </x:c>
      <x:c r="H53" s="23" t="n">
        <x:f>IF(D53=F53,0,1)+IF(E53=G53,0,1)</x:f>
        <x:v>0</x:v>
      </x:c>
      <x:c r="I53" s="23" t="str">
        <x:v>Timing T20 / fictional rates</x:v>
      </x:c>
    </x:row>
    <x:row r="54" ht="21" customHeight="1">
      <x:c r="A54" s="23" t="str">
        <x:v>front_flat</x:v>
      </x:c>
      <x:c r="B54" s="23" t="n">
        <x:v>47</x:v>
      </x:c>
      <x:c r="C54" s="37" t="n">
        <x:v>50679</x:v>
      </x:c>
      <x:c r="D54" s="55" t="n">
        <x:v>0</x:v>
      </x:c>
      <x:c r="E54" s="55" t="n">
        <x:v>0.03</x:v>
      </x:c>
      <x:c r="F54" s="60" t="n">
        <x:v>0</x:v>
      </x:c>
      <x:c r="G54" s="60" t="n">
        <x:v>0.03</x:v>
      </x:c>
      <x:c r="H54" s="23" t="n">
        <x:f>IF(D54=F54,0,1)+IF(E54=G54,0,1)</x:f>
        <x:v>0</x:v>
      </x:c>
      <x:c r="I54" s="23" t="str">
        <x:v>Timing T20 / fictional rates</x:v>
      </x:c>
    </x:row>
    <x:row r="55" ht="21" customHeight="1">
      <x:c r="A55" s="23" t="str">
        <x:v>front_flat</x:v>
      </x:c>
      <x:c r="B55" s="23" t="n">
        <x:v>48</x:v>
      </x:c>
      <x:c r="C55" s="37" t="n">
        <x:v>50771</x:v>
      </x:c>
      <x:c r="D55" s="55" t="n">
        <x:v>0</x:v>
      </x:c>
      <x:c r="E55" s="55" t="n">
        <x:v>0.03</x:v>
      </x:c>
      <x:c r="F55" s="60" t="n">
        <x:v>0</x:v>
      </x:c>
      <x:c r="G55" s="60" t="n">
        <x:v>0.03</x:v>
      </x:c>
      <x:c r="H55" s="23" t="n">
        <x:f>IF(D55=F55,0,1)+IF(E55=G55,0,1)</x:f>
        <x:v>0</x:v>
      </x:c>
      <x:c r="I55" s="23" t="str">
        <x:v>Timing T20 / fictional rates</x:v>
      </x:c>
    </x:row>
    <x:row r="56" ht="21" customHeight="1">
      <x:c r="A56" s="23" t="str">
        <x:v>front_low</x:v>
      </x:c>
      <x:c r="B56" s="23" t="n">
        <x:v>1</x:v>
      </x:c>
      <x:c r="C56" s="37" t="n">
        <x:v>46478</x:v>
      </x:c>
      <x:c r="D56" s="55" t="n">
        <x:v>0.0975</x:v>
      </x:c>
      <x:c r="E56" s="55" t="n">
        <x:v>0.005</x:v>
      </x:c>
      <x:c r="F56" s="60" t="n">
        <x:v>0.0975</x:v>
      </x:c>
      <x:c r="G56" s="60" t="n">
        <x:v>0.005</x:v>
      </x:c>
      <x:c r="H56" s="23" t="n">
        <x:f>IF(D56=F56,0,1)+IF(E56=G56,0,1)</x:f>
        <x:v>0</x:v>
      </x:c>
      <x:c r="I56" s="23" t="str">
        <x:v>Timing T20 / fictional rates</x:v>
      </x:c>
    </x:row>
    <x:row r="57" ht="21" customHeight="1">
      <x:c r="A57" s="23" t="str">
        <x:v>front_low</x:v>
      </x:c>
      <x:c r="B57" s="23" t="n">
        <x:v>2</x:v>
      </x:c>
      <x:c r="C57" s="37" t="n">
        <x:v>46569</x:v>
      </x:c>
      <x:c r="D57" s="55" t="n">
        <x:v>0.0975</x:v>
      </x:c>
      <x:c r="E57" s="55" t="n">
        <x:v>0.005</x:v>
      </x:c>
      <x:c r="F57" s="60" t="n">
        <x:v>0.0975</x:v>
      </x:c>
      <x:c r="G57" s="60" t="n">
        <x:v>0.005</x:v>
      </x:c>
      <x:c r="H57" s="23" t="n">
        <x:f>IF(D57=F57,0,1)+IF(E57=G57,0,1)</x:f>
        <x:v>0</x:v>
      </x:c>
      <x:c r="I57" s="23" t="str">
        <x:v>Timing T20 / fictional rates</x:v>
      </x:c>
    </x:row>
    <x:row r="58" ht="21" customHeight="1">
      <x:c r="A58" s="23" t="str">
        <x:v>front_low</x:v>
      </x:c>
      <x:c r="B58" s="23" t="n">
        <x:v>3</x:v>
      </x:c>
      <x:c r="C58" s="37" t="n">
        <x:v>46661</x:v>
      </x:c>
      <x:c r="D58" s="55" t="n">
        <x:v>0.0975</x:v>
      </x:c>
      <x:c r="E58" s="55" t="n">
        <x:v>0.005</x:v>
      </x:c>
      <x:c r="F58" s="60" t="n">
        <x:v>0.0975</x:v>
      </x:c>
      <x:c r="G58" s="60" t="n">
        <x:v>0.005</x:v>
      </x:c>
      <x:c r="H58" s="23" t="n">
        <x:f>IF(D58=F58,0,1)+IF(E58=G58,0,1)</x:f>
        <x:v>0</x:v>
      </x:c>
      <x:c r="I58" s="23" t="str">
        <x:v>Timing T20 / fictional rates</x:v>
      </x:c>
    </x:row>
    <x:row r="59" ht="21" customHeight="1">
      <x:c r="A59" s="23" t="str">
        <x:v>front_low</x:v>
      </x:c>
      <x:c r="B59" s="23" t="n">
        <x:v>4</x:v>
      </x:c>
      <x:c r="C59" s="37" t="n">
        <x:v>46753</x:v>
      </x:c>
      <x:c r="D59" s="55" t="n">
        <x:v>0.0975</x:v>
      </x:c>
      <x:c r="E59" s="55" t="n">
        <x:v>0.005</x:v>
      </x:c>
      <x:c r="F59" s="60" t="n">
        <x:v>0.0975</x:v>
      </x:c>
      <x:c r="G59" s="60" t="n">
        <x:v>0.005</x:v>
      </x:c>
      <x:c r="H59" s="23" t="n">
        <x:f>IF(D59=F59,0,1)+IF(E59=G59,0,1)</x:f>
        <x:v>0</x:v>
      </x:c>
      <x:c r="I59" s="23" t="str">
        <x:v>Timing T20 / fictional rates</x:v>
      </x:c>
    </x:row>
    <x:row r="60" ht="21" customHeight="1">
      <x:c r="A60" s="23" t="str">
        <x:v>front_low</x:v>
      </x:c>
      <x:c r="B60" s="23" t="n">
        <x:v>5</x:v>
      </x:c>
      <x:c r="C60" s="37" t="n">
        <x:v>46844</x:v>
      </x:c>
      <x:c r="D60" s="55" t="n">
        <x:v>0.055</x:v>
      </x:c>
      <x:c r="E60" s="55" t="n">
        <x:v>0.005</x:v>
      </x:c>
      <x:c r="F60" s="60" t="n">
        <x:v>0.055</x:v>
      </x:c>
      <x:c r="G60" s="60" t="n">
        <x:v>0.005</x:v>
      </x:c>
      <x:c r="H60" s="23" t="n">
        <x:f>IF(D60=F60,0,1)+IF(E60=G60,0,1)</x:f>
        <x:v>0</x:v>
      </x:c>
      <x:c r="I60" s="23" t="str">
        <x:v>Timing T20 / fictional rates</x:v>
      </x:c>
    </x:row>
    <x:row r="61" ht="21" customHeight="1">
      <x:c r="A61" s="23" t="str">
        <x:v>front_low</x:v>
      </x:c>
      <x:c r="B61" s="23" t="n">
        <x:v>6</x:v>
      </x:c>
      <x:c r="C61" s="37" t="n">
        <x:v>46935</x:v>
      </x:c>
      <x:c r="D61" s="55" t="n">
        <x:v>0.055</x:v>
      </x:c>
      <x:c r="E61" s="55" t="n">
        <x:v>0.005</x:v>
      </x:c>
      <x:c r="F61" s="60" t="n">
        <x:v>0.055</x:v>
      </x:c>
      <x:c r="G61" s="60" t="n">
        <x:v>0.005</x:v>
      </x:c>
      <x:c r="H61" s="23" t="n">
        <x:f>IF(D61=F61,0,1)+IF(E61=G61,0,1)</x:f>
        <x:v>0</x:v>
      </x:c>
      <x:c r="I61" s="23" t="str">
        <x:v>Timing T20 / fictional rates</x:v>
      </x:c>
    </x:row>
    <x:row r="62" ht="21" customHeight="1">
      <x:c r="A62" s="23" t="str">
        <x:v>front_low</x:v>
      </x:c>
      <x:c r="B62" s="23" t="n">
        <x:v>7</x:v>
      </x:c>
      <x:c r="C62" s="37" t="n">
        <x:v>47027</x:v>
      </x:c>
      <x:c r="D62" s="55" t="n">
        <x:v>0.055</x:v>
      </x:c>
      <x:c r="E62" s="55" t="n">
        <x:v>0.005</x:v>
      </x:c>
      <x:c r="F62" s="60" t="n">
        <x:v>0.055</x:v>
      </x:c>
      <x:c r="G62" s="60" t="n">
        <x:v>0.005</x:v>
      </x:c>
      <x:c r="H62" s="23" t="n">
        <x:f>IF(D62=F62,0,1)+IF(E62=G62,0,1)</x:f>
        <x:v>0</x:v>
      </x:c>
      <x:c r="I62" s="23" t="str">
        <x:v>Timing T20 / fictional rates</x:v>
      </x:c>
    </x:row>
    <x:row r="63" ht="21" customHeight="1">
      <x:c r="A63" s="23" t="str">
        <x:v>front_low</x:v>
      </x:c>
      <x:c r="B63" s="23" t="n">
        <x:v>8</x:v>
      </x:c>
      <x:c r="C63" s="37" t="n">
        <x:v>47119</x:v>
      </x:c>
      <x:c r="D63" s="55" t="n">
        <x:v>0.055</x:v>
      </x:c>
      <x:c r="E63" s="55" t="n">
        <x:v>0.005</x:v>
      </x:c>
      <x:c r="F63" s="60" t="n">
        <x:v>0.055</x:v>
      </x:c>
      <x:c r="G63" s="60" t="n">
        <x:v>0.005</x:v>
      </x:c>
      <x:c r="H63" s="23" t="n">
        <x:f>IF(D63=F63,0,1)+IF(E63=G63,0,1)</x:f>
        <x:v>0</x:v>
      </x:c>
      <x:c r="I63" s="23" t="str">
        <x:v>Timing T20 / fictional rates</x:v>
      </x:c>
    </x:row>
    <x:row r="64" ht="21" customHeight="1">
      <x:c r="A64" s="23" t="str">
        <x:v>front_low</x:v>
      </x:c>
      <x:c r="B64" s="23" t="n">
        <x:v>9</x:v>
      </x:c>
      <x:c r="C64" s="37" t="n">
        <x:v>47209</x:v>
      </x:c>
      <x:c r="D64" s="55" t="n">
        <x:v>0.04</x:v>
      </x:c>
      <x:c r="E64" s="55" t="n">
        <x:v>0.005</x:v>
      </x:c>
      <x:c r="F64" s="60" t="n">
        <x:v>0.04</x:v>
      </x:c>
      <x:c r="G64" s="60" t="n">
        <x:v>0.005</x:v>
      </x:c>
      <x:c r="H64" s="23" t="n">
        <x:f>IF(D64=F64,0,1)+IF(E64=G64,0,1)</x:f>
        <x:v>0</x:v>
      </x:c>
      <x:c r="I64" s="23" t="str">
        <x:v>Timing T20 / fictional rates</x:v>
      </x:c>
    </x:row>
    <x:row r="65" ht="21" customHeight="1">
      <x:c r="A65" s="23" t="str">
        <x:v>front_low</x:v>
      </x:c>
      <x:c r="B65" s="23" t="n">
        <x:v>10</x:v>
      </x:c>
      <x:c r="C65" s="37" t="n">
        <x:v>47300</x:v>
      </x:c>
      <x:c r="D65" s="55" t="n">
        <x:v>0.04</x:v>
      </x:c>
      <x:c r="E65" s="55" t="n">
        <x:v>0.005</x:v>
      </x:c>
      <x:c r="F65" s="60" t="n">
        <x:v>0.04</x:v>
      </x:c>
      <x:c r="G65" s="60" t="n">
        <x:v>0.005</x:v>
      </x:c>
      <x:c r="H65" s="23" t="n">
        <x:f>IF(D65=F65,0,1)+IF(E65=G65,0,1)</x:f>
        <x:v>0</x:v>
      </x:c>
      <x:c r="I65" s="23" t="str">
        <x:v>Timing T20 / fictional rates</x:v>
      </x:c>
    </x:row>
    <x:row r="66" ht="21" customHeight="1">
      <x:c r="A66" s="23" t="str">
        <x:v>front_low</x:v>
      </x:c>
      <x:c r="B66" s="23" t="n">
        <x:v>11</x:v>
      </x:c>
      <x:c r="C66" s="37" t="n">
        <x:v>47392</x:v>
      </x:c>
      <x:c r="D66" s="55" t="n">
        <x:v>0.04</x:v>
      </x:c>
      <x:c r="E66" s="55" t="n">
        <x:v>0.005</x:v>
      </x:c>
      <x:c r="F66" s="60" t="n">
        <x:v>0.04</x:v>
      </x:c>
      <x:c r="G66" s="60" t="n">
        <x:v>0.005</x:v>
      </x:c>
      <x:c r="H66" s="23" t="n">
        <x:f>IF(D66=F66,0,1)+IF(E66=G66,0,1)</x:f>
        <x:v>0</x:v>
      </x:c>
      <x:c r="I66" s="23" t="str">
        <x:v>Timing T20 / fictional rates</x:v>
      </x:c>
    </x:row>
    <x:row r="67" ht="21" customHeight="1">
      <x:c r="A67" s="23" t="str">
        <x:v>front_low</x:v>
      </x:c>
      <x:c r="B67" s="23" t="n">
        <x:v>12</x:v>
      </x:c>
      <x:c r="C67" s="37" t="n">
        <x:v>47484</x:v>
      </x:c>
      <x:c r="D67" s="55" t="n">
        <x:v>0.04</x:v>
      </x:c>
      <x:c r="E67" s="55" t="n">
        <x:v>0.005</x:v>
      </x:c>
      <x:c r="F67" s="60" t="n">
        <x:v>0.04</x:v>
      </x:c>
      <x:c r="G67" s="60" t="n">
        <x:v>0.005</x:v>
      </x:c>
      <x:c r="H67" s="23" t="n">
        <x:f>IF(D67=F67,0,1)+IF(E67=G67,0,1)</x:f>
        <x:v>0</x:v>
      </x:c>
      <x:c r="I67" s="23" t="str">
        <x:v>Timing T20 / fictional rates</x:v>
      </x:c>
    </x:row>
    <x:row r="68" ht="21" customHeight="1">
      <x:c r="A68" s="23" t="str">
        <x:v>front_low</x:v>
      </x:c>
      <x:c r="B68" s="23" t="n">
        <x:v>13</x:v>
      </x:c>
      <x:c r="C68" s="37" t="n">
        <x:v>47574</x:v>
      </x:c>
      <x:c r="D68" s="55" t="n">
        <x:v>0.0325</x:v>
      </x:c>
      <x:c r="E68" s="55" t="n">
        <x:v>0.005</x:v>
      </x:c>
      <x:c r="F68" s="60" t="n">
        <x:v>0.0325</x:v>
      </x:c>
      <x:c r="G68" s="60" t="n">
        <x:v>0.005</x:v>
      </x:c>
      <x:c r="H68" s="23" t="n">
        <x:f>IF(D68=F68,0,1)+IF(E68=G68,0,1)</x:f>
        <x:v>0</x:v>
      </x:c>
      <x:c r="I68" s="23" t="str">
        <x:v>Timing T20 / fictional rates</x:v>
      </x:c>
    </x:row>
    <x:row r="69" ht="21" customHeight="1">
      <x:c r="A69" s="23" t="str">
        <x:v>front_low</x:v>
      </x:c>
      <x:c r="B69" s="23" t="n">
        <x:v>14</x:v>
      </x:c>
      <x:c r="C69" s="37" t="n">
        <x:v>47665</x:v>
      </x:c>
      <x:c r="D69" s="55" t="n">
        <x:v>0.0325</x:v>
      </x:c>
      <x:c r="E69" s="55" t="n">
        <x:v>0.005</x:v>
      </x:c>
      <x:c r="F69" s="60" t="n">
        <x:v>0.0325</x:v>
      </x:c>
      <x:c r="G69" s="60" t="n">
        <x:v>0.005</x:v>
      </x:c>
      <x:c r="H69" s="23" t="n">
        <x:f>IF(D69=F69,0,1)+IF(E69=G69,0,1)</x:f>
        <x:v>0</x:v>
      </x:c>
      <x:c r="I69" s="23" t="str">
        <x:v>Timing T20 / fictional rates</x:v>
      </x:c>
    </x:row>
    <x:row r="70" ht="21" customHeight="1">
      <x:c r="A70" s="23" t="str">
        <x:v>front_low</x:v>
      </x:c>
      <x:c r="B70" s="23" t="n">
        <x:v>15</x:v>
      </x:c>
      <x:c r="C70" s="37" t="n">
        <x:v>47757</x:v>
      </x:c>
      <x:c r="D70" s="55" t="n">
        <x:v>0.0325</x:v>
      </x:c>
      <x:c r="E70" s="55" t="n">
        <x:v>0.005</x:v>
      </x:c>
      <x:c r="F70" s="60" t="n">
        <x:v>0.0325</x:v>
      </x:c>
      <x:c r="G70" s="60" t="n">
        <x:v>0.005</x:v>
      </x:c>
      <x:c r="H70" s="23" t="n">
        <x:f>IF(D70=F70,0,1)+IF(E70=G70,0,1)</x:f>
        <x:v>0</x:v>
      </x:c>
      <x:c r="I70" s="23" t="str">
        <x:v>Timing T20 / fictional rates</x:v>
      </x:c>
    </x:row>
    <x:row r="71" ht="21" customHeight="1">
      <x:c r="A71" s="23" t="str">
        <x:v>front_low</x:v>
      </x:c>
      <x:c r="B71" s="23" t="n">
        <x:v>16</x:v>
      </x:c>
      <x:c r="C71" s="37" t="n">
        <x:v>47849</x:v>
      </x:c>
      <x:c r="D71" s="55" t="n">
        <x:v>0.0325</x:v>
      </x:c>
      <x:c r="E71" s="55" t="n">
        <x:v>0.005</x:v>
      </x:c>
      <x:c r="F71" s="60" t="n">
        <x:v>0.0325</x:v>
      </x:c>
      <x:c r="G71" s="60" t="n">
        <x:v>0.005</x:v>
      </x:c>
      <x:c r="H71" s="23" t="n">
        <x:f>IF(D71=F71,0,1)+IF(E71=G71,0,1)</x:f>
        <x:v>0</x:v>
      </x:c>
      <x:c r="I71" s="23" t="str">
        <x:v>Timing T20 / fictional rates</x:v>
      </x:c>
    </x:row>
    <x:row r="72" ht="21" customHeight="1">
      <x:c r="A72" s="23" t="str">
        <x:v>front_low</x:v>
      </x:c>
      <x:c r="B72" s="23" t="n">
        <x:v>17</x:v>
      </x:c>
      <x:c r="C72" s="37" t="n">
        <x:v>47939</x:v>
      </x:c>
      <x:c r="D72" s="55" t="n">
        <x:v>0.025</x:v>
      </x:c>
      <x:c r="E72" s="55" t="n">
        <x:v>0.005</x:v>
      </x:c>
      <x:c r="F72" s="60" t="n">
        <x:v>0.025</x:v>
      </x:c>
      <x:c r="G72" s="60" t="n">
        <x:v>0.005</x:v>
      </x:c>
      <x:c r="H72" s="23" t="n">
        <x:f>IF(D72=F72,0,1)+IF(E72=G72,0,1)</x:f>
        <x:v>0</x:v>
      </x:c>
      <x:c r="I72" s="23" t="str">
        <x:v>Timing T20 / fictional rates</x:v>
      </x:c>
    </x:row>
    <x:row r="73" ht="21" customHeight="1">
      <x:c r="A73" s="23" t="str">
        <x:v>front_low</x:v>
      </x:c>
      <x:c r="B73" s="23" t="n">
        <x:v>18</x:v>
      </x:c>
      <x:c r="C73" s="37" t="n">
        <x:v>48030</x:v>
      </x:c>
      <x:c r="D73" s="55" t="n">
        <x:v>0.025</x:v>
      </x:c>
      <x:c r="E73" s="55" t="n">
        <x:v>0.005</x:v>
      </x:c>
      <x:c r="F73" s="60" t="n">
        <x:v>0.025</x:v>
      </x:c>
      <x:c r="G73" s="60" t="n">
        <x:v>0.005</x:v>
      </x:c>
      <x:c r="H73" s="23" t="n">
        <x:f>IF(D73=F73,0,1)+IF(E73=G73,0,1)</x:f>
        <x:v>0</x:v>
      </x:c>
      <x:c r="I73" s="23" t="str">
        <x:v>Timing T20 / fictional rates</x:v>
      </x:c>
    </x:row>
    <x:row r="74" ht="21" customHeight="1">
      <x:c r="A74" s="23" t="str">
        <x:v>front_low</x:v>
      </x:c>
      <x:c r="B74" s="23" t="n">
        <x:v>19</x:v>
      </x:c>
      <x:c r="C74" s="37" t="n">
        <x:v>48122</x:v>
      </x:c>
      <x:c r="D74" s="55" t="n">
        <x:v>0.025</x:v>
      </x:c>
      <x:c r="E74" s="55" t="n">
        <x:v>0.005</x:v>
      </x:c>
      <x:c r="F74" s="60" t="n">
        <x:v>0.025</x:v>
      </x:c>
      <x:c r="G74" s="60" t="n">
        <x:v>0.005</x:v>
      </x:c>
      <x:c r="H74" s="23" t="n">
        <x:f>IF(D74=F74,0,1)+IF(E74=G74,0,1)</x:f>
        <x:v>0</x:v>
      </x:c>
      <x:c r="I74" s="23" t="str">
        <x:v>Timing T20 / fictional rates</x:v>
      </x:c>
    </x:row>
    <x:row r="75" ht="21" customHeight="1">
      <x:c r="A75" s="23" t="str">
        <x:v>front_low</x:v>
      </x:c>
      <x:c r="B75" s="23" t="n">
        <x:v>20</x:v>
      </x:c>
      <x:c r="C75" s="37" t="n">
        <x:v>48214</x:v>
      </x:c>
      <x:c r="D75" s="55" t="n">
        <x:v>0.025</x:v>
      </x:c>
      <x:c r="E75" s="55" t="n">
        <x:v>0.005</x:v>
      </x:c>
      <x:c r="F75" s="60" t="n">
        <x:v>0.025</x:v>
      </x:c>
      <x:c r="G75" s="60" t="n">
        <x:v>0.005</x:v>
      </x:c>
      <x:c r="H75" s="23" t="n">
        <x:f>IF(D75=F75,0,1)+IF(E75=G75,0,1)</x:f>
        <x:v>0</x:v>
      </x:c>
      <x:c r="I75" s="23" t="str">
        <x:v>Timing T20 / fictional rates</x:v>
      </x:c>
    </x:row>
    <x:row r="76" ht="21" customHeight="1">
      <x:c r="A76" s="23" t="str">
        <x:v>front_low</x:v>
      </x:c>
      <x:c r="B76" s="23" t="n">
        <x:v>21</x:v>
      </x:c>
      <x:c r="C76" s="37" t="n">
        <x:v>48305</x:v>
      </x:c>
      <x:c r="D76" s="55" t="n">
        <x:v>0</x:v>
      </x:c>
      <x:c r="E76" s="55" t="n">
        <x:v>0.005</x:v>
      </x:c>
      <x:c r="F76" s="60" t="n">
        <x:v>0</x:v>
      </x:c>
      <x:c r="G76" s="60" t="n">
        <x:v>0.005</x:v>
      </x:c>
      <x:c r="H76" s="23" t="n">
        <x:f>IF(D76=F76,0,1)+IF(E76=G76,0,1)</x:f>
        <x:v>0</x:v>
      </x:c>
      <x:c r="I76" s="23" t="str">
        <x:v>Timing T20 / fictional rates</x:v>
      </x:c>
    </x:row>
    <x:row r="77" ht="21" customHeight="1">
      <x:c r="A77" s="23" t="str">
        <x:v>front_low</x:v>
      </x:c>
      <x:c r="B77" s="23" t="n">
        <x:v>22</x:v>
      </x:c>
      <x:c r="C77" s="37" t="n">
        <x:v>48396</x:v>
      </x:c>
      <x:c r="D77" s="55" t="n">
        <x:v>0</x:v>
      </x:c>
      <x:c r="E77" s="55" t="n">
        <x:v>0.005</x:v>
      </x:c>
      <x:c r="F77" s="60" t="n">
        <x:v>0</x:v>
      </x:c>
      <x:c r="G77" s="60" t="n">
        <x:v>0.005</x:v>
      </x:c>
      <x:c r="H77" s="23" t="n">
        <x:f>IF(D77=F77,0,1)+IF(E77=G77,0,1)</x:f>
        <x:v>0</x:v>
      </x:c>
      <x:c r="I77" s="23" t="str">
        <x:v>Timing T20 / fictional rates</x:v>
      </x:c>
    </x:row>
    <x:row r="78" ht="21" customHeight="1">
      <x:c r="A78" s="23" t="str">
        <x:v>front_low</x:v>
      </x:c>
      <x:c r="B78" s="23" t="n">
        <x:v>23</x:v>
      </x:c>
      <x:c r="C78" s="37" t="n">
        <x:v>48488</x:v>
      </x:c>
      <x:c r="D78" s="55" t="n">
        <x:v>0</x:v>
      </x:c>
      <x:c r="E78" s="55" t="n">
        <x:v>0.005</x:v>
      </x:c>
      <x:c r="F78" s="60" t="n">
        <x:v>0</x:v>
      </x:c>
      <x:c r="G78" s="60" t="n">
        <x:v>0.005</x:v>
      </x:c>
      <x:c r="H78" s="23" t="n">
        <x:f>IF(D78=F78,0,1)+IF(E78=G78,0,1)</x:f>
        <x:v>0</x:v>
      </x:c>
      <x:c r="I78" s="23" t="str">
        <x:v>Timing T20 / fictional rates</x:v>
      </x:c>
    </x:row>
    <x:row r="79" ht="21" customHeight="1">
      <x:c r="A79" s="23" t="str">
        <x:v>front_low</x:v>
      </x:c>
      <x:c r="B79" s="23" t="n">
        <x:v>24</x:v>
      </x:c>
      <x:c r="C79" s="37" t="n">
        <x:v>48580</x:v>
      </x:c>
      <x:c r="D79" s="55" t="n">
        <x:v>0</x:v>
      </x:c>
      <x:c r="E79" s="55" t="n">
        <x:v>0.005</x:v>
      </x:c>
      <x:c r="F79" s="60" t="n">
        <x:v>0</x:v>
      </x:c>
      <x:c r="G79" s="60" t="n">
        <x:v>0.005</x:v>
      </x:c>
      <x:c r="H79" s="23" t="n">
        <x:f>IF(D79=F79,0,1)+IF(E79=G79,0,1)</x:f>
        <x:v>0</x:v>
      </x:c>
      <x:c r="I79" s="23" t="str">
        <x:v>Timing T20 / fictional rates</x:v>
      </x:c>
    </x:row>
    <x:row r="80" ht="21" customHeight="1">
      <x:c r="A80" s="23" t="str">
        <x:v>front_low</x:v>
      </x:c>
      <x:c r="B80" s="23" t="n">
        <x:v>25</x:v>
      </x:c>
      <x:c r="C80" s="37" t="n">
        <x:v>48670</x:v>
      </x:c>
      <x:c r="D80" s="55" t="n">
        <x:v>0</x:v>
      </x:c>
      <x:c r="E80" s="55" t="n">
        <x:v>0.005</x:v>
      </x:c>
      <x:c r="F80" s="60" t="n">
        <x:v>0</x:v>
      </x:c>
      <x:c r="G80" s="60" t="n">
        <x:v>0.005</x:v>
      </x:c>
      <x:c r="H80" s="23" t="n">
        <x:f>IF(D80=F80,0,1)+IF(E80=G80,0,1)</x:f>
        <x:v>0</x:v>
      </x:c>
      <x:c r="I80" s="23" t="str">
        <x:v>Timing T20 / fictional rates</x:v>
      </x:c>
    </x:row>
    <x:row r="81" ht="21" customHeight="1">
      <x:c r="A81" s="23" t="str">
        <x:v>front_low</x:v>
      </x:c>
      <x:c r="B81" s="23" t="n">
        <x:v>26</x:v>
      </x:c>
      <x:c r="C81" s="37" t="n">
        <x:v>48761</x:v>
      </x:c>
      <x:c r="D81" s="55" t="n">
        <x:v>0</x:v>
      </x:c>
      <x:c r="E81" s="55" t="n">
        <x:v>0.005</x:v>
      </x:c>
      <x:c r="F81" s="60" t="n">
        <x:v>0</x:v>
      </x:c>
      <x:c r="G81" s="60" t="n">
        <x:v>0.005</x:v>
      </x:c>
      <x:c r="H81" s="23" t="n">
        <x:f>IF(D81=F81,0,1)+IF(E81=G81,0,1)</x:f>
        <x:v>0</x:v>
      </x:c>
      <x:c r="I81" s="23" t="str">
        <x:v>Timing T20 / fictional rates</x:v>
      </x:c>
    </x:row>
    <x:row r="82" ht="21" customHeight="1">
      <x:c r="A82" s="23" t="str">
        <x:v>front_low</x:v>
      </x:c>
      <x:c r="B82" s="23" t="n">
        <x:v>27</x:v>
      </x:c>
      <x:c r="C82" s="37" t="n">
        <x:v>48853</x:v>
      </x:c>
      <x:c r="D82" s="55" t="n">
        <x:v>0</x:v>
      </x:c>
      <x:c r="E82" s="55" t="n">
        <x:v>0.005</x:v>
      </x:c>
      <x:c r="F82" s="60" t="n">
        <x:v>0</x:v>
      </x:c>
      <x:c r="G82" s="60" t="n">
        <x:v>0.005</x:v>
      </x:c>
      <x:c r="H82" s="23" t="n">
        <x:f>IF(D82=F82,0,1)+IF(E82=G82,0,1)</x:f>
        <x:v>0</x:v>
      </x:c>
      <x:c r="I82" s="23" t="str">
        <x:v>Timing T20 / fictional rates</x:v>
      </x:c>
    </x:row>
    <x:row r="83" ht="21" customHeight="1">
      <x:c r="A83" s="23" t="str">
        <x:v>front_low</x:v>
      </x:c>
      <x:c r="B83" s="23" t="n">
        <x:v>28</x:v>
      </x:c>
      <x:c r="C83" s="37" t="n">
        <x:v>48945</x:v>
      </x:c>
      <x:c r="D83" s="55" t="n">
        <x:v>0</x:v>
      </x:c>
      <x:c r="E83" s="55" t="n">
        <x:v>0.005</x:v>
      </x:c>
      <x:c r="F83" s="60" t="n">
        <x:v>0</x:v>
      </x:c>
      <x:c r="G83" s="60" t="n">
        <x:v>0.005</x:v>
      </x:c>
      <x:c r="H83" s="23" t="n">
        <x:f>IF(D83=F83,0,1)+IF(E83=G83,0,1)</x:f>
        <x:v>0</x:v>
      </x:c>
      <x:c r="I83" s="23" t="str">
        <x:v>Timing T20 / fictional rates</x:v>
      </x:c>
    </x:row>
    <x:row r="84" ht="21" customHeight="1">
      <x:c r="A84" s="23" t="str">
        <x:v>front_low</x:v>
      </x:c>
      <x:c r="B84" s="23" t="n">
        <x:v>29</x:v>
      </x:c>
      <x:c r="C84" s="37" t="n">
        <x:v>49035</x:v>
      </x:c>
      <x:c r="D84" s="55" t="n">
        <x:v>0</x:v>
      </x:c>
      <x:c r="E84" s="55" t="n">
        <x:v>0.005</x:v>
      </x:c>
      <x:c r="F84" s="60" t="n">
        <x:v>0</x:v>
      </x:c>
      <x:c r="G84" s="60" t="n">
        <x:v>0.005</x:v>
      </x:c>
      <x:c r="H84" s="23" t="n">
        <x:f>IF(D84=F84,0,1)+IF(E84=G84,0,1)</x:f>
        <x:v>0</x:v>
      </x:c>
      <x:c r="I84" s="23" t="str">
        <x:v>Timing T20 / fictional rates</x:v>
      </x:c>
    </x:row>
    <x:row r="85" ht="21" customHeight="1">
      <x:c r="A85" s="23" t="str">
        <x:v>front_low</x:v>
      </x:c>
      <x:c r="B85" s="23" t="n">
        <x:v>30</x:v>
      </x:c>
      <x:c r="C85" s="37" t="n">
        <x:v>49126</x:v>
      </x:c>
      <x:c r="D85" s="55" t="n">
        <x:v>0</x:v>
      </x:c>
      <x:c r="E85" s="55" t="n">
        <x:v>0.005</x:v>
      </x:c>
      <x:c r="F85" s="60" t="n">
        <x:v>0</x:v>
      </x:c>
      <x:c r="G85" s="60" t="n">
        <x:v>0.005</x:v>
      </x:c>
      <x:c r="H85" s="23" t="n">
        <x:f>IF(D85=F85,0,1)+IF(E85=G85,0,1)</x:f>
        <x:v>0</x:v>
      </x:c>
      <x:c r="I85" s="23" t="str">
        <x:v>Timing T20 / fictional rates</x:v>
      </x:c>
    </x:row>
    <x:row r="86" ht="21" customHeight="1">
      <x:c r="A86" s="23" t="str">
        <x:v>front_low</x:v>
      </x:c>
      <x:c r="B86" s="23" t="n">
        <x:v>31</x:v>
      </x:c>
      <x:c r="C86" s="37" t="n">
        <x:v>49218</x:v>
      </x:c>
      <x:c r="D86" s="55" t="n">
        <x:v>0</x:v>
      </x:c>
      <x:c r="E86" s="55" t="n">
        <x:v>0.005</x:v>
      </x:c>
      <x:c r="F86" s="60" t="n">
        <x:v>0</x:v>
      </x:c>
      <x:c r="G86" s="60" t="n">
        <x:v>0.005</x:v>
      </x:c>
      <x:c r="H86" s="23" t="n">
        <x:f>IF(D86=F86,0,1)+IF(E86=G86,0,1)</x:f>
        <x:v>0</x:v>
      </x:c>
      <x:c r="I86" s="23" t="str">
        <x:v>Timing T20 / fictional rates</x:v>
      </x:c>
    </x:row>
    <x:row r="87" ht="21" customHeight="1">
      <x:c r="A87" s="23" t="str">
        <x:v>front_low</x:v>
      </x:c>
      <x:c r="B87" s="23" t="n">
        <x:v>32</x:v>
      </x:c>
      <x:c r="C87" s="37" t="n">
        <x:v>49310</x:v>
      </x:c>
      <x:c r="D87" s="55" t="n">
        <x:v>0</x:v>
      </x:c>
      <x:c r="E87" s="55" t="n">
        <x:v>0.005</x:v>
      </x:c>
      <x:c r="F87" s="60" t="n">
        <x:v>0</x:v>
      </x:c>
      <x:c r="G87" s="60" t="n">
        <x:v>0.005</x:v>
      </x:c>
      <x:c r="H87" s="23" t="n">
        <x:f>IF(D87=F87,0,1)+IF(E87=G87,0,1)</x:f>
        <x:v>0</x:v>
      </x:c>
      <x:c r="I87" s="23" t="str">
        <x:v>Timing T20 / fictional rates</x:v>
      </x:c>
    </x:row>
    <x:row r="88" ht="21" customHeight="1">
      <x:c r="A88" s="23" t="str">
        <x:v>front_low</x:v>
      </x:c>
      <x:c r="B88" s="23" t="n">
        <x:v>33</x:v>
      </x:c>
      <x:c r="C88" s="37" t="n">
        <x:v>49400</x:v>
      </x:c>
      <x:c r="D88" s="55" t="n">
        <x:v>0</x:v>
      </x:c>
      <x:c r="E88" s="55" t="n">
        <x:v>0.005</x:v>
      </x:c>
      <x:c r="F88" s="60" t="n">
        <x:v>0</x:v>
      </x:c>
      <x:c r="G88" s="60" t="n">
        <x:v>0.005</x:v>
      </x:c>
      <x:c r="H88" s="23" t="n">
        <x:f>IF(D88=F88,0,1)+IF(E88=G88,0,1)</x:f>
        <x:v>0</x:v>
      </x:c>
      <x:c r="I88" s="23" t="str">
        <x:v>Timing T20 / fictional rates</x:v>
      </x:c>
    </x:row>
    <x:row r="89" ht="21" customHeight="1">
      <x:c r="A89" s="23" t="str">
        <x:v>front_low</x:v>
      </x:c>
      <x:c r="B89" s="23" t="n">
        <x:v>34</x:v>
      </x:c>
      <x:c r="C89" s="37" t="n">
        <x:v>49491</x:v>
      </x:c>
      <x:c r="D89" s="55" t="n">
        <x:v>0</x:v>
      </x:c>
      <x:c r="E89" s="55" t="n">
        <x:v>0.005</x:v>
      </x:c>
      <x:c r="F89" s="60" t="n">
        <x:v>0</x:v>
      </x:c>
      <x:c r="G89" s="60" t="n">
        <x:v>0.005</x:v>
      </x:c>
      <x:c r="H89" s="23" t="n">
        <x:f>IF(D89=F89,0,1)+IF(E89=G89,0,1)</x:f>
        <x:v>0</x:v>
      </x:c>
      <x:c r="I89" s="23" t="str">
        <x:v>Timing T20 / fictional rates</x:v>
      </x:c>
    </x:row>
    <x:row r="90" ht="21" customHeight="1">
      <x:c r="A90" s="23" t="str">
        <x:v>front_low</x:v>
      </x:c>
      <x:c r="B90" s="23" t="n">
        <x:v>35</x:v>
      </x:c>
      <x:c r="C90" s="37" t="n">
        <x:v>49583</x:v>
      </x:c>
      <x:c r="D90" s="55" t="n">
        <x:v>0</x:v>
      </x:c>
      <x:c r="E90" s="55" t="n">
        <x:v>0.005</x:v>
      </x:c>
      <x:c r="F90" s="60" t="n">
        <x:v>0</x:v>
      </x:c>
      <x:c r="G90" s="60" t="n">
        <x:v>0.005</x:v>
      </x:c>
      <x:c r="H90" s="23" t="n">
        <x:f>IF(D90=F90,0,1)+IF(E90=G90,0,1)</x:f>
        <x:v>0</x:v>
      </x:c>
      <x:c r="I90" s="23" t="str">
        <x:v>Timing T20 / fictional rates</x:v>
      </x:c>
    </x:row>
    <x:row r="91" ht="21" customHeight="1">
      <x:c r="A91" s="23" t="str">
        <x:v>front_low</x:v>
      </x:c>
      <x:c r="B91" s="23" t="n">
        <x:v>36</x:v>
      </x:c>
      <x:c r="C91" s="37" t="n">
        <x:v>49675</x:v>
      </x:c>
      <x:c r="D91" s="55" t="n">
        <x:v>0</x:v>
      </x:c>
      <x:c r="E91" s="55" t="n">
        <x:v>0.005</x:v>
      </x:c>
      <x:c r="F91" s="60" t="n">
        <x:v>0</x:v>
      </x:c>
      <x:c r="G91" s="60" t="n">
        <x:v>0.005</x:v>
      </x:c>
      <x:c r="H91" s="23" t="n">
        <x:f>IF(D91=F91,0,1)+IF(E91=G91,0,1)</x:f>
        <x:v>0</x:v>
      </x:c>
      <x:c r="I91" s="23" t="str">
        <x:v>Timing T20 / fictional rates</x:v>
      </x:c>
    </x:row>
    <x:row r="92" ht="21" customHeight="1">
      <x:c r="A92" s="23" t="str">
        <x:v>front_low</x:v>
      </x:c>
      <x:c r="B92" s="23" t="n">
        <x:v>37</x:v>
      </x:c>
      <x:c r="C92" s="37" t="n">
        <x:v>49766</x:v>
      </x:c>
      <x:c r="D92" s="55" t="n">
        <x:v>0</x:v>
      </x:c>
      <x:c r="E92" s="55" t="n">
        <x:v>0.005</x:v>
      </x:c>
      <x:c r="F92" s="60" t="n">
        <x:v>0</x:v>
      </x:c>
      <x:c r="G92" s="60" t="n">
        <x:v>0.005</x:v>
      </x:c>
      <x:c r="H92" s="23" t="n">
        <x:f>IF(D92=F92,0,1)+IF(E92=G92,0,1)</x:f>
        <x:v>0</x:v>
      </x:c>
      <x:c r="I92" s="23" t="str">
        <x:v>Timing T20 / fictional rates</x:v>
      </x:c>
    </x:row>
    <x:row r="93" ht="21" customHeight="1">
      <x:c r="A93" s="23" t="str">
        <x:v>front_low</x:v>
      </x:c>
      <x:c r="B93" s="23" t="n">
        <x:v>38</x:v>
      </x:c>
      <x:c r="C93" s="37" t="n">
        <x:v>49857</x:v>
      </x:c>
      <x:c r="D93" s="55" t="n">
        <x:v>0</x:v>
      </x:c>
      <x:c r="E93" s="55" t="n">
        <x:v>0.005</x:v>
      </x:c>
      <x:c r="F93" s="60" t="n">
        <x:v>0</x:v>
      </x:c>
      <x:c r="G93" s="60" t="n">
        <x:v>0.005</x:v>
      </x:c>
      <x:c r="H93" s="23" t="n">
        <x:f>IF(D93=F93,0,1)+IF(E93=G93,0,1)</x:f>
        <x:v>0</x:v>
      </x:c>
      <x:c r="I93" s="23" t="str">
        <x:v>Timing T20 / fictional rates</x:v>
      </x:c>
    </x:row>
    <x:row r="94" ht="21" customHeight="1">
      <x:c r="A94" s="23" t="str">
        <x:v>front_low</x:v>
      </x:c>
      <x:c r="B94" s="23" t="n">
        <x:v>39</x:v>
      </x:c>
      <x:c r="C94" s="37" t="n">
        <x:v>49949</x:v>
      </x:c>
      <x:c r="D94" s="55" t="n">
        <x:v>0</x:v>
      </x:c>
      <x:c r="E94" s="55" t="n">
        <x:v>0.005</x:v>
      </x:c>
      <x:c r="F94" s="60" t="n">
        <x:v>0</x:v>
      </x:c>
      <x:c r="G94" s="60" t="n">
        <x:v>0.005</x:v>
      </x:c>
      <x:c r="H94" s="23" t="n">
        <x:f>IF(D94=F94,0,1)+IF(E94=G94,0,1)</x:f>
        <x:v>0</x:v>
      </x:c>
      <x:c r="I94" s="23" t="str">
        <x:v>Timing T20 / fictional rates</x:v>
      </x:c>
    </x:row>
    <x:row r="95" ht="21" customHeight="1">
      <x:c r="A95" s="23" t="str">
        <x:v>front_low</x:v>
      </x:c>
      <x:c r="B95" s="23" t="n">
        <x:v>40</x:v>
      </x:c>
      <x:c r="C95" s="37" t="n">
        <x:v>50041</x:v>
      </x:c>
      <x:c r="D95" s="55" t="n">
        <x:v>0</x:v>
      </x:c>
      <x:c r="E95" s="55" t="n">
        <x:v>0.005</x:v>
      </x:c>
      <x:c r="F95" s="60" t="n">
        <x:v>0</x:v>
      </x:c>
      <x:c r="G95" s="60" t="n">
        <x:v>0.005</x:v>
      </x:c>
      <x:c r="H95" s="23" t="n">
        <x:f>IF(D95=F95,0,1)+IF(E95=G95,0,1)</x:f>
        <x:v>0</x:v>
      </x:c>
      <x:c r="I95" s="23" t="str">
        <x:v>Timing T20 / fictional rates</x:v>
      </x:c>
    </x:row>
    <x:row r="96" ht="21" customHeight="1">
      <x:c r="A96" s="23" t="str">
        <x:v>front_low</x:v>
      </x:c>
      <x:c r="B96" s="23" t="n">
        <x:v>41</x:v>
      </x:c>
      <x:c r="C96" s="37" t="n">
        <x:v>50131</x:v>
      </x:c>
      <x:c r="D96" s="55" t="n">
        <x:v>0</x:v>
      </x:c>
      <x:c r="E96" s="55" t="n">
        <x:v>0.005</x:v>
      </x:c>
      <x:c r="F96" s="60" t="n">
        <x:v>0</x:v>
      </x:c>
      <x:c r="G96" s="60" t="n">
        <x:v>0.005</x:v>
      </x:c>
      <x:c r="H96" s="23" t="n">
        <x:f>IF(D96=F96,0,1)+IF(E96=G96,0,1)</x:f>
        <x:v>0</x:v>
      </x:c>
      <x:c r="I96" s="23" t="str">
        <x:v>Timing T20 / fictional rates</x:v>
      </x:c>
    </x:row>
    <x:row r="97" ht="21" customHeight="1">
      <x:c r="A97" s="23" t="str">
        <x:v>front_low</x:v>
      </x:c>
      <x:c r="B97" s="23" t="n">
        <x:v>42</x:v>
      </x:c>
      <x:c r="C97" s="37" t="n">
        <x:v>50222</x:v>
      </x:c>
      <x:c r="D97" s="55" t="n">
        <x:v>0</x:v>
      </x:c>
      <x:c r="E97" s="55" t="n">
        <x:v>0.005</x:v>
      </x:c>
      <x:c r="F97" s="60" t="n">
        <x:v>0</x:v>
      </x:c>
      <x:c r="G97" s="60" t="n">
        <x:v>0.005</x:v>
      </x:c>
      <x:c r="H97" s="23" t="n">
        <x:f>IF(D97=F97,0,1)+IF(E97=G97,0,1)</x:f>
        <x:v>0</x:v>
      </x:c>
      <x:c r="I97" s="23" t="str">
        <x:v>Timing T20 / fictional rates</x:v>
      </x:c>
    </x:row>
    <x:row r="98" ht="21" customHeight="1">
      <x:c r="A98" s="23" t="str">
        <x:v>front_low</x:v>
      </x:c>
      <x:c r="B98" s="23" t="n">
        <x:v>43</x:v>
      </x:c>
      <x:c r="C98" s="37" t="n">
        <x:v>50314</x:v>
      </x:c>
      <x:c r="D98" s="55" t="n">
        <x:v>0</x:v>
      </x:c>
      <x:c r="E98" s="55" t="n">
        <x:v>0.005</x:v>
      </x:c>
      <x:c r="F98" s="60" t="n">
        <x:v>0</x:v>
      </x:c>
      <x:c r="G98" s="60" t="n">
        <x:v>0.005</x:v>
      </x:c>
      <x:c r="H98" s="23" t="n">
        <x:f>IF(D98=F98,0,1)+IF(E98=G98,0,1)</x:f>
        <x:v>0</x:v>
      </x:c>
      <x:c r="I98" s="23" t="str">
        <x:v>Timing T20 / fictional rates</x:v>
      </x:c>
    </x:row>
    <x:row r="99" ht="21" customHeight="1">
      <x:c r="A99" s="23" t="str">
        <x:v>front_low</x:v>
      </x:c>
      <x:c r="B99" s="23" t="n">
        <x:v>44</x:v>
      </x:c>
      <x:c r="C99" s="37" t="n">
        <x:v>50406</x:v>
      </x:c>
      <x:c r="D99" s="55" t="n">
        <x:v>0</x:v>
      </x:c>
      <x:c r="E99" s="55" t="n">
        <x:v>0.005</x:v>
      </x:c>
      <x:c r="F99" s="60" t="n">
        <x:v>0</x:v>
      </x:c>
      <x:c r="G99" s="60" t="n">
        <x:v>0.005</x:v>
      </x:c>
      <x:c r="H99" s="23" t="n">
        <x:f>IF(D99=F99,0,1)+IF(E99=G99,0,1)</x:f>
        <x:v>0</x:v>
      </x:c>
      <x:c r="I99" s="23" t="str">
        <x:v>Timing T20 / fictional rates</x:v>
      </x:c>
    </x:row>
    <x:row r="100" ht="21" customHeight="1">
      <x:c r="A100" s="23" t="str">
        <x:v>front_low</x:v>
      </x:c>
      <x:c r="B100" s="23" t="n">
        <x:v>45</x:v>
      </x:c>
      <x:c r="C100" s="37" t="n">
        <x:v>50496</x:v>
      </x:c>
      <x:c r="D100" s="55" t="n">
        <x:v>0</x:v>
      </x:c>
      <x:c r="E100" s="55" t="n">
        <x:v>0.005</x:v>
      </x:c>
      <x:c r="F100" s="60" t="n">
        <x:v>0</x:v>
      </x:c>
      <x:c r="G100" s="60" t="n">
        <x:v>0.005</x:v>
      </x:c>
      <x:c r="H100" s="23" t="n">
        <x:f>IF(D100=F100,0,1)+IF(E100=G100,0,1)</x:f>
        <x:v>0</x:v>
      </x:c>
      <x:c r="I100" s="23" t="str">
        <x:v>Timing T20 / fictional rates</x:v>
      </x:c>
    </x:row>
    <x:row r="101" ht="21" customHeight="1">
      <x:c r="A101" s="23" t="str">
        <x:v>front_low</x:v>
      </x:c>
      <x:c r="B101" s="23" t="n">
        <x:v>46</x:v>
      </x:c>
      <x:c r="C101" s="37" t="n">
        <x:v>50587</x:v>
      </x:c>
      <x:c r="D101" s="55" t="n">
        <x:v>0</x:v>
      </x:c>
      <x:c r="E101" s="55" t="n">
        <x:v>0.005</x:v>
      </x:c>
      <x:c r="F101" s="60" t="n">
        <x:v>0</x:v>
      </x:c>
      <x:c r="G101" s="60" t="n">
        <x:v>0.005</x:v>
      </x:c>
      <x:c r="H101" s="23" t="n">
        <x:f>IF(D101=F101,0,1)+IF(E101=G101,0,1)</x:f>
        <x:v>0</x:v>
      </x:c>
      <x:c r="I101" s="23" t="str">
        <x:v>Timing T20 / fictional rates</x:v>
      </x:c>
    </x:row>
    <x:row r="102" ht="21" customHeight="1">
      <x:c r="A102" s="23" t="str">
        <x:v>front_low</x:v>
      </x:c>
      <x:c r="B102" s="23" t="n">
        <x:v>47</x:v>
      </x:c>
      <x:c r="C102" s="37" t="n">
        <x:v>50679</x:v>
      </x:c>
      <x:c r="D102" s="55" t="n">
        <x:v>0</x:v>
      </x:c>
      <x:c r="E102" s="55" t="n">
        <x:v>0.005</x:v>
      </x:c>
      <x:c r="F102" s="60" t="n">
        <x:v>0</x:v>
      </x:c>
      <x:c r="G102" s="60" t="n">
        <x:v>0.005</x:v>
      </x:c>
      <x:c r="H102" s="23" t="n">
        <x:f>IF(D102=F102,0,1)+IF(E102=G102,0,1)</x:f>
        <x:v>0</x:v>
      </x:c>
      <x:c r="I102" s="23" t="str">
        <x:v>Timing T20 / fictional rates</x:v>
      </x:c>
    </x:row>
    <x:row r="103" ht="21" customHeight="1">
      <x:c r="A103" s="23" t="str">
        <x:v>front_low</x:v>
      </x:c>
      <x:c r="B103" s="23" t="n">
        <x:v>48</x:v>
      </x:c>
      <x:c r="C103" s="37" t="n">
        <x:v>50771</x:v>
      </x:c>
      <x:c r="D103" s="55" t="n">
        <x:v>0</x:v>
      </x:c>
      <x:c r="E103" s="55" t="n">
        <x:v>0.005</x:v>
      </x:c>
      <x:c r="F103" s="60" t="n">
        <x:v>0</x:v>
      </x:c>
      <x:c r="G103" s="60" t="n">
        <x:v>0.005</x:v>
      </x:c>
      <x:c r="H103" s="23" t="n">
        <x:f>IF(D103=F103,0,1)+IF(E103=G103,0,1)</x:f>
        <x:v>0</x:v>
      </x:c>
      <x:c r="I103" s="23" t="str">
        <x:v>Timing T20 / fictional rates</x:v>
      </x:c>
    </x:row>
    <x:row r="104" ht="21" customHeight="1">
      <x:c r="A104" s="23" t="str">
        <x:v>front_high</x:v>
      </x:c>
      <x:c r="B104" s="23" t="n">
        <x:v>1</x:v>
      </x:c>
      <x:c r="C104" s="37" t="n">
        <x:v>46478</x:v>
      </x:c>
      <x:c r="D104" s="55" t="n">
        <x:v>0.0975</x:v>
      </x:c>
      <x:c r="E104" s="55" t="n">
        <x:v>0.06</x:v>
      </x:c>
      <x:c r="F104" s="60" t="n">
        <x:v>0.0975</x:v>
      </x:c>
      <x:c r="G104" s="60" t="n">
        <x:v>0.06</x:v>
      </x:c>
      <x:c r="H104" s="23" t="n">
        <x:f>IF(D104=F104,0,1)+IF(E104=G104,0,1)</x:f>
        <x:v>0</x:v>
      </x:c>
      <x:c r="I104" s="23" t="str">
        <x:v>Timing T20 / fictional rates</x:v>
      </x:c>
    </x:row>
    <x:row r="105" ht="21" customHeight="1">
      <x:c r="A105" s="23" t="str">
        <x:v>front_high</x:v>
      </x:c>
      <x:c r="B105" s="23" t="n">
        <x:v>2</x:v>
      </x:c>
      <x:c r="C105" s="37" t="n">
        <x:v>46569</x:v>
      </x:c>
      <x:c r="D105" s="55" t="n">
        <x:v>0.0975</x:v>
      </x:c>
      <x:c r="E105" s="55" t="n">
        <x:v>0.06</x:v>
      </x:c>
      <x:c r="F105" s="60" t="n">
        <x:v>0.0975</x:v>
      </x:c>
      <x:c r="G105" s="60" t="n">
        <x:v>0.06</x:v>
      </x:c>
      <x:c r="H105" s="23" t="n">
        <x:f>IF(D105=F105,0,1)+IF(E105=G105,0,1)</x:f>
        <x:v>0</x:v>
      </x:c>
      <x:c r="I105" s="23" t="str">
        <x:v>Timing T20 / fictional rates</x:v>
      </x:c>
    </x:row>
    <x:row r="106" ht="21" customHeight="1">
      <x:c r="A106" s="23" t="str">
        <x:v>front_high</x:v>
      </x:c>
      <x:c r="B106" s="23" t="n">
        <x:v>3</x:v>
      </x:c>
      <x:c r="C106" s="37" t="n">
        <x:v>46661</x:v>
      </x:c>
      <x:c r="D106" s="55" t="n">
        <x:v>0.0975</x:v>
      </x:c>
      <x:c r="E106" s="55" t="n">
        <x:v>0.06</x:v>
      </x:c>
      <x:c r="F106" s="60" t="n">
        <x:v>0.0975</x:v>
      </x:c>
      <x:c r="G106" s="60" t="n">
        <x:v>0.06</x:v>
      </x:c>
      <x:c r="H106" s="23" t="n">
        <x:f>IF(D106=F106,0,1)+IF(E106=G106,0,1)</x:f>
        <x:v>0</x:v>
      </x:c>
      <x:c r="I106" s="23" t="str">
        <x:v>Timing T20 / fictional rates</x:v>
      </x:c>
    </x:row>
    <x:row r="107" ht="21" customHeight="1">
      <x:c r="A107" s="23" t="str">
        <x:v>front_high</x:v>
      </x:c>
      <x:c r="B107" s="23" t="n">
        <x:v>4</x:v>
      </x:c>
      <x:c r="C107" s="37" t="n">
        <x:v>46753</x:v>
      </x:c>
      <x:c r="D107" s="55" t="n">
        <x:v>0.0975</x:v>
      </x:c>
      <x:c r="E107" s="55" t="n">
        <x:v>0.06</x:v>
      </x:c>
      <x:c r="F107" s="60" t="n">
        <x:v>0.0975</x:v>
      </x:c>
      <x:c r="G107" s="60" t="n">
        <x:v>0.06</x:v>
      </x:c>
      <x:c r="H107" s="23" t="n">
        <x:f>IF(D107=F107,0,1)+IF(E107=G107,0,1)</x:f>
        <x:v>0</x:v>
      </x:c>
      <x:c r="I107" s="23" t="str">
        <x:v>Timing T20 / fictional rates</x:v>
      </x:c>
    </x:row>
    <x:row r="108" ht="21" customHeight="1">
      <x:c r="A108" s="23" t="str">
        <x:v>front_high</x:v>
      </x:c>
      <x:c r="B108" s="23" t="n">
        <x:v>5</x:v>
      </x:c>
      <x:c r="C108" s="37" t="n">
        <x:v>46844</x:v>
      </x:c>
      <x:c r="D108" s="55" t="n">
        <x:v>0.055</x:v>
      </x:c>
      <x:c r="E108" s="55" t="n">
        <x:v>0.06</x:v>
      </x:c>
      <x:c r="F108" s="60" t="n">
        <x:v>0.055</x:v>
      </x:c>
      <x:c r="G108" s="60" t="n">
        <x:v>0.06</x:v>
      </x:c>
      <x:c r="H108" s="23" t="n">
        <x:f>IF(D108=F108,0,1)+IF(E108=G108,0,1)</x:f>
        <x:v>0</x:v>
      </x:c>
      <x:c r="I108" s="23" t="str">
        <x:v>Timing T20 / fictional rates</x:v>
      </x:c>
    </x:row>
    <x:row r="109" ht="21" customHeight="1">
      <x:c r="A109" s="23" t="str">
        <x:v>front_high</x:v>
      </x:c>
      <x:c r="B109" s="23" t="n">
        <x:v>6</x:v>
      </x:c>
      <x:c r="C109" s="37" t="n">
        <x:v>46935</x:v>
      </x:c>
      <x:c r="D109" s="55" t="n">
        <x:v>0.055</x:v>
      </x:c>
      <x:c r="E109" s="55" t="n">
        <x:v>0.06</x:v>
      </x:c>
      <x:c r="F109" s="60" t="n">
        <x:v>0.055</x:v>
      </x:c>
      <x:c r="G109" s="60" t="n">
        <x:v>0.06</x:v>
      </x:c>
      <x:c r="H109" s="23" t="n">
        <x:f>IF(D109=F109,0,1)+IF(E109=G109,0,1)</x:f>
        <x:v>0</x:v>
      </x:c>
      <x:c r="I109" s="23" t="str">
        <x:v>Timing T20 / fictional rates</x:v>
      </x:c>
    </x:row>
    <x:row r="110" ht="21" customHeight="1">
      <x:c r="A110" s="23" t="str">
        <x:v>front_high</x:v>
      </x:c>
      <x:c r="B110" s="23" t="n">
        <x:v>7</x:v>
      </x:c>
      <x:c r="C110" s="37" t="n">
        <x:v>47027</x:v>
      </x:c>
      <x:c r="D110" s="55" t="n">
        <x:v>0.055</x:v>
      </x:c>
      <x:c r="E110" s="55" t="n">
        <x:v>0.06</x:v>
      </x:c>
      <x:c r="F110" s="60" t="n">
        <x:v>0.055</x:v>
      </x:c>
      <x:c r="G110" s="60" t="n">
        <x:v>0.06</x:v>
      </x:c>
      <x:c r="H110" s="23" t="n">
        <x:f>IF(D110=F110,0,1)+IF(E110=G110,0,1)</x:f>
        <x:v>0</x:v>
      </x:c>
      <x:c r="I110" s="23" t="str">
        <x:v>Timing T20 / fictional rates</x:v>
      </x:c>
    </x:row>
    <x:row r="111" ht="21" customHeight="1">
      <x:c r="A111" s="23" t="str">
        <x:v>front_high</x:v>
      </x:c>
      <x:c r="B111" s="23" t="n">
        <x:v>8</x:v>
      </x:c>
      <x:c r="C111" s="37" t="n">
        <x:v>47119</x:v>
      </x:c>
      <x:c r="D111" s="55" t="n">
        <x:v>0.055</x:v>
      </x:c>
      <x:c r="E111" s="55" t="n">
        <x:v>0.06</x:v>
      </x:c>
      <x:c r="F111" s="60" t="n">
        <x:v>0.055</x:v>
      </x:c>
      <x:c r="G111" s="60" t="n">
        <x:v>0.06</x:v>
      </x:c>
      <x:c r="H111" s="23" t="n">
        <x:f>IF(D111=F111,0,1)+IF(E111=G111,0,1)</x:f>
        <x:v>0</x:v>
      </x:c>
      <x:c r="I111" s="23" t="str">
        <x:v>Timing T20 / fictional rates</x:v>
      </x:c>
    </x:row>
    <x:row r="112" ht="21" customHeight="1">
      <x:c r="A112" s="23" t="str">
        <x:v>front_high</x:v>
      </x:c>
      <x:c r="B112" s="23" t="n">
        <x:v>9</x:v>
      </x:c>
      <x:c r="C112" s="37" t="n">
        <x:v>47209</x:v>
      </x:c>
      <x:c r="D112" s="55" t="n">
        <x:v>0.04</x:v>
      </x:c>
      <x:c r="E112" s="55" t="n">
        <x:v>0.06</x:v>
      </x:c>
      <x:c r="F112" s="60" t="n">
        <x:v>0.04</x:v>
      </x:c>
      <x:c r="G112" s="60" t="n">
        <x:v>0.06</x:v>
      </x:c>
      <x:c r="H112" s="23" t="n">
        <x:f>IF(D112=F112,0,1)+IF(E112=G112,0,1)</x:f>
        <x:v>0</x:v>
      </x:c>
      <x:c r="I112" s="23" t="str">
        <x:v>Timing T20 / fictional rates</x:v>
      </x:c>
    </x:row>
    <x:row r="113" ht="21" customHeight="1">
      <x:c r="A113" s="23" t="str">
        <x:v>front_high</x:v>
      </x:c>
      <x:c r="B113" s="23" t="n">
        <x:v>10</x:v>
      </x:c>
      <x:c r="C113" s="37" t="n">
        <x:v>47300</x:v>
      </x:c>
      <x:c r="D113" s="55" t="n">
        <x:v>0.04</x:v>
      </x:c>
      <x:c r="E113" s="55" t="n">
        <x:v>0.06</x:v>
      </x:c>
      <x:c r="F113" s="60" t="n">
        <x:v>0.04</x:v>
      </x:c>
      <x:c r="G113" s="60" t="n">
        <x:v>0.06</x:v>
      </x:c>
      <x:c r="H113" s="23" t="n">
        <x:f>IF(D113=F113,0,1)+IF(E113=G113,0,1)</x:f>
        <x:v>0</x:v>
      </x:c>
      <x:c r="I113" s="23" t="str">
        <x:v>Timing T20 / fictional rates</x:v>
      </x:c>
    </x:row>
    <x:row r="114" ht="21" customHeight="1">
      <x:c r="A114" s="23" t="str">
        <x:v>front_high</x:v>
      </x:c>
      <x:c r="B114" s="23" t="n">
        <x:v>11</x:v>
      </x:c>
      <x:c r="C114" s="37" t="n">
        <x:v>47392</x:v>
      </x:c>
      <x:c r="D114" s="55" t="n">
        <x:v>0.04</x:v>
      </x:c>
      <x:c r="E114" s="55" t="n">
        <x:v>0.06</x:v>
      </x:c>
      <x:c r="F114" s="60" t="n">
        <x:v>0.04</x:v>
      </x:c>
      <x:c r="G114" s="60" t="n">
        <x:v>0.06</x:v>
      </x:c>
      <x:c r="H114" s="23" t="n">
        <x:f>IF(D114=F114,0,1)+IF(E114=G114,0,1)</x:f>
        <x:v>0</x:v>
      </x:c>
      <x:c r="I114" s="23" t="str">
        <x:v>Timing T20 / fictional rates</x:v>
      </x:c>
    </x:row>
    <x:row r="115" ht="21" customHeight="1">
      <x:c r="A115" s="23" t="str">
        <x:v>front_high</x:v>
      </x:c>
      <x:c r="B115" s="23" t="n">
        <x:v>12</x:v>
      </x:c>
      <x:c r="C115" s="37" t="n">
        <x:v>47484</x:v>
      </x:c>
      <x:c r="D115" s="55" t="n">
        <x:v>0.04</x:v>
      </x:c>
      <x:c r="E115" s="55" t="n">
        <x:v>0.06</x:v>
      </x:c>
      <x:c r="F115" s="60" t="n">
        <x:v>0.04</x:v>
      </x:c>
      <x:c r="G115" s="60" t="n">
        <x:v>0.06</x:v>
      </x:c>
      <x:c r="H115" s="23" t="n">
        <x:f>IF(D115=F115,0,1)+IF(E115=G115,0,1)</x:f>
        <x:v>0</x:v>
      </x:c>
      <x:c r="I115" s="23" t="str">
        <x:v>Timing T20 / fictional rates</x:v>
      </x:c>
    </x:row>
    <x:row r="116" ht="21" customHeight="1">
      <x:c r="A116" s="23" t="str">
        <x:v>front_high</x:v>
      </x:c>
      <x:c r="B116" s="23" t="n">
        <x:v>13</x:v>
      </x:c>
      <x:c r="C116" s="37" t="n">
        <x:v>47574</x:v>
      </x:c>
      <x:c r="D116" s="55" t="n">
        <x:v>0.0325</x:v>
      </x:c>
      <x:c r="E116" s="55" t="n">
        <x:v>0.06</x:v>
      </x:c>
      <x:c r="F116" s="60" t="n">
        <x:v>0.0325</x:v>
      </x:c>
      <x:c r="G116" s="60" t="n">
        <x:v>0.06</x:v>
      </x:c>
      <x:c r="H116" s="23" t="n">
        <x:f>IF(D116=F116,0,1)+IF(E116=G116,0,1)</x:f>
        <x:v>0</x:v>
      </x:c>
      <x:c r="I116" s="23" t="str">
        <x:v>Timing T20 / fictional rates</x:v>
      </x:c>
    </x:row>
    <x:row r="117" ht="21" customHeight="1">
      <x:c r="A117" s="23" t="str">
        <x:v>front_high</x:v>
      </x:c>
      <x:c r="B117" s="23" t="n">
        <x:v>14</x:v>
      </x:c>
      <x:c r="C117" s="37" t="n">
        <x:v>47665</x:v>
      </x:c>
      <x:c r="D117" s="55" t="n">
        <x:v>0.0325</x:v>
      </x:c>
      <x:c r="E117" s="55" t="n">
        <x:v>0.06</x:v>
      </x:c>
      <x:c r="F117" s="60" t="n">
        <x:v>0.0325</x:v>
      </x:c>
      <x:c r="G117" s="60" t="n">
        <x:v>0.06</x:v>
      </x:c>
      <x:c r="H117" s="23" t="n">
        <x:f>IF(D117=F117,0,1)+IF(E117=G117,0,1)</x:f>
        <x:v>0</x:v>
      </x:c>
      <x:c r="I117" s="23" t="str">
        <x:v>Timing T20 / fictional rates</x:v>
      </x:c>
    </x:row>
    <x:row r="118" ht="21" customHeight="1">
      <x:c r="A118" s="23" t="str">
        <x:v>front_high</x:v>
      </x:c>
      <x:c r="B118" s="23" t="n">
        <x:v>15</x:v>
      </x:c>
      <x:c r="C118" s="37" t="n">
        <x:v>47757</x:v>
      </x:c>
      <x:c r="D118" s="55" t="n">
        <x:v>0.0325</x:v>
      </x:c>
      <x:c r="E118" s="55" t="n">
        <x:v>0.06</x:v>
      </x:c>
      <x:c r="F118" s="60" t="n">
        <x:v>0.0325</x:v>
      </x:c>
      <x:c r="G118" s="60" t="n">
        <x:v>0.06</x:v>
      </x:c>
      <x:c r="H118" s="23" t="n">
        <x:f>IF(D118=F118,0,1)+IF(E118=G118,0,1)</x:f>
        <x:v>0</x:v>
      </x:c>
      <x:c r="I118" s="23" t="str">
        <x:v>Timing T20 / fictional rates</x:v>
      </x:c>
    </x:row>
    <x:row r="119" ht="21" customHeight="1">
      <x:c r="A119" s="23" t="str">
        <x:v>front_high</x:v>
      </x:c>
      <x:c r="B119" s="23" t="n">
        <x:v>16</x:v>
      </x:c>
      <x:c r="C119" s="37" t="n">
        <x:v>47849</x:v>
      </x:c>
      <x:c r="D119" s="55" t="n">
        <x:v>0.0325</x:v>
      </x:c>
      <x:c r="E119" s="55" t="n">
        <x:v>0.06</x:v>
      </x:c>
      <x:c r="F119" s="60" t="n">
        <x:v>0.0325</x:v>
      </x:c>
      <x:c r="G119" s="60" t="n">
        <x:v>0.06</x:v>
      </x:c>
      <x:c r="H119" s="23" t="n">
        <x:f>IF(D119=F119,0,1)+IF(E119=G119,0,1)</x:f>
        <x:v>0</x:v>
      </x:c>
      <x:c r="I119" s="23" t="str">
        <x:v>Timing T20 / fictional rates</x:v>
      </x:c>
    </x:row>
    <x:row r="120" ht="21" customHeight="1">
      <x:c r="A120" s="23" t="str">
        <x:v>front_high</x:v>
      </x:c>
      <x:c r="B120" s="23" t="n">
        <x:v>17</x:v>
      </x:c>
      <x:c r="C120" s="37" t="n">
        <x:v>47939</x:v>
      </x:c>
      <x:c r="D120" s="55" t="n">
        <x:v>0.025</x:v>
      </x:c>
      <x:c r="E120" s="55" t="n">
        <x:v>0.06</x:v>
      </x:c>
      <x:c r="F120" s="60" t="n">
        <x:v>0.025</x:v>
      </x:c>
      <x:c r="G120" s="60" t="n">
        <x:v>0.06</x:v>
      </x:c>
      <x:c r="H120" s="23" t="n">
        <x:f>IF(D120=F120,0,1)+IF(E120=G120,0,1)</x:f>
        <x:v>0</x:v>
      </x:c>
      <x:c r="I120" s="23" t="str">
        <x:v>Timing T20 / fictional rates</x:v>
      </x:c>
    </x:row>
    <x:row r="121" ht="21" customHeight="1">
      <x:c r="A121" s="23" t="str">
        <x:v>front_high</x:v>
      </x:c>
      <x:c r="B121" s="23" t="n">
        <x:v>18</x:v>
      </x:c>
      <x:c r="C121" s="37" t="n">
        <x:v>48030</x:v>
      </x:c>
      <x:c r="D121" s="55" t="n">
        <x:v>0.025</x:v>
      </x:c>
      <x:c r="E121" s="55" t="n">
        <x:v>0.06</x:v>
      </x:c>
      <x:c r="F121" s="60" t="n">
        <x:v>0.025</x:v>
      </x:c>
      <x:c r="G121" s="60" t="n">
        <x:v>0.06</x:v>
      </x:c>
      <x:c r="H121" s="23" t="n">
        <x:f>IF(D121=F121,0,1)+IF(E121=G121,0,1)</x:f>
        <x:v>0</x:v>
      </x:c>
      <x:c r="I121" s="23" t="str">
        <x:v>Timing T20 / fictional rates</x:v>
      </x:c>
    </x:row>
    <x:row r="122" ht="21" customHeight="1">
      <x:c r="A122" s="23" t="str">
        <x:v>front_high</x:v>
      </x:c>
      <x:c r="B122" s="23" t="n">
        <x:v>19</x:v>
      </x:c>
      <x:c r="C122" s="37" t="n">
        <x:v>48122</x:v>
      </x:c>
      <x:c r="D122" s="55" t="n">
        <x:v>0.025</x:v>
      </x:c>
      <x:c r="E122" s="55" t="n">
        <x:v>0.06</x:v>
      </x:c>
      <x:c r="F122" s="60" t="n">
        <x:v>0.025</x:v>
      </x:c>
      <x:c r="G122" s="60" t="n">
        <x:v>0.06</x:v>
      </x:c>
      <x:c r="H122" s="23" t="n">
        <x:f>IF(D122=F122,0,1)+IF(E122=G122,0,1)</x:f>
        <x:v>0</x:v>
      </x:c>
      <x:c r="I122" s="23" t="str">
        <x:v>Timing T20 / fictional rates</x:v>
      </x:c>
    </x:row>
    <x:row r="123" ht="21" customHeight="1">
      <x:c r="A123" s="23" t="str">
        <x:v>front_high</x:v>
      </x:c>
      <x:c r="B123" s="23" t="n">
        <x:v>20</x:v>
      </x:c>
      <x:c r="C123" s="37" t="n">
        <x:v>48214</x:v>
      </x:c>
      <x:c r="D123" s="55" t="n">
        <x:v>0.025</x:v>
      </x:c>
      <x:c r="E123" s="55" t="n">
        <x:v>0.06</x:v>
      </x:c>
      <x:c r="F123" s="60" t="n">
        <x:v>0.025</x:v>
      </x:c>
      <x:c r="G123" s="60" t="n">
        <x:v>0.06</x:v>
      </x:c>
      <x:c r="H123" s="23" t="n">
        <x:f>IF(D123=F123,0,1)+IF(E123=G123,0,1)</x:f>
        <x:v>0</x:v>
      </x:c>
      <x:c r="I123" s="23" t="str">
        <x:v>Timing T20 / fictional rates</x:v>
      </x:c>
    </x:row>
    <x:row r="124" ht="21" customHeight="1">
      <x:c r="A124" s="23" t="str">
        <x:v>front_high</x:v>
      </x:c>
      <x:c r="B124" s="23" t="n">
        <x:v>21</x:v>
      </x:c>
      <x:c r="C124" s="37" t="n">
        <x:v>48305</x:v>
      </x:c>
      <x:c r="D124" s="55" t="n">
        <x:v>0</x:v>
      </x:c>
      <x:c r="E124" s="55" t="n">
        <x:v>0.06</x:v>
      </x:c>
      <x:c r="F124" s="60" t="n">
        <x:v>0</x:v>
      </x:c>
      <x:c r="G124" s="60" t="n">
        <x:v>0.06</x:v>
      </x:c>
      <x:c r="H124" s="23" t="n">
        <x:f>IF(D124=F124,0,1)+IF(E124=G124,0,1)</x:f>
        <x:v>0</x:v>
      </x:c>
      <x:c r="I124" s="23" t="str">
        <x:v>Timing T20 / fictional rates</x:v>
      </x:c>
    </x:row>
    <x:row r="125" ht="21" customHeight="1">
      <x:c r="A125" s="23" t="str">
        <x:v>front_high</x:v>
      </x:c>
      <x:c r="B125" s="23" t="n">
        <x:v>22</x:v>
      </x:c>
      <x:c r="C125" s="37" t="n">
        <x:v>48396</x:v>
      </x:c>
      <x:c r="D125" s="55" t="n">
        <x:v>0</x:v>
      </x:c>
      <x:c r="E125" s="55" t="n">
        <x:v>0.06</x:v>
      </x:c>
      <x:c r="F125" s="60" t="n">
        <x:v>0</x:v>
      </x:c>
      <x:c r="G125" s="60" t="n">
        <x:v>0.06</x:v>
      </x:c>
      <x:c r="H125" s="23" t="n">
        <x:f>IF(D125=F125,0,1)+IF(E125=G125,0,1)</x:f>
        <x:v>0</x:v>
      </x:c>
      <x:c r="I125" s="23" t="str">
        <x:v>Timing T20 / fictional rates</x:v>
      </x:c>
    </x:row>
    <x:row r="126" ht="21" customHeight="1">
      <x:c r="A126" s="23" t="str">
        <x:v>front_high</x:v>
      </x:c>
      <x:c r="B126" s="23" t="n">
        <x:v>23</x:v>
      </x:c>
      <x:c r="C126" s="37" t="n">
        <x:v>48488</x:v>
      </x:c>
      <x:c r="D126" s="55" t="n">
        <x:v>0</x:v>
      </x:c>
      <x:c r="E126" s="55" t="n">
        <x:v>0.06</x:v>
      </x:c>
      <x:c r="F126" s="60" t="n">
        <x:v>0</x:v>
      </x:c>
      <x:c r="G126" s="60" t="n">
        <x:v>0.06</x:v>
      </x:c>
      <x:c r="H126" s="23" t="n">
        <x:f>IF(D126=F126,0,1)+IF(E126=G126,0,1)</x:f>
        <x:v>0</x:v>
      </x:c>
      <x:c r="I126" s="23" t="str">
        <x:v>Timing T20 / fictional rates</x:v>
      </x:c>
    </x:row>
    <x:row r="127" ht="21" customHeight="1">
      <x:c r="A127" s="23" t="str">
        <x:v>front_high</x:v>
      </x:c>
      <x:c r="B127" s="23" t="n">
        <x:v>24</x:v>
      </x:c>
      <x:c r="C127" s="37" t="n">
        <x:v>48580</x:v>
      </x:c>
      <x:c r="D127" s="55" t="n">
        <x:v>0</x:v>
      </x:c>
      <x:c r="E127" s="55" t="n">
        <x:v>0.06</x:v>
      </x:c>
      <x:c r="F127" s="60" t="n">
        <x:v>0</x:v>
      </x:c>
      <x:c r="G127" s="60" t="n">
        <x:v>0.06</x:v>
      </x:c>
      <x:c r="H127" s="23" t="n">
        <x:f>IF(D127=F127,0,1)+IF(E127=G127,0,1)</x:f>
        <x:v>0</x:v>
      </x:c>
      <x:c r="I127" s="23" t="str">
        <x:v>Timing T20 / fictional rates</x:v>
      </x:c>
    </x:row>
    <x:row r="128" ht="21" customHeight="1">
      <x:c r="A128" s="23" t="str">
        <x:v>front_high</x:v>
      </x:c>
      <x:c r="B128" s="23" t="n">
        <x:v>25</x:v>
      </x:c>
      <x:c r="C128" s="37" t="n">
        <x:v>48670</x:v>
      </x:c>
      <x:c r="D128" s="55" t="n">
        <x:v>0</x:v>
      </x:c>
      <x:c r="E128" s="55" t="n">
        <x:v>0.06</x:v>
      </x:c>
      <x:c r="F128" s="60" t="n">
        <x:v>0</x:v>
      </x:c>
      <x:c r="G128" s="60" t="n">
        <x:v>0.06</x:v>
      </x:c>
      <x:c r="H128" s="23" t="n">
        <x:f>IF(D128=F128,0,1)+IF(E128=G128,0,1)</x:f>
        <x:v>0</x:v>
      </x:c>
      <x:c r="I128" s="23" t="str">
        <x:v>Timing T20 / fictional rates</x:v>
      </x:c>
    </x:row>
    <x:row r="129" ht="21" customHeight="1">
      <x:c r="A129" s="23" t="str">
        <x:v>front_high</x:v>
      </x:c>
      <x:c r="B129" s="23" t="n">
        <x:v>26</x:v>
      </x:c>
      <x:c r="C129" s="37" t="n">
        <x:v>48761</x:v>
      </x:c>
      <x:c r="D129" s="55" t="n">
        <x:v>0</x:v>
      </x:c>
      <x:c r="E129" s="55" t="n">
        <x:v>0.06</x:v>
      </x:c>
      <x:c r="F129" s="60" t="n">
        <x:v>0</x:v>
      </x:c>
      <x:c r="G129" s="60" t="n">
        <x:v>0.06</x:v>
      </x:c>
      <x:c r="H129" s="23" t="n">
        <x:f>IF(D129=F129,0,1)+IF(E129=G129,0,1)</x:f>
        <x:v>0</x:v>
      </x:c>
      <x:c r="I129" s="23" t="str">
        <x:v>Timing T20 / fictional rates</x:v>
      </x:c>
    </x:row>
    <x:row r="130" ht="21" customHeight="1">
      <x:c r="A130" s="23" t="str">
        <x:v>front_high</x:v>
      </x:c>
      <x:c r="B130" s="23" t="n">
        <x:v>27</x:v>
      </x:c>
      <x:c r="C130" s="37" t="n">
        <x:v>48853</x:v>
      </x:c>
      <x:c r="D130" s="55" t="n">
        <x:v>0</x:v>
      </x:c>
      <x:c r="E130" s="55" t="n">
        <x:v>0.06</x:v>
      </x:c>
      <x:c r="F130" s="60" t="n">
        <x:v>0</x:v>
      </x:c>
      <x:c r="G130" s="60" t="n">
        <x:v>0.06</x:v>
      </x:c>
      <x:c r="H130" s="23" t="n">
        <x:f>IF(D130=F130,0,1)+IF(E130=G130,0,1)</x:f>
        <x:v>0</x:v>
      </x:c>
      <x:c r="I130" s="23" t="str">
        <x:v>Timing T20 / fictional rates</x:v>
      </x:c>
    </x:row>
    <x:row r="131" ht="21" customHeight="1">
      <x:c r="A131" s="23" t="str">
        <x:v>front_high</x:v>
      </x:c>
      <x:c r="B131" s="23" t="n">
        <x:v>28</x:v>
      </x:c>
      <x:c r="C131" s="37" t="n">
        <x:v>48945</x:v>
      </x:c>
      <x:c r="D131" s="55" t="n">
        <x:v>0</x:v>
      </x:c>
      <x:c r="E131" s="55" t="n">
        <x:v>0.06</x:v>
      </x:c>
      <x:c r="F131" s="60" t="n">
        <x:v>0</x:v>
      </x:c>
      <x:c r="G131" s="60" t="n">
        <x:v>0.06</x:v>
      </x:c>
      <x:c r="H131" s="23" t="n">
        <x:f>IF(D131=F131,0,1)+IF(E131=G131,0,1)</x:f>
        <x:v>0</x:v>
      </x:c>
      <x:c r="I131" s="23" t="str">
        <x:v>Timing T20 / fictional rates</x:v>
      </x:c>
    </x:row>
    <x:row r="132" ht="21" customHeight="1">
      <x:c r="A132" s="23" t="str">
        <x:v>front_high</x:v>
      </x:c>
      <x:c r="B132" s="23" t="n">
        <x:v>29</x:v>
      </x:c>
      <x:c r="C132" s="37" t="n">
        <x:v>49035</x:v>
      </x:c>
      <x:c r="D132" s="55" t="n">
        <x:v>0</x:v>
      </x:c>
      <x:c r="E132" s="55" t="n">
        <x:v>0.06</x:v>
      </x:c>
      <x:c r="F132" s="60" t="n">
        <x:v>0</x:v>
      </x:c>
      <x:c r="G132" s="60" t="n">
        <x:v>0.06</x:v>
      </x:c>
      <x:c r="H132" s="23" t="n">
        <x:f>IF(D132=F132,0,1)+IF(E132=G132,0,1)</x:f>
        <x:v>0</x:v>
      </x:c>
      <x:c r="I132" s="23" t="str">
        <x:v>Timing T20 / fictional rates</x:v>
      </x:c>
    </x:row>
    <x:row r="133" ht="21" customHeight="1">
      <x:c r="A133" s="23" t="str">
        <x:v>front_high</x:v>
      </x:c>
      <x:c r="B133" s="23" t="n">
        <x:v>30</x:v>
      </x:c>
      <x:c r="C133" s="37" t="n">
        <x:v>49126</x:v>
      </x:c>
      <x:c r="D133" s="55" t="n">
        <x:v>0</x:v>
      </x:c>
      <x:c r="E133" s="55" t="n">
        <x:v>0.06</x:v>
      </x:c>
      <x:c r="F133" s="60" t="n">
        <x:v>0</x:v>
      </x:c>
      <x:c r="G133" s="60" t="n">
        <x:v>0.06</x:v>
      </x:c>
      <x:c r="H133" s="23" t="n">
        <x:f>IF(D133=F133,0,1)+IF(E133=G133,0,1)</x:f>
        <x:v>0</x:v>
      </x:c>
      <x:c r="I133" s="23" t="str">
        <x:v>Timing T20 / fictional rates</x:v>
      </x:c>
    </x:row>
    <x:row r="134" ht="21" customHeight="1">
      <x:c r="A134" s="23" t="str">
        <x:v>front_high</x:v>
      </x:c>
      <x:c r="B134" s="23" t="n">
        <x:v>31</x:v>
      </x:c>
      <x:c r="C134" s="37" t="n">
        <x:v>49218</x:v>
      </x:c>
      <x:c r="D134" s="55" t="n">
        <x:v>0</x:v>
      </x:c>
      <x:c r="E134" s="55" t="n">
        <x:v>0.06</x:v>
      </x:c>
      <x:c r="F134" s="60" t="n">
        <x:v>0</x:v>
      </x:c>
      <x:c r="G134" s="60" t="n">
        <x:v>0.06</x:v>
      </x:c>
      <x:c r="H134" s="23" t="n">
        <x:f>IF(D134=F134,0,1)+IF(E134=G134,0,1)</x:f>
        <x:v>0</x:v>
      </x:c>
      <x:c r="I134" s="23" t="str">
        <x:v>Timing T20 / fictional rates</x:v>
      </x:c>
    </x:row>
    <x:row r="135" ht="21" customHeight="1">
      <x:c r="A135" s="23" t="str">
        <x:v>front_high</x:v>
      </x:c>
      <x:c r="B135" s="23" t="n">
        <x:v>32</x:v>
      </x:c>
      <x:c r="C135" s="37" t="n">
        <x:v>49310</x:v>
      </x:c>
      <x:c r="D135" s="55" t="n">
        <x:v>0</x:v>
      </x:c>
      <x:c r="E135" s="55" t="n">
        <x:v>0.06</x:v>
      </x:c>
      <x:c r="F135" s="60" t="n">
        <x:v>0</x:v>
      </x:c>
      <x:c r="G135" s="60" t="n">
        <x:v>0.06</x:v>
      </x:c>
      <x:c r="H135" s="23" t="n">
        <x:f>IF(D135=F135,0,1)+IF(E135=G135,0,1)</x:f>
        <x:v>0</x:v>
      </x:c>
      <x:c r="I135" s="23" t="str">
        <x:v>Timing T20 / fictional rates</x:v>
      </x:c>
    </x:row>
    <x:row r="136" ht="21" customHeight="1">
      <x:c r="A136" s="23" t="str">
        <x:v>front_high</x:v>
      </x:c>
      <x:c r="B136" s="23" t="n">
        <x:v>33</x:v>
      </x:c>
      <x:c r="C136" s="37" t="n">
        <x:v>49400</x:v>
      </x:c>
      <x:c r="D136" s="55" t="n">
        <x:v>0</x:v>
      </x:c>
      <x:c r="E136" s="55" t="n">
        <x:v>0.06</x:v>
      </x:c>
      <x:c r="F136" s="60" t="n">
        <x:v>0</x:v>
      </x:c>
      <x:c r="G136" s="60" t="n">
        <x:v>0.06</x:v>
      </x:c>
      <x:c r="H136" s="23" t="n">
        <x:f>IF(D136=F136,0,1)+IF(E136=G136,0,1)</x:f>
        <x:v>0</x:v>
      </x:c>
      <x:c r="I136" s="23" t="str">
        <x:v>Timing T20 / fictional rates</x:v>
      </x:c>
    </x:row>
    <x:row r="137" ht="21" customHeight="1">
      <x:c r="A137" s="23" t="str">
        <x:v>front_high</x:v>
      </x:c>
      <x:c r="B137" s="23" t="n">
        <x:v>34</x:v>
      </x:c>
      <x:c r="C137" s="37" t="n">
        <x:v>49491</x:v>
      </x:c>
      <x:c r="D137" s="55" t="n">
        <x:v>0</x:v>
      </x:c>
      <x:c r="E137" s="55" t="n">
        <x:v>0.06</x:v>
      </x:c>
      <x:c r="F137" s="60" t="n">
        <x:v>0</x:v>
      </x:c>
      <x:c r="G137" s="60" t="n">
        <x:v>0.06</x:v>
      </x:c>
      <x:c r="H137" s="23" t="n">
        <x:f>IF(D137=F137,0,1)+IF(E137=G137,0,1)</x:f>
        <x:v>0</x:v>
      </x:c>
      <x:c r="I137" s="23" t="str">
        <x:v>Timing T20 / fictional rates</x:v>
      </x:c>
    </x:row>
    <x:row r="138" ht="21" customHeight="1">
      <x:c r="A138" s="23" t="str">
        <x:v>front_high</x:v>
      </x:c>
      <x:c r="B138" s="23" t="n">
        <x:v>35</x:v>
      </x:c>
      <x:c r="C138" s="37" t="n">
        <x:v>49583</x:v>
      </x:c>
      <x:c r="D138" s="55" t="n">
        <x:v>0</x:v>
      </x:c>
      <x:c r="E138" s="55" t="n">
        <x:v>0.06</x:v>
      </x:c>
      <x:c r="F138" s="60" t="n">
        <x:v>0</x:v>
      </x:c>
      <x:c r="G138" s="60" t="n">
        <x:v>0.06</x:v>
      </x:c>
      <x:c r="H138" s="23" t="n">
        <x:f>IF(D138=F138,0,1)+IF(E138=G138,0,1)</x:f>
        <x:v>0</x:v>
      </x:c>
      <x:c r="I138" s="23" t="str">
        <x:v>Timing T20 / fictional rates</x:v>
      </x:c>
    </x:row>
    <x:row r="139" ht="21" customHeight="1">
      <x:c r="A139" s="23" t="str">
        <x:v>front_high</x:v>
      </x:c>
      <x:c r="B139" s="23" t="n">
        <x:v>36</x:v>
      </x:c>
      <x:c r="C139" s="37" t="n">
        <x:v>49675</x:v>
      </x:c>
      <x:c r="D139" s="55" t="n">
        <x:v>0</x:v>
      </x:c>
      <x:c r="E139" s="55" t="n">
        <x:v>0.06</x:v>
      </x:c>
      <x:c r="F139" s="60" t="n">
        <x:v>0</x:v>
      </x:c>
      <x:c r="G139" s="60" t="n">
        <x:v>0.06</x:v>
      </x:c>
      <x:c r="H139" s="23" t="n">
        <x:f>IF(D139=F139,0,1)+IF(E139=G139,0,1)</x:f>
        <x:v>0</x:v>
      </x:c>
      <x:c r="I139" s="23" t="str">
        <x:v>Timing T20 / fictional rates</x:v>
      </x:c>
    </x:row>
    <x:row r="140" ht="21" customHeight="1">
      <x:c r="A140" s="23" t="str">
        <x:v>front_high</x:v>
      </x:c>
      <x:c r="B140" s="23" t="n">
        <x:v>37</x:v>
      </x:c>
      <x:c r="C140" s="37" t="n">
        <x:v>49766</x:v>
      </x:c>
      <x:c r="D140" s="55" t="n">
        <x:v>0</x:v>
      </x:c>
      <x:c r="E140" s="55" t="n">
        <x:v>0.06</x:v>
      </x:c>
      <x:c r="F140" s="60" t="n">
        <x:v>0</x:v>
      </x:c>
      <x:c r="G140" s="60" t="n">
        <x:v>0.06</x:v>
      </x:c>
      <x:c r="H140" s="23" t="n">
        <x:f>IF(D140=F140,0,1)+IF(E140=G140,0,1)</x:f>
        <x:v>0</x:v>
      </x:c>
      <x:c r="I140" s="23" t="str">
        <x:v>Timing T20 / fictional rates</x:v>
      </x:c>
    </x:row>
    <x:row r="141" ht="21" customHeight="1">
      <x:c r="A141" s="23" t="str">
        <x:v>front_high</x:v>
      </x:c>
      <x:c r="B141" s="23" t="n">
        <x:v>38</x:v>
      </x:c>
      <x:c r="C141" s="37" t="n">
        <x:v>49857</x:v>
      </x:c>
      <x:c r="D141" s="55" t="n">
        <x:v>0</x:v>
      </x:c>
      <x:c r="E141" s="55" t="n">
        <x:v>0.06</x:v>
      </x:c>
      <x:c r="F141" s="60" t="n">
        <x:v>0</x:v>
      </x:c>
      <x:c r="G141" s="60" t="n">
        <x:v>0.06</x:v>
      </x:c>
      <x:c r="H141" s="23" t="n">
        <x:f>IF(D141=F141,0,1)+IF(E141=G141,0,1)</x:f>
        <x:v>0</x:v>
      </x:c>
      <x:c r="I141" s="23" t="str">
        <x:v>Timing T20 / fictional rates</x:v>
      </x:c>
    </x:row>
    <x:row r="142" ht="21" customHeight="1">
      <x:c r="A142" s="23" t="str">
        <x:v>front_high</x:v>
      </x:c>
      <x:c r="B142" s="23" t="n">
        <x:v>39</x:v>
      </x:c>
      <x:c r="C142" s="37" t="n">
        <x:v>49949</x:v>
      </x:c>
      <x:c r="D142" s="55" t="n">
        <x:v>0</x:v>
      </x:c>
      <x:c r="E142" s="55" t="n">
        <x:v>0.06</x:v>
      </x:c>
      <x:c r="F142" s="60" t="n">
        <x:v>0</x:v>
      </x:c>
      <x:c r="G142" s="60" t="n">
        <x:v>0.06</x:v>
      </x:c>
      <x:c r="H142" s="23" t="n">
        <x:f>IF(D142=F142,0,1)+IF(E142=G142,0,1)</x:f>
        <x:v>0</x:v>
      </x:c>
      <x:c r="I142" s="23" t="str">
        <x:v>Timing T20 / fictional rates</x:v>
      </x:c>
    </x:row>
    <x:row r="143" ht="21" customHeight="1">
      <x:c r="A143" s="23" t="str">
        <x:v>front_high</x:v>
      </x:c>
      <x:c r="B143" s="23" t="n">
        <x:v>40</x:v>
      </x:c>
      <x:c r="C143" s="37" t="n">
        <x:v>50041</x:v>
      </x:c>
      <x:c r="D143" s="55" t="n">
        <x:v>0</x:v>
      </x:c>
      <x:c r="E143" s="55" t="n">
        <x:v>0.06</x:v>
      </x:c>
      <x:c r="F143" s="60" t="n">
        <x:v>0</x:v>
      </x:c>
      <x:c r="G143" s="60" t="n">
        <x:v>0.06</x:v>
      </x:c>
      <x:c r="H143" s="23" t="n">
        <x:f>IF(D143=F143,0,1)+IF(E143=G143,0,1)</x:f>
        <x:v>0</x:v>
      </x:c>
      <x:c r="I143" s="23" t="str">
        <x:v>Timing T20 / fictional rates</x:v>
      </x:c>
    </x:row>
    <x:row r="144" ht="21" customHeight="1">
      <x:c r="A144" s="23" t="str">
        <x:v>front_high</x:v>
      </x:c>
      <x:c r="B144" s="23" t="n">
        <x:v>41</x:v>
      </x:c>
      <x:c r="C144" s="37" t="n">
        <x:v>50131</x:v>
      </x:c>
      <x:c r="D144" s="55" t="n">
        <x:v>0</x:v>
      </x:c>
      <x:c r="E144" s="55" t="n">
        <x:v>0.06</x:v>
      </x:c>
      <x:c r="F144" s="60" t="n">
        <x:v>0</x:v>
      </x:c>
      <x:c r="G144" s="60" t="n">
        <x:v>0.06</x:v>
      </x:c>
      <x:c r="H144" s="23" t="n">
        <x:f>IF(D144=F144,0,1)+IF(E144=G144,0,1)</x:f>
        <x:v>0</x:v>
      </x:c>
      <x:c r="I144" s="23" t="str">
        <x:v>Timing T20 / fictional rates</x:v>
      </x:c>
    </x:row>
    <x:row r="145" ht="21" customHeight="1">
      <x:c r="A145" s="23" t="str">
        <x:v>front_high</x:v>
      </x:c>
      <x:c r="B145" s="23" t="n">
        <x:v>42</x:v>
      </x:c>
      <x:c r="C145" s="37" t="n">
        <x:v>50222</x:v>
      </x:c>
      <x:c r="D145" s="55" t="n">
        <x:v>0</x:v>
      </x:c>
      <x:c r="E145" s="55" t="n">
        <x:v>0.06</x:v>
      </x:c>
      <x:c r="F145" s="60" t="n">
        <x:v>0</x:v>
      </x:c>
      <x:c r="G145" s="60" t="n">
        <x:v>0.06</x:v>
      </x:c>
      <x:c r="H145" s="23" t="n">
        <x:f>IF(D145=F145,0,1)+IF(E145=G145,0,1)</x:f>
        <x:v>0</x:v>
      </x:c>
      <x:c r="I145" s="23" t="str">
        <x:v>Timing T20 / fictional rates</x:v>
      </x:c>
    </x:row>
    <x:row r="146" ht="21" customHeight="1">
      <x:c r="A146" s="23" t="str">
        <x:v>front_high</x:v>
      </x:c>
      <x:c r="B146" s="23" t="n">
        <x:v>43</x:v>
      </x:c>
      <x:c r="C146" s="37" t="n">
        <x:v>50314</x:v>
      </x:c>
      <x:c r="D146" s="55" t="n">
        <x:v>0</x:v>
      </x:c>
      <x:c r="E146" s="55" t="n">
        <x:v>0.06</x:v>
      </x:c>
      <x:c r="F146" s="60" t="n">
        <x:v>0</x:v>
      </x:c>
      <x:c r="G146" s="60" t="n">
        <x:v>0.06</x:v>
      </x:c>
      <x:c r="H146" s="23" t="n">
        <x:f>IF(D146=F146,0,1)+IF(E146=G146,0,1)</x:f>
        <x:v>0</x:v>
      </x:c>
      <x:c r="I146" s="23" t="str">
        <x:v>Timing T20 / fictional rates</x:v>
      </x:c>
    </x:row>
    <x:row r="147" ht="21" customHeight="1">
      <x:c r="A147" s="23" t="str">
        <x:v>front_high</x:v>
      </x:c>
      <x:c r="B147" s="23" t="n">
        <x:v>44</x:v>
      </x:c>
      <x:c r="C147" s="37" t="n">
        <x:v>50406</x:v>
      </x:c>
      <x:c r="D147" s="55" t="n">
        <x:v>0</x:v>
      </x:c>
      <x:c r="E147" s="55" t="n">
        <x:v>0.06</x:v>
      </x:c>
      <x:c r="F147" s="60" t="n">
        <x:v>0</x:v>
      </x:c>
      <x:c r="G147" s="60" t="n">
        <x:v>0.06</x:v>
      </x:c>
      <x:c r="H147" s="23" t="n">
        <x:f>IF(D147=F147,0,1)+IF(E147=G147,0,1)</x:f>
        <x:v>0</x:v>
      </x:c>
      <x:c r="I147" s="23" t="str">
        <x:v>Timing T20 / fictional rates</x:v>
      </x:c>
    </x:row>
    <x:row r="148" ht="21" customHeight="1">
      <x:c r="A148" s="23" t="str">
        <x:v>front_high</x:v>
      </x:c>
      <x:c r="B148" s="23" t="n">
        <x:v>45</x:v>
      </x:c>
      <x:c r="C148" s="37" t="n">
        <x:v>50496</x:v>
      </x:c>
      <x:c r="D148" s="55" t="n">
        <x:v>0</x:v>
      </x:c>
      <x:c r="E148" s="55" t="n">
        <x:v>0.06</x:v>
      </x:c>
      <x:c r="F148" s="60" t="n">
        <x:v>0</x:v>
      </x:c>
      <x:c r="G148" s="60" t="n">
        <x:v>0.06</x:v>
      </x:c>
      <x:c r="H148" s="23" t="n">
        <x:f>IF(D148=F148,0,1)+IF(E148=G148,0,1)</x:f>
        <x:v>0</x:v>
      </x:c>
      <x:c r="I148" s="23" t="str">
        <x:v>Timing T20 / fictional rates</x:v>
      </x:c>
    </x:row>
    <x:row r="149" ht="21" customHeight="1">
      <x:c r="A149" s="23" t="str">
        <x:v>front_high</x:v>
      </x:c>
      <x:c r="B149" s="23" t="n">
        <x:v>46</x:v>
      </x:c>
      <x:c r="C149" s="37" t="n">
        <x:v>50587</x:v>
      </x:c>
      <x:c r="D149" s="55" t="n">
        <x:v>0</x:v>
      </x:c>
      <x:c r="E149" s="55" t="n">
        <x:v>0.06</x:v>
      </x:c>
      <x:c r="F149" s="60" t="n">
        <x:v>0</x:v>
      </x:c>
      <x:c r="G149" s="60" t="n">
        <x:v>0.06</x:v>
      </x:c>
      <x:c r="H149" s="23" t="n">
        <x:f>IF(D149=F149,0,1)+IF(E149=G149,0,1)</x:f>
        <x:v>0</x:v>
      </x:c>
      <x:c r="I149" s="23" t="str">
        <x:v>Timing T20 / fictional rates</x:v>
      </x:c>
    </x:row>
    <x:row r="150" ht="21" customHeight="1">
      <x:c r="A150" s="23" t="str">
        <x:v>front_high</x:v>
      </x:c>
      <x:c r="B150" s="23" t="n">
        <x:v>47</x:v>
      </x:c>
      <x:c r="C150" s="37" t="n">
        <x:v>50679</x:v>
      </x:c>
      <x:c r="D150" s="55" t="n">
        <x:v>0</x:v>
      </x:c>
      <x:c r="E150" s="55" t="n">
        <x:v>0.06</x:v>
      </x:c>
      <x:c r="F150" s="60" t="n">
        <x:v>0</x:v>
      </x:c>
      <x:c r="G150" s="60" t="n">
        <x:v>0.06</x:v>
      </x:c>
      <x:c r="H150" s="23" t="n">
        <x:f>IF(D150=F150,0,1)+IF(E150=G150,0,1)</x:f>
        <x:v>0</x:v>
      </x:c>
      <x:c r="I150" s="23" t="str">
        <x:v>Timing T20 / fictional rates</x:v>
      </x:c>
    </x:row>
    <x:row r="151" ht="21" customHeight="1">
      <x:c r="A151" s="23" t="str">
        <x:v>front_high</x:v>
      </x:c>
      <x:c r="B151" s="23" t="n">
        <x:v>48</x:v>
      </x:c>
      <x:c r="C151" s="37" t="n">
        <x:v>50771</x:v>
      </x:c>
      <x:c r="D151" s="55" t="n">
        <x:v>0</x:v>
      </x:c>
      <x:c r="E151" s="55" t="n">
        <x:v>0.06</x:v>
      </x:c>
      <x:c r="F151" s="60" t="n">
        <x:v>0</x:v>
      </x:c>
      <x:c r="G151" s="60" t="n">
        <x:v>0.06</x:v>
      </x:c>
      <x:c r="H151" s="23" t="n">
        <x:f>IF(D151=F151,0,1)+IF(E151=G151,0,1)</x:f>
        <x:v>0</x:v>
      </x:c>
      <x:c r="I151" s="23" t="str">
        <x:v>Timing T20 / fictional rates</x:v>
      </x:c>
    </x:row>
    <x:row r="152" ht="21" customHeight="1">
      <x:c r="A152" s="23" t="str">
        <x:v>middle_flat</x:v>
      </x:c>
      <x:c r="B152" s="23" t="n">
        <x:v>1</x:v>
      </x:c>
      <x:c r="C152" s="37" t="n">
        <x:v>46478</x:v>
      </x:c>
      <x:c r="D152" s="55" t="n">
        <x:v>0.04</x:v>
      </x:c>
      <x:c r="E152" s="55" t="n">
        <x:v>0.03</x:v>
      </x:c>
      <x:c r="F152" s="60" t="n">
        <x:v>0.04</x:v>
      </x:c>
      <x:c r="G152" s="60" t="n">
        <x:v>0.03</x:v>
      </x:c>
      <x:c r="H152" s="23" t="n">
        <x:f>IF(D152=F152,0,1)+IF(E152=G152,0,1)</x:f>
        <x:v>0</x:v>
      </x:c>
      <x:c r="I152" s="23" t="str">
        <x:v>Timing T20 / fictional rates</x:v>
      </x:c>
    </x:row>
    <x:row r="153" ht="21" customHeight="1">
      <x:c r="A153" s="23" t="str">
        <x:v>middle_flat</x:v>
      </x:c>
      <x:c r="B153" s="23" t="n">
        <x:v>2</x:v>
      </x:c>
      <x:c r="C153" s="37" t="n">
        <x:v>46569</x:v>
      </x:c>
      <x:c r="D153" s="55" t="n">
        <x:v>0.04</x:v>
      </x:c>
      <x:c r="E153" s="55" t="n">
        <x:v>0.03</x:v>
      </x:c>
      <x:c r="F153" s="60" t="n">
        <x:v>0.04</x:v>
      </x:c>
      <x:c r="G153" s="60" t="n">
        <x:v>0.03</x:v>
      </x:c>
      <x:c r="H153" s="23" t="n">
        <x:f>IF(D153=F153,0,1)+IF(E153=G153,0,1)</x:f>
        <x:v>0</x:v>
      </x:c>
      <x:c r="I153" s="23" t="str">
        <x:v>Timing T20 / fictional rates</x:v>
      </x:c>
    </x:row>
    <x:row r="154" ht="21" customHeight="1">
      <x:c r="A154" s="23" t="str">
        <x:v>middle_flat</x:v>
      </x:c>
      <x:c r="B154" s="23" t="n">
        <x:v>3</x:v>
      </x:c>
      <x:c r="C154" s="37" t="n">
        <x:v>46661</x:v>
      </x:c>
      <x:c r="D154" s="55" t="n">
        <x:v>0.04</x:v>
      </x:c>
      <x:c r="E154" s="55" t="n">
        <x:v>0.03</x:v>
      </x:c>
      <x:c r="F154" s="60" t="n">
        <x:v>0.04</x:v>
      </x:c>
      <x:c r="G154" s="60" t="n">
        <x:v>0.03</x:v>
      </x:c>
      <x:c r="H154" s="23" t="n">
        <x:f>IF(D154=F154,0,1)+IF(E154=G154,0,1)</x:f>
        <x:v>0</x:v>
      </x:c>
      <x:c r="I154" s="23" t="str">
        <x:v>Timing T20 / fictional rates</x:v>
      </x:c>
    </x:row>
    <x:row r="155" ht="21" customHeight="1">
      <x:c r="A155" s="23" t="str">
        <x:v>middle_flat</x:v>
      </x:c>
      <x:c r="B155" s="23" t="n">
        <x:v>4</x:v>
      </x:c>
      <x:c r="C155" s="37" t="n">
        <x:v>46753</x:v>
      </x:c>
      <x:c r="D155" s="55" t="n">
        <x:v>0.04</x:v>
      </x:c>
      <x:c r="E155" s="55" t="n">
        <x:v>0.03</x:v>
      </x:c>
      <x:c r="F155" s="60" t="n">
        <x:v>0.04</x:v>
      </x:c>
      <x:c r="G155" s="60" t="n">
        <x:v>0.03</x:v>
      </x:c>
      <x:c r="H155" s="23" t="n">
        <x:f>IF(D155=F155,0,1)+IF(E155=G155,0,1)</x:f>
        <x:v>0</x:v>
      </x:c>
      <x:c r="I155" s="23" t="str">
        <x:v>Timing T20 / fictional rates</x:v>
      </x:c>
    </x:row>
    <x:row r="156" ht="21" customHeight="1">
      <x:c r="A156" s="23" t="str">
        <x:v>middle_flat</x:v>
      </x:c>
      <x:c r="B156" s="23" t="n">
        <x:v>5</x:v>
      </x:c>
      <x:c r="C156" s="37" t="n">
        <x:v>46844</x:v>
      </x:c>
      <x:c r="D156" s="55" t="n">
        <x:v>0.0575</x:v>
      </x:c>
      <x:c r="E156" s="55" t="n">
        <x:v>0.03</x:v>
      </x:c>
      <x:c r="F156" s="60" t="n">
        <x:v>0.0575</x:v>
      </x:c>
      <x:c r="G156" s="60" t="n">
        <x:v>0.03</x:v>
      </x:c>
      <x:c r="H156" s="23" t="n">
        <x:f>IF(D156=F156,0,1)+IF(E156=G156,0,1)</x:f>
        <x:v>0</x:v>
      </x:c>
      <x:c r="I156" s="23" t="str">
        <x:v>Timing T20 / fictional rates</x:v>
      </x:c>
    </x:row>
    <x:row r="157" ht="21" customHeight="1">
      <x:c r="A157" s="23" t="str">
        <x:v>middle_flat</x:v>
      </x:c>
      <x:c r="B157" s="23" t="n">
        <x:v>6</x:v>
      </x:c>
      <x:c r="C157" s="37" t="n">
        <x:v>46935</x:v>
      </x:c>
      <x:c r="D157" s="55" t="n">
        <x:v>0.0575</x:v>
      </x:c>
      <x:c r="E157" s="55" t="n">
        <x:v>0.03</x:v>
      </x:c>
      <x:c r="F157" s="60" t="n">
        <x:v>0.0575</x:v>
      </x:c>
      <x:c r="G157" s="60" t="n">
        <x:v>0.03</x:v>
      </x:c>
      <x:c r="H157" s="23" t="n">
        <x:f>IF(D157=F157,0,1)+IF(E157=G157,0,1)</x:f>
        <x:v>0</x:v>
      </x:c>
      <x:c r="I157" s="23" t="str">
        <x:v>Timing T20 / fictional rates</x:v>
      </x:c>
    </x:row>
    <x:row r="158" ht="21" customHeight="1">
      <x:c r="A158" s="23" t="str">
        <x:v>middle_flat</x:v>
      </x:c>
      <x:c r="B158" s="23" t="n">
        <x:v>7</x:v>
      </x:c>
      <x:c r="C158" s="37" t="n">
        <x:v>47027</x:v>
      </x:c>
      <x:c r="D158" s="55" t="n">
        <x:v>0.0575</x:v>
      </x:c>
      <x:c r="E158" s="55" t="n">
        <x:v>0.03</x:v>
      </x:c>
      <x:c r="F158" s="60" t="n">
        <x:v>0.0575</x:v>
      </x:c>
      <x:c r="G158" s="60" t="n">
        <x:v>0.03</x:v>
      </x:c>
      <x:c r="H158" s="23" t="n">
        <x:f>IF(D158=F158,0,1)+IF(E158=G158,0,1)</x:f>
        <x:v>0</x:v>
      </x:c>
      <x:c r="I158" s="23" t="str">
        <x:v>Timing T20 / fictional rates</x:v>
      </x:c>
    </x:row>
    <x:row r="159" ht="21" customHeight="1">
      <x:c r="A159" s="23" t="str">
        <x:v>middle_flat</x:v>
      </x:c>
      <x:c r="B159" s="23" t="n">
        <x:v>8</x:v>
      </x:c>
      <x:c r="C159" s="37" t="n">
        <x:v>47119</x:v>
      </x:c>
      <x:c r="D159" s="55" t="n">
        <x:v>0.0575</x:v>
      </x:c>
      <x:c r="E159" s="55" t="n">
        <x:v>0.03</x:v>
      </x:c>
      <x:c r="F159" s="60" t="n">
        <x:v>0.0575</x:v>
      </x:c>
      <x:c r="G159" s="60" t="n">
        <x:v>0.03</x:v>
      </x:c>
      <x:c r="H159" s="23" t="n">
        <x:f>IF(D159=F159,0,1)+IF(E159=G159,0,1)</x:f>
        <x:v>0</x:v>
      </x:c>
      <x:c r="I159" s="23" t="str">
        <x:v>Timing T20 / fictional rates</x:v>
      </x:c>
    </x:row>
    <x:row r="160" ht="21" customHeight="1">
      <x:c r="A160" s="23" t="str">
        <x:v>middle_flat</x:v>
      </x:c>
      <x:c r="B160" s="23" t="n">
        <x:v>9</x:v>
      </x:c>
      <x:c r="C160" s="37" t="n">
        <x:v>47209</x:v>
      </x:c>
      <x:c r="D160" s="55" t="n">
        <x:v>0.065</x:v>
      </x:c>
      <x:c r="E160" s="55" t="n">
        <x:v>0.03</x:v>
      </x:c>
      <x:c r="F160" s="60" t="n">
        <x:v>0.065</x:v>
      </x:c>
      <x:c r="G160" s="60" t="n">
        <x:v>0.03</x:v>
      </x:c>
      <x:c r="H160" s="23" t="n">
        <x:f>IF(D160=F160,0,1)+IF(E160=G160,0,1)</x:f>
        <x:v>0</x:v>
      </x:c>
      <x:c r="I160" s="23" t="str">
        <x:v>Timing T20 / fictional rates</x:v>
      </x:c>
    </x:row>
    <x:row r="161" ht="21" customHeight="1">
      <x:c r="A161" s="23" t="str">
        <x:v>middle_flat</x:v>
      </x:c>
      <x:c r="B161" s="23" t="n">
        <x:v>10</x:v>
      </x:c>
      <x:c r="C161" s="37" t="n">
        <x:v>47300</x:v>
      </x:c>
      <x:c r="D161" s="55" t="n">
        <x:v>0.065</x:v>
      </x:c>
      <x:c r="E161" s="55" t="n">
        <x:v>0.03</x:v>
      </x:c>
      <x:c r="F161" s="60" t="n">
        <x:v>0.065</x:v>
      </x:c>
      <x:c r="G161" s="60" t="n">
        <x:v>0.03</x:v>
      </x:c>
      <x:c r="H161" s="23" t="n">
        <x:f>IF(D161=F161,0,1)+IF(E161=G161,0,1)</x:f>
        <x:v>0</x:v>
      </x:c>
      <x:c r="I161" s="23" t="str">
        <x:v>Timing T20 / fictional rates</x:v>
      </x:c>
    </x:row>
    <x:row r="162" ht="21" customHeight="1">
      <x:c r="A162" s="23" t="str">
        <x:v>middle_flat</x:v>
      </x:c>
      <x:c r="B162" s="23" t="n">
        <x:v>11</x:v>
      </x:c>
      <x:c r="C162" s="37" t="n">
        <x:v>47392</x:v>
      </x:c>
      <x:c r="D162" s="55" t="n">
        <x:v>0.065</x:v>
      </x:c>
      <x:c r="E162" s="55" t="n">
        <x:v>0.03</x:v>
      </x:c>
      <x:c r="F162" s="60" t="n">
        <x:v>0.065</x:v>
      </x:c>
      <x:c r="G162" s="60" t="n">
        <x:v>0.03</x:v>
      </x:c>
      <x:c r="H162" s="23" t="n">
        <x:f>IF(D162=F162,0,1)+IF(E162=G162,0,1)</x:f>
        <x:v>0</x:v>
      </x:c>
      <x:c r="I162" s="23" t="str">
        <x:v>Timing T20 / fictional rates</x:v>
      </x:c>
    </x:row>
    <x:row r="163" ht="21" customHeight="1">
      <x:c r="A163" s="23" t="str">
        <x:v>middle_flat</x:v>
      </x:c>
      <x:c r="B163" s="23" t="n">
        <x:v>12</x:v>
      </x:c>
      <x:c r="C163" s="37" t="n">
        <x:v>47484</x:v>
      </x:c>
      <x:c r="D163" s="55" t="n">
        <x:v>0.065</x:v>
      </x:c>
      <x:c r="E163" s="55" t="n">
        <x:v>0.03</x:v>
      </x:c>
      <x:c r="F163" s="60" t="n">
        <x:v>0.065</x:v>
      </x:c>
      <x:c r="G163" s="60" t="n">
        <x:v>0.03</x:v>
      </x:c>
      <x:c r="H163" s="23" t="n">
        <x:f>IF(D163=F163,0,1)+IF(E163=G163,0,1)</x:f>
        <x:v>0</x:v>
      </x:c>
      <x:c r="I163" s="23" t="str">
        <x:v>Timing T20 / fictional rates</x:v>
      </x:c>
    </x:row>
    <x:row r="164" ht="21" customHeight="1">
      <x:c r="A164" s="23" t="str">
        <x:v>middle_flat</x:v>
      </x:c>
      <x:c r="B164" s="23" t="n">
        <x:v>13</x:v>
      </x:c>
      <x:c r="C164" s="37" t="n">
        <x:v>47574</x:v>
      </x:c>
      <x:c r="D164" s="55" t="n">
        <x:v>0.055</x:v>
      </x:c>
      <x:c r="E164" s="55" t="n">
        <x:v>0.03</x:v>
      </x:c>
      <x:c r="F164" s="60" t="n">
        <x:v>0.055</x:v>
      </x:c>
      <x:c r="G164" s="60" t="n">
        <x:v>0.03</x:v>
      </x:c>
      <x:c r="H164" s="23" t="n">
        <x:f>IF(D164=F164,0,1)+IF(E164=G164,0,1)</x:f>
        <x:v>0</x:v>
      </x:c>
      <x:c r="I164" s="23" t="str">
        <x:v>Timing T20 / fictional rates</x:v>
      </x:c>
    </x:row>
    <x:row r="165" ht="21" customHeight="1">
      <x:c r="A165" s="23" t="str">
        <x:v>middle_flat</x:v>
      </x:c>
      <x:c r="B165" s="23" t="n">
        <x:v>14</x:v>
      </x:c>
      <x:c r="C165" s="37" t="n">
        <x:v>47665</x:v>
      </x:c>
      <x:c r="D165" s="55" t="n">
        <x:v>0.055</x:v>
      </x:c>
      <x:c r="E165" s="55" t="n">
        <x:v>0.03</x:v>
      </x:c>
      <x:c r="F165" s="60" t="n">
        <x:v>0.055</x:v>
      </x:c>
      <x:c r="G165" s="60" t="n">
        <x:v>0.03</x:v>
      </x:c>
      <x:c r="H165" s="23" t="n">
        <x:f>IF(D165=F165,0,1)+IF(E165=G165,0,1)</x:f>
        <x:v>0</x:v>
      </x:c>
      <x:c r="I165" s="23" t="str">
        <x:v>Timing T20 / fictional rates</x:v>
      </x:c>
    </x:row>
    <x:row r="166" ht="21" customHeight="1">
      <x:c r="A166" s="23" t="str">
        <x:v>middle_flat</x:v>
      </x:c>
      <x:c r="B166" s="23" t="n">
        <x:v>15</x:v>
      </x:c>
      <x:c r="C166" s="37" t="n">
        <x:v>47757</x:v>
      </x:c>
      <x:c r="D166" s="55" t="n">
        <x:v>0.055</x:v>
      </x:c>
      <x:c r="E166" s="55" t="n">
        <x:v>0.03</x:v>
      </x:c>
      <x:c r="F166" s="60" t="n">
        <x:v>0.055</x:v>
      </x:c>
      <x:c r="G166" s="60" t="n">
        <x:v>0.03</x:v>
      </x:c>
      <x:c r="H166" s="23" t="n">
        <x:f>IF(D166=F166,0,1)+IF(E166=G166,0,1)</x:f>
        <x:v>0</x:v>
      </x:c>
      <x:c r="I166" s="23" t="str">
        <x:v>Timing T20 / fictional rates</x:v>
      </x:c>
    </x:row>
    <x:row r="167" ht="21" customHeight="1">
      <x:c r="A167" s="23" t="str">
        <x:v>middle_flat</x:v>
      </x:c>
      <x:c r="B167" s="23" t="n">
        <x:v>16</x:v>
      </x:c>
      <x:c r="C167" s="37" t="n">
        <x:v>47849</x:v>
      </x:c>
      <x:c r="D167" s="55" t="n">
        <x:v>0.055</x:v>
      </x:c>
      <x:c r="E167" s="55" t="n">
        <x:v>0.03</x:v>
      </x:c>
      <x:c r="F167" s="60" t="n">
        <x:v>0.055</x:v>
      </x:c>
      <x:c r="G167" s="60" t="n">
        <x:v>0.03</x:v>
      </x:c>
      <x:c r="H167" s="23" t="n">
        <x:f>IF(D167=F167,0,1)+IF(E167=G167,0,1)</x:f>
        <x:v>0</x:v>
      </x:c>
      <x:c r="I167" s="23" t="str">
        <x:v>Timing T20 / fictional rates</x:v>
      </x:c>
    </x:row>
    <x:row r="168" ht="21" customHeight="1">
      <x:c r="A168" s="23" t="str">
        <x:v>middle_flat</x:v>
      </x:c>
      <x:c r="B168" s="23" t="n">
        <x:v>17</x:v>
      </x:c>
      <x:c r="C168" s="37" t="n">
        <x:v>47939</x:v>
      </x:c>
      <x:c r="D168" s="55" t="n">
        <x:v>0.0325</x:v>
      </x:c>
      <x:c r="E168" s="55" t="n">
        <x:v>0.03</x:v>
      </x:c>
      <x:c r="F168" s="60" t="n">
        <x:v>0.0325</x:v>
      </x:c>
      <x:c r="G168" s="60" t="n">
        <x:v>0.03</x:v>
      </x:c>
      <x:c r="H168" s="23" t="n">
        <x:f>IF(D168=F168,0,1)+IF(E168=G168,0,1)</x:f>
        <x:v>0</x:v>
      </x:c>
      <x:c r="I168" s="23" t="str">
        <x:v>Timing T20 / fictional rates</x:v>
      </x:c>
    </x:row>
    <x:row r="169" ht="21" customHeight="1">
      <x:c r="A169" s="23" t="str">
        <x:v>middle_flat</x:v>
      </x:c>
      <x:c r="B169" s="23" t="n">
        <x:v>18</x:v>
      </x:c>
      <x:c r="C169" s="37" t="n">
        <x:v>48030</x:v>
      </x:c>
      <x:c r="D169" s="55" t="n">
        <x:v>0.0325</x:v>
      </x:c>
      <x:c r="E169" s="55" t="n">
        <x:v>0.03</x:v>
      </x:c>
      <x:c r="F169" s="60" t="n">
        <x:v>0.0325</x:v>
      </x:c>
      <x:c r="G169" s="60" t="n">
        <x:v>0.03</x:v>
      </x:c>
      <x:c r="H169" s="23" t="n">
        <x:f>IF(D169=F169,0,1)+IF(E169=G169,0,1)</x:f>
        <x:v>0</x:v>
      </x:c>
      <x:c r="I169" s="23" t="str">
        <x:v>Timing T20 / fictional rates</x:v>
      </x:c>
    </x:row>
    <x:row r="170" ht="21" customHeight="1">
      <x:c r="A170" s="23" t="str">
        <x:v>middle_flat</x:v>
      </x:c>
      <x:c r="B170" s="23" t="n">
        <x:v>19</x:v>
      </x:c>
      <x:c r="C170" s="37" t="n">
        <x:v>48122</x:v>
      </x:c>
      <x:c r="D170" s="55" t="n">
        <x:v>0.0325</x:v>
      </x:c>
      <x:c r="E170" s="55" t="n">
        <x:v>0.03</x:v>
      </x:c>
      <x:c r="F170" s="60" t="n">
        <x:v>0.0325</x:v>
      </x:c>
      <x:c r="G170" s="60" t="n">
        <x:v>0.03</x:v>
      </x:c>
      <x:c r="H170" s="23" t="n">
        <x:f>IF(D170=F170,0,1)+IF(E170=G170,0,1)</x:f>
        <x:v>0</x:v>
      </x:c>
      <x:c r="I170" s="23" t="str">
        <x:v>Timing T20 / fictional rates</x:v>
      </x:c>
    </x:row>
    <x:row r="171" ht="21" customHeight="1">
      <x:c r="A171" s="23" t="str">
        <x:v>middle_flat</x:v>
      </x:c>
      <x:c r="B171" s="23" t="n">
        <x:v>20</x:v>
      </x:c>
      <x:c r="C171" s="37" t="n">
        <x:v>48214</x:v>
      </x:c>
      <x:c r="D171" s="55" t="n">
        <x:v>0.0325</x:v>
      </x:c>
      <x:c r="E171" s="55" t="n">
        <x:v>0.03</x:v>
      </x:c>
      <x:c r="F171" s="60" t="n">
        <x:v>0.0325</x:v>
      </x:c>
      <x:c r="G171" s="60" t="n">
        <x:v>0.03</x:v>
      </x:c>
      <x:c r="H171" s="23" t="n">
        <x:f>IF(D171=F171,0,1)+IF(E171=G171,0,1)</x:f>
        <x:v>0</x:v>
      </x:c>
      <x:c r="I171" s="23" t="str">
        <x:v>Timing T20 / fictional rates</x:v>
      </x:c>
    </x:row>
    <x:row r="172" ht="21" customHeight="1">
      <x:c r="A172" s="23" t="str">
        <x:v>middle_flat</x:v>
      </x:c>
      <x:c r="B172" s="23" t="n">
        <x:v>21</x:v>
      </x:c>
      <x:c r="C172" s="37" t="n">
        <x:v>48305</x:v>
      </x:c>
      <x:c r="D172" s="55" t="n">
        <x:v>0</x:v>
      </x:c>
      <x:c r="E172" s="55" t="n">
        <x:v>0.03</x:v>
      </x:c>
      <x:c r="F172" s="60" t="n">
        <x:v>0</x:v>
      </x:c>
      <x:c r="G172" s="60" t="n">
        <x:v>0.03</x:v>
      </x:c>
      <x:c r="H172" s="23" t="n">
        <x:f>IF(D172=F172,0,1)+IF(E172=G172,0,1)</x:f>
        <x:v>0</x:v>
      </x:c>
      <x:c r="I172" s="23" t="str">
        <x:v>Timing T20 / fictional rates</x:v>
      </x:c>
    </x:row>
    <x:row r="173" ht="21" customHeight="1">
      <x:c r="A173" s="23" t="str">
        <x:v>middle_flat</x:v>
      </x:c>
      <x:c r="B173" s="23" t="n">
        <x:v>22</x:v>
      </x:c>
      <x:c r="C173" s="37" t="n">
        <x:v>48396</x:v>
      </x:c>
      <x:c r="D173" s="55" t="n">
        <x:v>0</x:v>
      </x:c>
      <x:c r="E173" s="55" t="n">
        <x:v>0.03</x:v>
      </x:c>
      <x:c r="F173" s="60" t="n">
        <x:v>0</x:v>
      </x:c>
      <x:c r="G173" s="60" t="n">
        <x:v>0.03</x:v>
      </x:c>
      <x:c r="H173" s="23" t="n">
        <x:f>IF(D173=F173,0,1)+IF(E173=G173,0,1)</x:f>
        <x:v>0</x:v>
      </x:c>
      <x:c r="I173" s="23" t="str">
        <x:v>Timing T20 / fictional rates</x:v>
      </x:c>
    </x:row>
    <x:row r="174" ht="21" customHeight="1">
      <x:c r="A174" s="23" t="str">
        <x:v>middle_flat</x:v>
      </x:c>
      <x:c r="B174" s="23" t="n">
        <x:v>23</x:v>
      </x:c>
      <x:c r="C174" s="37" t="n">
        <x:v>48488</x:v>
      </x:c>
      <x:c r="D174" s="55" t="n">
        <x:v>0</x:v>
      </x:c>
      <x:c r="E174" s="55" t="n">
        <x:v>0.03</x:v>
      </x:c>
      <x:c r="F174" s="60" t="n">
        <x:v>0</x:v>
      </x:c>
      <x:c r="G174" s="60" t="n">
        <x:v>0.03</x:v>
      </x:c>
      <x:c r="H174" s="23" t="n">
        <x:f>IF(D174=F174,0,1)+IF(E174=G174,0,1)</x:f>
        <x:v>0</x:v>
      </x:c>
      <x:c r="I174" s="23" t="str">
        <x:v>Timing T20 / fictional rates</x:v>
      </x:c>
    </x:row>
    <x:row r="175" ht="21" customHeight="1">
      <x:c r="A175" s="23" t="str">
        <x:v>middle_flat</x:v>
      </x:c>
      <x:c r="B175" s="23" t="n">
        <x:v>24</x:v>
      </x:c>
      <x:c r="C175" s="37" t="n">
        <x:v>48580</x:v>
      </x:c>
      <x:c r="D175" s="55" t="n">
        <x:v>0</x:v>
      </x:c>
      <x:c r="E175" s="55" t="n">
        <x:v>0.03</x:v>
      </x:c>
      <x:c r="F175" s="60" t="n">
        <x:v>0</x:v>
      </x:c>
      <x:c r="G175" s="60" t="n">
        <x:v>0.03</x:v>
      </x:c>
      <x:c r="H175" s="23" t="n">
        <x:f>IF(D175=F175,0,1)+IF(E175=G175,0,1)</x:f>
        <x:v>0</x:v>
      </x:c>
      <x:c r="I175" s="23" t="str">
        <x:v>Timing T20 / fictional rates</x:v>
      </x:c>
    </x:row>
    <x:row r="176" ht="21" customHeight="1">
      <x:c r="A176" s="23" t="str">
        <x:v>middle_flat</x:v>
      </x:c>
      <x:c r="B176" s="23" t="n">
        <x:v>25</x:v>
      </x:c>
      <x:c r="C176" s="37" t="n">
        <x:v>48670</x:v>
      </x:c>
      <x:c r="D176" s="55" t="n">
        <x:v>0</x:v>
      </x:c>
      <x:c r="E176" s="55" t="n">
        <x:v>0.03</x:v>
      </x:c>
      <x:c r="F176" s="60" t="n">
        <x:v>0</x:v>
      </x:c>
      <x:c r="G176" s="60" t="n">
        <x:v>0.03</x:v>
      </x:c>
      <x:c r="H176" s="23" t="n">
        <x:f>IF(D176=F176,0,1)+IF(E176=G176,0,1)</x:f>
        <x:v>0</x:v>
      </x:c>
      <x:c r="I176" s="23" t="str">
        <x:v>Timing T20 / fictional rates</x:v>
      </x:c>
    </x:row>
    <x:row r="177" ht="21" customHeight="1">
      <x:c r="A177" s="23" t="str">
        <x:v>middle_flat</x:v>
      </x:c>
      <x:c r="B177" s="23" t="n">
        <x:v>26</x:v>
      </x:c>
      <x:c r="C177" s="37" t="n">
        <x:v>48761</x:v>
      </x:c>
      <x:c r="D177" s="55" t="n">
        <x:v>0</x:v>
      </x:c>
      <x:c r="E177" s="55" t="n">
        <x:v>0.03</x:v>
      </x:c>
      <x:c r="F177" s="60" t="n">
        <x:v>0</x:v>
      </x:c>
      <x:c r="G177" s="60" t="n">
        <x:v>0.03</x:v>
      </x:c>
      <x:c r="H177" s="23" t="n">
        <x:f>IF(D177=F177,0,1)+IF(E177=G177,0,1)</x:f>
        <x:v>0</x:v>
      </x:c>
      <x:c r="I177" s="23" t="str">
        <x:v>Timing T20 / fictional rates</x:v>
      </x:c>
    </x:row>
    <x:row r="178" ht="21" customHeight="1">
      <x:c r="A178" s="23" t="str">
        <x:v>middle_flat</x:v>
      </x:c>
      <x:c r="B178" s="23" t="n">
        <x:v>27</x:v>
      </x:c>
      <x:c r="C178" s="37" t="n">
        <x:v>48853</x:v>
      </x:c>
      <x:c r="D178" s="55" t="n">
        <x:v>0</x:v>
      </x:c>
      <x:c r="E178" s="55" t="n">
        <x:v>0.03</x:v>
      </x:c>
      <x:c r="F178" s="60" t="n">
        <x:v>0</x:v>
      </x:c>
      <x:c r="G178" s="60" t="n">
        <x:v>0.03</x:v>
      </x:c>
      <x:c r="H178" s="23" t="n">
        <x:f>IF(D178=F178,0,1)+IF(E178=G178,0,1)</x:f>
        <x:v>0</x:v>
      </x:c>
      <x:c r="I178" s="23" t="str">
        <x:v>Timing T20 / fictional rates</x:v>
      </x:c>
    </x:row>
    <x:row r="179" ht="21" customHeight="1">
      <x:c r="A179" s="23" t="str">
        <x:v>middle_flat</x:v>
      </x:c>
      <x:c r="B179" s="23" t="n">
        <x:v>28</x:v>
      </x:c>
      <x:c r="C179" s="37" t="n">
        <x:v>48945</x:v>
      </x:c>
      <x:c r="D179" s="55" t="n">
        <x:v>0</x:v>
      </x:c>
      <x:c r="E179" s="55" t="n">
        <x:v>0.03</x:v>
      </x:c>
      <x:c r="F179" s="60" t="n">
        <x:v>0</x:v>
      </x:c>
      <x:c r="G179" s="60" t="n">
        <x:v>0.03</x:v>
      </x:c>
      <x:c r="H179" s="23" t="n">
        <x:f>IF(D179=F179,0,1)+IF(E179=G179,0,1)</x:f>
        <x:v>0</x:v>
      </x:c>
      <x:c r="I179" s="23" t="str">
        <x:v>Timing T20 / fictional rates</x:v>
      </x:c>
    </x:row>
    <x:row r="180" ht="21" customHeight="1">
      <x:c r="A180" s="23" t="str">
        <x:v>middle_flat</x:v>
      </x:c>
      <x:c r="B180" s="23" t="n">
        <x:v>29</x:v>
      </x:c>
      <x:c r="C180" s="37" t="n">
        <x:v>49035</x:v>
      </x:c>
      <x:c r="D180" s="55" t="n">
        <x:v>0</x:v>
      </x:c>
      <x:c r="E180" s="55" t="n">
        <x:v>0.03</x:v>
      </x:c>
      <x:c r="F180" s="60" t="n">
        <x:v>0</x:v>
      </x:c>
      <x:c r="G180" s="60" t="n">
        <x:v>0.03</x:v>
      </x:c>
      <x:c r="H180" s="23" t="n">
        <x:f>IF(D180=F180,0,1)+IF(E180=G180,0,1)</x:f>
        <x:v>0</x:v>
      </x:c>
      <x:c r="I180" s="23" t="str">
        <x:v>Timing T20 / fictional rates</x:v>
      </x:c>
    </x:row>
    <x:row r="181" ht="21" customHeight="1">
      <x:c r="A181" s="23" t="str">
        <x:v>middle_flat</x:v>
      </x:c>
      <x:c r="B181" s="23" t="n">
        <x:v>30</x:v>
      </x:c>
      <x:c r="C181" s="37" t="n">
        <x:v>49126</x:v>
      </x:c>
      <x:c r="D181" s="55" t="n">
        <x:v>0</x:v>
      </x:c>
      <x:c r="E181" s="55" t="n">
        <x:v>0.03</x:v>
      </x:c>
      <x:c r="F181" s="60" t="n">
        <x:v>0</x:v>
      </x:c>
      <x:c r="G181" s="60" t="n">
        <x:v>0.03</x:v>
      </x:c>
      <x:c r="H181" s="23" t="n">
        <x:f>IF(D181=F181,0,1)+IF(E181=G181,0,1)</x:f>
        <x:v>0</x:v>
      </x:c>
      <x:c r="I181" s="23" t="str">
        <x:v>Timing T20 / fictional rates</x:v>
      </x:c>
    </x:row>
    <x:row r="182" ht="21" customHeight="1">
      <x:c r="A182" s="23" t="str">
        <x:v>middle_flat</x:v>
      </x:c>
      <x:c r="B182" s="23" t="n">
        <x:v>31</x:v>
      </x:c>
      <x:c r="C182" s="37" t="n">
        <x:v>49218</x:v>
      </x:c>
      <x:c r="D182" s="55" t="n">
        <x:v>0</x:v>
      </x:c>
      <x:c r="E182" s="55" t="n">
        <x:v>0.03</x:v>
      </x:c>
      <x:c r="F182" s="60" t="n">
        <x:v>0</x:v>
      </x:c>
      <x:c r="G182" s="60" t="n">
        <x:v>0.03</x:v>
      </x:c>
      <x:c r="H182" s="23" t="n">
        <x:f>IF(D182=F182,0,1)+IF(E182=G182,0,1)</x:f>
        <x:v>0</x:v>
      </x:c>
      <x:c r="I182" s="23" t="str">
        <x:v>Timing T20 / fictional rates</x:v>
      </x:c>
    </x:row>
    <x:row r="183" ht="21" customHeight="1">
      <x:c r="A183" s="23" t="str">
        <x:v>middle_flat</x:v>
      </x:c>
      <x:c r="B183" s="23" t="n">
        <x:v>32</x:v>
      </x:c>
      <x:c r="C183" s="37" t="n">
        <x:v>49310</x:v>
      </x:c>
      <x:c r="D183" s="55" t="n">
        <x:v>0</x:v>
      </x:c>
      <x:c r="E183" s="55" t="n">
        <x:v>0.03</x:v>
      </x:c>
      <x:c r="F183" s="60" t="n">
        <x:v>0</x:v>
      </x:c>
      <x:c r="G183" s="60" t="n">
        <x:v>0.03</x:v>
      </x:c>
      <x:c r="H183" s="23" t="n">
        <x:f>IF(D183=F183,0,1)+IF(E183=G183,0,1)</x:f>
        <x:v>0</x:v>
      </x:c>
      <x:c r="I183" s="23" t="str">
        <x:v>Timing T20 / fictional rates</x:v>
      </x:c>
    </x:row>
    <x:row r="184" ht="21" customHeight="1">
      <x:c r="A184" s="23" t="str">
        <x:v>middle_flat</x:v>
      </x:c>
      <x:c r="B184" s="23" t="n">
        <x:v>33</x:v>
      </x:c>
      <x:c r="C184" s="37" t="n">
        <x:v>49400</x:v>
      </x:c>
      <x:c r="D184" s="55" t="n">
        <x:v>0</x:v>
      </x:c>
      <x:c r="E184" s="55" t="n">
        <x:v>0.03</x:v>
      </x:c>
      <x:c r="F184" s="60" t="n">
        <x:v>0</x:v>
      </x:c>
      <x:c r="G184" s="60" t="n">
        <x:v>0.03</x:v>
      </x:c>
      <x:c r="H184" s="23" t="n">
        <x:f>IF(D184=F184,0,1)+IF(E184=G184,0,1)</x:f>
        <x:v>0</x:v>
      </x:c>
      <x:c r="I184" s="23" t="str">
        <x:v>Timing T20 / fictional rates</x:v>
      </x:c>
    </x:row>
    <x:row r="185" ht="21" customHeight="1">
      <x:c r="A185" s="23" t="str">
        <x:v>middle_flat</x:v>
      </x:c>
      <x:c r="B185" s="23" t="n">
        <x:v>34</x:v>
      </x:c>
      <x:c r="C185" s="37" t="n">
        <x:v>49491</x:v>
      </x:c>
      <x:c r="D185" s="55" t="n">
        <x:v>0</x:v>
      </x:c>
      <x:c r="E185" s="55" t="n">
        <x:v>0.03</x:v>
      </x:c>
      <x:c r="F185" s="60" t="n">
        <x:v>0</x:v>
      </x:c>
      <x:c r="G185" s="60" t="n">
        <x:v>0.03</x:v>
      </x:c>
      <x:c r="H185" s="23" t="n">
        <x:f>IF(D185=F185,0,1)+IF(E185=G185,0,1)</x:f>
        <x:v>0</x:v>
      </x:c>
      <x:c r="I185" s="23" t="str">
        <x:v>Timing T20 / fictional rates</x:v>
      </x:c>
    </x:row>
    <x:row r="186" ht="21" customHeight="1">
      <x:c r="A186" s="23" t="str">
        <x:v>middle_flat</x:v>
      </x:c>
      <x:c r="B186" s="23" t="n">
        <x:v>35</x:v>
      </x:c>
      <x:c r="C186" s="37" t="n">
        <x:v>49583</x:v>
      </x:c>
      <x:c r="D186" s="55" t="n">
        <x:v>0</x:v>
      </x:c>
      <x:c r="E186" s="55" t="n">
        <x:v>0.03</x:v>
      </x:c>
      <x:c r="F186" s="60" t="n">
        <x:v>0</x:v>
      </x:c>
      <x:c r="G186" s="60" t="n">
        <x:v>0.03</x:v>
      </x:c>
      <x:c r="H186" s="23" t="n">
        <x:f>IF(D186=F186,0,1)+IF(E186=G186,0,1)</x:f>
        <x:v>0</x:v>
      </x:c>
      <x:c r="I186" s="23" t="str">
        <x:v>Timing T20 / fictional rates</x:v>
      </x:c>
    </x:row>
    <x:row r="187" ht="21" customHeight="1">
      <x:c r="A187" s="23" t="str">
        <x:v>middle_flat</x:v>
      </x:c>
      <x:c r="B187" s="23" t="n">
        <x:v>36</x:v>
      </x:c>
      <x:c r="C187" s="37" t="n">
        <x:v>49675</x:v>
      </x:c>
      <x:c r="D187" s="55" t="n">
        <x:v>0</x:v>
      </x:c>
      <x:c r="E187" s="55" t="n">
        <x:v>0.03</x:v>
      </x:c>
      <x:c r="F187" s="60" t="n">
        <x:v>0</x:v>
      </x:c>
      <x:c r="G187" s="60" t="n">
        <x:v>0.03</x:v>
      </x:c>
      <x:c r="H187" s="23" t="n">
        <x:f>IF(D187=F187,0,1)+IF(E187=G187,0,1)</x:f>
        <x:v>0</x:v>
      </x:c>
      <x:c r="I187" s="23" t="str">
        <x:v>Timing T20 / fictional rates</x:v>
      </x:c>
    </x:row>
    <x:row r="188" ht="21" customHeight="1">
      <x:c r="A188" s="23" t="str">
        <x:v>middle_flat</x:v>
      </x:c>
      <x:c r="B188" s="23" t="n">
        <x:v>37</x:v>
      </x:c>
      <x:c r="C188" s="37" t="n">
        <x:v>49766</x:v>
      </x:c>
      <x:c r="D188" s="55" t="n">
        <x:v>0</x:v>
      </x:c>
      <x:c r="E188" s="55" t="n">
        <x:v>0.03</x:v>
      </x:c>
      <x:c r="F188" s="60" t="n">
        <x:v>0</x:v>
      </x:c>
      <x:c r="G188" s="60" t="n">
        <x:v>0.03</x:v>
      </x:c>
      <x:c r="H188" s="23" t="n">
        <x:f>IF(D188=F188,0,1)+IF(E188=G188,0,1)</x:f>
        <x:v>0</x:v>
      </x:c>
      <x:c r="I188" s="23" t="str">
        <x:v>Timing T20 / fictional rates</x:v>
      </x:c>
    </x:row>
    <x:row r="189" ht="21" customHeight="1">
      <x:c r="A189" s="23" t="str">
        <x:v>middle_flat</x:v>
      </x:c>
      <x:c r="B189" s="23" t="n">
        <x:v>38</x:v>
      </x:c>
      <x:c r="C189" s="37" t="n">
        <x:v>49857</x:v>
      </x:c>
      <x:c r="D189" s="55" t="n">
        <x:v>0</x:v>
      </x:c>
      <x:c r="E189" s="55" t="n">
        <x:v>0.03</x:v>
      </x:c>
      <x:c r="F189" s="60" t="n">
        <x:v>0</x:v>
      </x:c>
      <x:c r="G189" s="60" t="n">
        <x:v>0.03</x:v>
      </x:c>
      <x:c r="H189" s="23" t="n">
        <x:f>IF(D189=F189,0,1)+IF(E189=G189,0,1)</x:f>
        <x:v>0</x:v>
      </x:c>
      <x:c r="I189" s="23" t="str">
        <x:v>Timing T20 / fictional rates</x:v>
      </x:c>
    </x:row>
    <x:row r="190" ht="21" customHeight="1">
      <x:c r="A190" s="23" t="str">
        <x:v>middle_flat</x:v>
      </x:c>
      <x:c r="B190" s="23" t="n">
        <x:v>39</x:v>
      </x:c>
      <x:c r="C190" s="37" t="n">
        <x:v>49949</x:v>
      </x:c>
      <x:c r="D190" s="55" t="n">
        <x:v>0</x:v>
      </x:c>
      <x:c r="E190" s="55" t="n">
        <x:v>0.03</x:v>
      </x:c>
      <x:c r="F190" s="60" t="n">
        <x:v>0</x:v>
      </x:c>
      <x:c r="G190" s="60" t="n">
        <x:v>0.03</x:v>
      </x:c>
      <x:c r="H190" s="23" t="n">
        <x:f>IF(D190=F190,0,1)+IF(E190=G190,0,1)</x:f>
        <x:v>0</x:v>
      </x:c>
      <x:c r="I190" s="23" t="str">
        <x:v>Timing T20 / fictional rates</x:v>
      </x:c>
    </x:row>
    <x:row r="191" ht="21" customHeight="1">
      <x:c r="A191" s="23" t="str">
        <x:v>middle_flat</x:v>
      </x:c>
      <x:c r="B191" s="23" t="n">
        <x:v>40</x:v>
      </x:c>
      <x:c r="C191" s="37" t="n">
        <x:v>50041</x:v>
      </x:c>
      <x:c r="D191" s="55" t="n">
        <x:v>0</x:v>
      </x:c>
      <x:c r="E191" s="55" t="n">
        <x:v>0.03</x:v>
      </x:c>
      <x:c r="F191" s="60" t="n">
        <x:v>0</x:v>
      </x:c>
      <x:c r="G191" s="60" t="n">
        <x:v>0.03</x:v>
      </x:c>
      <x:c r="H191" s="23" t="n">
        <x:f>IF(D191=F191,0,1)+IF(E191=G191,0,1)</x:f>
        <x:v>0</x:v>
      </x:c>
      <x:c r="I191" s="23" t="str">
        <x:v>Timing T20 / fictional rates</x:v>
      </x:c>
    </x:row>
    <x:row r="192" ht="21" customHeight="1">
      <x:c r="A192" s="23" t="str">
        <x:v>middle_flat</x:v>
      </x:c>
      <x:c r="B192" s="23" t="n">
        <x:v>41</x:v>
      </x:c>
      <x:c r="C192" s="37" t="n">
        <x:v>50131</x:v>
      </x:c>
      <x:c r="D192" s="55" t="n">
        <x:v>0</x:v>
      </x:c>
      <x:c r="E192" s="55" t="n">
        <x:v>0.03</x:v>
      </x:c>
      <x:c r="F192" s="60" t="n">
        <x:v>0</x:v>
      </x:c>
      <x:c r="G192" s="60" t="n">
        <x:v>0.03</x:v>
      </x:c>
      <x:c r="H192" s="23" t="n">
        <x:f>IF(D192=F192,0,1)+IF(E192=G192,0,1)</x:f>
        <x:v>0</x:v>
      </x:c>
      <x:c r="I192" s="23" t="str">
        <x:v>Timing T20 / fictional rates</x:v>
      </x:c>
    </x:row>
    <x:row r="193" ht="21" customHeight="1">
      <x:c r="A193" s="23" t="str">
        <x:v>middle_flat</x:v>
      </x:c>
      <x:c r="B193" s="23" t="n">
        <x:v>42</x:v>
      </x:c>
      <x:c r="C193" s="37" t="n">
        <x:v>50222</x:v>
      </x:c>
      <x:c r="D193" s="55" t="n">
        <x:v>0</x:v>
      </x:c>
      <x:c r="E193" s="55" t="n">
        <x:v>0.03</x:v>
      </x:c>
      <x:c r="F193" s="60" t="n">
        <x:v>0</x:v>
      </x:c>
      <x:c r="G193" s="60" t="n">
        <x:v>0.03</x:v>
      </x:c>
      <x:c r="H193" s="23" t="n">
        <x:f>IF(D193=F193,0,1)+IF(E193=G193,0,1)</x:f>
        <x:v>0</x:v>
      </x:c>
      <x:c r="I193" s="23" t="str">
        <x:v>Timing T20 / fictional rates</x:v>
      </x:c>
    </x:row>
    <x:row r="194" ht="21" customHeight="1">
      <x:c r="A194" s="23" t="str">
        <x:v>middle_flat</x:v>
      </x:c>
      <x:c r="B194" s="23" t="n">
        <x:v>43</x:v>
      </x:c>
      <x:c r="C194" s="37" t="n">
        <x:v>50314</x:v>
      </x:c>
      <x:c r="D194" s="55" t="n">
        <x:v>0</x:v>
      </x:c>
      <x:c r="E194" s="55" t="n">
        <x:v>0.03</x:v>
      </x:c>
      <x:c r="F194" s="60" t="n">
        <x:v>0</x:v>
      </x:c>
      <x:c r="G194" s="60" t="n">
        <x:v>0.03</x:v>
      </x:c>
      <x:c r="H194" s="23" t="n">
        <x:f>IF(D194=F194,0,1)+IF(E194=G194,0,1)</x:f>
        <x:v>0</x:v>
      </x:c>
      <x:c r="I194" s="23" t="str">
        <x:v>Timing T20 / fictional rates</x:v>
      </x:c>
    </x:row>
    <x:row r="195" ht="21" customHeight="1">
      <x:c r="A195" s="23" t="str">
        <x:v>middle_flat</x:v>
      </x:c>
      <x:c r="B195" s="23" t="n">
        <x:v>44</x:v>
      </x:c>
      <x:c r="C195" s="37" t="n">
        <x:v>50406</x:v>
      </x:c>
      <x:c r="D195" s="55" t="n">
        <x:v>0</x:v>
      </x:c>
      <x:c r="E195" s="55" t="n">
        <x:v>0.03</x:v>
      </x:c>
      <x:c r="F195" s="60" t="n">
        <x:v>0</x:v>
      </x:c>
      <x:c r="G195" s="60" t="n">
        <x:v>0.03</x:v>
      </x:c>
      <x:c r="H195" s="23" t="n">
        <x:f>IF(D195=F195,0,1)+IF(E195=G195,0,1)</x:f>
        <x:v>0</x:v>
      </x:c>
      <x:c r="I195" s="23" t="str">
        <x:v>Timing T20 / fictional rates</x:v>
      </x:c>
    </x:row>
    <x:row r="196" ht="21" customHeight="1">
      <x:c r="A196" s="23" t="str">
        <x:v>middle_flat</x:v>
      </x:c>
      <x:c r="B196" s="23" t="n">
        <x:v>45</x:v>
      </x:c>
      <x:c r="C196" s="37" t="n">
        <x:v>50496</x:v>
      </x:c>
      <x:c r="D196" s="55" t="n">
        <x:v>0</x:v>
      </x:c>
      <x:c r="E196" s="55" t="n">
        <x:v>0.03</x:v>
      </x:c>
      <x:c r="F196" s="60" t="n">
        <x:v>0</x:v>
      </x:c>
      <x:c r="G196" s="60" t="n">
        <x:v>0.03</x:v>
      </x:c>
      <x:c r="H196" s="23" t="n">
        <x:f>IF(D196=F196,0,1)+IF(E196=G196,0,1)</x:f>
        <x:v>0</x:v>
      </x:c>
      <x:c r="I196" s="23" t="str">
        <x:v>Timing T20 / fictional rates</x:v>
      </x:c>
    </x:row>
    <x:row r="197" ht="21" customHeight="1">
      <x:c r="A197" s="23" t="str">
        <x:v>middle_flat</x:v>
      </x:c>
      <x:c r="B197" s="23" t="n">
        <x:v>46</x:v>
      </x:c>
      <x:c r="C197" s="37" t="n">
        <x:v>50587</x:v>
      </x:c>
      <x:c r="D197" s="55" t="n">
        <x:v>0</x:v>
      </x:c>
      <x:c r="E197" s="55" t="n">
        <x:v>0.03</x:v>
      </x:c>
      <x:c r="F197" s="60" t="n">
        <x:v>0</x:v>
      </x:c>
      <x:c r="G197" s="60" t="n">
        <x:v>0.03</x:v>
      </x:c>
      <x:c r="H197" s="23" t="n">
        <x:f>IF(D197=F197,0,1)+IF(E197=G197,0,1)</x:f>
        <x:v>0</x:v>
      </x:c>
      <x:c r="I197" s="23" t="str">
        <x:v>Timing T20 / fictional rates</x:v>
      </x:c>
    </x:row>
    <x:row r="198" ht="21" customHeight="1">
      <x:c r="A198" s="23" t="str">
        <x:v>middle_flat</x:v>
      </x:c>
      <x:c r="B198" s="23" t="n">
        <x:v>47</x:v>
      </x:c>
      <x:c r="C198" s="37" t="n">
        <x:v>50679</x:v>
      </x:c>
      <x:c r="D198" s="55" t="n">
        <x:v>0</x:v>
      </x:c>
      <x:c r="E198" s="55" t="n">
        <x:v>0.03</x:v>
      </x:c>
      <x:c r="F198" s="60" t="n">
        <x:v>0</x:v>
      </x:c>
      <x:c r="G198" s="60" t="n">
        <x:v>0.03</x:v>
      </x:c>
      <x:c r="H198" s="23" t="n">
        <x:f>IF(D198=F198,0,1)+IF(E198=G198,0,1)</x:f>
        <x:v>0</x:v>
      </x:c>
      <x:c r="I198" s="23" t="str">
        <x:v>Timing T20 / fictional rates</x:v>
      </x:c>
    </x:row>
    <x:row r="199" ht="21" customHeight="1">
      <x:c r="A199" s="23" t="str">
        <x:v>middle_flat</x:v>
      </x:c>
      <x:c r="B199" s="23" t="n">
        <x:v>48</x:v>
      </x:c>
      <x:c r="C199" s="37" t="n">
        <x:v>50771</x:v>
      </x:c>
      <x:c r="D199" s="55" t="n">
        <x:v>0</x:v>
      </x:c>
      <x:c r="E199" s="55" t="n">
        <x:v>0.03</x:v>
      </x:c>
      <x:c r="F199" s="60" t="n">
        <x:v>0</x:v>
      </x:c>
      <x:c r="G199" s="60" t="n">
        <x:v>0.03</x:v>
      </x:c>
      <x:c r="H199" s="23" t="n">
        <x:f>IF(D199=F199,0,1)+IF(E199=G199,0,1)</x:f>
        <x:v>0</x:v>
      </x:c>
      <x:c r="I199" s="23" t="str">
        <x:v>Timing T20 / fictional rates</x:v>
      </x:c>
    </x:row>
    <x:row r="200" ht="21" customHeight="1">
      <x:c r="A200" s="23" t="str">
        <x:v>middle_low</x:v>
      </x:c>
      <x:c r="B200" s="23" t="n">
        <x:v>1</x:v>
      </x:c>
      <x:c r="C200" s="37" t="n">
        <x:v>46478</x:v>
      </x:c>
      <x:c r="D200" s="55" t="n">
        <x:v>0.04</x:v>
      </x:c>
      <x:c r="E200" s="55" t="n">
        <x:v>0.005</x:v>
      </x:c>
      <x:c r="F200" s="60" t="n">
        <x:v>0.04</x:v>
      </x:c>
      <x:c r="G200" s="60" t="n">
        <x:v>0.005</x:v>
      </x:c>
      <x:c r="H200" s="23" t="n">
        <x:f>IF(D200=F200,0,1)+IF(E200=G200,0,1)</x:f>
        <x:v>0</x:v>
      </x:c>
      <x:c r="I200" s="23" t="str">
        <x:v>Timing T20 / fictional rates</x:v>
      </x:c>
    </x:row>
    <x:row r="201" ht="21" customHeight="1">
      <x:c r="A201" s="23" t="str">
        <x:v>middle_low</x:v>
      </x:c>
      <x:c r="B201" s="23" t="n">
        <x:v>2</x:v>
      </x:c>
      <x:c r="C201" s="37" t="n">
        <x:v>46569</x:v>
      </x:c>
      <x:c r="D201" s="55" t="n">
        <x:v>0.04</x:v>
      </x:c>
      <x:c r="E201" s="55" t="n">
        <x:v>0.005</x:v>
      </x:c>
      <x:c r="F201" s="60" t="n">
        <x:v>0.04</x:v>
      </x:c>
      <x:c r="G201" s="60" t="n">
        <x:v>0.005</x:v>
      </x:c>
      <x:c r="H201" s="23" t="n">
        <x:f>IF(D201=F201,0,1)+IF(E201=G201,0,1)</x:f>
        <x:v>0</x:v>
      </x:c>
      <x:c r="I201" s="23" t="str">
        <x:v>Timing T20 / fictional rates</x:v>
      </x:c>
    </x:row>
    <x:row r="202" ht="21" customHeight="1">
      <x:c r="A202" s="23" t="str">
        <x:v>middle_low</x:v>
      </x:c>
      <x:c r="B202" s="23" t="n">
        <x:v>3</x:v>
      </x:c>
      <x:c r="C202" s="37" t="n">
        <x:v>46661</x:v>
      </x:c>
      <x:c r="D202" s="55" t="n">
        <x:v>0.04</x:v>
      </x:c>
      <x:c r="E202" s="55" t="n">
        <x:v>0.005</x:v>
      </x:c>
      <x:c r="F202" s="60" t="n">
        <x:v>0.04</x:v>
      </x:c>
      <x:c r="G202" s="60" t="n">
        <x:v>0.005</x:v>
      </x:c>
      <x:c r="H202" s="23" t="n">
        <x:f>IF(D202=F202,0,1)+IF(E202=G202,0,1)</x:f>
        <x:v>0</x:v>
      </x:c>
      <x:c r="I202" s="23" t="str">
        <x:v>Timing T20 / fictional rates</x:v>
      </x:c>
    </x:row>
    <x:row r="203" ht="21" customHeight="1">
      <x:c r="A203" s="23" t="str">
        <x:v>middle_low</x:v>
      </x:c>
      <x:c r="B203" s="23" t="n">
        <x:v>4</x:v>
      </x:c>
      <x:c r="C203" s="37" t="n">
        <x:v>46753</x:v>
      </x:c>
      <x:c r="D203" s="55" t="n">
        <x:v>0.04</x:v>
      </x:c>
      <x:c r="E203" s="55" t="n">
        <x:v>0.005</x:v>
      </x:c>
      <x:c r="F203" s="60" t="n">
        <x:v>0.04</x:v>
      </x:c>
      <x:c r="G203" s="60" t="n">
        <x:v>0.005</x:v>
      </x:c>
      <x:c r="H203" s="23" t="n">
        <x:f>IF(D203=F203,0,1)+IF(E203=G203,0,1)</x:f>
        <x:v>0</x:v>
      </x:c>
      <x:c r="I203" s="23" t="str">
        <x:v>Timing T20 / fictional rates</x:v>
      </x:c>
    </x:row>
    <x:row r="204" ht="21" customHeight="1">
      <x:c r="A204" s="23" t="str">
        <x:v>middle_low</x:v>
      </x:c>
      <x:c r="B204" s="23" t="n">
        <x:v>5</x:v>
      </x:c>
      <x:c r="C204" s="37" t="n">
        <x:v>46844</x:v>
      </x:c>
      <x:c r="D204" s="55" t="n">
        <x:v>0.0575</x:v>
      </x:c>
      <x:c r="E204" s="55" t="n">
        <x:v>0.005</x:v>
      </x:c>
      <x:c r="F204" s="60" t="n">
        <x:v>0.0575</x:v>
      </x:c>
      <x:c r="G204" s="60" t="n">
        <x:v>0.005</x:v>
      </x:c>
      <x:c r="H204" s="23" t="n">
        <x:f>IF(D204=F204,0,1)+IF(E204=G204,0,1)</x:f>
        <x:v>0</x:v>
      </x:c>
      <x:c r="I204" s="23" t="str">
        <x:v>Timing T20 / fictional rates</x:v>
      </x:c>
    </x:row>
    <x:row r="205" ht="21" customHeight="1">
      <x:c r="A205" s="23" t="str">
        <x:v>middle_low</x:v>
      </x:c>
      <x:c r="B205" s="23" t="n">
        <x:v>6</x:v>
      </x:c>
      <x:c r="C205" s="37" t="n">
        <x:v>46935</x:v>
      </x:c>
      <x:c r="D205" s="55" t="n">
        <x:v>0.0575</x:v>
      </x:c>
      <x:c r="E205" s="55" t="n">
        <x:v>0.005</x:v>
      </x:c>
      <x:c r="F205" s="60" t="n">
        <x:v>0.0575</x:v>
      </x:c>
      <x:c r="G205" s="60" t="n">
        <x:v>0.005</x:v>
      </x:c>
      <x:c r="H205" s="23" t="n">
        <x:f>IF(D205=F205,0,1)+IF(E205=G205,0,1)</x:f>
        <x:v>0</x:v>
      </x:c>
      <x:c r="I205" s="23" t="str">
        <x:v>Timing T20 / fictional rates</x:v>
      </x:c>
    </x:row>
    <x:row r="206" ht="21" customHeight="1">
      <x:c r="A206" s="23" t="str">
        <x:v>middle_low</x:v>
      </x:c>
      <x:c r="B206" s="23" t="n">
        <x:v>7</x:v>
      </x:c>
      <x:c r="C206" s="37" t="n">
        <x:v>47027</x:v>
      </x:c>
      <x:c r="D206" s="55" t="n">
        <x:v>0.0575</x:v>
      </x:c>
      <x:c r="E206" s="55" t="n">
        <x:v>0.005</x:v>
      </x:c>
      <x:c r="F206" s="60" t="n">
        <x:v>0.0575</x:v>
      </x:c>
      <x:c r="G206" s="60" t="n">
        <x:v>0.005</x:v>
      </x:c>
      <x:c r="H206" s="23" t="n">
        <x:f>IF(D206=F206,0,1)+IF(E206=G206,0,1)</x:f>
        <x:v>0</x:v>
      </x:c>
      <x:c r="I206" s="23" t="str">
        <x:v>Timing T20 / fictional rates</x:v>
      </x:c>
    </x:row>
    <x:row r="207" ht="21" customHeight="1">
      <x:c r="A207" s="23" t="str">
        <x:v>middle_low</x:v>
      </x:c>
      <x:c r="B207" s="23" t="n">
        <x:v>8</x:v>
      </x:c>
      <x:c r="C207" s="37" t="n">
        <x:v>47119</x:v>
      </x:c>
      <x:c r="D207" s="55" t="n">
        <x:v>0.0575</x:v>
      </x:c>
      <x:c r="E207" s="55" t="n">
        <x:v>0.005</x:v>
      </x:c>
      <x:c r="F207" s="60" t="n">
        <x:v>0.0575</x:v>
      </x:c>
      <x:c r="G207" s="60" t="n">
        <x:v>0.005</x:v>
      </x:c>
      <x:c r="H207" s="23" t="n">
        <x:f>IF(D207=F207,0,1)+IF(E207=G207,0,1)</x:f>
        <x:v>0</x:v>
      </x:c>
      <x:c r="I207" s="23" t="str">
        <x:v>Timing T20 / fictional rates</x:v>
      </x:c>
    </x:row>
    <x:row r="208" ht="21" customHeight="1">
      <x:c r="A208" s="23" t="str">
        <x:v>middle_low</x:v>
      </x:c>
      <x:c r="B208" s="23" t="n">
        <x:v>9</x:v>
      </x:c>
      <x:c r="C208" s="37" t="n">
        <x:v>47209</x:v>
      </x:c>
      <x:c r="D208" s="55" t="n">
        <x:v>0.065</x:v>
      </x:c>
      <x:c r="E208" s="55" t="n">
        <x:v>0.005</x:v>
      </x:c>
      <x:c r="F208" s="60" t="n">
        <x:v>0.065</x:v>
      </x:c>
      <x:c r="G208" s="60" t="n">
        <x:v>0.005</x:v>
      </x:c>
      <x:c r="H208" s="23" t="n">
        <x:f>IF(D208=F208,0,1)+IF(E208=G208,0,1)</x:f>
        <x:v>0</x:v>
      </x:c>
      <x:c r="I208" s="23" t="str">
        <x:v>Timing T20 / fictional rates</x:v>
      </x:c>
    </x:row>
    <x:row r="209" ht="21" customHeight="1">
      <x:c r="A209" s="23" t="str">
        <x:v>middle_low</x:v>
      </x:c>
      <x:c r="B209" s="23" t="n">
        <x:v>10</x:v>
      </x:c>
      <x:c r="C209" s="37" t="n">
        <x:v>47300</x:v>
      </x:c>
      <x:c r="D209" s="55" t="n">
        <x:v>0.065</x:v>
      </x:c>
      <x:c r="E209" s="55" t="n">
        <x:v>0.005</x:v>
      </x:c>
      <x:c r="F209" s="60" t="n">
        <x:v>0.065</x:v>
      </x:c>
      <x:c r="G209" s="60" t="n">
        <x:v>0.005</x:v>
      </x:c>
      <x:c r="H209" s="23" t="n">
        <x:f>IF(D209=F209,0,1)+IF(E209=G209,0,1)</x:f>
        <x:v>0</x:v>
      </x:c>
      <x:c r="I209" s="23" t="str">
        <x:v>Timing T20 / fictional rates</x:v>
      </x:c>
    </x:row>
    <x:row r="210" ht="21" customHeight="1">
      <x:c r="A210" s="23" t="str">
        <x:v>middle_low</x:v>
      </x:c>
      <x:c r="B210" s="23" t="n">
        <x:v>11</x:v>
      </x:c>
      <x:c r="C210" s="37" t="n">
        <x:v>47392</x:v>
      </x:c>
      <x:c r="D210" s="55" t="n">
        <x:v>0.065</x:v>
      </x:c>
      <x:c r="E210" s="55" t="n">
        <x:v>0.005</x:v>
      </x:c>
      <x:c r="F210" s="60" t="n">
        <x:v>0.065</x:v>
      </x:c>
      <x:c r="G210" s="60" t="n">
        <x:v>0.005</x:v>
      </x:c>
      <x:c r="H210" s="23" t="n">
        <x:f>IF(D210=F210,0,1)+IF(E210=G210,0,1)</x:f>
        <x:v>0</x:v>
      </x:c>
      <x:c r="I210" s="23" t="str">
        <x:v>Timing T20 / fictional rates</x:v>
      </x:c>
    </x:row>
    <x:row r="211" ht="21" customHeight="1">
      <x:c r="A211" s="23" t="str">
        <x:v>middle_low</x:v>
      </x:c>
      <x:c r="B211" s="23" t="n">
        <x:v>12</x:v>
      </x:c>
      <x:c r="C211" s="37" t="n">
        <x:v>47484</x:v>
      </x:c>
      <x:c r="D211" s="55" t="n">
        <x:v>0.065</x:v>
      </x:c>
      <x:c r="E211" s="55" t="n">
        <x:v>0.005</x:v>
      </x:c>
      <x:c r="F211" s="60" t="n">
        <x:v>0.065</x:v>
      </x:c>
      <x:c r="G211" s="60" t="n">
        <x:v>0.005</x:v>
      </x:c>
      <x:c r="H211" s="23" t="n">
        <x:f>IF(D211=F211,0,1)+IF(E211=G211,0,1)</x:f>
        <x:v>0</x:v>
      </x:c>
      <x:c r="I211" s="23" t="str">
        <x:v>Timing T20 / fictional rates</x:v>
      </x:c>
    </x:row>
    <x:row r="212" ht="21" customHeight="1">
      <x:c r="A212" s="23" t="str">
        <x:v>middle_low</x:v>
      </x:c>
      <x:c r="B212" s="23" t="n">
        <x:v>13</x:v>
      </x:c>
      <x:c r="C212" s="37" t="n">
        <x:v>47574</x:v>
      </x:c>
      <x:c r="D212" s="55" t="n">
        <x:v>0.055</x:v>
      </x:c>
      <x:c r="E212" s="55" t="n">
        <x:v>0.005</x:v>
      </x:c>
      <x:c r="F212" s="60" t="n">
        <x:v>0.055</x:v>
      </x:c>
      <x:c r="G212" s="60" t="n">
        <x:v>0.005</x:v>
      </x:c>
      <x:c r="H212" s="23" t="n">
        <x:f>IF(D212=F212,0,1)+IF(E212=G212,0,1)</x:f>
        <x:v>0</x:v>
      </x:c>
      <x:c r="I212" s="23" t="str">
        <x:v>Timing T20 / fictional rates</x:v>
      </x:c>
    </x:row>
    <x:row r="213" ht="21" customHeight="1">
      <x:c r="A213" s="23" t="str">
        <x:v>middle_low</x:v>
      </x:c>
      <x:c r="B213" s="23" t="n">
        <x:v>14</x:v>
      </x:c>
      <x:c r="C213" s="37" t="n">
        <x:v>47665</x:v>
      </x:c>
      <x:c r="D213" s="55" t="n">
        <x:v>0.055</x:v>
      </x:c>
      <x:c r="E213" s="55" t="n">
        <x:v>0.005</x:v>
      </x:c>
      <x:c r="F213" s="60" t="n">
        <x:v>0.055</x:v>
      </x:c>
      <x:c r="G213" s="60" t="n">
        <x:v>0.005</x:v>
      </x:c>
      <x:c r="H213" s="23" t="n">
        <x:f>IF(D213=F213,0,1)+IF(E213=G213,0,1)</x:f>
        <x:v>0</x:v>
      </x:c>
      <x:c r="I213" s="23" t="str">
        <x:v>Timing T20 / fictional rates</x:v>
      </x:c>
    </x:row>
    <x:row r="214" ht="21" customHeight="1">
      <x:c r="A214" s="23" t="str">
        <x:v>middle_low</x:v>
      </x:c>
      <x:c r="B214" s="23" t="n">
        <x:v>15</x:v>
      </x:c>
      <x:c r="C214" s="37" t="n">
        <x:v>47757</x:v>
      </x:c>
      <x:c r="D214" s="55" t="n">
        <x:v>0.055</x:v>
      </x:c>
      <x:c r="E214" s="55" t="n">
        <x:v>0.005</x:v>
      </x:c>
      <x:c r="F214" s="60" t="n">
        <x:v>0.055</x:v>
      </x:c>
      <x:c r="G214" s="60" t="n">
        <x:v>0.005</x:v>
      </x:c>
      <x:c r="H214" s="23" t="n">
        <x:f>IF(D214=F214,0,1)+IF(E214=G214,0,1)</x:f>
        <x:v>0</x:v>
      </x:c>
      <x:c r="I214" s="23" t="str">
        <x:v>Timing T20 / fictional rates</x:v>
      </x:c>
    </x:row>
    <x:row r="215" ht="21" customHeight="1">
      <x:c r="A215" s="23" t="str">
        <x:v>middle_low</x:v>
      </x:c>
      <x:c r="B215" s="23" t="n">
        <x:v>16</x:v>
      </x:c>
      <x:c r="C215" s="37" t="n">
        <x:v>47849</x:v>
      </x:c>
      <x:c r="D215" s="55" t="n">
        <x:v>0.055</x:v>
      </x:c>
      <x:c r="E215" s="55" t="n">
        <x:v>0.005</x:v>
      </x:c>
      <x:c r="F215" s="60" t="n">
        <x:v>0.055</x:v>
      </x:c>
      <x:c r="G215" s="60" t="n">
        <x:v>0.005</x:v>
      </x:c>
      <x:c r="H215" s="23" t="n">
        <x:f>IF(D215=F215,0,1)+IF(E215=G215,0,1)</x:f>
        <x:v>0</x:v>
      </x:c>
      <x:c r="I215" s="23" t="str">
        <x:v>Timing T20 / fictional rates</x:v>
      </x:c>
    </x:row>
    <x:row r="216" ht="21" customHeight="1">
      <x:c r="A216" s="23" t="str">
        <x:v>middle_low</x:v>
      </x:c>
      <x:c r="B216" s="23" t="n">
        <x:v>17</x:v>
      </x:c>
      <x:c r="C216" s="37" t="n">
        <x:v>47939</x:v>
      </x:c>
      <x:c r="D216" s="55" t="n">
        <x:v>0.0325</x:v>
      </x:c>
      <x:c r="E216" s="55" t="n">
        <x:v>0.005</x:v>
      </x:c>
      <x:c r="F216" s="60" t="n">
        <x:v>0.0325</x:v>
      </x:c>
      <x:c r="G216" s="60" t="n">
        <x:v>0.005</x:v>
      </x:c>
      <x:c r="H216" s="23" t="n">
        <x:f>IF(D216=F216,0,1)+IF(E216=G216,0,1)</x:f>
        <x:v>0</x:v>
      </x:c>
      <x:c r="I216" s="23" t="str">
        <x:v>Timing T20 / fictional rates</x:v>
      </x:c>
    </x:row>
    <x:row r="217" ht="21" customHeight="1">
      <x:c r="A217" s="23" t="str">
        <x:v>middle_low</x:v>
      </x:c>
      <x:c r="B217" s="23" t="n">
        <x:v>18</x:v>
      </x:c>
      <x:c r="C217" s="37" t="n">
        <x:v>48030</x:v>
      </x:c>
      <x:c r="D217" s="55" t="n">
        <x:v>0.0325</x:v>
      </x:c>
      <x:c r="E217" s="55" t="n">
        <x:v>0.005</x:v>
      </x:c>
      <x:c r="F217" s="60" t="n">
        <x:v>0.0325</x:v>
      </x:c>
      <x:c r="G217" s="60" t="n">
        <x:v>0.005</x:v>
      </x:c>
      <x:c r="H217" s="23" t="n">
        <x:f>IF(D217=F217,0,1)+IF(E217=G217,0,1)</x:f>
        <x:v>0</x:v>
      </x:c>
      <x:c r="I217" s="23" t="str">
        <x:v>Timing T20 / fictional rates</x:v>
      </x:c>
    </x:row>
    <x:row r="218" ht="21" customHeight="1">
      <x:c r="A218" s="23" t="str">
        <x:v>middle_low</x:v>
      </x:c>
      <x:c r="B218" s="23" t="n">
        <x:v>19</x:v>
      </x:c>
      <x:c r="C218" s="37" t="n">
        <x:v>48122</x:v>
      </x:c>
      <x:c r="D218" s="55" t="n">
        <x:v>0.0325</x:v>
      </x:c>
      <x:c r="E218" s="55" t="n">
        <x:v>0.005</x:v>
      </x:c>
      <x:c r="F218" s="60" t="n">
        <x:v>0.0325</x:v>
      </x:c>
      <x:c r="G218" s="60" t="n">
        <x:v>0.005</x:v>
      </x:c>
      <x:c r="H218" s="23" t="n">
        <x:f>IF(D218=F218,0,1)+IF(E218=G218,0,1)</x:f>
        <x:v>0</x:v>
      </x:c>
      <x:c r="I218" s="23" t="str">
        <x:v>Timing T20 / fictional rates</x:v>
      </x:c>
    </x:row>
    <x:row r="219" ht="21" customHeight="1">
      <x:c r="A219" s="23" t="str">
        <x:v>middle_low</x:v>
      </x:c>
      <x:c r="B219" s="23" t="n">
        <x:v>20</x:v>
      </x:c>
      <x:c r="C219" s="37" t="n">
        <x:v>48214</x:v>
      </x:c>
      <x:c r="D219" s="55" t="n">
        <x:v>0.0325</x:v>
      </x:c>
      <x:c r="E219" s="55" t="n">
        <x:v>0.005</x:v>
      </x:c>
      <x:c r="F219" s="60" t="n">
        <x:v>0.0325</x:v>
      </x:c>
      <x:c r="G219" s="60" t="n">
        <x:v>0.005</x:v>
      </x:c>
      <x:c r="H219" s="23" t="n">
        <x:f>IF(D219=F219,0,1)+IF(E219=G219,0,1)</x:f>
        <x:v>0</x:v>
      </x:c>
      <x:c r="I219" s="23" t="str">
        <x:v>Timing T20 / fictional rates</x:v>
      </x:c>
    </x:row>
    <x:row r="220" ht="21" customHeight="1">
      <x:c r="A220" s="23" t="str">
        <x:v>middle_low</x:v>
      </x:c>
      <x:c r="B220" s="23" t="n">
        <x:v>21</x:v>
      </x:c>
      <x:c r="C220" s="37" t="n">
        <x:v>48305</x:v>
      </x:c>
      <x:c r="D220" s="55" t="n">
        <x:v>0</x:v>
      </x:c>
      <x:c r="E220" s="55" t="n">
        <x:v>0.005</x:v>
      </x:c>
      <x:c r="F220" s="60" t="n">
        <x:v>0</x:v>
      </x:c>
      <x:c r="G220" s="60" t="n">
        <x:v>0.005</x:v>
      </x:c>
      <x:c r="H220" s="23" t="n">
        <x:f>IF(D220=F220,0,1)+IF(E220=G220,0,1)</x:f>
        <x:v>0</x:v>
      </x:c>
      <x:c r="I220" s="23" t="str">
        <x:v>Timing T20 / fictional rates</x:v>
      </x:c>
    </x:row>
    <x:row r="221" ht="21" customHeight="1">
      <x:c r="A221" s="23" t="str">
        <x:v>middle_low</x:v>
      </x:c>
      <x:c r="B221" s="23" t="n">
        <x:v>22</x:v>
      </x:c>
      <x:c r="C221" s="37" t="n">
        <x:v>48396</x:v>
      </x:c>
      <x:c r="D221" s="55" t="n">
        <x:v>0</x:v>
      </x:c>
      <x:c r="E221" s="55" t="n">
        <x:v>0.005</x:v>
      </x:c>
      <x:c r="F221" s="60" t="n">
        <x:v>0</x:v>
      </x:c>
      <x:c r="G221" s="60" t="n">
        <x:v>0.005</x:v>
      </x:c>
      <x:c r="H221" s="23" t="n">
        <x:f>IF(D221=F221,0,1)+IF(E221=G221,0,1)</x:f>
        <x:v>0</x:v>
      </x:c>
      <x:c r="I221" s="23" t="str">
        <x:v>Timing T20 / fictional rates</x:v>
      </x:c>
    </x:row>
    <x:row r="222" ht="21" customHeight="1">
      <x:c r="A222" s="23" t="str">
        <x:v>middle_low</x:v>
      </x:c>
      <x:c r="B222" s="23" t="n">
        <x:v>23</x:v>
      </x:c>
      <x:c r="C222" s="37" t="n">
        <x:v>48488</x:v>
      </x:c>
      <x:c r="D222" s="55" t="n">
        <x:v>0</x:v>
      </x:c>
      <x:c r="E222" s="55" t="n">
        <x:v>0.005</x:v>
      </x:c>
      <x:c r="F222" s="60" t="n">
        <x:v>0</x:v>
      </x:c>
      <x:c r="G222" s="60" t="n">
        <x:v>0.005</x:v>
      </x:c>
      <x:c r="H222" s="23" t="n">
        <x:f>IF(D222=F222,0,1)+IF(E222=G222,0,1)</x:f>
        <x:v>0</x:v>
      </x:c>
      <x:c r="I222" s="23" t="str">
        <x:v>Timing T20 / fictional rates</x:v>
      </x:c>
    </x:row>
    <x:row r="223" ht="21" customHeight="1">
      <x:c r="A223" s="23" t="str">
        <x:v>middle_low</x:v>
      </x:c>
      <x:c r="B223" s="23" t="n">
        <x:v>24</x:v>
      </x:c>
      <x:c r="C223" s="37" t="n">
        <x:v>48580</x:v>
      </x:c>
      <x:c r="D223" s="55" t="n">
        <x:v>0</x:v>
      </x:c>
      <x:c r="E223" s="55" t="n">
        <x:v>0.005</x:v>
      </x:c>
      <x:c r="F223" s="60" t="n">
        <x:v>0</x:v>
      </x:c>
      <x:c r="G223" s="60" t="n">
        <x:v>0.005</x:v>
      </x:c>
      <x:c r="H223" s="23" t="n">
        <x:f>IF(D223=F223,0,1)+IF(E223=G223,0,1)</x:f>
        <x:v>0</x:v>
      </x:c>
      <x:c r="I223" s="23" t="str">
        <x:v>Timing T20 / fictional rates</x:v>
      </x:c>
    </x:row>
    <x:row r="224" ht="21" customHeight="1">
      <x:c r="A224" s="23" t="str">
        <x:v>middle_low</x:v>
      </x:c>
      <x:c r="B224" s="23" t="n">
        <x:v>25</x:v>
      </x:c>
      <x:c r="C224" s="37" t="n">
        <x:v>48670</x:v>
      </x:c>
      <x:c r="D224" s="55" t="n">
        <x:v>0</x:v>
      </x:c>
      <x:c r="E224" s="55" t="n">
        <x:v>0.005</x:v>
      </x:c>
      <x:c r="F224" s="60" t="n">
        <x:v>0</x:v>
      </x:c>
      <x:c r="G224" s="60" t="n">
        <x:v>0.005</x:v>
      </x:c>
      <x:c r="H224" s="23" t="n">
        <x:f>IF(D224=F224,0,1)+IF(E224=G224,0,1)</x:f>
        <x:v>0</x:v>
      </x:c>
      <x:c r="I224" s="23" t="str">
        <x:v>Timing T20 / fictional rates</x:v>
      </x:c>
    </x:row>
    <x:row r="225" ht="21" customHeight="1">
      <x:c r="A225" s="23" t="str">
        <x:v>middle_low</x:v>
      </x:c>
      <x:c r="B225" s="23" t="n">
        <x:v>26</x:v>
      </x:c>
      <x:c r="C225" s="37" t="n">
        <x:v>48761</x:v>
      </x:c>
      <x:c r="D225" s="55" t="n">
        <x:v>0</x:v>
      </x:c>
      <x:c r="E225" s="55" t="n">
        <x:v>0.005</x:v>
      </x:c>
      <x:c r="F225" s="60" t="n">
        <x:v>0</x:v>
      </x:c>
      <x:c r="G225" s="60" t="n">
        <x:v>0.005</x:v>
      </x:c>
      <x:c r="H225" s="23" t="n">
        <x:f>IF(D225=F225,0,1)+IF(E225=G225,0,1)</x:f>
        <x:v>0</x:v>
      </x:c>
      <x:c r="I225" s="23" t="str">
        <x:v>Timing T20 / fictional rates</x:v>
      </x:c>
    </x:row>
    <x:row r="226" ht="21" customHeight="1">
      <x:c r="A226" s="23" t="str">
        <x:v>middle_low</x:v>
      </x:c>
      <x:c r="B226" s="23" t="n">
        <x:v>27</x:v>
      </x:c>
      <x:c r="C226" s="37" t="n">
        <x:v>48853</x:v>
      </x:c>
      <x:c r="D226" s="55" t="n">
        <x:v>0</x:v>
      </x:c>
      <x:c r="E226" s="55" t="n">
        <x:v>0.005</x:v>
      </x:c>
      <x:c r="F226" s="60" t="n">
        <x:v>0</x:v>
      </x:c>
      <x:c r="G226" s="60" t="n">
        <x:v>0.005</x:v>
      </x:c>
      <x:c r="H226" s="23" t="n">
        <x:f>IF(D226=F226,0,1)+IF(E226=G226,0,1)</x:f>
        <x:v>0</x:v>
      </x:c>
      <x:c r="I226" s="23" t="str">
        <x:v>Timing T20 / fictional rates</x:v>
      </x:c>
    </x:row>
    <x:row r="227" ht="21" customHeight="1">
      <x:c r="A227" s="23" t="str">
        <x:v>middle_low</x:v>
      </x:c>
      <x:c r="B227" s="23" t="n">
        <x:v>28</x:v>
      </x:c>
      <x:c r="C227" s="37" t="n">
        <x:v>48945</x:v>
      </x:c>
      <x:c r="D227" s="55" t="n">
        <x:v>0</x:v>
      </x:c>
      <x:c r="E227" s="55" t="n">
        <x:v>0.005</x:v>
      </x:c>
      <x:c r="F227" s="60" t="n">
        <x:v>0</x:v>
      </x:c>
      <x:c r="G227" s="60" t="n">
        <x:v>0.005</x:v>
      </x:c>
      <x:c r="H227" s="23" t="n">
        <x:f>IF(D227=F227,0,1)+IF(E227=G227,0,1)</x:f>
        <x:v>0</x:v>
      </x:c>
      <x:c r="I227" s="23" t="str">
        <x:v>Timing T20 / fictional rates</x:v>
      </x:c>
    </x:row>
    <x:row r="228" ht="21" customHeight="1">
      <x:c r="A228" s="23" t="str">
        <x:v>middle_low</x:v>
      </x:c>
      <x:c r="B228" s="23" t="n">
        <x:v>29</x:v>
      </x:c>
      <x:c r="C228" s="37" t="n">
        <x:v>49035</x:v>
      </x:c>
      <x:c r="D228" s="55" t="n">
        <x:v>0</x:v>
      </x:c>
      <x:c r="E228" s="55" t="n">
        <x:v>0.005</x:v>
      </x:c>
      <x:c r="F228" s="60" t="n">
        <x:v>0</x:v>
      </x:c>
      <x:c r="G228" s="60" t="n">
        <x:v>0.005</x:v>
      </x:c>
      <x:c r="H228" s="23" t="n">
        <x:f>IF(D228=F228,0,1)+IF(E228=G228,0,1)</x:f>
        <x:v>0</x:v>
      </x:c>
      <x:c r="I228" s="23" t="str">
        <x:v>Timing T20 / fictional rates</x:v>
      </x:c>
    </x:row>
    <x:row r="229" ht="21" customHeight="1">
      <x:c r="A229" s="23" t="str">
        <x:v>middle_low</x:v>
      </x:c>
      <x:c r="B229" s="23" t="n">
        <x:v>30</x:v>
      </x:c>
      <x:c r="C229" s="37" t="n">
        <x:v>49126</x:v>
      </x:c>
      <x:c r="D229" s="55" t="n">
        <x:v>0</x:v>
      </x:c>
      <x:c r="E229" s="55" t="n">
        <x:v>0.005</x:v>
      </x:c>
      <x:c r="F229" s="60" t="n">
        <x:v>0</x:v>
      </x:c>
      <x:c r="G229" s="60" t="n">
        <x:v>0.005</x:v>
      </x:c>
      <x:c r="H229" s="23" t="n">
        <x:f>IF(D229=F229,0,1)+IF(E229=G229,0,1)</x:f>
        <x:v>0</x:v>
      </x:c>
      <x:c r="I229" s="23" t="str">
        <x:v>Timing T20 / fictional rates</x:v>
      </x:c>
    </x:row>
    <x:row r="230" ht="21" customHeight="1">
      <x:c r="A230" s="23" t="str">
        <x:v>middle_low</x:v>
      </x:c>
      <x:c r="B230" s="23" t="n">
        <x:v>31</x:v>
      </x:c>
      <x:c r="C230" s="37" t="n">
        <x:v>49218</x:v>
      </x:c>
      <x:c r="D230" s="55" t="n">
        <x:v>0</x:v>
      </x:c>
      <x:c r="E230" s="55" t="n">
        <x:v>0.005</x:v>
      </x:c>
      <x:c r="F230" s="60" t="n">
        <x:v>0</x:v>
      </x:c>
      <x:c r="G230" s="60" t="n">
        <x:v>0.005</x:v>
      </x:c>
      <x:c r="H230" s="23" t="n">
        <x:f>IF(D230=F230,0,1)+IF(E230=G230,0,1)</x:f>
        <x:v>0</x:v>
      </x:c>
      <x:c r="I230" s="23" t="str">
        <x:v>Timing T20 / fictional rates</x:v>
      </x:c>
    </x:row>
    <x:row r="231" ht="21" customHeight="1">
      <x:c r="A231" s="23" t="str">
        <x:v>middle_low</x:v>
      </x:c>
      <x:c r="B231" s="23" t="n">
        <x:v>32</x:v>
      </x:c>
      <x:c r="C231" s="37" t="n">
        <x:v>49310</x:v>
      </x:c>
      <x:c r="D231" s="55" t="n">
        <x:v>0</x:v>
      </x:c>
      <x:c r="E231" s="55" t="n">
        <x:v>0.005</x:v>
      </x:c>
      <x:c r="F231" s="60" t="n">
        <x:v>0</x:v>
      </x:c>
      <x:c r="G231" s="60" t="n">
        <x:v>0.005</x:v>
      </x:c>
      <x:c r="H231" s="23" t="n">
        <x:f>IF(D231=F231,0,1)+IF(E231=G231,0,1)</x:f>
        <x:v>0</x:v>
      </x:c>
      <x:c r="I231" s="23" t="str">
        <x:v>Timing T20 / fictional rates</x:v>
      </x:c>
    </x:row>
    <x:row r="232" ht="21" customHeight="1">
      <x:c r="A232" s="23" t="str">
        <x:v>middle_low</x:v>
      </x:c>
      <x:c r="B232" s="23" t="n">
        <x:v>33</x:v>
      </x:c>
      <x:c r="C232" s="37" t="n">
        <x:v>49400</x:v>
      </x:c>
      <x:c r="D232" s="55" t="n">
        <x:v>0</x:v>
      </x:c>
      <x:c r="E232" s="55" t="n">
        <x:v>0.005</x:v>
      </x:c>
      <x:c r="F232" s="60" t="n">
        <x:v>0</x:v>
      </x:c>
      <x:c r="G232" s="60" t="n">
        <x:v>0.005</x:v>
      </x:c>
      <x:c r="H232" s="23" t="n">
        <x:f>IF(D232=F232,0,1)+IF(E232=G232,0,1)</x:f>
        <x:v>0</x:v>
      </x:c>
      <x:c r="I232" s="23" t="str">
        <x:v>Timing T20 / fictional rates</x:v>
      </x:c>
    </x:row>
    <x:row r="233" ht="21" customHeight="1">
      <x:c r="A233" s="23" t="str">
        <x:v>middle_low</x:v>
      </x:c>
      <x:c r="B233" s="23" t="n">
        <x:v>34</x:v>
      </x:c>
      <x:c r="C233" s="37" t="n">
        <x:v>49491</x:v>
      </x:c>
      <x:c r="D233" s="55" t="n">
        <x:v>0</x:v>
      </x:c>
      <x:c r="E233" s="55" t="n">
        <x:v>0.005</x:v>
      </x:c>
      <x:c r="F233" s="60" t="n">
        <x:v>0</x:v>
      </x:c>
      <x:c r="G233" s="60" t="n">
        <x:v>0.005</x:v>
      </x:c>
      <x:c r="H233" s="23" t="n">
        <x:f>IF(D233=F233,0,1)+IF(E233=G233,0,1)</x:f>
        <x:v>0</x:v>
      </x:c>
      <x:c r="I233" s="23" t="str">
        <x:v>Timing T20 / fictional rates</x:v>
      </x:c>
    </x:row>
    <x:row r="234" ht="21" customHeight="1">
      <x:c r="A234" s="23" t="str">
        <x:v>middle_low</x:v>
      </x:c>
      <x:c r="B234" s="23" t="n">
        <x:v>35</x:v>
      </x:c>
      <x:c r="C234" s="37" t="n">
        <x:v>49583</x:v>
      </x:c>
      <x:c r="D234" s="55" t="n">
        <x:v>0</x:v>
      </x:c>
      <x:c r="E234" s="55" t="n">
        <x:v>0.005</x:v>
      </x:c>
      <x:c r="F234" s="60" t="n">
        <x:v>0</x:v>
      </x:c>
      <x:c r="G234" s="60" t="n">
        <x:v>0.005</x:v>
      </x:c>
      <x:c r="H234" s="23" t="n">
        <x:f>IF(D234=F234,0,1)+IF(E234=G234,0,1)</x:f>
        <x:v>0</x:v>
      </x:c>
      <x:c r="I234" s="23" t="str">
        <x:v>Timing T20 / fictional rates</x:v>
      </x:c>
    </x:row>
    <x:row r="235" ht="21" customHeight="1">
      <x:c r="A235" s="23" t="str">
        <x:v>middle_low</x:v>
      </x:c>
      <x:c r="B235" s="23" t="n">
        <x:v>36</x:v>
      </x:c>
      <x:c r="C235" s="37" t="n">
        <x:v>49675</x:v>
      </x:c>
      <x:c r="D235" s="55" t="n">
        <x:v>0</x:v>
      </x:c>
      <x:c r="E235" s="55" t="n">
        <x:v>0.005</x:v>
      </x:c>
      <x:c r="F235" s="60" t="n">
        <x:v>0</x:v>
      </x:c>
      <x:c r="G235" s="60" t="n">
        <x:v>0.005</x:v>
      </x:c>
      <x:c r="H235" s="23" t="n">
        <x:f>IF(D235=F235,0,1)+IF(E235=G235,0,1)</x:f>
        <x:v>0</x:v>
      </x:c>
      <x:c r="I235" s="23" t="str">
        <x:v>Timing T20 / fictional rates</x:v>
      </x:c>
    </x:row>
    <x:row r="236" ht="21" customHeight="1">
      <x:c r="A236" s="23" t="str">
        <x:v>middle_low</x:v>
      </x:c>
      <x:c r="B236" s="23" t="n">
        <x:v>37</x:v>
      </x:c>
      <x:c r="C236" s="37" t="n">
        <x:v>49766</x:v>
      </x:c>
      <x:c r="D236" s="55" t="n">
        <x:v>0</x:v>
      </x:c>
      <x:c r="E236" s="55" t="n">
        <x:v>0.005</x:v>
      </x:c>
      <x:c r="F236" s="60" t="n">
        <x:v>0</x:v>
      </x:c>
      <x:c r="G236" s="60" t="n">
        <x:v>0.005</x:v>
      </x:c>
      <x:c r="H236" s="23" t="n">
        <x:f>IF(D236=F236,0,1)+IF(E236=G236,0,1)</x:f>
        <x:v>0</x:v>
      </x:c>
      <x:c r="I236" s="23" t="str">
        <x:v>Timing T20 / fictional rates</x:v>
      </x:c>
    </x:row>
    <x:row r="237" ht="21" customHeight="1">
      <x:c r="A237" s="23" t="str">
        <x:v>middle_low</x:v>
      </x:c>
      <x:c r="B237" s="23" t="n">
        <x:v>38</x:v>
      </x:c>
      <x:c r="C237" s="37" t="n">
        <x:v>49857</x:v>
      </x:c>
      <x:c r="D237" s="55" t="n">
        <x:v>0</x:v>
      </x:c>
      <x:c r="E237" s="55" t="n">
        <x:v>0.005</x:v>
      </x:c>
      <x:c r="F237" s="60" t="n">
        <x:v>0</x:v>
      </x:c>
      <x:c r="G237" s="60" t="n">
        <x:v>0.005</x:v>
      </x:c>
      <x:c r="H237" s="23" t="n">
        <x:f>IF(D237=F237,0,1)+IF(E237=G237,0,1)</x:f>
        <x:v>0</x:v>
      </x:c>
      <x:c r="I237" s="23" t="str">
        <x:v>Timing T20 / fictional rates</x:v>
      </x:c>
    </x:row>
    <x:row r="238" ht="21" customHeight="1">
      <x:c r="A238" s="23" t="str">
        <x:v>middle_low</x:v>
      </x:c>
      <x:c r="B238" s="23" t="n">
        <x:v>39</x:v>
      </x:c>
      <x:c r="C238" s="37" t="n">
        <x:v>49949</x:v>
      </x:c>
      <x:c r="D238" s="55" t="n">
        <x:v>0</x:v>
      </x:c>
      <x:c r="E238" s="55" t="n">
        <x:v>0.005</x:v>
      </x:c>
      <x:c r="F238" s="60" t="n">
        <x:v>0</x:v>
      </x:c>
      <x:c r="G238" s="60" t="n">
        <x:v>0.005</x:v>
      </x:c>
      <x:c r="H238" s="23" t="n">
        <x:f>IF(D238=F238,0,1)+IF(E238=G238,0,1)</x:f>
        <x:v>0</x:v>
      </x:c>
      <x:c r="I238" s="23" t="str">
        <x:v>Timing T20 / fictional rates</x:v>
      </x:c>
    </x:row>
    <x:row r="239" ht="21" customHeight="1">
      <x:c r="A239" s="23" t="str">
        <x:v>middle_low</x:v>
      </x:c>
      <x:c r="B239" s="23" t="n">
        <x:v>40</x:v>
      </x:c>
      <x:c r="C239" s="37" t="n">
        <x:v>50041</x:v>
      </x:c>
      <x:c r="D239" s="55" t="n">
        <x:v>0</x:v>
      </x:c>
      <x:c r="E239" s="55" t="n">
        <x:v>0.005</x:v>
      </x:c>
      <x:c r="F239" s="60" t="n">
        <x:v>0</x:v>
      </x:c>
      <x:c r="G239" s="60" t="n">
        <x:v>0.005</x:v>
      </x:c>
      <x:c r="H239" s="23" t="n">
        <x:f>IF(D239=F239,0,1)+IF(E239=G239,0,1)</x:f>
        <x:v>0</x:v>
      </x:c>
      <x:c r="I239" s="23" t="str">
        <x:v>Timing T20 / fictional rates</x:v>
      </x:c>
    </x:row>
    <x:row r="240" ht="21" customHeight="1">
      <x:c r="A240" s="23" t="str">
        <x:v>middle_low</x:v>
      </x:c>
      <x:c r="B240" s="23" t="n">
        <x:v>41</x:v>
      </x:c>
      <x:c r="C240" s="37" t="n">
        <x:v>50131</x:v>
      </x:c>
      <x:c r="D240" s="55" t="n">
        <x:v>0</x:v>
      </x:c>
      <x:c r="E240" s="55" t="n">
        <x:v>0.005</x:v>
      </x:c>
      <x:c r="F240" s="60" t="n">
        <x:v>0</x:v>
      </x:c>
      <x:c r="G240" s="60" t="n">
        <x:v>0.005</x:v>
      </x:c>
      <x:c r="H240" s="23" t="n">
        <x:f>IF(D240=F240,0,1)+IF(E240=G240,0,1)</x:f>
        <x:v>0</x:v>
      </x:c>
      <x:c r="I240" s="23" t="str">
        <x:v>Timing T20 / fictional rates</x:v>
      </x:c>
    </x:row>
    <x:row r="241" ht="21" customHeight="1">
      <x:c r="A241" s="23" t="str">
        <x:v>middle_low</x:v>
      </x:c>
      <x:c r="B241" s="23" t="n">
        <x:v>42</x:v>
      </x:c>
      <x:c r="C241" s="37" t="n">
        <x:v>50222</x:v>
      </x:c>
      <x:c r="D241" s="55" t="n">
        <x:v>0</x:v>
      </x:c>
      <x:c r="E241" s="55" t="n">
        <x:v>0.005</x:v>
      </x:c>
      <x:c r="F241" s="60" t="n">
        <x:v>0</x:v>
      </x:c>
      <x:c r="G241" s="60" t="n">
        <x:v>0.005</x:v>
      </x:c>
      <x:c r="H241" s="23" t="n">
        <x:f>IF(D241=F241,0,1)+IF(E241=G241,0,1)</x:f>
        <x:v>0</x:v>
      </x:c>
      <x:c r="I241" s="23" t="str">
        <x:v>Timing T20 / fictional rates</x:v>
      </x:c>
    </x:row>
    <x:row r="242" ht="21" customHeight="1">
      <x:c r="A242" s="23" t="str">
        <x:v>middle_low</x:v>
      </x:c>
      <x:c r="B242" s="23" t="n">
        <x:v>43</x:v>
      </x:c>
      <x:c r="C242" s="37" t="n">
        <x:v>50314</x:v>
      </x:c>
      <x:c r="D242" s="55" t="n">
        <x:v>0</x:v>
      </x:c>
      <x:c r="E242" s="55" t="n">
        <x:v>0.005</x:v>
      </x:c>
      <x:c r="F242" s="60" t="n">
        <x:v>0</x:v>
      </x:c>
      <x:c r="G242" s="60" t="n">
        <x:v>0.005</x:v>
      </x:c>
      <x:c r="H242" s="23" t="n">
        <x:f>IF(D242=F242,0,1)+IF(E242=G242,0,1)</x:f>
        <x:v>0</x:v>
      </x:c>
      <x:c r="I242" s="23" t="str">
        <x:v>Timing T20 / fictional rates</x:v>
      </x:c>
    </x:row>
    <x:row r="243" ht="21" customHeight="1">
      <x:c r="A243" s="23" t="str">
        <x:v>middle_low</x:v>
      </x:c>
      <x:c r="B243" s="23" t="n">
        <x:v>44</x:v>
      </x:c>
      <x:c r="C243" s="37" t="n">
        <x:v>50406</x:v>
      </x:c>
      <x:c r="D243" s="55" t="n">
        <x:v>0</x:v>
      </x:c>
      <x:c r="E243" s="55" t="n">
        <x:v>0.005</x:v>
      </x:c>
      <x:c r="F243" s="60" t="n">
        <x:v>0</x:v>
      </x:c>
      <x:c r="G243" s="60" t="n">
        <x:v>0.005</x:v>
      </x:c>
      <x:c r="H243" s="23" t="n">
        <x:f>IF(D243=F243,0,1)+IF(E243=G243,0,1)</x:f>
        <x:v>0</x:v>
      </x:c>
      <x:c r="I243" s="23" t="str">
        <x:v>Timing T20 / fictional rates</x:v>
      </x:c>
    </x:row>
    <x:row r="244" ht="21" customHeight="1">
      <x:c r="A244" s="23" t="str">
        <x:v>middle_low</x:v>
      </x:c>
      <x:c r="B244" s="23" t="n">
        <x:v>45</x:v>
      </x:c>
      <x:c r="C244" s="37" t="n">
        <x:v>50496</x:v>
      </x:c>
      <x:c r="D244" s="55" t="n">
        <x:v>0</x:v>
      </x:c>
      <x:c r="E244" s="55" t="n">
        <x:v>0.005</x:v>
      </x:c>
      <x:c r="F244" s="60" t="n">
        <x:v>0</x:v>
      </x:c>
      <x:c r="G244" s="60" t="n">
        <x:v>0.005</x:v>
      </x:c>
      <x:c r="H244" s="23" t="n">
        <x:f>IF(D244=F244,0,1)+IF(E244=G244,0,1)</x:f>
        <x:v>0</x:v>
      </x:c>
      <x:c r="I244" s="23" t="str">
        <x:v>Timing T20 / fictional rates</x:v>
      </x:c>
    </x:row>
    <x:row r="245" ht="21" customHeight="1">
      <x:c r="A245" s="23" t="str">
        <x:v>middle_low</x:v>
      </x:c>
      <x:c r="B245" s="23" t="n">
        <x:v>46</x:v>
      </x:c>
      <x:c r="C245" s="37" t="n">
        <x:v>50587</x:v>
      </x:c>
      <x:c r="D245" s="55" t="n">
        <x:v>0</x:v>
      </x:c>
      <x:c r="E245" s="55" t="n">
        <x:v>0.005</x:v>
      </x:c>
      <x:c r="F245" s="60" t="n">
        <x:v>0</x:v>
      </x:c>
      <x:c r="G245" s="60" t="n">
        <x:v>0.005</x:v>
      </x:c>
      <x:c r="H245" s="23" t="n">
        <x:f>IF(D245=F245,0,1)+IF(E245=G245,0,1)</x:f>
        <x:v>0</x:v>
      </x:c>
      <x:c r="I245" s="23" t="str">
        <x:v>Timing T20 / fictional rates</x:v>
      </x:c>
    </x:row>
    <x:row r="246" ht="21" customHeight="1">
      <x:c r="A246" s="23" t="str">
        <x:v>middle_low</x:v>
      </x:c>
      <x:c r="B246" s="23" t="n">
        <x:v>47</x:v>
      </x:c>
      <x:c r="C246" s="37" t="n">
        <x:v>50679</x:v>
      </x:c>
      <x:c r="D246" s="55" t="n">
        <x:v>0</x:v>
      </x:c>
      <x:c r="E246" s="55" t="n">
        <x:v>0.005</x:v>
      </x:c>
      <x:c r="F246" s="60" t="n">
        <x:v>0</x:v>
      </x:c>
      <x:c r="G246" s="60" t="n">
        <x:v>0.005</x:v>
      </x:c>
      <x:c r="H246" s="23" t="n">
        <x:f>IF(D246=F246,0,1)+IF(E246=G246,0,1)</x:f>
        <x:v>0</x:v>
      </x:c>
      <x:c r="I246" s="23" t="str">
        <x:v>Timing T20 / fictional rates</x:v>
      </x:c>
    </x:row>
    <x:row r="247" ht="21" customHeight="1">
      <x:c r="A247" s="23" t="str">
        <x:v>middle_low</x:v>
      </x:c>
      <x:c r="B247" s="23" t="n">
        <x:v>48</x:v>
      </x:c>
      <x:c r="C247" s="37" t="n">
        <x:v>50771</x:v>
      </x:c>
      <x:c r="D247" s="55" t="n">
        <x:v>0</x:v>
      </x:c>
      <x:c r="E247" s="55" t="n">
        <x:v>0.005</x:v>
      </x:c>
      <x:c r="F247" s="60" t="n">
        <x:v>0</x:v>
      </x:c>
      <x:c r="G247" s="60" t="n">
        <x:v>0.005</x:v>
      </x:c>
      <x:c r="H247" s="23" t="n">
        <x:f>IF(D247=F247,0,1)+IF(E247=G247,0,1)</x:f>
        <x:v>0</x:v>
      </x:c>
      <x:c r="I247" s="23" t="str">
        <x:v>Timing T20 / fictional rates</x:v>
      </x:c>
    </x:row>
    <x:row r="248" ht="21" customHeight="1">
      <x:c r="A248" s="23" t="str">
        <x:v>middle_high</x:v>
      </x:c>
      <x:c r="B248" s="23" t="n">
        <x:v>1</x:v>
      </x:c>
      <x:c r="C248" s="37" t="n">
        <x:v>46478</x:v>
      </x:c>
      <x:c r="D248" s="55" t="n">
        <x:v>0.04</x:v>
      </x:c>
      <x:c r="E248" s="55" t="n">
        <x:v>0.06</x:v>
      </x:c>
      <x:c r="F248" s="60" t="n">
        <x:v>0.04</x:v>
      </x:c>
      <x:c r="G248" s="60" t="n">
        <x:v>0.06</x:v>
      </x:c>
      <x:c r="H248" s="23" t="n">
        <x:f>IF(D248=F248,0,1)+IF(E248=G248,0,1)</x:f>
        <x:v>0</x:v>
      </x:c>
      <x:c r="I248" s="23" t="str">
        <x:v>Timing T20 / fictional rates</x:v>
      </x:c>
    </x:row>
    <x:row r="249" ht="21" customHeight="1">
      <x:c r="A249" s="23" t="str">
        <x:v>middle_high</x:v>
      </x:c>
      <x:c r="B249" s="23" t="n">
        <x:v>2</x:v>
      </x:c>
      <x:c r="C249" s="37" t="n">
        <x:v>46569</x:v>
      </x:c>
      <x:c r="D249" s="55" t="n">
        <x:v>0.04</x:v>
      </x:c>
      <x:c r="E249" s="55" t="n">
        <x:v>0.06</x:v>
      </x:c>
      <x:c r="F249" s="60" t="n">
        <x:v>0.04</x:v>
      </x:c>
      <x:c r="G249" s="60" t="n">
        <x:v>0.06</x:v>
      </x:c>
      <x:c r="H249" s="23" t="n">
        <x:f>IF(D249=F249,0,1)+IF(E249=G249,0,1)</x:f>
        <x:v>0</x:v>
      </x:c>
      <x:c r="I249" s="23" t="str">
        <x:v>Timing T20 / fictional rates</x:v>
      </x:c>
    </x:row>
    <x:row r="250" ht="21" customHeight="1">
      <x:c r="A250" s="23" t="str">
        <x:v>middle_high</x:v>
      </x:c>
      <x:c r="B250" s="23" t="n">
        <x:v>3</x:v>
      </x:c>
      <x:c r="C250" s="37" t="n">
        <x:v>46661</x:v>
      </x:c>
      <x:c r="D250" s="55" t="n">
        <x:v>0.04</x:v>
      </x:c>
      <x:c r="E250" s="55" t="n">
        <x:v>0.06</x:v>
      </x:c>
      <x:c r="F250" s="60" t="n">
        <x:v>0.04</x:v>
      </x:c>
      <x:c r="G250" s="60" t="n">
        <x:v>0.06</x:v>
      </x:c>
      <x:c r="H250" s="23" t="n">
        <x:f>IF(D250=F250,0,1)+IF(E250=G250,0,1)</x:f>
        <x:v>0</x:v>
      </x:c>
      <x:c r="I250" s="23" t="str">
        <x:v>Timing T20 / fictional rates</x:v>
      </x:c>
    </x:row>
    <x:row r="251" ht="21" customHeight="1">
      <x:c r="A251" s="23" t="str">
        <x:v>middle_high</x:v>
      </x:c>
      <x:c r="B251" s="23" t="n">
        <x:v>4</x:v>
      </x:c>
      <x:c r="C251" s="37" t="n">
        <x:v>46753</x:v>
      </x:c>
      <x:c r="D251" s="55" t="n">
        <x:v>0.04</x:v>
      </x:c>
      <x:c r="E251" s="55" t="n">
        <x:v>0.06</x:v>
      </x:c>
      <x:c r="F251" s="60" t="n">
        <x:v>0.04</x:v>
      </x:c>
      <x:c r="G251" s="60" t="n">
        <x:v>0.06</x:v>
      </x:c>
      <x:c r="H251" s="23" t="n">
        <x:f>IF(D251=F251,0,1)+IF(E251=G251,0,1)</x:f>
        <x:v>0</x:v>
      </x:c>
      <x:c r="I251" s="23" t="str">
        <x:v>Timing T20 / fictional rates</x:v>
      </x:c>
    </x:row>
    <x:row r="252" ht="21" customHeight="1">
      <x:c r="A252" s="23" t="str">
        <x:v>middle_high</x:v>
      </x:c>
      <x:c r="B252" s="23" t="n">
        <x:v>5</x:v>
      </x:c>
      <x:c r="C252" s="37" t="n">
        <x:v>46844</x:v>
      </x:c>
      <x:c r="D252" s="55" t="n">
        <x:v>0.0575</x:v>
      </x:c>
      <x:c r="E252" s="55" t="n">
        <x:v>0.06</x:v>
      </x:c>
      <x:c r="F252" s="60" t="n">
        <x:v>0.0575</x:v>
      </x:c>
      <x:c r="G252" s="60" t="n">
        <x:v>0.06</x:v>
      </x:c>
      <x:c r="H252" s="23" t="n">
        <x:f>IF(D252=F252,0,1)+IF(E252=G252,0,1)</x:f>
        <x:v>0</x:v>
      </x:c>
      <x:c r="I252" s="23" t="str">
        <x:v>Timing T20 / fictional rates</x:v>
      </x:c>
    </x:row>
    <x:row r="253" ht="21" customHeight="1">
      <x:c r="A253" s="23" t="str">
        <x:v>middle_high</x:v>
      </x:c>
      <x:c r="B253" s="23" t="n">
        <x:v>6</x:v>
      </x:c>
      <x:c r="C253" s="37" t="n">
        <x:v>46935</x:v>
      </x:c>
      <x:c r="D253" s="55" t="n">
        <x:v>0.0575</x:v>
      </x:c>
      <x:c r="E253" s="55" t="n">
        <x:v>0.06</x:v>
      </x:c>
      <x:c r="F253" s="60" t="n">
        <x:v>0.0575</x:v>
      </x:c>
      <x:c r="G253" s="60" t="n">
        <x:v>0.06</x:v>
      </x:c>
      <x:c r="H253" s="23" t="n">
        <x:f>IF(D253=F253,0,1)+IF(E253=G253,0,1)</x:f>
        <x:v>0</x:v>
      </x:c>
      <x:c r="I253" s="23" t="str">
        <x:v>Timing T20 / fictional rates</x:v>
      </x:c>
    </x:row>
    <x:row r="254" ht="21" customHeight="1">
      <x:c r="A254" s="23" t="str">
        <x:v>middle_high</x:v>
      </x:c>
      <x:c r="B254" s="23" t="n">
        <x:v>7</x:v>
      </x:c>
      <x:c r="C254" s="37" t="n">
        <x:v>47027</x:v>
      </x:c>
      <x:c r="D254" s="55" t="n">
        <x:v>0.0575</x:v>
      </x:c>
      <x:c r="E254" s="55" t="n">
        <x:v>0.06</x:v>
      </x:c>
      <x:c r="F254" s="60" t="n">
        <x:v>0.0575</x:v>
      </x:c>
      <x:c r="G254" s="60" t="n">
        <x:v>0.06</x:v>
      </x:c>
      <x:c r="H254" s="23" t="n">
        <x:f>IF(D254=F254,0,1)+IF(E254=G254,0,1)</x:f>
        <x:v>0</x:v>
      </x:c>
      <x:c r="I254" s="23" t="str">
        <x:v>Timing T20 / fictional rates</x:v>
      </x:c>
    </x:row>
    <x:row r="255" ht="21" customHeight="1">
      <x:c r="A255" s="23" t="str">
        <x:v>middle_high</x:v>
      </x:c>
      <x:c r="B255" s="23" t="n">
        <x:v>8</x:v>
      </x:c>
      <x:c r="C255" s="37" t="n">
        <x:v>47119</x:v>
      </x:c>
      <x:c r="D255" s="55" t="n">
        <x:v>0.0575</x:v>
      </x:c>
      <x:c r="E255" s="55" t="n">
        <x:v>0.06</x:v>
      </x:c>
      <x:c r="F255" s="60" t="n">
        <x:v>0.0575</x:v>
      </x:c>
      <x:c r="G255" s="60" t="n">
        <x:v>0.06</x:v>
      </x:c>
      <x:c r="H255" s="23" t="n">
        <x:f>IF(D255=F255,0,1)+IF(E255=G255,0,1)</x:f>
        <x:v>0</x:v>
      </x:c>
      <x:c r="I255" s="23" t="str">
        <x:v>Timing T20 / fictional rates</x:v>
      </x:c>
    </x:row>
    <x:row r="256" ht="21" customHeight="1">
      <x:c r="A256" s="23" t="str">
        <x:v>middle_high</x:v>
      </x:c>
      <x:c r="B256" s="23" t="n">
        <x:v>9</x:v>
      </x:c>
      <x:c r="C256" s="37" t="n">
        <x:v>47209</x:v>
      </x:c>
      <x:c r="D256" s="55" t="n">
        <x:v>0.065</x:v>
      </x:c>
      <x:c r="E256" s="55" t="n">
        <x:v>0.06</x:v>
      </x:c>
      <x:c r="F256" s="60" t="n">
        <x:v>0.065</x:v>
      </x:c>
      <x:c r="G256" s="60" t="n">
        <x:v>0.06</x:v>
      </x:c>
      <x:c r="H256" s="23" t="n">
        <x:f>IF(D256=F256,0,1)+IF(E256=G256,0,1)</x:f>
        <x:v>0</x:v>
      </x:c>
      <x:c r="I256" s="23" t="str">
        <x:v>Timing T20 / fictional rates</x:v>
      </x:c>
    </x:row>
    <x:row r="257" ht="21" customHeight="1">
      <x:c r="A257" s="23" t="str">
        <x:v>middle_high</x:v>
      </x:c>
      <x:c r="B257" s="23" t="n">
        <x:v>10</x:v>
      </x:c>
      <x:c r="C257" s="37" t="n">
        <x:v>47300</x:v>
      </x:c>
      <x:c r="D257" s="55" t="n">
        <x:v>0.065</x:v>
      </x:c>
      <x:c r="E257" s="55" t="n">
        <x:v>0.06</x:v>
      </x:c>
      <x:c r="F257" s="60" t="n">
        <x:v>0.065</x:v>
      </x:c>
      <x:c r="G257" s="60" t="n">
        <x:v>0.06</x:v>
      </x:c>
      <x:c r="H257" s="23" t="n">
        <x:f>IF(D257=F257,0,1)+IF(E257=G257,0,1)</x:f>
        <x:v>0</x:v>
      </x:c>
      <x:c r="I257" s="23" t="str">
        <x:v>Timing T20 / fictional rates</x:v>
      </x:c>
    </x:row>
    <x:row r="258" ht="21" customHeight="1">
      <x:c r="A258" s="23" t="str">
        <x:v>middle_high</x:v>
      </x:c>
      <x:c r="B258" s="23" t="n">
        <x:v>11</x:v>
      </x:c>
      <x:c r="C258" s="37" t="n">
        <x:v>47392</x:v>
      </x:c>
      <x:c r="D258" s="55" t="n">
        <x:v>0.065</x:v>
      </x:c>
      <x:c r="E258" s="55" t="n">
        <x:v>0.06</x:v>
      </x:c>
      <x:c r="F258" s="60" t="n">
        <x:v>0.065</x:v>
      </x:c>
      <x:c r="G258" s="60" t="n">
        <x:v>0.06</x:v>
      </x:c>
      <x:c r="H258" s="23" t="n">
        <x:f>IF(D258=F258,0,1)+IF(E258=G258,0,1)</x:f>
        <x:v>0</x:v>
      </x:c>
      <x:c r="I258" s="23" t="str">
        <x:v>Timing T20 / fictional rates</x:v>
      </x:c>
    </x:row>
    <x:row r="259" ht="21" customHeight="1">
      <x:c r="A259" s="23" t="str">
        <x:v>middle_high</x:v>
      </x:c>
      <x:c r="B259" s="23" t="n">
        <x:v>12</x:v>
      </x:c>
      <x:c r="C259" s="37" t="n">
        <x:v>47484</x:v>
      </x:c>
      <x:c r="D259" s="55" t="n">
        <x:v>0.065</x:v>
      </x:c>
      <x:c r="E259" s="55" t="n">
        <x:v>0.06</x:v>
      </x:c>
      <x:c r="F259" s="60" t="n">
        <x:v>0.065</x:v>
      </x:c>
      <x:c r="G259" s="60" t="n">
        <x:v>0.06</x:v>
      </x:c>
      <x:c r="H259" s="23" t="n">
        <x:f>IF(D259=F259,0,1)+IF(E259=G259,0,1)</x:f>
        <x:v>0</x:v>
      </x:c>
      <x:c r="I259" s="23" t="str">
        <x:v>Timing T20 / fictional rates</x:v>
      </x:c>
    </x:row>
    <x:row r="260" ht="21" customHeight="1">
      <x:c r="A260" s="23" t="str">
        <x:v>middle_high</x:v>
      </x:c>
      <x:c r="B260" s="23" t="n">
        <x:v>13</x:v>
      </x:c>
      <x:c r="C260" s="37" t="n">
        <x:v>47574</x:v>
      </x:c>
      <x:c r="D260" s="55" t="n">
        <x:v>0.055</x:v>
      </x:c>
      <x:c r="E260" s="55" t="n">
        <x:v>0.06</x:v>
      </x:c>
      <x:c r="F260" s="60" t="n">
        <x:v>0.055</x:v>
      </x:c>
      <x:c r="G260" s="60" t="n">
        <x:v>0.06</x:v>
      </x:c>
      <x:c r="H260" s="23" t="n">
        <x:f>IF(D260=F260,0,1)+IF(E260=G260,0,1)</x:f>
        <x:v>0</x:v>
      </x:c>
      <x:c r="I260" s="23" t="str">
        <x:v>Timing T20 / fictional rates</x:v>
      </x:c>
    </x:row>
    <x:row r="261" ht="21" customHeight="1">
      <x:c r="A261" s="23" t="str">
        <x:v>middle_high</x:v>
      </x:c>
      <x:c r="B261" s="23" t="n">
        <x:v>14</x:v>
      </x:c>
      <x:c r="C261" s="37" t="n">
        <x:v>47665</x:v>
      </x:c>
      <x:c r="D261" s="55" t="n">
        <x:v>0.055</x:v>
      </x:c>
      <x:c r="E261" s="55" t="n">
        <x:v>0.06</x:v>
      </x:c>
      <x:c r="F261" s="60" t="n">
        <x:v>0.055</x:v>
      </x:c>
      <x:c r="G261" s="60" t="n">
        <x:v>0.06</x:v>
      </x:c>
      <x:c r="H261" s="23" t="n">
        <x:f>IF(D261=F261,0,1)+IF(E261=G261,0,1)</x:f>
        <x:v>0</x:v>
      </x:c>
      <x:c r="I261" s="23" t="str">
        <x:v>Timing T20 / fictional rates</x:v>
      </x:c>
    </x:row>
    <x:row r="262" ht="21" customHeight="1">
      <x:c r="A262" s="23" t="str">
        <x:v>middle_high</x:v>
      </x:c>
      <x:c r="B262" s="23" t="n">
        <x:v>15</x:v>
      </x:c>
      <x:c r="C262" s="37" t="n">
        <x:v>47757</x:v>
      </x:c>
      <x:c r="D262" s="55" t="n">
        <x:v>0.055</x:v>
      </x:c>
      <x:c r="E262" s="55" t="n">
        <x:v>0.06</x:v>
      </x:c>
      <x:c r="F262" s="60" t="n">
        <x:v>0.055</x:v>
      </x:c>
      <x:c r="G262" s="60" t="n">
        <x:v>0.06</x:v>
      </x:c>
      <x:c r="H262" s="23" t="n">
        <x:f>IF(D262=F262,0,1)+IF(E262=G262,0,1)</x:f>
        <x:v>0</x:v>
      </x:c>
      <x:c r="I262" s="23" t="str">
        <x:v>Timing T20 / fictional rates</x:v>
      </x:c>
    </x:row>
    <x:row r="263" ht="21" customHeight="1">
      <x:c r="A263" s="23" t="str">
        <x:v>middle_high</x:v>
      </x:c>
      <x:c r="B263" s="23" t="n">
        <x:v>16</x:v>
      </x:c>
      <x:c r="C263" s="37" t="n">
        <x:v>47849</x:v>
      </x:c>
      <x:c r="D263" s="55" t="n">
        <x:v>0.055</x:v>
      </x:c>
      <x:c r="E263" s="55" t="n">
        <x:v>0.06</x:v>
      </x:c>
      <x:c r="F263" s="60" t="n">
        <x:v>0.055</x:v>
      </x:c>
      <x:c r="G263" s="60" t="n">
        <x:v>0.06</x:v>
      </x:c>
      <x:c r="H263" s="23" t="n">
        <x:f>IF(D263=F263,0,1)+IF(E263=G263,0,1)</x:f>
        <x:v>0</x:v>
      </x:c>
      <x:c r="I263" s="23" t="str">
        <x:v>Timing T20 / fictional rates</x:v>
      </x:c>
    </x:row>
    <x:row r="264" ht="21" customHeight="1">
      <x:c r="A264" s="23" t="str">
        <x:v>middle_high</x:v>
      </x:c>
      <x:c r="B264" s="23" t="n">
        <x:v>17</x:v>
      </x:c>
      <x:c r="C264" s="37" t="n">
        <x:v>47939</x:v>
      </x:c>
      <x:c r="D264" s="55" t="n">
        <x:v>0.0325</x:v>
      </x:c>
      <x:c r="E264" s="55" t="n">
        <x:v>0.06</x:v>
      </x:c>
      <x:c r="F264" s="60" t="n">
        <x:v>0.0325</x:v>
      </x:c>
      <x:c r="G264" s="60" t="n">
        <x:v>0.06</x:v>
      </x:c>
      <x:c r="H264" s="23" t="n">
        <x:f>IF(D264=F264,0,1)+IF(E264=G264,0,1)</x:f>
        <x:v>0</x:v>
      </x:c>
      <x:c r="I264" s="23" t="str">
        <x:v>Timing T20 / fictional rates</x:v>
      </x:c>
    </x:row>
    <x:row r="265" ht="21" customHeight="1">
      <x:c r="A265" s="23" t="str">
        <x:v>middle_high</x:v>
      </x:c>
      <x:c r="B265" s="23" t="n">
        <x:v>18</x:v>
      </x:c>
      <x:c r="C265" s="37" t="n">
        <x:v>48030</x:v>
      </x:c>
      <x:c r="D265" s="55" t="n">
        <x:v>0.0325</x:v>
      </x:c>
      <x:c r="E265" s="55" t="n">
        <x:v>0.06</x:v>
      </x:c>
      <x:c r="F265" s="60" t="n">
        <x:v>0.0325</x:v>
      </x:c>
      <x:c r="G265" s="60" t="n">
        <x:v>0.06</x:v>
      </x:c>
      <x:c r="H265" s="23" t="n">
        <x:f>IF(D265=F265,0,1)+IF(E265=G265,0,1)</x:f>
        <x:v>0</x:v>
      </x:c>
      <x:c r="I265" s="23" t="str">
        <x:v>Timing T20 / fictional rates</x:v>
      </x:c>
    </x:row>
    <x:row r="266" ht="21" customHeight="1">
      <x:c r="A266" s="23" t="str">
        <x:v>middle_high</x:v>
      </x:c>
      <x:c r="B266" s="23" t="n">
        <x:v>19</x:v>
      </x:c>
      <x:c r="C266" s="37" t="n">
        <x:v>48122</x:v>
      </x:c>
      <x:c r="D266" s="55" t="n">
        <x:v>0.0325</x:v>
      </x:c>
      <x:c r="E266" s="55" t="n">
        <x:v>0.06</x:v>
      </x:c>
      <x:c r="F266" s="60" t="n">
        <x:v>0.0325</x:v>
      </x:c>
      <x:c r="G266" s="60" t="n">
        <x:v>0.06</x:v>
      </x:c>
      <x:c r="H266" s="23" t="n">
        <x:f>IF(D266=F266,0,1)+IF(E266=G266,0,1)</x:f>
        <x:v>0</x:v>
      </x:c>
      <x:c r="I266" s="23" t="str">
        <x:v>Timing T20 / fictional rates</x:v>
      </x:c>
    </x:row>
    <x:row r="267" ht="21" customHeight="1">
      <x:c r="A267" s="23" t="str">
        <x:v>middle_high</x:v>
      </x:c>
      <x:c r="B267" s="23" t="n">
        <x:v>20</x:v>
      </x:c>
      <x:c r="C267" s="37" t="n">
        <x:v>48214</x:v>
      </x:c>
      <x:c r="D267" s="55" t="n">
        <x:v>0.0325</x:v>
      </x:c>
      <x:c r="E267" s="55" t="n">
        <x:v>0.06</x:v>
      </x:c>
      <x:c r="F267" s="60" t="n">
        <x:v>0.0325</x:v>
      </x:c>
      <x:c r="G267" s="60" t="n">
        <x:v>0.06</x:v>
      </x:c>
      <x:c r="H267" s="23" t="n">
        <x:f>IF(D267=F267,0,1)+IF(E267=G267,0,1)</x:f>
        <x:v>0</x:v>
      </x:c>
      <x:c r="I267" s="23" t="str">
        <x:v>Timing T20 / fictional rates</x:v>
      </x:c>
    </x:row>
    <x:row r="268" ht="21" customHeight="1">
      <x:c r="A268" s="23" t="str">
        <x:v>middle_high</x:v>
      </x:c>
      <x:c r="B268" s="23" t="n">
        <x:v>21</x:v>
      </x:c>
      <x:c r="C268" s="37" t="n">
        <x:v>48305</x:v>
      </x:c>
      <x:c r="D268" s="55" t="n">
        <x:v>0</x:v>
      </x:c>
      <x:c r="E268" s="55" t="n">
        <x:v>0.06</x:v>
      </x:c>
      <x:c r="F268" s="60" t="n">
        <x:v>0</x:v>
      </x:c>
      <x:c r="G268" s="60" t="n">
        <x:v>0.06</x:v>
      </x:c>
      <x:c r="H268" s="23" t="n">
        <x:f>IF(D268=F268,0,1)+IF(E268=G268,0,1)</x:f>
        <x:v>0</x:v>
      </x:c>
      <x:c r="I268" s="23" t="str">
        <x:v>Timing T20 / fictional rates</x:v>
      </x:c>
    </x:row>
    <x:row r="269" ht="21" customHeight="1">
      <x:c r="A269" s="23" t="str">
        <x:v>middle_high</x:v>
      </x:c>
      <x:c r="B269" s="23" t="n">
        <x:v>22</x:v>
      </x:c>
      <x:c r="C269" s="37" t="n">
        <x:v>48396</x:v>
      </x:c>
      <x:c r="D269" s="55" t="n">
        <x:v>0</x:v>
      </x:c>
      <x:c r="E269" s="55" t="n">
        <x:v>0.06</x:v>
      </x:c>
      <x:c r="F269" s="60" t="n">
        <x:v>0</x:v>
      </x:c>
      <x:c r="G269" s="60" t="n">
        <x:v>0.06</x:v>
      </x:c>
      <x:c r="H269" s="23" t="n">
        <x:f>IF(D269=F269,0,1)+IF(E269=G269,0,1)</x:f>
        <x:v>0</x:v>
      </x:c>
      <x:c r="I269" s="23" t="str">
        <x:v>Timing T20 / fictional rates</x:v>
      </x:c>
    </x:row>
    <x:row r="270" ht="21" customHeight="1">
      <x:c r="A270" s="23" t="str">
        <x:v>middle_high</x:v>
      </x:c>
      <x:c r="B270" s="23" t="n">
        <x:v>23</x:v>
      </x:c>
      <x:c r="C270" s="37" t="n">
        <x:v>48488</x:v>
      </x:c>
      <x:c r="D270" s="55" t="n">
        <x:v>0</x:v>
      </x:c>
      <x:c r="E270" s="55" t="n">
        <x:v>0.06</x:v>
      </x:c>
      <x:c r="F270" s="60" t="n">
        <x:v>0</x:v>
      </x:c>
      <x:c r="G270" s="60" t="n">
        <x:v>0.06</x:v>
      </x:c>
      <x:c r="H270" s="23" t="n">
        <x:f>IF(D270=F270,0,1)+IF(E270=G270,0,1)</x:f>
        <x:v>0</x:v>
      </x:c>
      <x:c r="I270" s="23" t="str">
        <x:v>Timing T20 / fictional rates</x:v>
      </x:c>
    </x:row>
    <x:row r="271" ht="21" customHeight="1">
      <x:c r="A271" s="23" t="str">
        <x:v>middle_high</x:v>
      </x:c>
      <x:c r="B271" s="23" t="n">
        <x:v>24</x:v>
      </x:c>
      <x:c r="C271" s="37" t="n">
        <x:v>48580</x:v>
      </x:c>
      <x:c r="D271" s="55" t="n">
        <x:v>0</x:v>
      </x:c>
      <x:c r="E271" s="55" t="n">
        <x:v>0.06</x:v>
      </x:c>
      <x:c r="F271" s="60" t="n">
        <x:v>0</x:v>
      </x:c>
      <x:c r="G271" s="60" t="n">
        <x:v>0.06</x:v>
      </x:c>
      <x:c r="H271" s="23" t="n">
        <x:f>IF(D271=F271,0,1)+IF(E271=G271,0,1)</x:f>
        <x:v>0</x:v>
      </x:c>
      <x:c r="I271" s="23" t="str">
        <x:v>Timing T20 / fictional rates</x:v>
      </x:c>
    </x:row>
    <x:row r="272" ht="21" customHeight="1">
      <x:c r="A272" s="23" t="str">
        <x:v>middle_high</x:v>
      </x:c>
      <x:c r="B272" s="23" t="n">
        <x:v>25</x:v>
      </x:c>
      <x:c r="C272" s="37" t="n">
        <x:v>48670</x:v>
      </x:c>
      <x:c r="D272" s="55" t="n">
        <x:v>0</x:v>
      </x:c>
      <x:c r="E272" s="55" t="n">
        <x:v>0.06</x:v>
      </x:c>
      <x:c r="F272" s="60" t="n">
        <x:v>0</x:v>
      </x:c>
      <x:c r="G272" s="60" t="n">
        <x:v>0.06</x:v>
      </x:c>
      <x:c r="H272" s="23" t="n">
        <x:f>IF(D272=F272,0,1)+IF(E272=G272,0,1)</x:f>
        <x:v>0</x:v>
      </x:c>
      <x:c r="I272" s="23" t="str">
        <x:v>Timing T20 / fictional rates</x:v>
      </x:c>
    </x:row>
    <x:row r="273" ht="21" customHeight="1">
      <x:c r="A273" s="23" t="str">
        <x:v>middle_high</x:v>
      </x:c>
      <x:c r="B273" s="23" t="n">
        <x:v>26</x:v>
      </x:c>
      <x:c r="C273" s="37" t="n">
        <x:v>48761</x:v>
      </x:c>
      <x:c r="D273" s="55" t="n">
        <x:v>0</x:v>
      </x:c>
      <x:c r="E273" s="55" t="n">
        <x:v>0.06</x:v>
      </x:c>
      <x:c r="F273" s="60" t="n">
        <x:v>0</x:v>
      </x:c>
      <x:c r="G273" s="60" t="n">
        <x:v>0.06</x:v>
      </x:c>
      <x:c r="H273" s="23" t="n">
        <x:f>IF(D273=F273,0,1)+IF(E273=G273,0,1)</x:f>
        <x:v>0</x:v>
      </x:c>
      <x:c r="I273" s="23" t="str">
        <x:v>Timing T20 / fictional rates</x:v>
      </x:c>
    </x:row>
    <x:row r="274" ht="21" customHeight="1">
      <x:c r="A274" s="23" t="str">
        <x:v>middle_high</x:v>
      </x:c>
      <x:c r="B274" s="23" t="n">
        <x:v>27</x:v>
      </x:c>
      <x:c r="C274" s="37" t="n">
        <x:v>48853</x:v>
      </x:c>
      <x:c r="D274" s="55" t="n">
        <x:v>0</x:v>
      </x:c>
      <x:c r="E274" s="55" t="n">
        <x:v>0.06</x:v>
      </x:c>
      <x:c r="F274" s="60" t="n">
        <x:v>0</x:v>
      </x:c>
      <x:c r="G274" s="60" t="n">
        <x:v>0.06</x:v>
      </x:c>
      <x:c r="H274" s="23" t="n">
        <x:f>IF(D274=F274,0,1)+IF(E274=G274,0,1)</x:f>
        <x:v>0</x:v>
      </x:c>
      <x:c r="I274" s="23" t="str">
        <x:v>Timing T20 / fictional rates</x:v>
      </x:c>
    </x:row>
    <x:row r="275" ht="21" customHeight="1">
      <x:c r="A275" s="23" t="str">
        <x:v>middle_high</x:v>
      </x:c>
      <x:c r="B275" s="23" t="n">
        <x:v>28</x:v>
      </x:c>
      <x:c r="C275" s="37" t="n">
        <x:v>48945</x:v>
      </x:c>
      <x:c r="D275" s="55" t="n">
        <x:v>0</x:v>
      </x:c>
      <x:c r="E275" s="55" t="n">
        <x:v>0.06</x:v>
      </x:c>
      <x:c r="F275" s="60" t="n">
        <x:v>0</x:v>
      </x:c>
      <x:c r="G275" s="60" t="n">
        <x:v>0.06</x:v>
      </x:c>
      <x:c r="H275" s="23" t="n">
        <x:f>IF(D275=F275,0,1)+IF(E275=G275,0,1)</x:f>
        <x:v>0</x:v>
      </x:c>
      <x:c r="I275" s="23" t="str">
        <x:v>Timing T20 / fictional rates</x:v>
      </x:c>
    </x:row>
    <x:row r="276" ht="21" customHeight="1">
      <x:c r="A276" s="23" t="str">
        <x:v>middle_high</x:v>
      </x:c>
      <x:c r="B276" s="23" t="n">
        <x:v>29</x:v>
      </x:c>
      <x:c r="C276" s="37" t="n">
        <x:v>49035</x:v>
      </x:c>
      <x:c r="D276" s="55" t="n">
        <x:v>0</x:v>
      </x:c>
      <x:c r="E276" s="55" t="n">
        <x:v>0.06</x:v>
      </x:c>
      <x:c r="F276" s="60" t="n">
        <x:v>0</x:v>
      </x:c>
      <x:c r="G276" s="60" t="n">
        <x:v>0.06</x:v>
      </x:c>
      <x:c r="H276" s="23" t="n">
        <x:f>IF(D276=F276,0,1)+IF(E276=G276,0,1)</x:f>
        <x:v>0</x:v>
      </x:c>
      <x:c r="I276" s="23" t="str">
        <x:v>Timing T20 / fictional rates</x:v>
      </x:c>
    </x:row>
    <x:row r="277" ht="21" customHeight="1">
      <x:c r="A277" s="23" t="str">
        <x:v>middle_high</x:v>
      </x:c>
      <x:c r="B277" s="23" t="n">
        <x:v>30</x:v>
      </x:c>
      <x:c r="C277" s="37" t="n">
        <x:v>49126</x:v>
      </x:c>
      <x:c r="D277" s="55" t="n">
        <x:v>0</x:v>
      </x:c>
      <x:c r="E277" s="55" t="n">
        <x:v>0.06</x:v>
      </x:c>
      <x:c r="F277" s="60" t="n">
        <x:v>0</x:v>
      </x:c>
      <x:c r="G277" s="60" t="n">
        <x:v>0.06</x:v>
      </x:c>
      <x:c r="H277" s="23" t="n">
        <x:f>IF(D277=F277,0,1)+IF(E277=G277,0,1)</x:f>
        <x:v>0</x:v>
      </x:c>
      <x:c r="I277" s="23" t="str">
        <x:v>Timing T20 / fictional rates</x:v>
      </x:c>
    </x:row>
    <x:row r="278" ht="21" customHeight="1">
      <x:c r="A278" s="23" t="str">
        <x:v>middle_high</x:v>
      </x:c>
      <x:c r="B278" s="23" t="n">
        <x:v>31</x:v>
      </x:c>
      <x:c r="C278" s="37" t="n">
        <x:v>49218</x:v>
      </x:c>
      <x:c r="D278" s="55" t="n">
        <x:v>0</x:v>
      </x:c>
      <x:c r="E278" s="55" t="n">
        <x:v>0.06</x:v>
      </x:c>
      <x:c r="F278" s="60" t="n">
        <x:v>0</x:v>
      </x:c>
      <x:c r="G278" s="60" t="n">
        <x:v>0.06</x:v>
      </x:c>
      <x:c r="H278" s="23" t="n">
        <x:f>IF(D278=F278,0,1)+IF(E278=G278,0,1)</x:f>
        <x:v>0</x:v>
      </x:c>
      <x:c r="I278" s="23" t="str">
        <x:v>Timing T20 / fictional rates</x:v>
      </x:c>
    </x:row>
    <x:row r="279" ht="21" customHeight="1">
      <x:c r="A279" s="23" t="str">
        <x:v>middle_high</x:v>
      </x:c>
      <x:c r="B279" s="23" t="n">
        <x:v>32</x:v>
      </x:c>
      <x:c r="C279" s="37" t="n">
        <x:v>49310</x:v>
      </x:c>
      <x:c r="D279" s="55" t="n">
        <x:v>0</x:v>
      </x:c>
      <x:c r="E279" s="55" t="n">
        <x:v>0.06</x:v>
      </x:c>
      <x:c r="F279" s="60" t="n">
        <x:v>0</x:v>
      </x:c>
      <x:c r="G279" s="60" t="n">
        <x:v>0.06</x:v>
      </x:c>
      <x:c r="H279" s="23" t="n">
        <x:f>IF(D279=F279,0,1)+IF(E279=G279,0,1)</x:f>
        <x:v>0</x:v>
      </x:c>
      <x:c r="I279" s="23" t="str">
        <x:v>Timing T20 / fictional rates</x:v>
      </x:c>
    </x:row>
    <x:row r="280" ht="21" customHeight="1">
      <x:c r="A280" s="23" t="str">
        <x:v>middle_high</x:v>
      </x:c>
      <x:c r="B280" s="23" t="n">
        <x:v>33</x:v>
      </x:c>
      <x:c r="C280" s="37" t="n">
        <x:v>49400</x:v>
      </x:c>
      <x:c r="D280" s="55" t="n">
        <x:v>0</x:v>
      </x:c>
      <x:c r="E280" s="55" t="n">
        <x:v>0.06</x:v>
      </x:c>
      <x:c r="F280" s="60" t="n">
        <x:v>0</x:v>
      </x:c>
      <x:c r="G280" s="60" t="n">
        <x:v>0.06</x:v>
      </x:c>
      <x:c r="H280" s="23" t="n">
        <x:f>IF(D280=F280,0,1)+IF(E280=G280,0,1)</x:f>
        <x:v>0</x:v>
      </x:c>
      <x:c r="I280" s="23" t="str">
        <x:v>Timing T20 / fictional rates</x:v>
      </x:c>
    </x:row>
    <x:row r="281" ht="21" customHeight="1">
      <x:c r="A281" s="23" t="str">
        <x:v>middle_high</x:v>
      </x:c>
      <x:c r="B281" s="23" t="n">
        <x:v>34</x:v>
      </x:c>
      <x:c r="C281" s="37" t="n">
        <x:v>49491</x:v>
      </x:c>
      <x:c r="D281" s="55" t="n">
        <x:v>0</x:v>
      </x:c>
      <x:c r="E281" s="55" t="n">
        <x:v>0.06</x:v>
      </x:c>
      <x:c r="F281" s="60" t="n">
        <x:v>0</x:v>
      </x:c>
      <x:c r="G281" s="60" t="n">
        <x:v>0.06</x:v>
      </x:c>
      <x:c r="H281" s="23" t="n">
        <x:f>IF(D281=F281,0,1)+IF(E281=G281,0,1)</x:f>
        <x:v>0</x:v>
      </x:c>
      <x:c r="I281" s="23" t="str">
        <x:v>Timing T20 / fictional rates</x:v>
      </x:c>
    </x:row>
    <x:row r="282" ht="21" customHeight="1">
      <x:c r="A282" s="23" t="str">
        <x:v>middle_high</x:v>
      </x:c>
      <x:c r="B282" s="23" t="n">
        <x:v>35</x:v>
      </x:c>
      <x:c r="C282" s="37" t="n">
        <x:v>49583</x:v>
      </x:c>
      <x:c r="D282" s="55" t="n">
        <x:v>0</x:v>
      </x:c>
      <x:c r="E282" s="55" t="n">
        <x:v>0.06</x:v>
      </x:c>
      <x:c r="F282" s="60" t="n">
        <x:v>0</x:v>
      </x:c>
      <x:c r="G282" s="60" t="n">
        <x:v>0.06</x:v>
      </x:c>
      <x:c r="H282" s="23" t="n">
        <x:f>IF(D282=F282,0,1)+IF(E282=G282,0,1)</x:f>
        <x:v>0</x:v>
      </x:c>
      <x:c r="I282" s="23" t="str">
        <x:v>Timing T20 / fictional rates</x:v>
      </x:c>
    </x:row>
    <x:row r="283" ht="21" customHeight="1">
      <x:c r="A283" s="23" t="str">
        <x:v>middle_high</x:v>
      </x:c>
      <x:c r="B283" s="23" t="n">
        <x:v>36</x:v>
      </x:c>
      <x:c r="C283" s="37" t="n">
        <x:v>49675</x:v>
      </x:c>
      <x:c r="D283" s="55" t="n">
        <x:v>0</x:v>
      </x:c>
      <x:c r="E283" s="55" t="n">
        <x:v>0.06</x:v>
      </x:c>
      <x:c r="F283" s="60" t="n">
        <x:v>0</x:v>
      </x:c>
      <x:c r="G283" s="60" t="n">
        <x:v>0.06</x:v>
      </x:c>
      <x:c r="H283" s="23" t="n">
        <x:f>IF(D283=F283,0,1)+IF(E283=G283,0,1)</x:f>
        <x:v>0</x:v>
      </x:c>
      <x:c r="I283" s="23" t="str">
        <x:v>Timing T20 / fictional rates</x:v>
      </x:c>
    </x:row>
    <x:row r="284" ht="21" customHeight="1">
      <x:c r="A284" s="23" t="str">
        <x:v>middle_high</x:v>
      </x:c>
      <x:c r="B284" s="23" t="n">
        <x:v>37</x:v>
      </x:c>
      <x:c r="C284" s="37" t="n">
        <x:v>49766</x:v>
      </x:c>
      <x:c r="D284" s="55" t="n">
        <x:v>0</x:v>
      </x:c>
      <x:c r="E284" s="55" t="n">
        <x:v>0.06</x:v>
      </x:c>
      <x:c r="F284" s="60" t="n">
        <x:v>0</x:v>
      </x:c>
      <x:c r="G284" s="60" t="n">
        <x:v>0.06</x:v>
      </x:c>
      <x:c r="H284" s="23" t="n">
        <x:f>IF(D284=F284,0,1)+IF(E284=G284,0,1)</x:f>
        <x:v>0</x:v>
      </x:c>
      <x:c r="I284" s="23" t="str">
        <x:v>Timing T20 / fictional rates</x:v>
      </x:c>
    </x:row>
    <x:row r="285" ht="21" customHeight="1">
      <x:c r="A285" s="23" t="str">
        <x:v>middle_high</x:v>
      </x:c>
      <x:c r="B285" s="23" t="n">
        <x:v>38</x:v>
      </x:c>
      <x:c r="C285" s="37" t="n">
        <x:v>49857</x:v>
      </x:c>
      <x:c r="D285" s="55" t="n">
        <x:v>0</x:v>
      </x:c>
      <x:c r="E285" s="55" t="n">
        <x:v>0.06</x:v>
      </x:c>
      <x:c r="F285" s="60" t="n">
        <x:v>0</x:v>
      </x:c>
      <x:c r="G285" s="60" t="n">
        <x:v>0.06</x:v>
      </x:c>
      <x:c r="H285" s="23" t="n">
        <x:f>IF(D285=F285,0,1)+IF(E285=G285,0,1)</x:f>
        <x:v>0</x:v>
      </x:c>
      <x:c r="I285" s="23" t="str">
        <x:v>Timing T20 / fictional rates</x:v>
      </x:c>
    </x:row>
    <x:row r="286" ht="21" customHeight="1">
      <x:c r="A286" s="23" t="str">
        <x:v>middle_high</x:v>
      </x:c>
      <x:c r="B286" s="23" t="n">
        <x:v>39</x:v>
      </x:c>
      <x:c r="C286" s="37" t="n">
        <x:v>49949</x:v>
      </x:c>
      <x:c r="D286" s="55" t="n">
        <x:v>0</x:v>
      </x:c>
      <x:c r="E286" s="55" t="n">
        <x:v>0.06</x:v>
      </x:c>
      <x:c r="F286" s="60" t="n">
        <x:v>0</x:v>
      </x:c>
      <x:c r="G286" s="60" t="n">
        <x:v>0.06</x:v>
      </x:c>
      <x:c r="H286" s="23" t="n">
        <x:f>IF(D286=F286,0,1)+IF(E286=G286,0,1)</x:f>
        <x:v>0</x:v>
      </x:c>
      <x:c r="I286" s="23" t="str">
        <x:v>Timing T20 / fictional rates</x:v>
      </x:c>
    </x:row>
    <x:row r="287" ht="21" customHeight="1">
      <x:c r="A287" s="23" t="str">
        <x:v>middle_high</x:v>
      </x:c>
      <x:c r="B287" s="23" t="n">
        <x:v>40</x:v>
      </x:c>
      <x:c r="C287" s="37" t="n">
        <x:v>50041</x:v>
      </x:c>
      <x:c r="D287" s="55" t="n">
        <x:v>0</x:v>
      </x:c>
      <x:c r="E287" s="55" t="n">
        <x:v>0.06</x:v>
      </x:c>
      <x:c r="F287" s="60" t="n">
        <x:v>0</x:v>
      </x:c>
      <x:c r="G287" s="60" t="n">
        <x:v>0.06</x:v>
      </x:c>
      <x:c r="H287" s="23" t="n">
        <x:f>IF(D287=F287,0,1)+IF(E287=G287,0,1)</x:f>
        <x:v>0</x:v>
      </x:c>
      <x:c r="I287" s="23" t="str">
        <x:v>Timing T20 / fictional rates</x:v>
      </x:c>
    </x:row>
    <x:row r="288" ht="21" customHeight="1">
      <x:c r="A288" s="23" t="str">
        <x:v>middle_high</x:v>
      </x:c>
      <x:c r="B288" s="23" t="n">
        <x:v>41</x:v>
      </x:c>
      <x:c r="C288" s="37" t="n">
        <x:v>50131</x:v>
      </x:c>
      <x:c r="D288" s="55" t="n">
        <x:v>0</x:v>
      </x:c>
      <x:c r="E288" s="55" t="n">
        <x:v>0.06</x:v>
      </x:c>
      <x:c r="F288" s="60" t="n">
        <x:v>0</x:v>
      </x:c>
      <x:c r="G288" s="60" t="n">
        <x:v>0.06</x:v>
      </x:c>
      <x:c r="H288" s="23" t="n">
        <x:f>IF(D288=F288,0,1)+IF(E288=G288,0,1)</x:f>
        <x:v>0</x:v>
      </x:c>
      <x:c r="I288" s="23" t="str">
        <x:v>Timing T20 / fictional rates</x:v>
      </x:c>
    </x:row>
    <x:row r="289" ht="21" customHeight="1">
      <x:c r="A289" s="23" t="str">
        <x:v>middle_high</x:v>
      </x:c>
      <x:c r="B289" s="23" t="n">
        <x:v>42</x:v>
      </x:c>
      <x:c r="C289" s="37" t="n">
        <x:v>50222</x:v>
      </x:c>
      <x:c r="D289" s="55" t="n">
        <x:v>0</x:v>
      </x:c>
      <x:c r="E289" s="55" t="n">
        <x:v>0.06</x:v>
      </x:c>
      <x:c r="F289" s="60" t="n">
        <x:v>0</x:v>
      </x:c>
      <x:c r="G289" s="60" t="n">
        <x:v>0.06</x:v>
      </x:c>
      <x:c r="H289" s="23" t="n">
        <x:f>IF(D289=F289,0,1)+IF(E289=G289,0,1)</x:f>
        <x:v>0</x:v>
      </x:c>
      <x:c r="I289" s="23" t="str">
        <x:v>Timing T20 / fictional rates</x:v>
      </x:c>
    </x:row>
    <x:row r="290" ht="21" customHeight="1">
      <x:c r="A290" s="23" t="str">
        <x:v>middle_high</x:v>
      </x:c>
      <x:c r="B290" s="23" t="n">
        <x:v>43</x:v>
      </x:c>
      <x:c r="C290" s="37" t="n">
        <x:v>50314</x:v>
      </x:c>
      <x:c r="D290" s="55" t="n">
        <x:v>0</x:v>
      </x:c>
      <x:c r="E290" s="55" t="n">
        <x:v>0.06</x:v>
      </x:c>
      <x:c r="F290" s="60" t="n">
        <x:v>0</x:v>
      </x:c>
      <x:c r="G290" s="60" t="n">
        <x:v>0.06</x:v>
      </x:c>
      <x:c r="H290" s="23" t="n">
        <x:f>IF(D290=F290,0,1)+IF(E290=G290,0,1)</x:f>
        <x:v>0</x:v>
      </x:c>
      <x:c r="I290" s="23" t="str">
        <x:v>Timing T20 / fictional rates</x:v>
      </x:c>
    </x:row>
    <x:row r="291" ht="21" customHeight="1">
      <x:c r="A291" s="23" t="str">
        <x:v>middle_high</x:v>
      </x:c>
      <x:c r="B291" s="23" t="n">
        <x:v>44</x:v>
      </x:c>
      <x:c r="C291" s="37" t="n">
        <x:v>50406</x:v>
      </x:c>
      <x:c r="D291" s="55" t="n">
        <x:v>0</x:v>
      </x:c>
      <x:c r="E291" s="55" t="n">
        <x:v>0.06</x:v>
      </x:c>
      <x:c r="F291" s="60" t="n">
        <x:v>0</x:v>
      </x:c>
      <x:c r="G291" s="60" t="n">
        <x:v>0.06</x:v>
      </x:c>
      <x:c r="H291" s="23" t="n">
        <x:f>IF(D291=F291,0,1)+IF(E291=G291,0,1)</x:f>
        <x:v>0</x:v>
      </x:c>
      <x:c r="I291" s="23" t="str">
        <x:v>Timing T20 / fictional rates</x:v>
      </x:c>
    </x:row>
    <x:row r="292" ht="21" customHeight="1">
      <x:c r="A292" s="23" t="str">
        <x:v>middle_high</x:v>
      </x:c>
      <x:c r="B292" s="23" t="n">
        <x:v>45</x:v>
      </x:c>
      <x:c r="C292" s="37" t="n">
        <x:v>50496</x:v>
      </x:c>
      <x:c r="D292" s="55" t="n">
        <x:v>0</x:v>
      </x:c>
      <x:c r="E292" s="55" t="n">
        <x:v>0.06</x:v>
      </x:c>
      <x:c r="F292" s="60" t="n">
        <x:v>0</x:v>
      </x:c>
      <x:c r="G292" s="60" t="n">
        <x:v>0.06</x:v>
      </x:c>
      <x:c r="H292" s="23" t="n">
        <x:f>IF(D292=F292,0,1)+IF(E292=G292,0,1)</x:f>
        <x:v>0</x:v>
      </x:c>
      <x:c r="I292" s="23" t="str">
        <x:v>Timing T20 / fictional rates</x:v>
      </x:c>
    </x:row>
    <x:row r="293" ht="21" customHeight="1">
      <x:c r="A293" s="23" t="str">
        <x:v>middle_high</x:v>
      </x:c>
      <x:c r="B293" s="23" t="n">
        <x:v>46</x:v>
      </x:c>
      <x:c r="C293" s="37" t="n">
        <x:v>50587</x:v>
      </x:c>
      <x:c r="D293" s="55" t="n">
        <x:v>0</x:v>
      </x:c>
      <x:c r="E293" s="55" t="n">
        <x:v>0.06</x:v>
      </x:c>
      <x:c r="F293" s="60" t="n">
        <x:v>0</x:v>
      </x:c>
      <x:c r="G293" s="60" t="n">
        <x:v>0.06</x:v>
      </x:c>
      <x:c r="H293" s="23" t="n">
        <x:f>IF(D293=F293,0,1)+IF(E293=G293,0,1)</x:f>
        <x:v>0</x:v>
      </x:c>
      <x:c r="I293" s="23" t="str">
        <x:v>Timing T20 / fictional rates</x:v>
      </x:c>
    </x:row>
    <x:row r="294" ht="21" customHeight="1">
      <x:c r="A294" s="23" t="str">
        <x:v>middle_high</x:v>
      </x:c>
      <x:c r="B294" s="23" t="n">
        <x:v>47</x:v>
      </x:c>
      <x:c r="C294" s="37" t="n">
        <x:v>50679</x:v>
      </x:c>
      <x:c r="D294" s="55" t="n">
        <x:v>0</x:v>
      </x:c>
      <x:c r="E294" s="55" t="n">
        <x:v>0.06</x:v>
      </x:c>
      <x:c r="F294" s="60" t="n">
        <x:v>0</x:v>
      </x:c>
      <x:c r="G294" s="60" t="n">
        <x:v>0.06</x:v>
      </x:c>
      <x:c r="H294" s="23" t="n">
        <x:f>IF(D294=F294,0,1)+IF(E294=G294,0,1)</x:f>
        <x:v>0</x:v>
      </x:c>
      <x:c r="I294" s="23" t="str">
        <x:v>Timing T20 / fictional rates</x:v>
      </x:c>
    </x:row>
    <x:row r="295" ht="21" customHeight="1">
      <x:c r="A295" s="23" t="str">
        <x:v>middle_high</x:v>
      </x:c>
      <x:c r="B295" s="23" t="n">
        <x:v>48</x:v>
      </x:c>
      <x:c r="C295" s="37" t="n">
        <x:v>50771</x:v>
      </x:c>
      <x:c r="D295" s="55" t="n">
        <x:v>0</x:v>
      </x:c>
      <x:c r="E295" s="55" t="n">
        <x:v>0.06</x:v>
      </x:c>
      <x:c r="F295" s="60" t="n">
        <x:v>0</x:v>
      </x:c>
      <x:c r="G295" s="60" t="n">
        <x:v>0.06</x:v>
      </x:c>
      <x:c r="H295" s="23" t="n">
        <x:f>IF(D295=F295,0,1)+IF(E295=G295,0,1)</x:f>
        <x:v>0</x:v>
      </x:c>
      <x:c r="I295" s="23" t="str">
        <x:v>Timing T20 / fictional rates</x:v>
      </x:c>
    </x:row>
    <x:row r="296" ht="21" customHeight="1">
      <x:c r="A296" s="23" t="str">
        <x:v>back_flat</x:v>
      </x:c>
      <x:c r="B296" s="23" t="n">
        <x:v>1</x:v>
      </x:c>
      <x:c r="C296" s="37" t="n">
        <x:v>46478</x:v>
      </x:c>
      <x:c r="D296" s="55" t="n">
        <x:v>0.03</x:v>
      </x:c>
      <x:c r="E296" s="55" t="n">
        <x:v>0.03</x:v>
      </x:c>
      <x:c r="F296" s="60" t="n">
        <x:v>0.03</x:v>
      </x:c>
      <x:c r="G296" s="60" t="n">
        <x:v>0.03</x:v>
      </x:c>
      <x:c r="H296" s="23" t="n">
        <x:f>IF(D296=F296,0,1)+IF(E296=G296,0,1)</x:f>
        <x:v>0</x:v>
      </x:c>
      <x:c r="I296" s="23" t="str">
        <x:v>Timing T20 / fictional rates</x:v>
      </x:c>
    </x:row>
    <x:row r="297" ht="21" customHeight="1">
      <x:c r="A297" s="23" t="str">
        <x:v>back_flat</x:v>
      </x:c>
      <x:c r="B297" s="23" t="n">
        <x:v>2</x:v>
      </x:c>
      <x:c r="C297" s="37" t="n">
        <x:v>46569</x:v>
      </x:c>
      <x:c r="D297" s="55" t="n">
        <x:v>0.03</x:v>
      </x:c>
      <x:c r="E297" s="55" t="n">
        <x:v>0.03</x:v>
      </x:c>
      <x:c r="F297" s="60" t="n">
        <x:v>0.03</x:v>
      </x:c>
      <x:c r="G297" s="60" t="n">
        <x:v>0.03</x:v>
      </x:c>
      <x:c r="H297" s="23" t="n">
        <x:f>IF(D297=F297,0,1)+IF(E297=G297,0,1)</x:f>
        <x:v>0</x:v>
      </x:c>
      <x:c r="I297" s="23" t="str">
        <x:v>Timing T20 / fictional rates</x:v>
      </x:c>
    </x:row>
    <x:row r="298" ht="21" customHeight="1">
      <x:c r="A298" s="23" t="str">
        <x:v>back_flat</x:v>
      </x:c>
      <x:c r="B298" s="23" t="n">
        <x:v>3</x:v>
      </x:c>
      <x:c r="C298" s="37" t="n">
        <x:v>46661</x:v>
      </x:c>
      <x:c r="D298" s="55" t="n">
        <x:v>0.03</x:v>
      </x:c>
      <x:c r="E298" s="55" t="n">
        <x:v>0.03</x:v>
      </x:c>
      <x:c r="F298" s="60" t="n">
        <x:v>0.03</x:v>
      </x:c>
      <x:c r="G298" s="60" t="n">
        <x:v>0.03</x:v>
      </x:c>
      <x:c r="H298" s="23" t="n">
        <x:f>IF(D298=F298,0,1)+IF(E298=G298,0,1)</x:f>
        <x:v>0</x:v>
      </x:c>
      <x:c r="I298" s="23" t="str">
        <x:v>Timing T20 / fictional rates</x:v>
      </x:c>
    </x:row>
    <x:row r="299" ht="21" customHeight="1">
      <x:c r="A299" s="23" t="str">
        <x:v>back_flat</x:v>
      </x:c>
      <x:c r="B299" s="23" t="n">
        <x:v>4</x:v>
      </x:c>
      <x:c r="C299" s="37" t="n">
        <x:v>46753</x:v>
      </x:c>
      <x:c r="D299" s="55" t="n">
        <x:v>0.03</x:v>
      </x:c>
      <x:c r="E299" s="55" t="n">
        <x:v>0.03</x:v>
      </x:c>
      <x:c r="F299" s="60" t="n">
        <x:v>0.03</x:v>
      </x:c>
      <x:c r="G299" s="60" t="n">
        <x:v>0.03</x:v>
      </x:c>
      <x:c r="H299" s="23" t="n">
        <x:f>IF(D299=F299,0,1)+IF(E299=G299,0,1)</x:f>
        <x:v>0</x:v>
      </x:c>
      <x:c r="I299" s="23" t="str">
        <x:v>Timing T20 / fictional rates</x:v>
      </x:c>
    </x:row>
    <x:row r="300" ht="21" customHeight="1">
      <x:c r="A300" s="23" t="str">
        <x:v>back_flat</x:v>
      </x:c>
      <x:c r="B300" s="23" t="n">
        <x:v>5</x:v>
      </x:c>
      <x:c r="C300" s="37" t="n">
        <x:v>46844</x:v>
      </x:c>
      <x:c r="D300" s="55" t="n">
        <x:v>0.045</x:v>
      </x:c>
      <x:c r="E300" s="55" t="n">
        <x:v>0.03</x:v>
      </x:c>
      <x:c r="F300" s="60" t="n">
        <x:v>0.045</x:v>
      </x:c>
      <x:c r="G300" s="60" t="n">
        <x:v>0.03</x:v>
      </x:c>
      <x:c r="H300" s="23" t="n">
        <x:f>IF(D300=F300,0,1)+IF(E300=G300,0,1)</x:f>
        <x:v>0</x:v>
      </x:c>
      <x:c r="I300" s="23" t="str">
        <x:v>Timing T20 / fictional rates</x:v>
      </x:c>
    </x:row>
    <x:row r="301" ht="21" customHeight="1">
      <x:c r="A301" s="23" t="str">
        <x:v>back_flat</x:v>
      </x:c>
      <x:c r="B301" s="23" t="n">
        <x:v>6</x:v>
      </x:c>
      <x:c r="C301" s="37" t="n">
        <x:v>46935</x:v>
      </x:c>
      <x:c r="D301" s="55" t="n">
        <x:v>0.045</x:v>
      </x:c>
      <x:c r="E301" s="55" t="n">
        <x:v>0.03</x:v>
      </x:c>
      <x:c r="F301" s="60" t="n">
        <x:v>0.045</x:v>
      </x:c>
      <x:c r="G301" s="60" t="n">
        <x:v>0.03</x:v>
      </x:c>
      <x:c r="H301" s="23" t="n">
        <x:f>IF(D301=F301,0,1)+IF(E301=G301,0,1)</x:f>
        <x:v>0</x:v>
      </x:c>
      <x:c r="I301" s="23" t="str">
        <x:v>Timing T20 / fictional rates</x:v>
      </x:c>
    </x:row>
    <x:row r="302" ht="21" customHeight="1">
      <x:c r="A302" s="23" t="str">
        <x:v>back_flat</x:v>
      </x:c>
      <x:c r="B302" s="23" t="n">
        <x:v>7</x:v>
      </x:c>
      <x:c r="C302" s="37" t="n">
        <x:v>47027</x:v>
      </x:c>
      <x:c r="D302" s="55" t="n">
        <x:v>0.045</x:v>
      </x:c>
      <x:c r="E302" s="55" t="n">
        <x:v>0.03</x:v>
      </x:c>
      <x:c r="F302" s="60" t="n">
        <x:v>0.045</x:v>
      </x:c>
      <x:c r="G302" s="60" t="n">
        <x:v>0.03</x:v>
      </x:c>
      <x:c r="H302" s="23" t="n">
        <x:f>IF(D302=F302,0,1)+IF(E302=G302,0,1)</x:f>
        <x:v>0</x:v>
      </x:c>
      <x:c r="I302" s="23" t="str">
        <x:v>Timing T20 / fictional rates</x:v>
      </x:c>
    </x:row>
    <x:row r="303" ht="21" customHeight="1">
      <x:c r="A303" s="23" t="str">
        <x:v>back_flat</x:v>
      </x:c>
      <x:c r="B303" s="23" t="n">
        <x:v>8</x:v>
      </x:c>
      <x:c r="C303" s="37" t="n">
        <x:v>47119</x:v>
      </x:c>
      <x:c r="D303" s="55" t="n">
        <x:v>0.045</x:v>
      </x:c>
      <x:c r="E303" s="55" t="n">
        <x:v>0.03</x:v>
      </x:c>
      <x:c r="F303" s="60" t="n">
        <x:v>0.045</x:v>
      </x:c>
      <x:c r="G303" s="60" t="n">
        <x:v>0.03</x:v>
      </x:c>
      <x:c r="H303" s="23" t="n">
        <x:f>IF(D303=F303,0,1)+IF(E303=G303,0,1)</x:f>
        <x:v>0</x:v>
      </x:c>
      <x:c r="I303" s="23" t="str">
        <x:v>Timing T20 / fictional rates</x:v>
      </x:c>
    </x:row>
    <x:row r="304" ht="21" customHeight="1">
      <x:c r="A304" s="23" t="str">
        <x:v>back_flat</x:v>
      </x:c>
      <x:c r="B304" s="23" t="n">
        <x:v>9</x:v>
      </x:c>
      <x:c r="C304" s="37" t="n">
        <x:v>47209</x:v>
      </x:c>
      <x:c r="D304" s="55" t="n">
        <x:v>0.055</x:v>
      </x:c>
      <x:c r="E304" s="55" t="n">
        <x:v>0.03</x:v>
      </x:c>
      <x:c r="F304" s="60" t="n">
        <x:v>0.055</x:v>
      </x:c>
      <x:c r="G304" s="60" t="n">
        <x:v>0.03</x:v>
      </x:c>
      <x:c r="H304" s="23" t="n">
        <x:f>IF(D304=F304,0,1)+IF(E304=G304,0,1)</x:f>
        <x:v>0</x:v>
      </x:c>
      <x:c r="I304" s="23" t="str">
        <x:v>Timing T20 / fictional rates</x:v>
      </x:c>
    </x:row>
    <x:row r="305" ht="21" customHeight="1">
      <x:c r="A305" s="23" t="str">
        <x:v>back_flat</x:v>
      </x:c>
      <x:c r="B305" s="23" t="n">
        <x:v>10</x:v>
      </x:c>
      <x:c r="C305" s="37" t="n">
        <x:v>47300</x:v>
      </x:c>
      <x:c r="D305" s="55" t="n">
        <x:v>0.055</x:v>
      </x:c>
      <x:c r="E305" s="55" t="n">
        <x:v>0.03</x:v>
      </x:c>
      <x:c r="F305" s="60" t="n">
        <x:v>0.055</x:v>
      </x:c>
      <x:c r="G305" s="60" t="n">
        <x:v>0.03</x:v>
      </x:c>
      <x:c r="H305" s="23" t="n">
        <x:f>IF(D305=F305,0,1)+IF(E305=G305,0,1)</x:f>
        <x:v>0</x:v>
      </x:c>
      <x:c r="I305" s="23" t="str">
        <x:v>Timing T20 / fictional rates</x:v>
      </x:c>
    </x:row>
    <x:row r="306" ht="21" customHeight="1">
      <x:c r="A306" s="23" t="str">
        <x:v>back_flat</x:v>
      </x:c>
      <x:c r="B306" s="23" t="n">
        <x:v>11</x:v>
      </x:c>
      <x:c r="C306" s="37" t="n">
        <x:v>47392</x:v>
      </x:c>
      <x:c r="D306" s="55" t="n">
        <x:v>0.055</x:v>
      </x:c>
      <x:c r="E306" s="55" t="n">
        <x:v>0.03</x:v>
      </x:c>
      <x:c r="F306" s="60" t="n">
        <x:v>0.055</x:v>
      </x:c>
      <x:c r="G306" s="60" t="n">
        <x:v>0.03</x:v>
      </x:c>
      <x:c r="H306" s="23" t="n">
        <x:f>IF(D306=F306,0,1)+IF(E306=G306,0,1)</x:f>
        <x:v>0</x:v>
      </x:c>
      <x:c r="I306" s="23" t="str">
        <x:v>Timing T20 / fictional rates</x:v>
      </x:c>
    </x:row>
    <x:row r="307" ht="21" customHeight="1">
      <x:c r="A307" s="23" t="str">
        <x:v>back_flat</x:v>
      </x:c>
      <x:c r="B307" s="23" t="n">
        <x:v>12</x:v>
      </x:c>
      <x:c r="C307" s="37" t="n">
        <x:v>47484</x:v>
      </x:c>
      <x:c r="D307" s="55" t="n">
        <x:v>0.055</x:v>
      </x:c>
      <x:c r="E307" s="55" t="n">
        <x:v>0.03</x:v>
      </x:c>
      <x:c r="F307" s="60" t="n">
        <x:v>0.055</x:v>
      </x:c>
      <x:c r="G307" s="60" t="n">
        <x:v>0.03</x:v>
      </x:c>
      <x:c r="H307" s="23" t="n">
        <x:f>IF(D307=F307,0,1)+IF(E307=G307,0,1)</x:f>
        <x:v>0</x:v>
      </x:c>
      <x:c r="I307" s="23" t="str">
        <x:v>Timing T20 / fictional rates</x:v>
      </x:c>
    </x:row>
    <x:row r="308" ht="21" customHeight="1">
      <x:c r="A308" s="23" t="str">
        <x:v>back_flat</x:v>
      </x:c>
      <x:c r="B308" s="23" t="n">
        <x:v>13</x:v>
      </x:c>
      <x:c r="C308" s="37" t="n">
        <x:v>47574</x:v>
      </x:c>
      <x:c r="D308" s="55" t="n">
        <x:v>0.0575</x:v>
      </x:c>
      <x:c r="E308" s="55" t="n">
        <x:v>0.03</x:v>
      </x:c>
      <x:c r="F308" s="60" t="n">
        <x:v>0.0575</x:v>
      </x:c>
      <x:c r="G308" s="60" t="n">
        <x:v>0.03</x:v>
      </x:c>
      <x:c r="H308" s="23" t="n">
        <x:f>IF(D308=F308,0,1)+IF(E308=G308,0,1)</x:f>
        <x:v>0</x:v>
      </x:c>
      <x:c r="I308" s="23" t="str">
        <x:v>Timing T20 / fictional rates</x:v>
      </x:c>
    </x:row>
    <x:row r="309" ht="21" customHeight="1">
      <x:c r="A309" s="23" t="str">
        <x:v>back_flat</x:v>
      </x:c>
      <x:c r="B309" s="23" t="n">
        <x:v>14</x:v>
      </x:c>
      <x:c r="C309" s="37" t="n">
        <x:v>47665</x:v>
      </x:c>
      <x:c r="D309" s="55" t="n">
        <x:v>0.0575</x:v>
      </x:c>
      <x:c r="E309" s="55" t="n">
        <x:v>0.03</x:v>
      </x:c>
      <x:c r="F309" s="60" t="n">
        <x:v>0.0575</x:v>
      </x:c>
      <x:c r="G309" s="60" t="n">
        <x:v>0.03</x:v>
      </x:c>
      <x:c r="H309" s="23" t="n">
        <x:f>IF(D309=F309,0,1)+IF(E309=G309,0,1)</x:f>
        <x:v>0</x:v>
      </x:c>
      <x:c r="I309" s="23" t="str">
        <x:v>Timing T20 / fictional rates</x:v>
      </x:c>
    </x:row>
    <x:row r="310" ht="21" customHeight="1">
      <x:c r="A310" s="23" t="str">
        <x:v>back_flat</x:v>
      </x:c>
      <x:c r="B310" s="23" t="n">
        <x:v>15</x:v>
      </x:c>
      <x:c r="C310" s="37" t="n">
        <x:v>47757</x:v>
      </x:c>
      <x:c r="D310" s="55" t="n">
        <x:v>0.0575</x:v>
      </x:c>
      <x:c r="E310" s="55" t="n">
        <x:v>0.03</x:v>
      </x:c>
      <x:c r="F310" s="60" t="n">
        <x:v>0.0575</x:v>
      </x:c>
      <x:c r="G310" s="60" t="n">
        <x:v>0.03</x:v>
      </x:c>
      <x:c r="H310" s="23" t="n">
        <x:f>IF(D310=F310,0,1)+IF(E310=G310,0,1)</x:f>
        <x:v>0</x:v>
      </x:c>
      <x:c r="I310" s="23" t="str">
        <x:v>Timing T20 / fictional rates</x:v>
      </x:c>
    </x:row>
    <x:row r="311" ht="21" customHeight="1">
      <x:c r="A311" s="23" t="str">
        <x:v>back_flat</x:v>
      </x:c>
      <x:c r="B311" s="23" t="n">
        <x:v>16</x:v>
      </x:c>
      <x:c r="C311" s="37" t="n">
        <x:v>47849</x:v>
      </x:c>
      <x:c r="D311" s="55" t="n">
        <x:v>0.0575</x:v>
      </x:c>
      <x:c r="E311" s="55" t="n">
        <x:v>0.03</x:v>
      </x:c>
      <x:c r="F311" s="60" t="n">
        <x:v>0.0575</x:v>
      </x:c>
      <x:c r="G311" s="60" t="n">
        <x:v>0.03</x:v>
      </x:c>
      <x:c r="H311" s="23" t="n">
        <x:f>IF(D311=F311,0,1)+IF(E311=G311,0,1)</x:f>
        <x:v>0</x:v>
      </x:c>
      <x:c r="I311" s="23" t="str">
        <x:v>Timing T20 / fictional rates</x:v>
      </x:c>
    </x:row>
    <x:row r="312" ht="21" customHeight="1">
      <x:c r="A312" s="23" t="str">
        <x:v>back_flat</x:v>
      </x:c>
      <x:c r="B312" s="23" t="n">
        <x:v>17</x:v>
      </x:c>
      <x:c r="C312" s="37" t="n">
        <x:v>47939</x:v>
      </x:c>
      <x:c r="D312" s="55" t="n">
        <x:v>0.0625</x:v>
      </x:c>
      <x:c r="E312" s="55" t="n">
        <x:v>0.03</x:v>
      </x:c>
      <x:c r="F312" s="60" t="n">
        <x:v>0.0625</x:v>
      </x:c>
      <x:c r="G312" s="60" t="n">
        <x:v>0.03</x:v>
      </x:c>
      <x:c r="H312" s="23" t="n">
        <x:f>IF(D312=F312,0,1)+IF(E312=G312,0,1)</x:f>
        <x:v>0</x:v>
      </x:c>
      <x:c r="I312" s="23" t="str">
        <x:v>Timing T20 / fictional rates</x:v>
      </x:c>
    </x:row>
    <x:row r="313" ht="21" customHeight="1">
      <x:c r="A313" s="23" t="str">
        <x:v>back_flat</x:v>
      </x:c>
      <x:c r="B313" s="23" t="n">
        <x:v>18</x:v>
      </x:c>
      <x:c r="C313" s="37" t="n">
        <x:v>48030</x:v>
      </x:c>
      <x:c r="D313" s="55" t="n">
        <x:v>0.0625</x:v>
      </x:c>
      <x:c r="E313" s="55" t="n">
        <x:v>0.03</x:v>
      </x:c>
      <x:c r="F313" s="60" t="n">
        <x:v>0.0625</x:v>
      </x:c>
      <x:c r="G313" s="60" t="n">
        <x:v>0.03</x:v>
      </x:c>
      <x:c r="H313" s="23" t="n">
        <x:f>IF(D313=F313,0,1)+IF(E313=G313,0,1)</x:f>
        <x:v>0</x:v>
      </x:c>
      <x:c r="I313" s="23" t="str">
        <x:v>Timing T20 / fictional rates</x:v>
      </x:c>
    </x:row>
    <x:row r="314" ht="21" customHeight="1">
      <x:c r="A314" s="23" t="str">
        <x:v>back_flat</x:v>
      </x:c>
      <x:c r="B314" s="23" t="n">
        <x:v>19</x:v>
      </x:c>
      <x:c r="C314" s="37" t="n">
        <x:v>48122</x:v>
      </x:c>
      <x:c r="D314" s="55" t="n">
        <x:v>0.0625</x:v>
      </x:c>
      <x:c r="E314" s="55" t="n">
        <x:v>0.03</x:v>
      </x:c>
      <x:c r="F314" s="60" t="n">
        <x:v>0.0625</x:v>
      </x:c>
      <x:c r="G314" s="60" t="n">
        <x:v>0.03</x:v>
      </x:c>
      <x:c r="H314" s="23" t="n">
        <x:f>IF(D314=F314,0,1)+IF(E314=G314,0,1)</x:f>
        <x:v>0</x:v>
      </x:c>
      <x:c r="I314" s="23" t="str">
        <x:v>Timing T20 / fictional rates</x:v>
      </x:c>
    </x:row>
    <x:row r="315" ht="21" customHeight="1">
      <x:c r="A315" s="23" t="str">
        <x:v>back_flat</x:v>
      </x:c>
      <x:c r="B315" s="23" t="n">
        <x:v>20</x:v>
      </x:c>
      <x:c r="C315" s="37" t="n">
        <x:v>48214</x:v>
      </x:c>
      <x:c r="D315" s="55" t="n">
        <x:v>0.0625</x:v>
      </x:c>
      <x:c r="E315" s="55" t="n">
        <x:v>0.03</x:v>
      </x:c>
      <x:c r="F315" s="60" t="n">
        <x:v>0.0625</x:v>
      </x:c>
      <x:c r="G315" s="60" t="n">
        <x:v>0.03</x:v>
      </x:c>
      <x:c r="H315" s="23" t="n">
        <x:f>IF(D315=F315,0,1)+IF(E315=G315,0,1)</x:f>
        <x:v>0</x:v>
      </x:c>
      <x:c r="I315" s="23" t="str">
        <x:v>Timing T20 / fictional rates</x:v>
      </x:c>
    </x:row>
    <x:row r="316" ht="21" customHeight="1">
      <x:c r="A316" s="23" t="str">
        <x:v>back_flat</x:v>
      </x:c>
      <x:c r="B316" s="23" t="n">
        <x:v>21</x:v>
      </x:c>
      <x:c r="C316" s="37" t="n">
        <x:v>48305</x:v>
      </x:c>
      <x:c r="D316" s="55" t="n">
        <x:v>0</x:v>
      </x:c>
      <x:c r="E316" s="55" t="n">
        <x:v>0.03</x:v>
      </x:c>
      <x:c r="F316" s="60" t="n">
        <x:v>0</x:v>
      </x:c>
      <x:c r="G316" s="60" t="n">
        <x:v>0.03</x:v>
      </x:c>
      <x:c r="H316" s="23" t="n">
        <x:f>IF(D316=F316,0,1)+IF(E316=G316,0,1)</x:f>
        <x:v>0</x:v>
      </x:c>
      <x:c r="I316" s="23" t="str">
        <x:v>Timing T20 / fictional rates</x:v>
      </x:c>
    </x:row>
    <x:row r="317" ht="21" customHeight="1">
      <x:c r="A317" s="23" t="str">
        <x:v>back_flat</x:v>
      </x:c>
      <x:c r="B317" s="23" t="n">
        <x:v>22</x:v>
      </x:c>
      <x:c r="C317" s="37" t="n">
        <x:v>48396</x:v>
      </x:c>
      <x:c r="D317" s="55" t="n">
        <x:v>0</x:v>
      </x:c>
      <x:c r="E317" s="55" t="n">
        <x:v>0.03</x:v>
      </x:c>
      <x:c r="F317" s="60" t="n">
        <x:v>0</x:v>
      </x:c>
      <x:c r="G317" s="60" t="n">
        <x:v>0.03</x:v>
      </x:c>
      <x:c r="H317" s="23" t="n">
        <x:f>IF(D317=F317,0,1)+IF(E317=G317,0,1)</x:f>
        <x:v>0</x:v>
      </x:c>
      <x:c r="I317" s="23" t="str">
        <x:v>Timing T20 / fictional rates</x:v>
      </x:c>
    </x:row>
    <x:row r="318" ht="21" customHeight="1">
      <x:c r="A318" s="23" t="str">
        <x:v>back_flat</x:v>
      </x:c>
      <x:c r="B318" s="23" t="n">
        <x:v>23</x:v>
      </x:c>
      <x:c r="C318" s="37" t="n">
        <x:v>48488</x:v>
      </x:c>
      <x:c r="D318" s="55" t="n">
        <x:v>0</x:v>
      </x:c>
      <x:c r="E318" s="55" t="n">
        <x:v>0.03</x:v>
      </x:c>
      <x:c r="F318" s="60" t="n">
        <x:v>0</x:v>
      </x:c>
      <x:c r="G318" s="60" t="n">
        <x:v>0.03</x:v>
      </x:c>
      <x:c r="H318" s="23" t="n">
        <x:f>IF(D318=F318,0,1)+IF(E318=G318,0,1)</x:f>
        <x:v>0</x:v>
      </x:c>
      <x:c r="I318" s="23" t="str">
        <x:v>Timing T20 / fictional rates</x:v>
      </x:c>
    </x:row>
    <x:row r="319" ht="21" customHeight="1">
      <x:c r="A319" s="23" t="str">
        <x:v>back_flat</x:v>
      </x:c>
      <x:c r="B319" s="23" t="n">
        <x:v>24</x:v>
      </x:c>
      <x:c r="C319" s="37" t="n">
        <x:v>48580</x:v>
      </x:c>
      <x:c r="D319" s="55" t="n">
        <x:v>0</x:v>
      </x:c>
      <x:c r="E319" s="55" t="n">
        <x:v>0.03</x:v>
      </x:c>
      <x:c r="F319" s="60" t="n">
        <x:v>0</x:v>
      </x:c>
      <x:c r="G319" s="60" t="n">
        <x:v>0.03</x:v>
      </x:c>
      <x:c r="H319" s="23" t="n">
        <x:f>IF(D319=F319,0,1)+IF(E319=G319,0,1)</x:f>
        <x:v>0</x:v>
      </x:c>
      <x:c r="I319" s="23" t="str">
        <x:v>Timing T20 / fictional rates</x:v>
      </x:c>
    </x:row>
    <x:row r="320" ht="21" customHeight="1">
      <x:c r="A320" s="23" t="str">
        <x:v>back_flat</x:v>
      </x:c>
      <x:c r="B320" s="23" t="n">
        <x:v>25</x:v>
      </x:c>
      <x:c r="C320" s="37" t="n">
        <x:v>48670</x:v>
      </x:c>
      <x:c r="D320" s="55" t="n">
        <x:v>0</x:v>
      </x:c>
      <x:c r="E320" s="55" t="n">
        <x:v>0.03</x:v>
      </x:c>
      <x:c r="F320" s="60" t="n">
        <x:v>0</x:v>
      </x:c>
      <x:c r="G320" s="60" t="n">
        <x:v>0.03</x:v>
      </x:c>
      <x:c r="H320" s="23" t="n">
        <x:f>IF(D320=F320,0,1)+IF(E320=G320,0,1)</x:f>
        <x:v>0</x:v>
      </x:c>
      <x:c r="I320" s="23" t="str">
        <x:v>Timing T20 / fictional rates</x:v>
      </x:c>
    </x:row>
    <x:row r="321" ht="21" customHeight="1">
      <x:c r="A321" s="23" t="str">
        <x:v>back_flat</x:v>
      </x:c>
      <x:c r="B321" s="23" t="n">
        <x:v>26</x:v>
      </x:c>
      <x:c r="C321" s="37" t="n">
        <x:v>48761</x:v>
      </x:c>
      <x:c r="D321" s="55" t="n">
        <x:v>0</x:v>
      </x:c>
      <x:c r="E321" s="55" t="n">
        <x:v>0.03</x:v>
      </x:c>
      <x:c r="F321" s="60" t="n">
        <x:v>0</x:v>
      </x:c>
      <x:c r="G321" s="60" t="n">
        <x:v>0.03</x:v>
      </x:c>
      <x:c r="H321" s="23" t="n">
        <x:f>IF(D321=F321,0,1)+IF(E321=G321,0,1)</x:f>
        <x:v>0</x:v>
      </x:c>
      <x:c r="I321" s="23" t="str">
        <x:v>Timing T20 / fictional rates</x:v>
      </x:c>
    </x:row>
    <x:row r="322" ht="21" customHeight="1">
      <x:c r="A322" s="23" t="str">
        <x:v>back_flat</x:v>
      </x:c>
      <x:c r="B322" s="23" t="n">
        <x:v>27</x:v>
      </x:c>
      <x:c r="C322" s="37" t="n">
        <x:v>48853</x:v>
      </x:c>
      <x:c r="D322" s="55" t="n">
        <x:v>0</x:v>
      </x:c>
      <x:c r="E322" s="55" t="n">
        <x:v>0.03</x:v>
      </x:c>
      <x:c r="F322" s="60" t="n">
        <x:v>0</x:v>
      </x:c>
      <x:c r="G322" s="60" t="n">
        <x:v>0.03</x:v>
      </x:c>
      <x:c r="H322" s="23" t="n">
        <x:f>IF(D322=F322,0,1)+IF(E322=G322,0,1)</x:f>
        <x:v>0</x:v>
      </x:c>
      <x:c r="I322" s="23" t="str">
        <x:v>Timing T20 / fictional rates</x:v>
      </x:c>
    </x:row>
    <x:row r="323" ht="21" customHeight="1">
      <x:c r="A323" s="23" t="str">
        <x:v>back_flat</x:v>
      </x:c>
      <x:c r="B323" s="23" t="n">
        <x:v>28</x:v>
      </x:c>
      <x:c r="C323" s="37" t="n">
        <x:v>48945</x:v>
      </x:c>
      <x:c r="D323" s="55" t="n">
        <x:v>0</x:v>
      </x:c>
      <x:c r="E323" s="55" t="n">
        <x:v>0.03</x:v>
      </x:c>
      <x:c r="F323" s="60" t="n">
        <x:v>0</x:v>
      </x:c>
      <x:c r="G323" s="60" t="n">
        <x:v>0.03</x:v>
      </x:c>
      <x:c r="H323" s="23" t="n">
        <x:f>IF(D323=F323,0,1)+IF(E323=G323,0,1)</x:f>
        <x:v>0</x:v>
      </x:c>
      <x:c r="I323" s="23" t="str">
        <x:v>Timing T20 / fictional rates</x:v>
      </x:c>
    </x:row>
    <x:row r="324" ht="21" customHeight="1">
      <x:c r="A324" s="23" t="str">
        <x:v>back_flat</x:v>
      </x:c>
      <x:c r="B324" s="23" t="n">
        <x:v>29</x:v>
      </x:c>
      <x:c r="C324" s="37" t="n">
        <x:v>49035</x:v>
      </x:c>
      <x:c r="D324" s="55" t="n">
        <x:v>0</x:v>
      </x:c>
      <x:c r="E324" s="55" t="n">
        <x:v>0.03</x:v>
      </x:c>
      <x:c r="F324" s="60" t="n">
        <x:v>0</x:v>
      </x:c>
      <x:c r="G324" s="60" t="n">
        <x:v>0.03</x:v>
      </x:c>
      <x:c r="H324" s="23" t="n">
        <x:f>IF(D324=F324,0,1)+IF(E324=G324,0,1)</x:f>
        <x:v>0</x:v>
      </x:c>
      <x:c r="I324" s="23" t="str">
        <x:v>Timing T20 / fictional rates</x:v>
      </x:c>
    </x:row>
    <x:row r="325" ht="21" customHeight="1">
      <x:c r="A325" s="23" t="str">
        <x:v>back_flat</x:v>
      </x:c>
      <x:c r="B325" s="23" t="n">
        <x:v>30</x:v>
      </x:c>
      <x:c r="C325" s="37" t="n">
        <x:v>49126</x:v>
      </x:c>
      <x:c r="D325" s="55" t="n">
        <x:v>0</x:v>
      </x:c>
      <x:c r="E325" s="55" t="n">
        <x:v>0.03</x:v>
      </x:c>
      <x:c r="F325" s="60" t="n">
        <x:v>0</x:v>
      </x:c>
      <x:c r="G325" s="60" t="n">
        <x:v>0.03</x:v>
      </x:c>
      <x:c r="H325" s="23" t="n">
        <x:f>IF(D325=F325,0,1)+IF(E325=G325,0,1)</x:f>
        <x:v>0</x:v>
      </x:c>
      <x:c r="I325" s="23" t="str">
        <x:v>Timing T20 / fictional rates</x:v>
      </x:c>
    </x:row>
    <x:row r="326" ht="21" customHeight="1">
      <x:c r="A326" s="23" t="str">
        <x:v>back_flat</x:v>
      </x:c>
      <x:c r="B326" s="23" t="n">
        <x:v>31</x:v>
      </x:c>
      <x:c r="C326" s="37" t="n">
        <x:v>49218</x:v>
      </x:c>
      <x:c r="D326" s="55" t="n">
        <x:v>0</x:v>
      </x:c>
      <x:c r="E326" s="55" t="n">
        <x:v>0.03</x:v>
      </x:c>
      <x:c r="F326" s="60" t="n">
        <x:v>0</x:v>
      </x:c>
      <x:c r="G326" s="60" t="n">
        <x:v>0.03</x:v>
      </x:c>
      <x:c r="H326" s="23" t="n">
        <x:f>IF(D326=F326,0,1)+IF(E326=G326,0,1)</x:f>
        <x:v>0</x:v>
      </x:c>
      <x:c r="I326" s="23" t="str">
        <x:v>Timing T20 / fictional rates</x:v>
      </x:c>
    </x:row>
    <x:row r="327" ht="21" customHeight="1">
      <x:c r="A327" s="23" t="str">
        <x:v>back_flat</x:v>
      </x:c>
      <x:c r="B327" s="23" t="n">
        <x:v>32</x:v>
      </x:c>
      <x:c r="C327" s="37" t="n">
        <x:v>49310</x:v>
      </x:c>
      <x:c r="D327" s="55" t="n">
        <x:v>0</x:v>
      </x:c>
      <x:c r="E327" s="55" t="n">
        <x:v>0.03</x:v>
      </x:c>
      <x:c r="F327" s="60" t="n">
        <x:v>0</x:v>
      </x:c>
      <x:c r="G327" s="60" t="n">
        <x:v>0.03</x:v>
      </x:c>
      <x:c r="H327" s="23" t="n">
        <x:f>IF(D327=F327,0,1)+IF(E327=G327,0,1)</x:f>
        <x:v>0</x:v>
      </x:c>
      <x:c r="I327" s="23" t="str">
        <x:v>Timing T20 / fictional rates</x:v>
      </x:c>
    </x:row>
    <x:row r="328" ht="21" customHeight="1">
      <x:c r="A328" s="23" t="str">
        <x:v>back_flat</x:v>
      </x:c>
      <x:c r="B328" s="23" t="n">
        <x:v>33</x:v>
      </x:c>
      <x:c r="C328" s="37" t="n">
        <x:v>49400</x:v>
      </x:c>
      <x:c r="D328" s="55" t="n">
        <x:v>0</x:v>
      </x:c>
      <x:c r="E328" s="55" t="n">
        <x:v>0.03</x:v>
      </x:c>
      <x:c r="F328" s="60" t="n">
        <x:v>0</x:v>
      </x:c>
      <x:c r="G328" s="60" t="n">
        <x:v>0.03</x:v>
      </x:c>
      <x:c r="H328" s="23" t="n">
        <x:f>IF(D328=F328,0,1)+IF(E328=G328,0,1)</x:f>
        <x:v>0</x:v>
      </x:c>
      <x:c r="I328" s="23" t="str">
        <x:v>Timing T20 / fictional rates</x:v>
      </x:c>
    </x:row>
    <x:row r="329" ht="21" customHeight="1">
      <x:c r="A329" s="23" t="str">
        <x:v>back_flat</x:v>
      </x:c>
      <x:c r="B329" s="23" t="n">
        <x:v>34</x:v>
      </x:c>
      <x:c r="C329" s="37" t="n">
        <x:v>49491</x:v>
      </x:c>
      <x:c r="D329" s="55" t="n">
        <x:v>0</x:v>
      </x:c>
      <x:c r="E329" s="55" t="n">
        <x:v>0.03</x:v>
      </x:c>
      <x:c r="F329" s="60" t="n">
        <x:v>0</x:v>
      </x:c>
      <x:c r="G329" s="60" t="n">
        <x:v>0.03</x:v>
      </x:c>
      <x:c r="H329" s="23" t="n">
        <x:f>IF(D329=F329,0,1)+IF(E329=G329,0,1)</x:f>
        <x:v>0</x:v>
      </x:c>
      <x:c r="I329" s="23" t="str">
        <x:v>Timing T20 / fictional rates</x:v>
      </x:c>
    </x:row>
    <x:row r="330" ht="21" customHeight="1">
      <x:c r="A330" s="23" t="str">
        <x:v>back_flat</x:v>
      </x:c>
      <x:c r="B330" s="23" t="n">
        <x:v>35</x:v>
      </x:c>
      <x:c r="C330" s="37" t="n">
        <x:v>49583</x:v>
      </x:c>
      <x:c r="D330" s="55" t="n">
        <x:v>0</x:v>
      </x:c>
      <x:c r="E330" s="55" t="n">
        <x:v>0.03</x:v>
      </x:c>
      <x:c r="F330" s="60" t="n">
        <x:v>0</x:v>
      </x:c>
      <x:c r="G330" s="60" t="n">
        <x:v>0.03</x:v>
      </x:c>
      <x:c r="H330" s="23" t="n">
        <x:f>IF(D330=F330,0,1)+IF(E330=G330,0,1)</x:f>
        <x:v>0</x:v>
      </x:c>
      <x:c r="I330" s="23" t="str">
        <x:v>Timing T20 / fictional rates</x:v>
      </x:c>
    </x:row>
    <x:row r="331" ht="21" customHeight="1">
      <x:c r="A331" s="23" t="str">
        <x:v>back_flat</x:v>
      </x:c>
      <x:c r="B331" s="23" t="n">
        <x:v>36</x:v>
      </x:c>
      <x:c r="C331" s="37" t="n">
        <x:v>49675</x:v>
      </x:c>
      <x:c r="D331" s="55" t="n">
        <x:v>0</x:v>
      </x:c>
      <x:c r="E331" s="55" t="n">
        <x:v>0.03</x:v>
      </x:c>
      <x:c r="F331" s="60" t="n">
        <x:v>0</x:v>
      </x:c>
      <x:c r="G331" s="60" t="n">
        <x:v>0.03</x:v>
      </x:c>
      <x:c r="H331" s="23" t="n">
        <x:f>IF(D331=F331,0,1)+IF(E331=G331,0,1)</x:f>
        <x:v>0</x:v>
      </x:c>
      <x:c r="I331" s="23" t="str">
        <x:v>Timing T20 / fictional rates</x:v>
      </x:c>
    </x:row>
    <x:row r="332" ht="21" customHeight="1">
      <x:c r="A332" s="23" t="str">
        <x:v>back_flat</x:v>
      </x:c>
      <x:c r="B332" s="23" t="n">
        <x:v>37</x:v>
      </x:c>
      <x:c r="C332" s="37" t="n">
        <x:v>49766</x:v>
      </x:c>
      <x:c r="D332" s="55" t="n">
        <x:v>0</x:v>
      </x:c>
      <x:c r="E332" s="55" t="n">
        <x:v>0.03</x:v>
      </x:c>
      <x:c r="F332" s="60" t="n">
        <x:v>0</x:v>
      </x:c>
      <x:c r="G332" s="60" t="n">
        <x:v>0.03</x:v>
      </x:c>
      <x:c r="H332" s="23" t="n">
        <x:f>IF(D332=F332,0,1)+IF(E332=G332,0,1)</x:f>
        <x:v>0</x:v>
      </x:c>
      <x:c r="I332" s="23" t="str">
        <x:v>Timing T20 / fictional rates</x:v>
      </x:c>
    </x:row>
    <x:row r="333" ht="21" customHeight="1">
      <x:c r="A333" s="23" t="str">
        <x:v>back_flat</x:v>
      </x:c>
      <x:c r="B333" s="23" t="n">
        <x:v>38</x:v>
      </x:c>
      <x:c r="C333" s="37" t="n">
        <x:v>49857</x:v>
      </x:c>
      <x:c r="D333" s="55" t="n">
        <x:v>0</x:v>
      </x:c>
      <x:c r="E333" s="55" t="n">
        <x:v>0.03</x:v>
      </x:c>
      <x:c r="F333" s="60" t="n">
        <x:v>0</x:v>
      </x:c>
      <x:c r="G333" s="60" t="n">
        <x:v>0.03</x:v>
      </x:c>
      <x:c r="H333" s="23" t="n">
        <x:f>IF(D333=F333,0,1)+IF(E333=G333,0,1)</x:f>
        <x:v>0</x:v>
      </x:c>
      <x:c r="I333" s="23" t="str">
        <x:v>Timing T20 / fictional rates</x:v>
      </x:c>
    </x:row>
    <x:row r="334" ht="21" customHeight="1">
      <x:c r="A334" s="23" t="str">
        <x:v>back_flat</x:v>
      </x:c>
      <x:c r="B334" s="23" t="n">
        <x:v>39</x:v>
      </x:c>
      <x:c r="C334" s="37" t="n">
        <x:v>49949</x:v>
      </x:c>
      <x:c r="D334" s="55" t="n">
        <x:v>0</x:v>
      </x:c>
      <x:c r="E334" s="55" t="n">
        <x:v>0.03</x:v>
      </x:c>
      <x:c r="F334" s="60" t="n">
        <x:v>0</x:v>
      </x:c>
      <x:c r="G334" s="60" t="n">
        <x:v>0.03</x:v>
      </x:c>
      <x:c r="H334" s="23" t="n">
        <x:f>IF(D334=F334,0,1)+IF(E334=G334,0,1)</x:f>
        <x:v>0</x:v>
      </x:c>
      <x:c r="I334" s="23" t="str">
        <x:v>Timing T20 / fictional rates</x:v>
      </x:c>
    </x:row>
    <x:row r="335" ht="21" customHeight="1">
      <x:c r="A335" s="23" t="str">
        <x:v>back_flat</x:v>
      </x:c>
      <x:c r="B335" s="23" t="n">
        <x:v>40</x:v>
      </x:c>
      <x:c r="C335" s="37" t="n">
        <x:v>50041</x:v>
      </x:c>
      <x:c r="D335" s="55" t="n">
        <x:v>0</x:v>
      </x:c>
      <x:c r="E335" s="55" t="n">
        <x:v>0.03</x:v>
      </x:c>
      <x:c r="F335" s="60" t="n">
        <x:v>0</x:v>
      </x:c>
      <x:c r="G335" s="60" t="n">
        <x:v>0.03</x:v>
      </x:c>
      <x:c r="H335" s="23" t="n">
        <x:f>IF(D335=F335,0,1)+IF(E335=G335,0,1)</x:f>
        <x:v>0</x:v>
      </x:c>
      <x:c r="I335" s="23" t="str">
        <x:v>Timing T20 / fictional rates</x:v>
      </x:c>
    </x:row>
    <x:row r="336" ht="21" customHeight="1">
      <x:c r="A336" s="23" t="str">
        <x:v>back_flat</x:v>
      </x:c>
      <x:c r="B336" s="23" t="n">
        <x:v>41</x:v>
      </x:c>
      <x:c r="C336" s="37" t="n">
        <x:v>50131</x:v>
      </x:c>
      <x:c r="D336" s="55" t="n">
        <x:v>0</x:v>
      </x:c>
      <x:c r="E336" s="55" t="n">
        <x:v>0.03</x:v>
      </x:c>
      <x:c r="F336" s="60" t="n">
        <x:v>0</x:v>
      </x:c>
      <x:c r="G336" s="60" t="n">
        <x:v>0.03</x:v>
      </x:c>
      <x:c r="H336" s="23" t="n">
        <x:f>IF(D336=F336,0,1)+IF(E336=G336,0,1)</x:f>
        <x:v>0</x:v>
      </x:c>
      <x:c r="I336" s="23" t="str">
        <x:v>Timing T20 / fictional rates</x:v>
      </x:c>
    </x:row>
    <x:row r="337" ht="21" customHeight="1">
      <x:c r="A337" s="23" t="str">
        <x:v>back_flat</x:v>
      </x:c>
      <x:c r="B337" s="23" t="n">
        <x:v>42</x:v>
      </x:c>
      <x:c r="C337" s="37" t="n">
        <x:v>50222</x:v>
      </x:c>
      <x:c r="D337" s="55" t="n">
        <x:v>0</x:v>
      </x:c>
      <x:c r="E337" s="55" t="n">
        <x:v>0.03</x:v>
      </x:c>
      <x:c r="F337" s="60" t="n">
        <x:v>0</x:v>
      </x:c>
      <x:c r="G337" s="60" t="n">
        <x:v>0.03</x:v>
      </x:c>
      <x:c r="H337" s="23" t="n">
        <x:f>IF(D337=F337,0,1)+IF(E337=G337,0,1)</x:f>
        <x:v>0</x:v>
      </x:c>
      <x:c r="I337" s="23" t="str">
        <x:v>Timing T20 / fictional rates</x:v>
      </x:c>
    </x:row>
    <x:row r="338" ht="21" customHeight="1">
      <x:c r="A338" s="23" t="str">
        <x:v>back_flat</x:v>
      </x:c>
      <x:c r="B338" s="23" t="n">
        <x:v>43</x:v>
      </x:c>
      <x:c r="C338" s="37" t="n">
        <x:v>50314</x:v>
      </x:c>
      <x:c r="D338" s="55" t="n">
        <x:v>0</x:v>
      </x:c>
      <x:c r="E338" s="55" t="n">
        <x:v>0.03</x:v>
      </x:c>
      <x:c r="F338" s="60" t="n">
        <x:v>0</x:v>
      </x:c>
      <x:c r="G338" s="60" t="n">
        <x:v>0.03</x:v>
      </x:c>
      <x:c r="H338" s="23" t="n">
        <x:f>IF(D338=F338,0,1)+IF(E338=G338,0,1)</x:f>
        <x:v>0</x:v>
      </x:c>
      <x:c r="I338" s="23" t="str">
        <x:v>Timing T20 / fictional rates</x:v>
      </x:c>
    </x:row>
    <x:row r="339" ht="21" customHeight="1">
      <x:c r="A339" s="23" t="str">
        <x:v>back_flat</x:v>
      </x:c>
      <x:c r="B339" s="23" t="n">
        <x:v>44</x:v>
      </x:c>
      <x:c r="C339" s="37" t="n">
        <x:v>50406</x:v>
      </x:c>
      <x:c r="D339" s="55" t="n">
        <x:v>0</x:v>
      </x:c>
      <x:c r="E339" s="55" t="n">
        <x:v>0.03</x:v>
      </x:c>
      <x:c r="F339" s="60" t="n">
        <x:v>0</x:v>
      </x:c>
      <x:c r="G339" s="60" t="n">
        <x:v>0.03</x:v>
      </x:c>
      <x:c r="H339" s="23" t="n">
        <x:f>IF(D339=F339,0,1)+IF(E339=G339,0,1)</x:f>
        <x:v>0</x:v>
      </x:c>
      <x:c r="I339" s="23" t="str">
        <x:v>Timing T20 / fictional rates</x:v>
      </x:c>
    </x:row>
    <x:row r="340" ht="21" customHeight="1">
      <x:c r="A340" s="23" t="str">
        <x:v>back_flat</x:v>
      </x:c>
      <x:c r="B340" s="23" t="n">
        <x:v>45</x:v>
      </x:c>
      <x:c r="C340" s="37" t="n">
        <x:v>50496</x:v>
      </x:c>
      <x:c r="D340" s="55" t="n">
        <x:v>0</x:v>
      </x:c>
      <x:c r="E340" s="55" t="n">
        <x:v>0.03</x:v>
      </x:c>
      <x:c r="F340" s="60" t="n">
        <x:v>0</x:v>
      </x:c>
      <x:c r="G340" s="60" t="n">
        <x:v>0.03</x:v>
      </x:c>
      <x:c r="H340" s="23" t="n">
        <x:f>IF(D340=F340,0,1)+IF(E340=G340,0,1)</x:f>
        <x:v>0</x:v>
      </x:c>
      <x:c r="I340" s="23" t="str">
        <x:v>Timing T20 / fictional rates</x:v>
      </x:c>
    </x:row>
    <x:row r="341" ht="21" customHeight="1">
      <x:c r="A341" s="23" t="str">
        <x:v>back_flat</x:v>
      </x:c>
      <x:c r="B341" s="23" t="n">
        <x:v>46</x:v>
      </x:c>
      <x:c r="C341" s="37" t="n">
        <x:v>50587</x:v>
      </x:c>
      <x:c r="D341" s="55" t="n">
        <x:v>0</x:v>
      </x:c>
      <x:c r="E341" s="55" t="n">
        <x:v>0.03</x:v>
      </x:c>
      <x:c r="F341" s="60" t="n">
        <x:v>0</x:v>
      </x:c>
      <x:c r="G341" s="60" t="n">
        <x:v>0.03</x:v>
      </x:c>
      <x:c r="H341" s="23" t="n">
        <x:f>IF(D341=F341,0,1)+IF(E341=G341,0,1)</x:f>
        <x:v>0</x:v>
      </x:c>
      <x:c r="I341" s="23" t="str">
        <x:v>Timing T20 / fictional rates</x:v>
      </x:c>
    </x:row>
    <x:row r="342" ht="21" customHeight="1">
      <x:c r="A342" s="23" t="str">
        <x:v>back_flat</x:v>
      </x:c>
      <x:c r="B342" s="23" t="n">
        <x:v>47</x:v>
      </x:c>
      <x:c r="C342" s="37" t="n">
        <x:v>50679</x:v>
      </x:c>
      <x:c r="D342" s="55" t="n">
        <x:v>0</x:v>
      </x:c>
      <x:c r="E342" s="55" t="n">
        <x:v>0.03</x:v>
      </x:c>
      <x:c r="F342" s="60" t="n">
        <x:v>0</x:v>
      </x:c>
      <x:c r="G342" s="60" t="n">
        <x:v>0.03</x:v>
      </x:c>
      <x:c r="H342" s="23" t="n">
        <x:f>IF(D342=F342,0,1)+IF(E342=G342,0,1)</x:f>
        <x:v>0</x:v>
      </x:c>
      <x:c r="I342" s="23" t="str">
        <x:v>Timing T20 / fictional rates</x:v>
      </x:c>
    </x:row>
    <x:row r="343" ht="21" customHeight="1">
      <x:c r="A343" s="23" t="str">
        <x:v>back_flat</x:v>
      </x:c>
      <x:c r="B343" s="23" t="n">
        <x:v>48</x:v>
      </x:c>
      <x:c r="C343" s="37" t="n">
        <x:v>50771</x:v>
      </x:c>
      <x:c r="D343" s="55" t="n">
        <x:v>0</x:v>
      </x:c>
      <x:c r="E343" s="55" t="n">
        <x:v>0.03</x:v>
      </x:c>
      <x:c r="F343" s="60" t="n">
        <x:v>0</x:v>
      </x:c>
      <x:c r="G343" s="60" t="n">
        <x:v>0.03</x:v>
      </x:c>
      <x:c r="H343" s="23" t="n">
        <x:f>IF(D343=F343,0,1)+IF(E343=G343,0,1)</x:f>
        <x:v>0</x:v>
      </x:c>
      <x:c r="I343" s="23" t="str">
        <x:v>Timing T20 / fictional rates</x:v>
      </x:c>
    </x:row>
    <x:row r="344" ht="21" customHeight="1">
      <x:c r="A344" s="23" t="str">
        <x:v>back_low</x:v>
      </x:c>
      <x:c r="B344" s="23" t="n">
        <x:v>1</x:v>
      </x:c>
      <x:c r="C344" s="37" t="n">
        <x:v>46478</x:v>
      </x:c>
      <x:c r="D344" s="55" t="n">
        <x:v>0.03</x:v>
      </x:c>
      <x:c r="E344" s="55" t="n">
        <x:v>0.005</x:v>
      </x:c>
      <x:c r="F344" s="60" t="n">
        <x:v>0.03</x:v>
      </x:c>
      <x:c r="G344" s="60" t="n">
        <x:v>0.005</x:v>
      </x:c>
      <x:c r="H344" s="23" t="n">
        <x:f>IF(D344=F344,0,1)+IF(E344=G344,0,1)</x:f>
        <x:v>0</x:v>
      </x:c>
      <x:c r="I344" s="23" t="str">
        <x:v>Timing T20 / fictional rates</x:v>
      </x:c>
    </x:row>
    <x:row r="345" ht="21" customHeight="1">
      <x:c r="A345" s="23" t="str">
        <x:v>back_low</x:v>
      </x:c>
      <x:c r="B345" s="23" t="n">
        <x:v>2</x:v>
      </x:c>
      <x:c r="C345" s="37" t="n">
        <x:v>46569</x:v>
      </x:c>
      <x:c r="D345" s="55" t="n">
        <x:v>0.03</x:v>
      </x:c>
      <x:c r="E345" s="55" t="n">
        <x:v>0.005</x:v>
      </x:c>
      <x:c r="F345" s="60" t="n">
        <x:v>0.03</x:v>
      </x:c>
      <x:c r="G345" s="60" t="n">
        <x:v>0.005</x:v>
      </x:c>
      <x:c r="H345" s="23" t="n">
        <x:f>IF(D345=F345,0,1)+IF(E345=G345,0,1)</x:f>
        <x:v>0</x:v>
      </x:c>
      <x:c r="I345" s="23" t="str">
        <x:v>Timing T20 / fictional rates</x:v>
      </x:c>
    </x:row>
    <x:row r="346" ht="21" customHeight="1">
      <x:c r="A346" s="23" t="str">
        <x:v>back_low</x:v>
      </x:c>
      <x:c r="B346" s="23" t="n">
        <x:v>3</x:v>
      </x:c>
      <x:c r="C346" s="37" t="n">
        <x:v>46661</x:v>
      </x:c>
      <x:c r="D346" s="55" t="n">
        <x:v>0.03</x:v>
      </x:c>
      <x:c r="E346" s="55" t="n">
        <x:v>0.005</x:v>
      </x:c>
      <x:c r="F346" s="60" t="n">
        <x:v>0.03</x:v>
      </x:c>
      <x:c r="G346" s="60" t="n">
        <x:v>0.005</x:v>
      </x:c>
      <x:c r="H346" s="23" t="n">
        <x:f>IF(D346=F346,0,1)+IF(E346=G346,0,1)</x:f>
        <x:v>0</x:v>
      </x:c>
      <x:c r="I346" s="23" t="str">
        <x:v>Timing T20 / fictional rates</x:v>
      </x:c>
    </x:row>
    <x:row r="347" ht="21" customHeight="1">
      <x:c r="A347" s="23" t="str">
        <x:v>back_low</x:v>
      </x:c>
      <x:c r="B347" s="23" t="n">
        <x:v>4</x:v>
      </x:c>
      <x:c r="C347" s="37" t="n">
        <x:v>46753</x:v>
      </x:c>
      <x:c r="D347" s="55" t="n">
        <x:v>0.03</x:v>
      </x:c>
      <x:c r="E347" s="55" t="n">
        <x:v>0.005</x:v>
      </x:c>
      <x:c r="F347" s="60" t="n">
        <x:v>0.03</x:v>
      </x:c>
      <x:c r="G347" s="60" t="n">
        <x:v>0.005</x:v>
      </x:c>
      <x:c r="H347" s="23" t="n">
        <x:f>IF(D347=F347,0,1)+IF(E347=G347,0,1)</x:f>
        <x:v>0</x:v>
      </x:c>
      <x:c r="I347" s="23" t="str">
        <x:v>Timing T20 / fictional rates</x:v>
      </x:c>
    </x:row>
    <x:row r="348" ht="21" customHeight="1">
      <x:c r="A348" s="23" t="str">
        <x:v>back_low</x:v>
      </x:c>
      <x:c r="B348" s="23" t="n">
        <x:v>5</x:v>
      </x:c>
      <x:c r="C348" s="37" t="n">
        <x:v>46844</x:v>
      </x:c>
      <x:c r="D348" s="55" t="n">
        <x:v>0.045</x:v>
      </x:c>
      <x:c r="E348" s="55" t="n">
        <x:v>0.005</x:v>
      </x:c>
      <x:c r="F348" s="60" t="n">
        <x:v>0.045</x:v>
      </x:c>
      <x:c r="G348" s="60" t="n">
        <x:v>0.005</x:v>
      </x:c>
      <x:c r="H348" s="23" t="n">
        <x:f>IF(D348=F348,0,1)+IF(E348=G348,0,1)</x:f>
        <x:v>0</x:v>
      </x:c>
      <x:c r="I348" s="23" t="str">
        <x:v>Timing T20 / fictional rates</x:v>
      </x:c>
    </x:row>
    <x:row r="349" ht="21" customHeight="1">
      <x:c r="A349" s="23" t="str">
        <x:v>back_low</x:v>
      </x:c>
      <x:c r="B349" s="23" t="n">
        <x:v>6</x:v>
      </x:c>
      <x:c r="C349" s="37" t="n">
        <x:v>46935</x:v>
      </x:c>
      <x:c r="D349" s="55" t="n">
        <x:v>0.045</x:v>
      </x:c>
      <x:c r="E349" s="55" t="n">
        <x:v>0.005</x:v>
      </x:c>
      <x:c r="F349" s="60" t="n">
        <x:v>0.045</x:v>
      </x:c>
      <x:c r="G349" s="60" t="n">
        <x:v>0.005</x:v>
      </x:c>
      <x:c r="H349" s="23" t="n">
        <x:f>IF(D349=F349,0,1)+IF(E349=G349,0,1)</x:f>
        <x:v>0</x:v>
      </x:c>
      <x:c r="I349" s="23" t="str">
        <x:v>Timing T20 / fictional rates</x:v>
      </x:c>
    </x:row>
    <x:row r="350" ht="21" customHeight="1">
      <x:c r="A350" s="23" t="str">
        <x:v>back_low</x:v>
      </x:c>
      <x:c r="B350" s="23" t="n">
        <x:v>7</x:v>
      </x:c>
      <x:c r="C350" s="37" t="n">
        <x:v>47027</x:v>
      </x:c>
      <x:c r="D350" s="55" t="n">
        <x:v>0.045</x:v>
      </x:c>
      <x:c r="E350" s="55" t="n">
        <x:v>0.005</x:v>
      </x:c>
      <x:c r="F350" s="60" t="n">
        <x:v>0.045</x:v>
      </x:c>
      <x:c r="G350" s="60" t="n">
        <x:v>0.005</x:v>
      </x:c>
      <x:c r="H350" s="23" t="n">
        <x:f>IF(D350=F350,0,1)+IF(E350=G350,0,1)</x:f>
        <x:v>0</x:v>
      </x:c>
      <x:c r="I350" s="23" t="str">
        <x:v>Timing T20 / fictional rates</x:v>
      </x:c>
    </x:row>
    <x:row r="351" ht="21" customHeight="1">
      <x:c r="A351" s="23" t="str">
        <x:v>back_low</x:v>
      </x:c>
      <x:c r="B351" s="23" t="n">
        <x:v>8</x:v>
      </x:c>
      <x:c r="C351" s="37" t="n">
        <x:v>47119</x:v>
      </x:c>
      <x:c r="D351" s="55" t="n">
        <x:v>0.045</x:v>
      </x:c>
      <x:c r="E351" s="55" t="n">
        <x:v>0.005</x:v>
      </x:c>
      <x:c r="F351" s="60" t="n">
        <x:v>0.045</x:v>
      </x:c>
      <x:c r="G351" s="60" t="n">
        <x:v>0.005</x:v>
      </x:c>
      <x:c r="H351" s="23" t="n">
        <x:f>IF(D351=F351,0,1)+IF(E351=G351,0,1)</x:f>
        <x:v>0</x:v>
      </x:c>
      <x:c r="I351" s="23" t="str">
        <x:v>Timing T20 / fictional rates</x:v>
      </x:c>
    </x:row>
    <x:row r="352" ht="21" customHeight="1">
      <x:c r="A352" s="23" t="str">
        <x:v>back_low</x:v>
      </x:c>
      <x:c r="B352" s="23" t="n">
        <x:v>9</x:v>
      </x:c>
      <x:c r="C352" s="37" t="n">
        <x:v>47209</x:v>
      </x:c>
      <x:c r="D352" s="55" t="n">
        <x:v>0.055</x:v>
      </x:c>
      <x:c r="E352" s="55" t="n">
        <x:v>0.005</x:v>
      </x:c>
      <x:c r="F352" s="60" t="n">
        <x:v>0.055</x:v>
      </x:c>
      <x:c r="G352" s="60" t="n">
        <x:v>0.005</x:v>
      </x:c>
      <x:c r="H352" s="23" t="n">
        <x:f>IF(D352=F352,0,1)+IF(E352=G352,0,1)</x:f>
        <x:v>0</x:v>
      </x:c>
      <x:c r="I352" s="23" t="str">
        <x:v>Timing T20 / fictional rates</x:v>
      </x:c>
    </x:row>
    <x:row r="353" ht="21" customHeight="1">
      <x:c r="A353" s="23" t="str">
        <x:v>back_low</x:v>
      </x:c>
      <x:c r="B353" s="23" t="n">
        <x:v>10</x:v>
      </x:c>
      <x:c r="C353" s="37" t="n">
        <x:v>47300</x:v>
      </x:c>
      <x:c r="D353" s="55" t="n">
        <x:v>0.055</x:v>
      </x:c>
      <x:c r="E353" s="55" t="n">
        <x:v>0.005</x:v>
      </x:c>
      <x:c r="F353" s="60" t="n">
        <x:v>0.055</x:v>
      </x:c>
      <x:c r="G353" s="60" t="n">
        <x:v>0.005</x:v>
      </x:c>
      <x:c r="H353" s="23" t="n">
        <x:f>IF(D353=F353,0,1)+IF(E353=G353,0,1)</x:f>
        <x:v>0</x:v>
      </x:c>
      <x:c r="I353" s="23" t="str">
        <x:v>Timing T20 / fictional rates</x:v>
      </x:c>
    </x:row>
    <x:row r="354" ht="21" customHeight="1">
      <x:c r="A354" s="23" t="str">
        <x:v>back_low</x:v>
      </x:c>
      <x:c r="B354" s="23" t="n">
        <x:v>11</x:v>
      </x:c>
      <x:c r="C354" s="37" t="n">
        <x:v>47392</x:v>
      </x:c>
      <x:c r="D354" s="55" t="n">
        <x:v>0.055</x:v>
      </x:c>
      <x:c r="E354" s="55" t="n">
        <x:v>0.005</x:v>
      </x:c>
      <x:c r="F354" s="60" t="n">
        <x:v>0.055</x:v>
      </x:c>
      <x:c r="G354" s="60" t="n">
        <x:v>0.005</x:v>
      </x:c>
      <x:c r="H354" s="23" t="n">
        <x:f>IF(D354=F354,0,1)+IF(E354=G354,0,1)</x:f>
        <x:v>0</x:v>
      </x:c>
      <x:c r="I354" s="23" t="str">
        <x:v>Timing T20 / fictional rates</x:v>
      </x:c>
    </x:row>
    <x:row r="355" ht="21" customHeight="1">
      <x:c r="A355" s="23" t="str">
        <x:v>back_low</x:v>
      </x:c>
      <x:c r="B355" s="23" t="n">
        <x:v>12</x:v>
      </x:c>
      <x:c r="C355" s="37" t="n">
        <x:v>47484</x:v>
      </x:c>
      <x:c r="D355" s="55" t="n">
        <x:v>0.055</x:v>
      </x:c>
      <x:c r="E355" s="55" t="n">
        <x:v>0.005</x:v>
      </x:c>
      <x:c r="F355" s="60" t="n">
        <x:v>0.055</x:v>
      </x:c>
      <x:c r="G355" s="60" t="n">
        <x:v>0.005</x:v>
      </x:c>
      <x:c r="H355" s="23" t="n">
        <x:f>IF(D355=F355,0,1)+IF(E355=G355,0,1)</x:f>
        <x:v>0</x:v>
      </x:c>
      <x:c r="I355" s="23" t="str">
        <x:v>Timing T20 / fictional rates</x:v>
      </x:c>
    </x:row>
    <x:row r="356" ht="21" customHeight="1">
      <x:c r="A356" s="23" t="str">
        <x:v>back_low</x:v>
      </x:c>
      <x:c r="B356" s="23" t="n">
        <x:v>13</x:v>
      </x:c>
      <x:c r="C356" s="37" t="n">
        <x:v>47574</x:v>
      </x:c>
      <x:c r="D356" s="55" t="n">
        <x:v>0.0575</x:v>
      </x:c>
      <x:c r="E356" s="55" t="n">
        <x:v>0.005</x:v>
      </x:c>
      <x:c r="F356" s="60" t="n">
        <x:v>0.0575</x:v>
      </x:c>
      <x:c r="G356" s="60" t="n">
        <x:v>0.005</x:v>
      </x:c>
      <x:c r="H356" s="23" t="n">
        <x:f>IF(D356=F356,0,1)+IF(E356=G356,0,1)</x:f>
        <x:v>0</x:v>
      </x:c>
      <x:c r="I356" s="23" t="str">
        <x:v>Timing T20 / fictional rates</x:v>
      </x:c>
    </x:row>
    <x:row r="357" ht="21" customHeight="1">
      <x:c r="A357" s="23" t="str">
        <x:v>back_low</x:v>
      </x:c>
      <x:c r="B357" s="23" t="n">
        <x:v>14</x:v>
      </x:c>
      <x:c r="C357" s="37" t="n">
        <x:v>47665</x:v>
      </x:c>
      <x:c r="D357" s="55" t="n">
        <x:v>0.0575</x:v>
      </x:c>
      <x:c r="E357" s="55" t="n">
        <x:v>0.005</x:v>
      </x:c>
      <x:c r="F357" s="60" t="n">
        <x:v>0.0575</x:v>
      </x:c>
      <x:c r="G357" s="60" t="n">
        <x:v>0.005</x:v>
      </x:c>
      <x:c r="H357" s="23" t="n">
        <x:f>IF(D357=F357,0,1)+IF(E357=G357,0,1)</x:f>
        <x:v>0</x:v>
      </x:c>
      <x:c r="I357" s="23" t="str">
        <x:v>Timing T20 / fictional rates</x:v>
      </x:c>
    </x:row>
    <x:row r="358" ht="21" customHeight="1">
      <x:c r="A358" s="23" t="str">
        <x:v>back_low</x:v>
      </x:c>
      <x:c r="B358" s="23" t="n">
        <x:v>15</x:v>
      </x:c>
      <x:c r="C358" s="37" t="n">
        <x:v>47757</x:v>
      </x:c>
      <x:c r="D358" s="55" t="n">
        <x:v>0.0575</x:v>
      </x:c>
      <x:c r="E358" s="55" t="n">
        <x:v>0.005</x:v>
      </x:c>
      <x:c r="F358" s="60" t="n">
        <x:v>0.0575</x:v>
      </x:c>
      <x:c r="G358" s="60" t="n">
        <x:v>0.005</x:v>
      </x:c>
      <x:c r="H358" s="23" t="n">
        <x:f>IF(D358=F358,0,1)+IF(E358=G358,0,1)</x:f>
        <x:v>0</x:v>
      </x:c>
      <x:c r="I358" s="23" t="str">
        <x:v>Timing T20 / fictional rates</x:v>
      </x:c>
    </x:row>
    <x:row r="359" ht="21" customHeight="1">
      <x:c r="A359" s="23" t="str">
        <x:v>back_low</x:v>
      </x:c>
      <x:c r="B359" s="23" t="n">
        <x:v>16</x:v>
      </x:c>
      <x:c r="C359" s="37" t="n">
        <x:v>47849</x:v>
      </x:c>
      <x:c r="D359" s="55" t="n">
        <x:v>0.0575</x:v>
      </x:c>
      <x:c r="E359" s="55" t="n">
        <x:v>0.005</x:v>
      </x:c>
      <x:c r="F359" s="60" t="n">
        <x:v>0.0575</x:v>
      </x:c>
      <x:c r="G359" s="60" t="n">
        <x:v>0.005</x:v>
      </x:c>
      <x:c r="H359" s="23" t="n">
        <x:f>IF(D359=F359,0,1)+IF(E359=G359,0,1)</x:f>
        <x:v>0</x:v>
      </x:c>
      <x:c r="I359" s="23" t="str">
        <x:v>Timing T20 / fictional rates</x:v>
      </x:c>
    </x:row>
    <x:row r="360" ht="21" customHeight="1">
      <x:c r="A360" s="23" t="str">
        <x:v>back_low</x:v>
      </x:c>
      <x:c r="B360" s="23" t="n">
        <x:v>17</x:v>
      </x:c>
      <x:c r="C360" s="37" t="n">
        <x:v>47939</x:v>
      </x:c>
      <x:c r="D360" s="55" t="n">
        <x:v>0.0625</x:v>
      </x:c>
      <x:c r="E360" s="55" t="n">
        <x:v>0.005</x:v>
      </x:c>
      <x:c r="F360" s="60" t="n">
        <x:v>0.0625</x:v>
      </x:c>
      <x:c r="G360" s="60" t="n">
        <x:v>0.005</x:v>
      </x:c>
      <x:c r="H360" s="23" t="n">
        <x:f>IF(D360=F360,0,1)+IF(E360=G360,0,1)</x:f>
        <x:v>0</x:v>
      </x:c>
      <x:c r="I360" s="23" t="str">
        <x:v>Timing T20 / fictional rates</x:v>
      </x:c>
    </x:row>
    <x:row r="361" ht="21" customHeight="1">
      <x:c r="A361" s="23" t="str">
        <x:v>back_low</x:v>
      </x:c>
      <x:c r="B361" s="23" t="n">
        <x:v>18</x:v>
      </x:c>
      <x:c r="C361" s="37" t="n">
        <x:v>48030</x:v>
      </x:c>
      <x:c r="D361" s="55" t="n">
        <x:v>0.0625</x:v>
      </x:c>
      <x:c r="E361" s="55" t="n">
        <x:v>0.005</x:v>
      </x:c>
      <x:c r="F361" s="60" t="n">
        <x:v>0.0625</x:v>
      </x:c>
      <x:c r="G361" s="60" t="n">
        <x:v>0.005</x:v>
      </x:c>
      <x:c r="H361" s="23" t="n">
        <x:f>IF(D361=F361,0,1)+IF(E361=G361,0,1)</x:f>
        <x:v>0</x:v>
      </x:c>
      <x:c r="I361" s="23" t="str">
        <x:v>Timing T20 / fictional rates</x:v>
      </x:c>
    </x:row>
    <x:row r="362" ht="21" customHeight="1">
      <x:c r="A362" s="23" t="str">
        <x:v>back_low</x:v>
      </x:c>
      <x:c r="B362" s="23" t="n">
        <x:v>19</x:v>
      </x:c>
      <x:c r="C362" s="37" t="n">
        <x:v>48122</x:v>
      </x:c>
      <x:c r="D362" s="55" t="n">
        <x:v>0.0625</x:v>
      </x:c>
      <x:c r="E362" s="55" t="n">
        <x:v>0.005</x:v>
      </x:c>
      <x:c r="F362" s="60" t="n">
        <x:v>0.0625</x:v>
      </x:c>
      <x:c r="G362" s="60" t="n">
        <x:v>0.005</x:v>
      </x:c>
      <x:c r="H362" s="23" t="n">
        <x:f>IF(D362=F362,0,1)+IF(E362=G362,0,1)</x:f>
        <x:v>0</x:v>
      </x:c>
      <x:c r="I362" s="23" t="str">
        <x:v>Timing T20 / fictional rates</x:v>
      </x:c>
    </x:row>
    <x:row r="363" ht="21" customHeight="1">
      <x:c r="A363" s="23" t="str">
        <x:v>back_low</x:v>
      </x:c>
      <x:c r="B363" s="23" t="n">
        <x:v>20</x:v>
      </x:c>
      <x:c r="C363" s="37" t="n">
        <x:v>48214</x:v>
      </x:c>
      <x:c r="D363" s="55" t="n">
        <x:v>0.0625</x:v>
      </x:c>
      <x:c r="E363" s="55" t="n">
        <x:v>0.005</x:v>
      </x:c>
      <x:c r="F363" s="60" t="n">
        <x:v>0.0625</x:v>
      </x:c>
      <x:c r="G363" s="60" t="n">
        <x:v>0.005</x:v>
      </x:c>
      <x:c r="H363" s="23" t="n">
        <x:f>IF(D363=F363,0,1)+IF(E363=G363,0,1)</x:f>
        <x:v>0</x:v>
      </x:c>
      <x:c r="I363" s="23" t="str">
        <x:v>Timing T20 / fictional rates</x:v>
      </x:c>
    </x:row>
    <x:row r="364" ht="21" customHeight="1">
      <x:c r="A364" s="23" t="str">
        <x:v>back_low</x:v>
      </x:c>
      <x:c r="B364" s="23" t="n">
        <x:v>21</x:v>
      </x:c>
      <x:c r="C364" s="37" t="n">
        <x:v>48305</x:v>
      </x:c>
      <x:c r="D364" s="55" t="n">
        <x:v>0</x:v>
      </x:c>
      <x:c r="E364" s="55" t="n">
        <x:v>0.005</x:v>
      </x:c>
      <x:c r="F364" s="60" t="n">
        <x:v>0</x:v>
      </x:c>
      <x:c r="G364" s="60" t="n">
        <x:v>0.005</x:v>
      </x:c>
      <x:c r="H364" s="23" t="n">
        <x:f>IF(D364=F364,0,1)+IF(E364=G364,0,1)</x:f>
        <x:v>0</x:v>
      </x:c>
      <x:c r="I364" s="23" t="str">
        <x:v>Timing T20 / fictional rates</x:v>
      </x:c>
    </x:row>
    <x:row r="365" ht="21" customHeight="1">
      <x:c r="A365" s="23" t="str">
        <x:v>back_low</x:v>
      </x:c>
      <x:c r="B365" s="23" t="n">
        <x:v>22</x:v>
      </x:c>
      <x:c r="C365" s="37" t="n">
        <x:v>48396</x:v>
      </x:c>
      <x:c r="D365" s="55" t="n">
        <x:v>0</x:v>
      </x:c>
      <x:c r="E365" s="55" t="n">
        <x:v>0.005</x:v>
      </x:c>
      <x:c r="F365" s="60" t="n">
        <x:v>0</x:v>
      </x:c>
      <x:c r="G365" s="60" t="n">
        <x:v>0.005</x:v>
      </x:c>
      <x:c r="H365" s="23" t="n">
        <x:f>IF(D365=F365,0,1)+IF(E365=G365,0,1)</x:f>
        <x:v>0</x:v>
      </x:c>
      <x:c r="I365" s="23" t="str">
        <x:v>Timing T20 / fictional rates</x:v>
      </x:c>
    </x:row>
    <x:row r="366" ht="21" customHeight="1">
      <x:c r="A366" s="23" t="str">
        <x:v>back_low</x:v>
      </x:c>
      <x:c r="B366" s="23" t="n">
        <x:v>23</x:v>
      </x:c>
      <x:c r="C366" s="37" t="n">
        <x:v>48488</x:v>
      </x:c>
      <x:c r="D366" s="55" t="n">
        <x:v>0</x:v>
      </x:c>
      <x:c r="E366" s="55" t="n">
        <x:v>0.005</x:v>
      </x:c>
      <x:c r="F366" s="60" t="n">
        <x:v>0</x:v>
      </x:c>
      <x:c r="G366" s="60" t="n">
        <x:v>0.005</x:v>
      </x:c>
      <x:c r="H366" s="23" t="n">
        <x:f>IF(D366=F366,0,1)+IF(E366=G366,0,1)</x:f>
        <x:v>0</x:v>
      </x:c>
      <x:c r="I366" s="23" t="str">
        <x:v>Timing T20 / fictional rates</x:v>
      </x:c>
    </x:row>
    <x:row r="367" ht="21" customHeight="1">
      <x:c r="A367" s="23" t="str">
        <x:v>back_low</x:v>
      </x:c>
      <x:c r="B367" s="23" t="n">
        <x:v>24</x:v>
      </x:c>
      <x:c r="C367" s="37" t="n">
        <x:v>48580</x:v>
      </x:c>
      <x:c r="D367" s="55" t="n">
        <x:v>0</x:v>
      </x:c>
      <x:c r="E367" s="55" t="n">
        <x:v>0.005</x:v>
      </x:c>
      <x:c r="F367" s="60" t="n">
        <x:v>0</x:v>
      </x:c>
      <x:c r="G367" s="60" t="n">
        <x:v>0.005</x:v>
      </x:c>
      <x:c r="H367" s="23" t="n">
        <x:f>IF(D367=F367,0,1)+IF(E367=G367,0,1)</x:f>
        <x:v>0</x:v>
      </x:c>
      <x:c r="I367" s="23" t="str">
        <x:v>Timing T20 / fictional rates</x:v>
      </x:c>
    </x:row>
    <x:row r="368" ht="21" customHeight="1">
      <x:c r="A368" s="23" t="str">
        <x:v>back_low</x:v>
      </x:c>
      <x:c r="B368" s="23" t="n">
        <x:v>25</x:v>
      </x:c>
      <x:c r="C368" s="37" t="n">
        <x:v>48670</x:v>
      </x:c>
      <x:c r="D368" s="55" t="n">
        <x:v>0</x:v>
      </x:c>
      <x:c r="E368" s="55" t="n">
        <x:v>0.005</x:v>
      </x:c>
      <x:c r="F368" s="60" t="n">
        <x:v>0</x:v>
      </x:c>
      <x:c r="G368" s="60" t="n">
        <x:v>0.005</x:v>
      </x:c>
      <x:c r="H368" s="23" t="n">
        <x:f>IF(D368=F368,0,1)+IF(E368=G368,0,1)</x:f>
        <x:v>0</x:v>
      </x:c>
      <x:c r="I368" s="23" t="str">
        <x:v>Timing T20 / fictional rates</x:v>
      </x:c>
    </x:row>
    <x:row r="369" ht="21" customHeight="1">
      <x:c r="A369" s="23" t="str">
        <x:v>back_low</x:v>
      </x:c>
      <x:c r="B369" s="23" t="n">
        <x:v>26</x:v>
      </x:c>
      <x:c r="C369" s="37" t="n">
        <x:v>48761</x:v>
      </x:c>
      <x:c r="D369" s="55" t="n">
        <x:v>0</x:v>
      </x:c>
      <x:c r="E369" s="55" t="n">
        <x:v>0.005</x:v>
      </x:c>
      <x:c r="F369" s="60" t="n">
        <x:v>0</x:v>
      </x:c>
      <x:c r="G369" s="60" t="n">
        <x:v>0.005</x:v>
      </x:c>
      <x:c r="H369" s="23" t="n">
        <x:f>IF(D369=F369,0,1)+IF(E369=G369,0,1)</x:f>
        <x:v>0</x:v>
      </x:c>
      <x:c r="I369" s="23" t="str">
        <x:v>Timing T20 / fictional rates</x:v>
      </x:c>
    </x:row>
    <x:row r="370" ht="21" customHeight="1">
      <x:c r="A370" s="23" t="str">
        <x:v>back_low</x:v>
      </x:c>
      <x:c r="B370" s="23" t="n">
        <x:v>27</x:v>
      </x:c>
      <x:c r="C370" s="37" t="n">
        <x:v>48853</x:v>
      </x:c>
      <x:c r="D370" s="55" t="n">
        <x:v>0</x:v>
      </x:c>
      <x:c r="E370" s="55" t="n">
        <x:v>0.005</x:v>
      </x:c>
      <x:c r="F370" s="60" t="n">
        <x:v>0</x:v>
      </x:c>
      <x:c r="G370" s="60" t="n">
        <x:v>0.005</x:v>
      </x:c>
      <x:c r="H370" s="23" t="n">
        <x:f>IF(D370=F370,0,1)+IF(E370=G370,0,1)</x:f>
        <x:v>0</x:v>
      </x:c>
      <x:c r="I370" s="23" t="str">
        <x:v>Timing T20 / fictional rates</x:v>
      </x:c>
    </x:row>
    <x:row r="371" ht="21" customHeight="1">
      <x:c r="A371" s="23" t="str">
        <x:v>back_low</x:v>
      </x:c>
      <x:c r="B371" s="23" t="n">
        <x:v>28</x:v>
      </x:c>
      <x:c r="C371" s="37" t="n">
        <x:v>48945</x:v>
      </x:c>
      <x:c r="D371" s="55" t="n">
        <x:v>0</x:v>
      </x:c>
      <x:c r="E371" s="55" t="n">
        <x:v>0.005</x:v>
      </x:c>
      <x:c r="F371" s="60" t="n">
        <x:v>0</x:v>
      </x:c>
      <x:c r="G371" s="60" t="n">
        <x:v>0.005</x:v>
      </x:c>
      <x:c r="H371" s="23" t="n">
        <x:f>IF(D371=F371,0,1)+IF(E371=G371,0,1)</x:f>
        <x:v>0</x:v>
      </x:c>
      <x:c r="I371" s="23" t="str">
        <x:v>Timing T20 / fictional rates</x:v>
      </x:c>
    </x:row>
    <x:row r="372" ht="21" customHeight="1">
      <x:c r="A372" s="23" t="str">
        <x:v>back_low</x:v>
      </x:c>
      <x:c r="B372" s="23" t="n">
        <x:v>29</x:v>
      </x:c>
      <x:c r="C372" s="37" t="n">
        <x:v>49035</x:v>
      </x:c>
      <x:c r="D372" s="55" t="n">
        <x:v>0</x:v>
      </x:c>
      <x:c r="E372" s="55" t="n">
        <x:v>0.005</x:v>
      </x:c>
      <x:c r="F372" s="60" t="n">
        <x:v>0</x:v>
      </x:c>
      <x:c r="G372" s="60" t="n">
        <x:v>0.005</x:v>
      </x:c>
      <x:c r="H372" s="23" t="n">
        <x:f>IF(D372=F372,0,1)+IF(E372=G372,0,1)</x:f>
        <x:v>0</x:v>
      </x:c>
      <x:c r="I372" s="23" t="str">
        <x:v>Timing T20 / fictional rates</x:v>
      </x:c>
    </x:row>
    <x:row r="373" ht="21" customHeight="1">
      <x:c r="A373" s="23" t="str">
        <x:v>back_low</x:v>
      </x:c>
      <x:c r="B373" s="23" t="n">
        <x:v>30</x:v>
      </x:c>
      <x:c r="C373" s="37" t="n">
        <x:v>49126</x:v>
      </x:c>
      <x:c r="D373" s="55" t="n">
        <x:v>0</x:v>
      </x:c>
      <x:c r="E373" s="55" t="n">
        <x:v>0.005</x:v>
      </x:c>
      <x:c r="F373" s="60" t="n">
        <x:v>0</x:v>
      </x:c>
      <x:c r="G373" s="60" t="n">
        <x:v>0.005</x:v>
      </x:c>
      <x:c r="H373" s="23" t="n">
        <x:f>IF(D373=F373,0,1)+IF(E373=G373,0,1)</x:f>
        <x:v>0</x:v>
      </x:c>
      <x:c r="I373" s="23" t="str">
        <x:v>Timing T20 / fictional rates</x:v>
      </x:c>
    </x:row>
    <x:row r="374" ht="21" customHeight="1">
      <x:c r="A374" s="23" t="str">
        <x:v>back_low</x:v>
      </x:c>
      <x:c r="B374" s="23" t="n">
        <x:v>31</x:v>
      </x:c>
      <x:c r="C374" s="37" t="n">
        <x:v>49218</x:v>
      </x:c>
      <x:c r="D374" s="55" t="n">
        <x:v>0</x:v>
      </x:c>
      <x:c r="E374" s="55" t="n">
        <x:v>0.005</x:v>
      </x:c>
      <x:c r="F374" s="60" t="n">
        <x:v>0</x:v>
      </x:c>
      <x:c r="G374" s="60" t="n">
        <x:v>0.005</x:v>
      </x:c>
      <x:c r="H374" s="23" t="n">
        <x:f>IF(D374=F374,0,1)+IF(E374=G374,0,1)</x:f>
        <x:v>0</x:v>
      </x:c>
      <x:c r="I374" s="23" t="str">
        <x:v>Timing T20 / fictional rates</x:v>
      </x:c>
    </x:row>
    <x:row r="375" ht="21" customHeight="1">
      <x:c r="A375" s="23" t="str">
        <x:v>back_low</x:v>
      </x:c>
      <x:c r="B375" s="23" t="n">
        <x:v>32</x:v>
      </x:c>
      <x:c r="C375" s="37" t="n">
        <x:v>49310</x:v>
      </x:c>
      <x:c r="D375" s="55" t="n">
        <x:v>0</x:v>
      </x:c>
      <x:c r="E375" s="55" t="n">
        <x:v>0.005</x:v>
      </x:c>
      <x:c r="F375" s="60" t="n">
        <x:v>0</x:v>
      </x:c>
      <x:c r="G375" s="60" t="n">
        <x:v>0.005</x:v>
      </x:c>
      <x:c r="H375" s="23" t="n">
        <x:f>IF(D375=F375,0,1)+IF(E375=G375,0,1)</x:f>
        <x:v>0</x:v>
      </x:c>
      <x:c r="I375" s="23" t="str">
        <x:v>Timing T20 / fictional rates</x:v>
      </x:c>
    </x:row>
    <x:row r="376" ht="21" customHeight="1">
      <x:c r="A376" s="23" t="str">
        <x:v>back_low</x:v>
      </x:c>
      <x:c r="B376" s="23" t="n">
        <x:v>33</x:v>
      </x:c>
      <x:c r="C376" s="37" t="n">
        <x:v>49400</x:v>
      </x:c>
      <x:c r="D376" s="55" t="n">
        <x:v>0</x:v>
      </x:c>
      <x:c r="E376" s="55" t="n">
        <x:v>0.005</x:v>
      </x:c>
      <x:c r="F376" s="60" t="n">
        <x:v>0</x:v>
      </x:c>
      <x:c r="G376" s="60" t="n">
        <x:v>0.005</x:v>
      </x:c>
      <x:c r="H376" s="23" t="n">
        <x:f>IF(D376=F376,0,1)+IF(E376=G376,0,1)</x:f>
        <x:v>0</x:v>
      </x:c>
      <x:c r="I376" s="23" t="str">
        <x:v>Timing T20 / fictional rates</x:v>
      </x:c>
    </x:row>
    <x:row r="377" ht="21" customHeight="1">
      <x:c r="A377" s="23" t="str">
        <x:v>back_low</x:v>
      </x:c>
      <x:c r="B377" s="23" t="n">
        <x:v>34</x:v>
      </x:c>
      <x:c r="C377" s="37" t="n">
        <x:v>49491</x:v>
      </x:c>
      <x:c r="D377" s="55" t="n">
        <x:v>0</x:v>
      </x:c>
      <x:c r="E377" s="55" t="n">
        <x:v>0.005</x:v>
      </x:c>
      <x:c r="F377" s="60" t="n">
        <x:v>0</x:v>
      </x:c>
      <x:c r="G377" s="60" t="n">
        <x:v>0.005</x:v>
      </x:c>
      <x:c r="H377" s="23" t="n">
        <x:f>IF(D377=F377,0,1)+IF(E377=G377,0,1)</x:f>
        <x:v>0</x:v>
      </x:c>
      <x:c r="I377" s="23" t="str">
        <x:v>Timing T20 / fictional rates</x:v>
      </x:c>
    </x:row>
    <x:row r="378" ht="21" customHeight="1">
      <x:c r="A378" s="23" t="str">
        <x:v>back_low</x:v>
      </x:c>
      <x:c r="B378" s="23" t="n">
        <x:v>35</x:v>
      </x:c>
      <x:c r="C378" s="37" t="n">
        <x:v>49583</x:v>
      </x:c>
      <x:c r="D378" s="55" t="n">
        <x:v>0</x:v>
      </x:c>
      <x:c r="E378" s="55" t="n">
        <x:v>0.005</x:v>
      </x:c>
      <x:c r="F378" s="60" t="n">
        <x:v>0</x:v>
      </x:c>
      <x:c r="G378" s="60" t="n">
        <x:v>0.005</x:v>
      </x:c>
      <x:c r="H378" s="23" t="n">
        <x:f>IF(D378=F378,0,1)+IF(E378=G378,0,1)</x:f>
        <x:v>0</x:v>
      </x:c>
      <x:c r="I378" s="23" t="str">
        <x:v>Timing T20 / fictional rates</x:v>
      </x:c>
    </x:row>
    <x:row r="379" ht="21" customHeight="1">
      <x:c r="A379" s="23" t="str">
        <x:v>back_low</x:v>
      </x:c>
      <x:c r="B379" s="23" t="n">
        <x:v>36</x:v>
      </x:c>
      <x:c r="C379" s="37" t="n">
        <x:v>49675</x:v>
      </x:c>
      <x:c r="D379" s="55" t="n">
        <x:v>0</x:v>
      </x:c>
      <x:c r="E379" s="55" t="n">
        <x:v>0.005</x:v>
      </x:c>
      <x:c r="F379" s="60" t="n">
        <x:v>0</x:v>
      </x:c>
      <x:c r="G379" s="60" t="n">
        <x:v>0.005</x:v>
      </x:c>
      <x:c r="H379" s="23" t="n">
        <x:f>IF(D379=F379,0,1)+IF(E379=G379,0,1)</x:f>
        <x:v>0</x:v>
      </x:c>
      <x:c r="I379" s="23" t="str">
        <x:v>Timing T20 / fictional rates</x:v>
      </x:c>
    </x:row>
    <x:row r="380" ht="21" customHeight="1">
      <x:c r="A380" s="23" t="str">
        <x:v>back_low</x:v>
      </x:c>
      <x:c r="B380" s="23" t="n">
        <x:v>37</x:v>
      </x:c>
      <x:c r="C380" s="37" t="n">
        <x:v>49766</x:v>
      </x:c>
      <x:c r="D380" s="55" t="n">
        <x:v>0</x:v>
      </x:c>
      <x:c r="E380" s="55" t="n">
        <x:v>0.005</x:v>
      </x:c>
      <x:c r="F380" s="60" t="n">
        <x:v>0</x:v>
      </x:c>
      <x:c r="G380" s="60" t="n">
        <x:v>0.005</x:v>
      </x:c>
      <x:c r="H380" s="23" t="n">
        <x:f>IF(D380=F380,0,1)+IF(E380=G380,0,1)</x:f>
        <x:v>0</x:v>
      </x:c>
      <x:c r="I380" s="23" t="str">
        <x:v>Timing T20 / fictional rates</x:v>
      </x:c>
    </x:row>
    <x:row r="381" ht="21" customHeight="1">
      <x:c r="A381" s="23" t="str">
        <x:v>back_low</x:v>
      </x:c>
      <x:c r="B381" s="23" t="n">
        <x:v>38</x:v>
      </x:c>
      <x:c r="C381" s="37" t="n">
        <x:v>49857</x:v>
      </x:c>
      <x:c r="D381" s="55" t="n">
        <x:v>0</x:v>
      </x:c>
      <x:c r="E381" s="55" t="n">
        <x:v>0.005</x:v>
      </x:c>
      <x:c r="F381" s="60" t="n">
        <x:v>0</x:v>
      </x:c>
      <x:c r="G381" s="60" t="n">
        <x:v>0.005</x:v>
      </x:c>
      <x:c r="H381" s="23" t="n">
        <x:f>IF(D381=F381,0,1)+IF(E381=G381,0,1)</x:f>
        <x:v>0</x:v>
      </x:c>
      <x:c r="I381" s="23" t="str">
        <x:v>Timing T20 / fictional rates</x:v>
      </x:c>
    </x:row>
    <x:row r="382" ht="21" customHeight="1">
      <x:c r="A382" s="23" t="str">
        <x:v>back_low</x:v>
      </x:c>
      <x:c r="B382" s="23" t="n">
        <x:v>39</x:v>
      </x:c>
      <x:c r="C382" s="37" t="n">
        <x:v>49949</x:v>
      </x:c>
      <x:c r="D382" s="55" t="n">
        <x:v>0</x:v>
      </x:c>
      <x:c r="E382" s="55" t="n">
        <x:v>0.005</x:v>
      </x:c>
      <x:c r="F382" s="60" t="n">
        <x:v>0</x:v>
      </x:c>
      <x:c r="G382" s="60" t="n">
        <x:v>0.005</x:v>
      </x:c>
      <x:c r="H382" s="23" t="n">
        <x:f>IF(D382=F382,0,1)+IF(E382=G382,0,1)</x:f>
        <x:v>0</x:v>
      </x:c>
      <x:c r="I382" s="23" t="str">
        <x:v>Timing T20 / fictional rates</x:v>
      </x:c>
    </x:row>
    <x:row r="383" ht="21" customHeight="1">
      <x:c r="A383" s="23" t="str">
        <x:v>back_low</x:v>
      </x:c>
      <x:c r="B383" s="23" t="n">
        <x:v>40</x:v>
      </x:c>
      <x:c r="C383" s="37" t="n">
        <x:v>50041</x:v>
      </x:c>
      <x:c r="D383" s="55" t="n">
        <x:v>0</x:v>
      </x:c>
      <x:c r="E383" s="55" t="n">
        <x:v>0.005</x:v>
      </x:c>
      <x:c r="F383" s="60" t="n">
        <x:v>0</x:v>
      </x:c>
      <x:c r="G383" s="60" t="n">
        <x:v>0.005</x:v>
      </x:c>
      <x:c r="H383" s="23" t="n">
        <x:f>IF(D383=F383,0,1)+IF(E383=G383,0,1)</x:f>
        <x:v>0</x:v>
      </x:c>
      <x:c r="I383" s="23" t="str">
        <x:v>Timing T20 / fictional rates</x:v>
      </x:c>
    </x:row>
    <x:row r="384" ht="21" customHeight="1">
      <x:c r="A384" s="23" t="str">
        <x:v>back_low</x:v>
      </x:c>
      <x:c r="B384" s="23" t="n">
        <x:v>41</x:v>
      </x:c>
      <x:c r="C384" s="37" t="n">
        <x:v>50131</x:v>
      </x:c>
      <x:c r="D384" s="55" t="n">
        <x:v>0</x:v>
      </x:c>
      <x:c r="E384" s="55" t="n">
        <x:v>0.005</x:v>
      </x:c>
      <x:c r="F384" s="60" t="n">
        <x:v>0</x:v>
      </x:c>
      <x:c r="G384" s="60" t="n">
        <x:v>0.005</x:v>
      </x:c>
      <x:c r="H384" s="23" t="n">
        <x:f>IF(D384=F384,0,1)+IF(E384=G384,0,1)</x:f>
        <x:v>0</x:v>
      </x:c>
      <x:c r="I384" s="23" t="str">
        <x:v>Timing T20 / fictional rates</x:v>
      </x:c>
    </x:row>
    <x:row r="385" ht="21" customHeight="1">
      <x:c r="A385" s="23" t="str">
        <x:v>back_low</x:v>
      </x:c>
      <x:c r="B385" s="23" t="n">
        <x:v>42</x:v>
      </x:c>
      <x:c r="C385" s="37" t="n">
        <x:v>50222</x:v>
      </x:c>
      <x:c r="D385" s="55" t="n">
        <x:v>0</x:v>
      </x:c>
      <x:c r="E385" s="55" t="n">
        <x:v>0.005</x:v>
      </x:c>
      <x:c r="F385" s="60" t="n">
        <x:v>0</x:v>
      </x:c>
      <x:c r="G385" s="60" t="n">
        <x:v>0.005</x:v>
      </x:c>
      <x:c r="H385" s="23" t="n">
        <x:f>IF(D385=F385,0,1)+IF(E385=G385,0,1)</x:f>
        <x:v>0</x:v>
      </x:c>
      <x:c r="I385" s="23" t="str">
        <x:v>Timing T20 / fictional rates</x:v>
      </x:c>
    </x:row>
    <x:row r="386" ht="21" customHeight="1">
      <x:c r="A386" s="23" t="str">
        <x:v>back_low</x:v>
      </x:c>
      <x:c r="B386" s="23" t="n">
        <x:v>43</x:v>
      </x:c>
      <x:c r="C386" s="37" t="n">
        <x:v>50314</x:v>
      </x:c>
      <x:c r="D386" s="55" t="n">
        <x:v>0</x:v>
      </x:c>
      <x:c r="E386" s="55" t="n">
        <x:v>0.005</x:v>
      </x:c>
      <x:c r="F386" s="60" t="n">
        <x:v>0</x:v>
      </x:c>
      <x:c r="G386" s="60" t="n">
        <x:v>0.005</x:v>
      </x:c>
      <x:c r="H386" s="23" t="n">
        <x:f>IF(D386=F386,0,1)+IF(E386=G386,0,1)</x:f>
        <x:v>0</x:v>
      </x:c>
      <x:c r="I386" s="23" t="str">
        <x:v>Timing T20 / fictional rates</x:v>
      </x:c>
    </x:row>
    <x:row r="387" ht="21" customHeight="1">
      <x:c r="A387" s="23" t="str">
        <x:v>back_low</x:v>
      </x:c>
      <x:c r="B387" s="23" t="n">
        <x:v>44</x:v>
      </x:c>
      <x:c r="C387" s="37" t="n">
        <x:v>50406</x:v>
      </x:c>
      <x:c r="D387" s="55" t="n">
        <x:v>0</x:v>
      </x:c>
      <x:c r="E387" s="55" t="n">
        <x:v>0.005</x:v>
      </x:c>
      <x:c r="F387" s="60" t="n">
        <x:v>0</x:v>
      </x:c>
      <x:c r="G387" s="60" t="n">
        <x:v>0.005</x:v>
      </x:c>
      <x:c r="H387" s="23" t="n">
        <x:f>IF(D387=F387,0,1)+IF(E387=G387,0,1)</x:f>
        <x:v>0</x:v>
      </x:c>
      <x:c r="I387" s="23" t="str">
        <x:v>Timing T20 / fictional rates</x:v>
      </x:c>
    </x:row>
    <x:row r="388" ht="21" customHeight="1">
      <x:c r="A388" s="23" t="str">
        <x:v>back_low</x:v>
      </x:c>
      <x:c r="B388" s="23" t="n">
        <x:v>45</x:v>
      </x:c>
      <x:c r="C388" s="37" t="n">
        <x:v>50496</x:v>
      </x:c>
      <x:c r="D388" s="55" t="n">
        <x:v>0</x:v>
      </x:c>
      <x:c r="E388" s="55" t="n">
        <x:v>0.005</x:v>
      </x:c>
      <x:c r="F388" s="60" t="n">
        <x:v>0</x:v>
      </x:c>
      <x:c r="G388" s="60" t="n">
        <x:v>0.005</x:v>
      </x:c>
      <x:c r="H388" s="23" t="n">
        <x:f>IF(D388=F388,0,1)+IF(E388=G388,0,1)</x:f>
        <x:v>0</x:v>
      </x:c>
      <x:c r="I388" s="23" t="str">
        <x:v>Timing T20 / fictional rates</x:v>
      </x:c>
    </x:row>
    <x:row r="389" ht="21" customHeight="1">
      <x:c r="A389" s="23" t="str">
        <x:v>back_low</x:v>
      </x:c>
      <x:c r="B389" s="23" t="n">
        <x:v>46</x:v>
      </x:c>
      <x:c r="C389" s="37" t="n">
        <x:v>50587</x:v>
      </x:c>
      <x:c r="D389" s="55" t="n">
        <x:v>0</x:v>
      </x:c>
      <x:c r="E389" s="55" t="n">
        <x:v>0.005</x:v>
      </x:c>
      <x:c r="F389" s="60" t="n">
        <x:v>0</x:v>
      </x:c>
      <x:c r="G389" s="60" t="n">
        <x:v>0.005</x:v>
      </x:c>
      <x:c r="H389" s="23" t="n">
        <x:f>IF(D389=F389,0,1)+IF(E389=G389,0,1)</x:f>
        <x:v>0</x:v>
      </x:c>
      <x:c r="I389" s="23" t="str">
        <x:v>Timing T20 / fictional rates</x:v>
      </x:c>
    </x:row>
    <x:row r="390" ht="21" customHeight="1">
      <x:c r="A390" s="23" t="str">
        <x:v>back_low</x:v>
      </x:c>
      <x:c r="B390" s="23" t="n">
        <x:v>47</x:v>
      </x:c>
      <x:c r="C390" s="37" t="n">
        <x:v>50679</x:v>
      </x:c>
      <x:c r="D390" s="55" t="n">
        <x:v>0</x:v>
      </x:c>
      <x:c r="E390" s="55" t="n">
        <x:v>0.005</x:v>
      </x:c>
      <x:c r="F390" s="60" t="n">
        <x:v>0</x:v>
      </x:c>
      <x:c r="G390" s="60" t="n">
        <x:v>0.005</x:v>
      </x:c>
      <x:c r="H390" s="23" t="n">
        <x:f>IF(D390=F390,0,1)+IF(E390=G390,0,1)</x:f>
        <x:v>0</x:v>
      </x:c>
      <x:c r="I390" s="23" t="str">
        <x:v>Timing T20 / fictional rates</x:v>
      </x:c>
    </x:row>
    <x:row r="391" ht="21" customHeight="1">
      <x:c r="A391" s="23" t="str">
        <x:v>back_low</x:v>
      </x:c>
      <x:c r="B391" s="23" t="n">
        <x:v>48</x:v>
      </x:c>
      <x:c r="C391" s="37" t="n">
        <x:v>50771</x:v>
      </x:c>
      <x:c r="D391" s="55" t="n">
        <x:v>0</x:v>
      </x:c>
      <x:c r="E391" s="55" t="n">
        <x:v>0.005</x:v>
      </x:c>
      <x:c r="F391" s="60" t="n">
        <x:v>0</x:v>
      </x:c>
      <x:c r="G391" s="60" t="n">
        <x:v>0.005</x:v>
      </x:c>
      <x:c r="H391" s="23" t="n">
        <x:f>IF(D391=F391,0,1)+IF(E391=G391,0,1)</x:f>
        <x:v>0</x:v>
      </x:c>
      <x:c r="I391" s="23" t="str">
        <x:v>Timing T20 / fictional rates</x:v>
      </x:c>
    </x:row>
    <x:row r="392" ht="21" customHeight="1">
      <x:c r="A392" s="23" t="str">
        <x:v>back_high</x:v>
      </x:c>
      <x:c r="B392" s="23" t="n">
        <x:v>1</x:v>
      </x:c>
      <x:c r="C392" s="37" t="n">
        <x:v>46478</x:v>
      </x:c>
      <x:c r="D392" s="55" t="n">
        <x:v>0.03</x:v>
      </x:c>
      <x:c r="E392" s="55" t="n">
        <x:v>0.06</x:v>
      </x:c>
      <x:c r="F392" s="60" t="n">
        <x:v>0.03</x:v>
      </x:c>
      <x:c r="G392" s="60" t="n">
        <x:v>0.06</x:v>
      </x:c>
      <x:c r="H392" s="23" t="n">
        <x:f>IF(D392=F392,0,1)+IF(E392=G392,0,1)</x:f>
        <x:v>0</x:v>
      </x:c>
      <x:c r="I392" s="23" t="str">
        <x:v>Timing T20 / fictional rates</x:v>
      </x:c>
    </x:row>
    <x:row r="393" ht="21" customHeight="1">
      <x:c r="A393" s="23" t="str">
        <x:v>back_high</x:v>
      </x:c>
      <x:c r="B393" s="23" t="n">
        <x:v>2</x:v>
      </x:c>
      <x:c r="C393" s="37" t="n">
        <x:v>46569</x:v>
      </x:c>
      <x:c r="D393" s="55" t="n">
        <x:v>0.03</x:v>
      </x:c>
      <x:c r="E393" s="55" t="n">
        <x:v>0.06</x:v>
      </x:c>
      <x:c r="F393" s="60" t="n">
        <x:v>0.03</x:v>
      </x:c>
      <x:c r="G393" s="60" t="n">
        <x:v>0.06</x:v>
      </x:c>
      <x:c r="H393" s="23" t="n">
        <x:f>IF(D393=F393,0,1)+IF(E393=G393,0,1)</x:f>
        <x:v>0</x:v>
      </x:c>
      <x:c r="I393" s="23" t="str">
        <x:v>Timing T20 / fictional rates</x:v>
      </x:c>
    </x:row>
    <x:row r="394" ht="21" customHeight="1">
      <x:c r="A394" s="23" t="str">
        <x:v>back_high</x:v>
      </x:c>
      <x:c r="B394" s="23" t="n">
        <x:v>3</x:v>
      </x:c>
      <x:c r="C394" s="37" t="n">
        <x:v>46661</x:v>
      </x:c>
      <x:c r="D394" s="55" t="n">
        <x:v>0.03</x:v>
      </x:c>
      <x:c r="E394" s="55" t="n">
        <x:v>0.06</x:v>
      </x:c>
      <x:c r="F394" s="60" t="n">
        <x:v>0.03</x:v>
      </x:c>
      <x:c r="G394" s="60" t="n">
        <x:v>0.06</x:v>
      </x:c>
      <x:c r="H394" s="23" t="n">
        <x:f>IF(D394=F394,0,1)+IF(E394=G394,0,1)</x:f>
        <x:v>0</x:v>
      </x:c>
      <x:c r="I394" s="23" t="str">
        <x:v>Timing T20 / fictional rates</x:v>
      </x:c>
    </x:row>
    <x:row r="395" ht="21" customHeight="1">
      <x:c r="A395" s="23" t="str">
        <x:v>back_high</x:v>
      </x:c>
      <x:c r="B395" s="23" t="n">
        <x:v>4</x:v>
      </x:c>
      <x:c r="C395" s="37" t="n">
        <x:v>46753</x:v>
      </x:c>
      <x:c r="D395" s="55" t="n">
        <x:v>0.03</x:v>
      </x:c>
      <x:c r="E395" s="55" t="n">
        <x:v>0.06</x:v>
      </x:c>
      <x:c r="F395" s="60" t="n">
        <x:v>0.03</x:v>
      </x:c>
      <x:c r="G395" s="60" t="n">
        <x:v>0.06</x:v>
      </x:c>
      <x:c r="H395" s="23" t="n">
        <x:f>IF(D395=F395,0,1)+IF(E395=G395,0,1)</x:f>
        <x:v>0</x:v>
      </x:c>
      <x:c r="I395" s="23" t="str">
        <x:v>Timing T20 / fictional rates</x:v>
      </x:c>
    </x:row>
    <x:row r="396" ht="21" customHeight="1">
      <x:c r="A396" s="23" t="str">
        <x:v>back_high</x:v>
      </x:c>
      <x:c r="B396" s="23" t="n">
        <x:v>5</x:v>
      </x:c>
      <x:c r="C396" s="37" t="n">
        <x:v>46844</x:v>
      </x:c>
      <x:c r="D396" s="55" t="n">
        <x:v>0.045</x:v>
      </x:c>
      <x:c r="E396" s="55" t="n">
        <x:v>0.06</x:v>
      </x:c>
      <x:c r="F396" s="60" t="n">
        <x:v>0.045</x:v>
      </x:c>
      <x:c r="G396" s="60" t="n">
        <x:v>0.06</x:v>
      </x:c>
      <x:c r="H396" s="23" t="n">
        <x:f>IF(D396=F396,0,1)+IF(E396=G396,0,1)</x:f>
        <x:v>0</x:v>
      </x:c>
      <x:c r="I396" s="23" t="str">
        <x:v>Timing T20 / fictional rates</x:v>
      </x:c>
    </x:row>
    <x:row r="397" ht="21" customHeight="1">
      <x:c r="A397" s="23" t="str">
        <x:v>back_high</x:v>
      </x:c>
      <x:c r="B397" s="23" t="n">
        <x:v>6</x:v>
      </x:c>
      <x:c r="C397" s="37" t="n">
        <x:v>46935</x:v>
      </x:c>
      <x:c r="D397" s="55" t="n">
        <x:v>0.045</x:v>
      </x:c>
      <x:c r="E397" s="55" t="n">
        <x:v>0.06</x:v>
      </x:c>
      <x:c r="F397" s="60" t="n">
        <x:v>0.045</x:v>
      </x:c>
      <x:c r="G397" s="60" t="n">
        <x:v>0.06</x:v>
      </x:c>
      <x:c r="H397" s="23" t="n">
        <x:f>IF(D397=F397,0,1)+IF(E397=G397,0,1)</x:f>
        <x:v>0</x:v>
      </x:c>
      <x:c r="I397" s="23" t="str">
        <x:v>Timing T20 / fictional rates</x:v>
      </x:c>
    </x:row>
    <x:row r="398" ht="21" customHeight="1">
      <x:c r="A398" s="23" t="str">
        <x:v>back_high</x:v>
      </x:c>
      <x:c r="B398" s="23" t="n">
        <x:v>7</x:v>
      </x:c>
      <x:c r="C398" s="37" t="n">
        <x:v>47027</x:v>
      </x:c>
      <x:c r="D398" s="55" t="n">
        <x:v>0.045</x:v>
      </x:c>
      <x:c r="E398" s="55" t="n">
        <x:v>0.06</x:v>
      </x:c>
      <x:c r="F398" s="60" t="n">
        <x:v>0.045</x:v>
      </x:c>
      <x:c r="G398" s="60" t="n">
        <x:v>0.06</x:v>
      </x:c>
      <x:c r="H398" s="23" t="n">
        <x:f>IF(D398=F398,0,1)+IF(E398=G398,0,1)</x:f>
        <x:v>0</x:v>
      </x:c>
      <x:c r="I398" s="23" t="str">
        <x:v>Timing T20 / fictional rates</x:v>
      </x:c>
    </x:row>
    <x:row r="399" ht="21" customHeight="1">
      <x:c r="A399" s="23" t="str">
        <x:v>back_high</x:v>
      </x:c>
      <x:c r="B399" s="23" t="n">
        <x:v>8</x:v>
      </x:c>
      <x:c r="C399" s="37" t="n">
        <x:v>47119</x:v>
      </x:c>
      <x:c r="D399" s="55" t="n">
        <x:v>0.045</x:v>
      </x:c>
      <x:c r="E399" s="55" t="n">
        <x:v>0.06</x:v>
      </x:c>
      <x:c r="F399" s="60" t="n">
        <x:v>0.045</x:v>
      </x:c>
      <x:c r="G399" s="60" t="n">
        <x:v>0.06</x:v>
      </x:c>
      <x:c r="H399" s="23" t="n">
        <x:f>IF(D399=F399,0,1)+IF(E399=G399,0,1)</x:f>
        <x:v>0</x:v>
      </x:c>
      <x:c r="I399" s="23" t="str">
        <x:v>Timing T20 / fictional rates</x:v>
      </x:c>
    </x:row>
    <x:row r="400" ht="21" customHeight="1">
      <x:c r="A400" s="23" t="str">
        <x:v>back_high</x:v>
      </x:c>
      <x:c r="B400" s="23" t="n">
        <x:v>9</x:v>
      </x:c>
      <x:c r="C400" s="37" t="n">
        <x:v>47209</x:v>
      </x:c>
      <x:c r="D400" s="55" t="n">
        <x:v>0.055</x:v>
      </x:c>
      <x:c r="E400" s="55" t="n">
        <x:v>0.06</x:v>
      </x:c>
      <x:c r="F400" s="60" t="n">
        <x:v>0.055</x:v>
      </x:c>
      <x:c r="G400" s="60" t="n">
        <x:v>0.06</x:v>
      </x:c>
      <x:c r="H400" s="23" t="n">
        <x:f>IF(D400=F400,0,1)+IF(E400=G400,0,1)</x:f>
        <x:v>0</x:v>
      </x:c>
      <x:c r="I400" s="23" t="str">
        <x:v>Timing T20 / fictional rates</x:v>
      </x:c>
    </x:row>
    <x:row r="401" ht="21" customHeight="1">
      <x:c r="A401" s="23" t="str">
        <x:v>back_high</x:v>
      </x:c>
      <x:c r="B401" s="23" t="n">
        <x:v>10</x:v>
      </x:c>
      <x:c r="C401" s="37" t="n">
        <x:v>47300</x:v>
      </x:c>
      <x:c r="D401" s="55" t="n">
        <x:v>0.055</x:v>
      </x:c>
      <x:c r="E401" s="55" t="n">
        <x:v>0.06</x:v>
      </x:c>
      <x:c r="F401" s="60" t="n">
        <x:v>0.055</x:v>
      </x:c>
      <x:c r="G401" s="60" t="n">
        <x:v>0.06</x:v>
      </x:c>
      <x:c r="H401" s="23" t="n">
        <x:f>IF(D401=F401,0,1)+IF(E401=G401,0,1)</x:f>
        <x:v>0</x:v>
      </x:c>
      <x:c r="I401" s="23" t="str">
        <x:v>Timing T20 / fictional rates</x:v>
      </x:c>
    </x:row>
    <x:row r="402" ht="21" customHeight="1">
      <x:c r="A402" s="23" t="str">
        <x:v>back_high</x:v>
      </x:c>
      <x:c r="B402" s="23" t="n">
        <x:v>11</x:v>
      </x:c>
      <x:c r="C402" s="37" t="n">
        <x:v>47392</x:v>
      </x:c>
      <x:c r="D402" s="55" t="n">
        <x:v>0.055</x:v>
      </x:c>
      <x:c r="E402" s="55" t="n">
        <x:v>0.06</x:v>
      </x:c>
      <x:c r="F402" s="60" t="n">
        <x:v>0.055</x:v>
      </x:c>
      <x:c r="G402" s="60" t="n">
        <x:v>0.06</x:v>
      </x:c>
      <x:c r="H402" s="23" t="n">
        <x:f>IF(D402=F402,0,1)+IF(E402=G402,0,1)</x:f>
        <x:v>0</x:v>
      </x:c>
      <x:c r="I402" s="23" t="str">
        <x:v>Timing T20 / fictional rates</x:v>
      </x:c>
    </x:row>
    <x:row r="403" ht="21" customHeight="1">
      <x:c r="A403" s="23" t="str">
        <x:v>back_high</x:v>
      </x:c>
      <x:c r="B403" s="23" t="n">
        <x:v>12</x:v>
      </x:c>
      <x:c r="C403" s="37" t="n">
        <x:v>47484</x:v>
      </x:c>
      <x:c r="D403" s="55" t="n">
        <x:v>0.055</x:v>
      </x:c>
      <x:c r="E403" s="55" t="n">
        <x:v>0.06</x:v>
      </x:c>
      <x:c r="F403" s="60" t="n">
        <x:v>0.055</x:v>
      </x:c>
      <x:c r="G403" s="60" t="n">
        <x:v>0.06</x:v>
      </x:c>
      <x:c r="H403" s="23" t="n">
        <x:f>IF(D403=F403,0,1)+IF(E403=G403,0,1)</x:f>
        <x:v>0</x:v>
      </x:c>
      <x:c r="I403" s="23" t="str">
        <x:v>Timing T20 / fictional rates</x:v>
      </x:c>
    </x:row>
    <x:row r="404" ht="21" customHeight="1">
      <x:c r="A404" s="23" t="str">
        <x:v>back_high</x:v>
      </x:c>
      <x:c r="B404" s="23" t="n">
        <x:v>13</x:v>
      </x:c>
      <x:c r="C404" s="37" t="n">
        <x:v>47574</x:v>
      </x:c>
      <x:c r="D404" s="55" t="n">
        <x:v>0.0575</x:v>
      </x:c>
      <x:c r="E404" s="55" t="n">
        <x:v>0.06</x:v>
      </x:c>
      <x:c r="F404" s="60" t="n">
        <x:v>0.0575</x:v>
      </x:c>
      <x:c r="G404" s="60" t="n">
        <x:v>0.06</x:v>
      </x:c>
      <x:c r="H404" s="23" t="n">
        <x:f>IF(D404=F404,0,1)+IF(E404=G404,0,1)</x:f>
        <x:v>0</x:v>
      </x:c>
      <x:c r="I404" s="23" t="str">
        <x:v>Timing T20 / fictional rates</x:v>
      </x:c>
    </x:row>
    <x:row r="405" ht="21" customHeight="1">
      <x:c r="A405" s="23" t="str">
        <x:v>back_high</x:v>
      </x:c>
      <x:c r="B405" s="23" t="n">
        <x:v>14</x:v>
      </x:c>
      <x:c r="C405" s="37" t="n">
        <x:v>47665</x:v>
      </x:c>
      <x:c r="D405" s="55" t="n">
        <x:v>0.0575</x:v>
      </x:c>
      <x:c r="E405" s="55" t="n">
        <x:v>0.06</x:v>
      </x:c>
      <x:c r="F405" s="60" t="n">
        <x:v>0.0575</x:v>
      </x:c>
      <x:c r="G405" s="60" t="n">
        <x:v>0.06</x:v>
      </x:c>
      <x:c r="H405" s="23" t="n">
        <x:f>IF(D405=F405,0,1)+IF(E405=G405,0,1)</x:f>
        <x:v>0</x:v>
      </x:c>
      <x:c r="I405" s="23" t="str">
        <x:v>Timing T20 / fictional rates</x:v>
      </x:c>
    </x:row>
    <x:row r="406" ht="21" customHeight="1">
      <x:c r="A406" s="23" t="str">
        <x:v>back_high</x:v>
      </x:c>
      <x:c r="B406" s="23" t="n">
        <x:v>15</x:v>
      </x:c>
      <x:c r="C406" s="37" t="n">
        <x:v>47757</x:v>
      </x:c>
      <x:c r="D406" s="55" t="n">
        <x:v>0.0575</x:v>
      </x:c>
      <x:c r="E406" s="55" t="n">
        <x:v>0.06</x:v>
      </x:c>
      <x:c r="F406" s="60" t="n">
        <x:v>0.0575</x:v>
      </x:c>
      <x:c r="G406" s="60" t="n">
        <x:v>0.06</x:v>
      </x:c>
      <x:c r="H406" s="23" t="n">
        <x:f>IF(D406=F406,0,1)+IF(E406=G406,0,1)</x:f>
        <x:v>0</x:v>
      </x:c>
      <x:c r="I406" s="23" t="str">
        <x:v>Timing T20 / fictional rates</x:v>
      </x:c>
    </x:row>
    <x:row r="407" ht="21" customHeight="1">
      <x:c r="A407" s="23" t="str">
        <x:v>back_high</x:v>
      </x:c>
      <x:c r="B407" s="23" t="n">
        <x:v>16</x:v>
      </x:c>
      <x:c r="C407" s="37" t="n">
        <x:v>47849</x:v>
      </x:c>
      <x:c r="D407" s="55" t="n">
        <x:v>0.0575</x:v>
      </x:c>
      <x:c r="E407" s="55" t="n">
        <x:v>0.06</x:v>
      </x:c>
      <x:c r="F407" s="60" t="n">
        <x:v>0.0575</x:v>
      </x:c>
      <x:c r="G407" s="60" t="n">
        <x:v>0.06</x:v>
      </x:c>
      <x:c r="H407" s="23" t="n">
        <x:f>IF(D407=F407,0,1)+IF(E407=G407,0,1)</x:f>
        <x:v>0</x:v>
      </x:c>
      <x:c r="I407" s="23" t="str">
        <x:v>Timing T20 / fictional rates</x:v>
      </x:c>
    </x:row>
    <x:row r="408" ht="21" customHeight="1">
      <x:c r="A408" s="23" t="str">
        <x:v>back_high</x:v>
      </x:c>
      <x:c r="B408" s="23" t="n">
        <x:v>17</x:v>
      </x:c>
      <x:c r="C408" s="37" t="n">
        <x:v>47939</x:v>
      </x:c>
      <x:c r="D408" s="55" t="n">
        <x:v>0.0625</x:v>
      </x:c>
      <x:c r="E408" s="55" t="n">
        <x:v>0.06</x:v>
      </x:c>
      <x:c r="F408" s="60" t="n">
        <x:v>0.0625</x:v>
      </x:c>
      <x:c r="G408" s="60" t="n">
        <x:v>0.06</x:v>
      </x:c>
      <x:c r="H408" s="23" t="n">
        <x:f>IF(D408=F408,0,1)+IF(E408=G408,0,1)</x:f>
        <x:v>0</x:v>
      </x:c>
      <x:c r="I408" s="23" t="str">
        <x:v>Timing T20 / fictional rates</x:v>
      </x:c>
    </x:row>
    <x:row r="409" ht="21" customHeight="1">
      <x:c r="A409" s="23" t="str">
        <x:v>back_high</x:v>
      </x:c>
      <x:c r="B409" s="23" t="n">
        <x:v>18</x:v>
      </x:c>
      <x:c r="C409" s="37" t="n">
        <x:v>48030</x:v>
      </x:c>
      <x:c r="D409" s="55" t="n">
        <x:v>0.0625</x:v>
      </x:c>
      <x:c r="E409" s="55" t="n">
        <x:v>0.06</x:v>
      </x:c>
      <x:c r="F409" s="60" t="n">
        <x:v>0.0625</x:v>
      </x:c>
      <x:c r="G409" s="60" t="n">
        <x:v>0.06</x:v>
      </x:c>
      <x:c r="H409" s="23" t="n">
        <x:f>IF(D409=F409,0,1)+IF(E409=G409,0,1)</x:f>
        <x:v>0</x:v>
      </x:c>
      <x:c r="I409" s="23" t="str">
        <x:v>Timing T20 / fictional rates</x:v>
      </x:c>
    </x:row>
    <x:row r="410" ht="21" customHeight="1">
      <x:c r="A410" s="23" t="str">
        <x:v>back_high</x:v>
      </x:c>
      <x:c r="B410" s="23" t="n">
        <x:v>19</x:v>
      </x:c>
      <x:c r="C410" s="37" t="n">
        <x:v>48122</x:v>
      </x:c>
      <x:c r="D410" s="55" t="n">
        <x:v>0.0625</x:v>
      </x:c>
      <x:c r="E410" s="55" t="n">
        <x:v>0.06</x:v>
      </x:c>
      <x:c r="F410" s="60" t="n">
        <x:v>0.0625</x:v>
      </x:c>
      <x:c r="G410" s="60" t="n">
        <x:v>0.06</x:v>
      </x:c>
      <x:c r="H410" s="23" t="n">
        <x:f>IF(D410=F410,0,1)+IF(E410=G410,0,1)</x:f>
        <x:v>0</x:v>
      </x:c>
      <x:c r="I410" s="23" t="str">
        <x:v>Timing T20 / fictional rates</x:v>
      </x:c>
    </x:row>
    <x:row r="411" ht="21" customHeight="1">
      <x:c r="A411" s="23" t="str">
        <x:v>back_high</x:v>
      </x:c>
      <x:c r="B411" s="23" t="n">
        <x:v>20</x:v>
      </x:c>
      <x:c r="C411" s="37" t="n">
        <x:v>48214</x:v>
      </x:c>
      <x:c r="D411" s="55" t="n">
        <x:v>0.0625</x:v>
      </x:c>
      <x:c r="E411" s="55" t="n">
        <x:v>0.06</x:v>
      </x:c>
      <x:c r="F411" s="60" t="n">
        <x:v>0.0625</x:v>
      </x:c>
      <x:c r="G411" s="60" t="n">
        <x:v>0.06</x:v>
      </x:c>
      <x:c r="H411" s="23" t="n">
        <x:f>IF(D411=F411,0,1)+IF(E411=G411,0,1)</x:f>
        <x:v>0</x:v>
      </x:c>
      <x:c r="I411" s="23" t="str">
        <x:v>Timing T20 / fictional rates</x:v>
      </x:c>
    </x:row>
    <x:row r="412" ht="21" customHeight="1">
      <x:c r="A412" s="23" t="str">
        <x:v>back_high</x:v>
      </x:c>
      <x:c r="B412" s="23" t="n">
        <x:v>21</x:v>
      </x:c>
      <x:c r="C412" s="37" t="n">
        <x:v>48305</x:v>
      </x:c>
      <x:c r="D412" s="55" t="n">
        <x:v>0</x:v>
      </x:c>
      <x:c r="E412" s="55" t="n">
        <x:v>0.06</x:v>
      </x:c>
      <x:c r="F412" s="60" t="n">
        <x:v>0</x:v>
      </x:c>
      <x:c r="G412" s="60" t="n">
        <x:v>0.06</x:v>
      </x:c>
      <x:c r="H412" s="23" t="n">
        <x:f>IF(D412=F412,0,1)+IF(E412=G412,0,1)</x:f>
        <x:v>0</x:v>
      </x:c>
      <x:c r="I412" s="23" t="str">
        <x:v>Timing T20 / fictional rates</x:v>
      </x:c>
    </x:row>
    <x:row r="413" ht="21" customHeight="1">
      <x:c r="A413" s="23" t="str">
        <x:v>back_high</x:v>
      </x:c>
      <x:c r="B413" s="23" t="n">
        <x:v>22</x:v>
      </x:c>
      <x:c r="C413" s="37" t="n">
        <x:v>48396</x:v>
      </x:c>
      <x:c r="D413" s="55" t="n">
        <x:v>0</x:v>
      </x:c>
      <x:c r="E413" s="55" t="n">
        <x:v>0.06</x:v>
      </x:c>
      <x:c r="F413" s="60" t="n">
        <x:v>0</x:v>
      </x:c>
      <x:c r="G413" s="60" t="n">
        <x:v>0.06</x:v>
      </x:c>
      <x:c r="H413" s="23" t="n">
        <x:f>IF(D413=F413,0,1)+IF(E413=G413,0,1)</x:f>
        <x:v>0</x:v>
      </x:c>
      <x:c r="I413" s="23" t="str">
        <x:v>Timing T20 / fictional rates</x:v>
      </x:c>
    </x:row>
    <x:row r="414" ht="21" customHeight="1">
      <x:c r="A414" s="23" t="str">
        <x:v>back_high</x:v>
      </x:c>
      <x:c r="B414" s="23" t="n">
        <x:v>23</x:v>
      </x:c>
      <x:c r="C414" s="37" t="n">
        <x:v>48488</x:v>
      </x:c>
      <x:c r="D414" s="55" t="n">
        <x:v>0</x:v>
      </x:c>
      <x:c r="E414" s="55" t="n">
        <x:v>0.06</x:v>
      </x:c>
      <x:c r="F414" s="60" t="n">
        <x:v>0</x:v>
      </x:c>
      <x:c r="G414" s="60" t="n">
        <x:v>0.06</x:v>
      </x:c>
      <x:c r="H414" s="23" t="n">
        <x:f>IF(D414=F414,0,1)+IF(E414=G414,0,1)</x:f>
        <x:v>0</x:v>
      </x:c>
      <x:c r="I414" s="23" t="str">
        <x:v>Timing T20 / fictional rates</x:v>
      </x:c>
    </x:row>
    <x:row r="415" ht="21" customHeight="1">
      <x:c r="A415" s="23" t="str">
        <x:v>back_high</x:v>
      </x:c>
      <x:c r="B415" s="23" t="n">
        <x:v>24</x:v>
      </x:c>
      <x:c r="C415" s="37" t="n">
        <x:v>48580</x:v>
      </x:c>
      <x:c r="D415" s="55" t="n">
        <x:v>0</x:v>
      </x:c>
      <x:c r="E415" s="55" t="n">
        <x:v>0.06</x:v>
      </x:c>
      <x:c r="F415" s="60" t="n">
        <x:v>0</x:v>
      </x:c>
      <x:c r="G415" s="60" t="n">
        <x:v>0.06</x:v>
      </x:c>
      <x:c r="H415" s="23" t="n">
        <x:f>IF(D415=F415,0,1)+IF(E415=G415,0,1)</x:f>
        <x:v>0</x:v>
      </x:c>
      <x:c r="I415" s="23" t="str">
        <x:v>Timing T20 / fictional rates</x:v>
      </x:c>
    </x:row>
    <x:row r="416" ht="21" customHeight="1">
      <x:c r="A416" s="23" t="str">
        <x:v>back_high</x:v>
      </x:c>
      <x:c r="B416" s="23" t="n">
        <x:v>25</x:v>
      </x:c>
      <x:c r="C416" s="37" t="n">
        <x:v>48670</x:v>
      </x:c>
      <x:c r="D416" s="55" t="n">
        <x:v>0</x:v>
      </x:c>
      <x:c r="E416" s="55" t="n">
        <x:v>0.06</x:v>
      </x:c>
      <x:c r="F416" s="60" t="n">
        <x:v>0</x:v>
      </x:c>
      <x:c r="G416" s="60" t="n">
        <x:v>0.06</x:v>
      </x:c>
      <x:c r="H416" s="23" t="n">
        <x:f>IF(D416=F416,0,1)+IF(E416=G416,0,1)</x:f>
        <x:v>0</x:v>
      </x:c>
      <x:c r="I416" s="23" t="str">
        <x:v>Timing T20 / fictional rates</x:v>
      </x:c>
    </x:row>
    <x:row r="417" ht="21" customHeight="1">
      <x:c r="A417" s="23" t="str">
        <x:v>back_high</x:v>
      </x:c>
      <x:c r="B417" s="23" t="n">
        <x:v>26</x:v>
      </x:c>
      <x:c r="C417" s="37" t="n">
        <x:v>48761</x:v>
      </x:c>
      <x:c r="D417" s="55" t="n">
        <x:v>0</x:v>
      </x:c>
      <x:c r="E417" s="55" t="n">
        <x:v>0.06</x:v>
      </x:c>
      <x:c r="F417" s="60" t="n">
        <x:v>0</x:v>
      </x:c>
      <x:c r="G417" s="60" t="n">
        <x:v>0.06</x:v>
      </x:c>
      <x:c r="H417" s="23" t="n">
        <x:f>IF(D417=F417,0,1)+IF(E417=G417,0,1)</x:f>
        <x:v>0</x:v>
      </x:c>
      <x:c r="I417" s="23" t="str">
        <x:v>Timing T20 / fictional rates</x:v>
      </x:c>
    </x:row>
    <x:row r="418" ht="21" customHeight="1">
      <x:c r="A418" s="23" t="str">
        <x:v>back_high</x:v>
      </x:c>
      <x:c r="B418" s="23" t="n">
        <x:v>27</x:v>
      </x:c>
      <x:c r="C418" s="37" t="n">
        <x:v>48853</x:v>
      </x:c>
      <x:c r="D418" s="55" t="n">
        <x:v>0</x:v>
      </x:c>
      <x:c r="E418" s="55" t="n">
        <x:v>0.06</x:v>
      </x:c>
      <x:c r="F418" s="60" t="n">
        <x:v>0</x:v>
      </x:c>
      <x:c r="G418" s="60" t="n">
        <x:v>0.06</x:v>
      </x:c>
      <x:c r="H418" s="23" t="n">
        <x:f>IF(D418=F418,0,1)+IF(E418=G418,0,1)</x:f>
        <x:v>0</x:v>
      </x:c>
      <x:c r="I418" s="23" t="str">
        <x:v>Timing T20 / fictional rates</x:v>
      </x:c>
    </x:row>
    <x:row r="419" ht="21" customHeight="1">
      <x:c r="A419" s="23" t="str">
        <x:v>back_high</x:v>
      </x:c>
      <x:c r="B419" s="23" t="n">
        <x:v>28</x:v>
      </x:c>
      <x:c r="C419" s="37" t="n">
        <x:v>48945</x:v>
      </x:c>
      <x:c r="D419" s="55" t="n">
        <x:v>0</x:v>
      </x:c>
      <x:c r="E419" s="55" t="n">
        <x:v>0.06</x:v>
      </x:c>
      <x:c r="F419" s="60" t="n">
        <x:v>0</x:v>
      </x:c>
      <x:c r="G419" s="60" t="n">
        <x:v>0.06</x:v>
      </x:c>
      <x:c r="H419" s="23" t="n">
        <x:f>IF(D419=F419,0,1)+IF(E419=G419,0,1)</x:f>
        <x:v>0</x:v>
      </x:c>
      <x:c r="I419" s="23" t="str">
        <x:v>Timing T20 / fictional rates</x:v>
      </x:c>
    </x:row>
    <x:row r="420" ht="21" customHeight="1">
      <x:c r="A420" s="23" t="str">
        <x:v>back_high</x:v>
      </x:c>
      <x:c r="B420" s="23" t="n">
        <x:v>29</x:v>
      </x:c>
      <x:c r="C420" s="37" t="n">
        <x:v>49035</x:v>
      </x:c>
      <x:c r="D420" s="55" t="n">
        <x:v>0</x:v>
      </x:c>
      <x:c r="E420" s="55" t="n">
        <x:v>0.06</x:v>
      </x:c>
      <x:c r="F420" s="60" t="n">
        <x:v>0</x:v>
      </x:c>
      <x:c r="G420" s="60" t="n">
        <x:v>0.06</x:v>
      </x:c>
      <x:c r="H420" s="23" t="n">
        <x:f>IF(D420=F420,0,1)+IF(E420=G420,0,1)</x:f>
        <x:v>0</x:v>
      </x:c>
      <x:c r="I420" s="23" t="str">
        <x:v>Timing T20 / fictional rates</x:v>
      </x:c>
    </x:row>
    <x:row r="421" ht="21" customHeight="1">
      <x:c r="A421" s="23" t="str">
        <x:v>back_high</x:v>
      </x:c>
      <x:c r="B421" s="23" t="n">
        <x:v>30</x:v>
      </x:c>
      <x:c r="C421" s="37" t="n">
        <x:v>49126</x:v>
      </x:c>
      <x:c r="D421" s="55" t="n">
        <x:v>0</x:v>
      </x:c>
      <x:c r="E421" s="55" t="n">
        <x:v>0.06</x:v>
      </x:c>
      <x:c r="F421" s="60" t="n">
        <x:v>0</x:v>
      </x:c>
      <x:c r="G421" s="60" t="n">
        <x:v>0.06</x:v>
      </x:c>
      <x:c r="H421" s="23" t="n">
        <x:f>IF(D421=F421,0,1)+IF(E421=G421,0,1)</x:f>
        <x:v>0</x:v>
      </x:c>
      <x:c r="I421" s="23" t="str">
        <x:v>Timing T20 / fictional rates</x:v>
      </x:c>
    </x:row>
    <x:row r="422" ht="21" customHeight="1">
      <x:c r="A422" s="23" t="str">
        <x:v>back_high</x:v>
      </x:c>
      <x:c r="B422" s="23" t="n">
        <x:v>31</x:v>
      </x:c>
      <x:c r="C422" s="37" t="n">
        <x:v>49218</x:v>
      </x:c>
      <x:c r="D422" s="55" t="n">
        <x:v>0</x:v>
      </x:c>
      <x:c r="E422" s="55" t="n">
        <x:v>0.06</x:v>
      </x:c>
      <x:c r="F422" s="60" t="n">
        <x:v>0</x:v>
      </x:c>
      <x:c r="G422" s="60" t="n">
        <x:v>0.06</x:v>
      </x:c>
      <x:c r="H422" s="23" t="n">
        <x:f>IF(D422=F422,0,1)+IF(E422=G422,0,1)</x:f>
        <x:v>0</x:v>
      </x:c>
      <x:c r="I422" s="23" t="str">
        <x:v>Timing T20 / fictional rates</x:v>
      </x:c>
    </x:row>
    <x:row r="423" ht="21" customHeight="1">
      <x:c r="A423" s="23" t="str">
        <x:v>back_high</x:v>
      </x:c>
      <x:c r="B423" s="23" t="n">
        <x:v>32</x:v>
      </x:c>
      <x:c r="C423" s="37" t="n">
        <x:v>49310</x:v>
      </x:c>
      <x:c r="D423" s="55" t="n">
        <x:v>0</x:v>
      </x:c>
      <x:c r="E423" s="55" t="n">
        <x:v>0.06</x:v>
      </x:c>
      <x:c r="F423" s="60" t="n">
        <x:v>0</x:v>
      </x:c>
      <x:c r="G423" s="60" t="n">
        <x:v>0.06</x:v>
      </x:c>
      <x:c r="H423" s="23" t="n">
        <x:f>IF(D423=F423,0,1)+IF(E423=G423,0,1)</x:f>
        <x:v>0</x:v>
      </x:c>
      <x:c r="I423" s="23" t="str">
        <x:v>Timing T20 / fictional rates</x:v>
      </x:c>
    </x:row>
    <x:row r="424" ht="21" customHeight="1">
      <x:c r="A424" s="23" t="str">
        <x:v>back_high</x:v>
      </x:c>
      <x:c r="B424" s="23" t="n">
        <x:v>33</x:v>
      </x:c>
      <x:c r="C424" s="37" t="n">
        <x:v>49400</x:v>
      </x:c>
      <x:c r="D424" s="55" t="n">
        <x:v>0</x:v>
      </x:c>
      <x:c r="E424" s="55" t="n">
        <x:v>0.06</x:v>
      </x:c>
      <x:c r="F424" s="60" t="n">
        <x:v>0</x:v>
      </x:c>
      <x:c r="G424" s="60" t="n">
        <x:v>0.06</x:v>
      </x:c>
      <x:c r="H424" s="23" t="n">
        <x:f>IF(D424=F424,0,1)+IF(E424=G424,0,1)</x:f>
        <x:v>0</x:v>
      </x:c>
      <x:c r="I424" s="23" t="str">
        <x:v>Timing T20 / fictional rates</x:v>
      </x:c>
    </x:row>
    <x:row r="425" ht="21" customHeight="1">
      <x:c r="A425" s="23" t="str">
        <x:v>back_high</x:v>
      </x:c>
      <x:c r="B425" s="23" t="n">
        <x:v>34</x:v>
      </x:c>
      <x:c r="C425" s="37" t="n">
        <x:v>49491</x:v>
      </x:c>
      <x:c r="D425" s="55" t="n">
        <x:v>0</x:v>
      </x:c>
      <x:c r="E425" s="55" t="n">
        <x:v>0.06</x:v>
      </x:c>
      <x:c r="F425" s="60" t="n">
        <x:v>0</x:v>
      </x:c>
      <x:c r="G425" s="60" t="n">
        <x:v>0.06</x:v>
      </x:c>
      <x:c r="H425" s="23" t="n">
        <x:f>IF(D425=F425,0,1)+IF(E425=G425,0,1)</x:f>
        <x:v>0</x:v>
      </x:c>
      <x:c r="I425" s="23" t="str">
        <x:v>Timing T20 / fictional rates</x:v>
      </x:c>
    </x:row>
    <x:row r="426" ht="21" customHeight="1">
      <x:c r="A426" s="23" t="str">
        <x:v>back_high</x:v>
      </x:c>
      <x:c r="B426" s="23" t="n">
        <x:v>35</x:v>
      </x:c>
      <x:c r="C426" s="37" t="n">
        <x:v>49583</x:v>
      </x:c>
      <x:c r="D426" s="55" t="n">
        <x:v>0</x:v>
      </x:c>
      <x:c r="E426" s="55" t="n">
        <x:v>0.06</x:v>
      </x:c>
      <x:c r="F426" s="60" t="n">
        <x:v>0</x:v>
      </x:c>
      <x:c r="G426" s="60" t="n">
        <x:v>0.06</x:v>
      </x:c>
      <x:c r="H426" s="23" t="n">
        <x:f>IF(D426=F426,0,1)+IF(E426=G426,0,1)</x:f>
        <x:v>0</x:v>
      </x:c>
      <x:c r="I426" s="23" t="str">
        <x:v>Timing T20 / fictional rates</x:v>
      </x:c>
    </x:row>
    <x:row r="427" ht="21" customHeight="1">
      <x:c r="A427" s="23" t="str">
        <x:v>back_high</x:v>
      </x:c>
      <x:c r="B427" s="23" t="n">
        <x:v>36</x:v>
      </x:c>
      <x:c r="C427" s="37" t="n">
        <x:v>49675</x:v>
      </x:c>
      <x:c r="D427" s="55" t="n">
        <x:v>0</x:v>
      </x:c>
      <x:c r="E427" s="55" t="n">
        <x:v>0.06</x:v>
      </x:c>
      <x:c r="F427" s="60" t="n">
        <x:v>0</x:v>
      </x:c>
      <x:c r="G427" s="60" t="n">
        <x:v>0.06</x:v>
      </x:c>
      <x:c r="H427" s="23" t="n">
        <x:f>IF(D427=F427,0,1)+IF(E427=G427,0,1)</x:f>
        <x:v>0</x:v>
      </x:c>
      <x:c r="I427" s="23" t="str">
        <x:v>Timing T20 / fictional rates</x:v>
      </x:c>
    </x:row>
    <x:row r="428" ht="21" customHeight="1">
      <x:c r="A428" s="23" t="str">
        <x:v>back_high</x:v>
      </x:c>
      <x:c r="B428" s="23" t="n">
        <x:v>37</x:v>
      </x:c>
      <x:c r="C428" s="37" t="n">
        <x:v>49766</x:v>
      </x:c>
      <x:c r="D428" s="55" t="n">
        <x:v>0</x:v>
      </x:c>
      <x:c r="E428" s="55" t="n">
        <x:v>0.06</x:v>
      </x:c>
      <x:c r="F428" s="60" t="n">
        <x:v>0</x:v>
      </x:c>
      <x:c r="G428" s="60" t="n">
        <x:v>0.06</x:v>
      </x:c>
      <x:c r="H428" s="23" t="n">
        <x:f>IF(D428=F428,0,1)+IF(E428=G428,0,1)</x:f>
        <x:v>0</x:v>
      </x:c>
      <x:c r="I428" s="23" t="str">
        <x:v>Timing T20 / fictional rates</x:v>
      </x:c>
    </x:row>
    <x:row r="429" ht="21" customHeight="1">
      <x:c r="A429" s="23" t="str">
        <x:v>back_high</x:v>
      </x:c>
      <x:c r="B429" s="23" t="n">
        <x:v>38</x:v>
      </x:c>
      <x:c r="C429" s="37" t="n">
        <x:v>49857</x:v>
      </x:c>
      <x:c r="D429" s="55" t="n">
        <x:v>0</x:v>
      </x:c>
      <x:c r="E429" s="55" t="n">
        <x:v>0.06</x:v>
      </x:c>
      <x:c r="F429" s="60" t="n">
        <x:v>0</x:v>
      </x:c>
      <x:c r="G429" s="60" t="n">
        <x:v>0.06</x:v>
      </x:c>
      <x:c r="H429" s="23" t="n">
        <x:f>IF(D429=F429,0,1)+IF(E429=G429,0,1)</x:f>
        <x:v>0</x:v>
      </x:c>
      <x:c r="I429" s="23" t="str">
        <x:v>Timing T20 / fictional rates</x:v>
      </x:c>
    </x:row>
    <x:row r="430" ht="21" customHeight="1">
      <x:c r="A430" s="23" t="str">
        <x:v>back_high</x:v>
      </x:c>
      <x:c r="B430" s="23" t="n">
        <x:v>39</x:v>
      </x:c>
      <x:c r="C430" s="37" t="n">
        <x:v>49949</x:v>
      </x:c>
      <x:c r="D430" s="55" t="n">
        <x:v>0</x:v>
      </x:c>
      <x:c r="E430" s="55" t="n">
        <x:v>0.06</x:v>
      </x:c>
      <x:c r="F430" s="60" t="n">
        <x:v>0</x:v>
      </x:c>
      <x:c r="G430" s="60" t="n">
        <x:v>0.06</x:v>
      </x:c>
      <x:c r="H430" s="23" t="n">
        <x:f>IF(D430=F430,0,1)+IF(E430=G430,0,1)</x:f>
        <x:v>0</x:v>
      </x:c>
      <x:c r="I430" s="23" t="str">
        <x:v>Timing T20 / fictional rates</x:v>
      </x:c>
    </x:row>
    <x:row r="431" ht="21" customHeight="1">
      <x:c r="A431" s="23" t="str">
        <x:v>back_high</x:v>
      </x:c>
      <x:c r="B431" s="23" t="n">
        <x:v>40</x:v>
      </x:c>
      <x:c r="C431" s="37" t="n">
        <x:v>50041</x:v>
      </x:c>
      <x:c r="D431" s="55" t="n">
        <x:v>0</x:v>
      </x:c>
      <x:c r="E431" s="55" t="n">
        <x:v>0.06</x:v>
      </x:c>
      <x:c r="F431" s="60" t="n">
        <x:v>0</x:v>
      </x:c>
      <x:c r="G431" s="60" t="n">
        <x:v>0.06</x:v>
      </x:c>
      <x:c r="H431" s="23" t="n">
        <x:f>IF(D431=F431,0,1)+IF(E431=G431,0,1)</x:f>
        <x:v>0</x:v>
      </x:c>
      <x:c r="I431" s="23" t="str">
        <x:v>Timing T20 / fictional rates</x:v>
      </x:c>
    </x:row>
    <x:row r="432" ht="21" customHeight="1">
      <x:c r="A432" s="23" t="str">
        <x:v>back_high</x:v>
      </x:c>
      <x:c r="B432" s="23" t="n">
        <x:v>41</x:v>
      </x:c>
      <x:c r="C432" s="37" t="n">
        <x:v>50131</x:v>
      </x:c>
      <x:c r="D432" s="55" t="n">
        <x:v>0</x:v>
      </x:c>
      <x:c r="E432" s="55" t="n">
        <x:v>0.06</x:v>
      </x:c>
      <x:c r="F432" s="60" t="n">
        <x:v>0</x:v>
      </x:c>
      <x:c r="G432" s="60" t="n">
        <x:v>0.06</x:v>
      </x:c>
      <x:c r="H432" s="23" t="n">
        <x:f>IF(D432=F432,0,1)+IF(E432=G432,0,1)</x:f>
        <x:v>0</x:v>
      </x:c>
      <x:c r="I432" s="23" t="str">
        <x:v>Timing T20 / fictional rates</x:v>
      </x:c>
    </x:row>
    <x:row r="433" ht="21" customHeight="1">
      <x:c r="A433" s="23" t="str">
        <x:v>back_high</x:v>
      </x:c>
      <x:c r="B433" s="23" t="n">
        <x:v>42</x:v>
      </x:c>
      <x:c r="C433" s="37" t="n">
        <x:v>50222</x:v>
      </x:c>
      <x:c r="D433" s="55" t="n">
        <x:v>0</x:v>
      </x:c>
      <x:c r="E433" s="55" t="n">
        <x:v>0.06</x:v>
      </x:c>
      <x:c r="F433" s="60" t="n">
        <x:v>0</x:v>
      </x:c>
      <x:c r="G433" s="60" t="n">
        <x:v>0.06</x:v>
      </x:c>
      <x:c r="H433" s="23" t="n">
        <x:f>IF(D433=F433,0,1)+IF(E433=G433,0,1)</x:f>
        <x:v>0</x:v>
      </x:c>
      <x:c r="I433" s="23" t="str">
        <x:v>Timing T20 / fictional rates</x:v>
      </x:c>
    </x:row>
    <x:row r="434" ht="21" customHeight="1">
      <x:c r="A434" s="23" t="str">
        <x:v>back_high</x:v>
      </x:c>
      <x:c r="B434" s="23" t="n">
        <x:v>43</x:v>
      </x:c>
      <x:c r="C434" s="37" t="n">
        <x:v>50314</x:v>
      </x:c>
      <x:c r="D434" s="55" t="n">
        <x:v>0</x:v>
      </x:c>
      <x:c r="E434" s="55" t="n">
        <x:v>0.06</x:v>
      </x:c>
      <x:c r="F434" s="60" t="n">
        <x:v>0</x:v>
      </x:c>
      <x:c r="G434" s="60" t="n">
        <x:v>0.06</x:v>
      </x:c>
      <x:c r="H434" s="23" t="n">
        <x:f>IF(D434=F434,0,1)+IF(E434=G434,0,1)</x:f>
        <x:v>0</x:v>
      </x:c>
      <x:c r="I434" s="23" t="str">
        <x:v>Timing T20 / fictional rates</x:v>
      </x:c>
    </x:row>
    <x:row r="435" ht="21" customHeight="1">
      <x:c r="A435" s="23" t="str">
        <x:v>back_high</x:v>
      </x:c>
      <x:c r="B435" s="23" t="n">
        <x:v>44</x:v>
      </x:c>
      <x:c r="C435" s="37" t="n">
        <x:v>50406</x:v>
      </x:c>
      <x:c r="D435" s="55" t="n">
        <x:v>0</x:v>
      </x:c>
      <x:c r="E435" s="55" t="n">
        <x:v>0.06</x:v>
      </x:c>
      <x:c r="F435" s="60" t="n">
        <x:v>0</x:v>
      </x:c>
      <x:c r="G435" s="60" t="n">
        <x:v>0.06</x:v>
      </x:c>
      <x:c r="H435" s="23" t="n">
        <x:f>IF(D435=F435,0,1)+IF(E435=G435,0,1)</x:f>
        <x:v>0</x:v>
      </x:c>
      <x:c r="I435" s="23" t="str">
        <x:v>Timing T20 / fictional rates</x:v>
      </x:c>
    </x:row>
    <x:row r="436" ht="21" customHeight="1">
      <x:c r="A436" s="23" t="str">
        <x:v>back_high</x:v>
      </x:c>
      <x:c r="B436" s="23" t="n">
        <x:v>45</x:v>
      </x:c>
      <x:c r="C436" s="37" t="n">
        <x:v>50496</x:v>
      </x:c>
      <x:c r="D436" s="55" t="n">
        <x:v>0</x:v>
      </x:c>
      <x:c r="E436" s="55" t="n">
        <x:v>0.06</x:v>
      </x:c>
      <x:c r="F436" s="60" t="n">
        <x:v>0</x:v>
      </x:c>
      <x:c r="G436" s="60" t="n">
        <x:v>0.06</x:v>
      </x:c>
      <x:c r="H436" s="23" t="n">
        <x:f>IF(D436=F436,0,1)+IF(E436=G436,0,1)</x:f>
        <x:v>0</x:v>
      </x:c>
      <x:c r="I436" s="23" t="str">
        <x:v>Timing T20 / fictional rates</x:v>
      </x:c>
    </x:row>
    <x:row r="437" ht="21" customHeight="1">
      <x:c r="A437" s="23" t="str">
        <x:v>back_high</x:v>
      </x:c>
      <x:c r="B437" s="23" t="n">
        <x:v>46</x:v>
      </x:c>
      <x:c r="C437" s="37" t="n">
        <x:v>50587</x:v>
      </x:c>
      <x:c r="D437" s="55" t="n">
        <x:v>0</x:v>
      </x:c>
      <x:c r="E437" s="55" t="n">
        <x:v>0.06</x:v>
      </x:c>
      <x:c r="F437" s="60" t="n">
        <x:v>0</x:v>
      </x:c>
      <x:c r="G437" s="60" t="n">
        <x:v>0.06</x:v>
      </x:c>
      <x:c r="H437" s="23" t="n">
        <x:f>IF(D437=F437,0,1)+IF(E437=G437,0,1)</x:f>
        <x:v>0</x:v>
      </x:c>
      <x:c r="I437" s="23" t="str">
        <x:v>Timing T20 / fictional rates</x:v>
      </x:c>
    </x:row>
    <x:row r="438" ht="21" customHeight="1">
      <x:c r="A438" s="23" t="str">
        <x:v>back_high</x:v>
      </x:c>
      <x:c r="B438" s="23" t="n">
        <x:v>47</x:v>
      </x:c>
      <x:c r="C438" s="37" t="n">
        <x:v>50679</x:v>
      </x:c>
      <x:c r="D438" s="55" t="n">
        <x:v>0</x:v>
      </x:c>
      <x:c r="E438" s="55" t="n">
        <x:v>0.06</x:v>
      </x:c>
      <x:c r="F438" s="60" t="n">
        <x:v>0</x:v>
      </x:c>
      <x:c r="G438" s="60" t="n">
        <x:v>0.06</x:v>
      </x:c>
      <x:c r="H438" s="23" t="n">
        <x:f>IF(D438=F438,0,1)+IF(E438=G438,0,1)</x:f>
        <x:v>0</x:v>
      </x:c>
      <x:c r="I438" s="23" t="str">
        <x:v>Timing T20 / fictional rates</x:v>
      </x:c>
    </x:row>
    <x:row r="439" ht="21" customHeight="1">
      <x:c r="A439" s="23" t="str">
        <x:v>back_high</x:v>
      </x:c>
      <x:c r="B439" s="23" t="n">
        <x:v>48</x:v>
      </x:c>
      <x:c r="C439" s="37" t="n">
        <x:v>50771</x:v>
      </x:c>
      <x:c r="D439" s="55" t="n">
        <x:v>0</x:v>
      </x:c>
      <x:c r="E439" s="55" t="n">
        <x:v>0.06</x:v>
      </x:c>
      <x:c r="F439" s="60" t="n">
        <x:v>0</x:v>
      </x:c>
      <x:c r="G439" s="60" t="n">
        <x:v>0.06</x:v>
      </x:c>
      <x:c r="H439" s="23" t="n">
        <x:f>IF(D439=F439,0,1)+IF(E439=G439,0,1)</x:f>
        <x:v>0</x:v>
      </x:c>
      <x:c r="I439" s="23" t="str">
        <x:v>Timing T20 / fictional rates</x:v>
      </x:c>
    </x:row>
    <x:row r="440" ht="21" customHeight="1">
      <x:c r="A440" s="23" t="str">
        <x:v>level_flat</x:v>
      </x:c>
      <x:c r="B440" s="23" t="n">
        <x:v>1</x:v>
      </x:c>
      <x:c r="C440" s="37" t="n">
        <x:v>46478</x:v>
      </x:c>
      <x:c r="D440" s="55" t="n">
        <x:v>0.05</x:v>
      </x:c>
      <x:c r="E440" s="55" t="n">
        <x:v>0.03</x:v>
      </x:c>
      <x:c r="F440" s="60" t="n">
        <x:v>0.05</x:v>
      </x:c>
      <x:c r="G440" s="60" t="n">
        <x:v>0.03</x:v>
      </x:c>
      <x:c r="H440" s="23" t="n">
        <x:f>IF(D440=F440,0,1)+IF(E440=G440,0,1)</x:f>
        <x:v>0</x:v>
      </x:c>
      <x:c r="I440" s="23" t="str">
        <x:v>Timing T20 / fictional rates</x:v>
      </x:c>
    </x:row>
    <x:row r="441" ht="21" customHeight="1">
      <x:c r="A441" s="23" t="str">
        <x:v>level_flat</x:v>
      </x:c>
      <x:c r="B441" s="23" t="n">
        <x:v>2</x:v>
      </x:c>
      <x:c r="C441" s="37" t="n">
        <x:v>46569</x:v>
      </x:c>
      <x:c r="D441" s="55" t="n">
        <x:v>0.05</x:v>
      </x:c>
      <x:c r="E441" s="55" t="n">
        <x:v>0.03</x:v>
      </x:c>
      <x:c r="F441" s="60" t="n">
        <x:v>0.05</x:v>
      </x:c>
      <x:c r="G441" s="60" t="n">
        <x:v>0.03</x:v>
      </x:c>
      <x:c r="H441" s="23" t="n">
        <x:f>IF(D441=F441,0,1)+IF(E441=G441,0,1)</x:f>
        <x:v>0</x:v>
      </x:c>
      <x:c r="I441" s="23" t="str">
        <x:v>Timing T20 / fictional rates</x:v>
      </x:c>
    </x:row>
    <x:row r="442" ht="21" customHeight="1">
      <x:c r="A442" s="23" t="str">
        <x:v>level_flat</x:v>
      </x:c>
      <x:c r="B442" s="23" t="n">
        <x:v>3</x:v>
      </x:c>
      <x:c r="C442" s="37" t="n">
        <x:v>46661</x:v>
      </x:c>
      <x:c r="D442" s="55" t="n">
        <x:v>0.05</x:v>
      </x:c>
      <x:c r="E442" s="55" t="n">
        <x:v>0.03</x:v>
      </x:c>
      <x:c r="F442" s="60" t="n">
        <x:v>0.05</x:v>
      </x:c>
      <x:c r="G442" s="60" t="n">
        <x:v>0.03</x:v>
      </x:c>
      <x:c r="H442" s="23" t="n">
        <x:f>IF(D442=F442,0,1)+IF(E442=G442,0,1)</x:f>
        <x:v>0</x:v>
      </x:c>
      <x:c r="I442" s="23" t="str">
        <x:v>Timing T20 / fictional rates</x:v>
      </x:c>
    </x:row>
    <x:row r="443" ht="21" customHeight="1">
      <x:c r="A443" s="23" t="str">
        <x:v>level_flat</x:v>
      </x:c>
      <x:c r="B443" s="23" t="n">
        <x:v>4</x:v>
      </x:c>
      <x:c r="C443" s="37" t="n">
        <x:v>46753</x:v>
      </x:c>
      <x:c r="D443" s="55" t="n">
        <x:v>0.05</x:v>
      </x:c>
      <x:c r="E443" s="55" t="n">
        <x:v>0.03</x:v>
      </x:c>
      <x:c r="F443" s="60" t="n">
        <x:v>0.05</x:v>
      </x:c>
      <x:c r="G443" s="60" t="n">
        <x:v>0.03</x:v>
      </x:c>
      <x:c r="H443" s="23" t="n">
        <x:f>IF(D443=F443,0,1)+IF(E443=G443,0,1)</x:f>
        <x:v>0</x:v>
      </x:c>
      <x:c r="I443" s="23" t="str">
        <x:v>Timing T20 / fictional rates</x:v>
      </x:c>
    </x:row>
    <x:row r="444" ht="21" customHeight="1">
      <x:c r="A444" s="23" t="str">
        <x:v>level_flat</x:v>
      </x:c>
      <x:c r="B444" s="23" t="n">
        <x:v>5</x:v>
      </x:c>
      <x:c r="C444" s="37" t="n">
        <x:v>46844</x:v>
      </x:c>
      <x:c r="D444" s="55" t="n">
        <x:v>0.05</x:v>
      </x:c>
      <x:c r="E444" s="55" t="n">
        <x:v>0.03</x:v>
      </x:c>
      <x:c r="F444" s="60" t="n">
        <x:v>0.05</x:v>
      </x:c>
      <x:c r="G444" s="60" t="n">
        <x:v>0.03</x:v>
      </x:c>
      <x:c r="H444" s="23" t="n">
        <x:f>IF(D444=F444,0,1)+IF(E444=G444,0,1)</x:f>
        <x:v>0</x:v>
      </x:c>
      <x:c r="I444" s="23" t="str">
        <x:v>Timing T20 / fictional rates</x:v>
      </x:c>
    </x:row>
    <x:row r="445" ht="21" customHeight="1">
      <x:c r="A445" s="23" t="str">
        <x:v>level_flat</x:v>
      </x:c>
      <x:c r="B445" s="23" t="n">
        <x:v>6</x:v>
      </x:c>
      <x:c r="C445" s="37" t="n">
        <x:v>46935</x:v>
      </x:c>
      <x:c r="D445" s="55" t="n">
        <x:v>0.05</x:v>
      </x:c>
      <x:c r="E445" s="55" t="n">
        <x:v>0.03</x:v>
      </x:c>
      <x:c r="F445" s="60" t="n">
        <x:v>0.05</x:v>
      </x:c>
      <x:c r="G445" s="60" t="n">
        <x:v>0.03</x:v>
      </x:c>
      <x:c r="H445" s="23" t="n">
        <x:f>IF(D445=F445,0,1)+IF(E445=G445,0,1)</x:f>
        <x:v>0</x:v>
      </x:c>
      <x:c r="I445" s="23" t="str">
        <x:v>Timing T20 / fictional rates</x:v>
      </x:c>
    </x:row>
    <x:row r="446" ht="21" customHeight="1">
      <x:c r="A446" s="23" t="str">
        <x:v>level_flat</x:v>
      </x:c>
      <x:c r="B446" s="23" t="n">
        <x:v>7</x:v>
      </x:c>
      <x:c r="C446" s="37" t="n">
        <x:v>47027</x:v>
      </x:c>
      <x:c r="D446" s="55" t="n">
        <x:v>0.05</x:v>
      </x:c>
      <x:c r="E446" s="55" t="n">
        <x:v>0.03</x:v>
      </x:c>
      <x:c r="F446" s="60" t="n">
        <x:v>0.05</x:v>
      </x:c>
      <x:c r="G446" s="60" t="n">
        <x:v>0.03</x:v>
      </x:c>
      <x:c r="H446" s="23" t="n">
        <x:f>IF(D446=F446,0,1)+IF(E446=G446,0,1)</x:f>
        <x:v>0</x:v>
      </x:c>
      <x:c r="I446" s="23" t="str">
        <x:v>Timing T20 / fictional rates</x:v>
      </x:c>
    </x:row>
    <x:row r="447" ht="21" customHeight="1">
      <x:c r="A447" s="23" t="str">
        <x:v>level_flat</x:v>
      </x:c>
      <x:c r="B447" s="23" t="n">
        <x:v>8</x:v>
      </x:c>
      <x:c r="C447" s="37" t="n">
        <x:v>47119</x:v>
      </x:c>
      <x:c r="D447" s="55" t="n">
        <x:v>0.05</x:v>
      </x:c>
      <x:c r="E447" s="55" t="n">
        <x:v>0.03</x:v>
      </x:c>
      <x:c r="F447" s="60" t="n">
        <x:v>0.05</x:v>
      </x:c>
      <x:c r="G447" s="60" t="n">
        <x:v>0.03</x:v>
      </x:c>
      <x:c r="H447" s="23" t="n">
        <x:f>IF(D447=F447,0,1)+IF(E447=G447,0,1)</x:f>
        <x:v>0</x:v>
      </x:c>
      <x:c r="I447" s="23" t="str">
        <x:v>Timing T20 / fictional rates</x:v>
      </x:c>
    </x:row>
    <x:row r="448" ht="21" customHeight="1">
      <x:c r="A448" s="23" t="str">
        <x:v>level_flat</x:v>
      </x:c>
      <x:c r="B448" s="23" t="n">
        <x:v>9</x:v>
      </x:c>
      <x:c r="C448" s="37" t="n">
        <x:v>47209</x:v>
      </x:c>
      <x:c r="D448" s="55" t="n">
        <x:v>0.05</x:v>
      </x:c>
      <x:c r="E448" s="55" t="n">
        <x:v>0.03</x:v>
      </x:c>
      <x:c r="F448" s="60" t="n">
        <x:v>0.05</x:v>
      </x:c>
      <x:c r="G448" s="60" t="n">
        <x:v>0.03</x:v>
      </x:c>
      <x:c r="H448" s="23" t="n">
        <x:f>IF(D448=F448,0,1)+IF(E448=G448,0,1)</x:f>
        <x:v>0</x:v>
      </x:c>
      <x:c r="I448" s="23" t="str">
        <x:v>Timing T20 / fictional rates</x:v>
      </x:c>
    </x:row>
    <x:row r="449" ht="21" customHeight="1">
      <x:c r="A449" s="23" t="str">
        <x:v>level_flat</x:v>
      </x:c>
      <x:c r="B449" s="23" t="n">
        <x:v>10</x:v>
      </x:c>
      <x:c r="C449" s="37" t="n">
        <x:v>47300</x:v>
      </x:c>
      <x:c r="D449" s="55" t="n">
        <x:v>0.05</x:v>
      </x:c>
      <x:c r="E449" s="55" t="n">
        <x:v>0.03</x:v>
      </x:c>
      <x:c r="F449" s="60" t="n">
        <x:v>0.05</x:v>
      </x:c>
      <x:c r="G449" s="60" t="n">
        <x:v>0.03</x:v>
      </x:c>
      <x:c r="H449" s="23" t="n">
        <x:f>IF(D449=F449,0,1)+IF(E449=G449,0,1)</x:f>
        <x:v>0</x:v>
      </x:c>
      <x:c r="I449" s="23" t="str">
        <x:v>Timing T20 / fictional rates</x:v>
      </x:c>
    </x:row>
    <x:row r="450" ht="21" customHeight="1">
      <x:c r="A450" s="23" t="str">
        <x:v>level_flat</x:v>
      </x:c>
      <x:c r="B450" s="23" t="n">
        <x:v>11</x:v>
      </x:c>
      <x:c r="C450" s="37" t="n">
        <x:v>47392</x:v>
      </x:c>
      <x:c r="D450" s="55" t="n">
        <x:v>0.05</x:v>
      </x:c>
      <x:c r="E450" s="55" t="n">
        <x:v>0.03</x:v>
      </x:c>
      <x:c r="F450" s="60" t="n">
        <x:v>0.05</x:v>
      </x:c>
      <x:c r="G450" s="60" t="n">
        <x:v>0.03</x:v>
      </x:c>
      <x:c r="H450" s="23" t="n">
        <x:f>IF(D450=F450,0,1)+IF(E450=G450,0,1)</x:f>
        <x:v>0</x:v>
      </x:c>
      <x:c r="I450" s="23" t="str">
        <x:v>Timing T20 / fictional rates</x:v>
      </x:c>
    </x:row>
    <x:row r="451" ht="21" customHeight="1">
      <x:c r="A451" s="23" t="str">
        <x:v>level_flat</x:v>
      </x:c>
      <x:c r="B451" s="23" t="n">
        <x:v>12</x:v>
      </x:c>
      <x:c r="C451" s="37" t="n">
        <x:v>47484</x:v>
      </x:c>
      <x:c r="D451" s="55" t="n">
        <x:v>0.05</x:v>
      </x:c>
      <x:c r="E451" s="55" t="n">
        <x:v>0.03</x:v>
      </x:c>
      <x:c r="F451" s="60" t="n">
        <x:v>0.05</x:v>
      </x:c>
      <x:c r="G451" s="60" t="n">
        <x:v>0.03</x:v>
      </x:c>
      <x:c r="H451" s="23" t="n">
        <x:f>IF(D451=F451,0,1)+IF(E451=G451,0,1)</x:f>
        <x:v>0</x:v>
      </x:c>
      <x:c r="I451" s="23" t="str">
        <x:v>Timing T20 / fictional rates</x:v>
      </x:c>
    </x:row>
    <x:row r="452" ht="21" customHeight="1">
      <x:c r="A452" s="23" t="str">
        <x:v>level_flat</x:v>
      </x:c>
      <x:c r="B452" s="23" t="n">
        <x:v>13</x:v>
      </x:c>
      <x:c r="C452" s="37" t="n">
        <x:v>47574</x:v>
      </x:c>
      <x:c r="D452" s="55" t="n">
        <x:v>0.05</x:v>
      </x:c>
      <x:c r="E452" s="55" t="n">
        <x:v>0.03</x:v>
      </x:c>
      <x:c r="F452" s="60" t="n">
        <x:v>0.05</x:v>
      </x:c>
      <x:c r="G452" s="60" t="n">
        <x:v>0.03</x:v>
      </x:c>
      <x:c r="H452" s="23" t="n">
        <x:f>IF(D452=F452,0,1)+IF(E452=G452,0,1)</x:f>
        <x:v>0</x:v>
      </x:c>
      <x:c r="I452" s="23" t="str">
        <x:v>Timing T20 / fictional rates</x:v>
      </x:c>
    </x:row>
    <x:row r="453" ht="21" customHeight="1">
      <x:c r="A453" s="23" t="str">
        <x:v>level_flat</x:v>
      </x:c>
      <x:c r="B453" s="23" t="n">
        <x:v>14</x:v>
      </x:c>
      <x:c r="C453" s="37" t="n">
        <x:v>47665</x:v>
      </x:c>
      <x:c r="D453" s="55" t="n">
        <x:v>0.05</x:v>
      </x:c>
      <x:c r="E453" s="55" t="n">
        <x:v>0.03</x:v>
      </x:c>
      <x:c r="F453" s="60" t="n">
        <x:v>0.05</x:v>
      </x:c>
      <x:c r="G453" s="60" t="n">
        <x:v>0.03</x:v>
      </x:c>
      <x:c r="H453" s="23" t="n">
        <x:f>IF(D453=F453,0,1)+IF(E453=G453,0,1)</x:f>
        <x:v>0</x:v>
      </x:c>
      <x:c r="I453" s="23" t="str">
        <x:v>Timing T20 / fictional rates</x:v>
      </x:c>
    </x:row>
    <x:row r="454" ht="21" customHeight="1">
      <x:c r="A454" s="23" t="str">
        <x:v>level_flat</x:v>
      </x:c>
      <x:c r="B454" s="23" t="n">
        <x:v>15</x:v>
      </x:c>
      <x:c r="C454" s="37" t="n">
        <x:v>47757</x:v>
      </x:c>
      <x:c r="D454" s="55" t="n">
        <x:v>0.05</x:v>
      </x:c>
      <x:c r="E454" s="55" t="n">
        <x:v>0.03</x:v>
      </x:c>
      <x:c r="F454" s="60" t="n">
        <x:v>0.05</x:v>
      </x:c>
      <x:c r="G454" s="60" t="n">
        <x:v>0.03</x:v>
      </x:c>
      <x:c r="H454" s="23" t="n">
        <x:f>IF(D454=F454,0,1)+IF(E454=G454,0,1)</x:f>
        <x:v>0</x:v>
      </x:c>
      <x:c r="I454" s="23" t="str">
        <x:v>Timing T20 / fictional rates</x:v>
      </x:c>
    </x:row>
    <x:row r="455" ht="21" customHeight="1">
      <x:c r="A455" s="23" t="str">
        <x:v>level_flat</x:v>
      </x:c>
      <x:c r="B455" s="23" t="n">
        <x:v>16</x:v>
      </x:c>
      <x:c r="C455" s="37" t="n">
        <x:v>47849</x:v>
      </x:c>
      <x:c r="D455" s="55" t="n">
        <x:v>0.05</x:v>
      </x:c>
      <x:c r="E455" s="55" t="n">
        <x:v>0.03</x:v>
      </x:c>
      <x:c r="F455" s="60" t="n">
        <x:v>0.05</x:v>
      </x:c>
      <x:c r="G455" s="60" t="n">
        <x:v>0.03</x:v>
      </x:c>
      <x:c r="H455" s="23" t="n">
        <x:f>IF(D455=F455,0,1)+IF(E455=G455,0,1)</x:f>
        <x:v>0</x:v>
      </x:c>
      <x:c r="I455" s="23" t="str">
        <x:v>Timing T20 / fictional rates</x:v>
      </x:c>
    </x:row>
    <x:row r="456" ht="21" customHeight="1">
      <x:c r="A456" s="23" t="str">
        <x:v>level_flat</x:v>
      </x:c>
      <x:c r="B456" s="23" t="n">
        <x:v>17</x:v>
      </x:c>
      <x:c r="C456" s="37" t="n">
        <x:v>47939</x:v>
      </x:c>
      <x:c r="D456" s="55" t="n">
        <x:v>0.05</x:v>
      </x:c>
      <x:c r="E456" s="55" t="n">
        <x:v>0.03</x:v>
      </x:c>
      <x:c r="F456" s="60" t="n">
        <x:v>0.05</x:v>
      </x:c>
      <x:c r="G456" s="60" t="n">
        <x:v>0.03</x:v>
      </x:c>
      <x:c r="H456" s="23" t="n">
        <x:f>IF(D456=F456,0,1)+IF(E456=G456,0,1)</x:f>
        <x:v>0</x:v>
      </x:c>
      <x:c r="I456" s="23" t="str">
        <x:v>Timing T20 / fictional rates</x:v>
      </x:c>
    </x:row>
    <x:row r="457" ht="21" customHeight="1">
      <x:c r="A457" s="23" t="str">
        <x:v>level_flat</x:v>
      </x:c>
      <x:c r="B457" s="23" t="n">
        <x:v>18</x:v>
      </x:c>
      <x:c r="C457" s="37" t="n">
        <x:v>48030</x:v>
      </x:c>
      <x:c r="D457" s="55" t="n">
        <x:v>0.05</x:v>
      </x:c>
      <x:c r="E457" s="55" t="n">
        <x:v>0.03</x:v>
      </x:c>
      <x:c r="F457" s="60" t="n">
        <x:v>0.05</x:v>
      </x:c>
      <x:c r="G457" s="60" t="n">
        <x:v>0.03</x:v>
      </x:c>
      <x:c r="H457" s="23" t="n">
        <x:f>IF(D457=F457,0,1)+IF(E457=G457,0,1)</x:f>
        <x:v>0</x:v>
      </x:c>
      <x:c r="I457" s="23" t="str">
        <x:v>Timing T20 / fictional rates</x:v>
      </x:c>
    </x:row>
    <x:row r="458" ht="21" customHeight="1">
      <x:c r="A458" s="23" t="str">
        <x:v>level_flat</x:v>
      </x:c>
      <x:c r="B458" s="23" t="n">
        <x:v>19</x:v>
      </x:c>
      <x:c r="C458" s="37" t="n">
        <x:v>48122</x:v>
      </x:c>
      <x:c r="D458" s="55" t="n">
        <x:v>0.05</x:v>
      </x:c>
      <x:c r="E458" s="55" t="n">
        <x:v>0.03</x:v>
      </x:c>
      <x:c r="F458" s="60" t="n">
        <x:v>0.05</x:v>
      </x:c>
      <x:c r="G458" s="60" t="n">
        <x:v>0.03</x:v>
      </x:c>
      <x:c r="H458" s="23" t="n">
        <x:f>IF(D458=F458,0,1)+IF(E458=G458,0,1)</x:f>
        <x:v>0</x:v>
      </x:c>
      <x:c r="I458" s="23" t="str">
        <x:v>Timing T20 / fictional rates</x:v>
      </x:c>
    </x:row>
    <x:row r="459" ht="21" customHeight="1">
      <x:c r="A459" s="23" t="str">
        <x:v>level_flat</x:v>
      </x:c>
      <x:c r="B459" s="23" t="n">
        <x:v>20</x:v>
      </x:c>
      <x:c r="C459" s="37" t="n">
        <x:v>48214</x:v>
      </x:c>
      <x:c r="D459" s="55" t="n">
        <x:v>0.05</x:v>
      </x:c>
      <x:c r="E459" s="55" t="n">
        <x:v>0.03</x:v>
      </x:c>
      <x:c r="F459" s="60" t="n">
        <x:v>0.05</x:v>
      </x:c>
      <x:c r="G459" s="60" t="n">
        <x:v>0.03</x:v>
      </x:c>
      <x:c r="H459" s="23" t="n">
        <x:f>IF(D459=F459,0,1)+IF(E459=G459,0,1)</x:f>
        <x:v>0</x:v>
      </x:c>
      <x:c r="I459" s="23" t="str">
        <x:v>Timing T20 / fictional rates</x:v>
      </x:c>
    </x:row>
    <x:row r="460" ht="21" customHeight="1">
      <x:c r="A460" s="23" t="str">
        <x:v>level_flat</x:v>
      </x:c>
      <x:c r="B460" s="23" t="n">
        <x:v>21</x:v>
      </x:c>
      <x:c r="C460" s="37" t="n">
        <x:v>48305</x:v>
      </x:c>
      <x:c r="D460" s="55" t="n">
        <x:v>0</x:v>
      </x:c>
      <x:c r="E460" s="55" t="n">
        <x:v>0.03</x:v>
      </x:c>
      <x:c r="F460" s="60" t="n">
        <x:v>0</x:v>
      </x:c>
      <x:c r="G460" s="60" t="n">
        <x:v>0.03</x:v>
      </x:c>
      <x:c r="H460" s="23" t="n">
        <x:f>IF(D460=F460,0,1)+IF(E460=G460,0,1)</x:f>
        <x:v>0</x:v>
      </x:c>
      <x:c r="I460" s="23" t="str">
        <x:v>Timing T20 / fictional rates</x:v>
      </x:c>
    </x:row>
    <x:row r="461" ht="21" customHeight="1">
      <x:c r="A461" s="23" t="str">
        <x:v>level_flat</x:v>
      </x:c>
      <x:c r="B461" s="23" t="n">
        <x:v>22</x:v>
      </x:c>
      <x:c r="C461" s="37" t="n">
        <x:v>48396</x:v>
      </x:c>
      <x:c r="D461" s="55" t="n">
        <x:v>0</x:v>
      </x:c>
      <x:c r="E461" s="55" t="n">
        <x:v>0.03</x:v>
      </x:c>
      <x:c r="F461" s="60" t="n">
        <x:v>0</x:v>
      </x:c>
      <x:c r="G461" s="60" t="n">
        <x:v>0.03</x:v>
      </x:c>
      <x:c r="H461" s="23" t="n">
        <x:f>IF(D461=F461,0,1)+IF(E461=G461,0,1)</x:f>
        <x:v>0</x:v>
      </x:c>
      <x:c r="I461" s="23" t="str">
        <x:v>Timing T20 / fictional rates</x:v>
      </x:c>
    </x:row>
    <x:row r="462" ht="21" customHeight="1">
      <x:c r="A462" s="23" t="str">
        <x:v>level_flat</x:v>
      </x:c>
      <x:c r="B462" s="23" t="n">
        <x:v>23</x:v>
      </x:c>
      <x:c r="C462" s="37" t="n">
        <x:v>48488</x:v>
      </x:c>
      <x:c r="D462" s="55" t="n">
        <x:v>0</x:v>
      </x:c>
      <x:c r="E462" s="55" t="n">
        <x:v>0.03</x:v>
      </x:c>
      <x:c r="F462" s="60" t="n">
        <x:v>0</x:v>
      </x:c>
      <x:c r="G462" s="60" t="n">
        <x:v>0.03</x:v>
      </x:c>
      <x:c r="H462" s="23" t="n">
        <x:f>IF(D462=F462,0,1)+IF(E462=G462,0,1)</x:f>
        <x:v>0</x:v>
      </x:c>
      <x:c r="I462" s="23" t="str">
        <x:v>Timing T20 / fictional rates</x:v>
      </x:c>
    </x:row>
    <x:row r="463" ht="21" customHeight="1">
      <x:c r="A463" s="23" t="str">
        <x:v>level_flat</x:v>
      </x:c>
      <x:c r="B463" s="23" t="n">
        <x:v>24</x:v>
      </x:c>
      <x:c r="C463" s="37" t="n">
        <x:v>48580</x:v>
      </x:c>
      <x:c r="D463" s="55" t="n">
        <x:v>0</x:v>
      </x:c>
      <x:c r="E463" s="55" t="n">
        <x:v>0.03</x:v>
      </x:c>
      <x:c r="F463" s="60" t="n">
        <x:v>0</x:v>
      </x:c>
      <x:c r="G463" s="60" t="n">
        <x:v>0.03</x:v>
      </x:c>
      <x:c r="H463" s="23" t="n">
        <x:f>IF(D463=F463,0,1)+IF(E463=G463,0,1)</x:f>
        <x:v>0</x:v>
      </x:c>
      <x:c r="I463" s="23" t="str">
        <x:v>Timing T20 / fictional rates</x:v>
      </x:c>
    </x:row>
    <x:row r="464" ht="21" customHeight="1">
      <x:c r="A464" s="23" t="str">
        <x:v>level_flat</x:v>
      </x:c>
      <x:c r="B464" s="23" t="n">
        <x:v>25</x:v>
      </x:c>
      <x:c r="C464" s="37" t="n">
        <x:v>48670</x:v>
      </x:c>
      <x:c r="D464" s="55" t="n">
        <x:v>0</x:v>
      </x:c>
      <x:c r="E464" s="55" t="n">
        <x:v>0.03</x:v>
      </x:c>
      <x:c r="F464" s="60" t="n">
        <x:v>0</x:v>
      </x:c>
      <x:c r="G464" s="60" t="n">
        <x:v>0.03</x:v>
      </x:c>
      <x:c r="H464" s="23" t="n">
        <x:f>IF(D464=F464,0,1)+IF(E464=G464,0,1)</x:f>
        <x:v>0</x:v>
      </x:c>
      <x:c r="I464" s="23" t="str">
        <x:v>Timing T20 / fictional rates</x:v>
      </x:c>
    </x:row>
    <x:row r="465" ht="21" customHeight="1">
      <x:c r="A465" s="23" t="str">
        <x:v>level_flat</x:v>
      </x:c>
      <x:c r="B465" s="23" t="n">
        <x:v>26</x:v>
      </x:c>
      <x:c r="C465" s="37" t="n">
        <x:v>48761</x:v>
      </x:c>
      <x:c r="D465" s="55" t="n">
        <x:v>0</x:v>
      </x:c>
      <x:c r="E465" s="55" t="n">
        <x:v>0.03</x:v>
      </x:c>
      <x:c r="F465" s="60" t="n">
        <x:v>0</x:v>
      </x:c>
      <x:c r="G465" s="60" t="n">
        <x:v>0.03</x:v>
      </x:c>
      <x:c r="H465" s="23" t="n">
        <x:f>IF(D465=F465,0,1)+IF(E465=G465,0,1)</x:f>
        <x:v>0</x:v>
      </x:c>
      <x:c r="I465" s="23" t="str">
        <x:v>Timing T20 / fictional rates</x:v>
      </x:c>
    </x:row>
    <x:row r="466" ht="21" customHeight="1">
      <x:c r="A466" s="23" t="str">
        <x:v>level_flat</x:v>
      </x:c>
      <x:c r="B466" s="23" t="n">
        <x:v>27</x:v>
      </x:c>
      <x:c r="C466" s="37" t="n">
        <x:v>48853</x:v>
      </x:c>
      <x:c r="D466" s="55" t="n">
        <x:v>0</x:v>
      </x:c>
      <x:c r="E466" s="55" t="n">
        <x:v>0.03</x:v>
      </x:c>
      <x:c r="F466" s="60" t="n">
        <x:v>0</x:v>
      </x:c>
      <x:c r="G466" s="60" t="n">
        <x:v>0.03</x:v>
      </x:c>
      <x:c r="H466" s="23" t="n">
        <x:f>IF(D466=F466,0,1)+IF(E466=G466,0,1)</x:f>
        <x:v>0</x:v>
      </x:c>
      <x:c r="I466" s="23" t="str">
        <x:v>Timing T20 / fictional rates</x:v>
      </x:c>
    </x:row>
    <x:row r="467" ht="21" customHeight="1">
      <x:c r="A467" s="23" t="str">
        <x:v>level_flat</x:v>
      </x:c>
      <x:c r="B467" s="23" t="n">
        <x:v>28</x:v>
      </x:c>
      <x:c r="C467" s="37" t="n">
        <x:v>48945</x:v>
      </x:c>
      <x:c r="D467" s="55" t="n">
        <x:v>0</x:v>
      </x:c>
      <x:c r="E467" s="55" t="n">
        <x:v>0.03</x:v>
      </x:c>
      <x:c r="F467" s="60" t="n">
        <x:v>0</x:v>
      </x:c>
      <x:c r="G467" s="60" t="n">
        <x:v>0.03</x:v>
      </x:c>
      <x:c r="H467" s="23" t="n">
        <x:f>IF(D467=F467,0,1)+IF(E467=G467,0,1)</x:f>
        <x:v>0</x:v>
      </x:c>
      <x:c r="I467" s="23" t="str">
        <x:v>Timing T20 / fictional rates</x:v>
      </x:c>
    </x:row>
    <x:row r="468" ht="21" customHeight="1">
      <x:c r="A468" s="23" t="str">
        <x:v>level_flat</x:v>
      </x:c>
      <x:c r="B468" s="23" t="n">
        <x:v>29</x:v>
      </x:c>
      <x:c r="C468" s="37" t="n">
        <x:v>49035</x:v>
      </x:c>
      <x:c r="D468" s="55" t="n">
        <x:v>0</x:v>
      </x:c>
      <x:c r="E468" s="55" t="n">
        <x:v>0.03</x:v>
      </x:c>
      <x:c r="F468" s="60" t="n">
        <x:v>0</x:v>
      </x:c>
      <x:c r="G468" s="60" t="n">
        <x:v>0.03</x:v>
      </x:c>
      <x:c r="H468" s="23" t="n">
        <x:f>IF(D468=F468,0,1)+IF(E468=G468,0,1)</x:f>
        <x:v>0</x:v>
      </x:c>
      <x:c r="I468" s="23" t="str">
        <x:v>Timing T20 / fictional rates</x:v>
      </x:c>
    </x:row>
    <x:row r="469" ht="21" customHeight="1">
      <x:c r="A469" s="23" t="str">
        <x:v>level_flat</x:v>
      </x:c>
      <x:c r="B469" s="23" t="n">
        <x:v>30</x:v>
      </x:c>
      <x:c r="C469" s="37" t="n">
        <x:v>49126</x:v>
      </x:c>
      <x:c r="D469" s="55" t="n">
        <x:v>0</x:v>
      </x:c>
      <x:c r="E469" s="55" t="n">
        <x:v>0.03</x:v>
      </x:c>
      <x:c r="F469" s="60" t="n">
        <x:v>0</x:v>
      </x:c>
      <x:c r="G469" s="60" t="n">
        <x:v>0.03</x:v>
      </x:c>
      <x:c r="H469" s="23" t="n">
        <x:f>IF(D469=F469,0,1)+IF(E469=G469,0,1)</x:f>
        <x:v>0</x:v>
      </x:c>
      <x:c r="I469" s="23" t="str">
        <x:v>Timing T20 / fictional rates</x:v>
      </x:c>
    </x:row>
    <x:row r="470" ht="21" customHeight="1">
      <x:c r="A470" s="23" t="str">
        <x:v>level_flat</x:v>
      </x:c>
      <x:c r="B470" s="23" t="n">
        <x:v>31</x:v>
      </x:c>
      <x:c r="C470" s="37" t="n">
        <x:v>49218</x:v>
      </x:c>
      <x:c r="D470" s="55" t="n">
        <x:v>0</x:v>
      </x:c>
      <x:c r="E470" s="55" t="n">
        <x:v>0.03</x:v>
      </x:c>
      <x:c r="F470" s="60" t="n">
        <x:v>0</x:v>
      </x:c>
      <x:c r="G470" s="60" t="n">
        <x:v>0.03</x:v>
      </x:c>
      <x:c r="H470" s="23" t="n">
        <x:f>IF(D470=F470,0,1)+IF(E470=G470,0,1)</x:f>
        <x:v>0</x:v>
      </x:c>
      <x:c r="I470" s="23" t="str">
        <x:v>Timing T20 / fictional rates</x:v>
      </x:c>
    </x:row>
    <x:row r="471" ht="21" customHeight="1">
      <x:c r="A471" s="23" t="str">
        <x:v>level_flat</x:v>
      </x:c>
      <x:c r="B471" s="23" t="n">
        <x:v>32</x:v>
      </x:c>
      <x:c r="C471" s="37" t="n">
        <x:v>49310</x:v>
      </x:c>
      <x:c r="D471" s="55" t="n">
        <x:v>0</x:v>
      </x:c>
      <x:c r="E471" s="55" t="n">
        <x:v>0.03</x:v>
      </x:c>
      <x:c r="F471" s="60" t="n">
        <x:v>0</x:v>
      </x:c>
      <x:c r="G471" s="60" t="n">
        <x:v>0.03</x:v>
      </x:c>
      <x:c r="H471" s="23" t="n">
        <x:f>IF(D471=F471,0,1)+IF(E471=G471,0,1)</x:f>
        <x:v>0</x:v>
      </x:c>
      <x:c r="I471" s="23" t="str">
        <x:v>Timing T20 / fictional rates</x:v>
      </x:c>
    </x:row>
    <x:row r="472" ht="21" customHeight="1">
      <x:c r="A472" s="23" t="str">
        <x:v>level_flat</x:v>
      </x:c>
      <x:c r="B472" s="23" t="n">
        <x:v>33</x:v>
      </x:c>
      <x:c r="C472" s="37" t="n">
        <x:v>49400</x:v>
      </x:c>
      <x:c r="D472" s="55" t="n">
        <x:v>0</x:v>
      </x:c>
      <x:c r="E472" s="55" t="n">
        <x:v>0.03</x:v>
      </x:c>
      <x:c r="F472" s="60" t="n">
        <x:v>0</x:v>
      </x:c>
      <x:c r="G472" s="60" t="n">
        <x:v>0.03</x:v>
      </x:c>
      <x:c r="H472" s="23" t="n">
        <x:f>IF(D472=F472,0,1)+IF(E472=G472,0,1)</x:f>
        <x:v>0</x:v>
      </x:c>
      <x:c r="I472" s="23" t="str">
        <x:v>Timing T20 / fictional rates</x:v>
      </x:c>
    </x:row>
    <x:row r="473" ht="21" customHeight="1">
      <x:c r="A473" s="23" t="str">
        <x:v>level_flat</x:v>
      </x:c>
      <x:c r="B473" s="23" t="n">
        <x:v>34</x:v>
      </x:c>
      <x:c r="C473" s="37" t="n">
        <x:v>49491</x:v>
      </x:c>
      <x:c r="D473" s="55" t="n">
        <x:v>0</x:v>
      </x:c>
      <x:c r="E473" s="55" t="n">
        <x:v>0.03</x:v>
      </x:c>
      <x:c r="F473" s="60" t="n">
        <x:v>0</x:v>
      </x:c>
      <x:c r="G473" s="60" t="n">
        <x:v>0.03</x:v>
      </x:c>
      <x:c r="H473" s="23" t="n">
        <x:f>IF(D473=F473,0,1)+IF(E473=G473,0,1)</x:f>
        <x:v>0</x:v>
      </x:c>
      <x:c r="I473" s="23" t="str">
        <x:v>Timing T20 / fictional rates</x:v>
      </x:c>
    </x:row>
    <x:row r="474" ht="21" customHeight="1">
      <x:c r="A474" s="23" t="str">
        <x:v>level_flat</x:v>
      </x:c>
      <x:c r="B474" s="23" t="n">
        <x:v>35</x:v>
      </x:c>
      <x:c r="C474" s="37" t="n">
        <x:v>49583</x:v>
      </x:c>
      <x:c r="D474" s="55" t="n">
        <x:v>0</x:v>
      </x:c>
      <x:c r="E474" s="55" t="n">
        <x:v>0.03</x:v>
      </x:c>
      <x:c r="F474" s="60" t="n">
        <x:v>0</x:v>
      </x:c>
      <x:c r="G474" s="60" t="n">
        <x:v>0.03</x:v>
      </x:c>
      <x:c r="H474" s="23" t="n">
        <x:f>IF(D474=F474,0,1)+IF(E474=G474,0,1)</x:f>
        <x:v>0</x:v>
      </x:c>
      <x:c r="I474" s="23" t="str">
        <x:v>Timing T20 / fictional rates</x:v>
      </x:c>
    </x:row>
    <x:row r="475" ht="21" customHeight="1">
      <x:c r="A475" s="23" t="str">
        <x:v>level_flat</x:v>
      </x:c>
      <x:c r="B475" s="23" t="n">
        <x:v>36</x:v>
      </x:c>
      <x:c r="C475" s="37" t="n">
        <x:v>49675</x:v>
      </x:c>
      <x:c r="D475" s="55" t="n">
        <x:v>0</x:v>
      </x:c>
      <x:c r="E475" s="55" t="n">
        <x:v>0.03</x:v>
      </x:c>
      <x:c r="F475" s="60" t="n">
        <x:v>0</x:v>
      </x:c>
      <x:c r="G475" s="60" t="n">
        <x:v>0.03</x:v>
      </x:c>
      <x:c r="H475" s="23" t="n">
        <x:f>IF(D475=F475,0,1)+IF(E475=G475,0,1)</x:f>
        <x:v>0</x:v>
      </x:c>
      <x:c r="I475" s="23" t="str">
        <x:v>Timing T20 / fictional rates</x:v>
      </x:c>
    </x:row>
    <x:row r="476" ht="21" customHeight="1">
      <x:c r="A476" s="23" t="str">
        <x:v>level_flat</x:v>
      </x:c>
      <x:c r="B476" s="23" t="n">
        <x:v>37</x:v>
      </x:c>
      <x:c r="C476" s="37" t="n">
        <x:v>49766</x:v>
      </x:c>
      <x:c r="D476" s="55" t="n">
        <x:v>0</x:v>
      </x:c>
      <x:c r="E476" s="55" t="n">
        <x:v>0.03</x:v>
      </x:c>
      <x:c r="F476" s="60" t="n">
        <x:v>0</x:v>
      </x:c>
      <x:c r="G476" s="60" t="n">
        <x:v>0.03</x:v>
      </x:c>
      <x:c r="H476" s="23" t="n">
        <x:f>IF(D476=F476,0,1)+IF(E476=G476,0,1)</x:f>
        <x:v>0</x:v>
      </x:c>
      <x:c r="I476" s="23" t="str">
        <x:v>Timing T20 / fictional rates</x:v>
      </x:c>
    </x:row>
    <x:row r="477" ht="21" customHeight="1">
      <x:c r="A477" s="23" t="str">
        <x:v>level_flat</x:v>
      </x:c>
      <x:c r="B477" s="23" t="n">
        <x:v>38</x:v>
      </x:c>
      <x:c r="C477" s="37" t="n">
        <x:v>49857</x:v>
      </x:c>
      <x:c r="D477" s="55" t="n">
        <x:v>0</x:v>
      </x:c>
      <x:c r="E477" s="55" t="n">
        <x:v>0.03</x:v>
      </x:c>
      <x:c r="F477" s="60" t="n">
        <x:v>0</x:v>
      </x:c>
      <x:c r="G477" s="60" t="n">
        <x:v>0.03</x:v>
      </x:c>
      <x:c r="H477" s="23" t="n">
        <x:f>IF(D477=F477,0,1)+IF(E477=G477,0,1)</x:f>
        <x:v>0</x:v>
      </x:c>
      <x:c r="I477" s="23" t="str">
        <x:v>Timing T20 / fictional rates</x:v>
      </x:c>
    </x:row>
    <x:row r="478" ht="21" customHeight="1">
      <x:c r="A478" s="23" t="str">
        <x:v>level_flat</x:v>
      </x:c>
      <x:c r="B478" s="23" t="n">
        <x:v>39</x:v>
      </x:c>
      <x:c r="C478" s="37" t="n">
        <x:v>49949</x:v>
      </x:c>
      <x:c r="D478" s="55" t="n">
        <x:v>0</x:v>
      </x:c>
      <x:c r="E478" s="55" t="n">
        <x:v>0.03</x:v>
      </x:c>
      <x:c r="F478" s="60" t="n">
        <x:v>0</x:v>
      </x:c>
      <x:c r="G478" s="60" t="n">
        <x:v>0.03</x:v>
      </x:c>
      <x:c r="H478" s="23" t="n">
        <x:f>IF(D478=F478,0,1)+IF(E478=G478,0,1)</x:f>
        <x:v>0</x:v>
      </x:c>
      <x:c r="I478" s="23" t="str">
        <x:v>Timing T20 / fictional rates</x:v>
      </x:c>
    </x:row>
    <x:row r="479" ht="21" customHeight="1">
      <x:c r="A479" s="23" t="str">
        <x:v>level_flat</x:v>
      </x:c>
      <x:c r="B479" s="23" t="n">
        <x:v>40</x:v>
      </x:c>
      <x:c r="C479" s="37" t="n">
        <x:v>50041</x:v>
      </x:c>
      <x:c r="D479" s="55" t="n">
        <x:v>0</x:v>
      </x:c>
      <x:c r="E479" s="55" t="n">
        <x:v>0.03</x:v>
      </x:c>
      <x:c r="F479" s="60" t="n">
        <x:v>0</x:v>
      </x:c>
      <x:c r="G479" s="60" t="n">
        <x:v>0.03</x:v>
      </x:c>
      <x:c r="H479" s="23" t="n">
        <x:f>IF(D479=F479,0,1)+IF(E479=G479,0,1)</x:f>
        <x:v>0</x:v>
      </x:c>
      <x:c r="I479" s="23" t="str">
        <x:v>Timing T20 / fictional rates</x:v>
      </x:c>
    </x:row>
    <x:row r="480" ht="21" customHeight="1">
      <x:c r="A480" s="23" t="str">
        <x:v>level_flat</x:v>
      </x:c>
      <x:c r="B480" s="23" t="n">
        <x:v>41</x:v>
      </x:c>
      <x:c r="C480" s="37" t="n">
        <x:v>50131</x:v>
      </x:c>
      <x:c r="D480" s="55" t="n">
        <x:v>0</x:v>
      </x:c>
      <x:c r="E480" s="55" t="n">
        <x:v>0.03</x:v>
      </x:c>
      <x:c r="F480" s="60" t="n">
        <x:v>0</x:v>
      </x:c>
      <x:c r="G480" s="60" t="n">
        <x:v>0.03</x:v>
      </x:c>
      <x:c r="H480" s="23" t="n">
        <x:f>IF(D480=F480,0,1)+IF(E480=G480,0,1)</x:f>
        <x:v>0</x:v>
      </x:c>
      <x:c r="I480" s="23" t="str">
        <x:v>Timing T20 / fictional rates</x:v>
      </x:c>
    </x:row>
    <x:row r="481" ht="21" customHeight="1">
      <x:c r="A481" s="23" t="str">
        <x:v>level_flat</x:v>
      </x:c>
      <x:c r="B481" s="23" t="n">
        <x:v>42</x:v>
      </x:c>
      <x:c r="C481" s="37" t="n">
        <x:v>50222</x:v>
      </x:c>
      <x:c r="D481" s="55" t="n">
        <x:v>0</x:v>
      </x:c>
      <x:c r="E481" s="55" t="n">
        <x:v>0.03</x:v>
      </x:c>
      <x:c r="F481" s="60" t="n">
        <x:v>0</x:v>
      </x:c>
      <x:c r="G481" s="60" t="n">
        <x:v>0.03</x:v>
      </x:c>
      <x:c r="H481" s="23" t="n">
        <x:f>IF(D481=F481,0,1)+IF(E481=G481,0,1)</x:f>
        <x:v>0</x:v>
      </x:c>
      <x:c r="I481" s="23" t="str">
        <x:v>Timing T20 / fictional rates</x:v>
      </x:c>
    </x:row>
    <x:row r="482" ht="21" customHeight="1">
      <x:c r="A482" s="23" t="str">
        <x:v>level_flat</x:v>
      </x:c>
      <x:c r="B482" s="23" t="n">
        <x:v>43</x:v>
      </x:c>
      <x:c r="C482" s="37" t="n">
        <x:v>50314</x:v>
      </x:c>
      <x:c r="D482" s="55" t="n">
        <x:v>0</x:v>
      </x:c>
      <x:c r="E482" s="55" t="n">
        <x:v>0.03</x:v>
      </x:c>
      <x:c r="F482" s="60" t="n">
        <x:v>0</x:v>
      </x:c>
      <x:c r="G482" s="60" t="n">
        <x:v>0.03</x:v>
      </x:c>
      <x:c r="H482" s="23" t="n">
        <x:f>IF(D482=F482,0,1)+IF(E482=G482,0,1)</x:f>
        <x:v>0</x:v>
      </x:c>
      <x:c r="I482" s="23" t="str">
        <x:v>Timing T20 / fictional rates</x:v>
      </x:c>
    </x:row>
    <x:row r="483" ht="21" customHeight="1">
      <x:c r="A483" s="23" t="str">
        <x:v>level_flat</x:v>
      </x:c>
      <x:c r="B483" s="23" t="n">
        <x:v>44</x:v>
      </x:c>
      <x:c r="C483" s="37" t="n">
        <x:v>50406</x:v>
      </x:c>
      <x:c r="D483" s="55" t="n">
        <x:v>0</x:v>
      </x:c>
      <x:c r="E483" s="55" t="n">
        <x:v>0.03</x:v>
      </x:c>
      <x:c r="F483" s="60" t="n">
        <x:v>0</x:v>
      </x:c>
      <x:c r="G483" s="60" t="n">
        <x:v>0.03</x:v>
      </x:c>
      <x:c r="H483" s="23" t="n">
        <x:f>IF(D483=F483,0,1)+IF(E483=G483,0,1)</x:f>
        <x:v>0</x:v>
      </x:c>
      <x:c r="I483" s="23" t="str">
        <x:v>Timing T20 / fictional rates</x:v>
      </x:c>
    </x:row>
    <x:row r="484" ht="21" customHeight="1">
      <x:c r="A484" s="23" t="str">
        <x:v>level_flat</x:v>
      </x:c>
      <x:c r="B484" s="23" t="n">
        <x:v>45</x:v>
      </x:c>
      <x:c r="C484" s="37" t="n">
        <x:v>50496</x:v>
      </x:c>
      <x:c r="D484" s="55" t="n">
        <x:v>0</x:v>
      </x:c>
      <x:c r="E484" s="55" t="n">
        <x:v>0.03</x:v>
      </x:c>
      <x:c r="F484" s="60" t="n">
        <x:v>0</x:v>
      </x:c>
      <x:c r="G484" s="60" t="n">
        <x:v>0.03</x:v>
      </x:c>
      <x:c r="H484" s="23" t="n">
        <x:f>IF(D484=F484,0,1)+IF(E484=G484,0,1)</x:f>
        <x:v>0</x:v>
      </x:c>
      <x:c r="I484" s="23" t="str">
        <x:v>Timing T20 / fictional rates</x:v>
      </x:c>
    </x:row>
    <x:row r="485" ht="21" customHeight="1">
      <x:c r="A485" s="23" t="str">
        <x:v>level_flat</x:v>
      </x:c>
      <x:c r="B485" s="23" t="n">
        <x:v>46</x:v>
      </x:c>
      <x:c r="C485" s="37" t="n">
        <x:v>50587</x:v>
      </x:c>
      <x:c r="D485" s="55" t="n">
        <x:v>0</x:v>
      </x:c>
      <x:c r="E485" s="55" t="n">
        <x:v>0.03</x:v>
      </x:c>
      <x:c r="F485" s="60" t="n">
        <x:v>0</x:v>
      </x:c>
      <x:c r="G485" s="60" t="n">
        <x:v>0.03</x:v>
      </x:c>
      <x:c r="H485" s="23" t="n">
        <x:f>IF(D485=F485,0,1)+IF(E485=G485,0,1)</x:f>
        <x:v>0</x:v>
      </x:c>
      <x:c r="I485" s="23" t="str">
        <x:v>Timing T20 / fictional rates</x:v>
      </x:c>
    </x:row>
    <x:row r="486" ht="21" customHeight="1">
      <x:c r="A486" s="23" t="str">
        <x:v>level_flat</x:v>
      </x:c>
      <x:c r="B486" s="23" t="n">
        <x:v>47</x:v>
      </x:c>
      <x:c r="C486" s="37" t="n">
        <x:v>50679</x:v>
      </x:c>
      <x:c r="D486" s="55" t="n">
        <x:v>0</x:v>
      </x:c>
      <x:c r="E486" s="55" t="n">
        <x:v>0.03</x:v>
      </x:c>
      <x:c r="F486" s="60" t="n">
        <x:v>0</x:v>
      </x:c>
      <x:c r="G486" s="60" t="n">
        <x:v>0.03</x:v>
      </x:c>
      <x:c r="H486" s="23" t="n">
        <x:f>IF(D486=F486,0,1)+IF(E486=G486,0,1)</x:f>
        <x:v>0</x:v>
      </x:c>
      <x:c r="I486" s="23" t="str">
        <x:v>Timing T20 / fictional rates</x:v>
      </x:c>
    </x:row>
    <x:row r="487" ht="21" customHeight="1">
      <x:c r="A487" s="23" t="str">
        <x:v>level_flat</x:v>
      </x:c>
      <x:c r="B487" s="23" t="n">
        <x:v>48</x:v>
      </x:c>
      <x:c r="C487" s="37" t="n">
        <x:v>50771</x:v>
      </x:c>
      <x:c r="D487" s="55" t="n">
        <x:v>0</x:v>
      </x:c>
      <x:c r="E487" s="55" t="n">
        <x:v>0.03</x:v>
      </x:c>
      <x:c r="F487" s="60" t="n">
        <x:v>0</x:v>
      </x:c>
      <x:c r="G487" s="60" t="n">
        <x:v>0.03</x:v>
      </x:c>
      <x:c r="H487" s="23" t="n">
        <x:f>IF(D487=F487,0,1)+IF(E487=G487,0,1)</x:f>
        <x:v>0</x:v>
      </x:c>
      <x:c r="I487" s="23" t="str">
        <x:v>Timing T20 / fictional rates</x:v>
      </x:c>
    </x:row>
    <x:row r="488" ht="21" customHeight="1">
      <x:c r="A488" s="23" t="str">
        <x:v>level_low</x:v>
      </x:c>
      <x:c r="B488" s="23" t="n">
        <x:v>1</x:v>
      </x:c>
      <x:c r="C488" s="37" t="n">
        <x:v>46478</x:v>
      </x:c>
      <x:c r="D488" s="55" t="n">
        <x:v>0.05</x:v>
      </x:c>
      <x:c r="E488" s="55" t="n">
        <x:v>0.005</x:v>
      </x:c>
      <x:c r="F488" s="60" t="n">
        <x:v>0.05</x:v>
      </x:c>
      <x:c r="G488" s="60" t="n">
        <x:v>0.005</x:v>
      </x:c>
      <x:c r="H488" s="23" t="n">
        <x:f>IF(D488=F488,0,1)+IF(E488=G488,0,1)</x:f>
        <x:v>0</x:v>
      </x:c>
      <x:c r="I488" s="23" t="str">
        <x:v>Timing T20 / fictional rates</x:v>
      </x:c>
    </x:row>
    <x:row r="489" ht="21" customHeight="1">
      <x:c r="A489" s="23" t="str">
        <x:v>level_low</x:v>
      </x:c>
      <x:c r="B489" s="23" t="n">
        <x:v>2</x:v>
      </x:c>
      <x:c r="C489" s="37" t="n">
        <x:v>46569</x:v>
      </x:c>
      <x:c r="D489" s="55" t="n">
        <x:v>0.05</x:v>
      </x:c>
      <x:c r="E489" s="55" t="n">
        <x:v>0.005</x:v>
      </x:c>
      <x:c r="F489" s="60" t="n">
        <x:v>0.05</x:v>
      </x:c>
      <x:c r="G489" s="60" t="n">
        <x:v>0.005</x:v>
      </x:c>
      <x:c r="H489" s="23" t="n">
        <x:f>IF(D489=F489,0,1)+IF(E489=G489,0,1)</x:f>
        <x:v>0</x:v>
      </x:c>
      <x:c r="I489" s="23" t="str">
        <x:v>Timing T20 / fictional rates</x:v>
      </x:c>
    </x:row>
    <x:row r="490" ht="21" customHeight="1">
      <x:c r="A490" s="23" t="str">
        <x:v>level_low</x:v>
      </x:c>
      <x:c r="B490" s="23" t="n">
        <x:v>3</x:v>
      </x:c>
      <x:c r="C490" s="37" t="n">
        <x:v>46661</x:v>
      </x:c>
      <x:c r="D490" s="55" t="n">
        <x:v>0.05</x:v>
      </x:c>
      <x:c r="E490" s="55" t="n">
        <x:v>0.005</x:v>
      </x:c>
      <x:c r="F490" s="60" t="n">
        <x:v>0.05</x:v>
      </x:c>
      <x:c r="G490" s="60" t="n">
        <x:v>0.005</x:v>
      </x:c>
      <x:c r="H490" s="23" t="n">
        <x:f>IF(D490=F490,0,1)+IF(E490=G490,0,1)</x:f>
        <x:v>0</x:v>
      </x:c>
      <x:c r="I490" s="23" t="str">
        <x:v>Timing T20 / fictional rates</x:v>
      </x:c>
    </x:row>
    <x:row r="491" ht="21" customHeight="1">
      <x:c r="A491" s="23" t="str">
        <x:v>level_low</x:v>
      </x:c>
      <x:c r="B491" s="23" t="n">
        <x:v>4</x:v>
      </x:c>
      <x:c r="C491" s="37" t="n">
        <x:v>46753</x:v>
      </x:c>
      <x:c r="D491" s="55" t="n">
        <x:v>0.05</x:v>
      </x:c>
      <x:c r="E491" s="55" t="n">
        <x:v>0.005</x:v>
      </x:c>
      <x:c r="F491" s="60" t="n">
        <x:v>0.05</x:v>
      </x:c>
      <x:c r="G491" s="60" t="n">
        <x:v>0.005</x:v>
      </x:c>
      <x:c r="H491" s="23" t="n">
        <x:f>IF(D491=F491,0,1)+IF(E491=G491,0,1)</x:f>
        <x:v>0</x:v>
      </x:c>
      <x:c r="I491" s="23" t="str">
        <x:v>Timing T20 / fictional rates</x:v>
      </x:c>
    </x:row>
    <x:row r="492" ht="21" customHeight="1">
      <x:c r="A492" s="23" t="str">
        <x:v>level_low</x:v>
      </x:c>
      <x:c r="B492" s="23" t="n">
        <x:v>5</x:v>
      </x:c>
      <x:c r="C492" s="37" t="n">
        <x:v>46844</x:v>
      </x:c>
      <x:c r="D492" s="55" t="n">
        <x:v>0.05</x:v>
      </x:c>
      <x:c r="E492" s="55" t="n">
        <x:v>0.005</x:v>
      </x:c>
      <x:c r="F492" s="60" t="n">
        <x:v>0.05</x:v>
      </x:c>
      <x:c r="G492" s="60" t="n">
        <x:v>0.005</x:v>
      </x:c>
      <x:c r="H492" s="23" t="n">
        <x:f>IF(D492=F492,0,1)+IF(E492=G492,0,1)</x:f>
        <x:v>0</x:v>
      </x:c>
      <x:c r="I492" s="23" t="str">
        <x:v>Timing T20 / fictional rates</x:v>
      </x:c>
    </x:row>
    <x:row r="493" ht="21" customHeight="1">
      <x:c r="A493" s="23" t="str">
        <x:v>level_low</x:v>
      </x:c>
      <x:c r="B493" s="23" t="n">
        <x:v>6</x:v>
      </x:c>
      <x:c r="C493" s="37" t="n">
        <x:v>46935</x:v>
      </x:c>
      <x:c r="D493" s="55" t="n">
        <x:v>0.05</x:v>
      </x:c>
      <x:c r="E493" s="55" t="n">
        <x:v>0.005</x:v>
      </x:c>
      <x:c r="F493" s="60" t="n">
        <x:v>0.05</x:v>
      </x:c>
      <x:c r="G493" s="60" t="n">
        <x:v>0.005</x:v>
      </x:c>
      <x:c r="H493" s="23" t="n">
        <x:f>IF(D493=F493,0,1)+IF(E493=G493,0,1)</x:f>
        <x:v>0</x:v>
      </x:c>
      <x:c r="I493" s="23" t="str">
        <x:v>Timing T20 / fictional rates</x:v>
      </x:c>
    </x:row>
    <x:row r="494" ht="21" customHeight="1">
      <x:c r="A494" s="23" t="str">
        <x:v>level_low</x:v>
      </x:c>
      <x:c r="B494" s="23" t="n">
        <x:v>7</x:v>
      </x:c>
      <x:c r="C494" s="37" t="n">
        <x:v>47027</x:v>
      </x:c>
      <x:c r="D494" s="55" t="n">
        <x:v>0.05</x:v>
      </x:c>
      <x:c r="E494" s="55" t="n">
        <x:v>0.005</x:v>
      </x:c>
      <x:c r="F494" s="60" t="n">
        <x:v>0.05</x:v>
      </x:c>
      <x:c r="G494" s="60" t="n">
        <x:v>0.005</x:v>
      </x:c>
      <x:c r="H494" s="23" t="n">
        <x:f>IF(D494=F494,0,1)+IF(E494=G494,0,1)</x:f>
        <x:v>0</x:v>
      </x:c>
      <x:c r="I494" s="23" t="str">
        <x:v>Timing T20 / fictional rates</x:v>
      </x:c>
    </x:row>
    <x:row r="495" ht="21" customHeight="1">
      <x:c r="A495" s="23" t="str">
        <x:v>level_low</x:v>
      </x:c>
      <x:c r="B495" s="23" t="n">
        <x:v>8</x:v>
      </x:c>
      <x:c r="C495" s="37" t="n">
        <x:v>47119</x:v>
      </x:c>
      <x:c r="D495" s="55" t="n">
        <x:v>0.05</x:v>
      </x:c>
      <x:c r="E495" s="55" t="n">
        <x:v>0.005</x:v>
      </x:c>
      <x:c r="F495" s="60" t="n">
        <x:v>0.05</x:v>
      </x:c>
      <x:c r="G495" s="60" t="n">
        <x:v>0.005</x:v>
      </x:c>
      <x:c r="H495" s="23" t="n">
        <x:f>IF(D495=F495,0,1)+IF(E495=G495,0,1)</x:f>
        <x:v>0</x:v>
      </x:c>
      <x:c r="I495" s="23" t="str">
        <x:v>Timing T20 / fictional rates</x:v>
      </x:c>
    </x:row>
    <x:row r="496" ht="21" customHeight="1">
      <x:c r="A496" s="23" t="str">
        <x:v>level_low</x:v>
      </x:c>
      <x:c r="B496" s="23" t="n">
        <x:v>9</x:v>
      </x:c>
      <x:c r="C496" s="37" t="n">
        <x:v>47209</x:v>
      </x:c>
      <x:c r="D496" s="55" t="n">
        <x:v>0.05</x:v>
      </x:c>
      <x:c r="E496" s="55" t="n">
        <x:v>0.005</x:v>
      </x:c>
      <x:c r="F496" s="60" t="n">
        <x:v>0.05</x:v>
      </x:c>
      <x:c r="G496" s="60" t="n">
        <x:v>0.005</x:v>
      </x:c>
      <x:c r="H496" s="23" t="n">
        <x:f>IF(D496=F496,0,1)+IF(E496=G496,0,1)</x:f>
        <x:v>0</x:v>
      </x:c>
      <x:c r="I496" s="23" t="str">
        <x:v>Timing T20 / fictional rates</x:v>
      </x:c>
    </x:row>
    <x:row r="497" ht="21" customHeight="1">
      <x:c r="A497" s="23" t="str">
        <x:v>level_low</x:v>
      </x:c>
      <x:c r="B497" s="23" t="n">
        <x:v>10</x:v>
      </x:c>
      <x:c r="C497" s="37" t="n">
        <x:v>47300</x:v>
      </x:c>
      <x:c r="D497" s="55" t="n">
        <x:v>0.05</x:v>
      </x:c>
      <x:c r="E497" s="55" t="n">
        <x:v>0.005</x:v>
      </x:c>
      <x:c r="F497" s="60" t="n">
        <x:v>0.05</x:v>
      </x:c>
      <x:c r="G497" s="60" t="n">
        <x:v>0.005</x:v>
      </x:c>
      <x:c r="H497" s="23" t="n">
        <x:f>IF(D497=F497,0,1)+IF(E497=G497,0,1)</x:f>
        <x:v>0</x:v>
      </x:c>
      <x:c r="I497" s="23" t="str">
        <x:v>Timing T20 / fictional rates</x:v>
      </x:c>
    </x:row>
    <x:row r="498" ht="21" customHeight="1">
      <x:c r="A498" s="23" t="str">
        <x:v>level_low</x:v>
      </x:c>
      <x:c r="B498" s="23" t="n">
        <x:v>11</x:v>
      </x:c>
      <x:c r="C498" s="37" t="n">
        <x:v>47392</x:v>
      </x:c>
      <x:c r="D498" s="55" t="n">
        <x:v>0.05</x:v>
      </x:c>
      <x:c r="E498" s="55" t="n">
        <x:v>0.005</x:v>
      </x:c>
      <x:c r="F498" s="60" t="n">
        <x:v>0.05</x:v>
      </x:c>
      <x:c r="G498" s="60" t="n">
        <x:v>0.005</x:v>
      </x:c>
      <x:c r="H498" s="23" t="n">
        <x:f>IF(D498=F498,0,1)+IF(E498=G498,0,1)</x:f>
        <x:v>0</x:v>
      </x:c>
      <x:c r="I498" s="23" t="str">
        <x:v>Timing T20 / fictional rates</x:v>
      </x:c>
    </x:row>
    <x:row r="499" ht="21" customHeight="1">
      <x:c r="A499" s="23" t="str">
        <x:v>level_low</x:v>
      </x:c>
      <x:c r="B499" s="23" t="n">
        <x:v>12</x:v>
      </x:c>
      <x:c r="C499" s="37" t="n">
        <x:v>47484</x:v>
      </x:c>
      <x:c r="D499" s="55" t="n">
        <x:v>0.05</x:v>
      </x:c>
      <x:c r="E499" s="55" t="n">
        <x:v>0.005</x:v>
      </x:c>
      <x:c r="F499" s="60" t="n">
        <x:v>0.05</x:v>
      </x:c>
      <x:c r="G499" s="60" t="n">
        <x:v>0.005</x:v>
      </x:c>
      <x:c r="H499" s="23" t="n">
        <x:f>IF(D499=F499,0,1)+IF(E499=G499,0,1)</x:f>
        <x:v>0</x:v>
      </x:c>
      <x:c r="I499" s="23" t="str">
        <x:v>Timing T20 / fictional rates</x:v>
      </x:c>
    </x:row>
    <x:row r="500" ht="21" customHeight="1">
      <x:c r="A500" s="23" t="str">
        <x:v>level_low</x:v>
      </x:c>
      <x:c r="B500" s="23" t="n">
        <x:v>13</x:v>
      </x:c>
      <x:c r="C500" s="37" t="n">
        <x:v>47574</x:v>
      </x:c>
      <x:c r="D500" s="55" t="n">
        <x:v>0.05</x:v>
      </x:c>
      <x:c r="E500" s="55" t="n">
        <x:v>0.005</x:v>
      </x:c>
      <x:c r="F500" s="60" t="n">
        <x:v>0.05</x:v>
      </x:c>
      <x:c r="G500" s="60" t="n">
        <x:v>0.005</x:v>
      </x:c>
      <x:c r="H500" s="23" t="n">
        <x:f>IF(D500=F500,0,1)+IF(E500=G500,0,1)</x:f>
        <x:v>0</x:v>
      </x:c>
      <x:c r="I500" s="23" t="str">
        <x:v>Timing T20 / fictional rates</x:v>
      </x:c>
    </x:row>
    <x:row r="501" ht="21" customHeight="1">
      <x:c r="A501" s="23" t="str">
        <x:v>level_low</x:v>
      </x:c>
      <x:c r="B501" s="23" t="n">
        <x:v>14</x:v>
      </x:c>
      <x:c r="C501" s="37" t="n">
        <x:v>47665</x:v>
      </x:c>
      <x:c r="D501" s="55" t="n">
        <x:v>0.05</x:v>
      </x:c>
      <x:c r="E501" s="55" t="n">
        <x:v>0.005</x:v>
      </x:c>
      <x:c r="F501" s="60" t="n">
        <x:v>0.05</x:v>
      </x:c>
      <x:c r="G501" s="60" t="n">
        <x:v>0.005</x:v>
      </x:c>
      <x:c r="H501" s="23" t="n">
        <x:f>IF(D501=F501,0,1)+IF(E501=G501,0,1)</x:f>
        <x:v>0</x:v>
      </x:c>
      <x:c r="I501" s="23" t="str">
        <x:v>Timing T20 / fictional rates</x:v>
      </x:c>
    </x:row>
    <x:row r="502" ht="21" customHeight="1">
      <x:c r="A502" s="23" t="str">
        <x:v>level_low</x:v>
      </x:c>
      <x:c r="B502" s="23" t="n">
        <x:v>15</x:v>
      </x:c>
      <x:c r="C502" s="37" t="n">
        <x:v>47757</x:v>
      </x:c>
      <x:c r="D502" s="55" t="n">
        <x:v>0.05</x:v>
      </x:c>
      <x:c r="E502" s="55" t="n">
        <x:v>0.005</x:v>
      </x:c>
      <x:c r="F502" s="60" t="n">
        <x:v>0.05</x:v>
      </x:c>
      <x:c r="G502" s="60" t="n">
        <x:v>0.005</x:v>
      </x:c>
      <x:c r="H502" s="23" t="n">
        <x:f>IF(D502=F502,0,1)+IF(E502=G502,0,1)</x:f>
        <x:v>0</x:v>
      </x:c>
      <x:c r="I502" s="23" t="str">
        <x:v>Timing T20 / fictional rates</x:v>
      </x:c>
    </x:row>
    <x:row r="503" ht="21" customHeight="1">
      <x:c r="A503" s="23" t="str">
        <x:v>level_low</x:v>
      </x:c>
      <x:c r="B503" s="23" t="n">
        <x:v>16</x:v>
      </x:c>
      <x:c r="C503" s="37" t="n">
        <x:v>47849</x:v>
      </x:c>
      <x:c r="D503" s="55" t="n">
        <x:v>0.05</x:v>
      </x:c>
      <x:c r="E503" s="55" t="n">
        <x:v>0.005</x:v>
      </x:c>
      <x:c r="F503" s="60" t="n">
        <x:v>0.05</x:v>
      </x:c>
      <x:c r="G503" s="60" t="n">
        <x:v>0.005</x:v>
      </x:c>
      <x:c r="H503" s="23" t="n">
        <x:f>IF(D503=F503,0,1)+IF(E503=G503,0,1)</x:f>
        <x:v>0</x:v>
      </x:c>
      <x:c r="I503" s="23" t="str">
        <x:v>Timing T20 / fictional rates</x:v>
      </x:c>
    </x:row>
    <x:row r="504" ht="21" customHeight="1">
      <x:c r="A504" s="23" t="str">
        <x:v>level_low</x:v>
      </x:c>
      <x:c r="B504" s="23" t="n">
        <x:v>17</x:v>
      </x:c>
      <x:c r="C504" s="37" t="n">
        <x:v>47939</x:v>
      </x:c>
      <x:c r="D504" s="55" t="n">
        <x:v>0.05</x:v>
      </x:c>
      <x:c r="E504" s="55" t="n">
        <x:v>0.005</x:v>
      </x:c>
      <x:c r="F504" s="60" t="n">
        <x:v>0.05</x:v>
      </x:c>
      <x:c r="G504" s="60" t="n">
        <x:v>0.005</x:v>
      </x:c>
      <x:c r="H504" s="23" t="n">
        <x:f>IF(D504=F504,0,1)+IF(E504=G504,0,1)</x:f>
        <x:v>0</x:v>
      </x:c>
      <x:c r="I504" s="23" t="str">
        <x:v>Timing T20 / fictional rates</x:v>
      </x:c>
    </x:row>
    <x:row r="505" ht="21" customHeight="1">
      <x:c r="A505" s="23" t="str">
        <x:v>level_low</x:v>
      </x:c>
      <x:c r="B505" s="23" t="n">
        <x:v>18</x:v>
      </x:c>
      <x:c r="C505" s="37" t="n">
        <x:v>48030</x:v>
      </x:c>
      <x:c r="D505" s="55" t="n">
        <x:v>0.05</x:v>
      </x:c>
      <x:c r="E505" s="55" t="n">
        <x:v>0.005</x:v>
      </x:c>
      <x:c r="F505" s="60" t="n">
        <x:v>0.05</x:v>
      </x:c>
      <x:c r="G505" s="60" t="n">
        <x:v>0.005</x:v>
      </x:c>
      <x:c r="H505" s="23" t="n">
        <x:f>IF(D505=F505,0,1)+IF(E505=G505,0,1)</x:f>
        <x:v>0</x:v>
      </x:c>
      <x:c r="I505" s="23" t="str">
        <x:v>Timing T20 / fictional rates</x:v>
      </x:c>
    </x:row>
    <x:row r="506" ht="21" customHeight="1">
      <x:c r="A506" s="23" t="str">
        <x:v>level_low</x:v>
      </x:c>
      <x:c r="B506" s="23" t="n">
        <x:v>19</x:v>
      </x:c>
      <x:c r="C506" s="37" t="n">
        <x:v>48122</x:v>
      </x:c>
      <x:c r="D506" s="55" t="n">
        <x:v>0.05</x:v>
      </x:c>
      <x:c r="E506" s="55" t="n">
        <x:v>0.005</x:v>
      </x:c>
      <x:c r="F506" s="60" t="n">
        <x:v>0.05</x:v>
      </x:c>
      <x:c r="G506" s="60" t="n">
        <x:v>0.005</x:v>
      </x:c>
      <x:c r="H506" s="23" t="n">
        <x:f>IF(D506=F506,0,1)+IF(E506=G506,0,1)</x:f>
        <x:v>0</x:v>
      </x:c>
      <x:c r="I506" s="23" t="str">
        <x:v>Timing T20 / fictional rates</x:v>
      </x:c>
    </x:row>
    <x:row r="507" ht="21" customHeight="1">
      <x:c r="A507" s="23" t="str">
        <x:v>level_low</x:v>
      </x:c>
      <x:c r="B507" s="23" t="n">
        <x:v>20</x:v>
      </x:c>
      <x:c r="C507" s="37" t="n">
        <x:v>48214</x:v>
      </x:c>
      <x:c r="D507" s="55" t="n">
        <x:v>0.05</x:v>
      </x:c>
      <x:c r="E507" s="55" t="n">
        <x:v>0.005</x:v>
      </x:c>
      <x:c r="F507" s="60" t="n">
        <x:v>0.05</x:v>
      </x:c>
      <x:c r="G507" s="60" t="n">
        <x:v>0.005</x:v>
      </x:c>
      <x:c r="H507" s="23" t="n">
        <x:f>IF(D507=F507,0,1)+IF(E507=G507,0,1)</x:f>
        <x:v>0</x:v>
      </x:c>
      <x:c r="I507" s="23" t="str">
        <x:v>Timing T20 / fictional rates</x:v>
      </x:c>
    </x:row>
    <x:row r="508" ht="21" customHeight="1">
      <x:c r="A508" s="23" t="str">
        <x:v>level_low</x:v>
      </x:c>
      <x:c r="B508" s="23" t="n">
        <x:v>21</x:v>
      </x:c>
      <x:c r="C508" s="37" t="n">
        <x:v>48305</x:v>
      </x:c>
      <x:c r="D508" s="55" t="n">
        <x:v>0</x:v>
      </x:c>
      <x:c r="E508" s="55" t="n">
        <x:v>0.005</x:v>
      </x:c>
      <x:c r="F508" s="60" t="n">
        <x:v>0</x:v>
      </x:c>
      <x:c r="G508" s="60" t="n">
        <x:v>0.005</x:v>
      </x:c>
      <x:c r="H508" s="23" t="n">
        <x:f>IF(D508=F508,0,1)+IF(E508=G508,0,1)</x:f>
        <x:v>0</x:v>
      </x:c>
      <x:c r="I508" s="23" t="str">
        <x:v>Timing T20 / fictional rates</x:v>
      </x:c>
    </x:row>
    <x:row r="509" ht="21" customHeight="1">
      <x:c r="A509" s="23" t="str">
        <x:v>level_low</x:v>
      </x:c>
      <x:c r="B509" s="23" t="n">
        <x:v>22</x:v>
      </x:c>
      <x:c r="C509" s="37" t="n">
        <x:v>48396</x:v>
      </x:c>
      <x:c r="D509" s="55" t="n">
        <x:v>0</x:v>
      </x:c>
      <x:c r="E509" s="55" t="n">
        <x:v>0.005</x:v>
      </x:c>
      <x:c r="F509" s="60" t="n">
        <x:v>0</x:v>
      </x:c>
      <x:c r="G509" s="60" t="n">
        <x:v>0.005</x:v>
      </x:c>
      <x:c r="H509" s="23" t="n">
        <x:f>IF(D509=F509,0,1)+IF(E509=G509,0,1)</x:f>
        <x:v>0</x:v>
      </x:c>
      <x:c r="I509" s="23" t="str">
        <x:v>Timing T20 / fictional rates</x:v>
      </x:c>
    </x:row>
    <x:row r="510" ht="21" customHeight="1">
      <x:c r="A510" s="23" t="str">
        <x:v>level_low</x:v>
      </x:c>
      <x:c r="B510" s="23" t="n">
        <x:v>23</x:v>
      </x:c>
      <x:c r="C510" s="37" t="n">
        <x:v>48488</x:v>
      </x:c>
      <x:c r="D510" s="55" t="n">
        <x:v>0</x:v>
      </x:c>
      <x:c r="E510" s="55" t="n">
        <x:v>0.005</x:v>
      </x:c>
      <x:c r="F510" s="60" t="n">
        <x:v>0</x:v>
      </x:c>
      <x:c r="G510" s="60" t="n">
        <x:v>0.005</x:v>
      </x:c>
      <x:c r="H510" s="23" t="n">
        <x:f>IF(D510=F510,0,1)+IF(E510=G510,0,1)</x:f>
        <x:v>0</x:v>
      </x:c>
      <x:c r="I510" s="23" t="str">
        <x:v>Timing T20 / fictional rates</x:v>
      </x:c>
    </x:row>
    <x:row r="511" ht="21" customHeight="1">
      <x:c r="A511" s="23" t="str">
        <x:v>level_low</x:v>
      </x:c>
      <x:c r="B511" s="23" t="n">
        <x:v>24</x:v>
      </x:c>
      <x:c r="C511" s="37" t="n">
        <x:v>48580</x:v>
      </x:c>
      <x:c r="D511" s="55" t="n">
        <x:v>0</x:v>
      </x:c>
      <x:c r="E511" s="55" t="n">
        <x:v>0.005</x:v>
      </x:c>
      <x:c r="F511" s="60" t="n">
        <x:v>0</x:v>
      </x:c>
      <x:c r="G511" s="60" t="n">
        <x:v>0.005</x:v>
      </x:c>
      <x:c r="H511" s="23" t="n">
        <x:f>IF(D511=F511,0,1)+IF(E511=G511,0,1)</x:f>
        <x:v>0</x:v>
      </x:c>
      <x:c r="I511" s="23" t="str">
        <x:v>Timing T20 / fictional rates</x:v>
      </x:c>
    </x:row>
    <x:row r="512" ht="21" customHeight="1">
      <x:c r="A512" s="23" t="str">
        <x:v>level_low</x:v>
      </x:c>
      <x:c r="B512" s="23" t="n">
        <x:v>25</x:v>
      </x:c>
      <x:c r="C512" s="37" t="n">
        <x:v>48670</x:v>
      </x:c>
      <x:c r="D512" s="55" t="n">
        <x:v>0</x:v>
      </x:c>
      <x:c r="E512" s="55" t="n">
        <x:v>0.005</x:v>
      </x:c>
      <x:c r="F512" s="60" t="n">
        <x:v>0</x:v>
      </x:c>
      <x:c r="G512" s="60" t="n">
        <x:v>0.005</x:v>
      </x:c>
      <x:c r="H512" s="23" t="n">
        <x:f>IF(D512=F512,0,1)+IF(E512=G512,0,1)</x:f>
        <x:v>0</x:v>
      </x:c>
      <x:c r="I512" s="23" t="str">
        <x:v>Timing T20 / fictional rates</x:v>
      </x:c>
    </x:row>
    <x:row r="513" ht="21" customHeight="1">
      <x:c r="A513" s="23" t="str">
        <x:v>level_low</x:v>
      </x:c>
      <x:c r="B513" s="23" t="n">
        <x:v>26</x:v>
      </x:c>
      <x:c r="C513" s="37" t="n">
        <x:v>48761</x:v>
      </x:c>
      <x:c r="D513" s="55" t="n">
        <x:v>0</x:v>
      </x:c>
      <x:c r="E513" s="55" t="n">
        <x:v>0.005</x:v>
      </x:c>
      <x:c r="F513" s="60" t="n">
        <x:v>0</x:v>
      </x:c>
      <x:c r="G513" s="60" t="n">
        <x:v>0.005</x:v>
      </x:c>
      <x:c r="H513" s="23" t="n">
        <x:f>IF(D513=F513,0,1)+IF(E513=G513,0,1)</x:f>
        <x:v>0</x:v>
      </x:c>
      <x:c r="I513" s="23" t="str">
        <x:v>Timing T20 / fictional rates</x:v>
      </x:c>
    </x:row>
    <x:row r="514" ht="21" customHeight="1">
      <x:c r="A514" s="23" t="str">
        <x:v>level_low</x:v>
      </x:c>
      <x:c r="B514" s="23" t="n">
        <x:v>27</x:v>
      </x:c>
      <x:c r="C514" s="37" t="n">
        <x:v>48853</x:v>
      </x:c>
      <x:c r="D514" s="55" t="n">
        <x:v>0</x:v>
      </x:c>
      <x:c r="E514" s="55" t="n">
        <x:v>0.005</x:v>
      </x:c>
      <x:c r="F514" s="60" t="n">
        <x:v>0</x:v>
      </x:c>
      <x:c r="G514" s="60" t="n">
        <x:v>0.005</x:v>
      </x:c>
      <x:c r="H514" s="23" t="n">
        <x:f>IF(D514=F514,0,1)+IF(E514=G514,0,1)</x:f>
        <x:v>0</x:v>
      </x:c>
      <x:c r="I514" s="23" t="str">
        <x:v>Timing T20 / fictional rates</x:v>
      </x:c>
    </x:row>
    <x:row r="515" ht="21" customHeight="1">
      <x:c r="A515" s="23" t="str">
        <x:v>level_low</x:v>
      </x:c>
      <x:c r="B515" s="23" t="n">
        <x:v>28</x:v>
      </x:c>
      <x:c r="C515" s="37" t="n">
        <x:v>48945</x:v>
      </x:c>
      <x:c r="D515" s="55" t="n">
        <x:v>0</x:v>
      </x:c>
      <x:c r="E515" s="55" t="n">
        <x:v>0.005</x:v>
      </x:c>
      <x:c r="F515" s="60" t="n">
        <x:v>0</x:v>
      </x:c>
      <x:c r="G515" s="60" t="n">
        <x:v>0.005</x:v>
      </x:c>
      <x:c r="H515" s="23" t="n">
        <x:f>IF(D515=F515,0,1)+IF(E515=G515,0,1)</x:f>
        <x:v>0</x:v>
      </x:c>
      <x:c r="I515" s="23" t="str">
        <x:v>Timing T20 / fictional rates</x:v>
      </x:c>
    </x:row>
    <x:row r="516" ht="21" customHeight="1">
      <x:c r="A516" s="23" t="str">
        <x:v>level_low</x:v>
      </x:c>
      <x:c r="B516" s="23" t="n">
        <x:v>29</x:v>
      </x:c>
      <x:c r="C516" s="37" t="n">
        <x:v>49035</x:v>
      </x:c>
      <x:c r="D516" s="55" t="n">
        <x:v>0</x:v>
      </x:c>
      <x:c r="E516" s="55" t="n">
        <x:v>0.005</x:v>
      </x:c>
      <x:c r="F516" s="60" t="n">
        <x:v>0</x:v>
      </x:c>
      <x:c r="G516" s="60" t="n">
        <x:v>0.005</x:v>
      </x:c>
      <x:c r="H516" s="23" t="n">
        <x:f>IF(D516=F516,0,1)+IF(E516=G516,0,1)</x:f>
        <x:v>0</x:v>
      </x:c>
      <x:c r="I516" s="23" t="str">
        <x:v>Timing T20 / fictional rates</x:v>
      </x:c>
    </x:row>
    <x:row r="517" ht="21" customHeight="1">
      <x:c r="A517" s="23" t="str">
        <x:v>level_low</x:v>
      </x:c>
      <x:c r="B517" s="23" t="n">
        <x:v>30</x:v>
      </x:c>
      <x:c r="C517" s="37" t="n">
        <x:v>49126</x:v>
      </x:c>
      <x:c r="D517" s="55" t="n">
        <x:v>0</x:v>
      </x:c>
      <x:c r="E517" s="55" t="n">
        <x:v>0.005</x:v>
      </x:c>
      <x:c r="F517" s="60" t="n">
        <x:v>0</x:v>
      </x:c>
      <x:c r="G517" s="60" t="n">
        <x:v>0.005</x:v>
      </x:c>
      <x:c r="H517" s="23" t="n">
        <x:f>IF(D517=F517,0,1)+IF(E517=G517,0,1)</x:f>
        <x:v>0</x:v>
      </x:c>
      <x:c r="I517" s="23" t="str">
        <x:v>Timing T20 / fictional rates</x:v>
      </x:c>
    </x:row>
    <x:row r="518" ht="21" customHeight="1">
      <x:c r="A518" s="23" t="str">
        <x:v>level_low</x:v>
      </x:c>
      <x:c r="B518" s="23" t="n">
        <x:v>31</x:v>
      </x:c>
      <x:c r="C518" s="37" t="n">
        <x:v>49218</x:v>
      </x:c>
      <x:c r="D518" s="55" t="n">
        <x:v>0</x:v>
      </x:c>
      <x:c r="E518" s="55" t="n">
        <x:v>0.005</x:v>
      </x:c>
      <x:c r="F518" s="60" t="n">
        <x:v>0</x:v>
      </x:c>
      <x:c r="G518" s="60" t="n">
        <x:v>0.005</x:v>
      </x:c>
      <x:c r="H518" s="23" t="n">
        <x:f>IF(D518=F518,0,1)+IF(E518=G518,0,1)</x:f>
        <x:v>0</x:v>
      </x:c>
      <x:c r="I518" s="23" t="str">
        <x:v>Timing T20 / fictional rates</x:v>
      </x:c>
    </x:row>
    <x:row r="519" ht="21" customHeight="1">
      <x:c r="A519" s="23" t="str">
        <x:v>level_low</x:v>
      </x:c>
      <x:c r="B519" s="23" t="n">
        <x:v>32</x:v>
      </x:c>
      <x:c r="C519" s="37" t="n">
        <x:v>49310</x:v>
      </x:c>
      <x:c r="D519" s="55" t="n">
        <x:v>0</x:v>
      </x:c>
      <x:c r="E519" s="55" t="n">
        <x:v>0.005</x:v>
      </x:c>
      <x:c r="F519" s="60" t="n">
        <x:v>0</x:v>
      </x:c>
      <x:c r="G519" s="60" t="n">
        <x:v>0.005</x:v>
      </x:c>
      <x:c r="H519" s="23" t="n">
        <x:f>IF(D519=F519,0,1)+IF(E519=G519,0,1)</x:f>
        <x:v>0</x:v>
      </x:c>
      <x:c r="I519" s="23" t="str">
        <x:v>Timing T20 / fictional rates</x:v>
      </x:c>
    </x:row>
    <x:row r="520" ht="21" customHeight="1">
      <x:c r="A520" s="23" t="str">
        <x:v>level_low</x:v>
      </x:c>
      <x:c r="B520" s="23" t="n">
        <x:v>33</x:v>
      </x:c>
      <x:c r="C520" s="37" t="n">
        <x:v>49400</x:v>
      </x:c>
      <x:c r="D520" s="55" t="n">
        <x:v>0</x:v>
      </x:c>
      <x:c r="E520" s="55" t="n">
        <x:v>0.005</x:v>
      </x:c>
      <x:c r="F520" s="60" t="n">
        <x:v>0</x:v>
      </x:c>
      <x:c r="G520" s="60" t="n">
        <x:v>0.005</x:v>
      </x:c>
      <x:c r="H520" s="23" t="n">
        <x:f>IF(D520=F520,0,1)+IF(E520=G520,0,1)</x:f>
        <x:v>0</x:v>
      </x:c>
      <x:c r="I520" s="23" t="str">
        <x:v>Timing T20 / fictional rates</x:v>
      </x:c>
    </x:row>
    <x:row r="521" ht="21" customHeight="1">
      <x:c r="A521" s="23" t="str">
        <x:v>level_low</x:v>
      </x:c>
      <x:c r="B521" s="23" t="n">
        <x:v>34</x:v>
      </x:c>
      <x:c r="C521" s="37" t="n">
        <x:v>49491</x:v>
      </x:c>
      <x:c r="D521" s="55" t="n">
        <x:v>0</x:v>
      </x:c>
      <x:c r="E521" s="55" t="n">
        <x:v>0.005</x:v>
      </x:c>
      <x:c r="F521" s="60" t="n">
        <x:v>0</x:v>
      </x:c>
      <x:c r="G521" s="60" t="n">
        <x:v>0.005</x:v>
      </x:c>
      <x:c r="H521" s="23" t="n">
        <x:f>IF(D521=F521,0,1)+IF(E521=G521,0,1)</x:f>
        <x:v>0</x:v>
      </x:c>
      <x:c r="I521" s="23" t="str">
        <x:v>Timing T20 / fictional rates</x:v>
      </x:c>
    </x:row>
    <x:row r="522" ht="21" customHeight="1">
      <x:c r="A522" s="23" t="str">
        <x:v>level_low</x:v>
      </x:c>
      <x:c r="B522" s="23" t="n">
        <x:v>35</x:v>
      </x:c>
      <x:c r="C522" s="37" t="n">
        <x:v>49583</x:v>
      </x:c>
      <x:c r="D522" s="55" t="n">
        <x:v>0</x:v>
      </x:c>
      <x:c r="E522" s="55" t="n">
        <x:v>0.005</x:v>
      </x:c>
      <x:c r="F522" s="60" t="n">
        <x:v>0</x:v>
      </x:c>
      <x:c r="G522" s="60" t="n">
        <x:v>0.005</x:v>
      </x:c>
      <x:c r="H522" s="23" t="n">
        <x:f>IF(D522=F522,0,1)+IF(E522=G522,0,1)</x:f>
        <x:v>0</x:v>
      </x:c>
      <x:c r="I522" s="23" t="str">
        <x:v>Timing T20 / fictional rates</x:v>
      </x:c>
    </x:row>
    <x:row r="523" ht="21" customHeight="1">
      <x:c r="A523" s="23" t="str">
        <x:v>level_low</x:v>
      </x:c>
      <x:c r="B523" s="23" t="n">
        <x:v>36</x:v>
      </x:c>
      <x:c r="C523" s="37" t="n">
        <x:v>49675</x:v>
      </x:c>
      <x:c r="D523" s="55" t="n">
        <x:v>0</x:v>
      </x:c>
      <x:c r="E523" s="55" t="n">
        <x:v>0.005</x:v>
      </x:c>
      <x:c r="F523" s="60" t="n">
        <x:v>0</x:v>
      </x:c>
      <x:c r="G523" s="60" t="n">
        <x:v>0.005</x:v>
      </x:c>
      <x:c r="H523" s="23" t="n">
        <x:f>IF(D523=F523,0,1)+IF(E523=G523,0,1)</x:f>
        <x:v>0</x:v>
      </x:c>
      <x:c r="I523" s="23" t="str">
        <x:v>Timing T20 / fictional rates</x:v>
      </x:c>
    </x:row>
    <x:row r="524" ht="21" customHeight="1">
      <x:c r="A524" s="23" t="str">
        <x:v>level_low</x:v>
      </x:c>
      <x:c r="B524" s="23" t="n">
        <x:v>37</x:v>
      </x:c>
      <x:c r="C524" s="37" t="n">
        <x:v>49766</x:v>
      </x:c>
      <x:c r="D524" s="55" t="n">
        <x:v>0</x:v>
      </x:c>
      <x:c r="E524" s="55" t="n">
        <x:v>0.005</x:v>
      </x:c>
      <x:c r="F524" s="60" t="n">
        <x:v>0</x:v>
      </x:c>
      <x:c r="G524" s="60" t="n">
        <x:v>0.005</x:v>
      </x:c>
      <x:c r="H524" s="23" t="n">
        <x:f>IF(D524=F524,0,1)+IF(E524=G524,0,1)</x:f>
        <x:v>0</x:v>
      </x:c>
      <x:c r="I524" s="23" t="str">
        <x:v>Timing T20 / fictional rates</x:v>
      </x:c>
    </x:row>
    <x:row r="525" ht="21" customHeight="1">
      <x:c r="A525" s="23" t="str">
        <x:v>level_low</x:v>
      </x:c>
      <x:c r="B525" s="23" t="n">
        <x:v>38</x:v>
      </x:c>
      <x:c r="C525" s="37" t="n">
        <x:v>49857</x:v>
      </x:c>
      <x:c r="D525" s="55" t="n">
        <x:v>0</x:v>
      </x:c>
      <x:c r="E525" s="55" t="n">
        <x:v>0.005</x:v>
      </x:c>
      <x:c r="F525" s="60" t="n">
        <x:v>0</x:v>
      </x:c>
      <x:c r="G525" s="60" t="n">
        <x:v>0.005</x:v>
      </x:c>
      <x:c r="H525" s="23" t="n">
        <x:f>IF(D525=F525,0,1)+IF(E525=G525,0,1)</x:f>
        <x:v>0</x:v>
      </x:c>
      <x:c r="I525" s="23" t="str">
        <x:v>Timing T20 / fictional rates</x:v>
      </x:c>
    </x:row>
    <x:row r="526" ht="21" customHeight="1">
      <x:c r="A526" s="23" t="str">
        <x:v>level_low</x:v>
      </x:c>
      <x:c r="B526" s="23" t="n">
        <x:v>39</x:v>
      </x:c>
      <x:c r="C526" s="37" t="n">
        <x:v>49949</x:v>
      </x:c>
      <x:c r="D526" s="55" t="n">
        <x:v>0</x:v>
      </x:c>
      <x:c r="E526" s="55" t="n">
        <x:v>0.005</x:v>
      </x:c>
      <x:c r="F526" s="60" t="n">
        <x:v>0</x:v>
      </x:c>
      <x:c r="G526" s="60" t="n">
        <x:v>0.005</x:v>
      </x:c>
      <x:c r="H526" s="23" t="n">
        <x:f>IF(D526=F526,0,1)+IF(E526=G526,0,1)</x:f>
        <x:v>0</x:v>
      </x:c>
      <x:c r="I526" s="23" t="str">
        <x:v>Timing T20 / fictional rates</x:v>
      </x:c>
    </x:row>
    <x:row r="527" ht="21" customHeight="1">
      <x:c r="A527" s="23" t="str">
        <x:v>level_low</x:v>
      </x:c>
      <x:c r="B527" s="23" t="n">
        <x:v>40</x:v>
      </x:c>
      <x:c r="C527" s="37" t="n">
        <x:v>50041</x:v>
      </x:c>
      <x:c r="D527" s="55" t="n">
        <x:v>0</x:v>
      </x:c>
      <x:c r="E527" s="55" t="n">
        <x:v>0.005</x:v>
      </x:c>
      <x:c r="F527" s="60" t="n">
        <x:v>0</x:v>
      </x:c>
      <x:c r="G527" s="60" t="n">
        <x:v>0.005</x:v>
      </x:c>
      <x:c r="H527" s="23" t="n">
        <x:f>IF(D527=F527,0,1)+IF(E527=G527,0,1)</x:f>
        <x:v>0</x:v>
      </x:c>
      <x:c r="I527" s="23" t="str">
        <x:v>Timing T20 / fictional rates</x:v>
      </x:c>
    </x:row>
    <x:row r="528" ht="21" customHeight="1">
      <x:c r="A528" s="23" t="str">
        <x:v>level_low</x:v>
      </x:c>
      <x:c r="B528" s="23" t="n">
        <x:v>41</x:v>
      </x:c>
      <x:c r="C528" s="37" t="n">
        <x:v>50131</x:v>
      </x:c>
      <x:c r="D528" s="55" t="n">
        <x:v>0</x:v>
      </x:c>
      <x:c r="E528" s="55" t="n">
        <x:v>0.005</x:v>
      </x:c>
      <x:c r="F528" s="60" t="n">
        <x:v>0</x:v>
      </x:c>
      <x:c r="G528" s="60" t="n">
        <x:v>0.005</x:v>
      </x:c>
      <x:c r="H528" s="23" t="n">
        <x:f>IF(D528=F528,0,1)+IF(E528=G528,0,1)</x:f>
        <x:v>0</x:v>
      </x:c>
      <x:c r="I528" s="23" t="str">
        <x:v>Timing T20 / fictional rates</x:v>
      </x:c>
    </x:row>
    <x:row r="529" ht="21" customHeight="1">
      <x:c r="A529" s="23" t="str">
        <x:v>level_low</x:v>
      </x:c>
      <x:c r="B529" s="23" t="n">
        <x:v>42</x:v>
      </x:c>
      <x:c r="C529" s="37" t="n">
        <x:v>50222</x:v>
      </x:c>
      <x:c r="D529" s="55" t="n">
        <x:v>0</x:v>
      </x:c>
      <x:c r="E529" s="55" t="n">
        <x:v>0.005</x:v>
      </x:c>
      <x:c r="F529" s="60" t="n">
        <x:v>0</x:v>
      </x:c>
      <x:c r="G529" s="60" t="n">
        <x:v>0.005</x:v>
      </x:c>
      <x:c r="H529" s="23" t="n">
        <x:f>IF(D529=F529,0,1)+IF(E529=G529,0,1)</x:f>
        <x:v>0</x:v>
      </x:c>
      <x:c r="I529" s="23" t="str">
        <x:v>Timing T20 / fictional rates</x:v>
      </x:c>
    </x:row>
    <x:row r="530" ht="21" customHeight="1">
      <x:c r="A530" s="23" t="str">
        <x:v>level_low</x:v>
      </x:c>
      <x:c r="B530" s="23" t="n">
        <x:v>43</x:v>
      </x:c>
      <x:c r="C530" s="37" t="n">
        <x:v>50314</x:v>
      </x:c>
      <x:c r="D530" s="55" t="n">
        <x:v>0</x:v>
      </x:c>
      <x:c r="E530" s="55" t="n">
        <x:v>0.005</x:v>
      </x:c>
      <x:c r="F530" s="60" t="n">
        <x:v>0</x:v>
      </x:c>
      <x:c r="G530" s="60" t="n">
        <x:v>0.005</x:v>
      </x:c>
      <x:c r="H530" s="23" t="n">
        <x:f>IF(D530=F530,0,1)+IF(E530=G530,0,1)</x:f>
        <x:v>0</x:v>
      </x:c>
      <x:c r="I530" s="23" t="str">
        <x:v>Timing T20 / fictional rates</x:v>
      </x:c>
    </x:row>
    <x:row r="531" ht="21" customHeight="1">
      <x:c r="A531" s="23" t="str">
        <x:v>level_low</x:v>
      </x:c>
      <x:c r="B531" s="23" t="n">
        <x:v>44</x:v>
      </x:c>
      <x:c r="C531" s="37" t="n">
        <x:v>50406</x:v>
      </x:c>
      <x:c r="D531" s="55" t="n">
        <x:v>0</x:v>
      </x:c>
      <x:c r="E531" s="55" t="n">
        <x:v>0.005</x:v>
      </x:c>
      <x:c r="F531" s="60" t="n">
        <x:v>0</x:v>
      </x:c>
      <x:c r="G531" s="60" t="n">
        <x:v>0.005</x:v>
      </x:c>
      <x:c r="H531" s="23" t="n">
        <x:f>IF(D531=F531,0,1)+IF(E531=G531,0,1)</x:f>
        <x:v>0</x:v>
      </x:c>
      <x:c r="I531" s="23" t="str">
        <x:v>Timing T20 / fictional rates</x:v>
      </x:c>
    </x:row>
    <x:row r="532" ht="21" customHeight="1">
      <x:c r="A532" s="23" t="str">
        <x:v>level_low</x:v>
      </x:c>
      <x:c r="B532" s="23" t="n">
        <x:v>45</x:v>
      </x:c>
      <x:c r="C532" s="37" t="n">
        <x:v>50496</x:v>
      </x:c>
      <x:c r="D532" s="55" t="n">
        <x:v>0</x:v>
      </x:c>
      <x:c r="E532" s="55" t="n">
        <x:v>0.005</x:v>
      </x:c>
      <x:c r="F532" s="60" t="n">
        <x:v>0</x:v>
      </x:c>
      <x:c r="G532" s="60" t="n">
        <x:v>0.005</x:v>
      </x:c>
      <x:c r="H532" s="23" t="n">
        <x:f>IF(D532=F532,0,1)+IF(E532=G532,0,1)</x:f>
        <x:v>0</x:v>
      </x:c>
      <x:c r="I532" s="23" t="str">
        <x:v>Timing T20 / fictional rates</x:v>
      </x:c>
    </x:row>
    <x:row r="533" ht="21" customHeight="1">
      <x:c r="A533" s="23" t="str">
        <x:v>level_low</x:v>
      </x:c>
      <x:c r="B533" s="23" t="n">
        <x:v>46</x:v>
      </x:c>
      <x:c r="C533" s="37" t="n">
        <x:v>50587</x:v>
      </x:c>
      <x:c r="D533" s="55" t="n">
        <x:v>0</x:v>
      </x:c>
      <x:c r="E533" s="55" t="n">
        <x:v>0.005</x:v>
      </x:c>
      <x:c r="F533" s="60" t="n">
        <x:v>0</x:v>
      </x:c>
      <x:c r="G533" s="60" t="n">
        <x:v>0.005</x:v>
      </x:c>
      <x:c r="H533" s="23" t="n">
        <x:f>IF(D533=F533,0,1)+IF(E533=G533,0,1)</x:f>
        <x:v>0</x:v>
      </x:c>
      <x:c r="I533" s="23" t="str">
        <x:v>Timing T20 / fictional rates</x:v>
      </x:c>
    </x:row>
    <x:row r="534" ht="21" customHeight="1">
      <x:c r="A534" s="23" t="str">
        <x:v>level_low</x:v>
      </x:c>
      <x:c r="B534" s="23" t="n">
        <x:v>47</x:v>
      </x:c>
      <x:c r="C534" s="37" t="n">
        <x:v>50679</x:v>
      </x:c>
      <x:c r="D534" s="55" t="n">
        <x:v>0</x:v>
      </x:c>
      <x:c r="E534" s="55" t="n">
        <x:v>0.005</x:v>
      </x:c>
      <x:c r="F534" s="60" t="n">
        <x:v>0</x:v>
      </x:c>
      <x:c r="G534" s="60" t="n">
        <x:v>0.005</x:v>
      </x:c>
      <x:c r="H534" s="23" t="n">
        <x:f>IF(D534=F534,0,1)+IF(E534=G534,0,1)</x:f>
        <x:v>0</x:v>
      </x:c>
      <x:c r="I534" s="23" t="str">
        <x:v>Timing T20 / fictional rates</x:v>
      </x:c>
    </x:row>
    <x:row r="535" ht="21" customHeight="1">
      <x:c r="A535" s="23" t="str">
        <x:v>level_low</x:v>
      </x:c>
      <x:c r="B535" s="23" t="n">
        <x:v>48</x:v>
      </x:c>
      <x:c r="C535" s="37" t="n">
        <x:v>50771</x:v>
      </x:c>
      <x:c r="D535" s="55" t="n">
        <x:v>0</x:v>
      </x:c>
      <x:c r="E535" s="55" t="n">
        <x:v>0.005</x:v>
      </x:c>
      <x:c r="F535" s="60" t="n">
        <x:v>0</x:v>
      </x:c>
      <x:c r="G535" s="60" t="n">
        <x:v>0.005</x:v>
      </x:c>
      <x:c r="H535" s="23" t="n">
        <x:f>IF(D535=F535,0,1)+IF(E535=G535,0,1)</x:f>
        <x:v>0</x:v>
      </x:c>
      <x:c r="I535" s="23" t="str">
        <x:v>Timing T20 / fictional rates</x:v>
      </x:c>
    </x:row>
    <x:row r="536" ht="21" customHeight="1">
      <x:c r="A536" s="23" t="str">
        <x:v>level_high</x:v>
      </x:c>
      <x:c r="B536" s="23" t="n">
        <x:v>1</x:v>
      </x:c>
      <x:c r="C536" s="37" t="n">
        <x:v>46478</x:v>
      </x:c>
      <x:c r="D536" s="55" t="n">
        <x:v>0.05</x:v>
      </x:c>
      <x:c r="E536" s="55" t="n">
        <x:v>0.06</x:v>
      </x:c>
      <x:c r="F536" s="60" t="n">
        <x:v>0.05</x:v>
      </x:c>
      <x:c r="G536" s="60" t="n">
        <x:v>0.06</x:v>
      </x:c>
      <x:c r="H536" s="23" t="n">
        <x:f>IF(D536=F536,0,1)+IF(E536=G536,0,1)</x:f>
        <x:v>0</x:v>
      </x:c>
      <x:c r="I536" s="23" t="str">
        <x:v>Timing T20 / fictional rates</x:v>
      </x:c>
    </x:row>
    <x:row r="537" ht="21" customHeight="1">
      <x:c r="A537" s="23" t="str">
        <x:v>level_high</x:v>
      </x:c>
      <x:c r="B537" s="23" t="n">
        <x:v>2</x:v>
      </x:c>
      <x:c r="C537" s="37" t="n">
        <x:v>46569</x:v>
      </x:c>
      <x:c r="D537" s="55" t="n">
        <x:v>0.05</x:v>
      </x:c>
      <x:c r="E537" s="55" t="n">
        <x:v>0.06</x:v>
      </x:c>
      <x:c r="F537" s="60" t="n">
        <x:v>0.05</x:v>
      </x:c>
      <x:c r="G537" s="60" t="n">
        <x:v>0.06</x:v>
      </x:c>
      <x:c r="H537" s="23" t="n">
        <x:f>IF(D537=F537,0,1)+IF(E537=G537,0,1)</x:f>
        <x:v>0</x:v>
      </x:c>
      <x:c r="I537" s="23" t="str">
        <x:v>Timing T20 / fictional rates</x:v>
      </x:c>
    </x:row>
    <x:row r="538" ht="21" customHeight="1">
      <x:c r="A538" s="23" t="str">
        <x:v>level_high</x:v>
      </x:c>
      <x:c r="B538" s="23" t="n">
        <x:v>3</x:v>
      </x:c>
      <x:c r="C538" s="37" t="n">
        <x:v>46661</x:v>
      </x:c>
      <x:c r="D538" s="55" t="n">
        <x:v>0.05</x:v>
      </x:c>
      <x:c r="E538" s="55" t="n">
        <x:v>0.06</x:v>
      </x:c>
      <x:c r="F538" s="60" t="n">
        <x:v>0.05</x:v>
      </x:c>
      <x:c r="G538" s="60" t="n">
        <x:v>0.06</x:v>
      </x:c>
      <x:c r="H538" s="23" t="n">
        <x:f>IF(D538=F538,0,1)+IF(E538=G538,0,1)</x:f>
        <x:v>0</x:v>
      </x:c>
      <x:c r="I538" s="23" t="str">
        <x:v>Timing T20 / fictional rates</x:v>
      </x:c>
    </x:row>
    <x:row r="539" ht="21" customHeight="1">
      <x:c r="A539" s="23" t="str">
        <x:v>level_high</x:v>
      </x:c>
      <x:c r="B539" s="23" t="n">
        <x:v>4</x:v>
      </x:c>
      <x:c r="C539" s="37" t="n">
        <x:v>46753</x:v>
      </x:c>
      <x:c r="D539" s="55" t="n">
        <x:v>0.05</x:v>
      </x:c>
      <x:c r="E539" s="55" t="n">
        <x:v>0.06</x:v>
      </x:c>
      <x:c r="F539" s="60" t="n">
        <x:v>0.05</x:v>
      </x:c>
      <x:c r="G539" s="60" t="n">
        <x:v>0.06</x:v>
      </x:c>
      <x:c r="H539" s="23" t="n">
        <x:f>IF(D539=F539,0,1)+IF(E539=G539,0,1)</x:f>
        <x:v>0</x:v>
      </x:c>
      <x:c r="I539" s="23" t="str">
        <x:v>Timing T20 / fictional rates</x:v>
      </x:c>
    </x:row>
    <x:row r="540" ht="21" customHeight="1">
      <x:c r="A540" s="23" t="str">
        <x:v>level_high</x:v>
      </x:c>
      <x:c r="B540" s="23" t="n">
        <x:v>5</x:v>
      </x:c>
      <x:c r="C540" s="37" t="n">
        <x:v>46844</x:v>
      </x:c>
      <x:c r="D540" s="55" t="n">
        <x:v>0.05</x:v>
      </x:c>
      <x:c r="E540" s="55" t="n">
        <x:v>0.06</x:v>
      </x:c>
      <x:c r="F540" s="60" t="n">
        <x:v>0.05</x:v>
      </x:c>
      <x:c r="G540" s="60" t="n">
        <x:v>0.06</x:v>
      </x:c>
      <x:c r="H540" s="23" t="n">
        <x:f>IF(D540=F540,0,1)+IF(E540=G540,0,1)</x:f>
        <x:v>0</x:v>
      </x:c>
      <x:c r="I540" s="23" t="str">
        <x:v>Timing T20 / fictional rates</x:v>
      </x:c>
    </x:row>
    <x:row r="541" ht="21" customHeight="1">
      <x:c r="A541" s="23" t="str">
        <x:v>level_high</x:v>
      </x:c>
      <x:c r="B541" s="23" t="n">
        <x:v>6</x:v>
      </x:c>
      <x:c r="C541" s="37" t="n">
        <x:v>46935</x:v>
      </x:c>
      <x:c r="D541" s="55" t="n">
        <x:v>0.05</x:v>
      </x:c>
      <x:c r="E541" s="55" t="n">
        <x:v>0.06</x:v>
      </x:c>
      <x:c r="F541" s="60" t="n">
        <x:v>0.05</x:v>
      </x:c>
      <x:c r="G541" s="60" t="n">
        <x:v>0.06</x:v>
      </x:c>
      <x:c r="H541" s="23" t="n">
        <x:f>IF(D541=F541,0,1)+IF(E541=G541,0,1)</x:f>
        <x:v>0</x:v>
      </x:c>
      <x:c r="I541" s="23" t="str">
        <x:v>Timing T20 / fictional rates</x:v>
      </x:c>
    </x:row>
    <x:row r="542" ht="21" customHeight="1">
      <x:c r="A542" s="23" t="str">
        <x:v>level_high</x:v>
      </x:c>
      <x:c r="B542" s="23" t="n">
        <x:v>7</x:v>
      </x:c>
      <x:c r="C542" s="37" t="n">
        <x:v>47027</x:v>
      </x:c>
      <x:c r="D542" s="55" t="n">
        <x:v>0.05</x:v>
      </x:c>
      <x:c r="E542" s="55" t="n">
        <x:v>0.06</x:v>
      </x:c>
      <x:c r="F542" s="60" t="n">
        <x:v>0.05</x:v>
      </x:c>
      <x:c r="G542" s="60" t="n">
        <x:v>0.06</x:v>
      </x:c>
      <x:c r="H542" s="23" t="n">
        <x:f>IF(D542=F542,0,1)+IF(E542=G542,0,1)</x:f>
        <x:v>0</x:v>
      </x:c>
      <x:c r="I542" s="23" t="str">
        <x:v>Timing T20 / fictional rates</x:v>
      </x:c>
    </x:row>
    <x:row r="543" ht="21" customHeight="1">
      <x:c r="A543" s="23" t="str">
        <x:v>level_high</x:v>
      </x:c>
      <x:c r="B543" s="23" t="n">
        <x:v>8</x:v>
      </x:c>
      <x:c r="C543" s="37" t="n">
        <x:v>47119</x:v>
      </x:c>
      <x:c r="D543" s="55" t="n">
        <x:v>0.05</x:v>
      </x:c>
      <x:c r="E543" s="55" t="n">
        <x:v>0.06</x:v>
      </x:c>
      <x:c r="F543" s="60" t="n">
        <x:v>0.05</x:v>
      </x:c>
      <x:c r="G543" s="60" t="n">
        <x:v>0.06</x:v>
      </x:c>
      <x:c r="H543" s="23" t="n">
        <x:f>IF(D543=F543,0,1)+IF(E543=G543,0,1)</x:f>
        <x:v>0</x:v>
      </x:c>
      <x:c r="I543" s="23" t="str">
        <x:v>Timing T20 / fictional rates</x:v>
      </x:c>
    </x:row>
    <x:row r="544" ht="21" customHeight="1">
      <x:c r="A544" s="23" t="str">
        <x:v>level_high</x:v>
      </x:c>
      <x:c r="B544" s="23" t="n">
        <x:v>9</x:v>
      </x:c>
      <x:c r="C544" s="37" t="n">
        <x:v>47209</x:v>
      </x:c>
      <x:c r="D544" s="55" t="n">
        <x:v>0.05</x:v>
      </x:c>
      <x:c r="E544" s="55" t="n">
        <x:v>0.06</x:v>
      </x:c>
      <x:c r="F544" s="60" t="n">
        <x:v>0.05</x:v>
      </x:c>
      <x:c r="G544" s="60" t="n">
        <x:v>0.06</x:v>
      </x:c>
      <x:c r="H544" s="23" t="n">
        <x:f>IF(D544=F544,0,1)+IF(E544=G544,0,1)</x:f>
        <x:v>0</x:v>
      </x:c>
      <x:c r="I544" s="23" t="str">
        <x:v>Timing T20 / fictional rates</x:v>
      </x:c>
    </x:row>
    <x:row r="545" ht="21" customHeight="1">
      <x:c r="A545" s="23" t="str">
        <x:v>level_high</x:v>
      </x:c>
      <x:c r="B545" s="23" t="n">
        <x:v>10</x:v>
      </x:c>
      <x:c r="C545" s="37" t="n">
        <x:v>47300</x:v>
      </x:c>
      <x:c r="D545" s="55" t="n">
        <x:v>0.05</x:v>
      </x:c>
      <x:c r="E545" s="55" t="n">
        <x:v>0.06</x:v>
      </x:c>
      <x:c r="F545" s="60" t="n">
        <x:v>0.05</x:v>
      </x:c>
      <x:c r="G545" s="60" t="n">
        <x:v>0.06</x:v>
      </x:c>
      <x:c r="H545" s="23" t="n">
        <x:f>IF(D545=F545,0,1)+IF(E545=G545,0,1)</x:f>
        <x:v>0</x:v>
      </x:c>
      <x:c r="I545" s="23" t="str">
        <x:v>Timing T20 / fictional rates</x:v>
      </x:c>
    </x:row>
    <x:row r="546" ht="21" customHeight="1">
      <x:c r="A546" s="23" t="str">
        <x:v>level_high</x:v>
      </x:c>
      <x:c r="B546" s="23" t="n">
        <x:v>11</x:v>
      </x:c>
      <x:c r="C546" s="37" t="n">
        <x:v>47392</x:v>
      </x:c>
      <x:c r="D546" s="55" t="n">
        <x:v>0.05</x:v>
      </x:c>
      <x:c r="E546" s="55" t="n">
        <x:v>0.06</x:v>
      </x:c>
      <x:c r="F546" s="60" t="n">
        <x:v>0.05</x:v>
      </x:c>
      <x:c r="G546" s="60" t="n">
        <x:v>0.06</x:v>
      </x:c>
      <x:c r="H546" s="23" t="n">
        <x:f>IF(D546=F546,0,1)+IF(E546=G546,0,1)</x:f>
        <x:v>0</x:v>
      </x:c>
      <x:c r="I546" s="23" t="str">
        <x:v>Timing T20 / fictional rates</x:v>
      </x:c>
    </x:row>
    <x:row r="547" ht="21" customHeight="1">
      <x:c r="A547" s="23" t="str">
        <x:v>level_high</x:v>
      </x:c>
      <x:c r="B547" s="23" t="n">
        <x:v>12</x:v>
      </x:c>
      <x:c r="C547" s="37" t="n">
        <x:v>47484</x:v>
      </x:c>
      <x:c r="D547" s="55" t="n">
        <x:v>0.05</x:v>
      </x:c>
      <x:c r="E547" s="55" t="n">
        <x:v>0.06</x:v>
      </x:c>
      <x:c r="F547" s="60" t="n">
        <x:v>0.05</x:v>
      </x:c>
      <x:c r="G547" s="60" t="n">
        <x:v>0.06</x:v>
      </x:c>
      <x:c r="H547" s="23" t="n">
        <x:f>IF(D547=F547,0,1)+IF(E547=G547,0,1)</x:f>
        <x:v>0</x:v>
      </x:c>
      <x:c r="I547" s="23" t="str">
        <x:v>Timing T20 / fictional rates</x:v>
      </x:c>
    </x:row>
    <x:row r="548" ht="21" customHeight="1">
      <x:c r="A548" s="23" t="str">
        <x:v>level_high</x:v>
      </x:c>
      <x:c r="B548" s="23" t="n">
        <x:v>13</x:v>
      </x:c>
      <x:c r="C548" s="37" t="n">
        <x:v>47574</x:v>
      </x:c>
      <x:c r="D548" s="55" t="n">
        <x:v>0.05</x:v>
      </x:c>
      <x:c r="E548" s="55" t="n">
        <x:v>0.06</x:v>
      </x:c>
      <x:c r="F548" s="60" t="n">
        <x:v>0.05</x:v>
      </x:c>
      <x:c r="G548" s="60" t="n">
        <x:v>0.06</x:v>
      </x:c>
      <x:c r="H548" s="23" t="n">
        <x:f>IF(D548=F548,0,1)+IF(E548=G548,0,1)</x:f>
        <x:v>0</x:v>
      </x:c>
      <x:c r="I548" s="23" t="str">
        <x:v>Timing T20 / fictional rates</x:v>
      </x:c>
    </x:row>
    <x:row r="549" ht="21" customHeight="1">
      <x:c r="A549" s="23" t="str">
        <x:v>level_high</x:v>
      </x:c>
      <x:c r="B549" s="23" t="n">
        <x:v>14</x:v>
      </x:c>
      <x:c r="C549" s="37" t="n">
        <x:v>47665</x:v>
      </x:c>
      <x:c r="D549" s="55" t="n">
        <x:v>0.05</x:v>
      </x:c>
      <x:c r="E549" s="55" t="n">
        <x:v>0.06</x:v>
      </x:c>
      <x:c r="F549" s="60" t="n">
        <x:v>0.05</x:v>
      </x:c>
      <x:c r="G549" s="60" t="n">
        <x:v>0.06</x:v>
      </x:c>
      <x:c r="H549" s="23" t="n">
        <x:f>IF(D549=F549,0,1)+IF(E549=G549,0,1)</x:f>
        <x:v>0</x:v>
      </x:c>
      <x:c r="I549" s="23" t="str">
        <x:v>Timing T20 / fictional rates</x:v>
      </x:c>
    </x:row>
    <x:row r="550" ht="21" customHeight="1">
      <x:c r="A550" s="23" t="str">
        <x:v>level_high</x:v>
      </x:c>
      <x:c r="B550" s="23" t="n">
        <x:v>15</x:v>
      </x:c>
      <x:c r="C550" s="37" t="n">
        <x:v>47757</x:v>
      </x:c>
      <x:c r="D550" s="55" t="n">
        <x:v>0.05</x:v>
      </x:c>
      <x:c r="E550" s="55" t="n">
        <x:v>0.06</x:v>
      </x:c>
      <x:c r="F550" s="60" t="n">
        <x:v>0.05</x:v>
      </x:c>
      <x:c r="G550" s="60" t="n">
        <x:v>0.06</x:v>
      </x:c>
      <x:c r="H550" s="23" t="n">
        <x:f>IF(D550=F550,0,1)+IF(E550=G550,0,1)</x:f>
        <x:v>0</x:v>
      </x:c>
      <x:c r="I550" s="23" t="str">
        <x:v>Timing T20 / fictional rates</x:v>
      </x:c>
    </x:row>
    <x:row r="551" ht="21" customHeight="1">
      <x:c r="A551" s="23" t="str">
        <x:v>level_high</x:v>
      </x:c>
      <x:c r="B551" s="23" t="n">
        <x:v>16</x:v>
      </x:c>
      <x:c r="C551" s="37" t="n">
        <x:v>47849</x:v>
      </x:c>
      <x:c r="D551" s="55" t="n">
        <x:v>0.05</x:v>
      </x:c>
      <x:c r="E551" s="55" t="n">
        <x:v>0.06</x:v>
      </x:c>
      <x:c r="F551" s="60" t="n">
        <x:v>0.05</x:v>
      </x:c>
      <x:c r="G551" s="60" t="n">
        <x:v>0.06</x:v>
      </x:c>
      <x:c r="H551" s="23" t="n">
        <x:f>IF(D551=F551,0,1)+IF(E551=G551,0,1)</x:f>
        <x:v>0</x:v>
      </x:c>
      <x:c r="I551" s="23" t="str">
        <x:v>Timing T20 / fictional rates</x:v>
      </x:c>
    </x:row>
    <x:row r="552" ht="21" customHeight="1">
      <x:c r="A552" s="23" t="str">
        <x:v>level_high</x:v>
      </x:c>
      <x:c r="B552" s="23" t="n">
        <x:v>17</x:v>
      </x:c>
      <x:c r="C552" s="37" t="n">
        <x:v>47939</x:v>
      </x:c>
      <x:c r="D552" s="55" t="n">
        <x:v>0.05</x:v>
      </x:c>
      <x:c r="E552" s="55" t="n">
        <x:v>0.06</x:v>
      </x:c>
      <x:c r="F552" s="60" t="n">
        <x:v>0.05</x:v>
      </x:c>
      <x:c r="G552" s="60" t="n">
        <x:v>0.06</x:v>
      </x:c>
      <x:c r="H552" s="23" t="n">
        <x:f>IF(D552=F552,0,1)+IF(E552=G552,0,1)</x:f>
        <x:v>0</x:v>
      </x:c>
      <x:c r="I552" s="23" t="str">
        <x:v>Timing T20 / fictional rates</x:v>
      </x:c>
    </x:row>
    <x:row r="553" ht="21" customHeight="1">
      <x:c r="A553" s="23" t="str">
        <x:v>level_high</x:v>
      </x:c>
      <x:c r="B553" s="23" t="n">
        <x:v>18</x:v>
      </x:c>
      <x:c r="C553" s="37" t="n">
        <x:v>48030</x:v>
      </x:c>
      <x:c r="D553" s="55" t="n">
        <x:v>0.05</x:v>
      </x:c>
      <x:c r="E553" s="55" t="n">
        <x:v>0.06</x:v>
      </x:c>
      <x:c r="F553" s="60" t="n">
        <x:v>0.05</x:v>
      </x:c>
      <x:c r="G553" s="60" t="n">
        <x:v>0.06</x:v>
      </x:c>
      <x:c r="H553" s="23" t="n">
        <x:f>IF(D553=F553,0,1)+IF(E553=G553,0,1)</x:f>
        <x:v>0</x:v>
      </x:c>
      <x:c r="I553" s="23" t="str">
        <x:v>Timing T20 / fictional rates</x:v>
      </x:c>
    </x:row>
    <x:row r="554" ht="21" customHeight="1">
      <x:c r="A554" s="23" t="str">
        <x:v>level_high</x:v>
      </x:c>
      <x:c r="B554" s="23" t="n">
        <x:v>19</x:v>
      </x:c>
      <x:c r="C554" s="37" t="n">
        <x:v>48122</x:v>
      </x:c>
      <x:c r="D554" s="55" t="n">
        <x:v>0.05</x:v>
      </x:c>
      <x:c r="E554" s="55" t="n">
        <x:v>0.06</x:v>
      </x:c>
      <x:c r="F554" s="60" t="n">
        <x:v>0.05</x:v>
      </x:c>
      <x:c r="G554" s="60" t="n">
        <x:v>0.06</x:v>
      </x:c>
      <x:c r="H554" s="23" t="n">
        <x:f>IF(D554=F554,0,1)+IF(E554=G554,0,1)</x:f>
        <x:v>0</x:v>
      </x:c>
      <x:c r="I554" s="23" t="str">
        <x:v>Timing T20 / fictional rates</x:v>
      </x:c>
    </x:row>
    <x:row r="555" ht="21" customHeight="1">
      <x:c r="A555" s="23" t="str">
        <x:v>level_high</x:v>
      </x:c>
      <x:c r="B555" s="23" t="n">
        <x:v>20</x:v>
      </x:c>
      <x:c r="C555" s="37" t="n">
        <x:v>48214</x:v>
      </x:c>
      <x:c r="D555" s="55" t="n">
        <x:v>0.05</x:v>
      </x:c>
      <x:c r="E555" s="55" t="n">
        <x:v>0.06</x:v>
      </x:c>
      <x:c r="F555" s="60" t="n">
        <x:v>0.05</x:v>
      </x:c>
      <x:c r="G555" s="60" t="n">
        <x:v>0.06</x:v>
      </x:c>
      <x:c r="H555" s="23" t="n">
        <x:f>IF(D555=F555,0,1)+IF(E555=G555,0,1)</x:f>
        <x:v>0</x:v>
      </x:c>
      <x:c r="I555" s="23" t="str">
        <x:v>Timing T20 / fictional rates</x:v>
      </x:c>
    </x:row>
    <x:row r="556" ht="21" customHeight="1">
      <x:c r="A556" s="23" t="str">
        <x:v>level_high</x:v>
      </x:c>
      <x:c r="B556" s="23" t="n">
        <x:v>21</x:v>
      </x:c>
      <x:c r="C556" s="37" t="n">
        <x:v>48305</x:v>
      </x:c>
      <x:c r="D556" s="55" t="n">
        <x:v>0</x:v>
      </x:c>
      <x:c r="E556" s="55" t="n">
        <x:v>0.06</x:v>
      </x:c>
      <x:c r="F556" s="60" t="n">
        <x:v>0</x:v>
      </x:c>
      <x:c r="G556" s="60" t="n">
        <x:v>0.06</x:v>
      </x:c>
      <x:c r="H556" s="23" t="n">
        <x:f>IF(D556=F556,0,1)+IF(E556=G556,0,1)</x:f>
        <x:v>0</x:v>
      </x:c>
      <x:c r="I556" s="23" t="str">
        <x:v>Timing T20 / fictional rates</x:v>
      </x:c>
    </x:row>
    <x:row r="557" ht="21" customHeight="1">
      <x:c r="A557" s="23" t="str">
        <x:v>level_high</x:v>
      </x:c>
      <x:c r="B557" s="23" t="n">
        <x:v>22</x:v>
      </x:c>
      <x:c r="C557" s="37" t="n">
        <x:v>48396</x:v>
      </x:c>
      <x:c r="D557" s="55" t="n">
        <x:v>0</x:v>
      </x:c>
      <x:c r="E557" s="55" t="n">
        <x:v>0.06</x:v>
      </x:c>
      <x:c r="F557" s="60" t="n">
        <x:v>0</x:v>
      </x:c>
      <x:c r="G557" s="60" t="n">
        <x:v>0.06</x:v>
      </x:c>
      <x:c r="H557" s="23" t="n">
        <x:f>IF(D557=F557,0,1)+IF(E557=G557,0,1)</x:f>
        <x:v>0</x:v>
      </x:c>
      <x:c r="I557" s="23" t="str">
        <x:v>Timing T20 / fictional rates</x:v>
      </x:c>
    </x:row>
    <x:row r="558" ht="21" customHeight="1">
      <x:c r="A558" s="23" t="str">
        <x:v>level_high</x:v>
      </x:c>
      <x:c r="B558" s="23" t="n">
        <x:v>23</x:v>
      </x:c>
      <x:c r="C558" s="37" t="n">
        <x:v>48488</x:v>
      </x:c>
      <x:c r="D558" s="55" t="n">
        <x:v>0</x:v>
      </x:c>
      <x:c r="E558" s="55" t="n">
        <x:v>0.06</x:v>
      </x:c>
      <x:c r="F558" s="60" t="n">
        <x:v>0</x:v>
      </x:c>
      <x:c r="G558" s="60" t="n">
        <x:v>0.06</x:v>
      </x:c>
      <x:c r="H558" s="23" t="n">
        <x:f>IF(D558=F558,0,1)+IF(E558=G558,0,1)</x:f>
        <x:v>0</x:v>
      </x:c>
      <x:c r="I558" s="23" t="str">
        <x:v>Timing T20 / fictional rates</x:v>
      </x:c>
    </x:row>
    <x:row r="559" ht="21" customHeight="1">
      <x:c r="A559" s="23" t="str">
        <x:v>level_high</x:v>
      </x:c>
      <x:c r="B559" s="23" t="n">
        <x:v>24</x:v>
      </x:c>
      <x:c r="C559" s="37" t="n">
        <x:v>48580</x:v>
      </x:c>
      <x:c r="D559" s="55" t="n">
        <x:v>0</x:v>
      </x:c>
      <x:c r="E559" s="55" t="n">
        <x:v>0.06</x:v>
      </x:c>
      <x:c r="F559" s="60" t="n">
        <x:v>0</x:v>
      </x:c>
      <x:c r="G559" s="60" t="n">
        <x:v>0.06</x:v>
      </x:c>
      <x:c r="H559" s="23" t="n">
        <x:f>IF(D559=F559,0,1)+IF(E559=G559,0,1)</x:f>
        <x:v>0</x:v>
      </x:c>
      <x:c r="I559" s="23" t="str">
        <x:v>Timing T20 / fictional rates</x:v>
      </x:c>
    </x:row>
    <x:row r="560" ht="21" customHeight="1">
      <x:c r="A560" s="23" t="str">
        <x:v>level_high</x:v>
      </x:c>
      <x:c r="B560" s="23" t="n">
        <x:v>25</x:v>
      </x:c>
      <x:c r="C560" s="37" t="n">
        <x:v>48670</x:v>
      </x:c>
      <x:c r="D560" s="55" t="n">
        <x:v>0</x:v>
      </x:c>
      <x:c r="E560" s="55" t="n">
        <x:v>0.06</x:v>
      </x:c>
      <x:c r="F560" s="60" t="n">
        <x:v>0</x:v>
      </x:c>
      <x:c r="G560" s="60" t="n">
        <x:v>0.06</x:v>
      </x:c>
      <x:c r="H560" s="23" t="n">
        <x:f>IF(D560=F560,0,1)+IF(E560=G560,0,1)</x:f>
        <x:v>0</x:v>
      </x:c>
      <x:c r="I560" s="23" t="str">
        <x:v>Timing T20 / fictional rates</x:v>
      </x:c>
    </x:row>
    <x:row r="561" ht="21" customHeight="1">
      <x:c r="A561" s="23" t="str">
        <x:v>level_high</x:v>
      </x:c>
      <x:c r="B561" s="23" t="n">
        <x:v>26</x:v>
      </x:c>
      <x:c r="C561" s="37" t="n">
        <x:v>48761</x:v>
      </x:c>
      <x:c r="D561" s="55" t="n">
        <x:v>0</x:v>
      </x:c>
      <x:c r="E561" s="55" t="n">
        <x:v>0.06</x:v>
      </x:c>
      <x:c r="F561" s="60" t="n">
        <x:v>0</x:v>
      </x:c>
      <x:c r="G561" s="60" t="n">
        <x:v>0.06</x:v>
      </x:c>
      <x:c r="H561" s="23" t="n">
        <x:f>IF(D561=F561,0,1)+IF(E561=G561,0,1)</x:f>
        <x:v>0</x:v>
      </x:c>
      <x:c r="I561" s="23" t="str">
        <x:v>Timing T20 / fictional rates</x:v>
      </x:c>
    </x:row>
    <x:row r="562" ht="21" customHeight="1">
      <x:c r="A562" s="23" t="str">
        <x:v>level_high</x:v>
      </x:c>
      <x:c r="B562" s="23" t="n">
        <x:v>27</x:v>
      </x:c>
      <x:c r="C562" s="37" t="n">
        <x:v>48853</x:v>
      </x:c>
      <x:c r="D562" s="55" t="n">
        <x:v>0</x:v>
      </x:c>
      <x:c r="E562" s="55" t="n">
        <x:v>0.06</x:v>
      </x:c>
      <x:c r="F562" s="60" t="n">
        <x:v>0</x:v>
      </x:c>
      <x:c r="G562" s="60" t="n">
        <x:v>0.06</x:v>
      </x:c>
      <x:c r="H562" s="23" t="n">
        <x:f>IF(D562=F562,0,1)+IF(E562=G562,0,1)</x:f>
        <x:v>0</x:v>
      </x:c>
      <x:c r="I562" s="23" t="str">
        <x:v>Timing T20 / fictional rates</x:v>
      </x:c>
    </x:row>
    <x:row r="563" ht="21" customHeight="1">
      <x:c r="A563" s="23" t="str">
        <x:v>level_high</x:v>
      </x:c>
      <x:c r="B563" s="23" t="n">
        <x:v>28</x:v>
      </x:c>
      <x:c r="C563" s="37" t="n">
        <x:v>48945</x:v>
      </x:c>
      <x:c r="D563" s="55" t="n">
        <x:v>0</x:v>
      </x:c>
      <x:c r="E563" s="55" t="n">
        <x:v>0.06</x:v>
      </x:c>
      <x:c r="F563" s="60" t="n">
        <x:v>0</x:v>
      </x:c>
      <x:c r="G563" s="60" t="n">
        <x:v>0.06</x:v>
      </x:c>
      <x:c r="H563" s="23" t="n">
        <x:f>IF(D563=F563,0,1)+IF(E563=G563,0,1)</x:f>
        <x:v>0</x:v>
      </x:c>
      <x:c r="I563" s="23" t="str">
        <x:v>Timing T20 / fictional rates</x:v>
      </x:c>
    </x:row>
    <x:row r="564" ht="21" customHeight="1">
      <x:c r="A564" s="23" t="str">
        <x:v>level_high</x:v>
      </x:c>
      <x:c r="B564" s="23" t="n">
        <x:v>29</x:v>
      </x:c>
      <x:c r="C564" s="37" t="n">
        <x:v>49035</x:v>
      </x:c>
      <x:c r="D564" s="55" t="n">
        <x:v>0</x:v>
      </x:c>
      <x:c r="E564" s="55" t="n">
        <x:v>0.06</x:v>
      </x:c>
      <x:c r="F564" s="60" t="n">
        <x:v>0</x:v>
      </x:c>
      <x:c r="G564" s="60" t="n">
        <x:v>0.06</x:v>
      </x:c>
      <x:c r="H564" s="23" t="n">
        <x:f>IF(D564=F564,0,1)+IF(E564=G564,0,1)</x:f>
        <x:v>0</x:v>
      </x:c>
      <x:c r="I564" s="23" t="str">
        <x:v>Timing T20 / fictional rates</x:v>
      </x:c>
    </x:row>
    <x:row r="565" ht="21" customHeight="1">
      <x:c r="A565" s="23" t="str">
        <x:v>level_high</x:v>
      </x:c>
      <x:c r="B565" s="23" t="n">
        <x:v>30</x:v>
      </x:c>
      <x:c r="C565" s="37" t="n">
        <x:v>49126</x:v>
      </x:c>
      <x:c r="D565" s="55" t="n">
        <x:v>0</x:v>
      </x:c>
      <x:c r="E565" s="55" t="n">
        <x:v>0.06</x:v>
      </x:c>
      <x:c r="F565" s="60" t="n">
        <x:v>0</x:v>
      </x:c>
      <x:c r="G565" s="60" t="n">
        <x:v>0.06</x:v>
      </x:c>
      <x:c r="H565" s="23" t="n">
        <x:f>IF(D565=F565,0,1)+IF(E565=G565,0,1)</x:f>
        <x:v>0</x:v>
      </x:c>
      <x:c r="I565" s="23" t="str">
        <x:v>Timing T20 / fictional rates</x:v>
      </x:c>
    </x:row>
    <x:row r="566" ht="21" customHeight="1">
      <x:c r="A566" s="23" t="str">
        <x:v>level_high</x:v>
      </x:c>
      <x:c r="B566" s="23" t="n">
        <x:v>31</x:v>
      </x:c>
      <x:c r="C566" s="37" t="n">
        <x:v>49218</x:v>
      </x:c>
      <x:c r="D566" s="55" t="n">
        <x:v>0</x:v>
      </x:c>
      <x:c r="E566" s="55" t="n">
        <x:v>0.06</x:v>
      </x:c>
      <x:c r="F566" s="60" t="n">
        <x:v>0</x:v>
      </x:c>
      <x:c r="G566" s="60" t="n">
        <x:v>0.06</x:v>
      </x:c>
      <x:c r="H566" s="23" t="n">
        <x:f>IF(D566=F566,0,1)+IF(E566=G566,0,1)</x:f>
        <x:v>0</x:v>
      </x:c>
      <x:c r="I566" s="23" t="str">
        <x:v>Timing T20 / fictional rates</x:v>
      </x:c>
    </x:row>
    <x:row r="567" ht="21" customHeight="1">
      <x:c r="A567" s="23" t="str">
        <x:v>level_high</x:v>
      </x:c>
      <x:c r="B567" s="23" t="n">
        <x:v>32</x:v>
      </x:c>
      <x:c r="C567" s="37" t="n">
        <x:v>49310</x:v>
      </x:c>
      <x:c r="D567" s="55" t="n">
        <x:v>0</x:v>
      </x:c>
      <x:c r="E567" s="55" t="n">
        <x:v>0.06</x:v>
      </x:c>
      <x:c r="F567" s="60" t="n">
        <x:v>0</x:v>
      </x:c>
      <x:c r="G567" s="60" t="n">
        <x:v>0.06</x:v>
      </x:c>
      <x:c r="H567" s="23" t="n">
        <x:f>IF(D567=F567,0,1)+IF(E567=G567,0,1)</x:f>
        <x:v>0</x:v>
      </x:c>
      <x:c r="I567" s="23" t="str">
        <x:v>Timing T20 / fictional rates</x:v>
      </x:c>
    </x:row>
    <x:row r="568" ht="21" customHeight="1">
      <x:c r="A568" s="23" t="str">
        <x:v>level_high</x:v>
      </x:c>
      <x:c r="B568" s="23" t="n">
        <x:v>33</x:v>
      </x:c>
      <x:c r="C568" s="37" t="n">
        <x:v>49400</x:v>
      </x:c>
      <x:c r="D568" s="55" t="n">
        <x:v>0</x:v>
      </x:c>
      <x:c r="E568" s="55" t="n">
        <x:v>0.06</x:v>
      </x:c>
      <x:c r="F568" s="60" t="n">
        <x:v>0</x:v>
      </x:c>
      <x:c r="G568" s="60" t="n">
        <x:v>0.06</x:v>
      </x:c>
      <x:c r="H568" s="23" t="n">
        <x:f>IF(D568=F568,0,1)+IF(E568=G568,0,1)</x:f>
        <x:v>0</x:v>
      </x:c>
      <x:c r="I568" s="23" t="str">
        <x:v>Timing T20 / fictional rates</x:v>
      </x:c>
    </x:row>
    <x:row r="569" ht="21" customHeight="1">
      <x:c r="A569" s="23" t="str">
        <x:v>level_high</x:v>
      </x:c>
      <x:c r="B569" s="23" t="n">
        <x:v>34</x:v>
      </x:c>
      <x:c r="C569" s="37" t="n">
        <x:v>49491</x:v>
      </x:c>
      <x:c r="D569" s="55" t="n">
        <x:v>0</x:v>
      </x:c>
      <x:c r="E569" s="55" t="n">
        <x:v>0.06</x:v>
      </x:c>
      <x:c r="F569" s="60" t="n">
        <x:v>0</x:v>
      </x:c>
      <x:c r="G569" s="60" t="n">
        <x:v>0.06</x:v>
      </x:c>
      <x:c r="H569" s="23" t="n">
        <x:f>IF(D569=F569,0,1)+IF(E569=G569,0,1)</x:f>
        <x:v>0</x:v>
      </x:c>
      <x:c r="I569" s="23" t="str">
        <x:v>Timing T20 / fictional rates</x:v>
      </x:c>
    </x:row>
    <x:row r="570" ht="21" customHeight="1">
      <x:c r="A570" s="23" t="str">
        <x:v>level_high</x:v>
      </x:c>
      <x:c r="B570" s="23" t="n">
        <x:v>35</x:v>
      </x:c>
      <x:c r="C570" s="37" t="n">
        <x:v>49583</x:v>
      </x:c>
      <x:c r="D570" s="55" t="n">
        <x:v>0</x:v>
      </x:c>
      <x:c r="E570" s="55" t="n">
        <x:v>0.06</x:v>
      </x:c>
      <x:c r="F570" s="60" t="n">
        <x:v>0</x:v>
      </x:c>
      <x:c r="G570" s="60" t="n">
        <x:v>0.06</x:v>
      </x:c>
      <x:c r="H570" s="23" t="n">
        <x:f>IF(D570=F570,0,1)+IF(E570=G570,0,1)</x:f>
        <x:v>0</x:v>
      </x:c>
      <x:c r="I570" s="23" t="str">
        <x:v>Timing T20 / fictional rates</x:v>
      </x:c>
    </x:row>
    <x:row r="571" ht="21" customHeight="1">
      <x:c r="A571" s="23" t="str">
        <x:v>level_high</x:v>
      </x:c>
      <x:c r="B571" s="23" t="n">
        <x:v>36</x:v>
      </x:c>
      <x:c r="C571" s="37" t="n">
        <x:v>49675</x:v>
      </x:c>
      <x:c r="D571" s="55" t="n">
        <x:v>0</x:v>
      </x:c>
      <x:c r="E571" s="55" t="n">
        <x:v>0.06</x:v>
      </x:c>
      <x:c r="F571" s="60" t="n">
        <x:v>0</x:v>
      </x:c>
      <x:c r="G571" s="60" t="n">
        <x:v>0.06</x:v>
      </x:c>
      <x:c r="H571" s="23" t="n">
        <x:f>IF(D571=F571,0,1)+IF(E571=G571,0,1)</x:f>
        <x:v>0</x:v>
      </x:c>
      <x:c r="I571" s="23" t="str">
        <x:v>Timing T20 / fictional rates</x:v>
      </x:c>
    </x:row>
    <x:row r="572" ht="21" customHeight="1">
      <x:c r="A572" s="23" t="str">
        <x:v>level_high</x:v>
      </x:c>
      <x:c r="B572" s="23" t="n">
        <x:v>37</x:v>
      </x:c>
      <x:c r="C572" s="37" t="n">
        <x:v>49766</x:v>
      </x:c>
      <x:c r="D572" s="55" t="n">
        <x:v>0</x:v>
      </x:c>
      <x:c r="E572" s="55" t="n">
        <x:v>0.06</x:v>
      </x:c>
      <x:c r="F572" s="60" t="n">
        <x:v>0</x:v>
      </x:c>
      <x:c r="G572" s="60" t="n">
        <x:v>0.06</x:v>
      </x:c>
      <x:c r="H572" s="23" t="n">
        <x:f>IF(D572=F572,0,1)+IF(E572=G572,0,1)</x:f>
        <x:v>0</x:v>
      </x:c>
      <x:c r="I572" s="23" t="str">
        <x:v>Timing T20 / fictional rates</x:v>
      </x:c>
    </x:row>
    <x:row r="573" ht="21" customHeight="1">
      <x:c r="A573" s="23" t="str">
        <x:v>level_high</x:v>
      </x:c>
      <x:c r="B573" s="23" t="n">
        <x:v>38</x:v>
      </x:c>
      <x:c r="C573" s="37" t="n">
        <x:v>49857</x:v>
      </x:c>
      <x:c r="D573" s="55" t="n">
        <x:v>0</x:v>
      </x:c>
      <x:c r="E573" s="55" t="n">
        <x:v>0.06</x:v>
      </x:c>
      <x:c r="F573" s="60" t="n">
        <x:v>0</x:v>
      </x:c>
      <x:c r="G573" s="60" t="n">
        <x:v>0.06</x:v>
      </x:c>
      <x:c r="H573" s="23" t="n">
        <x:f>IF(D573=F573,0,1)+IF(E573=G573,0,1)</x:f>
        <x:v>0</x:v>
      </x:c>
      <x:c r="I573" s="23" t="str">
        <x:v>Timing T20 / fictional rates</x:v>
      </x:c>
    </x:row>
    <x:row r="574" ht="21" customHeight="1">
      <x:c r="A574" s="23" t="str">
        <x:v>level_high</x:v>
      </x:c>
      <x:c r="B574" s="23" t="n">
        <x:v>39</x:v>
      </x:c>
      <x:c r="C574" s="37" t="n">
        <x:v>49949</x:v>
      </x:c>
      <x:c r="D574" s="55" t="n">
        <x:v>0</x:v>
      </x:c>
      <x:c r="E574" s="55" t="n">
        <x:v>0.06</x:v>
      </x:c>
      <x:c r="F574" s="60" t="n">
        <x:v>0</x:v>
      </x:c>
      <x:c r="G574" s="60" t="n">
        <x:v>0.06</x:v>
      </x:c>
      <x:c r="H574" s="23" t="n">
        <x:f>IF(D574=F574,0,1)+IF(E574=G574,0,1)</x:f>
        <x:v>0</x:v>
      </x:c>
      <x:c r="I574" s="23" t="str">
        <x:v>Timing T20 / fictional rates</x:v>
      </x:c>
    </x:row>
    <x:row r="575" ht="21" customHeight="1">
      <x:c r="A575" s="23" t="str">
        <x:v>level_high</x:v>
      </x:c>
      <x:c r="B575" s="23" t="n">
        <x:v>40</x:v>
      </x:c>
      <x:c r="C575" s="37" t="n">
        <x:v>50041</x:v>
      </x:c>
      <x:c r="D575" s="55" t="n">
        <x:v>0</x:v>
      </x:c>
      <x:c r="E575" s="55" t="n">
        <x:v>0.06</x:v>
      </x:c>
      <x:c r="F575" s="60" t="n">
        <x:v>0</x:v>
      </x:c>
      <x:c r="G575" s="60" t="n">
        <x:v>0.06</x:v>
      </x:c>
      <x:c r="H575" s="23" t="n">
        <x:f>IF(D575=F575,0,1)+IF(E575=G575,0,1)</x:f>
        <x:v>0</x:v>
      </x:c>
      <x:c r="I575" s="23" t="str">
        <x:v>Timing T20 / fictional rates</x:v>
      </x:c>
    </x:row>
    <x:row r="576" ht="21" customHeight="1">
      <x:c r="A576" s="23" t="str">
        <x:v>level_high</x:v>
      </x:c>
      <x:c r="B576" s="23" t="n">
        <x:v>41</x:v>
      </x:c>
      <x:c r="C576" s="37" t="n">
        <x:v>50131</x:v>
      </x:c>
      <x:c r="D576" s="55" t="n">
        <x:v>0</x:v>
      </x:c>
      <x:c r="E576" s="55" t="n">
        <x:v>0.06</x:v>
      </x:c>
      <x:c r="F576" s="60" t="n">
        <x:v>0</x:v>
      </x:c>
      <x:c r="G576" s="60" t="n">
        <x:v>0.06</x:v>
      </x:c>
      <x:c r="H576" s="23" t="n">
        <x:f>IF(D576=F576,0,1)+IF(E576=G576,0,1)</x:f>
        <x:v>0</x:v>
      </x:c>
      <x:c r="I576" s="23" t="str">
        <x:v>Timing T20 / fictional rates</x:v>
      </x:c>
    </x:row>
    <x:row r="577" ht="21" customHeight="1">
      <x:c r="A577" s="23" t="str">
        <x:v>level_high</x:v>
      </x:c>
      <x:c r="B577" s="23" t="n">
        <x:v>42</x:v>
      </x:c>
      <x:c r="C577" s="37" t="n">
        <x:v>50222</x:v>
      </x:c>
      <x:c r="D577" s="55" t="n">
        <x:v>0</x:v>
      </x:c>
      <x:c r="E577" s="55" t="n">
        <x:v>0.06</x:v>
      </x:c>
      <x:c r="F577" s="60" t="n">
        <x:v>0</x:v>
      </x:c>
      <x:c r="G577" s="60" t="n">
        <x:v>0.06</x:v>
      </x:c>
      <x:c r="H577" s="23" t="n">
        <x:f>IF(D577=F577,0,1)+IF(E577=G577,0,1)</x:f>
        <x:v>0</x:v>
      </x:c>
      <x:c r="I577" s="23" t="str">
        <x:v>Timing T20 / fictional rates</x:v>
      </x:c>
    </x:row>
    <x:row r="578" ht="21" customHeight="1">
      <x:c r="A578" s="23" t="str">
        <x:v>level_high</x:v>
      </x:c>
      <x:c r="B578" s="23" t="n">
        <x:v>43</x:v>
      </x:c>
      <x:c r="C578" s="37" t="n">
        <x:v>50314</x:v>
      </x:c>
      <x:c r="D578" s="55" t="n">
        <x:v>0</x:v>
      </x:c>
      <x:c r="E578" s="55" t="n">
        <x:v>0.06</x:v>
      </x:c>
      <x:c r="F578" s="60" t="n">
        <x:v>0</x:v>
      </x:c>
      <x:c r="G578" s="60" t="n">
        <x:v>0.06</x:v>
      </x:c>
      <x:c r="H578" s="23" t="n">
        <x:f>IF(D578=F578,0,1)+IF(E578=G578,0,1)</x:f>
        <x:v>0</x:v>
      </x:c>
      <x:c r="I578" s="23" t="str">
        <x:v>Timing T20 / fictional rates</x:v>
      </x:c>
    </x:row>
    <x:row r="579" ht="21" customHeight="1">
      <x:c r="A579" s="23" t="str">
        <x:v>level_high</x:v>
      </x:c>
      <x:c r="B579" s="23" t="n">
        <x:v>44</x:v>
      </x:c>
      <x:c r="C579" s="37" t="n">
        <x:v>50406</x:v>
      </x:c>
      <x:c r="D579" s="55" t="n">
        <x:v>0</x:v>
      </x:c>
      <x:c r="E579" s="55" t="n">
        <x:v>0.06</x:v>
      </x:c>
      <x:c r="F579" s="60" t="n">
        <x:v>0</x:v>
      </x:c>
      <x:c r="G579" s="60" t="n">
        <x:v>0.06</x:v>
      </x:c>
      <x:c r="H579" s="23" t="n">
        <x:f>IF(D579=F579,0,1)+IF(E579=G579,0,1)</x:f>
        <x:v>0</x:v>
      </x:c>
      <x:c r="I579" s="23" t="str">
        <x:v>Timing T20 / fictional rates</x:v>
      </x:c>
    </x:row>
    <x:row r="580" ht="21" customHeight="1">
      <x:c r="A580" s="23" t="str">
        <x:v>level_high</x:v>
      </x:c>
      <x:c r="B580" s="23" t="n">
        <x:v>45</x:v>
      </x:c>
      <x:c r="C580" s="37" t="n">
        <x:v>50496</x:v>
      </x:c>
      <x:c r="D580" s="55" t="n">
        <x:v>0</x:v>
      </x:c>
      <x:c r="E580" s="55" t="n">
        <x:v>0.06</x:v>
      </x:c>
      <x:c r="F580" s="60" t="n">
        <x:v>0</x:v>
      </x:c>
      <x:c r="G580" s="60" t="n">
        <x:v>0.06</x:v>
      </x:c>
      <x:c r="H580" s="23" t="n">
        <x:f>IF(D580=F580,0,1)+IF(E580=G580,0,1)</x:f>
        <x:v>0</x:v>
      </x:c>
      <x:c r="I580" s="23" t="str">
        <x:v>Timing T20 / fictional rates</x:v>
      </x:c>
    </x:row>
    <x:row r="581" ht="21" customHeight="1">
      <x:c r="A581" s="23" t="str">
        <x:v>level_high</x:v>
      </x:c>
      <x:c r="B581" s="23" t="n">
        <x:v>46</x:v>
      </x:c>
      <x:c r="C581" s="37" t="n">
        <x:v>50587</x:v>
      </x:c>
      <x:c r="D581" s="55" t="n">
        <x:v>0</x:v>
      </x:c>
      <x:c r="E581" s="55" t="n">
        <x:v>0.06</x:v>
      </x:c>
      <x:c r="F581" s="60" t="n">
        <x:v>0</x:v>
      </x:c>
      <x:c r="G581" s="60" t="n">
        <x:v>0.06</x:v>
      </x:c>
      <x:c r="H581" s="23" t="n">
        <x:f>IF(D581=F581,0,1)+IF(E581=G581,0,1)</x:f>
        <x:v>0</x:v>
      </x:c>
      <x:c r="I581" s="23" t="str">
        <x:v>Timing T20 / fictional rates</x:v>
      </x:c>
    </x:row>
    <x:row r="582" ht="21" customHeight="1">
      <x:c r="A582" s="23" t="str">
        <x:v>level_high</x:v>
      </x:c>
      <x:c r="B582" s="23" t="n">
        <x:v>47</x:v>
      </x:c>
      <x:c r="C582" s="37" t="n">
        <x:v>50679</x:v>
      </x:c>
      <x:c r="D582" s="55" t="n">
        <x:v>0</x:v>
      </x:c>
      <x:c r="E582" s="55" t="n">
        <x:v>0.06</x:v>
      </x:c>
      <x:c r="F582" s="60" t="n">
        <x:v>0</x:v>
      </x:c>
      <x:c r="G582" s="60" t="n">
        <x:v>0.06</x:v>
      </x:c>
      <x:c r="H582" s="23" t="n">
        <x:f>IF(D582=F582,0,1)+IF(E582=G582,0,1)</x:f>
        <x:v>0</x:v>
      </x:c>
      <x:c r="I582" s="23" t="str">
        <x:v>Timing T20 / fictional rates</x:v>
      </x:c>
    </x:row>
    <x:row r="583" ht="21" customHeight="1">
      <x:c r="A583" s="23" t="str">
        <x:v>level_high</x:v>
      </x:c>
      <x:c r="B583" s="23" t="n">
        <x:v>48</x:v>
      </x:c>
      <x:c r="C583" s="37" t="n">
        <x:v>50771</x:v>
      </x:c>
      <x:c r="D583" s="55" t="n">
        <x:v>0</x:v>
      </x:c>
      <x:c r="E583" s="55" t="n">
        <x:v>0.06</x:v>
      </x:c>
      <x:c r="F583" s="60" t="n">
        <x:v>0</x:v>
      </x:c>
      <x:c r="G583" s="60" t="n">
        <x:v>0.06</x:v>
      </x:c>
      <x:c r="H583" s="23" t="n">
        <x:f>IF(D583=F583,0,1)+IF(E583=G583,0,1)</x:f>
        <x:v>0</x:v>
      </x:c>
      <x:c r="I583" s="23" t="str">
        <x:v>Timing T20 / fictional rates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D88238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1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</x:cols>
  <x:sheetData>
    <x:row r="1">
      <x:c r="A1" s="23"/>
      <x:c r="B1" s="23"/>
      <x:c r="C1" s="116" t="str">
        <x:v>Development cash flow</x:v>
      </x:c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  <x:c r="AA1" s="23"/>
      <x:c r="AB1" s="23"/>
      <x:c r="AC1" s="23"/>
      <x:c r="AD1" s="23"/>
      <x:c r="AE1" s="23"/>
      <x:c r="AF1" s="23"/>
      <x:c r="AG1" s="23"/>
      <x:c r="AH1" s="23"/>
      <x:c r="AI1" s="23"/>
      <x:c r="AJ1" s="23"/>
      <x:c r="AK1" s="23"/>
      <x:c r="AL1" s="23"/>
      <x:c r="AM1" s="23"/>
      <x:c r="AN1" s="23"/>
      <x:c r="AO1" s="23"/>
      <x:c r="AP1" s="23"/>
      <x:c r="AQ1" s="23"/>
      <x:c r="AR1" s="23"/>
      <x:c r="AS1" s="23"/>
      <x:c r="AT1" s="23"/>
      <x:c r="AU1" s="23"/>
      <x:c r="AV1" s="23"/>
      <x:c r="AW1" s="23"/>
      <x:c r="AX1" s="23"/>
      <x:c r="AY1" s="23"/>
      <x:c r="AZ1" s="23"/>
    </x:row>
    <x:row r="2">
      <x:c r="A2" s="23"/>
      <x:c r="B2" s="23"/>
      <x:c r="C2" s="24" t="str">
        <x:v>Development Cash Flow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  <x:c r="AL2" s="25"/>
      <x:c r="AM2" s="25"/>
      <x:c r="AN2" s="25"/>
      <x:c r="AO2" s="25"/>
      <x:c r="AP2" s="25"/>
      <x:c r="AQ2" s="25"/>
      <x:c r="AR2" s="25"/>
      <x:c r="AS2" s="25"/>
      <x:c r="AT2" s="25"/>
      <x:c r="AU2" s="25"/>
      <x:c r="AV2" s="25"/>
      <x:c r="AW2" s="25"/>
      <x:c r="AX2" s="25"/>
      <x:c r="AY2" s="25"/>
      <x:c r="AZ2" s="25"/>
    </x:row>
    <x:row r="3" ht="22" customHeight="1">
      <x:c r="A3" s="23"/>
      <x:c r="B3" s="23"/>
      <x:c r="C3" s="26" t="str">
        <x:v>Python simulation; front_flat, 30% target defaults, 64% senior. ACT/365.</x:v>
      </x:c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  <x:c r="AA3" s="23"/>
      <x:c r="AB3" s="23"/>
      <x:c r="AC3" s="23"/>
      <x:c r="AD3" s="23"/>
      <x:c r="AE3" s="23"/>
      <x:c r="AF3" s="23"/>
      <x:c r="AG3" s="23"/>
      <x:c r="AH3" s="23"/>
      <x:c r="AI3" s="23"/>
      <x:c r="AJ3" s="23"/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3"/>
      <x:c r="AB4" s="23"/>
      <x:c r="AC4" s="23"/>
      <x:c r="AD4" s="23"/>
      <x:c r="AE4" s="23"/>
      <x:c r="AF4" s="23"/>
      <x:c r="AG4" s="23"/>
      <x:c r="AH4" s="23"/>
      <x:c r="AI4" s="23"/>
      <x:c r="AJ4" s="23"/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</x:row>
    <x:row r="5">
      <x:c r="A5" s="23"/>
      <x:c r="B5" s="23"/>
      <x:c r="C5" s="32" t="str">
        <x:f>IF(Refresh_Required,"REFRESH REQUIRED — Python results reflect the last run","Python results match the imported inputs")</x:f>
        <x:v>Python results match the imported inputs</x:v>
      </x:c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  <x:c r="AA5" s="23"/>
      <x:c r="AB5" s="23"/>
      <x:c r="AC5" s="23"/>
      <x:c r="AD5" s="23"/>
      <x:c r="AE5" s="23"/>
      <x:c r="AF5" s="23"/>
      <x:c r="AG5" s="23"/>
      <x:c r="AH5" s="23"/>
      <x:c r="AI5" s="23"/>
      <x:c r="AJ5" s="23"/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  <x:c r="AA6" s="23"/>
      <x:c r="AB6" s="23"/>
      <x:c r="AC6" s="23"/>
      <x:c r="AD6" s="23"/>
      <x:c r="AE6" s="23"/>
      <x:c r="AF6" s="23"/>
      <x:c r="AG6" s="23"/>
      <x:c r="AH6" s="23"/>
      <x:c r="AI6" s="23"/>
      <x:c r="AJ6" s="23"/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</x:row>
    <x:row r="7" ht="38" customHeight="1">
      <x:c r="A7" s="23"/>
      <x:c r="B7" s="23"/>
      <x:c r="C7" s="7" t="str">
        <x:v>Cash flow line</x:v>
      </x:c>
      <x:c r="D7" s="7" t="str">
        <x:v>Unit</x:v>
      </x:c>
      <x:c r="E7" s="82" t="n">
        <x:v>46478</x:v>
      </x:c>
      <x:c r="F7" s="82" t="n">
        <x:v>46569</x:v>
      </x:c>
      <x:c r="G7" s="82" t="n">
        <x:v>46661</x:v>
      </x:c>
      <x:c r="H7" s="82" t="n">
        <x:v>46753</x:v>
      </x:c>
      <x:c r="I7" s="82" t="n">
        <x:v>46844</x:v>
      </x:c>
      <x:c r="J7" s="82" t="n">
        <x:v>46935</x:v>
      </x:c>
      <x:c r="K7" s="82" t="n">
        <x:v>47027</x:v>
      </x:c>
      <x:c r="L7" s="82" t="n">
        <x:v>47119</x:v>
      </x:c>
      <x:c r="M7" s="82" t="n">
        <x:v>47209</x:v>
      </x:c>
      <x:c r="N7" s="82" t="n">
        <x:v>47300</x:v>
      </x:c>
      <x:c r="O7" s="82" t="n">
        <x:v>47392</x:v>
      </x:c>
      <x:c r="P7" s="82" t="n">
        <x:v>47484</x:v>
      </x:c>
      <x:c r="Q7" s="82" t="n">
        <x:v>47574</x:v>
      </x:c>
      <x:c r="R7" s="82" t="n">
        <x:v>47665</x:v>
      </x:c>
      <x:c r="S7" s="82" t="n">
        <x:v>47757</x:v>
      </x:c>
      <x:c r="T7" s="82" t="n">
        <x:v>47849</x:v>
      </x:c>
      <x:c r="U7" s="82" t="n">
        <x:v>47939</x:v>
      </x:c>
      <x:c r="V7" s="82" t="n">
        <x:v>48030</x:v>
      </x:c>
      <x:c r="W7" s="82" t="n">
        <x:v>48122</x:v>
      </x:c>
      <x:c r="X7" s="82" t="n">
        <x:v>48214</x:v>
      </x:c>
      <x:c r="Y7" s="82" t="n">
        <x:v>48305</x:v>
      </x:c>
      <x:c r="Z7" s="82" t="n">
        <x:v>48396</x:v>
      </x:c>
      <x:c r="AA7" s="82" t="n">
        <x:v>48488</x:v>
      </x:c>
      <x:c r="AB7" s="82" t="n">
        <x:v>48580</x:v>
      </x:c>
      <x:c r="AC7" s="82" t="n">
        <x:v>48670</x:v>
      </x:c>
      <x:c r="AD7" s="82" t="n">
        <x:v>48761</x:v>
      </x:c>
      <x:c r="AE7" s="82" t="n">
        <x:v>48853</x:v>
      </x:c>
      <x:c r="AF7" s="82" t="n">
        <x:v>48945</x:v>
      </x:c>
      <x:c r="AG7" s="82" t="n">
        <x:v>49035</x:v>
      </x:c>
      <x:c r="AH7" s="82" t="n">
        <x:v>49126</x:v>
      </x:c>
      <x:c r="AI7" s="82" t="n">
        <x:v>49218</x:v>
      </x:c>
      <x:c r="AJ7" s="82" t="n">
        <x:v>49310</x:v>
      </x:c>
      <x:c r="AK7" s="82" t="n">
        <x:v>49400</x:v>
      </x:c>
      <x:c r="AL7" s="82" t="n">
        <x:v>49491</x:v>
      </x:c>
      <x:c r="AM7" s="82" t="n">
        <x:v>49583</x:v>
      </x:c>
      <x:c r="AN7" s="82" t="n">
        <x:v>49675</x:v>
      </x:c>
      <x:c r="AO7" s="82" t="n">
        <x:v>49766</x:v>
      </x:c>
      <x:c r="AP7" s="82" t="n">
        <x:v>49857</x:v>
      </x:c>
      <x:c r="AQ7" s="82" t="n">
        <x:v>49949</x:v>
      </x:c>
      <x:c r="AR7" s="82" t="n">
        <x:v>50041</x:v>
      </x:c>
      <x:c r="AS7" s="82" t="n">
        <x:v>50131</x:v>
      </x:c>
      <x:c r="AT7" s="82" t="n">
        <x:v>50222</x:v>
      </x:c>
      <x:c r="AU7" s="82" t="n">
        <x:v>50314</x:v>
      </x:c>
      <x:c r="AV7" s="82" t="n">
        <x:v>50406</x:v>
      </x:c>
      <x:c r="AW7" s="82" t="n">
        <x:v>50496</x:v>
      </x:c>
      <x:c r="AX7" s="82" t="n">
        <x:v>50587</x:v>
      </x:c>
      <x:c r="AY7" s="82" t="n">
        <x:v>50679</x:v>
      </x:c>
      <x:c r="AZ7" s="82" t="n">
        <x:v>50771</x:v>
      </x:c>
    </x:row>
    <x:row r="8" ht="21" customHeight="1">
      <x:c r="A8" s="23"/>
      <x:c r="B8" s="23"/>
      <x:c r="C8" s="23" t="str">
        <x:v>performing begin</x:v>
      </x:c>
      <x:c r="D8" s="23" t="str">
        <x:v>USD</x:v>
      </x:c>
      <x:c r="E8" s="85" t="n">
        <x:v>300000000</x:v>
      </x:c>
      <x:c r="F8" s="85" t="n">
        <x:v>291225000</x:v>
      </x:c>
      <x:c r="G8" s="85" t="n">
        <x:v>282450000</x:v>
      </x:c>
      <x:c r="H8" s="85" t="n">
        <x:v>273675000</x:v>
      </x:c>
      <x:c r="I8" s="85" t="n">
        <x:v>264900000</x:v>
      </x:c>
      <x:c r="J8" s="85" t="n">
        <x:v>259950000</x:v>
      </x:c>
      <x:c r="K8" s="85" t="n">
        <x:v>255000000</x:v>
      </x:c>
      <x:c r="L8" s="85" t="n">
        <x:v>250050000</x:v>
      </x:c>
      <x:c r="M8" s="85" t="n">
        <x:v>245100000</x:v>
      </x:c>
      <x:c r="N8" s="85" t="n">
        <x:v>239089830</x:v>
      </x:c>
      <x:c r="O8" s="85" t="n">
        <x:v>233615463.96658653</x:v>
      </x:c>
      <x:c r="P8" s="85" t="n">
        <x:v>226755424.40153992</x:v>
      </x:c>
      <x:c r="Q8" s="85" t="n">
        <x:v>219039050.1479493</x:v>
      </x:c>
      <x:c r="R8" s="85" t="n">
        <x:v>210716277.54562476</x:v>
      </x:c>
      <x:c r="S8" s="85" t="n">
        <x:v>202019193.79635838</x:v>
      </x:c>
      <x:c r="T8" s="85" t="n">
        <x:v>188063403.8016988</x:v>
      </x:c>
      <x:c r="U8" s="85" t="n">
        <x:v>176109596.9603642</x:v>
      </x:c>
      <x:c r="V8" s="85" t="n">
        <x:v>167065325.91406703</x:v>
      </x:c>
      <x:c r="W8" s="85" t="n">
        <x:v>148366353.6567692</x:v>
      </x:c>
      <x:c r="X8" s="85" t="n">
        <x:v>136264062.27044287</x:v>
      </x:c>
      <x:c r="Y8" s="85" t="n">
        <x:v>116466865.78432836</x:v>
      </x:c>
      <x:c r="Z8" s="85" t="n">
        <x:v>103609183.21292399</x:v>
      </x:c>
      <x:c r="AA8" s="85" t="n">
        <x:v>93325773.56071061</x:v>
      </x:c>
      <x:c r="AB8" s="85" t="n">
        <x:v>76287548.38787755</x:v>
      </x:c>
      <x:c r="AC8" s="85" t="n">
        <x:v>54344317.41366278</x:v>
      </x:c>
      <x:c r="AD8" s="85" t="n">
        <x:v>41249935.81753343</x:v>
      </x:c>
      <x:c r="AE8" s="85" t="n">
        <x:v>34512906.928829506</x:v>
      </x:c>
      <x:c r="AF8" s="85" t="n">
        <x:v>25551180.848201826</x:v>
      </x:c>
      <x:c r="AG8" s="85" t="n">
        <x:v>13422066.084115658</x:v>
      </x:c>
      <x:c r="AH8" s="85" t="n">
        <x:v>8139436.405138027</x:v>
      </x:c>
      <x:c r="AI8" s="85" t="n">
        <x:v>3665414.3770994744</x:v>
      </x:c>
      <x:c r="AJ8" s="85" t="n">
        <x:v>2856806.726160397</x:v>
      </x:c>
      <x:c r="AK8" s="85" t="n">
        <x:v>1239591.4242822411</x:v>
      </x:c>
      <x:c r="AL8" s="85" t="n">
        <x:v>1239591.4242822411</x:v>
      </x:c>
      <x:c r="AM8" s="85" t="n">
        <x:v>1239591.4242822411</x:v>
      </x:c>
      <x:c r="AN8" s="85" t="n">
        <x:v>322895.77939360804</x:v>
      </x:c>
      <x:c r="AO8" s="85" t="n">
        <x:v>0</x:v>
      </x:c>
      <x:c r="AP8" s="85" t="n">
        <x:v>0</x:v>
      </x:c>
      <x:c r="AQ8" s="85" t="n">
        <x:v>0</x:v>
      </x:c>
      <x:c r="AR8" s="85" t="n">
        <x:v>0</x:v>
      </x:c>
      <x:c r="AS8" s="85" t="n">
        <x:v>0</x:v>
      </x:c>
      <x:c r="AT8" s="85" t="n">
        <x:v>0</x:v>
      </x:c>
      <x:c r="AU8" s="85" t="n">
        <x:v>0</x:v>
      </x:c>
      <x:c r="AV8" s="85" t="n">
        <x:v>0</x:v>
      </x:c>
      <x:c r="AW8" s="85" t="n">
        <x:v>0</x:v>
      </x:c>
      <x:c r="AX8" s="85" t="n">
        <x:v>0</x:v>
      </x:c>
      <x:c r="AY8" s="85" t="n">
        <x:v>0</x:v>
      </x:c>
      <x:c r="AZ8" s="85" t="n">
        <x:v>0</x:v>
      </x:c>
    </x:row>
    <x:row r="9" ht="21" customHeight="1">
      <x:c r="A9" s="150"/>
      <x:c r="B9" s="150"/>
      <x:c r="C9" s="23" t="str">
        <x:v>requested defaults</x:v>
      </x:c>
      <x:c r="D9" s="23" t="str">
        <x:v>USD</x:v>
      </x:c>
      <x:c r="E9" s="85" t="n">
        <x:v>8775000</x:v>
      </x:c>
      <x:c r="F9" s="85" t="n">
        <x:v>8775000</x:v>
      </x:c>
      <x:c r="G9" s="85" t="n">
        <x:v>8775000</x:v>
      </x:c>
      <x:c r="H9" s="85" t="n">
        <x:v>8775000</x:v>
      </x:c>
      <x:c r="I9" s="85" t="n">
        <x:v>4950000</x:v>
      </x:c>
      <x:c r="J9" s="85" t="n">
        <x:v>4950000</x:v>
      </x:c>
      <x:c r="K9" s="85" t="n">
        <x:v>4950000</x:v>
      </x:c>
      <x:c r="L9" s="85" t="n">
        <x:v>4950000</x:v>
      </x:c>
      <x:c r="M9" s="85" t="n">
        <x:v>3600000</x:v>
      </x:c>
      <x:c r="N9" s="85" t="n">
        <x:v>3600000</x:v>
      </x:c>
      <x:c r="O9" s="85" t="n">
        <x:v>3600000</x:v>
      </x:c>
      <x:c r="P9" s="85" t="n">
        <x:v>3600000</x:v>
      </x:c>
      <x:c r="Q9" s="85" t="n">
        <x:v>2925000</x:v>
      </x:c>
      <x:c r="R9" s="85" t="n">
        <x:v>2925000</x:v>
      </x:c>
      <x:c r="S9" s="85" t="n">
        <x:v>2925000</x:v>
      </x:c>
      <x:c r="T9" s="85" t="n">
        <x:v>2925000</x:v>
      </x:c>
      <x:c r="U9" s="85" t="n">
        <x:v>2250000</x:v>
      </x:c>
      <x:c r="V9" s="85" t="n">
        <x:v>2250000</x:v>
      </x:c>
      <x:c r="W9" s="85" t="n">
        <x:v>2250000</x:v>
      </x:c>
      <x:c r="X9" s="85" t="n">
        <x:v>2250000</x:v>
      </x:c>
      <x:c r="Y9" s="85" t="n">
        <x:v>0</x:v>
      </x:c>
      <x:c r="Z9" s="85" t="n">
        <x:v>0</x:v>
      </x:c>
      <x:c r="AA9" s="85" t="n">
        <x:v>0</x:v>
      </x:c>
      <x:c r="AB9" s="85" t="n">
        <x:v>0</x:v>
      </x:c>
      <x:c r="AC9" s="85" t="n">
        <x:v>0</x:v>
      </x:c>
      <x:c r="AD9" s="85" t="n">
        <x:v>0</x:v>
      </x:c>
      <x:c r="AE9" s="85" t="n">
        <x:v>0</x:v>
      </x:c>
      <x:c r="AF9" s="85" t="n">
        <x:v>0</x:v>
      </x:c>
      <x:c r="AG9" s="85" t="n">
        <x:v>0</x:v>
      </x:c>
      <x:c r="AH9" s="85" t="n">
        <x:v>0</x:v>
      </x:c>
      <x:c r="AI9" s="85" t="n">
        <x:v>0</x:v>
      </x:c>
      <x:c r="AJ9" s="85" t="n">
        <x:v>0</x:v>
      </x:c>
      <x:c r="AK9" s="85" t="n">
        <x:v>0</x:v>
      </x:c>
      <x:c r="AL9" s="85" t="n">
        <x:v>0</x:v>
      </x:c>
      <x:c r="AM9" s="85" t="n">
        <x:v>0</x:v>
      </x:c>
      <x:c r="AN9" s="85" t="n">
        <x:v>0</x:v>
      </x:c>
      <x:c r="AO9" s="85" t="n">
        <x:v>0</x:v>
      </x:c>
      <x:c r="AP9" s="85" t="n">
        <x:v>0</x:v>
      </x:c>
      <x:c r="AQ9" s="85" t="n">
        <x:v>0</x:v>
      </x:c>
      <x:c r="AR9" s="85" t="n">
        <x:v>0</x:v>
      </x:c>
      <x:c r="AS9" s="85" t="n">
        <x:v>0</x:v>
      </x:c>
      <x:c r="AT9" s="85" t="n">
        <x:v>0</x:v>
      </x:c>
      <x:c r="AU9" s="85" t="n">
        <x:v>0</x:v>
      </x:c>
      <x:c r="AV9" s="85" t="n">
        <x:v>0</x:v>
      </x:c>
      <x:c r="AW9" s="85" t="n">
        <x:v>0</x:v>
      </x:c>
      <x:c r="AX9" s="85" t="n">
        <x:v>0</x:v>
      </x:c>
      <x:c r="AY9" s="85" t="n">
        <x:v>0</x:v>
      </x:c>
      <x:c r="AZ9" s="85" t="n">
        <x:v>0</x:v>
      </x:c>
    </x:row>
    <x:row r="10" ht="21" customHeight="1">
      <x:c r="A10" s="150"/>
      <x:c r="B10" s="150"/>
      <x:c r="C10" s="23" t="str">
        <x:v>defaults</x:v>
      </x:c>
      <x:c r="D10" s="23" t="str">
        <x:v>USD</x:v>
      </x:c>
      <x:c r="E10" s="85" t="n">
        <x:v>8775000</x:v>
      </x:c>
      <x:c r="F10" s="85" t="n">
        <x:v>8775000</x:v>
      </x:c>
      <x:c r="G10" s="85" t="n">
        <x:v>8775000</x:v>
      </x:c>
      <x:c r="H10" s="85" t="n">
        <x:v>8775000</x:v>
      </x:c>
      <x:c r="I10" s="85" t="n">
        <x:v>4950000</x:v>
      </x:c>
      <x:c r="J10" s="85" t="n">
        <x:v>4950000</x:v>
      </x:c>
      <x:c r="K10" s="85" t="n">
        <x:v>4950000</x:v>
      </x:c>
      <x:c r="L10" s="85" t="n">
        <x:v>4950000</x:v>
      </x:c>
      <x:c r="M10" s="85" t="n">
        <x:v>3600000</x:v>
      </x:c>
      <x:c r="N10" s="85" t="n">
        <x:v>3600000</x:v>
      </x:c>
      <x:c r="O10" s="85" t="n">
        <x:v>3600000</x:v>
      </x:c>
      <x:c r="P10" s="85" t="n">
        <x:v>3600000</x:v>
      </x:c>
      <x:c r="Q10" s="85" t="n">
        <x:v>2925000</x:v>
      </x:c>
      <x:c r="R10" s="85" t="n">
        <x:v>2925000</x:v>
      </x:c>
      <x:c r="S10" s="85" t="n">
        <x:v>2925000</x:v>
      </x:c>
      <x:c r="T10" s="85" t="n">
        <x:v>2925000</x:v>
      </x:c>
      <x:c r="U10" s="85" t="n">
        <x:v>2250000</x:v>
      </x:c>
      <x:c r="V10" s="85" t="n">
        <x:v>2250000</x:v>
      </x:c>
      <x:c r="W10" s="85" t="n">
        <x:v>2250000</x:v>
      </x:c>
      <x:c r="X10" s="85" t="n">
        <x:v>2250000</x:v>
      </x:c>
      <x:c r="Y10" s="85" t="n">
        <x:v>0</x:v>
      </x:c>
      <x:c r="Z10" s="85" t="n">
        <x:v>0</x:v>
      </x:c>
      <x:c r="AA10" s="85" t="n">
        <x:v>0</x:v>
      </x:c>
      <x:c r="AB10" s="85" t="n">
        <x:v>0</x:v>
      </x:c>
      <x:c r="AC10" s="85" t="n">
        <x:v>0</x:v>
      </x:c>
      <x:c r="AD10" s="85" t="n">
        <x:v>0</x:v>
      </x:c>
      <x:c r="AE10" s="85" t="n">
        <x:v>0</x:v>
      </x:c>
      <x:c r="AF10" s="85" t="n">
        <x:v>0</x:v>
      </x:c>
      <x:c r="AG10" s="85" t="n">
        <x:v>0</x:v>
      </x:c>
      <x:c r="AH10" s="85" t="n">
        <x:v>0</x:v>
      </x:c>
      <x:c r="AI10" s="85" t="n">
        <x:v>0</x:v>
      </x:c>
      <x:c r="AJ10" s="85" t="n">
        <x:v>0</x:v>
      </x:c>
      <x:c r="AK10" s="85" t="n">
        <x:v>0</x:v>
      </x:c>
      <x:c r="AL10" s="85" t="n">
        <x:v>0</x:v>
      </x:c>
      <x:c r="AM10" s="85" t="n">
        <x:v>0</x:v>
      </x:c>
      <x:c r="AN10" s="85" t="n">
        <x:v>0</x:v>
      </x:c>
      <x:c r="AO10" s="85" t="n">
        <x:v>0</x:v>
      </x:c>
      <x:c r="AP10" s="85" t="n">
        <x:v>0</x:v>
      </x:c>
      <x:c r="AQ10" s="85" t="n">
        <x:v>0</x:v>
      </x:c>
      <x:c r="AR10" s="85" t="n">
        <x:v>0</x:v>
      </x:c>
      <x:c r="AS10" s="85" t="n">
        <x:v>0</x:v>
      </x:c>
      <x:c r="AT10" s="85" t="n">
        <x:v>0</x:v>
      </x:c>
      <x:c r="AU10" s="85" t="n">
        <x:v>0</x:v>
      </x:c>
      <x:c r="AV10" s="85" t="n">
        <x:v>0</x:v>
      </x:c>
      <x:c r="AW10" s="85" t="n">
        <x:v>0</x:v>
      </x:c>
      <x:c r="AX10" s="85" t="n">
        <x:v>0</x:v>
      </x:c>
      <x:c r="AY10" s="85" t="n">
        <x:v>0</x:v>
      </x:c>
      <x:c r="AZ10" s="85" t="n">
        <x:v>0</x:v>
      </x:c>
    </x:row>
    <x:row r="11" ht="21" customHeight="1">
      <x:c r="A11" s="150"/>
      <x:c r="B11" s="150"/>
      <x:c r="C11" s="23" t="str">
        <x:v>prepayments</x:v>
      </x:c>
      <x:c r="D11" s="23" t="str">
        <x:v>USD</x:v>
      </x:c>
      <x:c r="E11" s="85" t="n">
        <x:v>0</x:v>
      </x:c>
      <x:c r="F11" s="85" t="n">
        <x:v>0</x:v>
      </x:c>
      <x:c r="G11" s="85" t="n">
        <x:v>0</x:v>
      </x:c>
      <x:c r="H11" s="85" t="n">
        <x:v>0</x:v>
      </x:c>
      <x:c r="I11" s="85" t="n">
        <x:v>0</x:v>
      </x:c>
      <x:c r="J11" s="85" t="n">
        <x:v>0</x:v>
      </x:c>
      <x:c r="K11" s="85" t="n">
        <x:v>0</x:v>
      </x:c>
      <x:c r="L11" s="85" t="n">
        <x:v>0</x:v>
      </x:c>
      <x:c r="M11" s="85" t="n">
        <x:v>0</x:v>
      </x:c>
      <x:c r="N11" s="85" t="n">
        <x:v>0</x:v>
      </x:c>
      <x:c r="O11" s="85" t="n">
        <x:v>0</x:v>
      </x:c>
      <x:c r="P11" s="85" t="n">
        <x:v>0</x:v>
      </x:c>
      <x:c r="Q11" s="85" t="n">
        <x:v>0</x:v>
      </x:c>
      <x:c r="R11" s="85" t="n">
        <x:v>0</x:v>
      </x:c>
      <x:c r="S11" s="85" t="n">
        <x:v>0</x:v>
      </x:c>
      <x:c r="T11" s="85" t="n">
        <x:v>0</x:v>
      </x:c>
      <x:c r="U11" s="85" t="n">
        <x:v>0</x:v>
      </x:c>
      <x:c r="V11" s="85" t="n">
        <x:v>0</x:v>
      </x:c>
      <x:c r="W11" s="85" t="n">
        <x:v>0</x:v>
      </x:c>
      <x:c r="X11" s="85" t="n">
        <x:v>0</x:v>
      </x:c>
      <x:c r="Y11" s="85" t="n">
        <x:v>0</x:v>
      </x:c>
      <x:c r="Z11" s="85" t="n">
        <x:v>0</x:v>
      </x:c>
      <x:c r="AA11" s="85" t="n">
        <x:v>0</x:v>
      </x:c>
      <x:c r="AB11" s="85" t="n">
        <x:v>0</x:v>
      </x:c>
      <x:c r="AC11" s="85" t="n">
        <x:v>0</x:v>
      </x:c>
      <x:c r="AD11" s="85" t="n">
        <x:v>0</x:v>
      </x:c>
      <x:c r="AE11" s="85" t="n">
        <x:v>0</x:v>
      </x:c>
      <x:c r="AF11" s="85" t="n">
        <x:v>0</x:v>
      </x:c>
      <x:c r="AG11" s="85" t="n">
        <x:v>0</x:v>
      </x:c>
      <x:c r="AH11" s="85" t="n">
        <x:v>0</x:v>
      </x:c>
      <x:c r="AI11" s="85" t="n">
        <x:v>0</x:v>
      </x:c>
      <x:c r="AJ11" s="85" t="n">
        <x:v>0</x:v>
      </x:c>
      <x:c r="AK11" s="85" t="n">
        <x:v>0</x:v>
      </x:c>
      <x:c r="AL11" s="85" t="n">
        <x:v>0</x:v>
      </x:c>
      <x:c r="AM11" s="85" t="n">
        <x:v>0</x:v>
      </x:c>
      <x:c r="AN11" s="85" t="n">
        <x:v>0</x:v>
      </x:c>
      <x:c r="AO11" s="85" t="n">
        <x:v>0</x:v>
      </x:c>
      <x:c r="AP11" s="85" t="n">
        <x:v>0</x:v>
      </x:c>
      <x:c r="AQ11" s="85" t="n">
        <x:v>0</x:v>
      </x:c>
      <x:c r="AR11" s="85" t="n">
        <x:v>0</x:v>
      </x:c>
      <x:c r="AS11" s="85" t="n">
        <x:v>0</x:v>
      </x:c>
      <x:c r="AT11" s="85" t="n">
        <x:v>0</x:v>
      </x:c>
      <x:c r="AU11" s="85" t="n">
        <x:v>0</x:v>
      </x:c>
      <x:c r="AV11" s="85" t="n">
        <x:v>0</x:v>
      </x:c>
      <x:c r="AW11" s="85" t="n">
        <x:v>0</x:v>
      </x:c>
      <x:c r="AX11" s="85" t="n">
        <x:v>0</x:v>
      </x:c>
      <x:c r="AY11" s="85" t="n">
        <x:v>0</x:v>
      </x:c>
      <x:c r="AZ11" s="85" t="n">
        <x:v>0</x:v>
      </x:c>
    </x:row>
    <x:row r="12" ht="21" customHeight="1">
      <x:c r="A12" s="150"/>
      <x:c r="B12" s="150"/>
      <x:c r="C12" s="23" t="str">
        <x:v>maturities</x:v>
      </x:c>
      <x:c r="D12" s="23" t="str">
        <x:v>USD</x:v>
      </x:c>
      <x:c r="E12" s="85" t="n">
        <x:v>0</x:v>
      </x:c>
      <x:c r="F12" s="85" t="n">
        <x:v>0</x:v>
      </x:c>
      <x:c r="G12" s="85" t="n">
        <x:v>0</x:v>
      </x:c>
      <x:c r="H12" s="85" t="n">
        <x:v>0</x:v>
      </x:c>
      <x:c r="I12" s="85" t="n">
        <x:v>0</x:v>
      </x:c>
      <x:c r="J12" s="85" t="n">
        <x:v>0</x:v>
      </x:c>
      <x:c r="K12" s="85" t="n">
        <x:v>0</x:v>
      </x:c>
      <x:c r="L12" s="85" t="n">
        <x:v>0</x:v>
      </x:c>
      <x:c r="M12" s="85" t="n">
        <x:v>2410170</x:v>
      </x:c>
      <x:c r="N12" s="85" t="n">
        <x:v>1874366.0334134663</x:v>
      </x:c>
      <x:c r="O12" s="85" t="n">
        <x:v>3260039.565046617</x:v>
      </x:c>
      <x:c r="P12" s="85" t="n">
        <x:v>4116374.2535906127</x:v>
      </x:c>
      <x:c r="Q12" s="85" t="n">
        <x:v>5397772.602324547</x:v>
      </x:c>
      <x:c r="R12" s="85" t="n">
        <x:v>5772083.749266384</x:v>
      </x:c>
      <x:c r="S12" s="85" t="n">
        <x:v>11030789.994659577</x:v>
      </x:c>
      <x:c r="T12" s="85" t="n">
        <x:v>9028806.841334594</x:v>
      </x:c>
      <x:c r="U12" s="85" t="n">
        <x:v>6794271.046297193</x:v>
      </x:c>
      <x:c r="V12" s="85" t="n">
        <x:v>16448972.257297838</x:v>
      </x:c>
      <x:c r="W12" s="85" t="n">
        <x:v>9852291.386326319</x:v>
      </x:c>
      <x:c r="X12" s="85" t="n">
        <x:v>17547196.486114502</x:v>
      </x:c>
      <x:c r="Y12" s="85" t="n">
        <x:v>12857682.57140437</x:v>
      </x:c>
      <x:c r="Z12" s="85" t="n">
        <x:v>10283409.652213382</x:v>
      </x:c>
      <x:c r="AA12" s="85" t="n">
        <x:v>17038225.17283305</x:v>
      </x:c>
      <x:c r="AB12" s="85" t="n">
        <x:v>21943230.974214762</x:v>
      </x:c>
      <x:c r="AC12" s="85" t="n">
        <x:v>13094381.596129349</x:v>
      </x:c>
      <x:c r="AD12" s="85" t="n">
        <x:v>6737028.888703926</x:v>
      </x:c>
      <x:c r="AE12" s="85" t="n">
        <x:v>8961726.080627684</x:v>
      </x:c>
      <x:c r="AF12" s="85" t="n">
        <x:v>12129114.764086166</x:v>
      </x:c>
      <x:c r="AG12" s="85" t="n">
        <x:v>5282629.678977631</x:v>
      </x:c>
      <x:c r="AH12" s="85" t="n">
        <x:v>4474022.028038553</x:v>
      </x:c>
      <x:c r="AI12" s="85" t="n">
        <x:v>808607.6509390778</x:v>
      </x:c>
      <x:c r="AJ12" s="85" t="n">
        <x:v>1617215.3018781554</x:v>
      </x:c>
      <x:c r="AK12" s="85" t="n">
        <x:v>0</x:v>
      </x:c>
      <x:c r="AL12" s="85" t="n">
        <x:v>0</x:v>
      </x:c>
      <x:c r="AM12" s="85" t="n">
        <x:v>916695.6448886332</x:v>
      </x:c>
      <x:c r="AN12" s="85" t="n">
        <x:v>322895.77939360804</x:v>
      </x:c>
      <x:c r="AO12" s="85" t="n">
        <x:v>0</x:v>
      </x:c>
      <x:c r="AP12" s="85" t="n">
        <x:v>0</x:v>
      </x:c>
      <x:c r="AQ12" s="85" t="n">
        <x:v>0</x:v>
      </x:c>
      <x:c r="AR12" s="85" t="n">
        <x:v>0</x:v>
      </x:c>
      <x:c r="AS12" s="85" t="n">
        <x:v>0</x:v>
      </x:c>
      <x:c r="AT12" s="85" t="n">
        <x:v>0</x:v>
      </x:c>
      <x:c r="AU12" s="85" t="n">
        <x:v>0</x:v>
      </x:c>
      <x:c r="AV12" s="85" t="n">
        <x:v>0</x:v>
      </x:c>
      <x:c r="AW12" s="85" t="n">
        <x:v>0</x:v>
      </x:c>
      <x:c r="AX12" s="85" t="n">
        <x:v>0</x:v>
      </x:c>
      <x:c r="AY12" s="85" t="n">
        <x:v>0</x:v>
      </x:c>
      <x:c r="AZ12" s="85" t="n">
        <x:v>0</x:v>
      </x:c>
    </x:row>
    <x:row r="13" ht="21" customHeight="1">
      <x:c r="A13" s="150"/>
      <x:c r="B13" s="150"/>
      <x:c r="C13" s="23" t="str">
        <x:v>liquidated par</x:v>
      </x:c>
      <x:c r="D13" s="23" t="str">
        <x:v>USD</x:v>
      </x:c>
      <x:c r="E13" s="85" t="n">
        <x:v>0</x:v>
      </x:c>
      <x:c r="F13" s="85" t="n">
        <x:v>0</x:v>
      </x:c>
      <x:c r="G13" s="85" t="n">
        <x:v>0</x:v>
      </x:c>
      <x:c r="H13" s="85" t="n">
        <x:v>0</x:v>
      </x:c>
      <x:c r="I13" s="85" t="n">
        <x:v>0</x:v>
      </x:c>
      <x:c r="J13" s="85" t="n">
        <x:v>0</x:v>
      </x:c>
      <x:c r="K13" s="85" t="n">
        <x:v>0</x:v>
      </x:c>
      <x:c r="L13" s="85" t="n">
        <x:v>0</x:v>
      </x:c>
      <x:c r="M13" s="85" t="n">
        <x:v>0</x:v>
      </x:c>
      <x:c r="N13" s="85" t="n">
        <x:v>0</x:v>
      </x:c>
      <x:c r="O13" s="85" t="n">
        <x:v>0</x:v>
      </x:c>
      <x:c r="P13" s="85" t="n">
        <x:v>0</x:v>
      </x:c>
      <x:c r="Q13" s="85" t="n">
        <x:v>0</x:v>
      </x:c>
      <x:c r="R13" s="85" t="n">
        <x:v>0</x:v>
      </x:c>
      <x:c r="S13" s="85" t="n">
        <x:v>0</x:v>
      </x:c>
      <x:c r="T13" s="85" t="n">
        <x:v>0</x:v>
      </x:c>
      <x:c r="U13" s="85" t="n">
        <x:v>0</x:v>
      </x:c>
      <x:c r="V13" s="85" t="n">
        <x:v>0</x:v>
      </x:c>
      <x:c r="W13" s="85" t="n">
        <x:v>0</x:v>
      </x:c>
      <x:c r="X13" s="85" t="n">
        <x:v>0</x:v>
      </x:c>
      <x:c r="Y13" s="85" t="n">
        <x:v>0</x:v>
      </x:c>
      <x:c r="Z13" s="85" t="n">
        <x:v>0</x:v>
      </x:c>
      <x:c r="AA13" s="85" t="n">
        <x:v>0</x:v>
      </x:c>
      <x:c r="AB13" s="85" t="n">
        <x:v>0</x:v>
      </x:c>
      <x:c r="AC13" s="85" t="n">
        <x:v>0</x:v>
      </x:c>
      <x:c r="AD13" s="85" t="n">
        <x:v>0</x:v>
      </x:c>
      <x:c r="AE13" s="85" t="n">
        <x:v>0</x:v>
      </x:c>
      <x:c r="AF13" s="85" t="n">
        <x:v>0</x:v>
      </x:c>
      <x:c r="AG13" s="85" t="n">
        <x:v>0</x:v>
      </x:c>
      <x:c r="AH13" s="85" t="n">
        <x:v>0</x:v>
      </x:c>
      <x:c r="AI13" s="85" t="n">
        <x:v>0</x:v>
      </x:c>
      <x:c r="AJ13" s="85" t="n">
        <x:v>0</x:v>
      </x:c>
      <x:c r="AK13" s="85" t="n">
        <x:v>0</x:v>
      </x:c>
      <x:c r="AL13" s="85" t="n">
        <x:v>0</x:v>
      </x:c>
      <x:c r="AM13" s="85" t="n">
        <x:v>0</x:v>
      </x:c>
      <x:c r="AN13" s="85" t="n">
        <x:v>0</x:v>
      </x:c>
      <x:c r="AO13" s="85" t="n">
        <x:v>0</x:v>
      </x:c>
      <x:c r="AP13" s="85" t="n">
        <x:v>0</x:v>
      </x:c>
      <x:c r="AQ13" s="85" t="n">
        <x:v>0</x:v>
      </x:c>
      <x:c r="AR13" s="85" t="n">
        <x:v>0</x:v>
      </x:c>
      <x:c r="AS13" s="85" t="n">
        <x:v>0</x:v>
      </x:c>
      <x:c r="AT13" s="85" t="n">
        <x:v>0</x:v>
      </x:c>
      <x:c r="AU13" s="85" t="n">
        <x:v>0</x:v>
      </x:c>
      <x:c r="AV13" s="85" t="n">
        <x:v>0</x:v>
      </x:c>
      <x:c r="AW13" s="85" t="n">
        <x:v>0</x:v>
      </x:c>
      <x:c r="AX13" s="85" t="n">
        <x:v>0</x:v>
      </x:c>
      <x:c r="AY13" s="85" t="n">
        <x:v>0</x:v>
      </x:c>
      <x:c r="AZ13" s="85" t="n">
        <x:v>0</x:v>
      </x:c>
    </x:row>
    <x:row r="14" ht="21" customHeight="1">
      <x:c r="A14" s="150"/>
      <x:c r="B14" s="150"/>
      <x:c r="C14" s="23" t="str">
        <x:v>purchased par</x:v>
      </x:c>
      <x:c r="D14" s="23" t="str">
        <x:v>USD</x:v>
      </x:c>
      <x:c r="E14" s="85" t="n">
        <x:v>0</x:v>
      </x:c>
      <x:c r="F14" s="85" t="n">
        <x:v>0</x:v>
      </x:c>
      <x:c r="G14" s="85" t="n">
        <x:v>0</x:v>
      </x:c>
      <x:c r="H14" s="85" t="n">
        <x:v>0</x:v>
      </x:c>
      <x:c r="I14" s="85" t="n">
        <x:v>0</x:v>
      </x:c>
      <x:c r="J14" s="85" t="n">
        <x:v>0</x:v>
      </x:c>
      <x:c r="K14" s="85" t="n">
        <x:v>0</x:v>
      </x:c>
      <x:c r="L14" s="85" t="n">
        <x:v>0</x:v>
      </x:c>
      <x:c r="M14" s="85" t="n">
        <x:v>0</x:v>
      </x:c>
      <x:c r="N14" s="85" t="n">
        <x:v>0</x:v>
      </x:c>
      <x:c r="O14" s="85" t="n">
        <x:v>0</x:v>
      </x:c>
      <x:c r="P14" s="85" t="n">
        <x:v>0</x:v>
      </x:c>
      <x:c r="Q14" s="85" t="n">
        <x:v>0</x:v>
      </x:c>
      <x:c r="R14" s="85" t="n">
        <x:v>0</x:v>
      </x:c>
      <x:c r="S14" s="85" t="n">
        <x:v>0</x:v>
      </x:c>
      <x:c r="T14" s="85" t="n">
        <x:v>0</x:v>
      </x:c>
      <x:c r="U14" s="85" t="n">
        <x:v>0</x:v>
      </x:c>
      <x:c r="V14" s="85" t="n">
        <x:v>0</x:v>
      </x:c>
      <x:c r="W14" s="85" t="n">
        <x:v>0</x:v>
      </x:c>
      <x:c r="X14" s="85" t="n">
        <x:v>0</x:v>
      </x:c>
      <x:c r="Y14" s="85" t="n">
        <x:v>0</x:v>
      </x:c>
      <x:c r="Z14" s="85" t="n">
        <x:v>0</x:v>
      </x:c>
      <x:c r="AA14" s="85" t="n">
        <x:v>0</x:v>
      </x:c>
      <x:c r="AB14" s="85" t="n">
        <x:v>0</x:v>
      </x:c>
      <x:c r="AC14" s="85" t="n">
        <x:v>0</x:v>
      </x:c>
      <x:c r="AD14" s="85" t="n">
        <x:v>0</x:v>
      </x:c>
      <x:c r="AE14" s="85" t="n">
        <x:v>0</x:v>
      </x:c>
      <x:c r="AF14" s="85" t="n">
        <x:v>0</x:v>
      </x:c>
      <x:c r="AG14" s="85" t="n">
        <x:v>0</x:v>
      </x:c>
      <x:c r="AH14" s="85" t="n">
        <x:v>0</x:v>
      </x:c>
      <x:c r="AI14" s="85" t="n">
        <x:v>0</x:v>
      </x:c>
      <x:c r="AJ14" s="85" t="n">
        <x:v>0</x:v>
      </x:c>
      <x:c r="AK14" s="85" t="n">
        <x:v>0</x:v>
      </x:c>
      <x:c r="AL14" s="85" t="n">
        <x:v>0</x:v>
      </x:c>
      <x:c r="AM14" s="85" t="n">
        <x:v>0</x:v>
      </x:c>
      <x:c r="AN14" s="85" t="n">
        <x:v>0</x:v>
      </x:c>
      <x:c r="AO14" s="85" t="n">
        <x:v>0</x:v>
      </x:c>
      <x:c r="AP14" s="85" t="n">
        <x:v>0</x:v>
      </x:c>
      <x:c r="AQ14" s="85" t="n">
        <x:v>0</x:v>
      </x:c>
      <x:c r="AR14" s="85" t="n">
        <x:v>0</x:v>
      </x:c>
      <x:c r="AS14" s="85" t="n">
        <x:v>0</x:v>
      </x:c>
      <x:c r="AT14" s="85" t="n">
        <x:v>0</x:v>
      </x:c>
      <x:c r="AU14" s="85" t="n">
        <x:v>0</x:v>
      </x:c>
      <x:c r="AV14" s="85" t="n">
        <x:v>0</x:v>
      </x:c>
      <x:c r="AW14" s="85" t="n">
        <x:v>0</x:v>
      </x:c>
      <x:c r="AX14" s="85" t="n">
        <x:v>0</x:v>
      </x:c>
      <x:c r="AY14" s="85" t="n">
        <x:v>0</x:v>
      </x:c>
      <x:c r="AZ14" s="85" t="n">
        <x:v>0</x:v>
      </x:c>
    </x:row>
    <x:row r="15" ht="21" customHeight="1">
      <x:c r="A15" s="150"/>
      <x:c r="B15" s="150"/>
      <x:c r="C15" s="23" t="str">
        <x:v>performing end</x:v>
      </x:c>
      <x:c r="D15" s="23" t="str">
        <x:v>USD</x:v>
      </x:c>
      <x:c r="E15" s="85" t="n">
        <x:v>291225000</x:v>
      </x:c>
      <x:c r="F15" s="85" t="n">
        <x:v>282450000</x:v>
      </x:c>
      <x:c r="G15" s="85" t="n">
        <x:v>273675000</x:v>
      </x:c>
      <x:c r="H15" s="85" t="n">
        <x:v>264900000</x:v>
      </x:c>
      <x:c r="I15" s="85" t="n">
        <x:v>259950000</x:v>
      </x:c>
      <x:c r="J15" s="85" t="n">
        <x:v>255000000</x:v>
      </x:c>
      <x:c r="K15" s="85" t="n">
        <x:v>250050000</x:v>
      </x:c>
      <x:c r="L15" s="85" t="n">
        <x:v>245100000</x:v>
      </x:c>
      <x:c r="M15" s="85" t="n">
        <x:v>239089830</x:v>
      </x:c>
      <x:c r="N15" s="85" t="n">
        <x:v>233615463.96658653</x:v>
      </x:c>
      <x:c r="O15" s="85" t="n">
        <x:v>226755424.40153992</x:v>
      </x:c>
      <x:c r="P15" s="85" t="n">
        <x:v>219039050.1479493</x:v>
      </x:c>
      <x:c r="Q15" s="85" t="n">
        <x:v>210716277.54562476</x:v>
      </x:c>
      <x:c r="R15" s="85" t="n">
        <x:v>202019193.79635838</x:v>
      </x:c>
      <x:c r="S15" s="85" t="n">
        <x:v>188063403.8016988</x:v>
      </x:c>
      <x:c r="T15" s="85" t="n">
        <x:v>176109596.9603642</x:v>
      </x:c>
      <x:c r="U15" s="85" t="n">
        <x:v>167065325.91406703</x:v>
      </x:c>
      <x:c r="V15" s="85" t="n">
        <x:v>148366353.6567692</x:v>
      </x:c>
      <x:c r="W15" s="85" t="n">
        <x:v>136264062.27044287</x:v>
      </x:c>
      <x:c r="X15" s="85" t="n">
        <x:v>116466865.78432836</x:v>
      </x:c>
      <x:c r="Y15" s="85" t="n">
        <x:v>103609183.21292399</x:v>
      </x:c>
      <x:c r="Z15" s="85" t="n">
        <x:v>93325773.56071061</x:v>
      </x:c>
      <x:c r="AA15" s="85" t="n">
        <x:v>76287548.38787755</x:v>
      </x:c>
      <x:c r="AB15" s="85" t="n">
        <x:v>54344317.41366278</x:v>
      </x:c>
      <x:c r="AC15" s="85" t="n">
        <x:v>41249935.81753343</x:v>
      </x:c>
      <x:c r="AD15" s="85" t="n">
        <x:v>34512906.928829506</x:v>
      </x:c>
      <x:c r="AE15" s="85" t="n">
        <x:v>25551180.848201826</x:v>
      </x:c>
      <x:c r="AF15" s="85" t="n">
        <x:v>13422066.084115658</x:v>
      </x:c>
      <x:c r="AG15" s="85" t="n">
        <x:v>8139436.405138027</x:v>
      </x:c>
      <x:c r="AH15" s="85" t="n">
        <x:v>3665414.3770994744</x:v>
      </x:c>
      <x:c r="AI15" s="85" t="n">
        <x:v>2856806.726160397</x:v>
      </x:c>
      <x:c r="AJ15" s="85" t="n">
        <x:v>1239591.4242822411</x:v>
      </x:c>
      <x:c r="AK15" s="85" t="n">
        <x:v>1239591.4242822411</x:v>
      </x:c>
      <x:c r="AL15" s="85" t="n">
        <x:v>1239591.4242822411</x:v>
      </x:c>
      <x:c r="AM15" s="85" t="n">
        <x:v>322895.77939360804</x:v>
      </x:c>
      <x:c r="AN15" s="85" t="n">
        <x:v>0</x:v>
      </x:c>
      <x:c r="AO15" s="85" t="n">
        <x:v>0</x:v>
      </x:c>
      <x:c r="AP15" s="85" t="n">
        <x:v>0</x:v>
      </x:c>
      <x:c r="AQ15" s="85" t="n">
        <x:v>0</x:v>
      </x:c>
      <x:c r="AR15" s="85" t="n">
        <x:v>0</x:v>
      </x:c>
      <x:c r="AS15" s="85" t="n">
        <x:v>0</x:v>
      </x:c>
      <x:c r="AT15" s="85" t="n">
        <x:v>0</x:v>
      </x:c>
      <x:c r="AU15" s="85" t="n">
        <x:v>0</x:v>
      </x:c>
      <x:c r="AV15" s="85" t="n">
        <x:v>0</x:v>
      </x:c>
      <x:c r="AW15" s="85" t="n">
        <x:v>0</x:v>
      </x:c>
      <x:c r="AX15" s="85" t="n">
        <x:v>0</x:v>
      </x:c>
      <x:c r="AY15" s="85" t="n">
        <x:v>0</x:v>
      </x:c>
      <x:c r="AZ15" s="85" t="n">
        <x:v>0</x:v>
      </x:c>
    </x:row>
    <x:row r="16" ht="21" customHeight="1">
      <x:c r="A16" s="150"/>
      <x:c r="B16" s="150"/>
      <x:c r="C16" s="23" t="str">
        <x:v>asset interest accrued</x:v>
      </x:c>
      <x:c r="D16" s="23" t="str">
        <x:v>USD</x:v>
      </x:c>
      <x:c r="E16" s="85" t="n">
        <x:v>4201475.667934933</x:v>
      </x:c>
      <x:c r="F16" s="85" t="n">
        <x:v>4120156.008399313</x:v>
      </x:c>
      <x:c r="G16" s="85" t="n">
        <x:v>4036023.1022150684</x:v>
      </x:c>
      <x:c r="H16" s="85" t="n">
        <x:v>3906613.7563780835</x:v>
      </x:c>
      <x:c r="I16" s="85" t="n">
        <x:v>3791943.899392466</x:v>
      </x:c>
      <x:c r="J16" s="85" t="n">
        <x:v>3719737.235410958</x:v>
      </x:c>
      <x:c r="K16" s="85" t="n">
        <x:v>3687613.324961644</x:v>
      </x:c>
      <x:c r="L16" s="85" t="n">
        <x:v>3614613.18115616</x:v>
      </x:c>
      <x:c r="M16" s="85" t="n">
        <x:v>3456576.803054794</x:v>
      </x:c>
      <x:c r="N16" s="85" t="n">
        <x:v>3414557.965423136</x:v>
      </x:c>
      <x:c r="O16" s="85" t="n">
        <x:v>3356648.175503392</x:v>
      </x:c>
      <x:c r="P16" s="85" t="n">
        <x:v>3257625.322672133</x:v>
      </x:c>
      <x:c r="Q16" s="85" t="n">
        <x:v>3076485.047393931</x:v>
      </x:c>
      <x:c r="R16" s="85" t="n">
        <x:v>2998682.372957518</x:v>
      </x:c>
      <x:c r="S16" s="85" t="n">
        <x:v>2859144.751873852</x:v>
      </x:c>
      <x:c r="T16" s="85" t="n">
        <x:v>2682839.477842211</x:v>
      </x:c>
      <x:c r="U16" s="85" t="n">
        <x:v>2459670.0972452597</x:v>
      </x:c>
      <x:c r="V16" s="85" t="n">
        <x:v>2278837.381294557</x:v>
      </x:c>
      <x:c r="W16" s="85" t="n">
        <x:v>2087058.725396083</x:v>
      </x:c>
      <x:c r="X16" s="85" t="n">
        <x:v>1848971.194809503</x:v>
      </x:c>
      <x:c r="Y16" s="85" t="n">
        <x:v>1633656.4181972276</x:v>
      </x:c>
      <x:c r="Z16" s="85" t="n">
        <x:v>1455457.5049540314</x:v>
      </x:c>
      <x:c r="AA16" s="85" t="n">
        <x:v>1288660.3466216882</x:v>
      </x:c>
      <x:c r="AB16" s="85" t="n">
        <x:v>978146.25216537</x:v>
      </x:c>
      <x:c r="AC16" s="85" t="n">
        <x:v>697674.7723672207</x:v>
      </x:c>
      <x:c r="AD16" s="85" t="n">
        <x:v>552784.0651968634</x:v>
      </x:c>
      <x:c r="AE16" s="85" t="n">
        <x:v>469941.6589229854</x:v>
      </x:c>
      <x:c r="AF16" s="85" t="n">
        <x:v>304572.81773822574</x:v>
      </x:c>
      <x:c r="AG16" s="85" t="n">
        <x:v>161637.81025444056</x:v>
      </x:c>
      <x:c r="AH16" s="85" t="n">
        <x:v>100153.65999511756</x:v>
      </x:c>
      <x:c r="AI16" s="85" t="n">
        <x:v>46800.062196224404</x:v>
      </x:c>
      <x:c r="AJ16" s="85" t="n">
        <x:v>28358.303082744245</x:v>
      </x:c>
      <x:c r="AK16" s="85" t="n">
        <x:v>17315.089373738698</x:v>
      </x:c>
      <x:c r="AL16" s="85" t="n">
        <x:v>17507.47925566913</x:v>
      </x:c>
      <x:c r="AM16" s="85" t="n">
        <x:v>16535.48199209703</x:v>
      </x:c>
      <x:c r="AN16" s="85" t="n">
        <x:v>2760.0954293371424</x:v>
      </x:c>
      <x:c r="AO16" s="85" t="n">
        <x:v>0</x:v>
      </x:c>
      <x:c r="AP16" s="85" t="n">
        <x:v>0</x:v>
      </x:c>
      <x:c r="AQ16" s="85" t="n">
        <x:v>0</x:v>
      </x:c>
      <x:c r="AR16" s="85" t="n">
        <x:v>0</x:v>
      </x:c>
      <x:c r="AS16" s="85" t="n">
        <x:v>0</x:v>
      </x:c>
      <x:c r="AT16" s="85" t="n">
        <x:v>0</x:v>
      </x:c>
      <x:c r="AU16" s="85" t="n">
        <x:v>0</x:v>
      </x:c>
      <x:c r="AV16" s="85" t="n">
        <x:v>0</x:v>
      </x:c>
      <x:c r="AW16" s="85" t="n">
        <x:v>0</x:v>
      </x:c>
      <x:c r="AX16" s="85" t="n">
        <x:v>0</x:v>
      </x:c>
      <x:c r="AY16" s="85" t="n">
        <x:v>0</x:v>
      </x:c>
      <x:c r="AZ16" s="85" t="n">
        <x:v>0</x:v>
      </x:c>
    </x:row>
    <x:row r="17" ht="21" customHeight="1">
      <x:c r="A17" s="150"/>
      <x:c r="B17" s="150"/>
      <x:c r="C17" s="23" t="str">
        <x:v>asset interest forfeited</x:v>
      </x:c>
      <x:c r="D17" s="23" t="str">
        <x:v>USD</x:v>
      </x:c>
      <x:c r="E17" s="85" t="n">
        <x:v>0</x:v>
      </x:c>
      <x:c r="F17" s="85" t="n">
        <x:v>1675.5141267123286</x:v>
      </x:c>
      <x:c r="G17" s="85" t="n">
        <x:v>0</x:v>
      </x:c>
      <x:c r="H17" s="85" t="n">
        <x:v>1712.747773972603</x:v>
      </x:c>
      <x:c r="I17" s="85" t="n">
        <x:v>0</x:v>
      </x:c>
      <x:c r="J17" s="85" t="n">
        <x:v>955.6636130136985</x:v>
      </x:c>
      <x:c r="K17" s="85" t="n">
        <x:v>0</x:v>
      </x:c>
      <x:c r="L17" s="85" t="n">
        <x:v>966.1654109589042</x:v>
      </x:c>
      <x:c r="M17" s="85" t="n">
        <x:v>0</x:v>
      </x:c>
      <x:c r="N17" s="85" t="n">
        <x:v>694.3197217822915</x:v>
      </x:c>
      <x:c r="O17" s="85" t="n">
        <x:v>0</x:v>
      </x:c>
      <x:c r="P17" s="85" t="n">
        <x:v>659.5527508041166</x:v>
      </x:c>
      <x:c r="Q17" s="85" t="n">
        <x:v>0</x:v>
      </x:c>
      <x:c r="R17" s="85" t="n">
        <x:v>471.15184281555304</x:v>
      </x:c>
      <x:c r="S17" s="85" t="n">
        <x:v>0</x:v>
      </x:c>
      <x:c r="T17" s="85" t="n">
        <x:v>524.4392579555869</x:v>
      </x:c>
      <x:c r="U17" s="85" t="n">
        <x:v>0</x:v>
      </x:c>
      <x:c r="V17" s="85" t="n">
        <x:v>431.7500158353959</x:v>
      </x:c>
      <x:c r="W17" s="85" t="n">
        <x:v>0</x:v>
      </x:c>
      <x:c r="X17" s="85" t="n">
        <x:v>388.0231143492762</x:v>
      </x:c>
      <x:c r="Y17" s="85" t="n">
        <x:v>0</x:v>
      </x:c>
      <x:c r="Z17" s="85" t="n">
        <x:v>0</x:v>
      </x:c>
      <x:c r="AA17" s="85" t="n">
        <x:v>0</x:v>
      </x:c>
      <x:c r="AB17" s="85" t="n">
        <x:v>0</x:v>
      </x:c>
      <x:c r="AC17" s="85" t="n">
        <x:v>0</x:v>
      </x:c>
      <x:c r="AD17" s="85" t="n">
        <x:v>0</x:v>
      </x:c>
      <x:c r="AE17" s="85" t="n">
        <x:v>0</x:v>
      </x:c>
      <x:c r="AF17" s="85" t="n">
        <x:v>0</x:v>
      </x:c>
      <x:c r="AG17" s="85" t="n">
        <x:v>0</x:v>
      </x:c>
      <x:c r="AH17" s="85" t="n">
        <x:v>0</x:v>
      </x:c>
      <x:c r="AI17" s="85" t="n">
        <x:v>0</x:v>
      </x:c>
      <x:c r="AJ17" s="85" t="n">
        <x:v>0</x:v>
      </x:c>
      <x:c r="AK17" s="85" t="n">
        <x:v>0</x:v>
      </x:c>
      <x:c r="AL17" s="85" t="n">
        <x:v>0</x:v>
      </x:c>
      <x:c r="AM17" s="85" t="n">
        <x:v>0</x:v>
      </x:c>
      <x:c r="AN17" s="85" t="n">
        <x:v>0</x:v>
      </x:c>
      <x:c r="AO17" s="85" t="n">
        <x:v>0</x:v>
      </x:c>
      <x:c r="AP17" s="85" t="n">
        <x:v>0</x:v>
      </x:c>
      <x:c r="AQ17" s="85" t="n">
        <x:v>0</x:v>
      </x:c>
      <x:c r="AR17" s="85" t="n">
        <x:v>0</x:v>
      </x:c>
      <x:c r="AS17" s="85" t="n">
        <x:v>0</x:v>
      </x:c>
      <x:c r="AT17" s="85" t="n">
        <x:v>0</x:v>
      </x:c>
      <x:c r="AU17" s="85" t="n">
        <x:v>0</x:v>
      </x:c>
      <x:c r="AV17" s="85" t="n">
        <x:v>0</x:v>
      </x:c>
      <x:c r="AW17" s="85" t="n">
        <x:v>0</x:v>
      </x:c>
      <x:c r="AX17" s="85" t="n">
        <x:v>0</x:v>
      </x:c>
      <x:c r="AY17" s="85" t="n">
        <x:v>0</x:v>
      </x:c>
      <x:c r="AZ17" s="85" t="n">
        <x:v>0</x:v>
      </x:c>
    </x:row>
    <x:row r="18" ht="21" customHeight="1">
      <x:c r="A18" s="150"/>
      <x:c r="B18" s="150"/>
      <x:c r="C18" s="23" t="str">
        <x:v>asset interest receivable</x:v>
      </x:c>
      <x:c r="D18" s="23" t="str">
        <x:v>USD</x:v>
      </x:c>
      <x:c r="E18" s="85" t="n">
        <x:v>55607.02011986301</x:v>
      </x:c>
      <x:c r="F18" s="85" t="n">
        <x:v>0</x:v>
      </x:c>
      <x:c r="G18" s="85" t="n">
        <x:v>53417.23613013699</x:v>
      </x:c>
      <x:c r="H18" s="85" t="n">
        <x:v>0</x:v>
      </x:c>
      <x:c r="I18" s="85" t="n">
        <x:v>50186.81943493151</x:v>
      </x:c>
      <x:c r="J18" s="85" t="n">
        <x:v>0</x:v>
      </x:c>
      <x:c r="K18" s="85" t="n">
        <x:v>48805.99212328767</x:v>
      </x:c>
      <x:c r="L18" s="85" t="n">
        <x:v>0</x:v>
      </x:c>
      <x:c r="M18" s="85" t="n">
        <x:v>46112.440068493146</x:v>
      </x:c>
      <x:c r="N18" s="85" t="n">
        <x:v>0</x:v>
      </x:c>
      <x:c r="O18" s="85" t="n">
        <x:v>41543.65664549737</x:v>
      </x:c>
      <x:c r="P18" s="85" t="n">
        <x:v>0</x:v>
      </x:c>
      <x:c r="Q18" s="85" t="n">
        <x:v>33941.662385249445</x:v>
      </x:c>
      <x:c r="R18" s="85" t="n">
        <x:v>0</x:v>
      </x:c>
      <x:c r="S18" s="85" t="n">
        <x:v>33718.91690200507</x:v>
      </x:c>
      <x:c r="T18" s="85" t="n">
        <x:v>0</x:v>
      </x:c>
      <x:c r="U18" s="85" t="n">
        <x:v>32057.980937308454</x:v>
      </x:c>
      <x:c r="V18" s="85" t="n">
        <x:v>0</x:v>
      </x:c>
      <x:c r="W18" s="85" t="n">
        <x:v>23499.38036269376</x:v>
      </x:c>
      <x:c r="X18" s="85" t="n">
        <x:v>0</x:v>
      </x:c>
      <x:c r="Y18" s="85" t="n">
        <x:v>22860.14684347117</x:v>
      </x:c>
      <x:c r="Z18" s="85" t="n">
        <x:v>0</x:v>
      </x:c>
      <x:c r="AA18" s="85" t="n">
        <x:v>18521.675256605096</x:v>
      </x:c>
      <x:c r="AB18" s="85" t="n">
        <x:v>0</x:v>
      </x:c>
      <x:c r="AC18" s="85" t="n">
        <x:v>8408.611495671237</x:v>
      </x:c>
      <x:c r="AD18" s="85" t="n">
        <x:v>0</x:v>
      </x:c>
      <x:c r="AE18" s="85" t="n">
        <x:v>8595.469528908376</x:v>
      </x:c>
      <x:c r="AF18" s="85" t="n">
        <x:v>0</x:v>
      </x:c>
      <x:c r="AG18" s="85" t="n">
        <x:v>3573.3277919993097</x:v>
      </x:c>
      <x:c r="AH18" s="85" t="n">
        <x:v>0</x:v>
      </x:c>
      <x:c r="AI18" s="85" t="n">
        <x:v>0</x:v>
      </x:c>
      <x:c r="AJ18" s="85" t="n">
        <x:v>0</x:v>
      </x:c>
      <x:c r="AK18" s="85" t="n">
        <x:v>0</x:v>
      </x:c>
      <x:c r="AL18" s="85" t="n">
        <x:v>0</x:v>
      </x:c>
      <x:c r="AM18" s="85" t="n">
        <x:v>0</x:v>
      </x:c>
      <x:c r="AN18" s="85" t="n">
        <x:v>0</x:v>
      </x:c>
      <x:c r="AO18" s="85" t="n">
        <x:v>0</x:v>
      </x:c>
      <x:c r="AP18" s="85" t="n">
        <x:v>0</x:v>
      </x:c>
      <x:c r="AQ18" s="85" t="n">
        <x:v>0</x:v>
      </x:c>
      <x:c r="AR18" s="85" t="n">
        <x:v>0</x:v>
      </x:c>
      <x:c r="AS18" s="85" t="n">
        <x:v>0</x:v>
      </x:c>
      <x:c r="AT18" s="85" t="n">
        <x:v>0</x:v>
      </x:c>
      <x:c r="AU18" s="85" t="n">
        <x:v>0</x:v>
      </x:c>
      <x:c r="AV18" s="85" t="n">
        <x:v>0</x:v>
      </x:c>
      <x:c r="AW18" s="85" t="n">
        <x:v>0</x:v>
      </x:c>
      <x:c r="AX18" s="85" t="n">
        <x:v>0</x:v>
      </x:c>
      <x:c r="AY18" s="85" t="n">
        <x:v>0</x:v>
      </x:c>
      <x:c r="AZ18" s="85" t="n">
        <x:v>0</x:v>
      </x:c>
    </x:row>
    <x:row r="19" ht="21" customHeight="1">
      <x:c r="A19" s="150"/>
      <x:c r="B19" s="150"/>
      <x:c r="C19" s="23" t="str">
        <x:v>asset interest</x:v>
      </x:c>
      <x:c r="D19" s="23" t="str">
        <x:v>USD</x:v>
      </x:c>
      <x:c r="E19" s="85" t="n">
        <x:v>4145868.6478150687</x:v>
      </x:c>
      <x:c r="F19" s="85" t="n">
        <x:v>4174087.5143924644</x:v>
      </x:c>
      <x:c r="G19" s="85" t="n">
        <x:v>3982605.866084931</x:v>
      </x:c>
      <x:c r="H19" s="85" t="n">
        <x:v>3958318.244734249</x:v>
      </x:c>
      <x:c r="I19" s="85" t="n">
        <x:v>3741757.0799575355</x:v>
      </x:c>
      <x:c r="J19" s="85" t="n">
        <x:v>3768968.3912328756</x:v>
      </x:c>
      <x:c r="K19" s="85" t="n">
        <x:v>3638807.3328383565</x:v>
      </x:c>
      <x:c r="L19" s="85" t="n">
        <x:v>3662453.007868489</x:v>
      </x:c>
      <x:c r="M19" s="85" t="n">
        <x:v>3410464.3629863006</x:v>
      </x:c>
      <x:c r="N19" s="85" t="n">
        <x:v>3459976.0857698475</x:v>
      </x:c>
      <x:c r="O19" s="85" t="n">
        <x:v>3315104.5188578945</x:v>
      </x:c>
      <x:c r="P19" s="85" t="n">
        <x:v>3298509.426566826</x:v>
      </x:c>
      <x:c r="Q19" s="85" t="n">
        <x:v>3042543.385008682</x:v>
      </x:c>
      <x:c r="R19" s="85" t="n">
        <x:v>3032152.8834999516</x:v>
      </x:c>
      <x:c r="S19" s="85" t="n">
        <x:v>2825425.8349718465</x:v>
      </x:c>
      <x:c r="T19" s="85" t="n">
        <x:v>2716033.955486261</x:v>
      </x:c>
      <x:c r="U19" s="85" t="n">
        <x:v>2427612.116307951</x:v>
      </x:c>
      <x:c r="V19" s="85" t="n">
        <x:v>2310463.6122160302</x:v>
      </x:c>
      <x:c r="W19" s="85" t="n">
        <x:v>2063559.3450333893</x:v>
      </x:c>
      <x:c r="X19" s="85" t="n">
        <x:v>1872082.5520578478</x:v>
      </x:c>
      <x:c r="Y19" s="85" t="n">
        <x:v>1610796.271353756</x:v>
      </x:c>
      <x:c r="Z19" s="85" t="n">
        <x:v>1478317.6517975025</x:v>
      </x:c>
      <x:c r="AA19" s="85" t="n">
        <x:v>1270138.6713650832</x:v>
      </x:c>
      <x:c r="AB19" s="85" t="n">
        <x:v>996667.9274219751</x:v>
      </x:c>
      <x:c r="AC19" s="85" t="n">
        <x:v>689266.1608715494</x:v>
      </x:c>
      <x:c r="AD19" s="85" t="n">
        <x:v>561192.6766925346</x:v>
      </x:c>
      <x:c r="AE19" s="85" t="n">
        <x:v>461346.18939407717</x:v>
      </x:c>
      <x:c r="AF19" s="85" t="n">
        <x:v>313168.2872671341</x:v>
      </x:c>
      <x:c r="AG19" s="85" t="n">
        <x:v>158064.48246244123</x:v>
      </x:c>
      <x:c r="AH19" s="85" t="n">
        <x:v>103726.98778711687</x:v>
      </x:c>
      <x:c r="AI19" s="85" t="n">
        <x:v>46800.062196224404</x:v>
      </x:c>
      <x:c r="AJ19" s="85" t="n">
        <x:v>28358.303082744245</x:v>
      </x:c>
      <x:c r="AK19" s="85" t="n">
        <x:v>17315.089373738698</x:v>
      </x:c>
      <x:c r="AL19" s="85" t="n">
        <x:v>17507.47925566913</x:v>
      </x:c>
      <x:c r="AM19" s="85" t="n">
        <x:v>16535.48199209703</x:v>
      </x:c>
      <x:c r="AN19" s="85" t="n">
        <x:v>2760.0954293371424</x:v>
      </x:c>
      <x:c r="AO19" s="85" t="n">
        <x:v>0</x:v>
      </x:c>
      <x:c r="AP19" s="85" t="n">
        <x:v>0</x:v>
      </x:c>
      <x:c r="AQ19" s="85" t="n">
        <x:v>0</x:v>
      </x:c>
      <x:c r="AR19" s="85" t="n">
        <x:v>0</x:v>
      </x:c>
      <x:c r="AS19" s="85" t="n">
        <x:v>0</x:v>
      </x:c>
      <x:c r="AT19" s="85" t="n">
        <x:v>0</x:v>
      </x:c>
      <x:c r="AU19" s="85" t="n">
        <x:v>0</x:v>
      </x:c>
      <x:c r="AV19" s="85" t="n">
        <x:v>0</x:v>
      </x:c>
      <x:c r="AW19" s="85" t="n">
        <x:v>0</x:v>
      </x:c>
      <x:c r="AX19" s="85" t="n">
        <x:v>0</x:v>
      </x:c>
      <x:c r="AY19" s="85" t="n">
        <x:v>0</x:v>
      </x:c>
      <x:c r="AZ19" s="85" t="n">
        <x:v>0</x:v>
      </x:c>
    </x:row>
    <x:row r="20" ht="21" customHeight="1">
      <x:c r="A20" s="150"/>
      <x:c r="B20" s="150"/>
      <x:c r="C20" s="23" t="str">
        <x:v>recoveries created</x:v>
      </x:c>
      <x:c r="D20" s="23" t="str">
        <x:v>USD</x:v>
      </x:c>
      <x:c r="E20" s="85" t="n">
        <x:v>3477284.4599999995</x:v>
      </x:c>
      <x:c r="F20" s="85" t="n">
        <x:v>3477284.4599999995</x:v>
      </x:c>
      <x:c r="G20" s="85" t="n">
        <x:v>3477284.4599999995</x:v>
      </x:c>
      <x:c r="H20" s="85" t="n">
        <x:v>3477284.4599999995</x:v>
      </x:c>
      <x:c r="I20" s="85" t="n">
        <x:v>1961545.0800000005</x:v>
      </x:c>
      <x:c r="J20" s="85" t="n">
        <x:v>1961545.0800000005</x:v>
      </x:c>
      <x:c r="K20" s="85" t="n">
        <x:v>1961545.0800000005</x:v>
      </x:c>
      <x:c r="L20" s="85" t="n">
        <x:v>1961545.0800000005</x:v>
      </x:c>
      <x:c r="M20" s="85" t="n">
        <x:v>1426578.240000001</x:v>
      </x:c>
      <x:c r="N20" s="85" t="n">
        <x:v>1422513.9290115363</x:v>
      </x:c>
      <x:c r="O20" s="85" t="n">
        <x:v>1421290.4881177843</x:v>
      </x:c>
      <x:c r="P20" s="85" t="n">
        <x:v>1419834.6656751572</x:v>
      </x:c>
      <x:c r="Q20" s="85" t="n">
        <x:v>1153130.1690938165</x:v>
      </x:c>
      <x:c r="R20" s="85" t="n">
        <x:v>1148446.5294240378</x:v>
      </x:c>
      <x:c r="S20" s="85" t="n">
        <x:v>1145685.5350304325</x:v>
      </x:c>
      <x:c r="T20" s="85" t="n">
        <x:v>1142928.3596954069</x:v>
      </x:c>
      <x:c r="U20" s="85" t="n">
        <x:v>880736.7011748427</x:v>
      </x:c>
      <x:c r="V20" s="85" t="n">
        <x:v>882580.0028712108</x:v>
      </x:c>
      <x:c r="W20" s="85" t="n">
        <x:v>885989.2615037464</x:v>
      </x:c>
      <x:c r="X20" s="85" t="n">
        <x:v>888248.7123400951</x:v>
      </x:c>
      <x:c r="Y20" s="85" t="n">
        <x:v>0</x:v>
      </x:c>
      <x:c r="Z20" s="85" t="n">
        <x:v>0</x:v>
      </x:c>
      <x:c r="AA20" s="85" t="n">
        <x:v>0</x:v>
      </x:c>
      <x:c r="AB20" s="85" t="n">
        <x:v>0</x:v>
      </x:c>
      <x:c r="AC20" s="85" t="n">
        <x:v>0</x:v>
      </x:c>
      <x:c r="AD20" s="85" t="n">
        <x:v>0</x:v>
      </x:c>
      <x:c r="AE20" s="85" t="n">
        <x:v>0</x:v>
      </x:c>
      <x:c r="AF20" s="85" t="n">
        <x:v>0</x:v>
      </x:c>
      <x:c r="AG20" s="85" t="n">
        <x:v>0</x:v>
      </x:c>
      <x:c r="AH20" s="85" t="n">
        <x:v>0</x:v>
      </x:c>
      <x:c r="AI20" s="85" t="n">
        <x:v>0</x:v>
      </x:c>
      <x:c r="AJ20" s="85" t="n">
        <x:v>0</x:v>
      </x:c>
      <x:c r="AK20" s="85" t="n">
        <x:v>0</x:v>
      </x:c>
      <x:c r="AL20" s="85" t="n">
        <x:v>0</x:v>
      </x:c>
      <x:c r="AM20" s="85" t="n">
        <x:v>0</x:v>
      </x:c>
      <x:c r="AN20" s="85" t="n">
        <x:v>0</x:v>
      </x:c>
      <x:c r="AO20" s="85" t="n">
        <x:v>0</x:v>
      </x:c>
      <x:c r="AP20" s="85" t="n">
        <x:v>0</x:v>
      </x:c>
      <x:c r="AQ20" s="85" t="n">
        <x:v>0</x:v>
      </x:c>
      <x:c r="AR20" s="85" t="n">
        <x:v>0</x:v>
      </x:c>
      <x:c r="AS20" s="85" t="n">
        <x:v>0</x:v>
      </x:c>
      <x:c r="AT20" s="85" t="n">
        <x:v>0</x:v>
      </x:c>
      <x:c r="AU20" s="85" t="n">
        <x:v>0</x:v>
      </x:c>
      <x:c r="AV20" s="85" t="n">
        <x:v>0</x:v>
      </x:c>
      <x:c r="AW20" s="85" t="n">
        <x:v>0</x:v>
      </x:c>
      <x:c r="AX20" s="85" t="n">
        <x:v>0</x:v>
      </x:c>
      <x:c r="AY20" s="85" t="n">
        <x:v>0</x:v>
      </x:c>
      <x:c r="AZ20" s="85" t="n">
        <x:v>0</x:v>
      </x:c>
    </x:row>
    <x:row r="21" ht="21" customHeight="1">
      <x:c r="A21" s="150"/>
      <x:c r="B21" s="150"/>
      <x:c r="C21" s="23" t="str">
        <x:v>recovery cash</x:v>
      </x:c>
      <x:c r="D21" s="23" t="str">
        <x:v>USD</x:v>
      </x:c>
      <x:c r="E21" s="85" t="n">
        <x:v>0</x:v>
      </x:c>
      <x:c r="F21" s="85" t="n">
        <x:v>0</x:v>
      </x:c>
      <x:c r="G21" s="85" t="n">
        <x:v>0</x:v>
      </x:c>
      <x:c r="H21" s="85" t="n">
        <x:v>0</x:v>
      </x:c>
      <x:c r="I21" s="85" t="n">
        <x:v>3477284.4599999995</x:v>
      </x:c>
      <x:c r="J21" s="85" t="n">
        <x:v>3477284.4599999995</x:v>
      </x:c>
      <x:c r="K21" s="85" t="n">
        <x:v>3477284.4599999995</x:v>
      </x:c>
      <x:c r="L21" s="85" t="n">
        <x:v>3477284.4599999995</x:v>
      </x:c>
      <x:c r="M21" s="85" t="n">
        <x:v>1961545.0800000005</x:v>
      </x:c>
      <x:c r="N21" s="85" t="n">
        <x:v>1961545.0800000005</x:v>
      </x:c>
      <x:c r="O21" s="85" t="n">
        <x:v>1961545.0800000005</x:v>
      </x:c>
      <x:c r="P21" s="85" t="n">
        <x:v>1961545.0800000005</x:v>
      </x:c>
      <x:c r="Q21" s="85" t="n">
        <x:v>1426578.240000001</x:v>
      </x:c>
      <x:c r="R21" s="85" t="n">
        <x:v>1422513.9290115363</x:v>
      </x:c>
      <x:c r="S21" s="85" t="n">
        <x:v>1421290.4881177843</x:v>
      </x:c>
      <x:c r="T21" s="85" t="n">
        <x:v>1419834.6656751572</x:v>
      </x:c>
      <x:c r="U21" s="85" t="n">
        <x:v>1153130.1690938165</x:v>
      </x:c>
      <x:c r="V21" s="85" t="n">
        <x:v>1148446.5294240378</x:v>
      </x:c>
      <x:c r="W21" s="85" t="n">
        <x:v>1145685.5350304325</x:v>
      </x:c>
      <x:c r="X21" s="85" t="n">
        <x:v>1142928.3596954069</x:v>
      </x:c>
      <x:c r="Y21" s="85" t="n">
        <x:v>880736.7011748427</x:v>
      </x:c>
      <x:c r="Z21" s="85" t="n">
        <x:v>882580.0028712108</x:v>
      </x:c>
      <x:c r="AA21" s="85" t="n">
        <x:v>885989.2615037464</x:v>
      </x:c>
      <x:c r="AB21" s="85" t="n">
        <x:v>888248.7123400951</x:v>
      </x:c>
      <x:c r="AC21" s="85" t="n">
        <x:v>0</x:v>
      </x:c>
      <x:c r="AD21" s="85" t="n">
        <x:v>0</x:v>
      </x:c>
      <x:c r="AE21" s="85" t="n">
        <x:v>0</x:v>
      </x:c>
      <x:c r="AF21" s="85" t="n">
        <x:v>0</x:v>
      </x:c>
      <x:c r="AG21" s="85" t="n">
        <x:v>0</x:v>
      </x:c>
      <x:c r="AH21" s="85" t="n">
        <x:v>0</x:v>
      </x:c>
      <x:c r="AI21" s="85" t="n">
        <x:v>0</x:v>
      </x:c>
      <x:c r="AJ21" s="85" t="n">
        <x:v>0</x:v>
      </x:c>
      <x:c r="AK21" s="85" t="n">
        <x:v>0</x:v>
      </x:c>
      <x:c r="AL21" s="85" t="n">
        <x:v>0</x:v>
      </x:c>
      <x:c r="AM21" s="85" t="n">
        <x:v>0</x:v>
      </x:c>
      <x:c r="AN21" s="85" t="n">
        <x:v>0</x:v>
      </x:c>
      <x:c r="AO21" s="85" t="n">
        <x:v>0</x:v>
      </x:c>
      <x:c r="AP21" s="85" t="n">
        <x:v>0</x:v>
      </x:c>
      <x:c r="AQ21" s="85" t="n">
        <x:v>0</x:v>
      </x:c>
      <x:c r="AR21" s="85" t="n">
        <x:v>0</x:v>
      </x:c>
      <x:c r="AS21" s="85" t="n">
        <x:v>0</x:v>
      </x:c>
      <x:c r="AT21" s="85" t="n">
        <x:v>0</x:v>
      </x:c>
      <x:c r="AU21" s="85" t="n">
        <x:v>0</x:v>
      </x:c>
      <x:c r="AV21" s="85" t="n">
        <x:v>0</x:v>
      </x:c>
      <x:c r="AW21" s="85" t="n">
        <x:v>0</x:v>
      </x:c>
      <x:c r="AX21" s="85" t="n">
        <x:v>0</x:v>
      </x:c>
      <x:c r="AY21" s="85" t="n">
        <x:v>0</x:v>
      </x:c>
      <x:c r="AZ21" s="85" t="n">
        <x:v>0</x:v>
      </x:c>
    </x:row>
    <x:row r="22" ht="21" customHeight="1">
      <x:c r="A22" s="150"/>
      <x:c r="B22" s="150"/>
      <x:c r="C22" s="23" t="str">
        <x:v>recovery receivable</x:v>
      </x:c>
      <x:c r="D22" s="23" t="str">
        <x:v>USD</x:v>
      </x:c>
      <x:c r="E22" s="85" t="n">
        <x:v>3477284.4599999995</x:v>
      </x:c>
      <x:c r="F22" s="85" t="n">
        <x:v>6954568.919999999</x:v>
      </x:c>
      <x:c r="G22" s="85" t="n">
        <x:v>10431853.379999999</x:v>
      </x:c>
      <x:c r="H22" s="85" t="n">
        <x:v>13909137.839999998</x:v>
      </x:c>
      <x:c r="I22" s="85" t="n">
        <x:v>12393398.459999999</x:v>
      </x:c>
      <x:c r="J22" s="85" t="n">
        <x:v>10877659.08</x:v>
      </x:c>
      <x:c r="K22" s="85" t="n">
        <x:v>9361919.700000001</x:v>
      </x:c>
      <x:c r="L22" s="85" t="n">
        <x:v>7846180.320000002</x:v>
      </x:c>
      <x:c r="M22" s="85" t="n">
        <x:v>7311213.480000002</x:v>
      </x:c>
      <x:c r="N22" s="85" t="n">
        <x:v>6772182.329011538</x:v>
      </x:c>
      <x:c r="O22" s="85" t="n">
        <x:v>6231927.737129322</x:v>
      </x:c>
      <x:c r="P22" s="85" t="n">
        <x:v>5690217.322804479</x:v>
      </x:c>
      <x:c r="Q22" s="85" t="n">
        <x:v>5416769.251898294</x:v>
      </x:c>
      <x:c r="R22" s="85" t="n">
        <x:v>5142701.852310795</x:v>
      </x:c>
      <x:c r="S22" s="85" t="n">
        <x:v>4867096.899223444</x:v>
      </x:c>
      <x:c r="T22" s="85" t="n">
        <x:v>4590190.593243694</x:v>
      </x:c>
      <x:c r="U22" s="85" t="n">
        <x:v>4317797.12532472</x:v>
      </x:c>
      <x:c r="V22" s="85" t="n">
        <x:v>4051930.598771893</x:v>
      </x:c>
      <x:c r="W22" s="85" t="n">
        <x:v>3792234.3252452067</x:v>
      </x:c>
      <x:c r="X22" s="85" t="n">
        <x:v>3537554.6778898947</x:v>
      </x:c>
      <x:c r="Y22" s="85" t="n">
        <x:v>2656817.9767150525</x:v>
      </x:c>
      <x:c r="Z22" s="85" t="n">
        <x:v>1774237.9738438413</x:v>
      </x:c>
      <x:c r="AA22" s="85" t="n">
        <x:v>888248.7123400951</x:v>
      </x:c>
      <x:c r="AB22" s="85" t="n">
        <x:v>0</x:v>
      </x:c>
      <x:c r="AC22" s="85" t="n">
        <x:v>0</x:v>
      </x:c>
      <x:c r="AD22" s="85" t="n">
        <x:v>0</x:v>
      </x:c>
      <x:c r="AE22" s="85" t="n">
        <x:v>0</x:v>
      </x:c>
      <x:c r="AF22" s="85" t="n">
        <x:v>0</x:v>
      </x:c>
      <x:c r="AG22" s="85" t="n">
        <x:v>0</x:v>
      </x:c>
      <x:c r="AH22" s="85" t="n">
        <x:v>0</x:v>
      </x:c>
      <x:c r="AI22" s="85" t="n">
        <x:v>0</x:v>
      </x:c>
      <x:c r="AJ22" s="85" t="n">
        <x:v>0</x:v>
      </x:c>
      <x:c r="AK22" s="85" t="n">
        <x:v>0</x:v>
      </x:c>
      <x:c r="AL22" s="85" t="n">
        <x:v>0</x:v>
      </x:c>
      <x:c r="AM22" s="85" t="n">
        <x:v>0</x:v>
      </x:c>
      <x:c r="AN22" s="85" t="n">
        <x:v>0</x:v>
      </x:c>
      <x:c r="AO22" s="85" t="n">
        <x:v>0</x:v>
      </x:c>
      <x:c r="AP22" s="85" t="n">
        <x:v>0</x:v>
      </x:c>
      <x:c r="AQ22" s="85" t="n">
        <x:v>0</x:v>
      </x:c>
      <x:c r="AR22" s="85" t="n">
        <x:v>0</x:v>
      </x:c>
      <x:c r="AS22" s="85" t="n">
        <x:v>0</x:v>
      </x:c>
      <x:c r="AT22" s="85" t="n">
        <x:v>0</x:v>
      </x:c>
      <x:c r="AU22" s="85" t="n">
        <x:v>0</x:v>
      </x:c>
      <x:c r="AV22" s="85" t="n">
        <x:v>0</x:v>
      </x:c>
      <x:c r="AW22" s="85" t="n">
        <x:v>0</x:v>
      </x:c>
      <x:c r="AX22" s="85" t="n">
        <x:v>0</x:v>
      </x:c>
      <x:c r="AY22" s="85" t="n">
        <x:v>0</x:v>
      </x:c>
      <x:c r="AZ22" s="85" t="n">
        <x:v>0</x:v>
      </x:c>
    </x:row>
    <x:row r="23" ht="21" customHeight="1">
      <x:c r="A23" s="150"/>
      <x:c r="B23" s="150"/>
      <x:c r="C23" s="23" t="str">
        <x:v>liquidation cash</x:v>
      </x:c>
      <x:c r="D23" s="23" t="str">
        <x:v>USD</x:v>
      </x:c>
      <x:c r="E23" s="85" t="n">
        <x:v>0</x:v>
      </x:c>
      <x:c r="F23" s="85" t="n">
        <x:v>0</x:v>
      </x:c>
      <x:c r="G23" s="85" t="n">
        <x:v>0</x:v>
      </x:c>
      <x:c r="H23" s="85" t="n">
        <x:v>0</x:v>
      </x:c>
      <x:c r="I23" s="85" t="n">
        <x:v>0</x:v>
      </x:c>
      <x:c r="J23" s="85" t="n">
        <x:v>0</x:v>
      </x:c>
      <x:c r="K23" s="85" t="n">
        <x:v>0</x:v>
      </x:c>
      <x:c r="L23" s="85" t="n">
        <x:v>0</x:v>
      </x:c>
      <x:c r="M23" s="85" t="n">
        <x:v>0</x:v>
      </x:c>
      <x:c r="N23" s="85" t="n">
        <x:v>0</x:v>
      </x:c>
      <x:c r="O23" s="85" t="n">
        <x:v>0</x:v>
      </x:c>
      <x:c r="P23" s="85" t="n">
        <x:v>0</x:v>
      </x:c>
      <x:c r="Q23" s="85" t="n">
        <x:v>0</x:v>
      </x:c>
      <x:c r="R23" s="85" t="n">
        <x:v>0</x:v>
      </x:c>
      <x:c r="S23" s="85" t="n">
        <x:v>0</x:v>
      </x:c>
      <x:c r="T23" s="85" t="n">
        <x:v>0</x:v>
      </x:c>
      <x:c r="U23" s="85" t="n">
        <x:v>0</x:v>
      </x:c>
      <x:c r="V23" s="85" t="n">
        <x:v>0</x:v>
      </x:c>
      <x:c r="W23" s="85" t="n">
        <x:v>0</x:v>
      </x:c>
      <x:c r="X23" s="85" t="n">
        <x:v>0</x:v>
      </x:c>
      <x:c r="Y23" s="85" t="n">
        <x:v>0</x:v>
      </x:c>
      <x:c r="Z23" s="85" t="n">
        <x:v>0</x:v>
      </x:c>
      <x:c r="AA23" s="85" t="n">
        <x:v>0</x:v>
      </x:c>
      <x:c r="AB23" s="85" t="n">
        <x:v>0</x:v>
      </x:c>
      <x:c r="AC23" s="85" t="n">
        <x:v>0</x:v>
      </x:c>
      <x:c r="AD23" s="85" t="n">
        <x:v>0</x:v>
      </x:c>
      <x:c r="AE23" s="85" t="n">
        <x:v>0</x:v>
      </x:c>
      <x:c r="AF23" s="85" t="n">
        <x:v>0</x:v>
      </x:c>
      <x:c r="AG23" s="85" t="n">
        <x:v>0</x:v>
      </x:c>
      <x:c r="AH23" s="85" t="n">
        <x:v>0</x:v>
      </x:c>
      <x:c r="AI23" s="85" t="n">
        <x:v>0</x:v>
      </x:c>
      <x:c r="AJ23" s="85" t="n">
        <x:v>0</x:v>
      </x:c>
      <x:c r="AK23" s="85" t="n">
        <x:v>0</x:v>
      </x:c>
      <x:c r="AL23" s="85" t="n">
        <x:v>0</x:v>
      </x:c>
      <x:c r="AM23" s="85" t="n">
        <x:v>0</x:v>
      </x:c>
      <x:c r="AN23" s="85" t="n">
        <x:v>0</x:v>
      </x:c>
      <x:c r="AO23" s="85" t="n">
        <x:v>0</x:v>
      </x:c>
      <x:c r="AP23" s="85" t="n">
        <x:v>0</x:v>
      </x:c>
      <x:c r="AQ23" s="85" t="n">
        <x:v>0</x:v>
      </x:c>
      <x:c r="AR23" s="85" t="n">
        <x:v>0</x:v>
      </x:c>
      <x:c r="AS23" s="85" t="n">
        <x:v>0</x:v>
      </x:c>
      <x:c r="AT23" s="85" t="n">
        <x:v>0</x:v>
      </x:c>
      <x:c r="AU23" s="85" t="n">
        <x:v>0</x:v>
      </x:c>
      <x:c r="AV23" s="85" t="n">
        <x:v>0</x:v>
      </x:c>
      <x:c r="AW23" s="85" t="n">
        <x:v>0</x:v>
      </x:c>
      <x:c r="AX23" s="85" t="n">
        <x:v>0</x:v>
      </x:c>
      <x:c r="AY23" s="85" t="n">
        <x:v>0</x:v>
      </x:c>
      <x:c r="AZ23" s="85" t="n">
        <x:v>0</x:v>
      </x:c>
    </x:row>
    <x:row r="24" ht="21" customHeight="1">
      <x:c r="A24" s="150"/>
      <x:c r="B24" s="150"/>
      <x:c r="C24" s="23" t="str">
        <x:v>principal cash begin</x:v>
      </x:c>
      <x:c r="D24" s="23" t="str">
        <x:v>USD</x:v>
      </x:c>
      <x:c r="E24" s="85" t="n">
        <x:v>0</x:v>
      </x:c>
      <x:c r="F24" s="85" t="n">
        <x:v>0</x:v>
      </x:c>
      <x:c r="G24" s="85" t="n">
        <x:v>0</x:v>
      </x:c>
      <x:c r="H24" s="85" t="n">
        <x:v>0</x:v>
      </x:c>
      <x:c r="I24" s="85" t="n">
        <x:v>0</x:v>
      </x:c>
      <x:c r="J24" s="85" t="n">
        <x:v>0</x:v>
      </x:c>
      <x:c r="K24" s="85" t="n">
        <x:v>0</x:v>
      </x:c>
      <x:c r="L24" s="85" t="n">
        <x:v>0</x:v>
      </x:c>
      <x:c r="M24" s="85" t="n">
        <x:v>0</x:v>
      </x:c>
      <x:c r="N24" s="85" t="n">
        <x:v>0</x:v>
      </x:c>
      <x:c r="O24" s="85" t="n">
        <x:v>0</x:v>
      </x:c>
      <x:c r="P24" s="85" t="n">
        <x:v>0</x:v>
      </x:c>
      <x:c r="Q24" s="85" t="n">
        <x:v>0</x:v>
      </x:c>
      <x:c r="R24" s="85" t="n">
        <x:v>0</x:v>
      </x:c>
      <x:c r="S24" s="85" t="n">
        <x:v>0</x:v>
      </x:c>
      <x:c r="T24" s="85" t="n">
        <x:v>0</x:v>
      </x:c>
      <x:c r="U24" s="85" t="n">
        <x:v>0</x:v>
      </x:c>
      <x:c r="V24" s="85" t="n">
        <x:v>0</x:v>
      </x:c>
      <x:c r="W24" s="85" t="n">
        <x:v>0</x:v>
      </x:c>
      <x:c r="X24" s="85" t="n">
        <x:v>0</x:v>
      </x:c>
      <x:c r="Y24" s="85" t="n">
        <x:v>0</x:v>
      </x:c>
      <x:c r="Z24" s="85" t="n">
        <x:v>0</x:v>
      </x:c>
      <x:c r="AA24" s="85" t="n">
        <x:v>0</x:v>
      </x:c>
      <x:c r="AB24" s="85" t="n">
        <x:v>0</x:v>
      </x:c>
      <x:c r="AC24" s="85" t="n">
        <x:v>0</x:v>
      </x:c>
      <x:c r="AD24" s="85" t="n">
        <x:v>0</x:v>
      </x:c>
      <x:c r="AE24" s="85" t="n">
        <x:v>0</x:v>
      </x:c>
      <x:c r="AF24" s="85" t="n">
        <x:v>0</x:v>
      </x:c>
      <x:c r="AG24" s="85" t="n">
        <x:v>0</x:v>
      </x:c>
      <x:c r="AH24" s="85" t="n">
        <x:v>0</x:v>
      </x:c>
      <x:c r="AI24" s="85" t="n">
        <x:v>0</x:v>
      </x:c>
      <x:c r="AJ24" s="85" t="n">
        <x:v>0</x:v>
      </x:c>
      <x:c r="AK24" s="85" t="n">
        <x:v>0</x:v>
      </x:c>
      <x:c r="AL24" s="85" t="n">
        <x:v>0</x:v>
      </x:c>
      <x:c r="AM24" s="85" t="n">
        <x:v>0</x:v>
      </x:c>
      <x:c r="AN24" s="85" t="n">
        <x:v>0</x:v>
      </x:c>
      <x:c r="AO24" s="85" t="n">
        <x:v>0</x:v>
      </x:c>
      <x:c r="AP24" s="85" t="n">
        <x:v>0</x:v>
      </x:c>
      <x:c r="AQ24" s="85" t="n">
        <x:v>0</x:v>
      </x:c>
      <x:c r="AR24" s="85" t="n">
        <x:v>0</x:v>
      </x:c>
      <x:c r="AS24" s="85" t="n">
        <x:v>0</x:v>
      </x:c>
      <x:c r="AT24" s="85" t="n">
        <x:v>0</x:v>
      </x:c>
      <x:c r="AU24" s="85" t="n">
        <x:v>0</x:v>
      </x:c>
      <x:c r="AV24" s="85" t="n">
        <x:v>0</x:v>
      </x:c>
      <x:c r="AW24" s="85" t="n">
        <x:v>0</x:v>
      </x:c>
      <x:c r="AX24" s="85" t="n">
        <x:v>0</x:v>
      </x:c>
      <x:c r="AY24" s="85" t="n">
        <x:v>0</x:v>
      </x:c>
      <x:c r="AZ24" s="85" t="n">
        <x:v>0</x:v>
      </x:c>
    </x:row>
    <x:row r="25" ht="21" customHeight="1">
      <x:c r="A25" s="150"/>
      <x:c r="B25" s="150"/>
      <x:c r="C25" s="23" t="str">
        <x:v>interest cash begin</x:v>
      </x:c>
      <x:c r="D25" s="23" t="str">
        <x:v>USD</x:v>
      </x:c>
      <x:c r="E25" s="85" t="n">
        <x:v>0</x:v>
      </x:c>
      <x:c r="F25" s="85" t="n">
        <x:v>0</x:v>
      </x:c>
      <x:c r="G25" s="85" t="n">
        <x:v>0</x:v>
      </x:c>
      <x:c r="H25" s="85" t="n">
        <x:v>0</x:v>
      </x:c>
      <x:c r="I25" s="85" t="n">
        <x:v>0</x:v>
      </x:c>
      <x:c r="J25" s="85" t="n">
        <x:v>0</x:v>
      </x:c>
      <x:c r="K25" s="85" t="n">
        <x:v>0</x:v>
      </x:c>
      <x:c r="L25" s="85" t="n">
        <x:v>0</x:v>
      </x:c>
      <x:c r="M25" s="85" t="n">
        <x:v>0</x:v>
      </x:c>
      <x:c r="N25" s="85" t="n">
        <x:v>0</x:v>
      </x:c>
      <x:c r="O25" s="85" t="n">
        <x:v>0</x:v>
      </x:c>
      <x:c r="P25" s="85" t="n">
        <x:v>0</x:v>
      </x:c>
      <x:c r="Q25" s="85" t="n">
        <x:v>0</x:v>
      </x:c>
      <x:c r="R25" s="85" t="n">
        <x:v>0</x:v>
      </x:c>
      <x:c r="S25" s="85" t="n">
        <x:v>0</x:v>
      </x:c>
      <x:c r="T25" s="85" t="n">
        <x:v>0</x:v>
      </x:c>
      <x:c r="U25" s="85" t="n">
        <x:v>0</x:v>
      </x:c>
      <x:c r="V25" s="85" t="n">
        <x:v>0</x:v>
      </x:c>
      <x:c r="W25" s="85" t="n">
        <x:v>0</x:v>
      </x:c>
      <x:c r="X25" s="85" t="n">
        <x:v>0</x:v>
      </x:c>
      <x:c r="Y25" s="85" t="n">
        <x:v>0</x:v>
      </x:c>
      <x:c r="Z25" s="85" t="n">
        <x:v>0</x:v>
      </x:c>
      <x:c r="AA25" s="85" t="n">
        <x:v>0</x:v>
      </x:c>
      <x:c r="AB25" s="85" t="n">
        <x:v>0</x:v>
      </x:c>
      <x:c r="AC25" s="85" t="n">
        <x:v>0</x:v>
      </x:c>
      <x:c r="AD25" s="85" t="n">
        <x:v>0</x:v>
      </x:c>
      <x:c r="AE25" s="85" t="n">
        <x:v>0</x:v>
      </x:c>
      <x:c r="AF25" s="85" t="n">
        <x:v>0</x:v>
      </x:c>
      <x:c r="AG25" s="85" t="n">
        <x:v>0</x:v>
      </x:c>
      <x:c r="AH25" s="85" t="n">
        <x:v>0</x:v>
      </x:c>
      <x:c r="AI25" s="85" t="n">
        <x:v>0</x:v>
      </x:c>
      <x:c r="AJ25" s="85" t="n">
        <x:v>0</x:v>
      </x:c>
      <x:c r="AK25" s="85" t="n">
        <x:v>0</x:v>
      </x:c>
      <x:c r="AL25" s="85" t="n">
        <x:v>0</x:v>
      </x:c>
      <x:c r="AM25" s="85" t="n">
        <x:v>0</x:v>
      </x:c>
      <x:c r="AN25" s="85" t="n">
        <x:v>0</x:v>
      </x:c>
      <x:c r="AO25" s="85" t="n">
        <x:v>0</x:v>
      </x:c>
      <x:c r="AP25" s="85" t="n">
        <x:v>0</x:v>
      </x:c>
      <x:c r="AQ25" s="85" t="n">
        <x:v>0</x:v>
      </x:c>
      <x:c r="AR25" s="85" t="n">
        <x:v>0</x:v>
      </x:c>
      <x:c r="AS25" s="85" t="n">
        <x:v>0</x:v>
      </x:c>
      <x:c r="AT25" s="85" t="n">
        <x:v>0</x:v>
      </x:c>
      <x:c r="AU25" s="85" t="n">
        <x:v>0</x:v>
      </x:c>
      <x:c r="AV25" s="85" t="n">
        <x:v>0</x:v>
      </x:c>
      <x:c r="AW25" s="85" t="n">
        <x:v>0</x:v>
      </x:c>
      <x:c r="AX25" s="85" t="n">
        <x:v>0</x:v>
      </x:c>
      <x:c r="AY25" s="85" t="n">
        <x:v>0</x:v>
      </x:c>
      <x:c r="AZ25" s="85" t="n">
        <x:v>0</x:v>
      </x:c>
    </x:row>
    <x:row r="26" ht="21" customHeight="1">
      <x:c r="A26" s="150"/>
      <x:c r="B26" s="150"/>
      <x:c r="C26" s="23" t="str">
        <x:v>senior begin</x:v>
      </x:c>
      <x:c r="D26" s="23" t="str">
        <x:v>USD</x:v>
      </x:c>
      <x:c r="E26" s="85" t="n">
        <x:v>192000000</x:v>
      </x:c>
      <x:c r="F26" s="85" t="n">
        <x:v>192000000</x:v>
      </x:c>
      <x:c r="G26" s="85" t="n">
        <x:v>192000000</x:v>
      </x:c>
      <x:c r="H26" s="85" t="n">
        <x:v>192000000</x:v>
      </x:c>
      <x:c r="I26" s="85" t="n">
        <x:v>192000000</x:v>
      </x:c>
      <x:c r="J26" s="85" t="n">
        <x:v>188522715.54</x:v>
      </x:c>
      <x:c r="K26" s="85" t="n">
        <x:v>185045431.07999998</x:v>
      </x:c>
      <x:c r="L26" s="85" t="n">
        <x:v>181568146.61999997</x:v>
      </x:c>
      <x:c r="M26" s="85" t="n">
        <x:v>178090862.15999997</x:v>
      </x:c>
      <x:c r="N26" s="85" t="n">
        <x:v>173719147.07999995</x:v>
      </x:c>
      <x:c r="O26" s="85" t="n">
        <x:v>169883235.9665865</x:v>
      </x:c>
      <x:c r="P26" s="85" t="n">
        <x:v>164661651.32153988</x:v>
      </x:c>
      <x:c r="Q26" s="85" t="n">
        <x:v>158583731.98794925</x:v>
      </x:c>
      <x:c r="R26" s="85" t="n">
        <x:v>151759381.1456247</x:v>
      </x:c>
      <x:c r="S26" s="85" t="n">
        <x:v>144564783.4673468</x:v>
      </x:c>
      <x:c r="T26" s="85" t="n">
        <x:v>132112702.98456943</x:v>
      </x:c>
      <x:c r="U26" s="85" t="n">
        <x:v>121664061.47755969</x:v>
      </x:c>
      <x:c r="V26" s="85" t="n">
        <x:v>113716660.26216868</x:v>
      </x:c>
      <x:c r="W26" s="85" t="n">
        <x:v>96119241.47544679</x:v>
      </x:c>
      <x:c r="X26" s="85" t="n">
        <x:v>85121264.55409004</x:v>
      </x:c>
      <x:c r="Y26" s="85" t="n">
        <x:v>66431139.70828013</x:v>
      </x:c>
      <x:c r="Z26" s="85" t="n">
        <x:v>52692720.43570092</x:v>
      </x:c>
      <x:c r="AA26" s="85" t="n">
        <x:v>41526730.78061633</x:v>
      </x:c>
      <x:c r="AB26" s="85" t="n">
        <x:v>23602516.34627953</x:v>
      </x:c>
      <x:c r="AC26" s="85" t="n">
        <x:v>771036.6597246751</x:v>
      </x:c>
      <x:c r="AD26" s="85" t="n">
        <x:v>0</x:v>
      </x:c>
      <x:c r="AE26" s="85" t="n">
        <x:v>0</x:v>
      </x:c>
      <x:c r="AF26" s="85" t="n">
        <x:v>0</x:v>
      </x:c>
      <x:c r="AG26" s="85" t="n">
        <x:v>0</x:v>
      </x:c>
      <x:c r="AH26" s="85" t="n">
        <x:v>0</x:v>
      </x:c>
      <x:c r="AI26" s="85" t="n">
        <x:v>0</x:v>
      </x:c>
      <x:c r="AJ26" s="85" t="n">
        <x:v>0</x:v>
      </x:c>
      <x:c r="AK26" s="85" t="n">
        <x:v>0</x:v>
      </x:c>
      <x:c r="AL26" s="85" t="n">
        <x:v>0</x:v>
      </x:c>
      <x:c r="AM26" s="85" t="n">
        <x:v>0</x:v>
      </x:c>
      <x:c r="AN26" s="85" t="n">
        <x:v>0</x:v>
      </x:c>
      <x:c r="AO26" s="85" t="n">
        <x:v>0</x:v>
      </x:c>
      <x:c r="AP26" s="85" t="n">
        <x:v>0</x:v>
      </x:c>
      <x:c r="AQ26" s="85" t="n">
        <x:v>0</x:v>
      </x:c>
      <x:c r="AR26" s="85" t="n">
        <x:v>0</x:v>
      </x:c>
      <x:c r="AS26" s="85" t="n">
        <x:v>0</x:v>
      </x:c>
      <x:c r="AT26" s="85" t="n">
        <x:v>0</x:v>
      </x:c>
      <x:c r="AU26" s="85" t="n">
        <x:v>0</x:v>
      </x:c>
      <x:c r="AV26" s="85" t="n">
        <x:v>0</x:v>
      </x:c>
      <x:c r="AW26" s="85" t="n">
        <x:v>0</x:v>
      </x:c>
      <x:c r="AX26" s="85" t="n">
        <x:v>0</x:v>
      </x:c>
      <x:c r="AY26" s="85" t="n">
        <x:v>0</x:v>
      </x:c>
      <x:c r="AZ26" s="85" t="n">
        <x:v>0</x:v>
      </x:c>
    </x:row>
    <x:row r="27" ht="21" customHeight="1">
      <x:c r="A27" s="150"/>
      <x:c r="B27" s="150"/>
      <x:c r="C27" s="23" t="str">
        <x:v>junior begin</x:v>
      </x:c>
      <x:c r="D27" s="23" t="str">
        <x:v>USD</x:v>
      </x:c>
      <x:c r="E27" s="85" t="n">
        <x:v>78000000</x:v>
      </x:c>
      <x:c r="F27" s="85" t="n">
        <x:v>78000000</x:v>
      </x:c>
      <x:c r="G27" s="85" t="n">
        <x:v>78000000</x:v>
      </x:c>
      <x:c r="H27" s="85" t="n">
        <x:v>78000000</x:v>
      </x:c>
      <x:c r="I27" s="85" t="n">
        <x:v>78000000</x:v>
      </x:c>
      <x:c r="J27" s="85" t="n">
        <x:v>78000000</x:v>
      </x:c>
      <x:c r="K27" s="85" t="n">
        <x:v>78000000</x:v>
      </x:c>
      <x:c r="L27" s="85" t="n">
        <x:v>78000000</x:v>
      </x:c>
      <x:c r="M27" s="85" t="n">
        <x:v>78000000</x:v>
      </x:c>
      <x:c r="N27" s="85" t="n">
        <x:v>78000000</x:v>
      </x:c>
      <x:c r="O27" s="85" t="n">
        <x:v>78000000</x:v>
      </x:c>
      <x:c r="P27" s="85" t="n">
        <x:v>78000000</x:v>
      </x:c>
      <x:c r="Q27" s="85" t="n">
        <x:v>78000000</x:v>
      </x:c>
      <x:c r="R27" s="85" t="n">
        <x:v>78000000</x:v>
      </x:c>
      <x:c r="S27" s="85" t="n">
        <x:v>78000000</x:v>
      </x:c>
      <x:c r="T27" s="85" t="n">
        <x:v>78000000</x:v>
      </x:c>
      <x:c r="U27" s="85" t="n">
        <x:v>78000000</x:v>
      </x:c>
      <x:c r="V27" s="85" t="n">
        <x:v>78000000</x:v>
      </x:c>
      <x:c r="W27" s="85" t="n">
        <x:v>78000000</x:v>
      </x:c>
      <x:c r="X27" s="85" t="n">
        <x:v>78000000</x:v>
      </x:c>
      <x:c r="Y27" s="85" t="n">
        <x:v>78000000</x:v>
      </x:c>
      <x:c r="Z27" s="85" t="n">
        <x:v>78000000</x:v>
      </x:c>
      <x:c r="AA27" s="85" t="n">
        <x:v>78000000</x:v>
      </x:c>
      <x:c r="AB27" s="85" t="n">
        <x:v>78000000</x:v>
      </x:c>
      <x:c r="AC27" s="85" t="n">
        <x:v>78000000</x:v>
      </x:c>
      <x:c r="AD27" s="85" t="n">
        <x:v>65676655.063595325</x:v>
      </x:c>
      <x:c r="AE27" s="85" t="n">
        <x:v>58939626.1748914</x:v>
      </x:c>
      <x:c r="AF27" s="85" t="n">
        <x:v>49977900.09426372</x:v>
      </x:c>
      <x:c r="AG27" s="85" t="n">
        <x:v>37848785.33017755</x:v>
      </x:c>
      <x:c r="AH27" s="85" t="n">
        <x:v>32566155.651199922</x:v>
      </x:c>
      <x:c r="AI27" s="85" t="n">
        <x:v>28092133.623161368</x:v>
      </x:c>
      <x:c r="AJ27" s="85" t="n">
        <x:v>27283525.97222229</x:v>
      </x:c>
      <x:c r="AK27" s="85" t="n">
        <x:v>25666310.670344137</x:v>
      </x:c>
      <x:c r="AL27" s="85" t="n">
        <x:v>25666310.670344137</x:v>
      </x:c>
      <x:c r="AM27" s="85" t="n">
        <x:v>25666310.670344137</x:v>
      </x:c>
      <x:c r="AN27" s="85" t="n">
        <x:v>24749615.025455505</x:v>
      </x:c>
      <x:c r="AO27" s="85" t="n">
        <x:v>24426719.246061895</x:v>
      </x:c>
      <x:c r="AP27" s="85" t="n">
        <x:v>24426719.246061895</x:v>
      </x:c>
      <x:c r="AQ27" s="85" t="n">
        <x:v>24426719.246061895</x:v>
      </x:c>
      <x:c r="AR27" s="85" t="n">
        <x:v>24426719.246061895</x:v>
      </x:c>
      <x:c r="AS27" s="85" t="n">
        <x:v>24426719.246061895</x:v>
      </x:c>
      <x:c r="AT27" s="85" t="n">
        <x:v>24426719.246061895</x:v>
      </x:c>
      <x:c r="AU27" s="85" t="n">
        <x:v>24426719.246061895</x:v>
      </x:c>
      <x:c r="AV27" s="85" t="n">
        <x:v>24426719.246061895</x:v>
      </x:c>
      <x:c r="AW27" s="85" t="n">
        <x:v>24426719.246061895</x:v>
      </x:c>
      <x:c r="AX27" s="85" t="n">
        <x:v>24426719.246061895</x:v>
      </x:c>
      <x:c r="AY27" s="85" t="n">
        <x:v>24426719.246061895</x:v>
      </x:c>
      <x:c r="AZ27" s="85" t="n">
        <x:v>24426719.246061895</x:v>
      </x:c>
    </x:row>
    <x:row r="28" ht="21" customHeight="1">
      <x:c r="A28" s="150"/>
      <x:c r="B28" s="150"/>
      <x:c r="C28" s="23" t="str">
        <x:v>senior interest due</x:v>
      </x:c>
      <x:c r="D28" s="23" t="str">
        <x:v>USD</x:v>
      </x:c>
      <x:c r="E28" s="85" t="n">
        <x:v>2083068.4931506847</x:v>
      </x:c>
      <x:c r="F28" s="85" t="n">
        <x:v>2106213.698630137</x:v>
      </x:c>
      <x:c r="G28" s="85" t="n">
        <x:v>2129358.9041095893</x:v>
      </x:c>
      <x:c r="H28" s="85" t="n">
        <x:v>2129358.9041095893</x:v>
      </x:c>
      <x:c r="I28" s="85" t="n">
        <x:v>2106213.698630137</x:v>
      </x:c>
      <x:c r="J28" s="85" t="n">
        <x:v>2068068.3644442738</x:v>
      </x:c>
      <x:c r="K28" s="85" t="n">
        <x:v>2052229.876744767</x:v>
      </x:c>
      <x:c r="L28" s="85" t="n">
        <x:v>2013665.363062356</x:v>
      </x:c>
      <x:c r="M28" s="85" t="n">
        <x:v>1932163.874393424</x:v>
      </x:c>
      <x:c r="N28" s="85" t="n">
        <x:v>1905675.2463241636</x:v>
      </x:c>
      <x:c r="O28" s="85" t="n">
        <x:v>1884074.9018979238</x:v>
      </x:c>
      <x:c r="P28" s="85" t="n">
        <x:v>1826165.3823276532</x:v>
      </x:c>
      <x:c r="Q28" s="85" t="n">
        <x:v>1720524.873074737</x:v>
      </x:c>
      <x:c r="R28" s="85" t="n">
        <x:v>1664779.6222111816</x:v>
      </x:c>
      <x:c r="S28" s="85" t="n">
        <x:v>1603282.8588378625</x:v>
      </x:c>
      <x:c r="T28" s="85" t="n">
        <x:v>1465184.1689905126</x:v>
      </x:c>
      <x:c r="U28" s="85" t="n">
        <x:v>1319971.7354825654</x:v>
      </x:c>
      <x:c r="V28" s="85" t="n">
        <x:v>1247456.1854512969</x:v>
      </x:c>
      <x:c r="W28" s="85" t="n">
        <x:v>1066001.8890208455</x:v>
      </x:c>
      <x:c r="X28" s="85" t="n">
        <x:v>944029.8052464562</x:v>
      </x:c>
      <x:c r="Y28" s="85" t="n">
        <x:v>728740.5024437086</x:v>
      </x:c>
      <x:c r="Z28" s="85" t="n">
        <x:v>578031.9249987574</x:v>
      </x:c>
      <x:c r="AA28" s="85" t="n">
        <x:v>460548.5101368079</x:v>
      </x:c>
      <x:c r="AB28" s="85" t="n">
        <x:v>261761.6059444919</x:v>
      </x:c>
      <x:c r="AC28" s="85" t="n">
        <x:v>8365.219650711542</x:v>
      </x:c>
      <x:c r="AD28" s="85" t="n">
        <x:v>0</x:v>
      </x:c>
      <x:c r="AE28" s="85" t="n">
        <x:v>0</x:v>
      </x:c>
      <x:c r="AF28" s="85" t="n">
        <x:v>0</x:v>
      </x:c>
      <x:c r="AG28" s="85" t="n">
        <x:v>0</x:v>
      </x:c>
      <x:c r="AH28" s="85" t="n">
        <x:v>0</x:v>
      </x:c>
      <x:c r="AI28" s="85" t="n">
        <x:v>0</x:v>
      </x:c>
      <x:c r="AJ28" s="85" t="n">
        <x:v>0</x:v>
      </x:c>
      <x:c r="AK28" s="85" t="n">
        <x:v>0</x:v>
      </x:c>
      <x:c r="AL28" s="85" t="n">
        <x:v>0</x:v>
      </x:c>
      <x:c r="AM28" s="85" t="n">
        <x:v>0</x:v>
      </x:c>
      <x:c r="AN28" s="85" t="n">
        <x:v>0</x:v>
      </x:c>
      <x:c r="AO28" s="85" t="n">
        <x:v>0</x:v>
      </x:c>
      <x:c r="AP28" s="85" t="n">
        <x:v>0</x:v>
      </x:c>
      <x:c r="AQ28" s="85" t="n">
        <x:v>0</x:v>
      </x:c>
      <x:c r="AR28" s="85" t="n">
        <x:v>0</x:v>
      </x:c>
      <x:c r="AS28" s="85" t="n">
        <x:v>0</x:v>
      </x:c>
      <x:c r="AT28" s="85" t="n">
        <x:v>0</x:v>
      </x:c>
      <x:c r="AU28" s="85" t="n">
        <x:v>0</x:v>
      </x:c>
      <x:c r="AV28" s="85" t="n">
        <x:v>0</x:v>
      </x:c>
      <x:c r="AW28" s="85" t="n">
        <x:v>0</x:v>
      </x:c>
      <x:c r="AX28" s="85" t="n">
        <x:v>0</x:v>
      </x:c>
      <x:c r="AY28" s="85" t="n">
        <x:v>0</x:v>
      </x:c>
      <x:c r="AZ28" s="85" t="n">
        <x:v>0</x:v>
      </x:c>
    </x:row>
    <x:row r="29" ht="21" customHeight="1">
      <x:c r="A29" s="150"/>
      <x:c r="B29" s="150"/>
      <x:c r="C29" s="23" t="str">
        <x:v>senior interest paid</x:v>
      </x:c>
      <x:c r="D29" s="23" t="str">
        <x:v>USD</x:v>
      </x:c>
      <x:c r="E29" s="85" t="n">
        <x:v>2083068.4931506847</x:v>
      </x:c>
      <x:c r="F29" s="85" t="n">
        <x:v>2106213.698630137</x:v>
      </x:c>
      <x:c r="G29" s="85" t="n">
        <x:v>2129358.9041095893</x:v>
      </x:c>
      <x:c r="H29" s="85" t="n">
        <x:v>2129358.9041095893</x:v>
      </x:c>
      <x:c r="I29" s="85" t="n">
        <x:v>2106213.698630137</x:v>
      </x:c>
      <x:c r="J29" s="85" t="n">
        <x:v>2068068.3644442738</x:v>
      </x:c>
      <x:c r="K29" s="85" t="n">
        <x:v>2052229.876744767</x:v>
      </x:c>
      <x:c r="L29" s="85" t="n">
        <x:v>2013665.363062356</x:v>
      </x:c>
      <x:c r="M29" s="85" t="n">
        <x:v>1932163.874393424</x:v>
      </x:c>
      <x:c r="N29" s="85" t="n">
        <x:v>1905675.2463241636</x:v>
      </x:c>
      <x:c r="O29" s="85" t="n">
        <x:v>1884074.9018979238</x:v>
      </x:c>
      <x:c r="P29" s="85" t="n">
        <x:v>1826165.3823276532</x:v>
      </x:c>
      <x:c r="Q29" s="85" t="n">
        <x:v>1720524.873074737</x:v>
      </x:c>
      <x:c r="R29" s="85" t="n">
        <x:v>1664779.6222111816</x:v>
      </x:c>
      <x:c r="S29" s="85" t="n">
        <x:v>1603282.8588378625</x:v>
      </x:c>
      <x:c r="T29" s="85" t="n">
        <x:v>1465184.1689905126</x:v>
      </x:c>
      <x:c r="U29" s="85" t="n">
        <x:v>1319971.7354825654</x:v>
      </x:c>
      <x:c r="V29" s="85" t="n">
        <x:v>1247456.1854512969</x:v>
      </x:c>
      <x:c r="W29" s="85" t="n">
        <x:v>1066001.8890208455</x:v>
      </x:c>
      <x:c r="X29" s="85" t="n">
        <x:v>944029.8052464562</x:v>
      </x:c>
      <x:c r="Y29" s="85" t="n">
        <x:v>728740.5024437086</x:v>
      </x:c>
      <x:c r="Z29" s="85" t="n">
        <x:v>578031.9249987574</x:v>
      </x:c>
      <x:c r="AA29" s="85" t="n">
        <x:v>460548.5101368079</x:v>
      </x:c>
      <x:c r="AB29" s="85" t="n">
        <x:v>261761.6059444919</x:v>
      </x:c>
      <x:c r="AC29" s="85" t="n">
        <x:v>8365.219650711542</x:v>
      </x:c>
      <x:c r="AD29" s="85" t="n">
        <x:v>0</x:v>
      </x:c>
      <x:c r="AE29" s="85" t="n">
        <x:v>0</x:v>
      </x:c>
      <x:c r="AF29" s="85" t="n">
        <x:v>0</x:v>
      </x:c>
      <x:c r="AG29" s="85" t="n">
        <x:v>0</x:v>
      </x:c>
      <x:c r="AH29" s="85" t="n">
        <x:v>0</x:v>
      </x:c>
      <x:c r="AI29" s="85" t="n">
        <x:v>0</x:v>
      </x:c>
      <x:c r="AJ29" s="85" t="n">
        <x:v>0</x:v>
      </x:c>
      <x:c r="AK29" s="85" t="n">
        <x:v>0</x:v>
      </x:c>
      <x:c r="AL29" s="85" t="n">
        <x:v>0</x:v>
      </x:c>
      <x:c r="AM29" s="85" t="n">
        <x:v>0</x:v>
      </x:c>
      <x:c r="AN29" s="85" t="n">
        <x:v>0</x:v>
      </x:c>
      <x:c r="AO29" s="85" t="n">
        <x:v>0</x:v>
      </x:c>
      <x:c r="AP29" s="85" t="n">
        <x:v>0</x:v>
      </x:c>
      <x:c r="AQ29" s="85" t="n">
        <x:v>0</x:v>
      </x:c>
      <x:c r="AR29" s="85" t="n">
        <x:v>0</x:v>
      </x:c>
      <x:c r="AS29" s="85" t="n">
        <x:v>0</x:v>
      </x:c>
      <x:c r="AT29" s="85" t="n">
        <x:v>0</x:v>
      </x:c>
      <x:c r="AU29" s="85" t="n">
        <x:v>0</x:v>
      </x:c>
      <x:c r="AV29" s="85" t="n">
        <x:v>0</x:v>
      </x:c>
      <x:c r="AW29" s="85" t="n">
        <x:v>0</x:v>
      </x:c>
      <x:c r="AX29" s="85" t="n">
        <x:v>0</x:v>
      </x:c>
      <x:c r="AY29" s="85" t="n">
        <x:v>0</x:v>
      </x:c>
      <x:c r="AZ29" s="85" t="n">
        <x:v>0</x:v>
      </x:c>
    </x:row>
    <x:row r="30" ht="21" customHeight="1">
      <x:c r="A30" s="150"/>
      <x:c r="B30" s="150"/>
      <x:c r="C30" s="23" t="str">
        <x:v>senior interest shortfall</x:v>
      </x:c>
      <x:c r="D30" s="23" t="str">
        <x:v>USD</x:v>
      </x:c>
      <x:c r="E30" s="85" t="n">
        <x:v>0</x:v>
      </x:c>
      <x:c r="F30" s="85" t="n">
        <x:v>0</x:v>
      </x:c>
      <x:c r="G30" s="85" t="n">
        <x:v>0</x:v>
      </x:c>
      <x:c r="H30" s="85" t="n">
        <x:v>0</x:v>
      </x:c>
      <x:c r="I30" s="85" t="n">
        <x:v>0</x:v>
      </x:c>
      <x:c r="J30" s="85" t="n">
        <x:v>0</x:v>
      </x:c>
      <x:c r="K30" s="85" t="n">
        <x:v>0</x:v>
      </x:c>
      <x:c r="L30" s="85" t="n">
        <x:v>0</x:v>
      </x:c>
      <x:c r="M30" s="85" t="n">
        <x:v>0</x:v>
      </x:c>
      <x:c r="N30" s="85" t="n">
        <x:v>0</x:v>
      </x:c>
      <x:c r="O30" s="85" t="n">
        <x:v>0</x:v>
      </x:c>
      <x:c r="P30" s="85" t="n">
        <x:v>0</x:v>
      </x:c>
      <x:c r="Q30" s="85" t="n">
        <x:v>0</x:v>
      </x:c>
      <x:c r="R30" s="85" t="n">
        <x:v>0</x:v>
      </x:c>
      <x:c r="S30" s="85" t="n">
        <x:v>0</x:v>
      </x:c>
      <x:c r="T30" s="85" t="n">
        <x:v>0</x:v>
      </x:c>
      <x:c r="U30" s="85" t="n">
        <x:v>0</x:v>
      </x:c>
      <x:c r="V30" s="85" t="n">
        <x:v>0</x:v>
      </x:c>
      <x:c r="W30" s="85" t="n">
        <x:v>0</x:v>
      </x:c>
      <x:c r="X30" s="85" t="n">
        <x:v>0</x:v>
      </x:c>
      <x:c r="Y30" s="85" t="n">
        <x:v>0</x:v>
      </x:c>
      <x:c r="Z30" s="85" t="n">
        <x:v>0</x:v>
      </x:c>
      <x:c r="AA30" s="85" t="n">
        <x:v>0</x:v>
      </x:c>
      <x:c r="AB30" s="85" t="n">
        <x:v>0</x:v>
      </x:c>
      <x:c r="AC30" s="85" t="n">
        <x:v>0</x:v>
      </x:c>
      <x:c r="AD30" s="85" t="n">
        <x:v>0</x:v>
      </x:c>
      <x:c r="AE30" s="85" t="n">
        <x:v>0</x:v>
      </x:c>
      <x:c r="AF30" s="85" t="n">
        <x:v>0</x:v>
      </x:c>
      <x:c r="AG30" s="85" t="n">
        <x:v>0</x:v>
      </x:c>
      <x:c r="AH30" s="85" t="n">
        <x:v>0</x:v>
      </x:c>
      <x:c r="AI30" s="85" t="n">
        <x:v>0</x:v>
      </x:c>
      <x:c r="AJ30" s="85" t="n">
        <x:v>0</x:v>
      </x:c>
      <x:c r="AK30" s="85" t="n">
        <x:v>0</x:v>
      </x:c>
      <x:c r="AL30" s="85" t="n">
        <x:v>0</x:v>
      </x:c>
      <x:c r="AM30" s="85" t="n">
        <x:v>0</x:v>
      </x:c>
      <x:c r="AN30" s="85" t="n">
        <x:v>0</x:v>
      </x:c>
      <x:c r="AO30" s="85" t="n">
        <x:v>0</x:v>
      </x:c>
      <x:c r="AP30" s="85" t="n">
        <x:v>0</x:v>
      </x:c>
      <x:c r="AQ30" s="85" t="n">
        <x:v>0</x:v>
      </x:c>
      <x:c r="AR30" s="85" t="n">
        <x:v>0</x:v>
      </x:c>
      <x:c r="AS30" s="85" t="n">
        <x:v>0</x:v>
      </x:c>
      <x:c r="AT30" s="85" t="n">
        <x:v>0</x:v>
      </x:c>
      <x:c r="AU30" s="85" t="n">
        <x:v>0</x:v>
      </x:c>
      <x:c r="AV30" s="85" t="n">
        <x:v>0</x:v>
      </x:c>
      <x:c r="AW30" s="85" t="n">
        <x:v>0</x:v>
      </x:c>
      <x:c r="AX30" s="85" t="n">
        <x:v>0</x:v>
      </x:c>
      <x:c r="AY30" s="85" t="n">
        <x:v>0</x:v>
      </x:c>
      <x:c r="AZ30" s="85" t="n">
        <x:v>0</x:v>
      </x:c>
    </x:row>
    <x:row r="31" ht="21" customHeight="1">
      <x:c r="A31" s="150"/>
      <x:c r="B31" s="150"/>
      <x:c r="C31" s="23" t="str">
        <x:v>senior interest arrears</x:v>
      </x:c>
      <x:c r="D31" s="23" t="str">
        <x:v>USD</x:v>
      </x:c>
      <x:c r="E31" s="85" t="n">
        <x:v>0</x:v>
      </x:c>
      <x:c r="F31" s="85" t="n">
        <x:v>0</x:v>
      </x:c>
      <x:c r="G31" s="85" t="n">
        <x:v>0</x:v>
      </x:c>
      <x:c r="H31" s="85" t="n">
        <x:v>0</x:v>
      </x:c>
      <x:c r="I31" s="85" t="n">
        <x:v>0</x:v>
      </x:c>
      <x:c r="J31" s="85" t="n">
        <x:v>0</x:v>
      </x:c>
      <x:c r="K31" s="85" t="n">
        <x:v>0</x:v>
      </x:c>
      <x:c r="L31" s="85" t="n">
        <x:v>0</x:v>
      </x:c>
      <x:c r="M31" s="85" t="n">
        <x:v>0</x:v>
      </x:c>
      <x:c r="N31" s="85" t="n">
        <x:v>0</x:v>
      </x:c>
      <x:c r="O31" s="85" t="n">
        <x:v>0</x:v>
      </x:c>
      <x:c r="P31" s="85" t="n">
        <x:v>0</x:v>
      </x:c>
      <x:c r="Q31" s="85" t="n">
        <x:v>0</x:v>
      </x:c>
      <x:c r="R31" s="85" t="n">
        <x:v>0</x:v>
      </x:c>
      <x:c r="S31" s="85" t="n">
        <x:v>0</x:v>
      </x:c>
      <x:c r="T31" s="85" t="n">
        <x:v>0</x:v>
      </x:c>
      <x:c r="U31" s="85" t="n">
        <x:v>0</x:v>
      </x:c>
      <x:c r="V31" s="85" t="n">
        <x:v>0</x:v>
      </x:c>
      <x:c r="W31" s="85" t="n">
        <x:v>0</x:v>
      </x:c>
      <x:c r="X31" s="85" t="n">
        <x:v>0</x:v>
      </x:c>
      <x:c r="Y31" s="85" t="n">
        <x:v>0</x:v>
      </x:c>
      <x:c r="Z31" s="85" t="n">
        <x:v>0</x:v>
      </x:c>
      <x:c r="AA31" s="85" t="n">
        <x:v>0</x:v>
      </x:c>
      <x:c r="AB31" s="85" t="n">
        <x:v>0</x:v>
      </x:c>
      <x:c r="AC31" s="85" t="n">
        <x:v>0</x:v>
      </x:c>
      <x:c r="AD31" s="85" t="n">
        <x:v>0</x:v>
      </x:c>
      <x:c r="AE31" s="85" t="n">
        <x:v>0</x:v>
      </x:c>
      <x:c r="AF31" s="85" t="n">
        <x:v>0</x:v>
      </x:c>
      <x:c r="AG31" s="85" t="n">
        <x:v>0</x:v>
      </x:c>
      <x:c r="AH31" s="85" t="n">
        <x:v>0</x:v>
      </x:c>
      <x:c r="AI31" s="85" t="n">
        <x:v>0</x:v>
      </x:c>
      <x:c r="AJ31" s="85" t="n">
        <x:v>0</x:v>
      </x:c>
      <x:c r="AK31" s="85" t="n">
        <x:v>0</x:v>
      </x:c>
      <x:c r="AL31" s="85" t="n">
        <x:v>0</x:v>
      </x:c>
      <x:c r="AM31" s="85" t="n">
        <x:v>0</x:v>
      </x:c>
      <x:c r="AN31" s="85" t="n">
        <x:v>0</x:v>
      </x:c>
      <x:c r="AO31" s="85" t="n">
        <x:v>0</x:v>
      </x:c>
      <x:c r="AP31" s="85" t="n">
        <x:v>0</x:v>
      </x:c>
      <x:c r="AQ31" s="85" t="n">
        <x:v>0</x:v>
      </x:c>
      <x:c r="AR31" s="85" t="n">
        <x:v>0</x:v>
      </x:c>
      <x:c r="AS31" s="85" t="n">
        <x:v>0</x:v>
      </x:c>
      <x:c r="AT31" s="85" t="n">
        <x:v>0</x:v>
      </x:c>
      <x:c r="AU31" s="85" t="n">
        <x:v>0</x:v>
      </x:c>
      <x:c r="AV31" s="85" t="n">
        <x:v>0</x:v>
      </x:c>
      <x:c r="AW31" s="85" t="n">
        <x:v>0</x:v>
      </x:c>
      <x:c r="AX31" s="85" t="n">
        <x:v>0</x:v>
      </x:c>
      <x:c r="AY31" s="85" t="n">
        <x:v>0</x:v>
      </x:c>
      <x:c r="AZ31" s="85" t="n">
        <x:v>0</x:v>
      </x:c>
    </x:row>
    <x:row r="32" ht="21" customHeight="1">
      <x:c r="A32" s="150"/>
      <x:c r="B32" s="150"/>
      <x:c r="C32" s="23" t="str">
        <x:v>junior interest due</x:v>
      </x:c>
      <x:c r="D32" s="23" t="str">
        <x:v>USD</x:v>
      </x:c>
      <x:c r="E32" s="85" t="n">
        <x:v>1634794.5205479448</x:v>
      </x:c>
      <x:c r="F32" s="85" t="n">
        <x:v>1652958.9041095888</x:v>
      </x:c>
      <x:c r="G32" s="85" t="n">
        <x:v>1671123.2876712328</x:v>
      </x:c>
      <x:c r="H32" s="85" t="n">
        <x:v>1738174.6818602746</x:v>
      </x:c>
      <x:c r="I32" s="85" t="n">
        <x:v>1803608.0809616419</x:v>
      </x:c>
      <x:c r="J32" s="85" t="n">
        <x:v>2052176.0694972565</x:v>
      </x:c>
      <x:c r="K32" s="85" t="n">
        <x:v>2249232.412571668</x:v>
      </x:c>
      <x:c r="L32" s="85" t="n">
        <x:v>2558737.1482589003</x:v>
      </x:c>
      <x:c r="M32" s="85" t="n">
        <x:v>2765336.078795233</x:v>
      </x:c>
      <x:c r="N32" s="85" t="n">
        <x:v>3151519.151846192</x:v>
      </x:c>
      <x:c r="O32" s="85" t="n">
        <x:v>3476972.040770371</x:v>
      </x:c>
      <x:c r="P32" s="85" t="n">
        <x:v>3923159.353665855</x:v>
      </x:c>
      <x:c r="Q32" s="85" t="n">
        <x:v>4285651.601638451</x:v>
      </x:c>
      <x:c r="R32" s="85" t="n">
        <x:v>4805625.6946267085</x:v>
      </x:c>
      <x:c r="S32" s="85" t="n">
        <x:v>5293247.322100353</x:v>
      </x:c>
      <x:c r="T32" s="85" t="n">
        <x:v>5920447.305973019</x:v>
      </x:c>
      <x:c r="U32" s="85" t="n">
        <x:v>6470300.029132469</x:v>
      </x:c>
      <x:c r="V32" s="85" t="n">
        <x:v>7167603.547053698</x:v>
      </x:c>
      <x:c r="W32" s="85" t="n">
        <x:v>7921501.069066035</x:v>
      </x:c>
      <x:c r="X32" s="85" t="n">
        <x:v>8725954.478471244</x:v>
      </x:c>
      <x:c r="Y32" s="85" t="n">
        <x:v>9571071.671525832</x:v>
      </x:c>
      <x:c r="Z32" s="85" t="n">
        <x:v>10443604.112896081</x:v>
      </x:c>
      <x:c r="AA32" s="85" t="n">
        <x:v>11304851.330900943</x:v>
      </x:c>
      <x:c r="AB32" s="85" t="n">
        <x:v>12248715.687718006</x:v>
      </x:c>
      <x:c r="AC32" s="85" t="n">
        <x:v>13215904.134955307</x:v>
      </x:c>
      <x:c r="AD32" s="85" t="n">
        <x:v>13973708.363329576</x:v>
      </x:c>
      <x:c r="AE32" s="85" t="n">
        <x:v>14711271.799638506</x:v>
      </x:c>
      <x:c r="AF32" s="85" t="n">
        <x:v>15351132.006869704</x:v>
      </x:c>
      <x:c r="AG32" s="85" t="n">
        <x:v>15853773.823736759</x:v>
      </x:c>
      <x:c r="AH32" s="85" t="n">
        <x:v>16397427.600941518</x:v>
      </x:c>
      <x:c r="AI32" s="85" t="n">
        <x:v>16902667.449943878</x:v>
      </x:c>
      <x:c r="AJ32" s="85" t="n">
        <x:v>17443641.18646602</x:v>
      </x:c>
      <x:c r="AK32" s="85" t="n">
        <x:v>17955740.878983155</x:v>
      </x:c>
      <x:c r="AL32" s="85" t="n">
        <x:v>18483410.40422246</x:v>
      </x:c>
      <x:c r="AM32" s="85" t="n">
        <x:v>19016876.51211946</x:v>
      </x:c>
      <x:c r="AN32" s="85" t="n">
        <x:v>19531686.613518268</x:v>
      </x:c>
      <x:c r="AO32" s="85" t="n">
        <x:v>20046857.054552637</x:v>
      </x:c>
      <x:c r="AP32" s="85" t="n">
        <x:v>20564502.7350137</x:v>
      </x:c>
      <x:c r="AQ32" s="85" t="n">
        <x:v>21087836.829545766</x:v>
      </x:c>
      <x:c r="AR32" s="85" t="n">
        <x:v>21611170.92407783</x:v>
      </x:c>
      <x:c r="AS32" s="85" t="n">
        <x:v>22123128.190467894</x:v>
      </x:c>
      <x:c r="AT32" s="85" t="n">
        <x:v>22640773.870928958</x:v>
      </x:c>
      <x:c r="AU32" s="85" t="n">
        <x:v>23164107.965461023</x:v>
      </x:c>
      <x:c r="AV32" s="85" t="n">
        <x:v>23687442.05999309</x:v>
      </x:c>
      <x:c r="AW32" s="85" t="n">
        <x:v>24199399.32638315</x:v>
      </x:c>
      <x:c r="AX32" s="85" t="n">
        <x:v>24717045.006844215</x:v>
      </x:c>
      <x:c r="AY32" s="85" t="n">
        <x:v>25240379.10137628</x:v>
      </x:c>
      <x:c r="AZ32" s="85" t="n">
        <x:v>25763713.195908345</x:v>
      </x:c>
    </x:row>
    <x:row r="33" ht="21" customHeight="1">
      <x:c r="A33" s="150"/>
      <x:c r="B33" s="150"/>
      <x:c r="C33" s="23" t="str">
        <x:v>junior interest paid</x:v>
      </x:c>
      <x:c r="D33" s="23" t="str">
        <x:v>USD</x:v>
      </x:c>
      <x:c r="E33" s="85" t="n">
        <x:v>1634794.5205479448</x:v>
      </x:c>
      <x:c r="F33" s="85" t="n">
        <x:v>1652958.9041095888</x:v>
      </x:c>
      <x:c r="G33" s="85" t="n">
        <x:v>1604071.893482191</x:v>
      </x:c>
      <x:c r="H33" s="85" t="n">
        <x:v>1587525.5050082216</x:v>
      </x:c>
      <x:c r="I33" s="85" t="n">
        <x:v>1404390.9155739741</x:v>
      </x:c>
      <x:c r="J33" s="85" t="n">
        <x:v>1474066.9445968212</x:v>
      </x:c>
      <x:c r="K33" s="85" t="n">
        <x:v>1361618.5519840007</x:v>
      </x:c>
      <x:c r="L33" s="85" t="n">
        <x:v>1428195.5900116123</x:v>
      </x:c>
      <x:c r="M33" s="85" t="n">
        <x:v>1266775.8310586298</x:v>
      </x:c>
      <x:c r="N33" s="85" t="n">
        <x:v>1345670.3987470537</x:v>
      </x:c>
      <x:c r="O33" s="85" t="n">
        <x:v>1224935.974775749</x:v>
      </x:c>
      <x:c r="P33" s="85" t="n">
        <x:v>1272302.2725753488</x:v>
      </x:c>
      <x:c r="Q33" s="85" t="n">
        <x:v>1132984.8111213315</x:v>
      </x:c>
      <x:c r="R33" s="85" t="n">
        <x:v>1183501.6601975877</x:v>
      </x:c>
      <x:c r="S33" s="85" t="n">
        <x:v>1043923.3037985666</x:v>
      </x:c>
      <x:c r="T33" s="85" t="n">
        <x:v>1084941.797388496</x:v>
      </x:c>
      <x:c r="U33" s="85" t="n">
        <x:v>955655.3861883592</x:v>
      </x:c>
      <x:c r="V33" s="85" t="n">
        <x:v>917225.7656588966</x:v>
      </x:c>
      <x:c r="W33" s="85" t="n">
        <x:v>866669.8782660242</x:v>
      </x:c>
      <x:c r="X33" s="85" t="n">
        <x:v>807841.7110550009</x:v>
      </x:c>
      <x:c r="Y33" s="85" t="n">
        <x:v>780426.462739339</x:v>
      </x:c>
      <x:c r="Z33" s="85" t="n">
        <x:v>809876.0696663717</x:v>
      </x:c>
      <x:c r="AA33" s="85" t="n">
        <x:v>727258.9308541688</x:v>
      </x:c>
      <x:c r="AB33" s="85" t="n">
        <x:v>667606.0733106432</x:v>
      </x:c>
      <x:c r="AC33" s="85" t="n">
        <x:v>634001.0508501426</x:v>
      </x:c>
      <x:c r="AD33" s="85" t="n">
        <x:v>525197.8696846322</x:v>
      </x:c>
      <x:c r="AE33" s="85" t="n">
        <x:v>430899.186569192</x:v>
      </x:c>
      <x:c r="AF33" s="85" t="n">
        <x:v>290627.2455325561</x:v>
      </x:c>
      <x:c r="AG33" s="85" t="n">
        <x:v>146481.05556793045</x:v>
      </x:c>
      <x:c r="AH33" s="85" t="n">
        <x:v>96624.49328016766</x:v>
      </x:c>
      <x:c r="AI33" s="85" t="n">
        <x:v>43566.46375944076</x:v>
      </x:c>
      <x:c r="AJ33" s="85" t="n">
        <x:v>25838.051669528773</x:v>
      </x:c>
      <x:c r="AK33" s="85" t="n">
        <x:v>16245.30499387868</x:v>
      </x:c>
      <x:c r="AL33" s="85" t="n">
        <x:v>16425.80838269956</x:v>
      </x:c>
      <x:c r="AM33" s="85" t="n">
        <x:v>15441.924626017902</x:v>
      </x:c>
      <x:c r="AN33" s="85" t="n">
        <x:v>2475.239426694014</x:v>
      </x:c>
      <x:c r="AO33" s="85" t="n">
        <x:v>0</x:v>
      </x:c>
      <x:c r="AP33" s="85" t="n">
        <x:v>0</x:v>
      </x:c>
      <x:c r="AQ33" s="85" t="n">
        <x:v>0</x:v>
      </x:c>
      <x:c r="AR33" s="85" t="n">
        <x:v>0</x:v>
      </x:c>
      <x:c r="AS33" s="85" t="n">
        <x:v>0</x:v>
      </x:c>
      <x:c r="AT33" s="85" t="n">
        <x:v>0</x:v>
      </x:c>
      <x:c r="AU33" s="85" t="n">
        <x:v>0</x:v>
      </x:c>
      <x:c r="AV33" s="85" t="n">
        <x:v>0</x:v>
      </x:c>
      <x:c r="AW33" s="85" t="n">
        <x:v>0</x:v>
      </x:c>
      <x:c r="AX33" s="85" t="n">
        <x:v>0</x:v>
      </x:c>
      <x:c r="AY33" s="85" t="n">
        <x:v>0</x:v>
      </x:c>
      <x:c r="AZ33" s="85" t="n">
        <x:v>0</x:v>
      </x:c>
    </x:row>
    <x:row r="34" ht="21" customHeight="1">
      <x:c r="A34" s="150"/>
      <x:c r="B34" s="150"/>
      <x:c r="C34" s="23" t="str">
        <x:v>junior interest arrears</x:v>
      </x:c>
      <x:c r="D34" s="23" t="str">
        <x:v>USD</x:v>
      </x:c>
      <x:c r="E34" s="85" t="n">
        <x:v>0</x:v>
      </x:c>
      <x:c r="F34" s="85" t="n">
        <x:v>0</x:v>
      </x:c>
      <x:c r="G34" s="85" t="n">
        <x:v>67051.3941890418</x:v>
      </x:c>
      <x:c r="H34" s="85" t="n">
        <x:v>150649.17685205303</x:v>
      </x:c>
      <x:c r="I34" s="85" t="n">
        <x:v>399217.1653876677</x:v>
      </x:c>
      <x:c r="J34" s="85" t="n">
        <x:v>578109.1249004353</x:v>
      </x:c>
      <x:c r="K34" s="85" t="n">
        <x:v>887613.8605876674</x:v>
      </x:c>
      <x:c r="L34" s="85" t="n">
        <x:v>1130541.558247288</x:v>
      </x:c>
      <x:c r="M34" s="85" t="n">
        <x:v>1498560.247736603</x:v>
      </x:c>
      <x:c r="N34" s="85" t="n">
        <x:v>1805848.7530991381</x:v>
      </x:c>
      <x:c r="O34" s="85" t="n">
        <x:v>2252036.065994622</x:v>
      </x:c>
      <x:c r="P34" s="85" t="n">
        <x:v>2650857.081090506</x:v>
      </x:c>
      <x:c r="Q34" s="85" t="n">
        <x:v>3152666.7905171197</x:v>
      </x:c>
      <x:c r="R34" s="85" t="n">
        <x:v>3622124.034429121</x:v>
      </x:c>
      <x:c r="S34" s="85" t="n">
        <x:v>4249324.018301787</x:v>
      </x:c>
      <x:c r="T34" s="85" t="n">
        <x:v>4835505.508584524</x:v>
      </x:c>
      <x:c r="U34" s="85" t="n">
        <x:v>5514644.64294411</x:v>
      </x:c>
      <x:c r="V34" s="85" t="n">
        <x:v>6250377.781394802</x:v>
      </x:c>
      <x:c r="W34" s="85" t="n">
        <x:v>7054831.19080001</x:v>
      </x:c>
      <x:c r="X34" s="85" t="n">
        <x:v>7918112.7674162425</x:v>
      </x:c>
      <x:c r="Y34" s="85" t="n">
        <x:v>8790645.208786493</x:v>
      </x:c>
      <x:c r="Z34" s="85" t="n">
        <x:v>9633728.04322971</x:v>
      </x:c>
      <x:c r="AA34" s="85" t="n">
        <x:v>10577592.400046773</x:v>
      </x:c>
      <x:c r="AB34" s="85" t="n">
        <x:v>11581109.614407362</x:v>
      </x:c>
      <x:c r="AC34" s="85" t="n">
        <x:v>12581903.084105166</x:v>
      </x:c>
      <x:c r="AD34" s="85" t="n">
        <x:v>13448510.493644943</x:v>
      </x:c>
      <x:c r="AE34" s="85" t="n">
        <x:v>14280372.613069315</x:v>
      </x:c>
      <x:c r="AF34" s="85" t="n">
        <x:v>15060504.761337148</x:v>
      </x:c>
      <x:c r="AG34" s="85" t="n">
        <x:v>15707292.76816883</x:v>
      </x:c>
      <x:c r="AH34" s="85" t="n">
        <x:v>16300803.107661352</x:v>
      </x:c>
      <x:c r="AI34" s="85" t="n">
        <x:v>16859100.986184437</x:v>
      </x:c>
      <x:c r="AJ34" s="85" t="n">
        <x:v>17417803.13479649</x:v>
      </x:c>
      <x:c r="AK34" s="85" t="n">
        <x:v>17939495.573989276</x:v>
      </x:c>
      <x:c r="AL34" s="85" t="n">
        <x:v>18466984.595839757</x:v>
      </x:c>
      <x:c r="AM34" s="85" t="n">
        <x:v>19001434.587493442</x:v>
      </x:c>
      <x:c r="AN34" s="85" t="n">
        <x:v>19529211.374091573</x:v>
      </x:c>
      <x:c r="AO34" s="85" t="n">
        <x:v>20046857.054552637</x:v>
      </x:c>
      <x:c r="AP34" s="85" t="n">
        <x:v>20564502.7350137</x:v>
      </x:c>
      <x:c r="AQ34" s="85" t="n">
        <x:v>21087836.829545766</x:v>
      </x:c>
      <x:c r="AR34" s="85" t="n">
        <x:v>21611170.92407783</x:v>
      </x:c>
      <x:c r="AS34" s="85" t="n">
        <x:v>22123128.190467894</x:v>
      </x:c>
      <x:c r="AT34" s="85" t="n">
        <x:v>22640773.870928958</x:v>
      </x:c>
      <x:c r="AU34" s="85" t="n">
        <x:v>23164107.965461023</x:v>
      </x:c>
      <x:c r="AV34" s="85" t="n">
        <x:v>23687442.05999309</x:v>
      </x:c>
      <x:c r="AW34" s="85" t="n">
        <x:v>24199399.32638315</x:v>
      </x:c>
      <x:c r="AX34" s="85" t="n">
        <x:v>24717045.006844215</x:v>
      </x:c>
      <x:c r="AY34" s="85" t="n">
        <x:v>25240379.10137628</x:v>
      </x:c>
      <x:c r="AZ34" s="85" t="n">
        <x:v>25763713.195908345</x:v>
      </x:c>
    </x:row>
    <x:row r="35" ht="21" customHeight="1">
      <x:c r="A35" s="150"/>
      <x:c r="B35" s="150"/>
      <x:c r="C35" s="23" t="str">
        <x:v>senior fees due</x:v>
      </x:c>
      <x:c r="D35" s="23" t="str">
        <x:v>USD</x:v>
      </x:c>
      <x:c r="E35" s="85" t="n">
        <x:v>258904.1095890411</x:v>
      </x:c>
      <x:c r="F35" s="85" t="n">
        <x:v>254123.73287671234</x:v>
      </x:c>
      <x:c r="G35" s="85" t="n">
        <x:v>249175.0684931507</x:v>
      </x:c>
      <x:c r="H35" s="85" t="n">
        <x:v>241433.8356164384</x:v>
      </x:c>
      <x:c r="I35" s="85" t="n">
        <x:v>231152.46575342465</x:v>
      </x:c>
      <x:c r="J35" s="85" t="n">
        <x:v>226833.08219178082</x:v>
      </x:c>
      <x:c r="K35" s="85" t="n">
        <x:v>224958.90410958906</x:v>
      </x:c>
      <x:c r="L35" s="85" t="n">
        <x:v>220592.05479452058</x:v>
      </x:c>
      <x:c r="M35" s="85" t="n">
        <x:v>211524.65753424657</x:v>
      </x:c>
      <x:c r="N35" s="85" t="n">
        <x:v>208630.44069863015</x:v>
      </x:c>
      <x:c r="O35" s="85" t="n">
        <x:v>206093.64218422156</x:v>
      </x:c>
      <x:c r="P35" s="85" t="n">
        <x:v>200041.77166382427</x:v>
      </x:c>
      <x:c r="Q35" s="85" t="n">
        <x:v>189033.70081261377</x:v>
      </x:c>
      <x:c r="R35" s="85" t="n">
        <x:v>183871.60109118215</x:v>
      </x:c>
      <x:c r="S35" s="85" t="n">
        <x:v>178219.67233541753</x:v>
      </x:c>
      <x:c r="T35" s="85" t="n">
        <x:v>165907.9891072521</x:v>
      </x:c>
      <x:c r="U35" s="85" t="n">
        <x:v>151984.99463702663</x:v>
      </x:c>
      <x:c r="V35" s="85" t="n">
        <x:v>145781.66110583657</x:v>
      </x:c>
      <x:c r="W35" s="85" t="n">
        <x:v>130887.57774651967</x:v>
      </x:c>
      <x:c r="X35" s="85" t="n">
        <x:v>120211.03575639072</x:v>
      </x:c>
      <x:c r="Y35" s="85" t="n">
        <x:v>101629.30617070844</x:v>
      </x:c>
      <x:c r="Z35" s="85" t="n">
        <x:v>90409.6571323734</x:v>
      </x:c>
      <x:c r="AA35" s="85" t="n">
        <x:v>82331.23037410635</x:v>
      </x:c>
      <x:c r="AB35" s="85" t="n">
        <x:v>67300.24816683994</x:v>
      </x:c>
      <x:c r="AC35" s="85" t="n">
        <x:v>46899.89037069527</x:v>
      </x:c>
      <x:c r="AD35" s="85" t="n">
        <x:v>35994.80700790246</x:v>
      </x:c>
      <x:c r="AE35" s="85" t="n">
        <x:v>30447.00282488521</x:v>
      </x:c>
      <x:c r="AF35" s="85" t="n">
        <x:v>22541.04173457805</x:v>
      </x:c>
      <x:c r="AG35" s="85" t="n">
        <x:v>11583.426894510772</x:v>
      </x:c>
      <x:c r="AH35" s="85" t="n">
        <x:v>7102.4945069492105</x:v>
      </x:c>
      <x:c r="AI35" s="85" t="n">
        <x:v>3233.598436783646</x:v>
      </x:c>
      <x:c r="AJ35" s="85" t="n">
        <x:v>2520.251413215474</x:v>
      </x:c>
      <x:c r="AK35" s="85" t="n">
        <x:v>1069.7843798600163</x:v>
      </x:c>
      <x:c r="AL35" s="85" t="n">
        <x:v>1081.670872969572</x:v>
      </x:c>
      <x:c r="AM35" s="85" t="n">
        <x:v>1093.5573660791279</x:v>
      </x:c>
      <x:c r="AN35" s="85" t="n">
        <x:v>284.8560026431282</x:v>
      </x:c>
      <x:c r="AO35" s="85" t="n">
        <x:v>0</x:v>
      </x:c>
      <x:c r="AP35" s="85" t="n">
        <x:v>0</x:v>
      </x:c>
      <x:c r="AQ35" s="85" t="n">
        <x:v>0</x:v>
      </x:c>
      <x:c r="AR35" s="85" t="n">
        <x:v>0</x:v>
      </x:c>
      <x:c r="AS35" s="85" t="n">
        <x:v>0</x:v>
      </x:c>
      <x:c r="AT35" s="85" t="n">
        <x:v>0</x:v>
      </x:c>
      <x:c r="AU35" s="85" t="n">
        <x:v>0</x:v>
      </x:c>
      <x:c r="AV35" s="85" t="n">
        <x:v>0</x:v>
      </x:c>
      <x:c r="AW35" s="85" t="n">
        <x:v>0</x:v>
      </x:c>
      <x:c r="AX35" s="85" t="n">
        <x:v>0</x:v>
      </x:c>
      <x:c r="AY35" s="85" t="n">
        <x:v>0</x:v>
      </x:c>
      <x:c r="AZ35" s="85" t="n">
        <x:v>0</x:v>
      </x:c>
    </x:row>
    <x:row r="36" ht="21" customHeight="1">
      <x:c r="A36" s="150"/>
      <x:c r="B36" s="150"/>
      <x:c r="C36" s="23" t="str">
        <x:v>senior fees paid</x:v>
      </x:c>
      <x:c r="D36" s="23" t="str">
        <x:v>USD</x:v>
      </x:c>
      <x:c r="E36" s="85" t="n">
        <x:v>258904.1095890411</x:v>
      </x:c>
      <x:c r="F36" s="85" t="n">
        <x:v>254123.73287671234</x:v>
      </x:c>
      <x:c r="G36" s="85" t="n">
        <x:v>249175.0684931507</x:v>
      </x:c>
      <x:c r="H36" s="85" t="n">
        <x:v>241433.8356164384</x:v>
      </x:c>
      <x:c r="I36" s="85" t="n">
        <x:v>231152.46575342465</x:v>
      </x:c>
      <x:c r="J36" s="85" t="n">
        <x:v>226833.08219178082</x:v>
      </x:c>
      <x:c r="K36" s="85" t="n">
        <x:v>224958.90410958906</x:v>
      </x:c>
      <x:c r="L36" s="85" t="n">
        <x:v>220592.05479452058</x:v>
      </x:c>
      <x:c r="M36" s="85" t="n">
        <x:v>211524.65753424657</x:v>
      </x:c>
      <x:c r="N36" s="85" t="n">
        <x:v>208630.44069863015</x:v>
      </x:c>
      <x:c r="O36" s="85" t="n">
        <x:v>206093.64218422156</x:v>
      </x:c>
      <x:c r="P36" s="85" t="n">
        <x:v>200041.77166382427</x:v>
      </x:c>
      <x:c r="Q36" s="85" t="n">
        <x:v>189033.70081261377</x:v>
      </x:c>
      <x:c r="R36" s="85" t="n">
        <x:v>183871.60109118215</x:v>
      </x:c>
      <x:c r="S36" s="85" t="n">
        <x:v>178219.67233541753</x:v>
      </x:c>
      <x:c r="T36" s="85" t="n">
        <x:v>165907.9891072521</x:v>
      </x:c>
      <x:c r="U36" s="85" t="n">
        <x:v>151984.99463702663</x:v>
      </x:c>
      <x:c r="V36" s="85" t="n">
        <x:v>145781.66110583657</x:v>
      </x:c>
      <x:c r="W36" s="85" t="n">
        <x:v>130887.57774651967</x:v>
      </x:c>
      <x:c r="X36" s="85" t="n">
        <x:v>120211.03575639072</x:v>
      </x:c>
      <x:c r="Y36" s="85" t="n">
        <x:v>101629.30617070844</x:v>
      </x:c>
      <x:c r="Z36" s="85" t="n">
        <x:v>90409.6571323734</x:v>
      </x:c>
      <x:c r="AA36" s="85" t="n">
        <x:v>82331.23037410635</x:v>
      </x:c>
      <x:c r="AB36" s="85" t="n">
        <x:v>67300.24816683994</x:v>
      </x:c>
      <x:c r="AC36" s="85" t="n">
        <x:v>46899.89037069527</x:v>
      </x:c>
      <x:c r="AD36" s="85" t="n">
        <x:v>35994.80700790246</x:v>
      </x:c>
      <x:c r="AE36" s="85" t="n">
        <x:v>30447.00282488521</x:v>
      </x:c>
      <x:c r="AF36" s="85" t="n">
        <x:v>22541.04173457805</x:v>
      </x:c>
      <x:c r="AG36" s="85" t="n">
        <x:v>11583.426894510772</x:v>
      </x:c>
      <x:c r="AH36" s="85" t="n">
        <x:v>7102.4945069492105</x:v>
      </x:c>
      <x:c r="AI36" s="85" t="n">
        <x:v>3233.598436783646</x:v>
      </x:c>
      <x:c r="AJ36" s="85" t="n">
        <x:v>2520.251413215474</x:v>
      </x:c>
      <x:c r="AK36" s="85" t="n">
        <x:v>1069.7843798600163</x:v>
      </x:c>
      <x:c r="AL36" s="85" t="n">
        <x:v>1081.670872969572</x:v>
      </x:c>
      <x:c r="AM36" s="85" t="n">
        <x:v>1093.5573660791279</x:v>
      </x:c>
      <x:c r="AN36" s="85" t="n">
        <x:v>284.8560026431282</x:v>
      </x:c>
      <x:c r="AO36" s="85" t="n">
        <x:v>0</x:v>
      </x:c>
      <x:c r="AP36" s="85" t="n">
        <x:v>0</x:v>
      </x:c>
      <x:c r="AQ36" s="85" t="n">
        <x:v>0</x:v>
      </x:c>
      <x:c r="AR36" s="85" t="n">
        <x:v>0</x:v>
      </x:c>
      <x:c r="AS36" s="85" t="n">
        <x:v>0</x:v>
      </x:c>
      <x:c r="AT36" s="85" t="n">
        <x:v>0</x:v>
      </x:c>
      <x:c r="AU36" s="85" t="n">
        <x:v>0</x:v>
      </x:c>
      <x:c r="AV36" s="85" t="n">
        <x:v>0</x:v>
      </x:c>
      <x:c r="AW36" s="85" t="n">
        <x:v>0</x:v>
      </x:c>
      <x:c r="AX36" s="85" t="n">
        <x:v>0</x:v>
      </x:c>
      <x:c r="AY36" s="85" t="n">
        <x:v>0</x:v>
      </x:c>
      <x:c r="AZ36" s="85" t="n">
        <x:v>0</x:v>
      </x:c>
    </x:row>
    <x:row r="37" ht="21" customHeight="1">
      <x:c r="A37" s="150"/>
      <x:c r="B37" s="150"/>
      <x:c r="C37" s="23" t="str">
        <x:v>senior fee arrears</x:v>
      </x:c>
      <x:c r="D37" s="23" t="str">
        <x:v>USD</x:v>
      </x:c>
      <x:c r="E37" s="85" t="n">
        <x:v>0</x:v>
      </x:c>
      <x:c r="F37" s="85" t="n">
        <x:v>0</x:v>
      </x:c>
      <x:c r="G37" s="85" t="n">
        <x:v>0</x:v>
      </x:c>
      <x:c r="H37" s="85" t="n">
        <x:v>0</x:v>
      </x:c>
      <x:c r="I37" s="85" t="n">
        <x:v>0</x:v>
      </x:c>
      <x:c r="J37" s="85" t="n">
        <x:v>0</x:v>
      </x:c>
      <x:c r="K37" s="85" t="n">
        <x:v>0</x:v>
      </x:c>
      <x:c r="L37" s="85" t="n">
        <x:v>0</x:v>
      </x:c>
      <x:c r="M37" s="85" t="n">
        <x:v>0</x:v>
      </x:c>
      <x:c r="N37" s="85" t="n">
        <x:v>0</x:v>
      </x:c>
      <x:c r="O37" s="85" t="n">
        <x:v>0</x:v>
      </x:c>
      <x:c r="P37" s="85" t="n">
        <x:v>0</x:v>
      </x:c>
      <x:c r="Q37" s="85" t="n">
        <x:v>0</x:v>
      </x:c>
      <x:c r="R37" s="85" t="n">
        <x:v>0</x:v>
      </x:c>
      <x:c r="S37" s="85" t="n">
        <x:v>0</x:v>
      </x:c>
      <x:c r="T37" s="85" t="n">
        <x:v>0</x:v>
      </x:c>
      <x:c r="U37" s="85" t="n">
        <x:v>0</x:v>
      </x:c>
      <x:c r="V37" s="85" t="n">
        <x:v>0</x:v>
      </x:c>
      <x:c r="W37" s="85" t="n">
        <x:v>0</x:v>
      </x:c>
      <x:c r="X37" s="85" t="n">
        <x:v>0</x:v>
      </x:c>
      <x:c r="Y37" s="85" t="n">
        <x:v>0</x:v>
      </x:c>
      <x:c r="Z37" s="85" t="n">
        <x:v>0</x:v>
      </x:c>
      <x:c r="AA37" s="85" t="n">
        <x:v>0</x:v>
      </x:c>
      <x:c r="AB37" s="85" t="n">
        <x:v>0</x:v>
      </x:c>
      <x:c r="AC37" s="85" t="n">
        <x:v>0</x:v>
      </x:c>
      <x:c r="AD37" s="85" t="n">
        <x:v>0</x:v>
      </x:c>
      <x:c r="AE37" s="85" t="n">
        <x:v>0</x:v>
      </x:c>
      <x:c r="AF37" s="85" t="n">
        <x:v>0</x:v>
      </x:c>
      <x:c r="AG37" s="85" t="n">
        <x:v>0</x:v>
      </x:c>
      <x:c r="AH37" s="85" t="n">
        <x:v>0</x:v>
      </x:c>
      <x:c r="AI37" s="85" t="n">
        <x:v>0</x:v>
      </x:c>
      <x:c r="AJ37" s="85" t="n">
        <x:v>0</x:v>
      </x:c>
      <x:c r="AK37" s="85" t="n">
        <x:v>0</x:v>
      </x:c>
      <x:c r="AL37" s="85" t="n">
        <x:v>0</x:v>
      </x:c>
      <x:c r="AM37" s="85" t="n">
        <x:v>0</x:v>
      </x:c>
      <x:c r="AN37" s="85" t="n">
        <x:v>0</x:v>
      </x:c>
      <x:c r="AO37" s="85" t="n">
        <x:v>0</x:v>
      </x:c>
      <x:c r="AP37" s="85" t="n">
        <x:v>0</x:v>
      </x:c>
      <x:c r="AQ37" s="85" t="n">
        <x:v>0</x:v>
      </x:c>
      <x:c r="AR37" s="85" t="n">
        <x:v>0</x:v>
      </x:c>
      <x:c r="AS37" s="85" t="n">
        <x:v>0</x:v>
      </x:c>
      <x:c r="AT37" s="85" t="n">
        <x:v>0</x:v>
      </x:c>
      <x:c r="AU37" s="85" t="n">
        <x:v>0</x:v>
      </x:c>
      <x:c r="AV37" s="85" t="n">
        <x:v>0</x:v>
      </x:c>
      <x:c r="AW37" s="85" t="n">
        <x:v>0</x:v>
      </x:c>
      <x:c r="AX37" s="85" t="n">
        <x:v>0</x:v>
      </x:c>
      <x:c r="AY37" s="85" t="n">
        <x:v>0</x:v>
      </x:c>
      <x:c r="AZ37" s="85" t="n">
        <x:v>0</x:v>
      </x:c>
    </x:row>
    <x:row r="38" ht="21" customHeight="1">
      <x:c r="A38" s="150"/>
      <x:c r="B38" s="150"/>
      <x:c r="C38" s="23" t="str">
        <x:v>sub fees due</x:v>
      </x:c>
      <x:c r="D38" s="23" t="str">
        <x:v>USD</x:v>
      </x:c>
      <x:c r="E38" s="85" t="n">
        <x:v>110958.90410958903</x:v>
      </x:c>
      <x:c r="F38" s="85" t="n">
        <x:v>108910.17123287672</x:v>
      </x:c>
      <x:c r="G38" s="85" t="n">
        <x:v>106789.31506849316</x:v>
      </x:c>
      <x:c r="H38" s="85" t="n">
        <x:v>210260.9589041096</x:v>
      </x:c>
      <x:c r="I38" s="85" t="n">
        <x:v>309326.30136986304</x:v>
      </x:c>
      <x:c r="J38" s="85" t="n">
        <x:v>406540.47945205483</x:v>
      </x:c>
      <x:c r="K38" s="85" t="n">
        <x:v>502951.43835616444</x:v>
      </x:c>
      <x:c r="L38" s="85" t="n">
        <x:v>597490.890410959</x:v>
      </x:c>
      <x:c r="M38" s="85" t="n">
        <x:v>688144.3150684932</x:v>
      </x:c>
      <x:c r="N38" s="85" t="n">
        <x:v>777557.3610821919</x:v>
      </x:c>
      <x:c r="O38" s="85" t="n">
        <x:v>865883.2077325726</x:v>
      </x:c>
      <x:c r="P38" s="85" t="n">
        <x:v>951615.3955884973</x:v>
      </x:c>
      <x:c r="Q38" s="85" t="n">
        <x:v>1032629.8387939032</x:v>
      </x:c>
      <x:c r="R38" s="85" t="n">
        <x:v>1111431.953547267</x:v>
      </x:c>
      <x:c r="S38" s="85" t="n">
        <x:v>1187811.813119589</x:v>
      </x:c>
      <x:c r="T38" s="85" t="n">
        <x:v>1258915.237022697</x:v>
      </x:c>
      <x:c r="U38" s="85" t="n">
        <x:v>1324051.6632957084</x:v>
      </x:c>
      <x:c r="V38" s="85" t="n">
        <x:v>1386529.5180553526</x:v>
      </x:c>
      <x:c r="W38" s="85" t="n">
        <x:v>1442624.1942324324</x:v>
      </x:c>
      <x:c r="X38" s="85" t="n">
        <x:v>1494143.2095565998</x:v>
      </x:c>
      <x:c r="Y38" s="85" t="n">
        <x:v>1537698.6264869035</x:v>
      </x:c>
      <x:c r="Z38" s="85" t="n">
        <x:v>1576445.6224007779</x:v>
      </x:c>
      <x:c r="AA38" s="85" t="n">
        <x:v>1611730.4354182521</x:v>
      </x:c>
      <x:c r="AB38" s="85" t="n">
        <x:v>1640573.3989183265</x:v>
      </x:c>
      <x:c r="AC38" s="85" t="n">
        <x:v>1660673.3519343387</x:v>
      </x:c>
      <x:c r="AD38" s="85" t="n">
        <x:v>1676099.6977948684</x:v>
      </x:c>
      <x:c r="AE38" s="85" t="n">
        <x:v>1689148.4132912478</x:v>
      </x:c>
      <x:c r="AF38" s="85" t="n">
        <x:v>1698808.8597489242</x:v>
      </x:c>
      <x:c r="AG38" s="85" t="n">
        <x:v>1703773.1855608574</x:v>
      </x:c>
      <x:c r="AH38" s="85" t="n">
        <x:v>1706817.1117781214</x:v>
      </x:c>
      <x:c r="AI38" s="85" t="n">
        <x:v>1708202.9396796</x:v>
      </x:c>
      <x:c r="AJ38" s="85" t="n">
        <x:v>1709283.047428121</x:v>
      </x:c>
      <x:c r="AK38" s="85" t="n">
        <x:v>1709741.526448061</x:v>
      </x:c>
      <x:c r="AL38" s="85" t="n">
        <x:v>1710205.0996793336</x:v>
      </x:c>
      <x:c r="AM38" s="85" t="n">
        <x:v>1710673.767121939</x:v>
      </x:c>
      <x:c r="AN38" s="85" t="n">
        <x:v>1710795.848265929</x:v>
      </x:c>
      <x:c r="AO38" s="85" t="n">
        <x:v>1710795.848265929</x:v>
      </x:c>
      <x:c r="AP38" s="85" t="n">
        <x:v>1710795.848265929</x:v>
      </x:c>
      <x:c r="AQ38" s="85" t="n">
        <x:v>1710795.848265929</x:v>
      </x:c>
      <x:c r="AR38" s="85" t="n">
        <x:v>1710795.848265929</x:v>
      </x:c>
      <x:c r="AS38" s="85" t="n">
        <x:v>1710795.848265929</x:v>
      </x:c>
      <x:c r="AT38" s="85" t="n">
        <x:v>1710795.848265929</x:v>
      </x:c>
      <x:c r="AU38" s="85" t="n">
        <x:v>1710795.848265929</x:v>
      </x:c>
      <x:c r="AV38" s="85" t="n">
        <x:v>1710795.848265929</x:v>
      </x:c>
      <x:c r="AW38" s="85" t="n">
        <x:v>1710795.848265929</x:v>
      </x:c>
      <x:c r="AX38" s="85" t="n">
        <x:v>1710795.848265929</x:v>
      </x:c>
      <x:c r="AY38" s="85" t="n">
        <x:v>1710795.848265929</x:v>
      </x:c>
      <x:c r="AZ38" s="85" t="n">
        <x:v>1710795.848265929</x:v>
      </x:c>
    </x:row>
    <x:row r="39" ht="21" customHeight="1">
      <x:c r="A39" s="150"/>
      <x:c r="B39" s="150"/>
      <x:c r="C39" s="23" t="str">
        <x:v>sub fees paid</x:v>
      </x:c>
      <x:c r="D39" s="23" t="str">
        <x:v>USD</x:v>
      </x:c>
      <x:c r="E39" s="85" t="n">
        <x:v>110958.90410958903</x:v>
      </x:c>
      <x:c r="F39" s="85" t="n">
        <x:v>108910.17123287672</x:v>
      </x:c>
      <x:c r="G39" s="85" t="n">
        <x:v>0</x:v>
      </x:c>
      <x:c r="H39" s="85" t="n">
        <x:v>0</x:v>
      </x:c>
      <x:c r="I39" s="85" t="n">
        <x:v>0</x:v>
      </x:c>
      <x:c r="J39" s="85" t="n">
        <x:v>0</x:v>
      </x:c>
      <x:c r="K39" s="85" t="n">
        <x:v>0</x:v>
      </x:c>
      <x:c r="L39" s="85" t="n">
        <x:v>0</x:v>
      </x:c>
      <x:c r="M39" s="85" t="n">
        <x:v>0</x:v>
      </x:c>
      <x:c r="N39" s="85" t="n">
        <x:v>0</x:v>
      </x:c>
      <x:c r="O39" s="85" t="n">
        <x:v>0</x:v>
      </x:c>
      <x:c r="P39" s="85" t="n">
        <x:v>0</x:v>
      </x:c>
      <x:c r="Q39" s="85" t="n">
        <x:v>0</x:v>
      </x:c>
      <x:c r="R39" s="85" t="n">
        <x:v>0</x:v>
      </x:c>
      <x:c r="S39" s="85" t="n">
        <x:v>0</x:v>
      </x:c>
      <x:c r="T39" s="85" t="n">
        <x:v>0</x:v>
      </x:c>
      <x:c r="U39" s="85" t="n">
        <x:v>0</x:v>
      </x:c>
      <x:c r="V39" s="85" t="n">
        <x:v>0</x:v>
      </x:c>
      <x:c r="W39" s="85" t="n">
        <x:v>0</x:v>
      </x:c>
      <x:c r="X39" s="85" t="n">
        <x:v>0</x:v>
      </x:c>
      <x:c r="Y39" s="85" t="n">
        <x:v>0</x:v>
      </x:c>
      <x:c r="Z39" s="85" t="n">
        <x:v>0</x:v>
      </x:c>
      <x:c r="AA39" s="85" t="n">
        <x:v>0</x:v>
      </x:c>
      <x:c r="AB39" s="85" t="n">
        <x:v>0</x:v>
      </x:c>
      <x:c r="AC39" s="85" t="n">
        <x:v>0</x:v>
      </x:c>
      <x:c r="AD39" s="85" t="n">
        <x:v>0</x:v>
      </x:c>
      <x:c r="AE39" s="85" t="n">
        <x:v>0</x:v>
      </x:c>
      <x:c r="AF39" s="85" t="n">
        <x:v>0</x:v>
      </x:c>
      <x:c r="AG39" s="85" t="n">
        <x:v>0</x:v>
      </x:c>
      <x:c r="AH39" s="85" t="n">
        <x:v>0</x:v>
      </x:c>
      <x:c r="AI39" s="85" t="n">
        <x:v>0</x:v>
      </x:c>
      <x:c r="AJ39" s="85" t="n">
        <x:v>0</x:v>
      </x:c>
      <x:c r="AK39" s="85" t="n">
        <x:v>0</x:v>
      </x:c>
      <x:c r="AL39" s="85" t="n">
        <x:v>0</x:v>
      </x:c>
      <x:c r="AM39" s="85" t="n">
        <x:v>0</x:v>
      </x:c>
      <x:c r="AN39" s="85" t="n">
        <x:v>0</x:v>
      </x:c>
      <x:c r="AO39" s="85" t="n">
        <x:v>0</x:v>
      </x:c>
      <x:c r="AP39" s="85" t="n">
        <x:v>0</x:v>
      </x:c>
      <x:c r="AQ39" s="85" t="n">
        <x:v>0</x:v>
      </x:c>
      <x:c r="AR39" s="85" t="n">
        <x:v>0</x:v>
      </x:c>
      <x:c r="AS39" s="85" t="n">
        <x:v>0</x:v>
      </x:c>
      <x:c r="AT39" s="85" t="n">
        <x:v>0</x:v>
      </x:c>
      <x:c r="AU39" s="85" t="n">
        <x:v>0</x:v>
      </x:c>
      <x:c r="AV39" s="85" t="n">
        <x:v>0</x:v>
      </x:c>
      <x:c r="AW39" s="85" t="n">
        <x:v>0</x:v>
      </x:c>
      <x:c r="AX39" s="85" t="n">
        <x:v>0</x:v>
      </x:c>
      <x:c r="AY39" s="85" t="n">
        <x:v>0</x:v>
      </x:c>
      <x:c r="AZ39" s="85" t="n">
        <x:v>0</x:v>
      </x:c>
    </x:row>
    <x:row r="40" ht="21" customHeight="1">
      <x:c r="A40" s="150"/>
      <x:c r="B40" s="150"/>
      <x:c r="C40" s="23" t="str">
        <x:v>sub fee arrears</x:v>
      </x:c>
      <x:c r="D40" s="23" t="str">
        <x:v>USD</x:v>
      </x:c>
      <x:c r="E40" s="85" t="n">
        <x:v>0</x:v>
      </x:c>
      <x:c r="F40" s="85" t="n">
        <x:v>0</x:v>
      </x:c>
      <x:c r="G40" s="85" t="n">
        <x:v>106789.31506849316</x:v>
      </x:c>
      <x:c r="H40" s="85" t="n">
        <x:v>210260.9589041096</x:v>
      </x:c>
      <x:c r="I40" s="85" t="n">
        <x:v>309326.30136986304</x:v>
      </x:c>
      <x:c r="J40" s="85" t="n">
        <x:v>406540.47945205483</x:v>
      </x:c>
      <x:c r="K40" s="85" t="n">
        <x:v>502951.43835616444</x:v>
      </x:c>
      <x:c r="L40" s="85" t="n">
        <x:v>597490.890410959</x:v>
      </x:c>
      <x:c r="M40" s="85" t="n">
        <x:v>688144.3150684932</x:v>
      </x:c>
      <x:c r="N40" s="85" t="n">
        <x:v>777557.3610821919</x:v>
      </x:c>
      <x:c r="O40" s="85" t="n">
        <x:v>865883.2077325726</x:v>
      </x:c>
      <x:c r="P40" s="85" t="n">
        <x:v>951615.3955884973</x:v>
      </x:c>
      <x:c r="Q40" s="85" t="n">
        <x:v>1032629.8387939032</x:v>
      </x:c>
      <x:c r="R40" s="85" t="n">
        <x:v>1111431.953547267</x:v>
      </x:c>
      <x:c r="S40" s="85" t="n">
        <x:v>1187811.813119589</x:v>
      </x:c>
      <x:c r="T40" s="85" t="n">
        <x:v>1258915.237022697</x:v>
      </x:c>
      <x:c r="U40" s="85" t="n">
        <x:v>1324051.6632957084</x:v>
      </x:c>
      <x:c r="V40" s="85" t="n">
        <x:v>1386529.5180553526</x:v>
      </x:c>
      <x:c r="W40" s="85" t="n">
        <x:v>1442624.1942324324</x:v>
      </x:c>
      <x:c r="X40" s="85" t="n">
        <x:v>1494143.2095565998</x:v>
      </x:c>
      <x:c r="Y40" s="85" t="n">
        <x:v>1537698.6264869035</x:v>
      </x:c>
      <x:c r="Z40" s="85" t="n">
        <x:v>1576445.6224007779</x:v>
      </x:c>
      <x:c r="AA40" s="85" t="n">
        <x:v>1611730.4354182521</x:v>
      </x:c>
      <x:c r="AB40" s="85" t="n">
        <x:v>1640573.3989183265</x:v>
      </x:c>
      <x:c r="AC40" s="85" t="n">
        <x:v>1660673.3519343387</x:v>
      </x:c>
      <x:c r="AD40" s="85" t="n">
        <x:v>1676099.6977948684</x:v>
      </x:c>
      <x:c r="AE40" s="85" t="n">
        <x:v>1689148.4132912478</x:v>
      </x:c>
      <x:c r="AF40" s="85" t="n">
        <x:v>1698808.8597489242</x:v>
      </x:c>
      <x:c r="AG40" s="85" t="n">
        <x:v>1703773.1855608574</x:v>
      </x:c>
      <x:c r="AH40" s="85" t="n">
        <x:v>1706817.1117781214</x:v>
      </x:c>
      <x:c r="AI40" s="85" t="n">
        <x:v>1708202.9396796</x:v>
      </x:c>
      <x:c r="AJ40" s="85" t="n">
        <x:v>1709283.047428121</x:v>
      </x:c>
      <x:c r="AK40" s="85" t="n">
        <x:v>1709741.526448061</x:v>
      </x:c>
      <x:c r="AL40" s="85" t="n">
        <x:v>1710205.0996793336</x:v>
      </x:c>
      <x:c r="AM40" s="85" t="n">
        <x:v>1710673.767121939</x:v>
      </x:c>
      <x:c r="AN40" s="85" t="n">
        <x:v>1710795.848265929</x:v>
      </x:c>
      <x:c r="AO40" s="85" t="n">
        <x:v>1710795.848265929</x:v>
      </x:c>
      <x:c r="AP40" s="85" t="n">
        <x:v>1710795.848265929</x:v>
      </x:c>
      <x:c r="AQ40" s="85" t="n">
        <x:v>1710795.848265929</x:v>
      </x:c>
      <x:c r="AR40" s="85" t="n">
        <x:v>1710795.848265929</x:v>
      </x:c>
      <x:c r="AS40" s="85" t="n">
        <x:v>1710795.848265929</x:v>
      </x:c>
      <x:c r="AT40" s="85" t="n">
        <x:v>1710795.848265929</x:v>
      </x:c>
      <x:c r="AU40" s="85" t="n">
        <x:v>1710795.848265929</x:v>
      </x:c>
      <x:c r="AV40" s="85" t="n">
        <x:v>1710795.848265929</x:v>
      </x:c>
      <x:c r="AW40" s="85" t="n">
        <x:v>1710795.848265929</x:v>
      </x:c>
      <x:c r="AX40" s="85" t="n">
        <x:v>1710795.848265929</x:v>
      </x:c>
      <x:c r="AY40" s="85" t="n">
        <x:v>1710795.848265929</x:v>
      </x:c>
      <x:c r="AZ40" s="85" t="n">
        <x:v>1710795.848265929</x:v>
      </x:c>
    </x:row>
    <x:row r="41" ht="21" customHeight="1">
      <x:c r="A41" s="150"/>
      <x:c r="B41" s="150"/>
      <x:c r="C41" s="23" t="str">
        <x:v>oc numerator</x:v>
      </x:c>
      <x:c r="D41" s="23" t="str">
        <x:v>USD</x:v>
      </x:c>
      <x:c r="E41" s="85" t="n">
        <x:v>291225000</x:v>
      </x:c>
      <x:c r="F41" s="85" t="n">
        <x:v>282450000</x:v>
      </x:c>
      <x:c r="G41" s="85" t="n">
        <x:v>273675000</x:v>
      </x:c>
      <x:c r="H41" s="85" t="n">
        <x:v>264900000</x:v>
      </x:c>
      <x:c r="I41" s="85" t="n">
        <x:v>263427284.46</x:v>
      </x:c>
      <x:c r="J41" s="85" t="n">
        <x:v>258477284.46</x:v>
      </x:c>
      <x:c r="K41" s="85" t="n">
        <x:v>253527284.46</x:v>
      </x:c>
      <x:c r="L41" s="85" t="n">
        <x:v>248577284.46</x:v>
      </x:c>
      <x:c r="M41" s="85" t="n">
        <x:v>243461545.08</x:v>
      </x:c>
      <x:c r="N41" s="85" t="n">
        <x:v>237451375.07999998</x:v>
      </x:c>
      <x:c r="O41" s="85" t="n">
        <x:v>231977009.04658654</x:v>
      </x:c>
      <x:c r="P41" s="85" t="n">
        <x:v>225116969.48153993</x:v>
      </x:c>
      <x:c r="Q41" s="85" t="n">
        <x:v>217540628.38794932</x:v>
      </x:c>
      <x:c r="R41" s="85" t="n">
        <x:v>209213791.4746363</x:v>
      </x:c>
      <x:c r="S41" s="85" t="n">
        <x:v>200515484.28447616</x:v>
      </x:c>
      <x:c r="T41" s="85" t="n">
        <x:v>186558238.46737394</x:v>
      </x:c>
      <x:c r="U41" s="85" t="n">
        <x:v>175012727.12945804</x:v>
      </x:c>
      <x:c r="V41" s="85" t="n">
        <x:v>165963772.44349107</x:v>
      </x:c>
      <x:c r="W41" s="85" t="n">
        <x:v>147262039.1917996</x:v>
      </x:c>
      <x:c r="X41" s="85" t="n">
        <x:v>135156990.63013828</x:v>
      </x:c>
      <x:c r="Y41" s="85" t="n">
        <x:v>117347602.4855032</x:v>
      </x:c>
      <x:c r="Z41" s="85" t="n">
        <x:v>104491763.2157952</x:v>
      </x:c>
      <x:c r="AA41" s="85" t="n">
        <x:v>94211762.82221435</x:v>
      </x:c>
      <x:c r="AB41" s="85" t="n">
        <x:v>77175797.10021764</x:v>
      </x:c>
      <x:c r="AC41" s="85" t="n">
        <x:v>54344317.413662784</x:v>
      </x:c>
      <x:c r="AD41" s="85" t="n">
        <x:v>41249935.81753343</x:v>
      </x:c>
      <x:c r="AE41" s="85" t="n">
        <x:v>34512906.928829506</x:v>
      </x:c>
      <x:c r="AF41" s="85" t="n">
        <x:v>25551180.848201826</x:v>
      </x:c>
      <x:c r="AG41" s="85" t="n">
        <x:v>13422066.084115658</x:v>
      </x:c>
      <x:c r="AH41" s="85" t="n">
        <x:v>8139436.405138027</x:v>
      </x:c>
      <x:c r="AI41" s="85" t="n">
        <x:v>3665414.377099475</x:v>
      </x:c>
      <x:c r="AJ41" s="85" t="n">
        <x:v>2856806.726160397</x:v>
      </x:c>
      <x:c r="AK41" s="85" t="n">
        <x:v>1239591.4242822411</x:v>
      </x:c>
      <x:c r="AL41" s="85" t="n">
        <x:v>1239591.4242822411</x:v>
      </x:c>
      <x:c r="AM41" s="85" t="n">
        <x:v>1239591.4242822411</x:v>
      </x:c>
      <x:c r="AN41" s="85" t="n">
        <x:v>322895.77939360804</x:v>
      </x:c>
      <x:c r="AO41" s="85" t="n">
        <x:v>0</x:v>
      </x:c>
      <x:c r="AP41" s="85" t="n">
        <x:v>0</x:v>
      </x:c>
      <x:c r="AQ41" s="85" t="n">
        <x:v>0</x:v>
      </x:c>
      <x:c r="AR41" s="85" t="n">
        <x:v>0</x:v>
      </x:c>
      <x:c r="AS41" s="85" t="n">
        <x:v>0</x:v>
      </x:c>
      <x:c r="AT41" s="85" t="n">
        <x:v>0</x:v>
      </x:c>
      <x:c r="AU41" s="85" t="n">
        <x:v>0</x:v>
      </x:c>
      <x:c r="AV41" s="85" t="n">
        <x:v>0</x:v>
      </x:c>
      <x:c r="AW41" s="85" t="n">
        <x:v>0</x:v>
      </x:c>
      <x:c r="AX41" s="85" t="n">
        <x:v>0</x:v>
      </x:c>
      <x:c r="AY41" s="85" t="n">
        <x:v>0</x:v>
      </x:c>
      <x:c r="AZ41" s="85" t="n">
        <x:v>0</x:v>
      </x:c>
    </x:row>
    <x:row r="42" ht="21" customHeight="1">
      <x:c r="A42" s="150"/>
      <x:c r="B42" s="150"/>
      <x:c r="C42" s="23" t="str">
        <x:v>oc denominator</x:v>
      </x:c>
      <x:c r="D42" s="23" t="str">
        <x:v>USD</x:v>
      </x:c>
      <x:c r="E42" s="85" t="n">
        <x:v>192000000</x:v>
      </x:c>
      <x:c r="F42" s="85" t="n">
        <x:v>192000000</x:v>
      </x:c>
      <x:c r="G42" s="85" t="n">
        <x:v>192000000</x:v>
      </x:c>
      <x:c r="H42" s="85" t="n">
        <x:v>192000000</x:v>
      </x:c>
      <x:c r="I42" s="85" t="n">
        <x:v>192000000</x:v>
      </x:c>
      <x:c r="J42" s="85" t="n">
        <x:v>188522715.54</x:v>
      </x:c>
      <x:c r="K42" s="85" t="n">
        <x:v>185045431.07999998</x:v>
      </x:c>
      <x:c r="L42" s="85" t="n">
        <x:v>181568146.61999997</x:v>
      </x:c>
      <x:c r="M42" s="85" t="n">
        <x:v>178090862.15999997</x:v>
      </x:c>
      <x:c r="N42" s="85" t="n">
        <x:v>173719147.07999995</x:v>
      </x:c>
      <x:c r="O42" s="85" t="n">
        <x:v>169883235.9665865</x:v>
      </x:c>
      <x:c r="P42" s="85" t="n">
        <x:v>164661651.32153988</x:v>
      </x:c>
      <x:c r="Q42" s="85" t="n">
        <x:v>158583731.98794925</x:v>
      </x:c>
      <x:c r="R42" s="85" t="n">
        <x:v>151759381.1456247</x:v>
      </x:c>
      <x:c r="S42" s="85" t="n">
        <x:v>144564783.4673468</x:v>
      </x:c>
      <x:c r="T42" s="85" t="n">
        <x:v>132112702.98456943</x:v>
      </x:c>
      <x:c r="U42" s="85" t="n">
        <x:v>121664061.47755969</x:v>
      </x:c>
      <x:c r="V42" s="85" t="n">
        <x:v>113716660.26216868</x:v>
      </x:c>
      <x:c r="W42" s="85" t="n">
        <x:v>96119241.47544679</x:v>
      </x:c>
      <x:c r="X42" s="85" t="n">
        <x:v>85121264.55409004</x:v>
      </x:c>
      <x:c r="Y42" s="85" t="n">
        <x:v>66431139.70828013</x:v>
      </x:c>
      <x:c r="Z42" s="85" t="n">
        <x:v>52692720.43570092</x:v>
      </x:c>
      <x:c r="AA42" s="85" t="n">
        <x:v>41526730.78061633</x:v>
      </x:c>
      <x:c r="AB42" s="85" t="n">
        <x:v>23602516.34627953</x:v>
      </x:c>
      <x:c r="AC42" s="85" t="n">
        <x:v>771036.6597246751</x:v>
      </x:c>
      <x:c r="AD42" s="85" t="n">
        <x:v>0</x:v>
      </x:c>
      <x:c r="AE42" s="85" t="n">
        <x:v>0</x:v>
      </x:c>
      <x:c r="AF42" s="85" t="n">
        <x:v>0</x:v>
      </x:c>
      <x:c r="AG42" s="85" t="n">
        <x:v>0</x:v>
      </x:c>
      <x:c r="AH42" s="85" t="n">
        <x:v>0</x:v>
      </x:c>
      <x:c r="AI42" s="85" t="n">
        <x:v>0</x:v>
      </x:c>
      <x:c r="AJ42" s="85" t="n">
        <x:v>0</x:v>
      </x:c>
      <x:c r="AK42" s="85" t="n">
        <x:v>0</x:v>
      </x:c>
      <x:c r="AL42" s="85" t="n">
        <x:v>0</x:v>
      </x:c>
      <x:c r="AM42" s="85" t="n">
        <x:v>0</x:v>
      </x:c>
      <x:c r="AN42" s="85" t="n">
        <x:v>0</x:v>
      </x:c>
      <x:c r="AO42" s="85" t="n">
        <x:v>0</x:v>
      </x:c>
      <x:c r="AP42" s="85" t="n">
        <x:v>0</x:v>
      </x:c>
      <x:c r="AQ42" s="85" t="n">
        <x:v>0</x:v>
      </x:c>
      <x:c r="AR42" s="85" t="n">
        <x:v>0</x:v>
      </x:c>
      <x:c r="AS42" s="85" t="n">
        <x:v>0</x:v>
      </x:c>
      <x:c r="AT42" s="85" t="n">
        <x:v>0</x:v>
      </x:c>
      <x:c r="AU42" s="85" t="n">
        <x:v>0</x:v>
      </x:c>
      <x:c r="AV42" s="85" t="n">
        <x:v>0</x:v>
      </x:c>
      <x:c r="AW42" s="85" t="n">
        <x:v>0</x:v>
      </x:c>
      <x:c r="AX42" s="85" t="n">
        <x:v>0</x:v>
      </x:c>
      <x:c r="AY42" s="85" t="n">
        <x:v>0</x:v>
      </x:c>
      <x:c r="AZ42" s="85" t="n">
        <x:v>0</x:v>
      </x:c>
    </x:row>
    <x:row r="43" ht="21" customHeight="1">
      <x:c r="A43" s="150"/>
      <x:c r="B43" s="150"/>
      <x:c r="C43" s="23" t="str">
        <x:v>oc ratio</x:v>
      </x:c>
      <x:c r="D43" s="23" t="str">
        <x:v>multiple</x:v>
      </x:c>
      <x:c r="E43" s="61" t="n">
        <x:v>1.516796875</x:v>
      </x:c>
      <x:c r="F43" s="61" t="n">
        <x:v>1.47109375</x:v>
      </x:c>
      <x:c r="G43" s="61" t="n">
        <x:v>1.425390625</x:v>
      </x:c>
      <x:c r="H43" s="61" t="n">
        <x:v>1.3796875</x:v>
      </x:c>
      <x:c r="I43" s="61" t="n">
        <x:v>1.3720171065625</x:v>
      </x:c>
      <x:c r="J43" s="61" t="n">
        <x:v>1.3710670553393198</x:v>
      </x:c>
      <x:c r="K43" s="61" t="n">
        <x:v>1.3700812983077304</x:v>
      </x:c>
      <x:c r="L43" s="61" t="n">
        <x:v>1.3690577840189226</x:v>
      </x:c>
      <x:c r="M43" s="61" t="n">
        <x:v>1.3670636557493325</x:v>
      </x:c>
      <x:c r="N43" s="61" t="n">
        <x:v>1.3668693351956793</x:v>
      </x:c>
      <x:c r="O43" s="61" t="n">
        <x:v>1.3655085372415026</x:v>
      </x:c>
      <x:c r="P43" s="61" t="n">
        <x:v>1.3671487421315063</x:v>
      </x:c>
      <x:c r="Q43" s="61" t="n">
        <x:v>1.371771402154164</x:v>
      </x:c>
      <x:c r="R43" s="61" t="n">
        <x:v>1.3785888549049874</x:v>
      </x:c>
      <x:c r="S43" s="61" t="n">
        <x:v>1.3870285658454786</x:v>
      </x:c>
      <x:c r="T43" s="61" t="n">
        <x:v>1.4121143103790985</x:v>
      </x:c>
      <x:c r="U43" s="61" t="n">
        <x:v>1.4384915726468515</x:v>
      </x:c>
      <x:c r="V43" s="61" t="n">
        <x:v>1.4594499351358807</x:v>
      </x:c>
      <x:c r="W43" s="61" t="n">
        <x:v>1.5320765845766375</x:v>
      </x:c>
      <x:c r="X43" s="61" t="n">
        <x:v>1.5878169965890625</x:v>
      </x:c>
      <x:c r="Y43" s="61" t="n">
        <x:v>1.766454753009103</x:v>
      </x:c>
      <x:c r="Z43" s="61" t="n">
        <x:v>1.9830398269776721</x:v>
      </x:c>
      <x:c r="AA43" s="61" t="n">
        <x:v>2.2687016543616316</x:v>
      </x:c>
      <x:c r="AB43" s="61" t="n">
        <x:v>3.2698122508612464</x:v>
      </x:c>
      <x:c r="AC43" s="61" t="n">
        <x:v>70.48214469214508</x:v>
      </x:c>
      <x:c r="AD43" s="61"/>
      <x:c r="AE43" s="61"/>
      <x:c r="AF43" s="61"/>
      <x:c r="AG43" s="61"/>
      <x:c r="AH43" s="61"/>
      <x:c r="AI43" s="61"/>
      <x:c r="AJ43" s="61"/>
      <x:c r="AK43" s="61"/>
      <x:c r="AL43" s="61"/>
      <x:c r="AM43" s="61"/>
      <x:c r="AN43" s="61"/>
      <x:c r="AO43" s="61"/>
      <x:c r="AP43" s="61"/>
      <x:c r="AQ43" s="61"/>
      <x:c r="AR43" s="61"/>
      <x:c r="AS43" s="61"/>
      <x:c r="AT43" s="61"/>
      <x:c r="AU43" s="61"/>
      <x:c r="AV43" s="61"/>
      <x:c r="AW43" s="61"/>
      <x:c r="AX43" s="61"/>
      <x:c r="AY43" s="61"/>
      <x:c r="AZ43" s="61"/>
    </x:row>
    <x:row r="44" ht="21" customHeight="1">
      <x:c r="A44" s="150"/>
      <x:c r="B44" s="150"/>
      <x:c r="C44" s="23" t="str">
        <x:v>ic numerator</x:v>
      </x:c>
      <x:c r="D44" s="23" t="str">
        <x:v>USD</x:v>
      </x:c>
      <x:c r="E44" s="85" t="n">
        <x:v>3886964.5382260275</x:v>
      </x:c>
      <x:c r="F44" s="85" t="n">
        <x:v>3919963.781515752</x:v>
      </x:c>
      <x:c r="G44" s="85" t="n">
        <x:v>3733430.7975917803</x:v>
      </x:c>
      <x:c r="H44" s="85" t="n">
        <x:v>3716884.409117811</x:v>
      </x:c>
      <x:c r="I44" s="85" t="n">
        <x:v>3510604.614204111</x:v>
      </x:c>
      <x:c r="J44" s="85" t="n">
        <x:v>3542135.309041095</x:v>
      </x:c>
      <x:c r="K44" s="85" t="n">
        <x:v>3413848.4287287677</x:v>
      </x:c>
      <x:c r="L44" s="85" t="n">
        <x:v>3441860.953073968</x:v>
      </x:c>
      <x:c r="M44" s="85" t="n">
        <x:v>3198939.705452054</x:v>
      </x:c>
      <x:c r="N44" s="85" t="n">
        <x:v>3251345.6450712173</x:v>
      </x:c>
      <x:c r="O44" s="85" t="n">
        <x:v>3109010.876673673</x:v>
      </x:c>
      <x:c r="P44" s="85" t="n">
        <x:v>3098467.654903002</x:v>
      </x:c>
      <x:c r="Q44" s="85" t="n">
        <x:v>2853509.6841960684</x:v>
      </x:c>
      <x:c r="R44" s="85" t="n">
        <x:v>2848281.2824087692</x:v>
      </x:c>
      <x:c r="S44" s="85" t="n">
        <x:v>2647206.162636429</x:v>
      </x:c>
      <x:c r="T44" s="85" t="n">
        <x:v>2550125.9663790087</x:v>
      </x:c>
      <x:c r="U44" s="85" t="n">
        <x:v>2275627.1216709246</x:v>
      </x:c>
      <x:c r="V44" s="85" t="n">
        <x:v>2164681.9511101935</x:v>
      </x:c>
      <x:c r="W44" s="85" t="n">
        <x:v>1932671.7672868697</x:v>
      </x:c>
      <x:c r="X44" s="85" t="n">
        <x:v>1751871.516301457</x:v>
      </x:c>
      <x:c r="Y44" s="85" t="n">
        <x:v>1509166.9651830476</x:v>
      </x:c>
      <x:c r="Z44" s="85" t="n">
        <x:v>1387907.994665129</x:v>
      </x:c>
      <x:c r="AA44" s="85" t="n">
        <x:v>1187807.4409909768</x:v>
      </x:c>
      <x:c r="AB44" s="85" t="n">
        <x:v>929367.6792551351</x:v>
      </x:c>
      <x:c r="AC44" s="85" t="n">
        <x:v>642366.2705008541</x:v>
      </x:c>
      <x:c r="AD44" s="85" t="n">
        <x:v>525197.8696846322</x:v>
      </x:c>
      <x:c r="AE44" s="85" t="n">
        <x:v>430899.186569192</x:v>
      </x:c>
      <x:c r="AF44" s="85" t="n">
        <x:v>290627.2455325561</x:v>
      </x:c>
      <x:c r="AG44" s="85" t="n">
        <x:v>146481.05556793045</x:v>
      </x:c>
      <x:c r="AH44" s="85" t="n">
        <x:v>96624.49328016766</x:v>
      </x:c>
      <x:c r="AI44" s="85" t="n">
        <x:v>43566.46375944076</x:v>
      </x:c>
      <x:c r="AJ44" s="85" t="n">
        <x:v>25838.051669528773</x:v>
      </x:c>
      <x:c r="AK44" s="85" t="n">
        <x:v>16245.30499387868</x:v>
      </x:c>
      <x:c r="AL44" s="85" t="n">
        <x:v>16425.80838269956</x:v>
      </x:c>
      <x:c r="AM44" s="85" t="n">
        <x:v>15441.924626017902</x:v>
      </x:c>
      <x:c r="AN44" s="85" t="n">
        <x:v>2475.239426694014</x:v>
      </x:c>
      <x:c r="AO44" s="85" t="n">
        <x:v>0</x:v>
      </x:c>
      <x:c r="AP44" s="85" t="n">
        <x:v>0</x:v>
      </x:c>
      <x:c r="AQ44" s="85" t="n">
        <x:v>0</x:v>
      </x:c>
      <x:c r="AR44" s="85" t="n">
        <x:v>0</x:v>
      </x:c>
      <x:c r="AS44" s="85" t="n">
        <x:v>0</x:v>
      </x:c>
      <x:c r="AT44" s="85" t="n">
        <x:v>0</x:v>
      </x:c>
      <x:c r="AU44" s="85" t="n">
        <x:v>0</x:v>
      </x:c>
      <x:c r="AV44" s="85" t="n">
        <x:v>0</x:v>
      </x:c>
      <x:c r="AW44" s="85" t="n">
        <x:v>0</x:v>
      </x:c>
      <x:c r="AX44" s="85" t="n">
        <x:v>0</x:v>
      </x:c>
      <x:c r="AY44" s="85" t="n">
        <x:v>0</x:v>
      </x:c>
      <x:c r="AZ44" s="85" t="n">
        <x:v>0</x:v>
      </x:c>
    </x:row>
    <x:row r="45" ht="21" customHeight="1">
      <x:c r="A45" s="150"/>
      <x:c r="B45" s="150"/>
      <x:c r="C45" s="23" t="str">
        <x:v>ic denominator</x:v>
      </x:c>
      <x:c r="D45" s="23" t="str">
        <x:v>USD</x:v>
      </x:c>
      <x:c r="E45" s="85" t="n">
        <x:v>2083068.4931506847</x:v>
      </x:c>
      <x:c r="F45" s="85" t="n">
        <x:v>2106213.698630137</x:v>
      </x:c>
      <x:c r="G45" s="85" t="n">
        <x:v>2129358.9041095893</x:v>
      </x:c>
      <x:c r="H45" s="85" t="n">
        <x:v>2129358.9041095893</x:v>
      </x:c>
      <x:c r="I45" s="85" t="n">
        <x:v>2106213.698630137</x:v>
      </x:c>
      <x:c r="J45" s="85" t="n">
        <x:v>2068068.3644442738</x:v>
      </x:c>
      <x:c r="K45" s="85" t="n">
        <x:v>2052229.876744767</x:v>
      </x:c>
      <x:c r="L45" s="85" t="n">
        <x:v>2013665.363062356</x:v>
      </x:c>
      <x:c r="M45" s="85" t="n">
        <x:v>1932163.874393424</x:v>
      </x:c>
      <x:c r="N45" s="85" t="n">
        <x:v>1905675.2463241636</x:v>
      </x:c>
      <x:c r="O45" s="85" t="n">
        <x:v>1884074.9018979238</x:v>
      </x:c>
      <x:c r="P45" s="85" t="n">
        <x:v>1826165.3823276532</x:v>
      </x:c>
      <x:c r="Q45" s="85" t="n">
        <x:v>1720524.873074737</x:v>
      </x:c>
      <x:c r="R45" s="85" t="n">
        <x:v>1664779.6222111816</x:v>
      </x:c>
      <x:c r="S45" s="85" t="n">
        <x:v>1603282.8588378625</x:v>
      </x:c>
      <x:c r="T45" s="85" t="n">
        <x:v>1465184.1689905126</x:v>
      </x:c>
      <x:c r="U45" s="85" t="n">
        <x:v>1319971.7354825654</x:v>
      </x:c>
      <x:c r="V45" s="85" t="n">
        <x:v>1247456.1854512969</x:v>
      </x:c>
      <x:c r="W45" s="85" t="n">
        <x:v>1066001.8890208455</x:v>
      </x:c>
      <x:c r="X45" s="85" t="n">
        <x:v>944029.8052464562</x:v>
      </x:c>
      <x:c r="Y45" s="85" t="n">
        <x:v>728740.5024437086</x:v>
      </x:c>
      <x:c r="Z45" s="85" t="n">
        <x:v>578031.9249987574</x:v>
      </x:c>
      <x:c r="AA45" s="85" t="n">
        <x:v>460548.5101368079</x:v>
      </x:c>
      <x:c r="AB45" s="85" t="n">
        <x:v>261761.6059444919</x:v>
      </x:c>
      <x:c r="AC45" s="85" t="n">
        <x:v>8365.219650711542</x:v>
      </x:c>
      <x:c r="AD45" s="85" t="n">
        <x:v>0</x:v>
      </x:c>
      <x:c r="AE45" s="85" t="n">
        <x:v>0</x:v>
      </x:c>
      <x:c r="AF45" s="85" t="n">
        <x:v>0</x:v>
      </x:c>
      <x:c r="AG45" s="85" t="n">
        <x:v>0</x:v>
      </x:c>
      <x:c r="AH45" s="85" t="n">
        <x:v>0</x:v>
      </x:c>
      <x:c r="AI45" s="85" t="n">
        <x:v>0</x:v>
      </x:c>
      <x:c r="AJ45" s="85" t="n">
        <x:v>0</x:v>
      </x:c>
      <x:c r="AK45" s="85" t="n">
        <x:v>0</x:v>
      </x:c>
      <x:c r="AL45" s="85" t="n">
        <x:v>0</x:v>
      </x:c>
      <x:c r="AM45" s="85" t="n">
        <x:v>0</x:v>
      </x:c>
      <x:c r="AN45" s="85" t="n">
        <x:v>0</x:v>
      </x:c>
      <x:c r="AO45" s="85" t="n">
        <x:v>0</x:v>
      </x:c>
      <x:c r="AP45" s="85" t="n">
        <x:v>0</x:v>
      </x:c>
      <x:c r="AQ45" s="85" t="n">
        <x:v>0</x:v>
      </x:c>
      <x:c r="AR45" s="85" t="n">
        <x:v>0</x:v>
      </x:c>
      <x:c r="AS45" s="85" t="n">
        <x:v>0</x:v>
      </x:c>
      <x:c r="AT45" s="85" t="n">
        <x:v>0</x:v>
      </x:c>
      <x:c r="AU45" s="85" t="n">
        <x:v>0</x:v>
      </x:c>
      <x:c r="AV45" s="85" t="n">
        <x:v>0</x:v>
      </x:c>
      <x:c r="AW45" s="85" t="n">
        <x:v>0</x:v>
      </x:c>
      <x:c r="AX45" s="85" t="n">
        <x:v>0</x:v>
      </x:c>
      <x:c r="AY45" s="85" t="n">
        <x:v>0</x:v>
      </x:c>
      <x:c r="AZ45" s="85" t="n">
        <x:v>0</x:v>
      </x:c>
    </x:row>
    <x:row r="46" ht="21" customHeight="1">
      <x:c r="A46" s="150"/>
      <x:c r="B46" s="150"/>
      <x:c r="C46" s="23" t="str">
        <x:v>ic ratio</x:v>
      </x:c>
      <x:c r="D46" s="23" t="str">
        <x:v>multiple</x:v>
      </x:c>
      <x:c r="E46" s="61" t="n">
        <x:v>1.8659801878847067</x:v>
      </x:c>
      <x:c r="F46" s="61" t="n">
        <x:v>1.8611424776437748</x:v>
      </x:c>
      <x:c r="G46" s="61" t="n">
        <x:v>1.7533121308889674</x:v>
      </x:c>
      <x:c r="H46" s="61" t="n">
        <x:v>1.745541534564395</x:v>
      </x:c>
      <x:c r="I46" s="61" t="n">
        <x:v>1.666784627071497</x:v>
      </x:c>
      <x:c r="J46" s="61" t="n">
        <x:v>1.7127747660280703</x:v>
      </x:c>
      <x:c r="K46" s="61" t="n">
        <x:v>1.6634824721213934</x:v>
      </x:c>
      <x:c r="L46" s="61" t="n">
        <x:v>1.7092517039870176</x:v>
      </x:c>
      <x:c r="M46" s="61" t="n">
        <x:v>1.6556254610941405</x:v>
      </x:c>
      <x:c r="N46" s="61" t="n">
        <x:v>1.7061383629465214</x:v>
      </x:c>
      <x:c r="O46" s="61" t="n">
        <x:v>1.6501524825482305</x:v>
      </x:c>
      <x:c r="P46" s="61" t="n">
        <x:v>1.696707036990076</x:v>
      </x:c>
      <x:c r="Q46" s="61" t="n">
        <x:v>1.6585111490405733</x:v>
      </x:c>
      <x:c r="R46" s="61" t="n">
        <x:v>1.7109059027438394</x:v>
      </x:c>
      <x:c r="S46" s="61" t="n">
        <x:v>1.6511161134444192</x:v>
      </x:c>
      <x:c r="T46" s="61" t="n">
        <x:v>1.7404815178531468</x:v>
      </x:c>
      <x:c r="U46" s="61" t="n">
        <x:v>1.723996855765236</x:v>
      </x:c>
      <x:c r="V46" s="61" t="n">
        <x:v>1.735276939067057</x:v>
      </x:c>
      <x:c r="W46" s="61" t="n">
        <x:v>1.813009702132973</x:v>
      </x:c>
      <x:c r="X46" s="61" t="n">
        <x:v>1.855737505919211</x:v>
      </x:c>
      <x:c r="Y46" s="61" t="n">
        <x:v>2.07092505510852</x:v>
      </x:c>
      <x:c r="Z46" s="61" t="n">
        <x:v>2.4010922833857538</x:v>
      </x:c>
      <x:c r="AA46" s="61" t="n">
        <x:v>2.579114718313025</x:v>
      </x:c>
      <x:c r="AB46" s="61" t="n">
        <x:v>3.5504354273109597</x:v>
      </x:c>
      <x:c r="AC46" s="61" t="n">
        <x:v>76.79012594083106</x:v>
      </x:c>
      <x:c r="AD46" s="61"/>
      <x:c r="AE46" s="61"/>
      <x:c r="AF46" s="61"/>
      <x:c r="AG46" s="61"/>
      <x:c r="AH46" s="61"/>
      <x:c r="AI46" s="61"/>
      <x:c r="AJ46" s="61"/>
      <x:c r="AK46" s="61"/>
      <x:c r="AL46" s="61"/>
      <x:c r="AM46" s="61"/>
      <x:c r="AN46" s="61"/>
      <x:c r="AO46" s="61"/>
      <x:c r="AP46" s="61"/>
      <x:c r="AQ46" s="61"/>
      <x:c r="AR46" s="61"/>
      <x:c r="AS46" s="61"/>
      <x:c r="AT46" s="61"/>
      <x:c r="AU46" s="61"/>
      <x:c r="AV46" s="61"/>
      <x:c r="AW46" s="61"/>
      <x:c r="AX46" s="61"/>
      <x:c r="AY46" s="61"/>
      <x:c r="AZ46" s="61"/>
    </x:row>
    <x:row r="47" ht="21" customHeight="1">
      <x:c r="A47" s="150"/>
      <x:c r="B47" s="150"/>
      <x:c r="C47" s="23" t="str">
        <x:v>oc triggered</x:v>
      </x:c>
      <x:c r="D47" s="23" t="str">
        <x:v>TRUE/FALSE</x:v>
      </x:c>
      <x:c r="E47" s="86" t="b">
        <x:v>0</x:v>
      </x:c>
      <x:c r="F47" s="86" t="b">
        <x:v>0</x:v>
      </x:c>
      <x:c r="G47" s="86" t="b">
        <x:v>0</x:v>
      </x:c>
      <x:c r="H47" s="86" t="b">
        <x:v>0</x:v>
      </x:c>
      <x:c r="I47" s="86" t="b">
        <x:v>0</x:v>
      </x:c>
      <x:c r="J47" s="86" t="b">
        <x:v>0</x:v>
      </x:c>
      <x:c r="K47" s="86" t="b">
        <x:v>0</x:v>
      </x:c>
      <x:c r="L47" s="86" t="b">
        <x:v>0</x:v>
      </x:c>
      <x:c r="M47" s="86" t="b">
        <x:v>0</x:v>
      </x:c>
      <x:c r="N47" s="86" t="b">
        <x:v>0</x:v>
      </x:c>
      <x:c r="O47" s="86" t="b">
        <x:v>0</x:v>
      </x:c>
      <x:c r="P47" s="86" t="b">
        <x:v>0</x:v>
      </x:c>
      <x:c r="Q47" s="86" t="b">
        <x:v>0</x:v>
      </x:c>
      <x:c r="R47" s="86" t="b">
        <x:v>0</x:v>
      </x:c>
      <x:c r="S47" s="86" t="b">
        <x:v>0</x:v>
      </x:c>
      <x:c r="T47" s="86" t="b">
        <x:v>0</x:v>
      </x:c>
      <x:c r="U47" s="86" t="b">
        <x:v>0</x:v>
      </x:c>
      <x:c r="V47" s="86" t="b">
        <x:v>0</x:v>
      </x:c>
      <x:c r="W47" s="86" t="b">
        <x:v>0</x:v>
      </x:c>
      <x:c r="X47" s="86" t="b">
        <x:v>0</x:v>
      </x:c>
      <x:c r="Y47" s="86" t="b">
        <x:v>0</x:v>
      </x:c>
      <x:c r="Z47" s="86" t="b">
        <x:v>0</x:v>
      </x:c>
      <x:c r="AA47" s="86" t="b">
        <x:v>0</x:v>
      </x:c>
      <x:c r="AB47" s="86" t="b">
        <x:v>0</x:v>
      </x:c>
      <x:c r="AC47" s="86" t="b">
        <x:v>0</x:v>
      </x:c>
      <x:c r="AD47" s="86" t="b">
        <x:v>0</x:v>
      </x:c>
      <x:c r="AE47" s="86" t="b">
        <x:v>0</x:v>
      </x:c>
      <x:c r="AF47" s="86" t="b">
        <x:v>0</x:v>
      </x:c>
      <x:c r="AG47" s="86" t="b">
        <x:v>0</x:v>
      </x:c>
      <x:c r="AH47" s="86" t="b">
        <x:v>0</x:v>
      </x:c>
      <x:c r="AI47" s="86" t="b">
        <x:v>0</x:v>
      </x:c>
      <x:c r="AJ47" s="86" t="b">
        <x:v>0</x:v>
      </x:c>
      <x:c r="AK47" s="86" t="b">
        <x:v>0</x:v>
      </x:c>
      <x:c r="AL47" s="86" t="b">
        <x:v>0</x:v>
      </x:c>
      <x:c r="AM47" s="86" t="b">
        <x:v>0</x:v>
      </x:c>
      <x:c r="AN47" s="86" t="b">
        <x:v>0</x:v>
      </x:c>
      <x:c r="AO47" s="86" t="b">
        <x:v>0</x:v>
      </x:c>
      <x:c r="AP47" s="86" t="b">
        <x:v>0</x:v>
      </x:c>
      <x:c r="AQ47" s="86" t="b">
        <x:v>0</x:v>
      </x:c>
      <x:c r="AR47" s="86" t="b">
        <x:v>0</x:v>
      </x:c>
      <x:c r="AS47" s="86" t="b">
        <x:v>0</x:v>
      </x:c>
      <x:c r="AT47" s="86" t="b">
        <x:v>0</x:v>
      </x:c>
      <x:c r="AU47" s="86" t="b">
        <x:v>0</x:v>
      </x:c>
      <x:c r="AV47" s="86" t="b">
        <x:v>0</x:v>
      </x:c>
      <x:c r="AW47" s="86" t="b">
        <x:v>0</x:v>
      </x:c>
      <x:c r="AX47" s="86" t="b">
        <x:v>0</x:v>
      </x:c>
      <x:c r="AY47" s="86" t="b">
        <x:v>0</x:v>
      </x:c>
      <x:c r="AZ47" s="86" t="b">
        <x:v>0</x:v>
      </x:c>
    </x:row>
    <x:row r="48" ht="21" customHeight="1">
      <x:c r="A48" s="150"/>
      <x:c r="B48" s="150"/>
      <x:c r="C48" s="23" t="str">
        <x:v>ic triggered</x:v>
      </x:c>
      <x:c r="D48" s="23" t="str">
        <x:v>TRUE/FALSE</x:v>
      </x:c>
      <x:c r="E48" s="86" t="b">
        <x:v>0</x:v>
      </x:c>
      <x:c r="F48" s="86" t="b">
        <x:v>0</x:v>
      </x:c>
      <x:c r="G48" s="86" t="b">
        <x:v>0</x:v>
      </x:c>
      <x:c r="H48" s="86" t="b">
        <x:v>0</x:v>
      </x:c>
      <x:c r="I48" s="86" t="b">
        <x:v>0</x:v>
      </x:c>
      <x:c r="J48" s="86" t="b">
        <x:v>0</x:v>
      </x:c>
      <x:c r="K48" s="86" t="b">
        <x:v>0</x:v>
      </x:c>
      <x:c r="L48" s="86" t="b">
        <x:v>0</x:v>
      </x:c>
      <x:c r="M48" s="86" t="b">
        <x:v>0</x:v>
      </x:c>
      <x:c r="N48" s="86" t="b">
        <x:v>0</x:v>
      </x:c>
      <x:c r="O48" s="86" t="b">
        <x:v>0</x:v>
      </x:c>
      <x:c r="P48" s="86" t="b">
        <x:v>0</x:v>
      </x:c>
      <x:c r="Q48" s="86" t="b">
        <x:v>0</x:v>
      </x:c>
      <x:c r="R48" s="86" t="b">
        <x:v>0</x:v>
      </x:c>
      <x:c r="S48" s="86" t="b">
        <x:v>0</x:v>
      </x:c>
      <x:c r="T48" s="86" t="b">
        <x:v>0</x:v>
      </x:c>
      <x:c r="U48" s="86" t="b">
        <x:v>0</x:v>
      </x:c>
      <x:c r="V48" s="86" t="b">
        <x:v>0</x:v>
      </x:c>
      <x:c r="W48" s="86" t="b">
        <x:v>0</x:v>
      </x:c>
      <x:c r="X48" s="86" t="b">
        <x:v>0</x:v>
      </x:c>
      <x:c r="Y48" s="86" t="b">
        <x:v>0</x:v>
      </x:c>
      <x:c r="Z48" s="86" t="b">
        <x:v>0</x:v>
      </x:c>
      <x:c r="AA48" s="86" t="b">
        <x:v>0</x:v>
      </x:c>
      <x:c r="AB48" s="86" t="b">
        <x:v>0</x:v>
      </x:c>
      <x:c r="AC48" s="86" t="b">
        <x:v>0</x:v>
      </x:c>
      <x:c r="AD48" s="86" t="b">
        <x:v>0</x:v>
      </x:c>
      <x:c r="AE48" s="86" t="b">
        <x:v>0</x:v>
      </x:c>
      <x:c r="AF48" s="86" t="b">
        <x:v>0</x:v>
      </x:c>
      <x:c r="AG48" s="86" t="b">
        <x:v>0</x:v>
      </x:c>
      <x:c r="AH48" s="86" t="b">
        <x:v>0</x:v>
      </x:c>
      <x:c r="AI48" s="86" t="b">
        <x:v>0</x:v>
      </x:c>
      <x:c r="AJ48" s="86" t="b">
        <x:v>0</x:v>
      </x:c>
      <x:c r="AK48" s="86" t="b">
        <x:v>0</x:v>
      </x:c>
      <x:c r="AL48" s="86" t="b">
        <x:v>0</x:v>
      </x:c>
      <x:c r="AM48" s="86" t="b">
        <x:v>0</x:v>
      </x:c>
      <x:c r="AN48" s="86" t="b">
        <x:v>0</x:v>
      </x:c>
      <x:c r="AO48" s="86" t="b">
        <x:v>0</x:v>
      </x:c>
      <x:c r="AP48" s="86" t="b">
        <x:v>0</x:v>
      </x:c>
      <x:c r="AQ48" s="86" t="b">
        <x:v>0</x:v>
      </x:c>
      <x:c r="AR48" s="86" t="b">
        <x:v>0</x:v>
      </x:c>
      <x:c r="AS48" s="86" t="b">
        <x:v>0</x:v>
      </x:c>
      <x:c r="AT48" s="86" t="b">
        <x:v>0</x:v>
      </x:c>
      <x:c r="AU48" s="86" t="b">
        <x:v>0</x:v>
      </x:c>
      <x:c r="AV48" s="86" t="b">
        <x:v>0</x:v>
      </x:c>
      <x:c r="AW48" s="86" t="b">
        <x:v>0</x:v>
      </x:c>
      <x:c r="AX48" s="86" t="b">
        <x:v>0</x:v>
      </x:c>
      <x:c r="AY48" s="86" t="b">
        <x:v>0</x:v>
      </x:c>
      <x:c r="AZ48" s="86" t="b">
        <x:v>0</x:v>
      </x:c>
    </x:row>
    <x:row r="49" ht="21" customHeight="1">
      <x:c r="A49" s="150"/>
      <x:c r="B49" s="150"/>
      <x:c r="C49" s="23" t="str">
        <x:v>interest diversion</x:v>
      </x:c>
      <x:c r="D49" s="23" t="str">
        <x:v>USD</x:v>
      </x:c>
      <x:c r="E49" s="85" t="n">
        <x:v>0</x:v>
      </x:c>
      <x:c r="F49" s="85" t="n">
        <x:v>0</x:v>
      </x:c>
      <x:c r="G49" s="85" t="n">
        <x:v>0</x:v>
      </x:c>
      <x:c r="H49" s="85" t="n">
        <x:v>0</x:v>
      </x:c>
      <x:c r="I49" s="85" t="n">
        <x:v>0</x:v>
      </x:c>
      <x:c r="J49" s="85" t="n">
        <x:v>0</x:v>
      </x:c>
      <x:c r="K49" s="85" t="n">
        <x:v>0</x:v>
      </x:c>
      <x:c r="L49" s="85" t="n">
        <x:v>0</x:v>
      </x:c>
      <x:c r="M49" s="85" t="n">
        <x:v>0</x:v>
      </x:c>
      <x:c r="N49" s="85" t="n">
        <x:v>0</x:v>
      </x:c>
      <x:c r="O49" s="85" t="n">
        <x:v>0</x:v>
      </x:c>
      <x:c r="P49" s="85" t="n">
        <x:v>0</x:v>
      </x:c>
      <x:c r="Q49" s="85" t="n">
        <x:v>0</x:v>
      </x:c>
      <x:c r="R49" s="85" t="n">
        <x:v>0</x:v>
      </x:c>
      <x:c r="S49" s="85" t="n">
        <x:v>0</x:v>
      </x:c>
      <x:c r="T49" s="85" t="n">
        <x:v>0</x:v>
      </x:c>
      <x:c r="U49" s="85" t="n">
        <x:v>0</x:v>
      </x:c>
      <x:c r="V49" s="85" t="n">
        <x:v>0</x:v>
      </x:c>
      <x:c r="W49" s="85" t="n">
        <x:v>0</x:v>
      </x:c>
      <x:c r="X49" s="85" t="n">
        <x:v>0</x:v>
      </x:c>
      <x:c r="Y49" s="85" t="n">
        <x:v>0</x:v>
      </x:c>
      <x:c r="Z49" s="85" t="n">
        <x:v>0</x:v>
      </x:c>
      <x:c r="AA49" s="85" t="n">
        <x:v>0</x:v>
      </x:c>
      <x:c r="AB49" s="85" t="n">
        <x:v>0</x:v>
      </x:c>
      <x:c r="AC49" s="85" t="n">
        <x:v>0</x:v>
      </x:c>
      <x:c r="AD49" s="85" t="n">
        <x:v>0</x:v>
      </x:c>
      <x:c r="AE49" s="85" t="n">
        <x:v>0</x:v>
      </x:c>
      <x:c r="AF49" s="85" t="n">
        <x:v>0</x:v>
      </x:c>
      <x:c r="AG49" s="85" t="n">
        <x:v>0</x:v>
      </x:c>
      <x:c r="AH49" s="85" t="n">
        <x:v>0</x:v>
      </x:c>
      <x:c r="AI49" s="85" t="n">
        <x:v>0</x:v>
      </x:c>
      <x:c r="AJ49" s="85" t="n">
        <x:v>0</x:v>
      </x:c>
      <x:c r="AK49" s="85" t="n">
        <x:v>0</x:v>
      </x:c>
      <x:c r="AL49" s="85" t="n">
        <x:v>0</x:v>
      </x:c>
      <x:c r="AM49" s="85" t="n">
        <x:v>0</x:v>
      </x:c>
      <x:c r="AN49" s="85" t="n">
        <x:v>0</x:v>
      </x:c>
      <x:c r="AO49" s="85" t="n">
        <x:v>0</x:v>
      </x:c>
      <x:c r="AP49" s="85" t="n">
        <x:v>0</x:v>
      </x:c>
      <x:c r="AQ49" s="85" t="n">
        <x:v>0</x:v>
      </x:c>
      <x:c r="AR49" s="85" t="n">
        <x:v>0</x:v>
      </x:c>
      <x:c r="AS49" s="85" t="n">
        <x:v>0</x:v>
      </x:c>
      <x:c r="AT49" s="85" t="n">
        <x:v>0</x:v>
      </x:c>
      <x:c r="AU49" s="85" t="n">
        <x:v>0</x:v>
      </x:c>
      <x:c r="AV49" s="85" t="n">
        <x:v>0</x:v>
      </x:c>
      <x:c r="AW49" s="85" t="n">
        <x:v>0</x:v>
      </x:c>
      <x:c r="AX49" s="85" t="n">
        <x:v>0</x:v>
      </x:c>
      <x:c r="AY49" s="85" t="n">
        <x:v>0</x:v>
      </x:c>
      <x:c r="AZ49" s="85" t="n">
        <x:v>0</x:v>
      </x:c>
    </x:row>
    <x:row r="50" ht="21" customHeight="1">
      <x:c r="A50" s="150"/>
      <x:c r="B50" s="150"/>
      <x:c r="C50" s="23" t="str">
        <x:v>senior principal paid</x:v>
      </x:c>
      <x:c r="D50" s="23" t="str">
        <x:v>USD</x:v>
      </x:c>
      <x:c r="E50" s="85" t="n">
        <x:v>0</x:v>
      </x:c>
      <x:c r="F50" s="85" t="n">
        <x:v>0</x:v>
      </x:c>
      <x:c r="G50" s="85" t="n">
        <x:v>0</x:v>
      </x:c>
      <x:c r="H50" s="85" t="n">
        <x:v>0</x:v>
      </x:c>
      <x:c r="I50" s="85" t="n">
        <x:v>3477284.4599999995</x:v>
      </x:c>
      <x:c r="J50" s="85" t="n">
        <x:v>3477284.4599999995</x:v>
      </x:c>
      <x:c r="K50" s="85" t="n">
        <x:v>3477284.4599999995</x:v>
      </x:c>
      <x:c r="L50" s="85" t="n">
        <x:v>3477284.4599999995</x:v>
      </x:c>
      <x:c r="M50" s="85" t="n">
        <x:v>4371715.08</x:v>
      </x:c>
      <x:c r="N50" s="85" t="n">
        <x:v>3835911.113413467</x:v>
      </x:c>
      <x:c r="O50" s="85" t="n">
        <x:v>5221584.645046618</x:v>
      </x:c>
      <x:c r="P50" s="85" t="n">
        <x:v>6077919.333590614</x:v>
      </x:c>
      <x:c r="Q50" s="85" t="n">
        <x:v>6824350.842324548</x:v>
      </x:c>
      <x:c r="R50" s="85" t="n">
        <x:v>7194597.678277921</x:v>
      </x:c>
      <x:c r="S50" s="85" t="n">
        <x:v>12452080.48277736</x:v>
      </x:c>
      <x:c r="T50" s="85" t="n">
        <x:v>10448641.507009752</x:v>
      </x:c>
      <x:c r="U50" s="85" t="n">
        <x:v>7947401.215391009</x:v>
      </x:c>
      <x:c r="V50" s="85" t="n">
        <x:v>17597418.786721878</x:v>
      </x:c>
      <x:c r="W50" s="85" t="n">
        <x:v>10997976.92135675</x:v>
      </x:c>
      <x:c r="X50" s="85" t="n">
        <x:v>18690124.84580991</x:v>
      </x:c>
      <x:c r="Y50" s="85" t="n">
        <x:v>13738419.272579212</x:v>
      </x:c>
      <x:c r="Z50" s="85" t="n">
        <x:v>11165989.655084593</x:v>
      </x:c>
      <x:c r="AA50" s="85" t="n">
        <x:v>17924214.434336796</x:v>
      </x:c>
      <x:c r="AB50" s="85" t="n">
        <x:v>22831479.686554857</x:v>
      </x:c>
      <x:c r="AC50" s="85" t="n">
        <x:v>771036.6597246751</x:v>
      </x:c>
      <x:c r="AD50" s="85" t="n">
        <x:v>0</x:v>
      </x:c>
      <x:c r="AE50" s="85" t="n">
        <x:v>0</x:v>
      </x:c>
      <x:c r="AF50" s="85" t="n">
        <x:v>0</x:v>
      </x:c>
      <x:c r="AG50" s="85" t="n">
        <x:v>0</x:v>
      </x:c>
      <x:c r="AH50" s="85" t="n">
        <x:v>0</x:v>
      </x:c>
      <x:c r="AI50" s="85" t="n">
        <x:v>0</x:v>
      </x:c>
      <x:c r="AJ50" s="85" t="n">
        <x:v>0</x:v>
      </x:c>
      <x:c r="AK50" s="85" t="n">
        <x:v>0</x:v>
      </x:c>
      <x:c r="AL50" s="85" t="n">
        <x:v>0</x:v>
      </x:c>
      <x:c r="AM50" s="85" t="n">
        <x:v>0</x:v>
      </x:c>
      <x:c r="AN50" s="85" t="n">
        <x:v>0</x:v>
      </x:c>
      <x:c r="AO50" s="85" t="n">
        <x:v>0</x:v>
      </x:c>
      <x:c r="AP50" s="85" t="n">
        <x:v>0</x:v>
      </x:c>
      <x:c r="AQ50" s="85" t="n">
        <x:v>0</x:v>
      </x:c>
      <x:c r="AR50" s="85" t="n">
        <x:v>0</x:v>
      </x:c>
      <x:c r="AS50" s="85" t="n">
        <x:v>0</x:v>
      </x:c>
      <x:c r="AT50" s="85" t="n">
        <x:v>0</x:v>
      </x:c>
      <x:c r="AU50" s="85" t="n">
        <x:v>0</x:v>
      </x:c>
      <x:c r="AV50" s="85" t="n">
        <x:v>0</x:v>
      </x:c>
      <x:c r="AW50" s="85" t="n">
        <x:v>0</x:v>
      </x:c>
      <x:c r="AX50" s="85" t="n">
        <x:v>0</x:v>
      </x:c>
      <x:c r="AY50" s="85" t="n">
        <x:v>0</x:v>
      </x:c>
      <x:c r="AZ50" s="85" t="n">
        <x:v>0</x:v>
      </x:c>
    </x:row>
    <x:row r="51" ht="21" customHeight="1">
      <x:c r="A51" s="150"/>
      <x:c r="B51" s="150"/>
      <x:c r="C51" s="23" t="str">
        <x:v>junior principal paid</x:v>
      </x:c>
      <x:c r="D51" s="23" t="str">
        <x:v>USD</x:v>
      </x:c>
      <x:c r="E51" s="85" t="n">
        <x:v>0</x:v>
      </x:c>
      <x:c r="F51" s="85" t="n">
        <x:v>0</x:v>
      </x:c>
      <x:c r="G51" s="85" t="n">
        <x:v>0</x:v>
      </x:c>
      <x:c r="H51" s="85" t="n">
        <x:v>0</x:v>
      </x:c>
      <x:c r="I51" s="85" t="n">
        <x:v>0</x:v>
      </x:c>
      <x:c r="J51" s="85" t="n">
        <x:v>0</x:v>
      </x:c>
      <x:c r="K51" s="85" t="n">
        <x:v>0</x:v>
      </x:c>
      <x:c r="L51" s="85" t="n">
        <x:v>0</x:v>
      </x:c>
      <x:c r="M51" s="85" t="n">
        <x:v>0</x:v>
      </x:c>
      <x:c r="N51" s="85" t="n">
        <x:v>0</x:v>
      </x:c>
      <x:c r="O51" s="85" t="n">
        <x:v>0</x:v>
      </x:c>
      <x:c r="P51" s="85" t="n">
        <x:v>0</x:v>
      </x:c>
      <x:c r="Q51" s="85" t="n">
        <x:v>0</x:v>
      </x:c>
      <x:c r="R51" s="85" t="n">
        <x:v>0</x:v>
      </x:c>
      <x:c r="S51" s="85" t="n">
        <x:v>0</x:v>
      </x:c>
      <x:c r="T51" s="85" t="n">
        <x:v>0</x:v>
      </x:c>
      <x:c r="U51" s="85" t="n">
        <x:v>0</x:v>
      </x:c>
      <x:c r="V51" s="85" t="n">
        <x:v>0</x:v>
      </x:c>
      <x:c r="W51" s="85" t="n">
        <x:v>0</x:v>
      </x:c>
      <x:c r="X51" s="85" t="n">
        <x:v>0</x:v>
      </x:c>
      <x:c r="Y51" s="85" t="n">
        <x:v>0</x:v>
      </x:c>
      <x:c r="Z51" s="85" t="n">
        <x:v>0</x:v>
      </x:c>
      <x:c r="AA51" s="85" t="n">
        <x:v>0</x:v>
      </x:c>
      <x:c r="AB51" s="85" t="n">
        <x:v>0</x:v>
      </x:c>
      <x:c r="AC51" s="85" t="n">
        <x:v>12323344.936404673</x:v>
      </x:c>
      <x:c r="AD51" s="85" t="n">
        <x:v>6737028.888703926</x:v>
      </x:c>
      <x:c r="AE51" s="85" t="n">
        <x:v>8961726.080627684</x:v>
      </x:c>
      <x:c r="AF51" s="85" t="n">
        <x:v>12129114.764086166</x:v>
      </x:c>
      <x:c r="AG51" s="85" t="n">
        <x:v>5282629.678977631</x:v>
      </x:c>
      <x:c r="AH51" s="85" t="n">
        <x:v>4474022.028038553</x:v>
      </x:c>
      <x:c r="AI51" s="85" t="n">
        <x:v>808607.6509390778</x:v>
      </x:c>
      <x:c r="AJ51" s="85" t="n">
        <x:v>1617215.3018781554</x:v>
      </x:c>
      <x:c r="AK51" s="85" t="n">
        <x:v>0</x:v>
      </x:c>
      <x:c r="AL51" s="85" t="n">
        <x:v>0</x:v>
      </x:c>
      <x:c r="AM51" s="85" t="n">
        <x:v>916695.6448886332</x:v>
      </x:c>
      <x:c r="AN51" s="85" t="n">
        <x:v>322895.77939360804</x:v>
      </x:c>
      <x:c r="AO51" s="85" t="n">
        <x:v>0</x:v>
      </x:c>
      <x:c r="AP51" s="85" t="n">
        <x:v>0</x:v>
      </x:c>
      <x:c r="AQ51" s="85" t="n">
        <x:v>0</x:v>
      </x:c>
      <x:c r="AR51" s="85" t="n">
        <x:v>0</x:v>
      </x:c>
      <x:c r="AS51" s="85" t="n">
        <x:v>0</x:v>
      </x:c>
      <x:c r="AT51" s="85" t="n">
        <x:v>0</x:v>
      </x:c>
      <x:c r="AU51" s="85" t="n">
        <x:v>0</x:v>
      </x:c>
      <x:c r="AV51" s="85" t="n">
        <x:v>0</x:v>
      </x:c>
      <x:c r="AW51" s="85" t="n">
        <x:v>0</x:v>
      </x:c>
      <x:c r="AX51" s="85" t="n">
        <x:v>0</x:v>
      </x:c>
      <x:c r="AY51" s="85" t="n">
        <x:v>0</x:v>
      </x:c>
      <x:c r="AZ51" s="85" t="n">
        <x:v>0</x:v>
      </x:c>
    </x:row>
    <x:row r="52" ht="21" customHeight="1">
      <x:c r="A52" s="150"/>
      <x:c r="B52" s="150"/>
      <x:c r="C52" s="23" t="str">
        <x:v>senior end</x:v>
      </x:c>
      <x:c r="D52" s="23" t="str">
        <x:v>USD</x:v>
      </x:c>
      <x:c r="E52" s="85" t="n">
        <x:v>192000000</x:v>
      </x:c>
      <x:c r="F52" s="85" t="n">
        <x:v>192000000</x:v>
      </x:c>
      <x:c r="G52" s="85" t="n">
        <x:v>192000000</x:v>
      </x:c>
      <x:c r="H52" s="85" t="n">
        <x:v>192000000</x:v>
      </x:c>
      <x:c r="I52" s="85" t="n">
        <x:v>188522715.54</x:v>
      </x:c>
      <x:c r="J52" s="85" t="n">
        <x:v>185045431.07999998</x:v>
      </x:c>
      <x:c r="K52" s="85" t="n">
        <x:v>181568146.61999997</x:v>
      </x:c>
      <x:c r="L52" s="85" t="n">
        <x:v>178090862.15999997</x:v>
      </x:c>
      <x:c r="M52" s="85" t="n">
        <x:v>173719147.07999995</x:v>
      </x:c>
      <x:c r="N52" s="85" t="n">
        <x:v>169883235.9665865</x:v>
      </x:c>
      <x:c r="O52" s="85" t="n">
        <x:v>164661651.32153988</x:v>
      </x:c>
      <x:c r="P52" s="85" t="n">
        <x:v>158583731.98794925</x:v>
      </x:c>
      <x:c r="Q52" s="85" t="n">
        <x:v>151759381.1456247</x:v>
      </x:c>
      <x:c r="R52" s="85" t="n">
        <x:v>144564783.4673468</x:v>
      </x:c>
      <x:c r="S52" s="85" t="n">
        <x:v>132112702.98456943</x:v>
      </x:c>
      <x:c r="T52" s="85" t="n">
        <x:v>121664061.47755969</x:v>
      </x:c>
      <x:c r="U52" s="85" t="n">
        <x:v>113716660.26216868</x:v>
      </x:c>
      <x:c r="V52" s="85" t="n">
        <x:v>96119241.47544679</x:v>
      </x:c>
      <x:c r="W52" s="85" t="n">
        <x:v>85121264.55409004</x:v>
      </x:c>
      <x:c r="X52" s="85" t="n">
        <x:v>66431139.70828013</x:v>
      </x:c>
      <x:c r="Y52" s="85" t="n">
        <x:v>52692720.43570092</x:v>
      </x:c>
      <x:c r="Z52" s="85" t="n">
        <x:v>41526730.78061633</x:v>
      </x:c>
      <x:c r="AA52" s="85" t="n">
        <x:v>23602516.34627953</x:v>
      </x:c>
      <x:c r="AB52" s="85" t="n">
        <x:v>771036.6597246751</x:v>
      </x:c>
      <x:c r="AC52" s="85" t="n">
        <x:v>0</x:v>
      </x:c>
      <x:c r="AD52" s="85" t="n">
        <x:v>0</x:v>
      </x:c>
      <x:c r="AE52" s="85" t="n">
        <x:v>0</x:v>
      </x:c>
      <x:c r="AF52" s="85" t="n">
        <x:v>0</x:v>
      </x:c>
      <x:c r="AG52" s="85" t="n">
        <x:v>0</x:v>
      </x:c>
      <x:c r="AH52" s="85" t="n">
        <x:v>0</x:v>
      </x:c>
      <x:c r="AI52" s="85" t="n">
        <x:v>0</x:v>
      </x:c>
      <x:c r="AJ52" s="85" t="n">
        <x:v>0</x:v>
      </x:c>
      <x:c r="AK52" s="85" t="n">
        <x:v>0</x:v>
      </x:c>
      <x:c r="AL52" s="85" t="n">
        <x:v>0</x:v>
      </x:c>
      <x:c r="AM52" s="85" t="n">
        <x:v>0</x:v>
      </x:c>
      <x:c r="AN52" s="85" t="n">
        <x:v>0</x:v>
      </x:c>
      <x:c r="AO52" s="85" t="n">
        <x:v>0</x:v>
      </x:c>
      <x:c r="AP52" s="85" t="n">
        <x:v>0</x:v>
      </x:c>
      <x:c r="AQ52" s="85" t="n">
        <x:v>0</x:v>
      </x:c>
      <x:c r="AR52" s="85" t="n">
        <x:v>0</x:v>
      </x:c>
      <x:c r="AS52" s="85" t="n">
        <x:v>0</x:v>
      </x:c>
      <x:c r="AT52" s="85" t="n">
        <x:v>0</x:v>
      </x:c>
      <x:c r="AU52" s="85" t="n">
        <x:v>0</x:v>
      </x:c>
      <x:c r="AV52" s="85" t="n">
        <x:v>0</x:v>
      </x:c>
      <x:c r="AW52" s="85" t="n">
        <x:v>0</x:v>
      </x:c>
      <x:c r="AX52" s="85" t="n">
        <x:v>0</x:v>
      </x:c>
      <x:c r="AY52" s="85" t="n">
        <x:v>0</x:v>
      </x:c>
      <x:c r="AZ52" s="85" t="n">
        <x:v>0</x:v>
      </x:c>
    </x:row>
    <x:row r="53" ht="21" customHeight="1">
      <x:c r="A53" s="150"/>
      <x:c r="B53" s="150"/>
      <x:c r="C53" s="23" t="str">
        <x:v>junior end</x:v>
      </x:c>
      <x:c r="D53" s="23" t="str">
        <x:v>USD</x:v>
      </x:c>
      <x:c r="E53" s="85" t="n">
        <x:v>78000000</x:v>
      </x:c>
      <x:c r="F53" s="85" t="n">
        <x:v>78000000</x:v>
      </x:c>
      <x:c r="G53" s="85" t="n">
        <x:v>78000000</x:v>
      </x:c>
      <x:c r="H53" s="85" t="n">
        <x:v>78000000</x:v>
      </x:c>
      <x:c r="I53" s="85" t="n">
        <x:v>78000000</x:v>
      </x:c>
      <x:c r="J53" s="85" t="n">
        <x:v>78000000</x:v>
      </x:c>
      <x:c r="K53" s="85" t="n">
        <x:v>78000000</x:v>
      </x:c>
      <x:c r="L53" s="85" t="n">
        <x:v>78000000</x:v>
      </x:c>
      <x:c r="M53" s="85" t="n">
        <x:v>78000000</x:v>
      </x:c>
      <x:c r="N53" s="85" t="n">
        <x:v>78000000</x:v>
      </x:c>
      <x:c r="O53" s="85" t="n">
        <x:v>78000000</x:v>
      </x:c>
      <x:c r="P53" s="85" t="n">
        <x:v>78000000</x:v>
      </x:c>
      <x:c r="Q53" s="85" t="n">
        <x:v>78000000</x:v>
      </x:c>
      <x:c r="R53" s="85" t="n">
        <x:v>78000000</x:v>
      </x:c>
      <x:c r="S53" s="85" t="n">
        <x:v>78000000</x:v>
      </x:c>
      <x:c r="T53" s="85" t="n">
        <x:v>78000000</x:v>
      </x:c>
      <x:c r="U53" s="85" t="n">
        <x:v>78000000</x:v>
      </x:c>
      <x:c r="V53" s="85" t="n">
        <x:v>78000000</x:v>
      </x:c>
      <x:c r="W53" s="85" t="n">
        <x:v>78000000</x:v>
      </x:c>
      <x:c r="X53" s="85" t="n">
        <x:v>78000000</x:v>
      </x:c>
      <x:c r="Y53" s="85" t="n">
        <x:v>78000000</x:v>
      </x:c>
      <x:c r="Z53" s="85" t="n">
        <x:v>78000000</x:v>
      </x:c>
      <x:c r="AA53" s="85" t="n">
        <x:v>78000000</x:v>
      </x:c>
      <x:c r="AB53" s="85" t="n">
        <x:v>78000000</x:v>
      </x:c>
      <x:c r="AC53" s="85" t="n">
        <x:v>65676655.063595325</x:v>
      </x:c>
      <x:c r="AD53" s="85" t="n">
        <x:v>58939626.1748914</x:v>
      </x:c>
      <x:c r="AE53" s="85" t="n">
        <x:v>49977900.09426372</x:v>
      </x:c>
      <x:c r="AF53" s="85" t="n">
        <x:v>37848785.33017755</x:v>
      </x:c>
      <x:c r="AG53" s="85" t="n">
        <x:v>32566155.651199922</x:v>
      </x:c>
      <x:c r="AH53" s="85" t="n">
        <x:v>28092133.623161368</x:v>
      </x:c>
      <x:c r="AI53" s="85" t="n">
        <x:v>27283525.97222229</x:v>
      </x:c>
      <x:c r="AJ53" s="85" t="n">
        <x:v>25666310.670344137</x:v>
      </x:c>
      <x:c r="AK53" s="85" t="n">
        <x:v>25666310.670344137</x:v>
      </x:c>
      <x:c r="AL53" s="85" t="n">
        <x:v>25666310.670344137</x:v>
      </x:c>
      <x:c r="AM53" s="85" t="n">
        <x:v>24749615.025455505</x:v>
      </x:c>
      <x:c r="AN53" s="85" t="n">
        <x:v>24426719.246061895</x:v>
      </x:c>
      <x:c r="AO53" s="85" t="n">
        <x:v>24426719.246061895</x:v>
      </x:c>
      <x:c r="AP53" s="85" t="n">
        <x:v>24426719.246061895</x:v>
      </x:c>
      <x:c r="AQ53" s="85" t="n">
        <x:v>24426719.246061895</x:v>
      </x:c>
      <x:c r="AR53" s="85" t="n">
        <x:v>24426719.246061895</x:v>
      </x:c>
      <x:c r="AS53" s="85" t="n">
        <x:v>24426719.246061895</x:v>
      </x:c>
      <x:c r="AT53" s="85" t="n">
        <x:v>24426719.246061895</x:v>
      </x:c>
      <x:c r="AU53" s="85" t="n">
        <x:v>24426719.246061895</x:v>
      </x:c>
      <x:c r="AV53" s="85" t="n">
        <x:v>24426719.246061895</x:v>
      </x:c>
      <x:c r="AW53" s="85" t="n">
        <x:v>24426719.246061895</x:v>
      </x:c>
      <x:c r="AX53" s="85" t="n">
        <x:v>24426719.246061895</x:v>
      </x:c>
      <x:c r="AY53" s="85" t="n">
        <x:v>24426719.246061895</x:v>
      </x:c>
      <x:c r="AZ53" s="85" t="n">
        <x:v>24426719.246061895</x:v>
      </x:c>
    </x:row>
    <x:row r="54" ht="21" customHeight="1">
      <x:c r="A54" s="150"/>
      <x:c r="B54" s="150"/>
      <x:c r="C54" s="23" t="str">
        <x:v>equity interest</x:v>
      </x:c>
      <x:c r="D54" s="23" t="str">
        <x:v>USD</x:v>
      </x:c>
      <x:c r="E54" s="85" t="n">
        <x:v>58142.62041780891</x:v>
      </x:c>
      <x:c r="F54" s="85" t="n">
        <x:v>51881.00754314952</x:v>
      </x:c>
      <x:c r="G54" s="85" t="n">
        <x:v>0</x:v>
      </x:c>
      <x:c r="H54" s="85" t="n">
        <x:v>0</x:v>
      </x:c>
      <x:c r="I54" s="85" t="n">
        <x:v>0</x:v>
      </x:c>
      <x:c r="J54" s="85" t="n">
        <x:v>0</x:v>
      </x:c>
      <x:c r="K54" s="85" t="n">
        <x:v>0</x:v>
      </x:c>
      <x:c r="L54" s="85" t="n">
        <x:v>0</x:v>
      </x:c>
      <x:c r="M54" s="85" t="n">
        <x:v>0</x:v>
      </x:c>
      <x:c r="N54" s="85" t="n">
        <x:v>0</x:v>
      </x:c>
      <x:c r="O54" s="85" t="n">
        <x:v>0</x:v>
      </x:c>
      <x:c r="P54" s="85" t="n">
        <x:v>0</x:v>
      </x:c>
      <x:c r="Q54" s="85" t="n">
        <x:v>0</x:v>
      </x:c>
      <x:c r="R54" s="85" t="n">
        <x:v>0</x:v>
      </x:c>
      <x:c r="S54" s="85" t="n">
        <x:v>0</x:v>
      </x:c>
      <x:c r="T54" s="85" t="n">
        <x:v>0</x:v>
      </x:c>
      <x:c r="U54" s="85" t="n">
        <x:v>0</x:v>
      </x:c>
      <x:c r="V54" s="85" t="n">
        <x:v>0</x:v>
      </x:c>
      <x:c r="W54" s="85" t="n">
        <x:v>0</x:v>
      </x:c>
      <x:c r="X54" s="85" t="n">
        <x:v>0</x:v>
      </x:c>
      <x:c r="Y54" s="85" t="n">
        <x:v>0</x:v>
      </x:c>
      <x:c r="Z54" s="85" t="n">
        <x:v>0</x:v>
      </x:c>
      <x:c r="AA54" s="85" t="n">
        <x:v>0</x:v>
      </x:c>
      <x:c r="AB54" s="85" t="n">
        <x:v>0</x:v>
      </x:c>
      <x:c r="AC54" s="85" t="n">
        <x:v>0</x:v>
      </x:c>
      <x:c r="AD54" s="85" t="n">
        <x:v>0</x:v>
      </x:c>
      <x:c r="AE54" s="85" t="n">
        <x:v>0</x:v>
      </x:c>
      <x:c r="AF54" s="85" t="n">
        <x:v>0</x:v>
      </x:c>
      <x:c r="AG54" s="85" t="n">
        <x:v>0</x:v>
      </x:c>
      <x:c r="AH54" s="85" t="n">
        <x:v>0</x:v>
      </x:c>
      <x:c r="AI54" s="85" t="n">
        <x:v>0</x:v>
      </x:c>
      <x:c r="AJ54" s="85" t="n">
        <x:v>0</x:v>
      </x:c>
      <x:c r="AK54" s="85" t="n">
        <x:v>0</x:v>
      </x:c>
      <x:c r="AL54" s="85" t="n">
        <x:v>0</x:v>
      </x:c>
      <x:c r="AM54" s="85" t="n">
        <x:v>0</x:v>
      </x:c>
      <x:c r="AN54" s="85" t="n">
        <x:v>0</x:v>
      </x:c>
      <x:c r="AO54" s="85" t="n">
        <x:v>0</x:v>
      </x:c>
      <x:c r="AP54" s="85" t="n">
        <x:v>0</x:v>
      </x:c>
      <x:c r="AQ54" s="85" t="n">
        <x:v>0</x:v>
      </x:c>
      <x:c r="AR54" s="85" t="n">
        <x:v>0</x:v>
      </x:c>
      <x:c r="AS54" s="85" t="n">
        <x:v>0</x:v>
      </x:c>
      <x:c r="AT54" s="85" t="n">
        <x:v>0</x:v>
      </x:c>
      <x:c r="AU54" s="85" t="n">
        <x:v>0</x:v>
      </x:c>
      <x:c r="AV54" s="85" t="n">
        <x:v>0</x:v>
      </x:c>
      <x:c r="AW54" s="85" t="n">
        <x:v>0</x:v>
      </x:c>
      <x:c r="AX54" s="85" t="n">
        <x:v>0</x:v>
      </x:c>
      <x:c r="AY54" s="85" t="n">
        <x:v>0</x:v>
      </x:c>
      <x:c r="AZ54" s="85" t="n">
        <x:v>0</x:v>
      </x:c>
    </x:row>
    <x:row r="55" ht="21" customHeight="1">
      <x:c r="A55" s="150"/>
      <x:c r="B55" s="150"/>
      <x:c r="C55" s="23" t="str">
        <x:v>equity principal</x:v>
      </x:c>
      <x:c r="D55" s="23" t="str">
        <x:v>USD</x:v>
      </x:c>
      <x:c r="E55" s="85" t="n">
        <x:v>0</x:v>
      </x:c>
      <x:c r="F55" s="85" t="n">
        <x:v>0</x:v>
      </x:c>
      <x:c r="G55" s="85" t="n">
        <x:v>0</x:v>
      </x:c>
      <x:c r="H55" s="85" t="n">
        <x:v>0</x:v>
      </x:c>
      <x:c r="I55" s="85" t="n">
        <x:v>0</x:v>
      </x:c>
      <x:c r="J55" s="85" t="n">
        <x:v>0</x:v>
      </x:c>
      <x:c r="K55" s="85" t="n">
        <x:v>0</x:v>
      </x:c>
      <x:c r="L55" s="85" t="n">
        <x:v>0</x:v>
      </x:c>
      <x:c r="M55" s="85" t="n">
        <x:v>0</x:v>
      </x:c>
      <x:c r="N55" s="85" t="n">
        <x:v>0</x:v>
      </x:c>
      <x:c r="O55" s="85" t="n">
        <x:v>0</x:v>
      </x:c>
      <x:c r="P55" s="85" t="n">
        <x:v>0</x:v>
      </x:c>
      <x:c r="Q55" s="85" t="n">
        <x:v>0</x:v>
      </x:c>
      <x:c r="R55" s="85" t="n">
        <x:v>0</x:v>
      </x:c>
      <x:c r="S55" s="85" t="n">
        <x:v>0</x:v>
      </x:c>
      <x:c r="T55" s="85" t="n">
        <x:v>0</x:v>
      </x:c>
      <x:c r="U55" s="85" t="n">
        <x:v>0</x:v>
      </x:c>
      <x:c r="V55" s="85" t="n">
        <x:v>0</x:v>
      </x:c>
      <x:c r="W55" s="85" t="n">
        <x:v>0</x:v>
      </x:c>
      <x:c r="X55" s="85" t="n">
        <x:v>0</x:v>
      </x:c>
      <x:c r="Y55" s="85" t="n">
        <x:v>0</x:v>
      </x:c>
      <x:c r="Z55" s="85" t="n">
        <x:v>0</x:v>
      </x:c>
      <x:c r="AA55" s="85" t="n">
        <x:v>0</x:v>
      </x:c>
      <x:c r="AB55" s="85" t="n">
        <x:v>0</x:v>
      </x:c>
      <x:c r="AC55" s="85" t="n">
        <x:v>0</x:v>
      </x:c>
      <x:c r="AD55" s="85" t="n">
        <x:v>0</x:v>
      </x:c>
      <x:c r="AE55" s="85" t="n">
        <x:v>0</x:v>
      </x:c>
      <x:c r="AF55" s="85" t="n">
        <x:v>0</x:v>
      </x:c>
      <x:c r="AG55" s="85" t="n">
        <x:v>0</x:v>
      </x:c>
      <x:c r="AH55" s="85" t="n">
        <x:v>0</x:v>
      </x:c>
      <x:c r="AI55" s="85" t="n">
        <x:v>0</x:v>
      </x:c>
      <x:c r="AJ55" s="85" t="n">
        <x:v>0</x:v>
      </x:c>
      <x:c r="AK55" s="85" t="n">
        <x:v>0</x:v>
      </x:c>
      <x:c r="AL55" s="85" t="n">
        <x:v>0</x:v>
      </x:c>
      <x:c r="AM55" s="85" t="n">
        <x:v>0</x:v>
      </x:c>
      <x:c r="AN55" s="85" t="n">
        <x:v>0</x:v>
      </x:c>
      <x:c r="AO55" s="85" t="n">
        <x:v>0</x:v>
      </x:c>
      <x:c r="AP55" s="85" t="n">
        <x:v>0</x:v>
      </x:c>
      <x:c r="AQ55" s="85" t="n">
        <x:v>0</x:v>
      </x:c>
      <x:c r="AR55" s="85" t="n">
        <x:v>0</x:v>
      </x:c>
      <x:c r="AS55" s="85" t="n">
        <x:v>0</x:v>
      </x:c>
      <x:c r="AT55" s="85" t="n">
        <x:v>0</x:v>
      </x:c>
      <x:c r="AU55" s="85" t="n">
        <x:v>0</x:v>
      </x:c>
      <x:c r="AV55" s="85" t="n">
        <x:v>0</x:v>
      </x:c>
      <x:c r="AW55" s="85" t="n">
        <x:v>0</x:v>
      </x:c>
      <x:c r="AX55" s="85" t="n">
        <x:v>0</x:v>
      </x:c>
      <x:c r="AY55" s="85" t="n">
        <x:v>0</x:v>
      </x:c>
      <x:c r="AZ55" s="85" t="n">
        <x:v>0</x:v>
      </x:c>
    </x:row>
    <x:row r="56" ht="21" customHeight="1">
      <x:c r="A56" s="150"/>
      <x:c r="B56" s="150"/>
      <x:c r="C56" s="23" t="str">
        <x:v>reinvestment cash</x:v>
      </x:c>
      <x:c r="D56" s="23" t="str">
        <x:v>USD</x:v>
      </x:c>
      <x:c r="E56" s="85" t="n">
        <x:v>0</x:v>
      </x:c>
      <x:c r="F56" s="85" t="n">
        <x:v>0</x:v>
      </x:c>
      <x:c r="G56" s="85" t="n">
        <x:v>0</x:v>
      </x:c>
      <x:c r="H56" s="85" t="n">
        <x:v>0</x:v>
      </x:c>
      <x:c r="I56" s="85" t="n">
        <x:v>0</x:v>
      </x:c>
      <x:c r="J56" s="85" t="n">
        <x:v>0</x:v>
      </x:c>
      <x:c r="K56" s="85" t="n">
        <x:v>0</x:v>
      </x:c>
      <x:c r="L56" s="85" t="n">
        <x:v>0</x:v>
      </x:c>
      <x:c r="M56" s="85" t="n">
        <x:v>0</x:v>
      </x:c>
      <x:c r="N56" s="85" t="n">
        <x:v>0</x:v>
      </x:c>
      <x:c r="O56" s="85" t="n">
        <x:v>0</x:v>
      </x:c>
      <x:c r="P56" s="85" t="n">
        <x:v>0</x:v>
      </x:c>
      <x:c r="Q56" s="85" t="n">
        <x:v>0</x:v>
      </x:c>
      <x:c r="R56" s="85" t="n">
        <x:v>0</x:v>
      </x:c>
      <x:c r="S56" s="85" t="n">
        <x:v>0</x:v>
      </x:c>
      <x:c r="T56" s="85" t="n">
        <x:v>0</x:v>
      </x:c>
      <x:c r="U56" s="85" t="n">
        <x:v>0</x:v>
      </x:c>
      <x:c r="V56" s="85" t="n">
        <x:v>0</x:v>
      </x:c>
      <x:c r="W56" s="85" t="n">
        <x:v>0</x:v>
      </x:c>
      <x:c r="X56" s="85" t="n">
        <x:v>0</x:v>
      </x:c>
      <x:c r="Y56" s="85" t="n">
        <x:v>0</x:v>
      </x:c>
      <x:c r="Z56" s="85" t="n">
        <x:v>0</x:v>
      </x:c>
      <x:c r="AA56" s="85" t="n">
        <x:v>0</x:v>
      </x:c>
      <x:c r="AB56" s="85" t="n">
        <x:v>0</x:v>
      </x:c>
      <x:c r="AC56" s="85" t="n">
        <x:v>0</x:v>
      </x:c>
      <x:c r="AD56" s="85" t="n">
        <x:v>0</x:v>
      </x:c>
      <x:c r="AE56" s="85" t="n">
        <x:v>0</x:v>
      </x:c>
      <x:c r="AF56" s="85" t="n">
        <x:v>0</x:v>
      </x:c>
      <x:c r="AG56" s="85" t="n">
        <x:v>0</x:v>
      </x:c>
      <x:c r="AH56" s="85" t="n">
        <x:v>0</x:v>
      </x:c>
      <x:c r="AI56" s="85" t="n">
        <x:v>0</x:v>
      </x:c>
      <x:c r="AJ56" s="85" t="n">
        <x:v>0</x:v>
      </x:c>
      <x:c r="AK56" s="85" t="n">
        <x:v>0</x:v>
      </x:c>
      <x:c r="AL56" s="85" t="n">
        <x:v>0</x:v>
      </x:c>
      <x:c r="AM56" s="85" t="n">
        <x:v>0</x:v>
      </x:c>
      <x:c r="AN56" s="85" t="n">
        <x:v>0</x:v>
      </x:c>
      <x:c r="AO56" s="85" t="n">
        <x:v>0</x:v>
      </x:c>
      <x:c r="AP56" s="85" t="n">
        <x:v>0</x:v>
      </x:c>
      <x:c r="AQ56" s="85" t="n">
        <x:v>0</x:v>
      </x:c>
      <x:c r="AR56" s="85" t="n">
        <x:v>0</x:v>
      </x:c>
      <x:c r="AS56" s="85" t="n">
        <x:v>0</x:v>
      </x:c>
      <x:c r="AT56" s="85" t="n">
        <x:v>0</x:v>
      </x:c>
      <x:c r="AU56" s="85" t="n">
        <x:v>0</x:v>
      </x:c>
      <x:c r="AV56" s="85" t="n">
        <x:v>0</x:v>
      </x:c>
      <x:c r="AW56" s="85" t="n">
        <x:v>0</x:v>
      </x:c>
      <x:c r="AX56" s="85" t="n">
        <x:v>0</x:v>
      </x:c>
      <x:c r="AY56" s="85" t="n">
        <x:v>0</x:v>
      </x:c>
      <x:c r="AZ56" s="85" t="n">
        <x:v>0</x:v>
      </x:c>
    </x:row>
    <x:row r="57" ht="21" customHeight="1">
      <x:c r="A57" s="150"/>
      <x:c r="B57" s="150"/>
      <x:c r="C57" s="23" t="str">
        <x:v>cash end</x:v>
      </x:c>
      <x:c r="D57" s="23" t="str">
        <x:v>USD</x:v>
      </x:c>
      <x:c r="E57" s="85" t="n">
        <x:v>0</x:v>
      </x:c>
      <x:c r="F57" s="85" t="n">
        <x:v>0</x:v>
      </x:c>
      <x:c r="G57" s="85" t="n">
        <x:v>0</x:v>
      </x:c>
      <x:c r="H57" s="85" t="n">
        <x:v>0</x:v>
      </x:c>
      <x:c r="I57" s="85" t="n">
        <x:v>0</x:v>
      </x:c>
      <x:c r="J57" s="85" t="n">
        <x:v>0</x:v>
      </x:c>
      <x:c r="K57" s="85" t="n">
        <x:v>0</x:v>
      </x:c>
      <x:c r="L57" s="85" t="n">
        <x:v>0</x:v>
      </x:c>
      <x:c r="M57" s="85" t="n">
        <x:v>0</x:v>
      </x:c>
      <x:c r="N57" s="85" t="n">
        <x:v>0</x:v>
      </x:c>
      <x:c r="O57" s="85" t="n">
        <x:v>0</x:v>
      </x:c>
      <x:c r="P57" s="85" t="n">
        <x:v>0</x:v>
      </x:c>
      <x:c r="Q57" s="85" t="n">
        <x:v>0</x:v>
      </x:c>
      <x:c r="R57" s="85" t="n">
        <x:v>0</x:v>
      </x:c>
      <x:c r="S57" s="85" t="n">
        <x:v>0</x:v>
      </x:c>
      <x:c r="T57" s="85" t="n">
        <x:v>0</x:v>
      </x:c>
      <x:c r="U57" s="85" t="n">
        <x:v>0</x:v>
      </x:c>
      <x:c r="V57" s="85" t="n">
        <x:v>0</x:v>
      </x:c>
      <x:c r="W57" s="85" t="n">
        <x:v>0</x:v>
      </x:c>
      <x:c r="X57" s="85" t="n">
        <x:v>0</x:v>
      </x:c>
      <x:c r="Y57" s="85" t="n">
        <x:v>0</x:v>
      </x:c>
      <x:c r="Z57" s="85" t="n">
        <x:v>0</x:v>
      </x:c>
      <x:c r="AA57" s="85" t="n">
        <x:v>0</x:v>
      </x:c>
      <x:c r="AB57" s="85" t="n">
        <x:v>0</x:v>
      </x:c>
      <x:c r="AC57" s="85" t="n">
        <x:v>0</x:v>
      </x:c>
      <x:c r="AD57" s="85" t="n">
        <x:v>0</x:v>
      </x:c>
      <x:c r="AE57" s="85" t="n">
        <x:v>0</x:v>
      </x:c>
      <x:c r="AF57" s="85" t="n">
        <x:v>0</x:v>
      </x:c>
      <x:c r="AG57" s="85" t="n">
        <x:v>0</x:v>
      </x:c>
      <x:c r="AH57" s="85" t="n">
        <x:v>0</x:v>
      </x:c>
      <x:c r="AI57" s="85" t="n">
        <x:v>0</x:v>
      </x:c>
      <x:c r="AJ57" s="85" t="n">
        <x:v>0</x:v>
      </x:c>
      <x:c r="AK57" s="85" t="n">
        <x:v>0</x:v>
      </x:c>
      <x:c r="AL57" s="85" t="n">
        <x:v>0</x:v>
      </x:c>
      <x:c r="AM57" s="85" t="n">
        <x:v>0</x:v>
      </x:c>
      <x:c r="AN57" s="85" t="n">
        <x:v>0</x:v>
      </x:c>
      <x:c r="AO57" s="85" t="n">
        <x:v>0</x:v>
      </x:c>
      <x:c r="AP57" s="85" t="n">
        <x:v>0</x:v>
      </x:c>
      <x:c r="AQ57" s="85" t="n">
        <x:v>0</x:v>
      </x:c>
      <x:c r="AR57" s="85" t="n">
        <x:v>0</x:v>
      </x:c>
      <x:c r="AS57" s="85" t="n">
        <x:v>0</x:v>
      </x:c>
      <x:c r="AT57" s="85" t="n">
        <x:v>0</x:v>
      </x:c>
      <x:c r="AU57" s="85" t="n">
        <x:v>0</x:v>
      </x:c>
      <x:c r="AV57" s="85" t="n">
        <x:v>0</x:v>
      </x:c>
      <x:c r="AW57" s="85" t="n">
        <x:v>0</x:v>
      </x:c>
      <x:c r="AX57" s="85" t="n">
        <x:v>0</x:v>
      </x:c>
      <x:c r="AY57" s="85" t="n">
        <x:v>0</x:v>
      </x:c>
      <x:c r="AZ57" s="85" t="n">
        <x:v>0</x:v>
      </x:c>
    </x:row>
    <x:row r="58" ht="21" customHeight="1">
      <x:c r="A58" s="150"/>
      <x:c r="B58" s="150"/>
      <x:c r="C58" s="23" t="str">
        <x:v>cash residual</x:v>
      </x:c>
      <x:c r="D58" s="23" t="str">
        <x:v>USD</x:v>
      </x:c>
      <x:c r="E58" s="85" t="n">
        <x:v>4.656612873077393e-10</x:v>
      </x:c>
      <x:c r="F58" s="85" t="n">
        <x:v>0</x:v>
      </x:c>
      <x:c r="G58" s="85" t="n">
        <x:v>0</x:v>
      </x:c>
      <x:c r="H58" s="85" t="n">
        <x:v>0</x:v>
      </x:c>
      <x:c r="I58" s="85" t="n">
        <x:v>0</x:v>
      </x:c>
      <x:c r="J58" s="85" t="n">
        <x:v>0</x:v>
      </x:c>
      <x:c r="K58" s="85" t="n">
        <x:v>0</x:v>
      </x:c>
      <x:c r="L58" s="85" t="n">
        <x:v>0</x:v>
      </x:c>
      <x:c r="M58" s="85" t="n">
        <x:v>0</x:v>
      </x:c>
      <x:c r="N58" s="85" t="n">
        <x:v>9.313225746154785e-10</x:v>
      </x:c>
      <x:c r="O58" s="85" t="n">
        <x:v>0</x:v>
      </x:c>
      <x:c r="P58" s="85" t="n">
        <x:v>0</x:v>
      </x:c>
      <x:c r="Q58" s="85" t="n">
        <x:v>-1.862645149230957e-9</x:v>
      </x:c>
      <x:c r="R58" s="85" t="n">
        <x:v>1.862645149230957e-9</x:v>
      </x:c>
      <x:c r="S58" s="85" t="n">
        <x:v>0</x:v>
      </x:c>
      <x:c r="T58" s="85" t="n">
        <x:v>0</x:v>
      </x:c>
      <x:c r="U58" s="85" t="n">
        <x:v>0</x:v>
      </x:c>
      <x:c r="V58" s="85" t="n">
        <x:v>0</x:v>
      </x:c>
      <x:c r="W58" s="85" t="n">
        <x:v>0</x:v>
      </x:c>
      <x:c r="X58" s="85" t="n">
        <x:v>0</x:v>
      </x:c>
      <x:c r="Y58" s="85" t="n">
        <x:v>1.862645149230957e-9</x:v>
      </x:c>
      <x:c r="Z58" s="85" t="n">
        <x:v>0</x:v>
      </x:c>
      <x:c r="AA58" s="85" t="n">
        <x:v>0</x:v>
      </x:c>
      <x:c r="AB58" s="85" t="n">
        <x:v>0</x:v>
      </x:c>
      <x:c r="AC58" s="85" t="n">
        <x:v>0</x:v>
      </x:c>
      <x:c r="AD58" s="85" t="n">
        <x:v>0</x:v>
      </x:c>
      <x:c r="AE58" s="85" t="n">
        <x:v>0</x:v>
      </x:c>
      <x:c r="AF58" s="85" t="n">
        <x:v>0</x:v>
      </x:c>
      <x:c r="AG58" s="85" t="n">
        <x:v>0</x:v>
      </x:c>
      <x:c r="AH58" s="85" t="n">
        <x:v>0</x:v>
      </x:c>
      <x:c r="AI58" s="85" t="n">
        <x:v>0</x:v>
      </x:c>
      <x:c r="AJ58" s="85" t="n">
        <x:v>0</x:v>
      </x:c>
      <x:c r="AK58" s="85" t="n">
        <x:v>0</x:v>
      </x:c>
      <x:c r="AL58" s="85" t="n">
        <x:v>0</x:v>
      </x:c>
      <x:c r="AM58" s="85" t="n">
        <x:v>0</x:v>
      </x:c>
      <x:c r="AN58" s="85" t="n">
        <x:v>0</x:v>
      </x:c>
      <x:c r="AO58" s="85" t="n">
        <x:v>0</x:v>
      </x:c>
      <x:c r="AP58" s="85" t="n">
        <x:v>0</x:v>
      </x:c>
      <x:c r="AQ58" s="85" t="n">
        <x:v>0</x:v>
      </x:c>
      <x:c r="AR58" s="85" t="n">
        <x:v>0</x:v>
      </x:c>
      <x:c r="AS58" s="85" t="n">
        <x:v>0</x:v>
      </x:c>
      <x:c r="AT58" s="85" t="n">
        <x:v>0</x:v>
      </x:c>
      <x:c r="AU58" s="85" t="n">
        <x:v>0</x:v>
      </x:c>
      <x:c r="AV58" s="85" t="n">
        <x:v>0</x:v>
      </x:c>
      <x:c r="AW58" s="85" t="n">
        <x:v>0</x:v>
      </x:c>
      <x:c r="AX58" s="85" t="n">
        <x:v>0</x:v>
      </x:c>
      <x:c r="AY58" s="85" t="n">
        <x:v>0</x:v>
      </x:c>
      <x:c r="AZ58" s="85" t="n">
        <x:v>0</x:v>
      </x:c>
    </x:row>
    <x:row r="59" ht="21" customHeight="1">
      <x:c r="A59" s="150"/>
      <x:c r="B59" s="150"/>
      <x:c r="C59" s="23" t="str">
        <x:v>par residual</x:v>
      </x:c>
      <x:c r="D59" s="23" t="str">
        <x:v>USD</x:v>
      </x:c>
      <x:c r="E59" s="85" t="n">
        <x:v>0</x:v>
      </x:c>
      <x:c r="F59" s="85" t="n">
        <x:v>0</x:v>
      </x:c>
      <x:c r="G59" s="85" t="n">
        <x:v>0</x:v>
      </x:c>
      <x:c r="H59" s="85" t="n">
        <x:v>0</x:v>
      </x:c>
      <x:c r="I59" s="85" t="n">
        <x:v>0</x:v>
      </x:c>
      <x:c r="J59" s="85" t="n">
        <x:v>0</x:v>
      </x:c>
      <x:c r="K59" s="85" t="n">
        <x:v>0</x:v>
      </x:c>
      <x:c r="L59" s="85" t="n">
        <x:v>0</x:v>
      </x:c>
      <x:c r="M59" s="85" t="n">
        <x:v>0</x:v>
      </x:c>
      <x:c r="N59" s="85" t="n">
        <x:v>0</x:v>
      </x:c>
      <x:c r="O59" s="85" t="n">
        <x:v>0</x:v>
      </x:c>
      <x:c r="P59" s="85" t="n">
        <x:v>0</x:v>
      </x:c>
      <x:c r="Q59" s="85" t="n">
        <x:v>0</x:v>
      </x:c>
      <x:c r="R59" s="85" t="n">
        <x:v>0</x:v>
      </x:c>
      <x:c r="S59" s="85" t="n">
        <x:v>0</x:v>
      </x:c>
      <x:c r="T59" s="85" t="n">
        <x:v>2.9802322387695312e-8</x:v>
      </x:c>
      <x:c r="U59" s="85" t="n">
        <x:v>-2.9802322387695312e-8</x:v>
      </x:c>
      <x:c r="V59" s="85" t="n">
        <x:v>0</x:v>
      </x:c>
      <x:c r="W59" s="85" t="n">
        <x:v>0</x:v>
      </x:c>
      <x:c r="X59" s="85" t="n">
        <x:v>1.4901161193847656e-8</x:v>
      </x:c>
      <x:c r="Y59" s="85" t="n">
        <x:v>0</x:v>
      </x:c>
      <x:c r="Z59" s="85" t="n">
        <x:v>0</x:v>
      </x:c>
      <x:c r="AA59" s="85" t="n">
        <x:v>0</x:v>
      </x:c>
      <x:c r="AB59" s="85" t="n">
        <x:v>1.4901161193847656e-8</x:v>
      </x:c>
      <x:c r="AC59" s="85" t="n">
        <x:v>-7.450580596923828e-9</x:v>
      </x:c>
      <x:c r="AD59" s="85" t="n">
        <x:v>0</x:v>
      </x:c>
      <x:c r="AE59" s="85" t="n">
        <x:v>-3.725290298461914e-9</x:v>
      </x:c>
      <x:c r="AF59" s="85" t="n">
        <x:v>1.862645149230957e-9</x:v>
      </x:c>
      <x:c r="AG59" s="85" t="n">
        <x:v>0</x:v>
      </x:c>
      <x:c r="AH59" s="85" t="n">
        <x:v>-4.656612873077393e-10</x:v>
      </x:c>
      <x:c r="AI59" s="85" t="n">
        <x:v>0</x:v>
      </x:c>
      <x:c r="AJ59" s="85" t="n">
        <x:v>2.3283064365386963e-10</x:v>
      </x:c>
      <x:c r="AK59" s="85" t="n">
        <x:v>0</x:v>
      </x:c>
      <x:c r="AL59" s="85" t="n">
        <x:v>0</x:v>
      </x:c>
      <x:c r="AM59" s="85" t="n">
        <x:v>-5.820766091346741e-11</x:v>
      </x:c>
      <x:c r="AN59" s="85" t="n">
        <x:v>0</x:v>
      </x:c>
      <x:c r="AO59" s="85" t="n">
        <x:v>0</x:v>
      </x:c>
      <x:c r="AP59" s="85" t="n">
        <x:v>0</x:v>
      </x:c>
      <x:c r="AQ59" s="85" t="n">
        <x:v>0</x:v>
      </x:c>
      <x:c r="AR59" s="85" t="n">
        <x:v>0</x:v>
      </x:c>
      <x:c r="AS59" s="85" t="n">
        <x:v>0</x:v>
      </x:c>
      <x:c r="AT59" s="85" t="n">
        <x:v>0</x:v>
      </x:c>
      <x:c r="AU59" s="85" t="n">
        <x:v>0</x:v>
      </x:c>
      <x:c r="AV59" s="85" t="n">
        <x:v>0</x:v>
      </x:c>
      <x:c r="AW59" s="85" t="n">
        <x:v>0</x:v>
      </x:c>
      <x:c r="AX59" s="85" t="n">
        <x:v>0</x:v>
      </x:c>
      <x:c r="AY59" s="85" t="n">
        <x:v>0</x:v>
      </x:c>
      <x:c r="AZ59" s="85" t="n">
        <x:v>0</x:v>
      </x:c>
    </x:row>
    <x:row r="60" ht="21" customHeight="1">
      <x:c r="A60" s="150"/>
      <x:c r="B60" s="150"/>
      <x:c r="C60" s="23" t="str">
        <x:v>priority violation</x:v>
      </x:c>
      <x:c r="D60" s="23" t="str">
        <x:v>USD</x:v>
      </x:c>
      <x:c r="E60" s="85" t="n">
        <x:v>0</x:v>
      </x:c>
      <x:c r="F60" s="85" t="n">
        <x:v>0</x:v>
      </x:c>
      <x:c r="G60" s="85" t="n">
        <x:v>0</x:v>
      </x:c>
      <x:c r="H60" s="85" t="n">
        <x:v>0</x:v>
      </x:c>
      <x:c r="I60" s="85" t="n">
        <x:v>0</x:v>
      </x:c>
      <x:c r="J60" s="85" t="n">
        <x:v>0</x:v>
      </x:c>
      <x:c r="K60" s="85" t="n">
        <x:v>0</x:v>
      </x:c>
      <x:c r="L60" s="85" t="n">
        <x:v>0</x:v>
      </x:c>
      <x:c r="M60" s="85" t="n">
        <x:v>0</x:v>
      </x:c>
      <x:c r="N60" s="85" t="n">
        <x:v>0</x:v>
      </x:c>
      <x:c r="O60" s="85" t="n">
        <x:v>0</x:v>
      </x:c>
      <x:c r="P60" s="85" t="n">
        <x:v>0</x:v>
      </x:c>
      <x:c r="Q60" s="85" t="n">
        <x:v>0</x:v>
      </x:c>
      <x:c r="R60" s="85" t="n">
        <x:v>0</x:v>
      </x:c>
      <x:c r="S60" s="85" t="n">
        <x:v>0</x:v>
      </x:c>
      <x:c r="T60" s="85" t="n">
        <x:v>0</x:v>
      </x:c>
      <x:c r="U60" s="85" t="n">
        <x:v>0</x:v>
      </x:c>
      <x:c r="V60" s="85" t="n">
        <x:v>0</x:v>
      </x:c>
      <x:c r="W60" s="85" t="n">
        <x:v>0</x:v>
      </x:c>
      <x:c r="X60" s="85" t="n">
        <x:v>0</x:v>
      </x:c>
      <x:c r="Y60" s="85" t="n">
        <x:v>0</x:v>
      </x:c>
      <x:c r="Z60" s="85" t="n">
        <x:v>0</x:v>
      </x:c>
      <x:c r="AA60" s="85" t="n">
        <x:v>0</x:v>
      </x:c>
      <x:c r="AB60" s="85" t="n">
        <x:v>0</x:v>
      </x:c>
      <x:c r="AC60" s="85" t="n">
        <x:v>0</x:v>
      </x:c>
      <x:c r="AD60" s="85" t="n">
        <x:v>0</x:v>
      </x:c>
      <x:c r="AE60" s="85" t="n">
        <x:v>0</x:v>
      </x:c>
      <x:c r="AF60" s="85" t="n">
        <x:v>0</x:v>
      </x:c>
      <x:c r="AG60" s="85" t="n">
        <x:v>0</x:v>
      </x:c>
      <x:c r="AH60" s="85" t="n">
        <x:v>0</x:v>
      </x:c>
      <x:c r="AI60" s="85" t="n">
        <x:v>0</x:v>
      </x:c>
      <x:c r="AJ60" s="85" t="n">
        <x:v>0</x:v>
      </x:c>
      <x:c r="AK60" s="85" t="n">
        <x:v>0</x:v>
      </x:c>
      <x:c r="AL60" s="85" t="n">
        <x:v>0</x:v>
      </x:c>
      <x:c r="AM60" s="85" t="n">
        <x:v>0</x:v>
      </x:c>
      <x:c r="AN60" s="85" t="n">
        <x:v>0</x:v>
      </x:c>
      <x:c r="AO60" s="85" t="n">
        <x:v>0</x:v>
      </x:c>
      <x:c r="AP60" s="85" t="n">
        <x:v>0</x:v>
      </x:c>
      <x:c r="AQ60" s="85" t="n">
        <x:v>0</x:v>
      </x:c>
      <x:c r="AR60" s="85" t="n">
        <x:v>0</x:v>
      </x:c>
      <x:c r="AS60" s="85" t="n">
        <x:v>0</x:v>
      </x:c>
      <x:c r="AT60" s="85" t="n">
        <x:v>0</x:v>
      </x:c>
      <x:c r="AU60" s="85" t="n">
        <x:v>0</x:v>
      </x:c>
      <x:c r="AV60" s="85" t="n">
        <x:v>0</x:v>
      </x:c>
      <x:c r="AW60" s="85" t="n">
        <x:v>0</x:v>
      </x:c>
      <x:c r="AX60" s="85" t="n">
        <x:v>0</x:v>
      </x:c>
      <x:c r="AY60" s="85" t="n">
        <x:v>0</x:v>
      </x:c>
      <x:c r="AZ60" s="85" t="n">
        <x:v>0</x:v>
      </x:c>
    </x:row>
    <x:row r="61">
      <x:c r="A61" s="150"/>
      <x:c r="B61" s="150"/>
      <x:c r="C61" s="150"/>
      <x:c r="D61" s="150"/>
      <x:c r="E61" s="150"/>
      <x:c r="F61" s="150"/>
      <x:c r="G61" s="150"/>
      <x:c r="H61" s="150"/>
      <x:c r="I61" s="150"/>
      <x:c r="J61" s="150"/>
      <x:c r="K61" s="150"/>
      <x:c r="L61" s="150"/>
      <x:c r="M61" s="150"/>
      <x:c r="N61" s="150"/>
      <x:c r="O61" s="150"/>
      <x:c r="P61" s="150"/>
      <x:c r="Q61" s="150"/>
      <x:c r="R61" s="150"/>
      <x:c r="S61" s="150"/>
      <x:c r="T61" s="150"/>
      <x:c r="U61" s="150"/>
      <x:c r="V61" s="150"/>
      <x:c r="W61" s="150"/>
      <x:c r="X61" s="150"/>
      <x:c r="Y61" s="150"/>
      <x:c r="Z61" s="150"/>
      <x:c r="AA61" s="150"/>
      <x:c r="AB61" s="150"/>
      <x:c r="AC61" s="150"/>
      <x:c r="AD61" s="150"/>
      <x:c r="AE61" s="150"/>
      <x:c r="AF61" s="150"/>
      <x:c r="AG61" s="150"/>
      <x:c r="AH61" s="150"/>
      <x:c r="AI61" s="150"/>
      <x:c r="AJ61" s="150"/>
      <x:c r="AK61" s="150"/>
      <x:c r="AL61" s="150"/>
      <x:c r="AM61" s="150"/>
      <x:c r="AN61" s="150"/>
      <x:c r="AO61" s="150"/>
      <x:c r="AP61" s="150"/>
      <x:c r="AQ61" s="150"/>
      <x:c r="AR61" s="150"/>
      <x:c r="AS61" s="150"/>
      <x:c r="AT61" s="150"/>
      <x:c r="AU61" s="150"/>
      <x:c r="AV61" s="150"/>
      <x:c r="AW61" s="150"/>
      <x:c r="AX61" s="150"/>
      <x:c r="AY61" s="150"/>
      <x:c r="AZ61" s="150"/>
    </x:row>
    <x:row r="62">
      <x:c r="A62" s="150"/>
      <x:c r="B62" s="150"/>
      <x:c r="C62" s="150"/>
      <x:c r="D62" s="150"/>
      <x:c r="E62" s="150"/>
      <x:c r="F62" s="150"/>
      <x:c r="G62" s="150"/>
      <x:c r="H62" s="150"/>
      <x:c r="I62" s="150"/>
      <x:c r="J62" s="150"/>
      <x:c r="K62" s="150"/>
      <x:c r="L62" s="150"/>
      <x:c r="M62" s="150"/>
      <x:c r="N62" s="150"/>
      <x:c r="O62" s="150"/>
      <x:c r="P62" s="150"/>
      <x:c r="Q62" s="150"/>
      <x:c r="R62" s="150"/>
      <x:c r="S62" s="150"/>
      <x:c r="T62" s="150"/>
      <x:c r="U62" s="150"/>
      <x:c r="V62" s="150"/>
      <x:c r="W62" s="150"/>
      <x:c r="X62" s="150"/>
      <x:c r="Y62" s="150"/>
      <x:c r="Z62" s="150"/>
      <x:c r="AA62" s="150"/>
      <x:c r="AB62" s="150"/>
      <x:c r="AC62" s="150"/>
      <x:c r="AD62" s="150"/>
      <x:c r="AE62" s="150"/>
      <x:c r="AF62" s="150"/>
      <x:c r="AG62" s="150"/>
      <x:c r="AH62" s="150"/>
      <x:c r="AI62" s="150"/>
      <x:c r="AJ62" s="150"/>
      <x:c r="AK62" s="150"/>
      <x:c r="AL62" s="150"/>
      <x:c r="AM62" s="150"/>
      <x:c r="AN62" s="150"/>
      <x:c r="AO62" s="150"/>
      <x:c r="AP62" s="150"/>
      <x:c r="AQ62" s="150"/>
      <x:c r="AR62" s="150"/>
      <x:c r="AS62" s="150"/>
      <x:c r="AT62" s="150"/>
      <x:c r="AU62" s="150"/>
      <x:c r="AV62" s="150"/>
      <x:c r="AW62" s="150"/>
      <x:c r="AX62" s="150"/>
      <x:c r="AY62" s="150"/>
      <x:c r="AZ62" s="150"/>
    </x:row>
    <x:row r="63" ht="32" customHeight="1">
      <x:c r="A63" s="150"/>
      <x:c r="B63" s="150"/>
      <x:c r="C63" s="154" t="str">
        <x:v>Cash sources</x:v>
      </x:c>
      <x:c r="D63" s="150" t="str">
        <x:v>USD</x:v>
      </x:c>
      <x:c r="E63" s="80" t="n">
        <x:f>E24+E25+E19+E11+E12+E21+E23</x:f>
        <x:v>4145868.6478150687</x:v>
      </x:c>
      <x:c r="F63" s="80" t="n">
        <x:f>F24+F25+F19+F11+F12+F21+F23</x:f>
        <x:v>4174087.5143924644</x:v>
      </x:c>
      <x:c r="G63" s="80" t="n">
        <x:f>G24+G25+G19+G11+G12+G21+G23</x:f>
        <x:v>3982605.866084931</x:v>
      </x:c>
      <x:c r="H63" s="80" t="n">
        <x:f>H24+H25+H19+H11+H12+H21+H23</x:f>
        <x:v>3958318.244734249</x:v>
      </x:c>
      <x:c r="I63" s="80" t="n">
        <x:f>I24+I25+I19+I11+I12+I21+I23</x:f>
        <x:v>7219041.5399575345</x:v>
      </x:c>
      <x:c r="J63" s="80" t="n">
        <x:f>J24+J25+J19+J11+J12+J21+J23</x:f>
        <x:v>7246252.851232875</x:v>
      </x:c>
      <x:c r="K63" s="80" t="n">
        <x:f>K24+K25+K19+K11+K12+K21+K23</x:f>
        <x:v>7116091.7928383555</x:v>
      </x:c>
      <x:c r="L63" s="80" t="n">
        <x:f>L24+L25+L19+L11+L12+L21+L23</x:f>
        <x:v>7139737.467868488</x:v>
      </x:c>
      <x:c r="M63" s="80" t="n">
        <x:f>M24+M25+M19+M11+M12+M21+M23</x:f>
        <x:v>7782179.4429863</x:v>
      </x:c>
      <x:c r="N63" s="80" t="n">
        <x:f>N24+N25+N19+N11+N12+N21+N23</x:f>
        <x:v>7295887.199183315</x:v>
      </x:c>
      <x:c r="O63" s="80" t="n">
        <x:f>O24+O25+O19+O11+O12+O21+O23</x:f>
        <x:v>8536689.163904512</x:v>
      </x:c>
      <x:c r="P63" s="80" t="n">
        <x:f>P24+P25+P19+P11+P12+P21+P23</x:f>
        <x:v>9376428.76015744</x:v>
      </x:c>
      <x:c r="Q63" s="80" t="n">
        <x:f>Q24+Q25+Q19+Q11+Q12+Q21+Q23</x:f>
        <x:v>9866894.227333229</x:v>
      </x:c>
      <x:c r="R63" s="80" t="n">
        <x:f>R24+R25+R19+R11+R12+R21+R23</x:f>
        <x:v>10226750.561777873</x:v>
      </x:c>
      <x:c r="S63" s="80" t="n">
        <x:f>S24+S25+S19+S11+S12+S21+S23</x:f>
        <x:v>15277506.317749208</x:v>
      </x:c>
      <x:c r="T63" s="80" t="n">
        <x:f>T24+T25+T19+T11+T12+T21+T23</x:f>
        <x:v>13164675.462496012</x:v>
      </x:c>
      <x:c r="U63" s="80" t="n">
        <x:f>U24+U25+U19+U11+U12+U21+U23</x:f>
        <x:v>10375013.331698962</x:v>
      </x:c>
      <x:c r="V63" s="80" t="n">
        <x:f>V24+V25+V19+V11+V12+V21+V23</x:f>
        <x:v>19907882.398937907</x:v>
      </x:c>
      <x:c r="W63" s="80" t="n">
        <x:f>W24+W25+W19+W11+W12+W21+W23</x:f>
        <x:v>13061536.26639014</x:v>
      </x:c>
      <x:c r="X63" s="80" t="n">
        <x:f>X24+X25+X19+X11+X12+X21+X23</x:f>
        <x:v>20562207.397867758</x:v>
      </x:c>
      <x:c r="Y63" s="80" t="n">
        <x:f>Y24+Y25+Y19+Y11+Y12+Y21+Y23</x:f>
        <x:v>15349215.543932969</x:v>
      </x:c>
      <x:c r="Z63" s="80" t="n">
        <x:f>Z24+Z25+Z19+Z11+Z12+Z21+Z23</x:f>
        <x:v>12644307.306882096</x:v>
      </x:c>
      <x:c r="AA63" s="80" t="n">
        <x:f>AA24+AA25+AA19+AA11+AA12+AA21+AA23</x:f>
        <x:v>19194353.10570188</x:v>
      </x:c>
      <x:c r="AB63" s="80" t="n">
        <x:f>AB24+AB25+AB19+AB11+AB12+AB21+AB23</x:f>
        <x:v>23828147.613976832</x:v>
      </x:c>
      <x:c r="AC63" s="80" t="n">
        <x:f>AC24+AC25+AC19+AC11+AC12+AC21+AC23</x:f>
        <x:v>13783647.757000897</x:v>
      </x:c>
      <x:c r="AD63" s="80" t="n">
        <x:f>AD24+AD25+AD19+AD11+AD12+AD21+AD23</x:f>
        <x:v>7298221.56539646</x:v>
      </x:c>
      <x:c r="AE63" s="80" t="n">
        <x:f>AE24+AE25+AE19+AE11+AE12+AE21+AE23</x:f>
        <x:v>9423072.27002176</x:v>
      </x:c>
      <x:c r="AF63" s="80" t="n">
        <x:f>AF24+AF25+AF19+AF11+AF12+AF21+AF23</x:f>
        <x:v>12442283.0513533</x:v>
      </x:c>
      <x:c r="AG63" s="80" t="n">
        <x:f>AG24+AG25+AG19+AG11+AG12+AG21+AG23</x:f>
        <x:v>5440694.161440073</x:v>
      </x:c>
      <x:c r="AH63" s="80" t="n">
        <x:f>AH24+AH25+AH19+AH11+AH12+AH21+AH23</x:f>
        <x:v>4577749.01582567</x:v>
      </x:c>
      <x:c r="AI63" s="80" t="n">
        <x:f>AI24+AI25+AI19+AI11+AI12+AI21+AI23</x:f>
        <x:v>855407.7131353023</x:v>
      </x:c>
      <x:c r="AJ63" s="80" t="n">
        <x:f>AJ24+AJ25+AJ19+AJ11+AJ12+AJ21+AJ23</x:f>
        <x:v>1645573.6049608998</x:v>
      </x:c>
      <x:c r="AK63" s="80" t="n">
        <x:f>AK24+AK25+AK19+AK11+AK12+AK21+AK23</x:f>
        <x:v>17315.089373738698</x:v>
      </x:c>
      <x:c r="AL63" s="80" t="n">
        <x:f>AL24+AL25+AL19+AL11+AL12+AL21+AL23</x:f>
        <x:v>17507.47925566913</x:v>
      </x:c>
      <x:c r="AM63" s="80" t="n">
        <x:f>AM24+AM25+AM19+AM11+AM12+AM21+AM23</x:f>
        <x:v>933231.1268807302</x:v>
      </x:c>
      <x:c r="AN63" s="80" t="n">
        <x:f>AN24+AN25+AN19+AN11+AN12+AN21+AN23</x:f>
        <x:v>325655.87482294516</x:v>
      </x:c>
      <x:c r="AO63" s="80" t="n">
        <x:f>AO24+AO25+AO19+AO11+AO12+AO21+AO23</x:f>
        <x:v>0</x:v>
      </x:c>
      <x:c r="AP63" s="80" t="n">
        <x:f>AP24+AP25+AP19+AP11+AP12+AP21+AP23</x:f>
        <x:v>0</x:v>
      </x:c>
      <x:c r="AQ63" s="80" t="n">
        <x:f>AQ24+AQ25+AQ19+AQ11+AQ12+AQ21+AQ23</x:f>
        <x:v>0</x:v>
      </x:c>
      <x:c r="AR63" s="80" t="n">
        <x:f>AR24+AR25+AR19+AR11+AR12+AR21+AR23</x:f>
        <x:v>0</x:v>
      </x:c>
      <x:c r="AS63" s="80" t="n">
        <x:f>AS24+AS25+AS19+AS11+AS12+AS21+AS23</x:f>
        <x:v>0</x:v>
      </x:c>
      <x:c r="AT63" s="80" t="n">
        <x:f>AT24+AT25+AT19+AT11+AT12+AT21+AT23</x:f>
        <x:v>0</x:v>
      </x:c>
      <x:c r="AU63" s="80" t="n">
        <x:f>AU24+AU25+AU19+AU11+AU12+AU21+AU23</x:f>
        <x:v>0</x:v>
      </x:c>
      <x:c r="AV63" s="80" t="n">
        <x:f>AV24+AV25+AV19+AV11+AV12+AV21+AV23</x:f>
        <x:v>0</x:v>
      </x:c>
      <x:c r="AW63" s="80" t="n">
        <x:f>AW24+AW25+AW19+AW11+AW12+AW21+AW23</x:f>
        <x:v>0</x:v>
      </x:c>
      <x:c r="AX63" s="80" t="n">
        <x:f>AX24+AX25+AX19+AX11+AX12+AX21+AX23</x:f>
        <x:v>0</x:v>
      </x:c>
      <x:c r="AY63" s="80" t="n">
        <x:f>AY24+AY25+AY19+AY11+AY12+AY21+AY23</x:f>
        <x:v>0</x:v>
      </x:c>
      <x:c r="AZ63" s="80" t="n">
        <x:f>AZ24+AZ25+AZ19+AZ11+AZ12+AZ21+AZ23</x:f>
        <x:v>0</x:v>
      </x:c>
    </x:row>
    <x:row r="64" ht="32" customHeight="1">
      <x:c r="A64" s="150"/>
      <x:c r="B64" s="150"/>
      <x:c r="C64" s="154" t="str">
        <x:v>Cash uses</x:v>
      </x:c>
      <x:c r="D64" s="150" t="str">
        <x:v>USD</x:v>
      </x:c>
      <x:c r="E64" s="80" t="n">
        <x:f>E36+E29+E33+E39+E50+E51+E54+E55+E56+E57</x:f>
        <x:v>4145868.6478150683</x:v>
      </x:c>
      <x:c r="F64" s="80" t="n">
        <x:f>F36+F29+F33+F39+F50+F51+F54+F55+F56+F57</x:f>
        <x:v>4174087.5143924644</x:v>
      </x:c>
      <x:c r="G64" s="80" t="n">
        <x:f>G36+G29+G33+G39+G50+G51+G54+G55+G56+G57</x:f>
        <x:v>3982605.866084931</x:v>
      </x:c>
      <x:c r="H64" s="80" t="n">
        <x:f>H36+H29+H33+H39+H50+H51+H54+H55+H56+H57</x:f>
        <x:v>3958318.244734249</x:v>
      </x:c>
      <x:c r="I64" s="80" t="n">
        <x:f>I36+I29+I33+I39+I50+I51+I54+I55+I56+I57</x:f>
        <x:v>7219041.5399575345</x:v>
      </x:c>
      <x:c r="J64" s="80" t="n">
        <x:f>J36+J29+J33+J39+J50+J51+J54+J55+J56+J57</x:f>
        <x:v>7246252.851232875</x:v>
      </x:c>
      <x:c r="K64" s="80" t="n">
        <x:f>K36+K29+K33+K39+K50+K51+K54+K55+K56+K57</x:f>
        <x:v>7116091.7928383555</x:v>
      </x:c>
      <x:c r="L64" s="80" t="n">
        <x:f>L36+L29+L33+L39+L50+L51+L54+L55+L56+L57</x:f>
        <x:v>7139737.467868488</x:v>
      </x:c>
      <x:c r="M64" s="80" t="n">
        <x:f>M36+M29+M33+M39+M50+M51+M54+M55+M56+M57</x:f>
        <x:v>7782179.4429863</x:v>
      </x:c>
      <x:c r="N64" s="80" t="n">
        <x:f>N36+N29+N33+N39+N50+N51+N54+N55+N56+N57</x:f>
        <x:v>7295887.199183314</x:v>
      </x:c>
      <x:c r="O64" s="80" t="n">
        <x:f>O36+O29+O33+O39+O50+O51+O54+O55+O56+O57</x:f>
        <x:v>8536689.163904512</x:v>
      </x:c>
      <x:c r="P64" s="80" t="n">
        <x:f>P36+P29+P33+P39+P50+P51+P54+P55+P56+P57</x:f>
        <x:v>9376428.76015744</x:v>
      </x:c>
      <x:c r="Q64" s="80" t="n">
        <x:f>Q36+Q29+Q33+Q39+Q50+Q51+Q54+Q55+Q56+Q57</x:f>
        <x:v>9866894.22733323</x:v>
      </x:c>
      <x:c r="R64" s="80" t="n">
        <x:f>R36+R29+R33+R39+R50+R51+R54+R55+R56+R57</x:f>
        <x:v>10226750.561777871</x:v>
      </x:c>
      <x:c r="S64" s="80" t="n">
        <x:f>S36+S29+S33+S39+S50+S51+S54+S55+S56+S57</x:f>
        <x:v>15277506.317749208</x:v>
      </x:c>
      <x:c r="T64" s="80" t="n">
        <x:f>T36+T29+T33+T39+T50+T51+T54+T55+T56+T57</x:f>
        <x:v>13164675.462496012</x:v>
      </x:c>
      <x:c r="U64" s="80" t="n">
        <x:f>U36+U29+U33+U39+U50+U51+U54+U55+U56+U57</x:f>
        <x:v>10375013.331698962</x:v>
      </x:c>
      <x:c r="V64" s="80" t="n">
        <x:f>V36+V29+V33+V39+V50+V51+V54+V55+V56+V57</x:f>
        <x:v>19907882.398937907</x:v>
      </x:c>
      <x:c r="W64" s="80" t="n">
        <x:f>W36+W29+W33+W39+W50+W51+W54+W55+W56+W57</x:f>
        <x:v>13061536.26639014</x:v>
      </x:c>
      <x:c r="X64" s="80" t="n">
        <x:f>X36+X29+X33+X39+X50+X51+X54+X55+X56+X57</x:f>
        <x:v>20562207.397867758</x:v>
      </x:c>
      <x:c r="Y64" s="80" t="n">
        <x:f>Y36+Y29+Y33+Y39+Y50+Y51+Y54+Y55+Y56+Y57</x:f>
        <x:v>15349215.543932967</x:v>
      </x:c>
      <x:c r="Z64" s="80" t="n">
        <x:f>Z36+Z29+Z33+Z39+Z50+Z51+Z54+Z55+Z56+Z57</x:f>
        <x:v>12644307.306882096</x:v>
      </x:c>
      <x:c r="AA64" s="80" t="n">
        <x:f>AA36+AA29+AA33+AA39+AA50+AA51+AA54+AA55+AA56+AA57</x:f>
        <x:v>19194353.10570188</x:v>
      </x:c>
      <x:c r="AB64" s="80" t="n">
        <x:f>AB36+AB29+AB33+AB39+AB50+AB51+AB54+AB55+AB56+AB57</x:f>
        <x:v>23828147.613976832</x:v>
      </x:c>
      <x:c r="AC64" s="80" t="n">
        <x:f>AC36+AC29+AC33+AC39+AC50+AC51+AC54+AC55+AC56+AC57</x:f>
        <x:v>13783647.757000897</x:v>
      </x:c>
      <x:c r="AD64" s="80" t="n">
        <x:f>AD36+AD29+AD33+AD39+AD50+AD51+AD54+AD55+AD56+AD57</x:f>
        <x:v>7298221.56539646</x:v>
      </x:c>
      <x:c r="AE64" s="80" t="n">
        <x:f>AE36+AE29+AE33+AE39+AE50+AE51+AE54+AE55+AE56+AE57</x:f>
        <x:v>9423072.27002176</x:v>
      </x:c>
      <x:c r="AF64" s="80" t="n">
        <x:f>AF36+AF29+AF33+AF39+AF50+AF51+AF54+AF55+AF56+AF57</x:f>
        <x:v>12442283.0513533</x:v>
      </x:c>
      <x:c r="AG64" s="80" t="n">
        <x:f>AG36+AG29+AG33+AG39+AG50+AG51+AG54+AG55+AG56+AG57</x:f>
        <x:v>5440694.161440073</x:v>
      </x:c>
      <x:c r="AH64" s="80" t="n">
        <x:f>AH36+AH29+AH33+AH39+AH50+AH51+AH54+AH55+AH56+AH57</x:f>
        <x:v>4577749.01582567</x:v>
      </x:c>
      <x:c r="AI64" s="80" t="n">
        <x:f>AI36+AI29+AI33+AI39+AI50+AI51+AI54+AI55+AI56+AI57</x:f>
        <x:v>855407.7131353023</x:v>
      </x:c>
      <x:c r="AJ64" s="80" t="n">
        <x:f>AJ36+AJ29+AJ33+AJ39+AJ50+AJ51+AJ54+AJ55+AJ56+AJ57</x:f>
        <x:v>1645573.6049608998</x:v>
      </x:c>
      <x:c r="AK64" s="80" t="n">
        <x:f>AK36+AK29+AK33+AK39+AK50+AK51+AK54+AK55+AK56+AK57</x:f>
        <x:v>17315.089373738698</x:v>
      </x:c>
      <x:c r="AL64" s="80" t="n">
        <x:f>AL36+AL29+AL33+AL39+AL50+AL51+AL54+AL55+AL56+AL57</x:f>
        <x:v>17507.47925566913</x:v>
      </x:c>
      <x:c r="AM64" s="80" t="n">
        <x:f>AM36+AM29+AM33+AM39+AM50+AM51+AM54+AM55+AM56+AM57</x:f>
        <x:v>933231.1268807302</x:v>
      </x:c>
      <x:c r="AN64" s="80" t="n">
        <x:f>AN36+AN29+AN33+AN39+AN50+AN51+AN54+AN55+AN56+AN57</x:f>
        <x:v>325655.87482294516</x:v>
      </x:c>
      <x:c r="AO64" s="80" t="n">
        <x:f>AO36+AO29+AO33+AO39+AO50+AO51+AO54+AO55+AO56+AO57</x:f>
        <x:v>0</x:v>
      </x:c>
      <x:c r="AP64" s="80" t="n">
        <x:f>AP36+AP29+AP33+AP39+AP50+AP51+AP54+AP55+AP56+AP57</x:f>
        <x:v>0</x:v>
      </x:c>
      <x:c r="AQ64" s="80" t="n">
        <x:f>AQ36+AQ29+AQ33+AQ39+AQ50+AQ51+AQ54+AQ55+AQ56+AQ57</x:f>
        <x:v>0</x:v>
      </x:c>
      <x:c r="AR64" s="80" t="n">
        <x:f>AR36+AR29+AR33+AR39+AR50+AR51+AR54+AR55+AR56+AR57</x:f>
        <x:v>0</x:v>
      </x:c>
      <x:c r="AS64" s="80" t="n">
        <x:f>AS36+AS29+AS33+AS39+AS50+AS51+AS54+AS55+AS56+AS57</x:f>
        <x:v>0</x:v>
      </x:c>
      <x:c r="AT64" s="80" t="n">
        <x:f>AT36+AT29+AT33+AT39+AT50+AT51+AT54+AT55+AT56+AT57</x:f>
        <x:v>0</x:v>
      </x:c>
      <x:c r="AU64" s="80" t="n">
        <x:f>AU36+AU29+AU33+AU39+AU50+AU51+AU54+AU55+AU56+AU57</x:f>
        <x:v>0</x:v>
      </x:c>
      <x:c r="AV64" s="80" t="n">
        <x:f>AV36+AV29+AV33+AV39+AV50+AV51+AV54+AV55+AV56+AV57</x:f>
        <x:v>0</x:v>
      </x:c>
      <x:c r="AW64" s="80" t="n">
        <x:f>AW36+AW29+AW33+AW39+AW50+AW51+AW54+AW55+AW56+AW57</x:f>
        <x:v>0</x:v>
      </x:c>
      <x:c r="AX64" s="80" t="n">
        <x:f>AX36+AX29+AX33+AX39+AX50+AX51+AX54+AX55+AX56+AX57</x:f>
        <x:v>0</x:v>
      </x:c>
      <x:c r="AY64" s="80" t="n">
        <x:f>AY36+AY29+AY33+AY39+AY50+AY51+AY54+AY55+AY56+AY57</x:f>
        <x:v>0</x:v>
      </x:c>
      <x:c r="AZ64" s="80" t="n">
        <x:f>AZ36+AZ29+AZ33+AZ39+AZ50+AZ51+AZ54+AZ55+AZ56+AZ57</x:f>
        <x:v>0</x:v>
      </x:c>
    </x:row>
    <x:row r="65" ht="32" customHeight="1">
      <x:c r="A65" s="150"/>
      <x:c r="B65" s="150"/>
      <x:c r="C65" s="154" t="str">
        <x:v>Cash conservation (Excel)</x:v>
      </x:c>
      <x:c r="D65" s="150" t="str">
        <x:v>USD</x:v>
      </x:c>
      <x:c r="E65" s="80" t="n">
        <x:f>E63-E64</x:f>
        <x:v>4.656612873077393e-10</x:v>
      </x:c>
      <x:c r="F65" s="80" t="n">
        <x:f>F63-F64</x:f>
        <x:v>0</x:v>
      </x:c>
      <x:c r="G65" s="80" t="n">
        <x:f>G63-G64</x:f>
        <x:v>0</x:v>
      </x:c>
      <x:c r="H65" s="80" t="n">
        <x:f>H63-H64</x:f>
        <x:v>0</x:v>
      </x:c>
      <x:c r="I65" s="80" t="n">
        <x:f>I63-I64</x:f>
        <x:v>0</x:v>
      </x:c>
      <x:c r="J65" s="80" t="n">
        <x:f>J63-J64</x:f>
        <x:v>0</x:v>
      </x:c>
      <x:c r="K65" s="80" t="n">
        <x:f>K63-K64</x:f>
        <x:v>0</x:v>
      </x:c>
      <x:c r="L65" s="80" t="n">
        <x:f>L63-L64</x:f>
        <x:v>0</x:v>
      </x:c>
      <x:c r="M65" s="80" t="n">
        <x:f>M63-M64</x:f>
        <x:v>0</x:v>
      </x:c>
      <x:c r="N65" s="80" t="n">
        <x:f>N63-N64</x:f>
        <x:v>9.313225746154785e-10</x:v>
      </x:c>
      <x:c r="O65" s="80" t="n">
        <x:f>O63-O64</x:f>
        <x:v>0</x:v>
      </x:c>
      <x:c r="P65" s="80" t="n">
        <x:f>P63-P64</x:f>
        <x:v>0</x:v>
      </x:c>
      <x:c r="Q65" s="80" t="n">
        <x:f>Q63-Q64</x:f>
        <x:v>-1.862645149230957e-9</x:v>
      </x:c>
      <x:c r="R65" s="80" t="n">
        <x:f>R63-R64</x:f>
        <x:v>1.862645149230957e-9</x:v>
      </x:c>
      <x:c r="S65" s="80" t="n">
        <x:f>S63-S64</x:f>
        <x:v>0</x:v>
      </x:c>
      <x:c r="T65" s="80" t="n">
        <x:f>T63-T64</x:f>
        <x:v>0</x:v>
      </x:c>
      <x:c r="U65" s="80" t="n">
        <x:f>U63-U64</x:f>
        <x:v>0</x:v>
      </x:c>
      <x:c r="V65" s="80" t="n">
        <x:f>V63-V64</x:f>
        <x:v>0</x:v>
      </x:c>
      <x:c r="W65" s="80" t="n">
        <x:f>W63-W64</x:f>
        <x:v>0</x:v>
      </x:c>
      <x:c r="X65" s="80" t="n">
        <x:f>X63-X64</x:f>
        <x:v>0</x:v>
      </x:c>
      <x:c r="Y65" s="80" t="n">
        <x:f>Y63-Y64</x:f>
        <x:v>1.862645149230957e-9</x:v>
      </x:c>
      <x:c r="Z65" s="80" t="n">
        <x:f>Z63-Z64</x:f>
        <x:v>0</x:v>
      </x:c>
      <x:c r="AA65" s="80" t="n">
        <x:f>AA63-AA64</x:f>
        <x:v>0</x:v>
      </x:c>
      <x:c r="AB65" s="80" t="n">
        <x:f>AB63-AB64</x:f>
        <x:v>0</x:v>
      </x:c>
      <x:c r="AC65" s="80" t="n">
        <x:f>AC63-AC64</x:f>
        <x:v>0</x:v>
      </x:c>
      <x:c r="AD65" s="80" t="n">
        <x:f>AD63-AD64</x:f>
        <x:v>0</x:v>
      </x:c>
      <x:c r="AE65" s="80" t="n">
        <x:f>AE63-AE64</x:f>
        <x:v>0</x:v>
      </x:c>
      <x:c r="AF65" s="80" t="n">
        <x:f>AF63-AF64</x:f>
        <x:v>0</x:v>
      </x:c>
      <x:c r="AG65" s="80" t="n">
        <x:f>AG63-AG64</x:f>
        <x:v>0</x:v>
      </x:c>
      <x:c r="AH65" s="80" t="n">
        <x:f>AH63-AH64</x:f>
        <x:v>0</x:v>
      </x:c>
      <x:c r="AI65" s="80" t="n">
        <x:f>AI63-AI64</x:f>
        <x:v>0</x:v>
      </x:c>
      <x:c r="AJ65" s="80" t="n">
        <x:f>AJ63-AJ64</x:f>
        <x:v>0</x:v>
      </x:c>
      <x:c r="AK65" s="80" t="n">
        <x:f>AK63-AK64</x:f>
        <x:v>0</x:v>
      </x:c>
      <x:c r="AL65" s="80" t="n">
        <x:f>AL63-AL64</x:f>
        <x:v>0</x:v>
      </x:c>
      <x:c r="AM65" s="80" t="n">
        <x:f>AM63-AM64</x:f>
        <x:v>0</x:v>
      </x:c>
      <x:c r="AN65" s="80" t="n">
        <x:f>AN63-AN64</x:f>
        <x:v>0</x:v>
      </x:c>
      <x:c r="AO65" s="80" t="n">
        <x:f>AO63-AO64</x:f>
        <x:v>0</x:v>
      </x:c>
      <x:c r="AP65" s="80" t="n">
        <x:f>AP63-AP64</x:f>
        <x:v>0</x:v>
      </x:c>
      <x:c r="AQ65" s="80" t="n">
        <x:f>AQ63-AQ64</x:f>
        <x:v>0</x:v>
      </x:c>
      <x:c r="AR65" s="80" t="n">
        <x:f>AR63-AR64</x:f>
        <x:v>0</x:v>
      </x:c>
      <x:c r="AS65" s="80" t="n">
        <x:f>AS63-AS64</x:f>
        <x:v>0</x:v>
      </x:c>
      <x:c r="AT65" s="80" t="n">
        <x:f>AT63-AT64</x:f>
        <x:v>0</x:v>
      </x:c>
      <x:c r="AU65" s="80" t="n">
        <x:f>AU63-AU64</x:f>
        <x:v>0</x:v>
      </x:c>
      <x:c r="AV65" s="80" t="n">
        <x:f>AV63-AV64</x:f>
        <x:v>0</x:v>
      </x:c>
      <x:c r="AW65" s="80" t="n">
        <x:f>AW63-AW64</x:f>
        <x:v>0</x:v>
      </x:c>
      <x:c r="AX65" s="80" t="n">
        <x:f>AX63-AX64</x:f>
        <x:v>0</x:v>
      </x:c>
      <x:c r="AY65" s="80" t="n">
        <x:f>AY63-AY64</x:f>
        <x:v>0</x:v>
      </x:c>
      <x:c r="AZ65" s="80" t="n">
        <x:f>AZ63-AZ64</x:f>
        <x:v>0</x:v>
      </x:c>
    </x:row>
    <x:row r="66" ht="32" customHeight="1">
      <x:c r="A66" s="150"/>
      <x:c r="B66" s="150"/>
      <x:c r="C66" s="154" t="str">
        <x:v>Collateral par roll-forward (Excel)</x:v>
      </x:c>
      <x:c r="D66" s="150" t="str">
        <x:v>USD</x:v>
      </x:c>
      <x:c r="E66" s="80" t="n">
        <x:f>E8-E10-E11-E12-E13+E14-E15</x:f>
        <x:v>0</x:v>
      </x:c>
      <x:c r="F66" s="80" t="n">
        <x:f>F8-F10-F11-F12-F13+F14-F15</x:f>
        <x:v>0</x:v>
      </x:c>
      <x:c r="G66" s="80" t="n">
        <x:f>G8-G10-G11-G12-G13+G14-G15</x:f>
        <x:v>0</x:v>
      </x:c>
      <x:c r="H66" s="80" t="n">
        <x:f>H8-H10-H11-H12-H13+H14-H15</x:f>
        <x:v>0</x:v>
      </x:c>
      <x:c r="I66" s="80" t="n">
        <x:f>I8-I10-I11-I12-I13+I14-I15</x:f>
        <x:v>0</x:v>
      </x:c>
      <x:c r="J66" s="80" t="n">
        <x:f>J8-J10-J11-J12-J13+J14-J15</x:f>
        <x:v>0</x:v>
      </x:c>
      <x:c r="K66" s="80" t="n">
        <x:f>K8-K10-K11-K12-K13+K14-K15</x:f>
        <x:v>0</x:v>
      </x:c>
      <x:c r="L66" s="80" t="n">
        <x:f>L8-L10-L11-L12-L13+L14-L15</x:f>
        <x:v>0</x:v>
      </x:c>
      <x:c r="M66" s="80" t="n">
        <x:f>M8-M10-M11-M12-M13+M14-M15</x:f>
        <x:v>0</x:v>
      </x:c>
      <x:c r="N66" s="80" t="n">
        <x:f>N8-N10-N11-N12-N13+N14-N15</x:f>
        <x:v>0</x:v>
      </x:c>
      <x:c r="O66" s="80" t="n">
        <x:f>O8-O10-O11-O12-O13+O14-O15</x:f>
        <x:v>0</x:v>
      </x:c>
      <x:c r="P66" s="80" t="n">
        <x:f>P8-P10-P11-P12-P13+P14-P15</x:f>
        <x:v>0</x:v>
      </x:c>
      <x:c r="Q66" s="80" t="n">
        <x:f>Q8-Q10-Q11-Q12-Q13+Q14-Q15</x:f>
        <x:v>0</x:v>
      </x:c>
      <x:c r="R66" s="80" t="n">
        <x:f>R8-R10-R11-R12-R13+R14-R15</x:f>
        <x:v>0</x:v>
      </x:c>
      <x:c r="S66" s="80" t="n">
        <x:f>S8-S10-S11-S12-S13+S14-S15</x:f>
        <x:v>0</x:v>
      </x:c>
      <x:c r="T66" s="80" t="n">
        <x:f>T8-T10-T11-T12-T13+T14-T15</x:f>
        <x:v>2.9802322387695312e-8</x:v>
      </x:c>
      <x:c r="U66" s="80" t="n">
        <x:f>U8-U10-U11-U12-U13+U14-U15</x:f>
        <x:v>-2.9802322387695312e-8</x:v>
      </x:c>
      <x:c r="V66" s="80" t="n">
        <x:f>V8-V10-V11-V12-V13+V14-V15</x:f>
        <x:v>0</x:v>
      </x:c>
      <x:c r="W66" s="80" t="n">
        <x:f>W8-W10-W11-W12-W13+W14-W15</x:f>
        <x:v>0</x:v>
      </x:c>
      <x:c r="X66" s="80" t="n">
        <x:f>X8-X10-X11-X12-X13+X14-X15</x:f>
        <x:v>1.4901161193847656e-8</x:v>
      </x:c>
      <x:c r="Y66" s="80" t="n">
        <x:f>Y8-Y10-Y11-Y12-Y13+Y14-Y15</x:f>
        <x:v>0</x:v>
      </x:c>
      <x:c r="Z66" s="80" t="n">
        <x:f>Z8-Z10-Z11-Z12-Z13+Z14-Z15</x:f>
        <x:v>0</x:v>
      </x:c>
      <x:c r="AA66" s="80" t="n">
        <x:f>AA8-AA10-AA11-AA12-AA13+AA14-AA15</x:f>
        <x:v>0</x:v>
      </x:c>
      <x:c r="AB66" s="80" t="n">
        <x:f>AB8-AB10-AB11-AB12-AB13+AB14-AB15</x:f>
        <x:v>1.4901161193847656e-8</x:v>
      </x:c>
      <x:c r="AC66" s="80" t="n">
        <x:f>AC8-AC10-AC11-AC12-AC13+AC14-AC15</x:f>
        <x:v>-7.450580596923828e-9</x:v>
      </x:c>
      <x:c r="AD66" s="80" t="n">
        <x:f>AD8-AD10-AD11-AD12-AD13+AD14-AD15</x:f>
        <x:v>0</x:v>
      </x:c>
      <x:c r="AE66" s="80" t="n">
        <x:f>AE8-AE10-AE11-AE12-AE13+AE14-AE15</x:f>
        <x:v>-3.725290298461914e-9</x:v>
      </x:c>
      <x:c r="AF66" s="80" t="n">
        <x:f>AF8-AF10-AF11-AF12-AF13+AF14-AF15</x:f>
        <x:v>1.862645149230957e-9</x:v>
      </x:c>
      <x:c r="AG66" s="80" t="n">
        <x:f>AG8-AG10-AG11-AG12-AG13+AG14-AG15</x:f>
        <x:v>0</x:v>
      </x:c>
      <x:c r="AH66" s="80" t="n">
        <x:f>AH8-AH10-AH11-AH12-AH13+AH14-AH15</x:f>
        <x:v>-4.656612873077393e-10</x:v>
      </x:c>
      <x:c r="AI66" s="80" t="n">
        <x:f>AI8-AI10-AI11-AI12-AI13+AI14-AI15</x:f>
        <x:v>0</x:v>
      </x:c>
      <x:c r="AJ66" s="80" t="n">
        <x:f>AJ8-AJ10-AJ11-AJ12-AJ13+AJ14-AJ15</x:f>
        <x:v>2.3283064365386963e-10</x:v>
      </x:c>
      <x:c r="AK66" s="80" t="n">
        <x:f>AK8-AK10-AK11-AK12-AK13+AK14-AK15</x:f>
        <x:v>0</x:v>
      </x:c>
      <x:c r="AL66" s="80" t="n">
        <x:f>AL8-AL10-AL11-AL12-AL13+AL14-AL15</x:f>
        <x:v>0</x:v>
      </x:c>
      <x:c r="AM66" s="80" t="n">
        <x:f>AM8-AM10-AM11-AM12-AM13+AM14-AM15</x:f>
        <x:v>-5.820766091346741e-11</x:v>
      </x:c>
      <x:c r="AN66" s="80" t="n">
        <x:f>AN8-AN10-AN11-AN12-AN13+AN14-AN15</x:f>
        <x:v>0</x:v>
      </x:c>
      <x:c r="AO66" s="80" t="n">
        <x:f>AO8-AO10-AO11-AO12-AO13+AO14-AO15</x:f>
        <x:v>0</x:v>
      </x:c>
      <x:c r="AP66" s="80" t="n">
        <x:f>AP8-AP10-AP11-AP12-AP13+AP14-AP15</x:f>
        <x:v>0</x:v>
      </x:c>
      <x:c r="AQ66" s="80" t="n">
        <x:f>AQ8-AQ10-AQ11-AQ12-AQ13+AQ14-AQ15</x:f>
        <x:v>0</x:v>
      </x:c>
      <x:c r="AR66" s="80" t="n">
        <x:f>AR8-AR10-AR11-AR12-AR13+AR14-AR15</x:f>
        <x:v>0</x:v>
      </x:c>
      <x:c r="AS66" s="80" t="n">
        <x:f>AS8-AS10-AS11-AS12-AS13+AS14-AS15</x:f>
        <x:v>0</x:v>
      </x:c>
      <x:c r="AT66" s="80" t="n">
        <x:f>AT8-AT10-AT11-AT12-AT13+AT14-AT15</x:f>
        <x:v>0</x:v>
      </x:c>
      <x:c r="AU66" s="80" t="n">
        <x:f>AU8-AU10-AU11-AU12-AU13+AU14-AU15</x:f>
        <x:v>0</x:v>
      </x:c>
      <x:c r="AV66" s="80" t="n">
        <x:f>AV8-AV10-AV11-AV12-AV13+AV14-AV15</x:f>
        <x:v>0</x:v>
      </x:c>
      <x:c r="AW66" s="80" t="n">
        <x:f>AW8-AW10-AW11-AW12-AW13+AW14-AW15</x:f>
        <x:v>0</x:v>
      </x:c>
      <x:c r="AX66" s="80" t="n">
        <x:f>AX8-AX10-AX11-AX12-AX13+AX14-AX15</x:f>
        <x:v>0</x:v>
      </x:c>
      <x:c r="AY66" s="80" t="n">
        <x:f>AY8-AY10-AY11-AY12-AY13+AY14-AY15</x:f>
        <x:v>0</x:v>
      </x:c>
      <x:c r="AZ66" s="80" t="n">
        <x:f>AZ8-AZ10-AZ11-AZ12-AZ13+AZ14-AZ15</x:f>
        <x:v>0</x:v>
      </x:c>
    </x:row>
    <x:row r="67" ht="32" customHeight="1">
      <x:c r="A67" s="150"/>
      <x:c r="B67" s="150"/>
      <x:c r="C67" s="154" t="str">
        <x:v>Senior debt roll-forward (Excel)</x:v>
      </x:c>
      <x:c r="D67" s="150" t="str">
        <x:v>USD</x:v>
      </x:c>
      <x:c r="E67" s="80" t="n">
        <x:f>E26-E50-E52</x:f>
        <x:v>0</x:v>
      </x:c>
      <x:c r="F67" s="80" t="n">
        <x:f>F26-F50-F52</x:f>
        <x:v>0</x:v>
      </x:c>
      <x:c r="G67" s="80" t="n">
        <x:f>G26-G50-G52</x:f>
        <x:v>0</x:v>
      </x:c>
      <x:c r="H67" s="80" t="n">
        <x:f>H26-H50-H52</x:f>
        <x:v>0</x:v>
      </x:c>
      <x:c r="I67" s="80" t="n">
        <x:f>I26-I50-I52</x:f>
        <x:v>0</x:v>
      </x:c>
      <x:c r="J67" s="80" t="n">
        <x:f>J26-J50-J52</x:f>
        <x:v>0</x:v>
      </x:c>
      <x:c r="K67" s="80" t="n">
        <x:f>K26-K50-K52</x:f>
        <x:v>0</x:v>
      </x:c>
      <x:c r="L67" s="80" t="n">
        <x:f>L26-L50-L52</x:f>
        <x:v>0</x:v>
      </x:c>
      <x:c r="M67" s="80" t="n">
        <x:f>M26-M50-M52</x:f>
        <x:v>0</x:v>
      </x:c>
      <x:c r="N67" s="80" t="n">
        <x:f>N26-N50-N52</x:f>
        <x:v>0</x:v>
      </x:c>
      <x:c r="O67" s="80" t="n">
        <x:f>O26-O50-O52</x:f>
        <x:v>0</x:v>
      </x:c>
      <x:c r="P67" s="80" t="n">
        <x:f>P26-P50-P52</x:f>
        <x:v>0</x:v>
      </x:c>
      <x:c r="Q67" s="80" t="n">
        <x:f>Q26-Q50-Q52</x:f>
        <x:v>0</x:v>
      </x:c>
      <x:c r="R67" s="80" t="n">
        <x:f>R26-R50-R52</x:f>
        <x:v>0</x:v>
      </x:c>
      <x:c r="S67" s="80" t="n">
        <x:f>S26-S50-S52</x:f>
        <x:v>0</x:v>
      </x:c>
      <x:c r="T67" s="80" t="n">
        <x:f>T26-T50-T52</x:f>
        <x:v>0</x:v>
      </x:c>
      <x:c r="U67" s="80" t="n">
        <x:f>U26-U50-U52</x:f>
        <x:v>0</x:v>
      </x:c>
      <x:c r="V67" s="80" t="n">
        <x:f>V26-V50-V52</x:f>
        <x:v>0</x:v>
      </x:c>
      <x:c r="W67" s="80" t="n">
        <x:f>W26-W50-W52</x:f>
        <x:v>0</x:v>
      </x:c>
      <x:c r="X67" s="80" t="n">
        <x:f>X26-X50-X52</x:f>
        <x:v>0</x:v>
      </x:c>
      <x:c r="Y67" s="80" t="n">
        <x:f>Y26-Y50-Y52</x:f>
        <x:v>0</x:v>
      </x:c>
      <x:c r="Z67" s="80" t="n">
        <x:f>Z26-Z50-Z52</x:f>
        <x:v>0</x:v>
      </x:c>
      <x:c r="AA67" s="80" t="n">
        <x:f>AA26-AA50-AA52</x:f>
        <x:v>0</x:v>
      </x:c>
      <x:c r="AB67" s="80" t="n">
        <x:f>AB26-AB50-AB52</x:f>
        <x:v>0</x:v>
      </x:c>
      <x:c r="AC67" s="80" t="n">
        <x:f>AC26-AC50-AC52</x:f>
        <x:v>0</x:v>
      </x:c>
      <x:c r="AD67" s="80" t="n">
        <x:f>AD26-AD50-AD52</x:f>
        <x:v>0</x:v>
      </x:c>
      <x:c r="AE67" s="80" t="n">
        <x:f>AE26-AE50-AE52</x:f>
        <x:v>0</x:v>
      </x:c>
      <x:c r="AF67" s="80" t="n">
        <x:f>AF26-AF50-AF52</x:f>
        <x:v>0</x:v>
      </x:c>
      <x:c r="AG67" s="80" t="n">
        <x:f>AG26-AG50-AG52</x:f>
        <x:v>0</x:v>
      </x:c>
      <x:c r="AH67" s="80" t="n">
        <x:f>AH26-AH50-AH52</x:f>
        <x:v>0</x:v>
      </x:c>
      <x:c r="AI67" s="80" t="n">
        <x:f>AI26-AI50-AI52</x:f>
        <x:v>0</x:v>
      </x:c>
      <x:c r="AJ67" s="80" t="n">
        <x:f>AJ26-AJ50-AJ52</x:f>
        <x:v>0</x:v>
      </x:c>
      <x:c r="AK67" s="80" t="n">
        <x:f>AK26-AK50-AK52</x:f>
        <x:v>0</x:v>
      </x:c>
      <x:c r="AL67" s="80" t="n">
        <x:f>AL26-AL50-AL52</x:f>
        <x:v>0</x:v>
      </x:c>
      <x:c r="AM67" s="80" t="n">
        <x:f>AM26-AM50-AM52</x:f>
        <x:v>0</x:v>
      </x:c>
      <x:c r="AN67" s="80" t="n">
        <x:f>AN26-AN50-AN52</x:f>
        <x:v>0</x:v>
      </x:c>
      <x:c r="AO67" s="80" t="n">
        <x:f>AO26-AO50-AO52</x:f>
        <x:v>0</x:v>
      </x:c>
      <x:c r="AP67" s="80" t="n">
        <x:f>AP26-AP50-AP52</x:f>
        <x:v>0</x:v>
      </x:c>
      <x:c r="AQ67" s="80" t="n">
        <x:f>AQ26-AQ50-AQ52</x:f>
        <x:v>0</x:v>
      </x:c>
      <x:c r="AR67" s="80" t="n">
        <x:f>AR26-AR50-AR52</x:f>
        <x:v>0</x:v>
      </x:c>
      <x:c r="AS67" s="80" t="n">
        <x:f>AS26-AS50-AS52</x:f>
        <x:v>0</x:v>
      </x:c>
      <x:c r="AT67" s="80" t="n">
        <x:f>AT26-AT50-AT52</x:f>
        <x:v>0</x:v>
      </x:c>
      <x:c r="AU67" s="80" t="n">
        <x:f>AU26-AU50-AU52</x:f>
        <x:v>0</x:v>
      </x:c>
      <x:c r="AV67" s="80" t="n">
        <x:f>AV26-AV50-AV52</x:f>
        <x:v>0</x:v>
      </x:c>
      <x:c r="AW67" s="80" t="n">
        <x:f>AW26-AW50-AW52</x:f>
        <x:v>0</x:v>
      </x:c>
      <x:c r="AX67" s="80" t="n">
        <x:f>AX26-AX50-AX52</x:f>
        <x:v>0</x:v>
      </x:c>
      <x:c r="AY67" s="80" t="n">
        <x:f>AY26-AY50-AY52</x:f>
        <x:v>0</x:v>
      </x:c>
      <x:c r="AZ67" s="80" t="n">
        <x:f>AZ26-AZ50-AZ52</x:f>
        <x:v>0</x:v>
      </x:c>
    </x:row>
    <x:row r="68" ht="32" customHeight="1">
      <x:c r="A68" s="150"/>
      <x:c r="B68" s="150"/>
      <x:c r="C68" s="154" t="str">
        <x:v>Junior debt roll-forward (Excel)</x:v>
      </x:c>
      <x:c r="D68" s="150" t="str">
        <x:v>USD</x:v>
      </x:c>
      <x:c r="E68" s="80" t="n">
        <x:f>E27-E51-E53</x:f>
        <x:v>0</x:v>
      </x:c>
      <x:c r="F68" s="80" t="n">
        <x:f>F27-F51-F53</x:f>
        <x:v>0</x:v>
      </x:c>
      <x:c r="G68" s="80" t="n">
        <x:f>G27-G51-G53</x:f>
        <x:v>0</x:v>
      </x:c>
      <x:c r="H68" s="80" t="n">
        <x:f>H27-H51-H53</x:f>
        <x:v>0</x:v>
      </x:c>
      <x:c r="I68" s="80" t="n">
        <x:f>I27-I51-I53</x:f>
        <x:v>0</x:v>
      </x:c>
      <x:c r="J68" s="80" t="n">
        <x:f>J27-J51-J53</x:f>
        <x:v>0</x:v>
      </x:c>
      <x:c r="K68" s="80" t="n">
        <x:f>K27-K51-K53</x:f>
        <x:v>0</x:v>
      </x:c>
      <x:c r="L68" s="80" t="n">
        <x:f>L27-L51-L53</x:f>
        <x:v>0</x:v>
      </x:c>
      <x:c r="M68" s="80" t="n">
        <x:f>M27-M51-M53</x:f>
        <x:v>0</x:v>
      </x:c>
      <x:c r="N68" s="80" t="n">
        <x:f>N27-N51-N53</x:f>
        <x:v>0</x:v>
      </x:c>
      <x:c r="O68" s="80" t="n">
        <x:f>O27-O51-O53</x:f>
        <x:v>0</x:v>
      </x:c>
      <x:c r="P68" s="80" t="n">
        <x:f>P27-P51-P53</x:f>
        <x:v>0</x:v>
      </x:c>
      <x:c r="Q68" s="80" t="n">
        <x:f>Q27-Q51-Q53</x:f>
        <x:v>0</x:v>
      </x:c>
      <x:c r="R68" s="80" t="n">
        <x:f>R27-R51-R53</x:f>
        <x:v>0</x:v>
      </x:c>
      <x:c r="S68" s="80" t="n">
        <x:f>S27-S51-S53</x:f>
        <x:v>0</x:v>
      </x:c>
      <x:c r="T68" s="80" t="n">
        <x:f>T27-T51-T53</x:f>
        <x:v>0</x:v>
      </x:c>
      <x:c r="U68" s="80" t="n">
        <x:f>U27-U51-U53</x:f>
        <x:v>0</x:v>
      </x:c>
      <x:c r="V68" s="80" t="n">
        <x:f>V27-V51-V53</x:f>
        <x:v>0</x:v>
      </x:c>
      <x:c r="W68" s="80" t="n">
        <x:f>W27-W51-W53</x:f>
        <x:v>0</x:v>
      </x:c>
      <x:c r="X68" s="80" t="n">
        <x:f>X27-X51-X53</x:f>
        <x:v>0</x:v>
      </x:c>
      <x:c r="Y68" s="80" t="n">
        <x:f>Y27-Y51-Y53</x:f>
        <x:v>0</x:v>
      </x:c>
      <x:c r="Z68" s="80" t="n">
        <x:f>Z27-Z51-Z53</x:f>
        <x:v>0</x:v>
      </x:c>
      <x:c r="AA68" s="80" t="n">
        <x:f>AA27-AA51-AA53</x:f>
        <x:v>0</x:v>
      </x:c>
      <x:c r="AB68" s="80" t="n">
        <x:f>AB27-AB51-AB53</x:f>
        <x:v>0</x:v>
      </x:c>
      <x:c r="AC68" s="80" t="n">
        <x:f>AC27-AC51-AC53</x:f>
        <x:v>0</x:v>
      </x:c>
      <x:c r="AD68" s="80" t="n">
        <x:f>AD27-AD51-AD53</x:f>
        <x:v>0</x:v>
      </x:c>
      <x:c r="AE68" s="80" t="n">
        <x:f>AE27-AE51-AE53</x:f>
        <x:v>0</x:v>
      </x:c>
      <x:c r="AF68" s="80" t="n">
        <x:f>AF27-AF51-AF53</x:f>
        <x:v>0</x:v>
      </x:c>
      <x:c r="AG68" s="80" t="n">
        <x:f>AG27-AG51-AG53</x:f>
        <x:v>0</x:v>
      </x:c>
      <x:c r="AH68" s="80" t="n">
        <x:f>AH27-AH51-AH53</x:f>
        <x:v>0</x:v>
      </x:c>
      <x:c r="AI68" s="80" t="n">
        <x:f>AI27-AI51-AI53</x:f>
        <x:v>0</x:v>
      </x:c>
      <x:c r="AJ68" s="80" t="n">
        <x:f>AJ27-AJ51-AJ53</x:f>
        <x:v>0</x:v>
      </x:c>
      <x:c r="AK68" s="80" t="n">
        <x:f>AK27-AK51-AK53</x:f>
        <x:v>0</x:v>
      </x:c>
      <x:c r="AL68" s="80" t="n">
        <x:f>AL27-AL51-AL53</x:f>
        <x:v>0</x:v>
      </x:c>
      <x:c r="AM68" s="80" t="n">
        <x:f>AM27-AM51-AM53</x:f>
        <x:v>0</x:v>
      </x:c>
      <x:c r="AN68" s="80" t="n">
        <x:f>AN27-AN51-AN53</x:f>
        <x:v>0</x:v>
      </x:c>
      <x:c r="AO68" s="80" t="n">
        <x:f>AO27-AO51-AO53</x:f>
        <x:v>0</x:v>
      </x:c>
      <x:c r="AP68" s="80" t="n">
        <x:f>AP27-AP51-AP53</x:f>
        <x:v>0</x:v>
      </x:c>
      <x:c r="AQ68" s="80" t="n">
        <x:f>AQ27-AQ51-AQ53</x:f>
        <x:v>0</x:v>
      </x:c>
      <x:c r="AR68" s="80" t="n">
        <x:f>AR27-AR51-AR53</x:f>
        <x:v>0</x:v>
      </x:c>
      <x:c r="AS68" s="80" t="n">
        <x:f>AS27-AS51-AS53</x:f>
        <x:v>0</x:v>
      </x:c>
      <x:c r="AT68" s="80" t="n">
        <x:f>AT27-AT51-AT53</x:f>
        <x:v>0</x:v>
      </x:c>
      <x:c r="AU68" s="80" t="n">
        <x:f>AU27-AU51-AU53</x:f>
        <x:v>0</x:v>
      </x:c>
      <x:c r="AV68" s="80" t="n">
        <x:f>AV27-AV51-AV53</x:f>
        <x:v>0</x:v>
      </x:c>
      <x:c r="AW68" s="80" t="n">
        <x:f>AW27-AW51-AW53</x:f>
        <x:v>0</x:v>
      </x:c>
      <x:c r="AX68" s="80" t="n">
        <x:f>AX27-AX51-AX53</x:f>
        <x:v>0</x:v>
      </x:c>
      <x:c r="AY68" s="80" t="n">
        <x:f>AY27-AY51-AY53</x:f>
        <x:v>0</x:v>
      </x:c>
      <x:c r="AZ68" s="80" t="n">
        <x:f>AZ27-AZ51-AZ53</x:f>
        <x:v>0</x:v>
      </x:c>
    </x:row>
    <x:row r="69" ht="32" customHeight="1">
      <x:c r="A69" s="150"/>
      <x:c r="B69" s="150"/>
      <x:c r="C69" s="154" t="str">
        <x:v>Coverage trigger disagreement</x:v>
      </x:c>
      <x:c r="D69" s="150" t="str">
        <x:v>count</x:v>
      </x:c>
      <x:c r="E69" s="66" t="n">
        <x:f>ABS(IF(AND(E42&gt;0.030000000000000002,E41&lt;oc_trigger*E42),1,0)-IF(E47,1,0))+ABS(IF(AND(E45&gt;0.030000000000000002,E44&lt;ic_trigger*E45),1,0)-IF(E48,1,0))</x:f>
        <x:v>0</x:v>
      </x:c>
      <x:c r="F69" s="66" t="n">
        <x:f>ABS(IF(AND(F42&gt;0.030000000000000002,F41&lt;oc_trigger*F42),1,0)-IF(F47,1,0))+ABS(IF(AND(F45&gt;0.030000000000000002,F44&lt;ic_trigger*F45),1,0)-IF(F48,1,0))</x:f>
        <x:v>0</x:v>
      </x:c>
      <x:c r="G69" s="66" t="n">
        <x:f>ABS(IF(AND(G42&gt;0.030000000000000002,G41&lt;oc_trigger*G42),1,0)-IF(G47,1,0))+ABS(IF(AND(G45&gt;0.030000000000000002,G44&lt;ic_trigger*G45),1,0)-IF(G48,1,0))</x:f>
        <x:v>0</x:v>
      </x:c>
      <x:c r="H69" s="66" t="n">
        <x:f>ABS(IF(AND(H42&gt;0.030000000000000002,H41&lt;oc_trigger*H42),1,0)-IF(H47,1,0))+ABS(IF(AND(H45&gt;0.030000000000000002,H44&lt;ic_trigger*H45),1,0)-IF(H48,1,0))</x:f>
        <x:v>0</x:v>
      </x:c>
      <x:c r="I69" s="66" t="n">
        <x:f>ABS(IF(AND(I42&gt;0.030000000000000002,I41&lt;oc_trigger*I42),1,0)-IF(I47,1,0))+ABS(IF(AND(I45&gt;0.030000000000000002,I44&lt;ic_trigger*I45),1,0)-IF(I48,1,0))</x:f>
        <x:v>0</x:v>
      </x:c>
      <x:c r="J69" s="66" t="n">
        <x:f>ABS(IF(AND(J42&gt;0.030000000000000002,J41&lt;oc_trigger*J42),1,0)-IF(J47,1,0))+ABS(IF(AND(J45&gt;0.030000000000000002,J44&lt;ic_trigger*J45),1,0)-IF(J48,1,0))</x:f>
        <x:v>0</x:v>
      </x:c>
      <x:c r="K69" s="66" t="n">
        <x:f>ABS(IF(AND(K42&gt;0.030000000000000002,K41&lt;oc_trigger*K42),1,0)-IF(K47,1,0))+ABS(IF(AND(K45&gt;0.030000000000000002,K44&lt;ic_trigger*K45),1,0)-IF(K48,1,0))</x:f>
        <x:v>0</x:v>
      </x:c>
      <x:c r="L69" s="66" t="n">
        <x:f>ABS(IF(AND(L42&gt;0.030000000000000002,L41&lt;oc_trigger*L42),1,0)-IF(L47,1,0))+ABS(IF(AND(L45&gt;0.030000000000000002,L44&lt;ic_trigger*L45),1,0)-IF(L48,1,0))</x:f>
        <x:v>0</x:v>
      </x:c>
      <x:c r="M69" s="66" t="n">
        <x:f>ABS(IF(AND(M42&gt;0.030000000000000002,M41&lt;oc_trigger*M42),1,0)-IF(M47,1,0))+ABS(IF(AND(M45&gt;0.030000000000000002,M44&lt;ic_trigger*M45),1,0)-IF(M48,1,0))</x:f>
        <x:v>0</x:v>
      </x:c>
      <x:c r="N69" s="66" t="n">
        <x:f>ABS(IF(AND(N42&gt;0.030000000000000002,N41&lt;oc_trigger*N42),1,0)-IF(N47,1,0))+ABS(IF(AND(N45&gt;0.030000000000000002,N44&lt;ic_trigger*N45),1,0)-IF(N48,1,0))</x:f>
        <x:v>0</x:v>
      </x:c>
      <x:c r="O69" s="66" t="n">
        <x:f>ABS(IF(AND(O42&gt;0.030000000000000002,O41&lt;oc_trigger*O42),1,0)-IF(O47,1,0))+ABS(IF(AND(O45&gt;0.030000000000000002,O44&lt;ic_trigger*O45),1,0)-IF(O48,1,0))</x:f>
        <x:v>0</x:v>
      </x:c>
      <x:c r="P69" s="66" t="n">
        <x:f>ABS(IF(AND(P42&gt;0.030000000000000002,P41&lt;oc_trigger*P42),1,0)-IF(P47,1,0))+ABS(IF(AND(P45&gt;0.030000000000000002,P44&lt;ic_trigger*P45),1,0)-IF(P48,1,0))</x:f>
        <x:v>0</x:v>
      </x:c>
      <x:c r="Q69" s="66" t="n">
        <x:f>ABS(IF(AND(Q42&gt;0.030000000000000002,Q41&lt;oc_trigger*Q42),1,0)-IF(Q47,1,0))+ABS(IF(AND(Q45&gt;0.030000000000000002,Q44&lt;ic_trigger*Q45),1,0)-IF(Q48,1,0))</x:f>
        <x:v>0</x:v>
      </x:c>
      <x:c r="R69" s="66" t="n">
        <x:f>ABS(IF(AND(R42&gt;0.030000000000000002,R41&lt;oc_trigger*R42),1,0)-IF(R47,1,0))+ABS(IF(AND(R45&gt;0.030000000000000002,R44&lt;ic_trigger*R45),1,0)-IF(R48,1,0))</x:f>
        <x:v>0</x:v>
      </x:c>
      <x:c r="S69" s="66" t="n">
        <x:f>ABS(IF(AND(S42&gt;0.030000000000000002,S41&lt;oc_trigger*S42),1,0)-IF(S47,1,0))+ABS(IF(AND(S45&gt;0.030000000000000002,S44&lt;ic_trigger*S45),1,0)-IF(S48,1,0))</x:f>
        <x:v>0</x:v>
      </x:c>
      <x:c r="T69" s="66" t="n">
        <x:f>ABS(IF(AND(T42&gt;0.030000000000000002,T41&lt;oc_trigger*T42),1,0)-IF(T47,1,0))+ABS(IF(AND(T45&gt;0.030000000000000002,T44&lt;ic_trigger*T45),1,0)-IF(T48,1,0))</x:f>
        <x:v>0</x:v>
      </x:c>
      <x:c r="U69" s="66" t="n">
        <x:f>ABS(IF(AND(U42&gt;0.030000000000000002,U41&lt;oc_trigger*U42),1,0)-IF(U47,1,0))+ABS(IF(AND(U45&gt;0.030000000000000002,U44&lt;ic_trigger*U45),1,0)-IF(U48,1,0))</x:f>
        <x:v>0</x:v>
      </x:c>
      <x:c r="V69" s="66" t="n">
        <x:f>ABS(IF(AND(V42&gt;0.030000000000000002,V41&lt;oc_trigger*V42),1,0)-IF(V47,1,0))+ABS(IF(AND(V45&gt;0.030000000000000002,V44&lt;ic_trigger*V45),1,0)-IF(V48,1,0))</x:f>
        <x:v>0</x:v>
      </x:c>
      <x:c r="W69" s="66" t="n">
        <x:f>ABS(IF(AND(W42&gt;0.030000000000000002,W41&lt;oc_trigger*W42),1,0)-IF(W47,1,0))+ABS(IF(AND(W45&gt;0.030000000000000002,W44&lt;ic_trigger*W45),1,0)-IF(W48,1,0))</x:f>
        <x:v>0</x:v>
      </x:c>
      <x:c r="X69" s="66" t="n">
        <x:f>ABS(IF(AND(X42&gt;0.030000000000000002,X41&lt;oc_trigger*X42),1,0)-IF(X47,1,0))+ABS(IF(AND(X45&gt;0.030000000000000002,X44&lt;ic_trigger*X45),1,0)-IF(X48,1,0))</x:f>
        <x:v>0</x:v>
      </x:c>
      <x:c r="Y69" s="66" t="n">
        <x:f>ABS(IF(AND(Y42&gt;0.030000000000000002,Y41&lt;oc_trigger*Y42),1,0)-IF(Y47,1,0))+ABS(IF(AND(Y45&gt;0.030000000000000002,Y44&lt;ic_trigger*Y45),1,0)-IF(Y48,1,0))</x:f>
        <x:v>0</x:v>
      </x:c>
      <x:c r="Z69" s="66" t="n">
        <x:f>ABS(IF(AND(Z42&gt;0.030000000000000002,Z41&lt;oc_trigger*Z42),1,0)-IF(Z47,1,0))+ABS(IF(AND(Z45&gt;0.030000000000000002,Z44&lt;ic_trigger*Z45),1,0)-IF(Z48,1,0))</x:f>
        <x:v>0</x:v>
      </x:c>
      <x:c r="AA69" s="66" t="n">
        <x:f>ABS(IF(AND(AA42&gt;0.030000000000000002,AA41&lt;oc_trigger*AA42),1,0)-IF(AA47,1,0))+ABS(IF(AND(AA45&gt;0.030000000000000002,AA44&lt;ic_trigger*AA45),1,0)-IF(AA48,1,0))</x:f>
        <x:v>0</x:v>
      </x:c>
      <x:c r="AB69" s="66" t="n">
        <x:f>ABS(IF(AND(AB42&gt;0.030000000000000002,AB41&lt;oc_trigger*AB42),1,0)-IF(AB47,1,0))+ABS(IF(AND(AB45&gt;0.030000000000000002,AB44&lt;ic_trigger*AB45),1,0)-IF(AB48,1,0))</x:f>
        <x:v>0</x:v>
      </x:c>
      <x:c r="AC69" s="66" t="n">
        <x:f>ABS(IF(AND(AC42&gt;0.030000000000000002,AC41&lt;oc_trigger*AC42),1,0)-IF(AC47,1,0))+ABS(IF(AND(AC45&gt;0.030000000000000002,AC44&lt;ic_trigger*AC45),1,0)-IF(AC48,1,0))</x:f>
        <x:v>0</x:v>
      </x:c>
      <x:c r="AD69" s="66" t="n">
        <x:f>ABS(IF(AND(AD42&gt;0.030000000000000002,AD41&lt;oc_trigger*AD42),1,0)-IF(AD47,1,0))+ABS(IF(AND(AD45&gt;0.030000000000000002,AD44&lt;ic_trigger*AD45),1,0)-IF(AD48,1,0))</x:f>
        <x:v>0</x:v>
      </x:c>
      <x:c r="AE69" s="66" t="n">
        <x:f>ABS(IF(AND(AE42&gt;0.030000000000000002,AE41&lt;oc_trigger*AE42),1,0)-IF(AE47,1,0))+ABS(IF(AND(AE45&gt;0.030000000000000002,AE44&lt;ic_trigger*AE45),1,0)-IF(AE48,1,0))</x:f>
        <x:v>0</x:v>
      </x:c>
      <x:c r="AF69" s="66" t="n">
        <x:f>ABS(IF(AND(AF42&gt;0.030000000000000002,AF41&lt;oc_trigger*AF42),1,0)-IF(AF47,1,0))+ABS(IF(AND(AF45&gt;0.030000000000000002,AF44&lt;ic_trigger*AF45),1,0)-IF(AF48,1,0))</x:f>
        <x:v>0</x:v>
      </x:c>
      <x:c r="AG69" s="66" t="n">
        <x:f>ABS(IF(AND(AG42&gt;0.030000000000000002,AG41&lt;oc_trigger*AG42),1,0)-IF(AG47,1,0))+ABS(IF(AND(AG45&gt;0.030000000000000002,AG44&lt;ic_trigger*AG45),1,0)-IF(AG48,1,0))</x:f>
        <x:v>0</x:v>
      </x:c>
      <x:c r="AH69" s="66" t="n">
        <x:f>ABS(IF(AND(AH42&gt;0.030000000000000002,AH41&lt;oc_trigger*AH42),1,0)-IF(AH47,1,0))+ABS(IF(AND(AH45&gt;0.030000000000000002,AH44&lt;ic_trigger*AH45),1,0)-IF(AH48,1,0))</x:f>
        <x:v>0</x:v>
      </x:c>
      <x:c r="AI69" s="66" t="n">
        <x:f>ABS(IF(AND(AI42&gt;0.030000000000000002,AI41&lt;oc_trigger*AI42),1,0)-IF(AI47,1,0))+ABS(IF(AND(AI45&gt;0.030000000000000002,AI44&lt;ic_trigger*AI45),1,0)-IF(AI48,1,0))</x:f>
        <x:v>0</x:v>
      </x:c>
      <x:c r="AJ69" s="66" t="n">
        <x:f>ABS(IF(AND(AJ42&gt;0.030000000000000002,AJ41&lt;oc_trigger*AJ42),1,0)-IF(AJ47,1,0))+ABS(IF(AND(AJ45&gt;0.030000000000000002,AJ44&lt;ic_trigger*AJ45),1,0)-IF(AJ48,1,0))</x:f>
        <x:v>0</x:v>
      </x:c>
      <x:c r="AK69" s="66" t="n">
        <x:f>ABS(IF(AND(AK42&gt;0.030000000000000002,AK41&lt;oc_trigger*AK42),1,0)-IF(AK47,1,0))+ABS(IF(AND(AK45&gt;0.030000000000000002,AK44&lt;ic_trigger*AK45),1,0)-IF(AK48,1,0))</x:f>
        <x:v>0</x:v>
      </x:c>
      <x:c r="AL69" s="66" t="n">
        <x:f>ABS(IF(AND(AL42&gt;0.030000000000000002,AL41&lt;oc_trigger*AL42),1,0)-IF(AL47,1,0))+ABS(IF(AND(AL45&gt;0.030000000000000002,AL44&lt;ic_trigger*AL45),1,0)-IF(AL48,1,0))</x:f>
        <x:v>0</x:v>
      </x:c>
      <x:c r="AM69" s="66" t="n">
        <x:f>ABS(IF(AND(AM42&gt;0.030000000000000002,AM41&lt;oc_trigger*AM42),1,0)-IF(AM47,1,0))+ABS(IF(AND(AM45&gt;0.030000000000000002,AM44&lt;ic_trigger*AM45),1,0)-IF(AM48,1,0))</x:f>
        <x:v>0</x:v>
      </x:c>
      <x:c r="AN69" s="66" t="n">
        <x:f>ABS(IF(AND(AN42&gt;0.030000000000000002,AN41&lt;oc_trigger*AN42),1,0)-IF(AN47,1,0))+ABS(IF(AND(AN45&gt;0.030000000000000002,AN44&lt;ic_trigger*AN45),1,0)-IF(AN48,1,0))</x:f>
        <x:v>0</x:v>
      </x:c>
      <x:c r="AO69" s="66" t="n">
        <x:f>ABS(IF(AND(AO42&gt;0.030000000000000002,AO41&lt;oc_trigger*AO42),1,0)-IF(AO47,1,0))+ABS(IF(AND(AO45&gt;0.030000000000000002,AO44&lt;ic_trigger*AO45),1,0)-IF(AO48,1,0))</x:f>
        <x:v>0</x:v>
      </x:c>
      <x:c r="AP69" s="66" t="n">
        <x:f>ABS(IF(AND(AP42&gt;0.030000000000000002,AP41&lt;oc_trigger*AP42),1,0)-IF(AP47,1,0))+ABS(IF(AND(AP45&gt;0.030000000000000002,AP44&lt;ic_trigger*AP45),1,0)-IF(AP48,1,0))</x:f>
        <x:v>0</x:v>
      </x:c>
      <x:c r="AQ69" s="66" t="n">
        <x:f>ABS(IF(AND(AQ42&gt;0.030000000000000002,AQ41&lt;oc_trigger*AQ42),1,0)-IF(AQ47,1,0))+ABS(IF(AND(AQ45&gt;0.030000000000000002,AQ44&lt;ic_trigger*AQ45),1,0)-IF(AQ48,1,0))</x:f>
        <x:v>0</x:v>
      </x:c>
      <x:c r="AR69" s="66" t="n">
        <x:f>ABS(IF(AND(AR42&gt;0.030000000000000002,AR41&lt;oc_trigger*AR42),1,0)-IF(AR47,1,0))+ABS(IF(AND(AR45&gt;0.030000000000000002,AR44&lt;ic_trigger*AR45),1,0)-IF(AR48,1,0))</x:f>
        <x:v>0</x:v>
      </x:c>
      <x:c r="AS69" s="66" t="n">
        <x:f>ABS(IF(AND(AS42&gt;0.030000000000000002,AS41&lt;oc_trigger*AS42),1,0)-IF(AS47,1,0))+ABS(IF(AND(AS45&gt;0.030000000000000002,AS44&lt;ic_trigger*AS45),1,0)-IF(AS48,1,0))</x:f>
        <x:v>0</x:v>
      </x:c>
      <x:c r="AT69" s="66" t="n">
        <x:f>ABS(IF(AND(AT42&gt;0.030000000000000002,AT41&lt;oc_trigger*AT42),1,0)-IF(AT47,1,0))+ABS(IF(AND(AT45&gt;0.030000000000000002,AT44&lt;ic_trigger*AT45),1,0)-IF(AT48,1,0))</x:f>
        <x:v>0</x:v>
      </x:c>
      <x:c r="AU69" s="66" t="n">
        <x:f>ABS(IF(AND(AU42&gt;0.030000000000000002,AU41&lt;oc_trigger*AU42),1,0)-IF(AU47,1,0))+ABS(IF(AND(AU45&gt;0.030000000000000002,AU44&lt;ic_trigger*AU45),1,0)-IF(AU48,1,0))</x:f>
        <x:v>0</x:v>
      </x:c>
      <x:c r="AV69" s="66" t="n">
        <x:f>ABS(IF(AND(AV42&gt;0.030000000000000002,AV41&lt;oc_trigger*AV42),1,0)-IF(AV47,1,0))+ABS(IF(AND(AV45&gt;0.030000000000000002,AV44&lt;ic_trigger*AV45),1,0)-IF(AV48,1,0))</x:f>
        <x:v>0</x:v>
      </x:c>
      <x:c r="AW69" s="66" t="n">
        <x:f>ABS(IF(AND(AW42&gt;0.030000000000000002,AW41&lt;oc_trigger*AW42),1,0)-IF(AW47,1,0))+ABS(IF(AND(AW45&gt;0.030000000000000002,AW44&lt;ic_trigger*AW45),1,0)-IF(AW48,1,0))</x:f>
        <x:v>0</x:v>
      </x:c>
      <x:c r="AX69" s="66" t="n">
        <x:f>ABS(IF(AND(AX42&gt;0.030000000000000002,AX41&lt;oc_trigger*AX42),1,0)-IF(AX47,1,0))+ABS(IF(AND(AX45&gt;0.030000000000000002,AX44&lt;ic_trigger*AX45),1,0)-IF(AX48,1,0))</x:f>
        <x:v>0</x:v>
      </x:c>
      <x:c r="AY69" s="66" t="n">
        <x:f>ABS(IF(AND(AY42&gt;0.030000000000000002,AY41&lt;oc_trigger*AY42),1,0)-IF(AY47,1,0))+ABS(IF(AND(AY45&gt;0.030000000000000002,AY44&lt;ic_trigger*AY45),1,0)-IF(AY48,1,0))</x:f>
        <x:v>0</x:v>
      </x:c>
      <x:c r="AZ69" s="66" t="n">
        <x:f>ABS(IF(AND(AZ42&gt;0.030000000000000002,AZ41&lt;oc_trigger*AZ42),1,0)-IF(AZ47,1,0))+ABS(IF(AND(AZ45&gt;0.030000000000000002,AZ44&lt;ic_trigger*AZ45),1,0)-IF(AZ48,1,0))</x:f>
        <x:v>0</x:v>
      </x:c>
    </x:row>
    <x:row r="70" ht="32" customHeight="1">
      <x:c r="A70" s="150"/>
      <x:c r="B70" s="150"/>
      <x:c r="C70" s="154" t="str">
        <x:v>Waterfall priority violation (Excel)</x:v>
      </x:c>
      <x:c r="D70" s="150" t="str">
        <x:v>USD</x:v>
      </x:c>
      <x:c r="E70" s="66" t="n">
        <x:f>IF(OR(E37&gt;0.030000000000000002,E31&gt;0.030000000000000002),E33+E51+E39+E54+E55,0)+IF(E52&gt;0.030000000000000002,E51+E55,0)+IF(OR(E47,E48),E54,0)</x:f>
        <x:v>0</x:v>
      </x:c>
      <x:c r="F70" s="66" t="n">
        <x:f>IF(OR(F37&gt;0.030000000000000002,F31&gt;0.030000000000000002),F33+F51+F39+F54+F55,0)+IF(F52&gt;0.030000000000000002,F51+F55,0)+IF(OR(F47,F48),F54,0)</x:f>
        <x:v>0</x:v>
      </x:c>
      <x:c r="G70" s="66" t="n">
        <x:f>IF(OR(G37&gt;0.030000000000000002,G31&gt;0.030000000000000002),G33+G51+G39+G54+G55,0)+IF(G52&gt;0.030000000000000002,G51+G55,0)+IF(OR(G47,G48),G54,0)</x:f>
        <x:v>0</x:v>
      </x:c>
      <x:c r="H70" s="66" t="n">
        <x:f>IF(OR(H37&gt;0.030000000000000002,H31&gt;0.030000000000000002),H33+H51+H39+H54+H55,0)+IF(H52&gt;0.030000000000000002,H51+H55,0)+IF(OR(H47,H48),H54,0)</x:f>
        <x:v>0</x:v>
      </x:c>
      <x:c r="I70" s="66" t="n">
        <x:f>IF(OR(I37&gt;0.030000000000000002,I31&gt;0.030000000000000002),I33+I51+I39+I54+I55,0)+IF(I52&gt;0.030000000000000002,I51+I55,0)+IF(OR(I47,I48),I54,0)</x:f>
        <x:v>0</x:v>
      </x:c>
      <x:c r="J70" s="66" t="n">
        <x:f>IF(OR(J37&gt;0.030000000000000002,J31&gt;0.030000000000000002),J33+J51+J39+J54+J55,0)+IF(J52&gt;0.030000000000000002,J51+J55,0)+IF(OR(J47,J48),J54,0)</x:f>
        <x:v>0</x:v>
      </x:c>
      <x:c r="K70" s="66" t="n">
        <x:f>IF(OR(K37&gt;0.030000000000000002,K31&gt;0.030000000000000002),K33+K51+K39+K54+K55,0)+IF(K52&gt;0.030000000000000002,K51+K55,0)+IF(OR(K47,K48),K54,0)</x:f>
        <x:v>0</x:v>
      </x:c>
      <x:c r="L70" s="66" t="n">
        <x:f>IF(OR(L37&gt;0.030000000000000002,L31&gt;0.030000000000000002),L33+L51+L39+L54+L55,0)+IF(L52&gt;0.030000000000000002,L51+L55,0)+IF(OR(L47,L48),L54,0)</x:f>
        <x:v>0</x:v>
      </x:c>
      <x:c r="M70" s="66" t="n">
        <x:f>IF(OR(M37&gt;0.030000000000000002,M31&gt;0.030000000000000002),M33+M51+M39+M54+M55,0)+IF(M52&gt;0.030000000000000002,M51+M55,0)+IF(OR(M47,M48),M54,0)</x:f>
        <x:v>0</x:v>
      </x:c>
      <x:c r="N70" s="66" t="n">
        <x:f>IF(OR(N37&gt;0.030000000000000002,N31&gt;0.030000000000000002),N33+N51+N39+N54+N55,0)+IF(N52&gt;0.030000000000000002,N51+N55,0)+IF(OR(N47,N48),N54,0)</x:f>
        <x:v>0</x:v>
      </x:c>
      <x:c r="O70" s="66" t="n">
        <x:f>IF(OR(O37&gt;0.030000000000000002,O31&gt;0.030000000000000002),O33+O51+O39+O54+O55,0)+IF(O52&gt;0.030000000000000002,O51+O55,0)+IF(OR(O47,O48),O54,0)</x:f>
        <x:v>0</x:v>
      </x:c>
      <x:c r="P70" s="66" t="n">
        <x:f>IF(OR(P37&gt;0.030000000000000002,P31&gt;0.030000000000000002),P33+P51+P39+P54+P55,0)+IF(P52&gt;0.030000000000000002,P51+P55,0)+IF(OR(P47,P48),P54,0)</x:f>
        <x:v>0</x:v>
      </x:c>
      <x:c r="Q70" s="66" t="n">
        <x:f>IF(OR(Q37&gt;0.030000000000000002,Q31&gt;0.030000000000000002),Q33+Q51+Q39+Q54+Q55,0)+IF(Q52&gt;0.030000000000000002,Q51+Q55,0)+IF(OR(Q47,Q48),Q54,0)</x:f>
        <x:v>0</x:v>
      </x:c>
      <x:c r="R70" s="66" t="n">
        <x:f>IF(OR(R37&gt;0.030000000000000002,R31&gt;0.030000000000000002),R33+R51+R39+R54+R55,0)+IF(R52&gt;0.030000000000000002,R51+R55,0)+IF(OR(R47,R48),R54,0)</x:f>
        <x:v>0</x:v>
      </x:c>
      <x:c r="S70" s="66" t="n">
        <x:f>IF(OR(S37&gt;0.030000000000000002,S31&gt;0.030000000000000002),S33+S51+S39+S54+S55,0)+IF(S52&gt;0.030000000000000002,S51+S55,0)+IF(OR(S47,S48),S54,0)</x:f>
        <x:v>0</x:v>
      </x:c>
      <x:c r="T70" s="66" t="n">
        <x:f>IF(OR(T37&gt;0.030000000000000002,T31&gt;0.030000000000000002),T33+T51+T39+T54+T55,0)+IF(T52&gt;0.030000000000000002,T51+T55,0)+IF(OR(T47,T48),T54,0)</x:f>
        <x:v>0</x:v>
      </x:c>
      <x:c r="U70" s="66" t="n">
        <x:f>IF(OR(U37&gt;0.030000000000000002,U31&gt;0.030000000000000002),U33+U51+U39+U54+U55,0)+IF(U52&gt;0.030000000000000002,U51+U55,0)+IF(OR(U47,U48),U54,0)</x:f>
        <x:v>0</x:v>
      </x:c>
      <x:c r="V70" s="66" t="n">
        <x:f>IF(OR(V37&gt;0.030000000000000002,V31&gt;0.030000000000000002),V33+V51+V39+V54+V55,0)+IF(V52&gt;0.030000000000000002,V51+V55,0)+IF(OR(V47,V48),V54,0)</x:f>
        <x:v>0</x:v>
      </x:c>
      <x:c r="W70" s="66" t="n">
        <x:f>IF(OR(W37&gt;0.030000000000000002,W31&gt;0.030000000000000002),W33+W51+W39+W54+W55,0)+IF(W52&gt;0.030000000000000002,W51+W55,0)+IF(OR(W47,W48),W54,0)</x:f>
        <x:v>0</x:v>
      </x:c>
      <x:c r="X70" s="66" t="n">
        <x:f>IF(OR(X37&gt;0.030000000000000002,X31&gt;0.030000000000000002),X33+X51+X39+X54+X55,0)+IF(X52&gt;0.030000000000000002,X51+X55,0)+IF(OR(X47,X48),X54,0)</x:f>
        <x:v>0</x:v>
      </x:c>
      <x:c r="Y70" s="66" t="n">
        <x:f>IF(OR(Y37&gt;0.030000000000000002,Y31&gt;0.030000000000000002),Y33+Y51+Y39+Y54+Y55,0)+IF(Y52&gt;0.030000000000000002,Y51+Y55,0)+IF(OR(Y47,Y48),Y54,0)</x:f>
        <x:v>0</x:v>
      </x:c>
      <x:c r="Z70" s="66" t="n">
        <x:f>IF(OR(Z37&gt;0.030000000000000002,Z31&gt;0.030000000000000002),Z33+Z51+Z39+Z54+Z55,0)+IF(Z52&gt;0.030000000000000002,Z51+Z55,0)+IF(OR(Z47,Z48),Z54,0)</x:f>
        <x:v>0</x:v>
      </x:c>
      <x:c r="AA70" s="66" t="n">
        <x:f>IF(OR(AA37&gt;0.030000000000000002,AA31&gt;0.030000000000000002),AA33+AA51+AA39+AA54+AA55,0)+IF(AA52&gt;0.030000000000000002,AA51+AA55,0)+IF(OR(AA47,AA48),AA54,0)</x:f>
        <x:v>0</x:v>
      </x:c>
      <x:c r="AB70" s="66" t="n">
        <x:f>IF(OR(AB37&gt;0.030000000000000002,AB31&gt;0.030000000000000002),AB33+AB51+AB39+AB54+AB55,0)+IF(AB52&gt;0.030000000000000002,AB51+AB55,0)+IF(OR(AB47,AB48),AB54,0)</x:f>
        <x:v>0</x:v>
      </x:c>
      <x:c r="AC70" s="66" t="n">
        <x:f>IF(OR(AC37&gt;0.030000000000000002,AC31&gt;0.030000000000000002),AC33+AC51+AC39+AC54+AC55,0)+IF(AC52&gt;0.030000000000000002,AC51+AC55,0)+IF(OR(AC47,AC48),AC54,0)</x:f>
        <x:v>0</x:v>
      </x:c>
      <x:c r="AD70" s="66" t="n">
        <x:f>IF(OR(AD37&gt;0.030000000000000002,AD31&gt;0.030000000000000002),AD33+AD51+AD39+AD54+AD55,0)+IF(AD52&gt;0.030000000000000002,AD51+AD55,0)+IF(OR(AD47,AD48),AD54,0)</x:f>
        <x:v>0</x:v>
      </x:c>
      <x:c r="AE70" s="66" t="n">
        <x:f>IF(OR(AE37&gt;0.030000000000000002,AE31&gt;0.030000000000000002),AE33+AE51+AE39+AE54+AE55,0)+IF(AE52&gt;0.030000000000000002,AE51+AE55,0)+IF(OR(AE47,AE48),AE54,0)</x:f>
        <x:v>0</x:v>
      </x:c>
      <x:c r="AF70" s="66" t="n">
        <x:f>IF(OR(AF37&gt;0.030000000000000002,AF31&gt;0.030000000000000002),AF33+AF51+AF39+AF54+AF55,0)+IF(AF52&gt;0.030000000000000002,AF51+AF55,0)+IF(OR(AF47,AF48),AF54,0)</x:f>
        <x:v>0</x:v>
      </x:c>
      <x:c r="AG70" s="66" t="n">
        <x:f>IF(OR(AG37&gt;0.030000000000000002,AG31&gt;0.030000000000000002),AG33+AG51+AG39+AG54+AG55,0)+IF(AG52&gt;0.030000000000000002,AG51+AG55,0)+IF(OR(AG47,AG48),AG54,0)</x:f>
        <x:v>0</x:v>
      </x:c>
      <x:c r="AH70" s="66" t="n">
        <x:f>IF(OR(AH37&gt;0.030000000000000002,AH31&gt;0.030000000000000002),AH33+AH51+AH39+AH54+AH55,0)+IF(AH52&gt;0.030000000000000002,AH51+AH55,0)+IF(OR(AH47,AH48),AH54,0)</x:f>
        <x:v>0</x:v>
      </x:c>
      <x:c r="AI70" s="66" t="n">
        <x:f>IF(OR(AI37&gt;0.030000000000000002,AI31&gt;0.030000000000000002),AI33+AI51+AI39+AI54+AI55,0)+IF(AI52&gt;0.030000000000000002,AI51+AI55,0)+IF(OR(AI47,AI48),AI54,0)</x:f>
        <x:v>0</x:v>
      </x:c>
      <x:c r="AJ70" s="66" t="n">
        <x:f>IF(OR(AJ37&gt;0.030000000000000002,AJ31&gt;0.030000000000000002),AJ33+AJ51+AJ39+AJ54+AJ55,0)+IF(AJ52&gt;0.030000000000000002,AJ51+AJ55,0)+IF(OR(AJ47,AJ48),AJ54,0)</x:f>
        <x:v>0</x:v>
      </x:c>
      <x:c r="AK70" s="66" t="n">
        <x:f>IF(OR(AK37&gt;0.030000000000000002,AK31&gt;0.030000000000000002),AK33+AK51+AK39+AK54+AK55,0)+IF(AK52&gt;0.030000000000000002,AK51+AK55,0)+IF(OR(AK47,AK48),AK54,0)</x:f>
        <x:v>0</x:v>
      </x:c>
      <x:c r="AL70" s="66" t="n">
        <x:f>IF(OR(AL37&gt;0.030000000000000002,AL31&gt;0.030000000000000002),AL33+AL51+AL39+AL54+AL55,0)+IF(AL52&gt;0.030000000000000002,AL51+AL55,0)+IF(OR(AL47,AL48),AL54,0)</x:f>
        <x:v>0</x:v>
      </x:c>
      <x:c r="AM70" s="66" t="n">
        <x:f>IF(OR(AM37&gt;0.030000000000000002,AM31&gt;0.030000000000000002),AM33+AM51+AM39+AM54+AM55,0)+IF(AM52&gt;0.030000000000000002,AM51+AM55,0)+IF(OR(AM47,AM48),AM54,0)</x:f>
        <x:v>0</x:v>
      </x:c>
      <x:c r="AN70" s="66" t="n">
        <x:f>IF(OR(AN37&gt;0.030000000000000002,AN31&gt;0.030000000000000002),AN33+AN51+AN39+AN54+AN55,0)+IF(AN52&gt;0.030000000000000002,AN51+AN55,0)+IF(OR(AN47,AN48),AN54,0)</x:f>
        <x:v>0</x:v>
      </x:c>
      <x:c r="AO70" s="66" t="n">
        <x:f>IF(OR(AO37&gt;0.030000000000000002,AO31&gt;0.030000000000000002),AO33+AO51+AO39+AO54+AO55,0)+IF(AO52&gt;0.030000000000000002,AO51+AO55,0)+IF(OR(AO47,AO48),AO54,0)</x:f>
        <x:v>0</x:v>
      </x:c>
      <x:c r="AP70" s="66" t="n">
        <x:f>IF(OR(AP37&gt;0.030000000000000002,AP31&gt;0.030000000000000002),AP33+AP51+AP39+AP54+AP55,0)+IF(AP52&gt;0.030000000000000002,AP51+AP55,0)+IF(OR(AP47,AP48),AP54,0)</x:f>
        <x:v>0</x:v>
      </x:c>
      <x:c r="AQ70" s="66" t="n">
        <x:f>IF(OR(AQ37&gt;0.030000000000000002,AQ31&gt;0.030000000000000002),AQ33+AQ51+AQ39+AQ54+AQ55,0)+IF(AQ52&gt;0.030000000000000002,AQ51+AQ55,0)+IF(OR(AQ47,AQ48),AQ54,0)</x:f>
        <x:v>0</x:v>
      </x:c>
      <x:c r="AR70" s="66" t="n">
        <x:f>IF(OR(AR37&gt;0.030000000000000002,AR31&gt;0.030000000000000002),AR33+AR51+AR39+AR54+AR55,0)+IF(AR52&gt;0.030000000000000002,AR51+AR55,0)+IF(OR(AR47,AR48),AR54,0)</x:f>
        <x:v>0</x:v>
      </x:c>
      <x:c r="AS70" s="66" t="n">
        <x:f>IF(OR(AS37&gt;0.030000000000000002,AS31&gt;0.030000000000000002),AS33+AS51+AS39+AS54+AS55,0)+IF(AS52&gt;0.030000000000000002,AS51+AS55,0)+IF(OR(AS47,AS48),AS54,0)</x:f>
        <x:v>0</x:v>
      </x:c>
      <x:c r="AT70" s="66" t="n">
        <x:f>IF(OR(AT37&gt;0.030000000000000002,AT31&gt;0.030000000000000002),AT33+AT51+AT39+AT54+AT55,0)+IF(AT52&gt;0.030000000000000002,AT51+AT55,0)+IF(OR(AT47,AT48),AT54,0)</x:f>
        <x:v>0</x:v>
      </x:c>
      <x:c r="AU70" s="66" t="n">
        <x:f>IF(OR(AU37&gt;0.030000000000000002,AU31&gt;0.030000000000000002),AU33+AU51+AU39+AU54+AU55,0)+IF(AU52&gt;0.030000000000000002,AU51+AU55,0)+IF(OR(AU47,AU48),AU54,0)</x:f>
        <x:v>0</x:v>
      </x:c>
      <x:c r="AV70" s="66" t="n">
        <x:f>IF(OR(AV37&gt;0.030000000000000002,AV31&gt;0.030000000000000002),AV33+AV51+AV39+AV54+AV55,0)+IF(AV52&gt;0.030000000000000002,AV51+AV55,0)+IF(OR(AV47,AV48),AV54,0)</x:f>
        <x:v>0</x:v>
      </x:c>
      <x:c r="AW70" s="66" t="n">
        <x:f>IF(OR(AW37&gt;0.030000000000000002,AW31&gt;0.030000000000000002),AW33+AW51+AW39+AW54+AW55,0)+IF(AW52&gt;0.030000000000000002,AW51+AW55,0)+IF(OR(AW47,AW48),AW54,0)</x:f>
        <x:v>0</x:v>
      </x:c>
      <x:c r="AX70" s="66" t="n">
        <x:f>IF(OR(AX37&gt;0.030000000000000002,AX31&gt;0.030000000000000002),AX33+AX51+AX39+AX54+AX55,0)+IF(AX52&gt;0.030000000000000002,AX51+AX55,0)+IF(OR(AX47,AX48),AX54,0)</x:f>
        <x:v>0</x:v>
      </x:c>
      <x:c r="AY70" s="66" t="n">
        <x:f>IF(OR(AY37&gt;0.030000000000000002,AY31&gt;0.030000000000000002),AY33+AY51+AY39+AY54+AY55,0)+IF(AY52&gt;0.030000000000000002,AY51+AY55,0)+IF(OR(AY47,AY48),AY54,0)</x:f>
        <x:v>0</x:v>
      </x:c>
      <x:c r="AZ70" s="66" t="n">
        <x:f>IF(OR(AZ37&gt;0.030000000000000002,AZ31&gt;0.030000000000000002),AZ33+AZ51+AZ39+AZ54+AZ55,0)+IF(AZ52&gt;0.030000000000000002,AZ51+AZ55,0)+IF(OR(AZ47,AZ48),AZ54,0)</x:f>
        <x:v>0</x:v>
      </x:c>
    </x:row>
    <x:row r="71" ht="32" customHeight="1">
      <x:c r="A71" s="150"/>
      <x:c r="B71" s="150"/>
      <x:c r="C71" s="154" t="str">
        <x:v>Recovery receivable roll-forward</x:v>
      </x:c>
      <x:c r="D71" s="150" t="str">
        <x:v>USD</x:v>
      </x:c>
      <x:c r="E71" s="80" t="n">
        <x:f>0+E20-E21-E22</x:f>
        <x:v>0</x:v>
      </x:c>
      <x:c r="F71" s="80" t="n">
        <x:f>E22+F20-F21-F22</x:f>
        <x:v>0</x:v>
      </x:c>
      <x:c r="G71" s="80" t="n">
        <x:f>F22+G20-G21-G22</x:f>
        <x:v>0</x:v>
      </x:c>
      <x:c r="H71" s="80" t="n">
        <x:f>G22+H20-H21-H22</x:f>
        <x:v>0</x:v>
      </x:c>
      <x:c r="I71" s="80" t="n">
        <x:f>H22+I20-I21-I22</x:f>
        <x:v>0</x:v>
      </x:c>
      <x:c r="J71" s="80" t="n">
        <x:f>I22+J20-J21-J22</x:f>
        <x:v>0</x:v>
      </x:c>
      <x:c r="K71" s="80" t="n">
        <x:f>J22+K20-K21-K22</x:f>
        <x:v>0</x:v>
      </x:c>
      <x:c r="L71" s="80" t="n">
        <x:f>K22+L20-L21-L22</x:f>
        <x:v>0</x:v>
      </x:c>
      <x:c r="M71" s="80" t="n">
        <x:f>L22+M20-M21-M22</x:f>
        <x:v>0</x:v>
      </x:c>
      <x:c r="N71" s="80" t="n">
        <x:f>M22+N20-N21-N22</x:f>
        <x:v>9.313225746154785e-10</x:v>
      </x:c>
      <x:c r="O71" s="80" t="n">
        <x:f>N22+O20-O21-O22</x:f>
        <x:v>-9.313225746154785e-10</x:v>
      </x:c>
      <x:c r="P71" s="80" t="n">
        <x:f>O22+P20-P21-P22</x:f>
        <x:v>0</x:v>
      </x:c>
      <x:c r="Q71" s="80" t="n">
        <x:f>P22+Q20-Q21-Q22</x:f>
        <x:v>0</x:v>
      </x:c>
      <x:c r="R71" s="80" t="n">
        <x:f>Q22+R20-R21-R22</x:f>
        <x:v>0</x:v>
      </x:c>
      <x:c r="S71" s="80" t="n">
        <x:f>R22+S20-S21-S22</x:f>
        <x:v>-9.313225746154785e-10</x:v>
      </x:c>
      <x:c r="T71" s="80" t="n">
        <x:f>S22+T20-T21-T22</x:f>
        <x:v>0</x:v>
      </x:c>
      <x:c r="U71" s="80" t="n">
        <x:f>T22+U20-U21-U22</x:f>
        <x:v>0</x:v>
      </x:c>
      <x:c r="V71" s="80" t="n">
        <x:f>U22+V20-V21-V22</x:f>
        <x:v>-4.656612873077393e-10</x:v>
      </x:c>
      <x:c r="W71" s="80" t="n">
        <x:f>V22+W20-W21-W22</x:f>
        <x:v>0</x:v>
      </x:c>
      <x:c r="X71" s="80" t="n">
        <x:f>W22+X20-X21-X22</x:f>
        <x:v>0</x:v>
      </x:c>
      <x:c r="Y71" s="80" t="n">
        <x:f>X22+Y20-Y21-Y22</x:f>
        <x:v>-4.656612873077393e-10</x:v>
      </x:c>
      <x:c r="Z71" s="80" t="n">
        <x:f>Y22+Z20-Z21-Z22</x:f>
        <x:v>4.656612873077393e-10</x:v>
      </x:c>
      <x:c r="AA71" s="80" t="n">
        <x:f>Z22+AA20-AA21-AA22</x:f>
        <x:v>-1.1641532182693481e-10</x:v>
      </x:c>
      <x:c r="AB71" s="80" t="n">
        <x:f>AA22+AB20-AB21-AB22</x:f>
        <x:v>0</x:v>
      </x:c>
      <x:c r="AC71" s="80" t="n">
        <x:f>AB22+AC20-AC21-AC22</x:f>
        <x:v>0</x:v>
      </x:c>
      <x:c r="AD71" s="80" t="n">
        <x:f>AC22+AD20-AD21-AD22</x:f>
        <x:v>0</x:v>
      </x:c>
      <x:c r="AE71" s="80" t="n">
        <x:f>AD22+AE20-AE21-AE22</x:f>
        <x:v>0</x:v>
      </x:c>
      <x:c r="AF71" s="80" t="n">
        <x:f>AE22+AF20-AF21-AF22</x:f>
        <x:v>0</x:v>
      </x:c>
      <x:c r="AG71" s="80" t="n">
        <x:f>AF22+AG20-AG21-AG22</x:f>
        <x:v>0</x:v>
      </x:c>
      <x:c r="AH71" s="80" t="n">
        <x:f>AG22+AH20-AH21-AH22</x:f>
        <x:v>0</x:v>
      </x:c>
      <x:c r="AI71" s="80" t="n">
        <x:f>AH22+AI20-AI21-AI22</x:f>
        <x:v>0</x:v>
      </x:c>
      <x:c r="AJ71" s="80" t="n">
        <x:f>AI22+AJ20-AJ21-AJ22</x:f>
        <x:v>0</x:v>
      </x:c>
      <x:c r="AK71" s="80" t="n">
        <x:f>AJ22+AK20-AK21-AK22</x:f>
        <x:v>0</x:v>
      </x:c>
      <x:c r="AL71" s="80" t="n">
        <x:f>AK22+AL20-AL21-AL22</x:f>
        <x:v>0</x:v>
      </x:c>
      <x:c r="AM71" s="80" t="n">
        <x:f>AL22+AM20-AM21-AM22</x:f>
        <x:v>0</x:v>
      </x:c>
      <x:c r="AN71" s="80" t="n">
        <x:f>AM22+AN20-AN21-AN22</x:f>
        <x:v>0</x:v>
      </x:c>
      <x:c r="AO71" s="80" t="n">
        <x:f>AN22+AO20-AO21-AO22</x:f>
        <x:v>0</x:v>
      </x:c>
      <x:c r="AP71" s="80" t="n">
        <x:f>AO22+AP20-AP21-AP22</x:f>
        <x:v>0</x:v>
      </x:c>
      <x:c r="AQ71" s="80" t="n">
        <x:f>AP22+AQ20-AQ21-AQ22</x:f>
        <x:v>0</x:v>
      </x:c>
      <x:c r="AR71" s="80" t="n">
        <x:f>AQ22+AR20-AR21-AR22</x:f>
        <x:v>0</x:v>
      </x:c>
      <x:c r="AS71" s="80" t="n">
        <x:f>AR22+AS20-AS21-AS22</x:f>
        <x:v>0</x:v>
      </x:c>
      <x:c r="AT71" s="80" t="n">
        <x:f>AS22+AT20-AT21-AT22</x:f>
        <x:v>0</x:v>
      </x:c>
      <x:c r="AU71" s="80" t="n">
        <x:f>AT22+AU20-AU21-AU22</x:f>
        <x:v>0</x:v>
      </x:c>
      <x:c r="AV71" s="80" t="n">
        <x:f>AU22+AV20-AV21-AV22</x:f>
        <x:v>0</x:v>
      </x:c>
      <x:c r="AW71" s="80" t="n">
        <x:f>AV22+AW20-AW21-AW22</x:f>
        <x:v>0</x:v>
      </x:c>
      <x:c r="AX71" s="80" t="n">
        <x:f>AW22+AX20-AX21-AX22</x:f>
        <x:v>0</x:v>
      </x:c>
      <x:c r="AY71" s="80" t="n">
        <x:f>AX22+AY20-AY21-AY22</x:f>
        <x:v>0</x:v>
      </x:c>
      <x:c r="AZ71" s="80" t="n">
        <x:f>AY22+AZ20-AZ21-AZ22</x:f>
        <x:v>0</x:v>
      </x:c>
    </x:row>
    <x:row r="72" ht="32" customHeight="1">
      <x:c r="A72" s="150"/>
      <x:c r="B72" s="150"/>
      <x:c r="C72" s="154" t="str">
        <x:v>Asset interest receivable roll-forward</x:v>
      </x:c>
      <x:c r="D72" s="150" t="str">
        <x:v>USD</x:v>
      </x:c>
      <x:c r="E72" s="80" t="n">
        <x:f>0+E16-E17-E19-E18</x:f>
        <x:v>1.0186340659856796e-9</x:v>
      </x:c>
      <x:c r="F72" s="80" t="n">
        <x:f>E18+F16-F17-F19-F18</x:f>
        <x:v>-9.313225746154785e-10</x:v>
      </x:c>
      <x:c r="G72" s="80" t="n">
        <x:f>F18+G16-G17-G19-G18</x:f>
        <x:v>4.729372449219227e-10</x:v>
      </x:c>
      <x:c r="H72" s="80" t="n">
        <x:f>G18+H16-H17-H19-H18</x:f>
        <x:v>-1.3969838619232178e-9</x:v>
      </x:c>
      <x:c r="I72" s="80" t="n">
        <x:f>H18+I16-I17-I19-I18</x:f>
        <x:v>-9.38598532229662e-10</x:v>
      </x:c>
      <x:c r="J72" s="80" t="n">
        <x:f>I18+J16-J17-J19-J18</x:f>
        <x:v>0</x:v>
      </x:c>
      <x:c r="K72" s="80" t="n">
        <x:f>J18+K16-K17-K19-K18</x:f>
        <x:v>-3.637978807091713e-11</x:v>
      </x:c>
      <x:c r="L72" s="80" t="n">
        <x:f>K18+L16-L17-L19-L18</x:f>
        <x:v>0</x:v>
      </x:c>
      <x:c r="M72" s="80" t="n">
        <x:f>L18+M16-M17-M19-M18</x:f>
        <x:v>4.511093720793724e-10</x:v>
      </x:c>
      <x:c r="N72" s="80" t="n">
        <x:f>M18+N16-N17-N19-N18</x:f>
        <x:v>-4.656612873077393e-10</x:v>
      </x:c>
      <x:c r="O72" s="80" t="n">
        <x:f>N18+O16-O17-O19-O18</x:f>
        <x:v>-6.548361852765083e-11</x:v>
      </x:c>
      <x:c r="P72" s="80" t="n">
        <x:f>O18+P16-P17-P19-P18</x:f>
        <x:v>0</x:v>
      </x:c>
      <x:c r="Q72" s="80" t="n">
        <x:f>P18+Q16-Q17-Q19-Q18</x:f>
        <x:v>-4.001776687800884e-10</x:v>
      </x:c>
      <x:c r="R72" s="80" t="n">
        <x:f>Q18+R16-R17-R19-R18</x:f>
        <x:v>4.656612873077393e-10</x:v>
      </x:c>
      <x:c r="S72" s="80" t="n">
        <x:f>R18+S16-S17-S19-S18</x:f>
        <x:v>6.039044819772243e-10</x:v>
      </x:c>
      <x:c r="T72" s="80" t="n">
        <x:f>S18+T16-T17-T19-T18</x:f>
        <x:v>-4.656612873077393e-10</x:v>
      </x:c>
      <x:c r="U72" s="80" t="n">
        <x:f>T18+U16-U17-U19-U18</x:f>
        <x:v>1.7826096154749393e-10</x:v>
      </x:c>
      <x:c r="V72" s="80" t="n">
        <x:f>U18+V16-V17-V19-V18</x:f>
        <x:v>0</x:v>
      </x:c>
      <x:c r="W72" s="80" t="n">
        <x:f>V18+W16-W17-W19-W18</x:f>
        <x:v>-7.275957614183426e-11</x:v>
      </x:c>
      <x:c r="X72" s="80" t="n">
        <x:f>W18+X16-X17-X19-X18</x:f>
        <x:v>-4.656612873077393e-10</x:v>
      </x:c>
      <x:c r="Y72" s="80" t="n">
        <x:f>X18+Y16-Y17-Y19-Y18</x:f>
        <x:v>3.92901711165905e-10</x:v>
      </x:c>
      <x:c r="Z72" s="80" t="n">
        <x:f>Y18+Z16-Z17-Z19-Z18</x:f>
        <x:v>0</x:v>
      </x:c>
      <x:c r="AA72" s="80" t="n">
        <x:f>Z18+AA16-AA17-AA19-AA18</x:f>
        <x:v>-6.912159733474255e-11</x:v>
      </x:c>
      <x:c r="AB72" s="80" t="n">
        <x:f>AA18+AB16-AB17-AB19-AB18</x:f>
        <x:v>1.1641532182693481e-10</x:v>
      </x:c>
      <x:c r="AC72" s="80" t="n">
        <x:f>AB18+AC16-AC17-AC19-AC18</x:f>
        <x:v>9.094947017729282e-11</x:v>
      </x:c>
      <x:c r="AD72" s="80" t="n">
        <x:f>AC18+AD16-AD17-AD19-AD18</x:f>
        <x:v>0</x:v>
      </x:c>
      <x:c r="AE72" s="80" t="n">
        <x:f>AD18+AE16-AE17-AE19-AE18</x:f>
        <x:v>-1.1641532182693481e-10</x:v>
      </x:c>
      <x:c r="AF72" s="80" t="n">
        <x:f>AE18+AF16-AF17-AF19-AF18</x:f>
        <x:v>0</x:v>
      </x:c>
      <x:c r="AG72" s="80" t="n">
        <x:f>AF18+AG16-AG17-AG19-AG18</x:f>
        <x:v>1.7280399333685637e-11</x:v>
      </x:c>
      <x:c r="AH72" s="80" t="n">
        <x:f>AG18+AH16-AH17-AH19-AH18</x:f>
        <x:v>0</x:v>
      </x:c>
      <x:c r="AI72" s="80" t="n">
        <x:f>AH18+AI16-AI17-AI19-AI18</x:f>
        <x:v>0</x:v>
      </x:c>
      <x:c r="AJ72" s="80" t="n">
        <x:f>AI18+AJ16-AJ17-AJ19-AJ18</x:f>
        <x:v>0</x:v>
      </x:c>
      <x:c r="AK72" s="80" t="n">
        <x:f>AJ18+AK16-AK17-AK19-AK18</x:f>
        <x:v>0</x:v>
      </x:c>
      <x:c r="AL72" s="80" t="n">
        <x:f>AK18+AL16-AL17-AL19-AL18</x:f>
        <x:v>0</x:v>
      </x:c>
      <x:c r="AM72" s="80" t="n">
        <x:f>AL18+AM16-AM17-AM19-AM18</x:f>
        <x:v>0</x:v>
      </x:c>
      <x:c r="AN72" s="80" t="n">
        <x:f>AM18+AN16-AN17-AN19-AN18</x:f>
        <x:v>0</x:v>
      </x:c>
      <x:c r="AO72" s="80" t="n">
        <x:f>AN18+AO16-AO17-AO19-AO18</x:f>
        <x:v>0</x:v>
      </x:c>
      <x:c r="AP72" s="80" t="n">
        <x:f>AO18+AP16-AP17-AP19-AP18</x:f>
        <x:v>0</x:v>
      </x:c>
      <x:c r="AQ72" s="80" t="n">
        <x:f>AP18+AQ16-AQ17-AQ19-AQ18</x:f>
        <x:v>0</x:v>
      </x:c>
      <x:c r="AR72" s="80" t="n">
        <x:f>AQ18+AR16-AR17-AR19-AR18</x:f>
        <x:v>0</x:v>
      </x:c>
      <x:c r="AS72" s="80" t="n">
        <x:f>AR18+AS16-AS17-AS19-AS18</x:f>
        <x:v>0</x:v>
      </x:c>
      <x:c r="AT72" s="80" t="n">
        <x:f>AS18+AT16-AT17-AT19-AT18</x:f>
        <x:v>0</x:v>
      </x:c>
      <x:c r="AU72" s="80" t="n">
        <x:f>AT18+AU16-AU17-AU19-AU18</x:f>
        <x:v>0</x:v>
      </x:c>
      <x:c r="AV72" s="80" t="n">
        <x:f>AU18+AV16-AV17-AV19-AV18</x:f>
        <x:v>0</x:v>
      </x:c>
      <x:c r="AW72" s="80" t="n">
        <x:f>AV18+AW16-AW17-AW19-AW18</x:f>
        <x:v>0</x:v>
      </x:c>
      <x:c r="AX72" s="80" t="n">
        <x:f>AW18+AX16-AX17-AX19-AX18</x:f>
        <x:v>0</x:v>
      </x:c>
      <x:c r="AY72" s="80" t="n">
        <x:f>AX18+AY16-AY17-AY19-AY18</x:f>
        <x:v>0</x:v>
      </x:c>
      <x:c r="AZ72" s="80" t="n">
        <x:f>AY18+AZ16-AZ17-AZ19-AZ18</x:f>
        <x:v>0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D8823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13" hidden="0" customWidth="1"/>
    <x:col min="4" max="4" width="18" hidden="0" customWidth="1"/>
    <x:col min="5" max="5" width="18" hidden="0" customWidth="1"/>
    <x:col min="6" max="6" width="32" hidden="0" customWidth="1"/>
    <x:col min="7" max="7" width="24" hidden="0" customWidth="1"/>
    <x:col min="8" max="8" width="24" hidden="0" customWidth="1"/>
    <x:col min="9" max="9" width="27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6" max="16" width="22" hidden="0" customWidth="1"/>
    <x:col min="17" max="17" width="22" hidden="0" customWidth="1"/>
    <x:col min="18" max="18" width="43" hidden="0" customWidth="1"/>
    <x:col min="19" max="19" width="43" hidden="0" customWidth="1"/>
  </x:cols>
  <x:sheetData>
    <x:row r="1">
      <x:c r="A1" s="23"/>
      <x:c r="B1" s="23"/>
      <x:c r="C1" s="116" t="str">
        <x:v>Development sizing tests</x:v>
      </x:c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50"/>
      <x:c r="P1" s="150"/>
      <x:c r="Q1" s="150"/>
      <x:c r="R1" s="150"/>
      <x:c r="S1" s="150"/>
    </x:row>
    <x:row r="2">
      <x:c r="A2" s="23"/>
      <x:c r="B2" s="23"/>
      <x:c r="C2" s="24" t="str">
        <x:v>Senior Sizing Sensitivity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150"/>
      <x:c r="P2" s="150"/>
      <x:c r="Q2" s="150"/>
      <x:c r="R2" s="150"/>
      <x:c r="S2" s="150"/>
    </x:row>
    <x:row r="3" ht="22" customHeight="1">
      <x:c r="A3" s="23"/>
      <x:c r="B3" s="23"/>
      <x:c r="C3" s="26" t="str">
        <x:v>Same portfolio and stress inputs at every size. Results are exploratory; AAA is not determined.</x:v>
      </x:c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150"/>
      <x:c r="P3" s="150"/>
      <x:c r="Q3" s="150"/>
      <x:c r="R3" s="150"/>
      <x:c r="S3" s="150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150"/>
      <x:c r="P4" s="150"/>
      <x:c r="Q4" s="150"/>
      <x:c r="R4" s="150"/>
      <x:c r="S4" s="150"/>
    </x:row>
    <x:row r="5">
      <x:c r="A5" s="23"/>
      <x:c r="B5" s="23"/>
      <x:c r="C5" s="32" t="str">
        <x:f>IF(Refresh_Required,"REFRESH REQUIRED — Python results reflect the last run","Python results match the imported inputs")</x:f>
        <x:v>Python results match the imported inputs</x:v>
      </x:c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150"/>
      <x:c r="P5" s="150"/>
      <x:c r="Q5" s="150"/>
      <x:c r="R5" s="150"/>
      <x:c r="S5" s="150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150"/>
      <x:c r="P6" s="150"/>
      <x:c r="Q6" s="150"/>
      <x:c r="R6" s="150"/>
      <x:c r="S6" s="150"/>
    </x:row>
    <x:row r="7" ht="38" customHeight="1">
      <x:c r="A7" s="23"/>
      <x:c r="B7" s="23"/>
      <x:c r="C7" s="7" t="str">
        <x:v>Senior</x:v>
      </x:c>
      <x:c r="D7" s="7" t="str">
        <x:v>Junior</x:v>
      </x:c>
      <x:c r="E7" s="7" t="str">
        <x:v>Equity</x:v>
      </x:c>
      <x:c r="F7" s="7" t="str">
        <x:v>Binding stress (see brackets)</x:v>
      </x:c>
      <x:c r="G7" s="7" t="str">
        <x:v>Worst senior principal shortfall</x:v>
      </x:c>
      <x:c r="H7" s="7" t="str">
        <x:v>Worst missed timely interest</x:v>
      </x:c>
      <x:c r="I7" s="7" t="str">
        <x:v>All base-severity cases</x:v>
      </x:c>
      <x:c r="J7" s="7" t="str">
        <x:v>Tested default rate</x:v>
      </x:c>
      <x:c r="K7" s="7" t="str">
        <x:v>Scenario count</x:v>
      </x:c>
      <x:c r="L7" s="7" t="str">
        <x:v>Run all pass</x:v>
      </x:c>
      <x:c r="M7" s="7" t="str">
        <x:v>Run all valid</x:v>
      </x:c>
      <x:c r="N7" s="7" t="str">
        <x:v>Run refresh</x:v>
      </x:c>
      <x:c r="O7" s="150"/>
      <x:c r="P7" s="7" t="str">
        <x:v>Last tested pass</x:v>
      </x:c>
      <x:c r="Q7" s="7" t="str">
        <x:v>First tested failure</x:v>
      </x:c>
      <x:c r="R7" s="7" t="str">
        <x:v>Binding basis</x:v>
      </x:c>
      <x:c r="S7" s="7" t="str">
        <x:v>Boundary status</x:v>
      </x:c>
    </x:row>
    <x:row r="8" ht="45" customHeight="1">
      <x:c r="A8" s="23"/>
      <x:c r="B8" s="23"/>
      <x:c r="C8" s="43" t="n">
        <x:v>0.6</x:v>
      </x:c>
      <x:c r="D8" s="78" t="n">
        <x:f>1-C8-E8</x:f>
        <x:v>0.30000000000000004</x:v>
      </x:c>
      <x:c r="E8" s="75" t="n">
        <x:f>equity_pct</x:f>
        <x:v>0.1</x:v>
      </x:c>
      <x:c r="F8" s="33" t="str">
        <x:v>middle_flat</x:v>
      </x:c>
      <x:c r="G8" s="89" t="n">
        <x:v>0</x:v>
      </x:c>
      <x:c r="H8" s="89" t="n">
        <x:v>0</x:v>
      </x:c>
      <x:c r="I8" s="87" t="str">
        <x:f>IF(Refresh_Required,"REFRESH REQUIRED",IF(M8,IF(L8,"Meets tested stresses","Shortfall"),"Target not attained"))</x:f>
        <x:v>Meets tested stresses</x:v>
      </x:c>
      <x:c r="J8" s="43" t="n">
        <x:v>0.3</x:v>
      </x:c>
      <x:c r="K8" s="23" t="n">
        <x:v>12</x:v>
      </x:c>
      <x:c r="L8" s="45" t="b">
        <x:v>1</x:v>
      </x:c>
      <x:c r="M8" s="45" t="b">
        <x:v>1</x:v>
      </x:c>
      <x:c r="N8" s="65" t="b">
        <x:f>Refresh_Required</x:f>
        <x:v>0</x:v>
      </x:c>
      <x:c r="O8" s="150"/>
      <x:c r="P8" s="163" t="n">
        <x:v>0.65</x:v>
      </x:c>
      <x:c r="Q8" s="163" t="n">
        <x:v>0.7</x:v>
      </x:c>
      <x:c r="R8" s="154" t="str">
        <x:v>Lowest first-failure grid bracket; ties follow scenario order</x:v>
      </x:c>
      <x:c r="S8" s="154" t="str">
        <x:v>GRID BRACKET</x:v>
      </x:c>
    </x:row>
    <x:row r="9" ht="45" customHeight="1">
      <x:c r="A9" s="150"/>
      <x:c r="B9" s="150"/>
      <x:c r="C9" s="163" t="n">
        <x:v>0.61</x:v>
      </x:c>
      <x:c r="D9" s="78" t="n">
        <x:f>1-C9-E9</x:f>
        <x:v>0.29000000000000004</x:v>
      </x:c>
      <x:c r="E9" s="75" t="n">
        <x:f>equity_pct</x:f>
        <x:v>0.1</x:v>
      </x:c>
      <x:c r="F9" s="154" t="str">
        <x:v>front_flat</x:v>
      </x:c>
      <x:c r="G9" s="193" t="n">
        <x:v>0</x:v>
      </x:c>
      <x:c r="H9" s="193" t="n">
        <x:v>0</x:v>
      </x:c>
      <x:c r="I9" s="87" t="str">
        <x:f>IF(Refresh_Required,"REFRESH REQUIRED",IF(M9,IF(L9,"Meets tested stresses","Shortfall"),"Target not attained"))</x:f>
        <x:v>Meets tested stresses</x:v>
      </x:c>
      <x:c r="J9" s="163" t="n">
        <x:v>0.3</x:v>
      </x:c>
      <x:c r="K9" s="150" t="n">
        <x:v>12</x:v>
      </x:c>
      <x:c r="L9" s="194" t="b">
        <x:v>1</x:v>
      </x:c>
      <x:c r="M9" s="194" t="b">
        <x:v>1</x:v>
      </x:c>
      <x:c r="N9" s="65" t="b">
        <x:f>Refresh_Required</x:f>
        <x:v>0</x:v>
      </x:c>
      <x:c r="O9" s="150"/>
      <x:c r="P9" s="163" t="n">
        <x:v>0.65</x:v>
      </x:c>
      <x:c r="Q9" s="163" t="n">
        <x:v>0.7</x:v>
      </x:c>
      <x:c r="R9" s="154" t="str">
        <x:v>Lowest first-failure grid bracket; ties follow scenario order</x:v>
      </x:c>
      <x:c r="S9" s="154" t="str">
        <x:v>GRID BRACKET</x:v>
      </x:c>
    </x:row>
    <x:row r="10" ht="45" customHeight="1">
      <x:c r="A10" s="150"/>
      <x:c r="B10" s="150"/>
      <x:c r="C10" s="163" t="n">
        <x:v>0.62</x:v>
      </x:c>
      <x:c r="D10" s="78" t="n">
        <x:f>1-C10-E10</x:f>
        <x:v>0.28</x:v>
      </x:c>
      <x:c r="E10" s="75" t="n">
        <x:f>equity_pct</x:f>
        <x:v>0.1</x:v>
      </x:c>
      <x:c r="F10" s="154" t="str">
        <x:v>back_flat</x:v>
      </x:c>
      <x:c r="G10" s="193" t="n">
        <x:v>0</x:v>
      </x:c>
      <x:c r="H10" s="193" t="n">
        <x:v>0</x:v>
      </x:c>
      <x:c r="I10" s="87" t="str">
        <x:f>IF(Refresh_Required,"REFRESH REQUIRED",IF(M10,IF(L10,"Meets tested stresses","Shortfall"),"Target not attained"))</x:f>
        <x:v>Meets tested stresses</x:v>
      </x:c>
      <x:c r="J10" s="163" t="n">
        <x:v>0.3</x:v>
      </x:c>
      <x:c r="K10" s="150" t="n">
        <x:v>12</x:v>
      </x:c>
      <x:c r="L10" s="194" t="b">
        <x:v>1</x:v>
      </x:c>
      <x:c r="M10" s="194" t="b">
        <x:v>1</x:v>
      </x:c>
      <x:c r="N10" s="65" t="b">
        <x:f>Refresh_Required</x:f>
        <x:v>0</x:v>
      </x:c>
      <x:c r="O10" s="150"/>
      <x:c r="P10" s="163" t="n">
        <x:v>0.6</x:v>
      </x:c>
      <x:c r="Q10" s="163" t="n">
        <x:v>0.65</x:v>
      </x:c>
      <x:c r="R10" s="154" t="str">
        <x:v>Lowest first-failure grid bracket; ties follow scenario order</x:v>
      </x:c>
      <x:c r="S10" s="154" t="str">
        <x:v>GRID BRACKET</x:v>
      </x:c>
    </x:row>
    <x:row r="11" ht="45" customHeight="1">
      <x:c r="A11" s="150"/>
      <x:c r="B11" s="150"/>
      <x:c r="C11" s="163" t="n">
        <x:v>0.63</x:v>
      </x:c>
      <x:c r="D11" s="78" t="n">
        <x:f>1-C11-E11</x:f>
        <x:v>0.27</x:v>
      </x:c>
      <x:c r="E11" s="75" t="n">
        <x:f>equity_pct</x:f>
        <x:v>0.1</x:v>
      </x:c>
      <x:c r="F11" s="154" t="str">
        <x:v>middle_flat</x:v>
      </x:c>
      <x:c r="G11" s="193" t="n">
        <x:v>0</x:v>
      </x:c>
      <x:c r="H11" s="193" t="n">
        <x:v>0</x:v>
      </x:c>
      <x:c r="I11" s="87" t="str">
        <x:f>IF(Refresh_Required,"REFRESH REQUIRED",IF(M11,IF(L11,"Meets tested stresses","Shortfall"),"Target not attained"))</x:f>
        <x:v>Meets tested stresses</x:v>
      </x:c>
      <x:c r="J11" s="163" t="n">
        <x:v>0.3</x:v>
      </x:c>
      <x:c r="K11" s="150" t="n">
        <x:v>12</x:v>
      </x:c>
      <x:c r="L11" s="194" t="b">
        <x:v>1</x:v>
      </x:c>
      <x:c r="M11" s="194" t="b">
        <x:v>1</x:v>
      </x:c>
      <x:c r="N11" s="65" t="b">
        <x:f>Refresh_Required</x:f>
        <x:v>0</x:v>
      </x:c>
      <x:c r="O11" s="150"/>
      <x:c r="P11" s="163" t="n">
        <x:v>0.6</x:v>
      </x:c>
      <x:c r="Q11" s="163" t="n">
        <x:v>0.65</x:v>
      </x:c>
      <x:c r="R11" s="154" t="str">
        <x:v>Lowest first-failure grid bracket; ties follow scenario order</x:v>
      </x:c>
      <x:c r="S11" s="154" t="str">
        <x:v>GRID BRACKET</x:v>
      </x:c>
    </x:row>
    <x:row r="12" ht="45" customHeight="1">
      <x:c r="A12" s="150"/>
      <x:c r="B12" s="150"/>
      <x:c r="C12" s="163" t="n">
        <x:v>0.64</x:v>
      </x:c>
      <x:c r="D12" s="78" t="n">
        <x:f>1-C12-E12</x:f>
        <x:v>0.26</x:v>
      </x:c>
      <x:c r="E12" s="75" t="n">
        <x:f>equity_pct</x:f>
        <x:v>0.1</x:v>
      </x:c>
      <x:c r="F12" s="154" t="str">
        <x:v>front_flat</x:v>
      </x:c>
      <x:c r="G12" s="193" t="n">
        <x:v>0</x:v>
      </x:c>
      <x:c r="H12" s="193" t="n">
        <x:v>0</x:v>
      </x:c>
      <x:c r="I12" s="87" t="str">
        <x:f>IF(Refresh_Required,"REFRESH REQUIRED",IF(M12,IF(L12,"Meets tested stresses","Shortfall"),"Target not attained"))</x:f>
        <x:v>Meets tested stresses</x:v>
      </x:c>
      <x:c r="J12" s="163" t="n">
        <x:v>0.3</x:v>
      </x:c>
      <x:c r="K12" s="150" t="n">
        <x:v>12</x:v>
      </x:c>
      <x:c r="L12" s="194" t="b">
        <x:v>1</x:v>
      </x:c>
      <x:c r="M12" s="194" t="b">
        <x:v>1</x:v>
      </x:c>
      <x:c r="N12" s="65" t="b">
        <x:f>Refresh_Required</x:f>
        <x:v>0</x:v>
      </x:c>
      <x:c r="O12" s="150"/>
      <x:c r="P12" s="163" t="n">
        <x:v>0.6</x:v>
      </x:c>
      <x:c r="Q12" s="163" t="n">
        <x:v>0.65</x:v>
      </x:c>
      <x:c r="R12" s="154" t="str">
        <x:v>Lowest first-failure grid bracket; ties follow scenario order</x:v>
      </x:c>
      <x:c r="S12" s="154" t="str">
        <x:v>GRID BRACKET</x:v>
      </x:c>
    </x:row>
    <x:row r="13" ht="45" customHeight="1">
      <x:c r="A13" s="150"/>
      <x:c r="B13" s="150"/>
      <x:c r="C13" s="163" t="n">
        <x:v>0.65</x:v>
      </x:c>
      <x:c r="D13" s="78" t="n">
        <x:f>1-C13-E13</x:f>
        <x:v>0.24999999999999997</x:v>
      </x:c>
      <x:c r="E13" s="75" t="n">
        <x:f>equity_pct</x:f>
        <x:v>0.1</x:v>
      </x:c>
      <x:c r="F13" s="154" t="str">
        <x:v>front_flat</x:v>
      </x:c>
      <x:c r="G13" s="193" t="n">
        <x:v>0</x:v>
      </x:c>
      <x:c r="H13" s="193" t="n">
        <x:v>0</x:v>
      </x:c>
      <x:c r="I13" s="87" t="str">
        <x:f>IF(Refresh_Required,"REFRESH REQUIRED",IF(M13,IF(L13,"Meets tested stresses","Shortfall"),"Target not attained"))</x:f>
        <x:v>Meets tested stresses</x:v>
      </x:c>
      <x:c r="J13" s="163" t="n">
        <x:v>0.3</x:v>
      </x:c>
      <x:c r="K13" s="150" t="n">
        <x:v>12</x:v>
      </x:c>
      <x:c r="L13" s="194" t="b">
        <x:v>1</x:v>
      </x:c>
      <x:c r="M13" s="194" t="b">
        <x:v>1</x:v>
      </x:c>
      <x:c r="N13" s="65" t="b">
        <x:f>Refresh_Required</x:f>
        <x:v>0</x:v>
      </x:c>
      <x:c r="O13" s="150"/>
      <x:c r="P13" s="163" t="n">
        <x:v>0.6</x:v>
      </x:c>
      <x:c r="Q13" s="163" t="n">
        <x:v>0.65</x:v>
      </x:c>
      <x:c r="R13" s="154" t="str">
        <x:v>Lowest first-failure grid bracket; ties follow scenario order</x:v>
      </x:c>
      <x:c r="S13" s="154" t="str">
        <x:v>GRID BRACKET</x:v>
      </x:c>
    </x:row>
    <x:row r="14" ht="45" customHeight="1">
      <x:c r="A14" s="150"/>
      <x:c r="B14" s="150"/>
      <x:c r="C14" s="163" t="n">
        <x:v>0.66</x:v>
      </x:c>
      <x:c r="D14" s="78" t="n">
        <x:f>1-C14-E14</x:f>
        <x:v>0.23999999999999996</x:v>
      </x:c>
      <x:c r="E14" s="75" t="n">
        <x:f>equity_pct</x:f>
        <x:v>0.1</x:v>
      </x:c>
      <x:c r="F14" s="154" t="str">
        <x:v>middle_flat</x:v>
      </x:c>
      <x:c r="G14" s="193" t="n">
        <x:v>0</x:v>
      </x:c>
      <x:c r="H14" s="193" t="n">
        <x:v>0</x:v>
      </x:c>
      <x:c r="I14" s="87" t="str">
        <x:f>IF(Refresh_Required,"REFRESH REQUIRED",IF(M14,IF(L14,"Meets tested stresses","Shortfall"),"Target not attained"))</x:f>
        <x:v>Meets tested stresses</x:v>
      </x:c>
      <x:c r="J14" s="163" t="n">
        <x:v>0.3</x:v>
      </x:c>
      <x:c r="K14" s="150" t="n">
        <x:v>12</x:v>
      </x:c>
      <x:c r="L14" s="194" t="b">
        <x:v>1</x:v>
      </x:c>
      <x:c r="M14" s="194" t="b">
        <x:v>1</x:v>
      </x:c>
      <x:c r="N14" s="65" t="b">
        <x:f>Refresh_Required</x:f>
        <x:v>0</x:v>
      </x:c>
      <x:c r="O14" s="150"/>
      <x:c r="P14" s="163" t="n">
        <x:v>0.55</x:v>
      </x:c>
      <x:c r="Q14" s="163" t="n">
        <x:v>0.6</x:v>
      </x:c>
      <x:c r="R14" s="154" t="str">
        <x:v>Lowest first-failure grid bracket; ties follow scenario order</x:v>
      </x:c>
      <x:c r="S14" s="154" t="str">
        <x:v>GRID BRACKET</x:v>
      </x:c>
    </x:row>
    <x:row r="15" ht="45" customHeight="1">
      <x:c r="A15" s="150"/>
      <x:c r="B15" s="150"/>
      <x:c r="C15" s="163" t="n">
        <x:v>0.67</x:v>
      </x:c>
      <x:c r="D15" s="78" t="n">
        <x:f>1-C15-E15</x:f>
        <x:v>0.22999999999999995</x:v>
      </x:c>
      <x:c r="E15" s="75" t="n">
        <x:f>equity_pct</x:f>
        <x:v>0.1</x:v>
      </x:c>
      <x:c r="F15" s="154" t="str">
        <x:v>front_flat</x:v>
      </x:c>
      <x:c r="G15" s="193" t="n">
        <x:v>0</x:v>
      </x:c>
      <x:c r="H15" s="193" t="n">
        <x:v>0</x:v>
      </x:c>
      <x:c r="I15" s="87" t="str">
        <x:f>IF(Refresh_Required,"REFRESH REQUIRED",IF(M15,IF(L15,"Meets tested stresses","Shortfall"),"Target not attained"))</x:f>
        <x:v>Meets tested stresses</x:v>
      </x:c>
      <x:c r="J15" s="163" t="n">
        <x:v>0.3</x:v>
      </x:c>
      <x:c r="K15" s="150" t="n">
        <x:v>12</x:v>
      </x:c>
      <x:c r="L15" s="194" t="b">
        <x:v>1</x:v>
      </x:c>
      <x:c r="M15" s="194" t="b">
        <x:v>1</x:v>
      </x:c>
      <x:c r="N15" s="65" t="b">
        <x:f>Refresh_Required</x:f>
        <x:v>0</x:v>
      </x:c>
      <x:c r="O15" s="150"/>
      <x:c r="P15" s="163" t="n">
        <x:v>0.55</x:v>
      </x:c>
      <x:c r="Q15" s="163" t="n">
        <x:v>0.6</x:v>
      </x:c>
      <x:c r="R15" s="154" t="str">
        <x:v>Lowest first-failure grid bracket; ties follow scenario order</x:v>
      </x:c>
      <x:c r="S15" s="154" t="str">
        <x:v>GRID BRACKET</x:v>
      </x:c>
    </x:row>
    <x:row r="16" ht="45" customHeight="1">
      <x:c r="A16" s="150"/>
      <x:c r="B16" s="150"/>
      <x:c r="C16" s="163" t="n">
        <x:v>0.68</x:v>
      </x:c>
      <x:c r="D16" s="78" t="n">
        <x:f>1-C16-E16</x:f>
        <x:v>0.21999999999999995</x:v>
      </x:c>
      <x:c r="E16" s="75" t="n">
        <x:f>equity_pct</x:f>
        <x:v>0.1</x:v>
      </x:c>
      <x:c r="F16" s="154" t="str">
        <x:v>front_flat</x:v>
      </x:c>
      <x:c r="G16" s="193" t="n">
        <x:v>0</x:v>
      </x:c>
      <x:c r="H16" s="193" t="n">
        <x:v>0</x:v>
      </x:c>
      <x:c r="I16" s="87" t="str">
        <x:f>IF(Refresh_Required,"REFRESH REQUIRED",IF(M16,IF(L16,"Meets tested stresses","Shortfall"),"Target not attained"))</x:f>
        <x:v>Meets tested stresses</x:v>
      </x:c>
      <x:c r="J16" s="163" t="n">
        <x:v>0.3</x:v>
      </x:c>
      <x:c r="K16" s="150" t="n">
        <x:v>12</x:v>
      </x:c>
      <x:c r="L16" s="194" t="b">
        <x:v>1</x:v>
      </x:c>
      <x:c r="M16" s="194" t="b">
        <x:v>1</x:v>
      </x:c>
      <x:c r="N16" s="65" t="b">
        <x:f>Refresh_Required</x:f>
        <x:v>0</x:v>
      </x:c>
      <x:c r="O16" s="150"/>
      <x:c r="P16" s="163" t="n">
        <x:v>0.55</x:v>
      </x:c>
      <x:c r="Q16" s="163" t="n">
        <x:v>0.6</x:v>
      </x:c>
      <x:c r="R16" s="154" t="str">
        <x:v>Lowest first-failure grid bracket; ties follow scenario order</x:v>
      </x:c>
      <x:c r="S16" s="154" t="str">
        <x:v>GRID BRACKET</x:v>
      </x:c>
    </x:row>
    <x:row r="17" ht="45" customHeight="1">
      <x:c r="A17" s="150"/>
      <x:c r="B17" s="150"/>
      <x:c r="C17" s="163" t="n">
        <x:v>0.69</x:v>
      </x:c>
      <x:c r="D17" s="78" t="n">
        <x:f>1-C17-E17</x:f>
        <x:v>0.21000000000000005</x:v>
      </x:c>
      <x:c r="E17" s="75" t="n">
        <x:f>equity_pct</x:f>
        <x:v>0.1</x:v>
      </x:c>
      <x:c r="F17" s="154" t="str">
        <x:v>back_flat</x:v>
      </x:c>
      <x:c r="G17" s="193" t="n">
        <x:v>0</x:v>
      </x:c>
      <x:c r="H17" s="193" t="n">
        <x:v>0</x:v>
      </x:c>
      <x:c r="I17" s="87" t="str">
        <x:f>IF(Refresh_Required,"REFRESH REQUIRED",IF(M17,IF(L17,"Meets tested stresses","Shortfall"),"Target not attained"))</x:f>
        <x:v>Meets tested stresses</x:v>
      </x:c>
      <x:c r="J17" s="163" t="n">
        <x:v>0.3</x:v>
      </x:c>
      <x:c r="K17" s="150" t="n">
        <x:v>12</x:v>
      </x:c>
      <x:c r="L17" s="194" t="b">
        <x:v>1</x:v>
      </x:c>
      <x:c r="M17" s="194" t="b">
        <x:v>1</x:v>
      </x:c>
      <x:c r="N17" s="65" t="b">
        <x:f>Refresh_Required</x:f>
        <x:v>0</x:v>
      </x:c>
      <x:c r="O17" s="150"/>
      <x:c r="P17" s="163" t="n">
        <x:v>0.5</x:v>
      </x:c>
      <x:c r="Q17" s="163" t="n">
        <x:v>0.55</x:v>
      </x:c>
      <x:c r="R17" s="154" t="str">
        <x:v>Lowest first-failure grid bracket; ties follow scenario order</x:v>
      </x:c>
      <x:c r="S17" s="154" t="str">
        <x:v>GRID BRACKET</x:v>
      </x:c>
    </x:row>
    <x:row r="18" ht="45" customHeight="1">
      <x:c r="A18" s="150"/>
      <x:c r="B18" s="150"/>
      <x:c r="C18" s="163" t="n">
        <x:v>0.7</x:v>
      </x:c>
      <x:c r="D18" s="78" t="n">
        <x:f>1-C18-E18</x:f>
        <x:v>0.20000000000000004</x:v>
      </x:c>
      <x:c r="E18" s="75" t="n">
        <x:f>equity_pct</x:f>
        <x:v>0.1</x:v>
      </x:c>
      <x:c r="F18" s="154" t="str">
        <x:v>front_low</x:v>
      </x:c>
      <x:c r="G18" s="193" t="n">
        <x:v>0</x:v>
      </x:c>
      <x:c r="H18" s="193" t="n">
        <x:v>0</x:v>
      </x:c>
      <x:c r="I18" s="87" t="str">
        <x:f>IF(Refresh_Required,"REFRESH REQUIRED",IF(M18,IF(L18,"Meets tested stresses","Shortfall"),"Target not attained"))</x:f>
        <x:v>Meets tested stresses</x:v>
      </x:c>
      <x:c r="J18" s="163" t="n">
        <x:v>0.3</x:v>
      </x:c>
      <x:c r="K18" s="150" t="n">
        <x:v>12</x:v>
      </x:c>
      <x:c r="L18" s="194" t="b">
        <x:v>1</x:v>
      </x:c>
      <x:c r="M18" s="194" t="b">
        <x:v>1</x:v>
      </x:c>
      <x:c r="N18" s="65" t="b">
        <x:f>Refresh_Required</x:f>
        <x:v>0</x:v>
      </x:c>
      <x:c r="O18" s="150"/>
      <x:c r="P18" s="163" t="n">
        <x:v>0.5</x:v>
      </x:c>
      <x:c r="Q18" s="163" t="n">
        <x:v>0.55</x:v>
      </x:c>
      <x:c r="R18" s="154" t="str">
        <x:v>Lowest first-failure grid bracket; ties follow scenario order</x:v>
      </x:c>
      <x:c r="S18" s="154" t="str">
        <x:v>GRID BRACKET</x:v>
      </x:c>
    </x:row>
    <x:row r="19">
      <x:c r="A19" s="150"/>
      <x:c r="B19" s="150"/>
      <x:c r="C19" s="150"/>
      <x:c r="D19" s="150"/>
      <x:c r="E19" s="150"/>
      <x:c r="F19" s="150"/>
      <x:c r="G19" s="150"/>
      <x:c r="H19" s="150"/>
      <x:c r="I19" s="150"/>
      <x:c r="J19" s="150"/>
      <x:c r="K19" s="150"/>
      <x:c r="L19" s="150"/>
      <x:c r="M19" s="150"/>
      <x:c r="N19" s="150"/>
      <x:c r="O19" s="150"/>
      <x:c r="P19" s="150"/>
      <x:c r="Q19" s="150"/>
      <x:c r="R19" s="150"/>
      <x:c r="S19" s="150"/>
    </x:row>
    <x:row r="20">
      <x:c r="A20" s="150"/>
      <x:c r="B20" s="150"/>
      <x:c r="C20" s="150"/>
      <x:c r="D20" s="150"/>
      <x:c r="E20" s="150"/>
      <x:c r="F20" s="150"/>
      <x:c r="G20" s="150"/>
      <x:c r="H20" s="150"/>
      <x:c r="I20" s="150"/>
      <x:c r="J20" s="150"/>
      <x:c r="K20" s="150"/>
      <x:c r="L20" s="150"/>
      <x:c r="M20" s="150"/>
      <x:c r="N20" s="150"/>
      <x:c r="O20" s="150"/>
      <x:c r="P20" s="150"/>
      <x:c r="Q20" s="150"/>
      <x:c r="R20" s="150"/>
      <x:c r="S20" s="150"/>
    </x:row>
    <x:row r="21">
      <x:c r="A21" s="150"/>
      <x:c r="B21" s="150"/>
      <x:c r="C21" s="150"/>
      <x:c r="D21" s="150"/>
      <x:c r="E21" s="150"/>
      <x:c r="F21" s="150"/>
      <x:c r="G21" s="150"/>
      <x:c r="H21" s="150"/>
      <x:c r="I21" s="150"/>
      <x:c r="J21" s="150"/>
      <x:c r="K21" s="150"/>
      <x:c r="L21" s="150"/>
      <x:c r="M21" s="150"/>
      <x:c r="N21" s="150"/>
      <x:c r="O21" s="150"/>
      <x:c r="P21" s="150"/>
      <x:c r="Q21" s="150"/>
      <x:c r="R21" s="150"/>
      <x:c r="S21" s="150"/>
    </x:row>
    <x:row r="22">
      <x:c r="A22" s="150"/>
      <x:c r="B22" s="150"/>
      <x:c r="C22" s="150"/>
      <x:c r="D22" s="150"/>
      <x:c r="E22" s="150"/>
      <x:c r="F22" s="150"/>
      <x:c r="G22" s="150"/>
      <x:c r="H22" s="150"/>
      <x:c r="I22" s="150"/>
      <x:c r="J22" s="150"/>
      <x:c r="K22" s="150"/>
      <x:c r="L22" s="150"/>
      <x:c r="M22" s="150"/>
      <x:c r="N22" s="150"/>
      <x:c r="O22" s="150"/>
      <x:c r="P22" s="150"/>
      <x:c r="Q22" s="150"/>
      <x:c r="R22" s="150"/>
      <x:c r="S22" s="150"/>
    </x:row>
    <x:row r="23" ht="38" customHeight="1">
      <x:c r="A23" s="150"/>
      <x:c r="B23" s="150"/>
      <x:c r="C23" s="7" t="str">
        <x:v>Senior</x:v>
      </x:c>
      <x:c r="D23" s="7" t="str">
        <x:v>Scenario</x:v>
      </x:c>
      <x:c r="E23" s="7" t="str">
        <x:v>Last tested pass</x:v>
      </x:c>
      <x:c r="F23" s="7" t="str">
        <x:v>First tested failure</x:v>
      </x:c>
      <x:c r="G23" s="7" t="str">
        <x:v>Boundary status</x:v>
      </x:c>
      <x:c r="H23" s="7" t="str">
        <x:v>Unattainable targets</x:v>
      </x:c>
      <x:c r="I23" s="7" t="str">
        <x:v>Non-monotonic</x:v>
      </x:c>
      <x:c r="J23" s="150"/>
      <x:c r="K23" s="150"/>
      <x:c r="L23" s="150"/>
      <x:c r="M23" s="150"/>
      <x:c r="N23" s="150"/>
      <x:c r="O23" s="150"/>
      <x:c r="P23" s="150"/>
      <x:c r="Q23" s="150"/>
      <x:c r="R23" s="150"/>
      <x:c r="S23" s="150"/>
    </x:row>
    <x:row r="24" ht="42" customHeight="1">
      <x:c r="A24" s="150"/>
      <x:c r="B24" s="150"/>
      <x:c r="C24" s="163" t="n">
        <x:v>0.6</x:v>
      </x:c>
      <x:c r="D24" s="150" t="str">
        <x:v>front_flat</x:v>
      </x:c>
      <x:c r="E24" s="163" t="n">
        <x:v>0.7</x:v>
      </x:c>
      <x:c r="F24" s="163" t="n">
        <x:v>0.75</x:v>
      </x:c>
      <x:c r="G24" s="154" t="str">
        <x:v>GRID BRACKET</x:v>
      </x:c>
      <x:c r="H24" s="195" t="b">
        <x:v>1</x:v>
      </x:c>
      <x:c r="I24" s="195" t="b">
        <x:v>0</x:v>
      </x:c>
      <x:c r="J24" s="150"/>
      <x:c r="K24" s="150"/>
      <x:c r="L24" s="150"/>
      <x:c r="M24" s="150"/>
      <x:c r="N24" s="150"/>
      <x:c r="O24" s="150"/>
      <x:c r="P24" s="150"/>
      <x:c r="Q24" s="150"/>
      <x:c r="R24" s="150"/>
      <x:c r="S24" s="150"/>
    </x:row>
    <x:row r="25" ht="42" customHeight="1">
      <x:c r="A25" s="150"/>
      <x:c r="B25" s="150"/>
      <x:c r="C25" s="163" t="n">
        <x:v>0.6</x:v>
      </x:c>
      <x:c r="D25" s="150" t="str">
        <x:v>front_low</x:v>
      </x:c>
      <x:c r="E25" s="163" t="n">
        <x:v>0.7</x:v>
      </x:c>
      <x:c r="F25" s="163" t="n">
        <x:v>0.75</x:v>
      </x:c>
      <x:c r="G25" s="154" t="str">
        <x:v>GRID BRACKET</x:v>
      </x:c>
      <x:c r="H25" s="195" t="b">
        <x:v>1</x:v>
      </x:c>
      <x:c r="I25" s="195" t="b">
        <x:v>0</x:v>
      </x:c>
      <x:c r="J25" s="150"/>
      <x:c r="K25" s="150"/>
      <x:c r="L25" s="150"/>
      <x:c r="M25" s="150"/>
      <x:c r="N25" s="150"/>
      <x:c r="O25" s="150"/>
      <x:c r="P25" s="150"/>
      <x:c r="Q25" s="150"/>
      <x:c r="R25" s="150"/>
      <x:c r="S25" s="150"/>
    </x:row>
    <x:row r="26" ht="42" customHeight="1">
      <x:c r="A26" s="150"/>
      <x:c r="B26" s="150"/>
      <x:c r="C26" s="163" t="n">
        <x:v>0.6</x:v>
      </x:c>
      <x:c r="D26" s="150" t="str">
        <x:v>front_high</x:v>
      </x:c>
      <x:c r="E26" s="163" t="n">
        <x:v>0.7</x:v>
      </x:c>
      <x:c r="F26" s="163" t="n">
        <x:v>0.75</x:v>
      </x:c>
      <x:c r="G26" s="154" t="str">
        <x:v>GRID BRACKET</x:v>
      </x:c>
      <x:c r="H26" s="195" t="b">
        <x:v>1</x:v>
      </x:c>
      <x:c r="I26" s="195" t="b">
        <x:v>0</x:v>
      </x:c>
      <x:c r="J26" s="150"/>
      <x:c r="K26" s="150"/>
      <x:c r="L26" s="150"/>
      <x:c r="M26" s="150"/>
      <x:c r="N26" s="150"/>
      <x:c r="O26" s="150"/>
      <x:c r="P26" s="150"/>
      <x:c r="Q26" s="150"/>
      <x:c r="R26" s="150"/>
      <x:c r="S26" s="150"/>
    </x:row>
    <x:row r="27" ht="42" customHeight="1">
      <x:c r="A27" s="150"/>
      <x:c r="B27" s="150"/>
      <x:c r="C27" s="163" t="n">
        <x:v>0.6</x:v>
      </x:c>
      <x:c r="D27" s="150" t="str">
        <x:v>middle_flat</x:v>
      </x:c>
      <x:c r="E27" s="163" t="n">
        <x:v>0.65</x:v>
      </x:c>
      <x:c r="F27" s="163" t="n">
        <x:v>0.7</x:v>
      </x:c>
      <x:c r="G27" s="154" t="str">
        <x:v>GRID BRACKET</x:v>
      </x:c>
      <x:c r="H27" s="195" t="b">
        <x:v>1</x:v>
      </x:c>
      <x:c r="I27" s="195" t="b">
        <x:v>0</x:v>
      </x:c>
      <x:c r="J27" s="150"/>
      <x:c r="K27" s="150"/>
      <x:c r="L27" s="150"/>
      <x:c r="M27" s="150"/>
      <x:c r="N27" s="150"/>
      <x:c r="O27" s="150"/>
      <x:c r="P27" s="150"/>
      <x:c r="Q27" s="150"/>
      <x:c r="R27" s="150"/>
      <x:c r="S27" s="150"/>
    </x:row>
    <x:row r="28" ht="42" customHeight="1">
      <x:c r="A28" s="150"/>
      <x:c r="B28" s="150"/>
      <x:c r="C28" s="163" t="n">
        <x:v>0.6</x:v>
      </x:c>
      <x:c r="D28" s="150" t="str">
        <x:v>middle_low</x:v>
      </x:c>
      <x:c r="E28" s="163" t="n">
        <x:v>0.65</x:v>
      </x:c>
      <x:c r="F28" s="163" t="n">
        <x:v>0.7</x:v>
      </x:c>
      <x:c r="G28" s="154" t="str">
        <x:v>GRID BRACKET</x:v>
      </x:c>
      <x:c r="H28" s="195" t="b">
        <x:v>1</x:v>
      </x:c>
      <x:c r="I28" s="195" t="b">
        <x:v>0</x:v>
      </x:c>
      <x:c r="J28" s="150"/>
      <x:c r="K28" s="150"/>
      <x:c r="L28" s="150"/>
      <x:c r="M28" s="150"/>
      <x:c r="N28" s="150"/>
      <x:c r="O28" s="150"/>
      <x:c r="P28" s="150"/>
      <x:c r="Q28" s="150"/>
      <x:c r="R28" s="150"/>
      <x:c r="S28" s="150"/>
    </x:row>
    <x:row r="29" ht="42" customHeight="1">
      <x:c r="A29" s="150"/>
      <x:c r="B29" s="150"/>
      <x:c r="C29" s="163" t="n">
        <x:v>0.6</x:v>
      </x:c>
      <x:c r="D29" s="150" t="str">
        <x:v>middle_high</x:v>
      </x:c>
      <x:c r="E29" s="163" t="n">
        <x:v>0.65</x:v>
      </x:c>
      <x:c r="F29" s="163" t="n">
        <x:v>0.7</x:v>
      </x:c>
      <x:c r="G29" s="154" t="str">
        <x:v>GRID BRACKET</x:v>
      </x:c>
      <x:c r="H29" s="195" t="b">
        <x:v>1</x:v>
      </x:c>
      <x:c r="I29" s="195" t="b">
        <x:v>0</x:v>
      </x:c>
      <x:c r="J29" s="150"/>
      <x:c r="K29" s="150"/>
      <x:c r="L29" s="150"/>
      <x:c r="M29" s="150"/>
      <x:c r="N29" s="150"/>
      <x:c r="O29" s="150"/>
      <x:c r="P29" s="150"/>
      <x:c r="Q29" s="150"/>
      <x:c r="R29" s="150"/>
      <x:c r="S29" s="150"/>
    </x:row>
    <x:row r="30" ht="42" customHeight="1">
      <x:c r="A30" s="150"/>
      <x:c r="B30" s="150"/>
      <x:c r="C30" s="163" t="n">
        <x:v>0.6</x:v>
      </x:c>
      <x:c r="D30" s="150" t="str">
        <x:v>back_flat</x:v>
      </x:c>
      <x:c r="E30" s="163" t="n">
        <x:v>0.65</x:v>
      </x:c>
      <x:c r="F30" s="163" t="n">
        <x:v>0.7</x:v>
      </x:c>
      <x:c r="G30" s="154" t="str">
        <x:v>GRID BRACKET</x:v>
      </x:c>
      <x:c r="H30" s="195" t="b">
        <x:v>1</x:v>
      </x:c>
      <x:c r="I30" s="195" t="b">
        <x:v>0</x:v>
      </x:c>
      <x:c r="J30" s="150"/>
      <x:c r="K30" s="150"/>
      <x:c r="L30" s="150"/>
      <x:c r="M30" s="150"/>
      <x:c r="N30" s="150"/>
      <x:c r="O30" s="150"/>
      <x:c r="P30" s="150"/>
      <x:c r="Q30" s="150"/>
      <x:c r="R30" s="150"/>
      <x:c r="S30" s="150"/>
    </x:row>
    <x:row r="31" ht="42" customHeight="1">
      <x:c r="A31" s="150"/>
      <x:c r="B31" s="150"/>
      <x:c r="C31" s="163" t="n">
        <x:v>0.6</x:v>
      </x:c>
      <x:c r="D31" s="150" t="str">
        <x:v>back_low</x:v>
      </x:c>
      <x:c r="E31" s="163" t="n">
        <x:v>0.65</x:v>
      </x:c>
      <x:c r="F31" s="163" t="n">
        <x:v>0.7</x:v>
      </x:c>
      <x:c r="G31" s="154" t="str">
        <x:v>GRID BRACKET</x:v>
      </x:c>
      <x:c r="H31" s="195" t="b">
        <x:v>1</x:v>
      </x:c>
      <x:c r="I31" s="195" t="b">
        <x:v>0</x:v>
      </x:c>
      <x:c r="J31" s="150"/>
      <x:c r="K31" s="150"/>
      <x:c r="L31" s="150"/>
      <x:c r="M31" s="150"/>
      <x:c r="N31" s="150"/>
      <x:c r="O31" s="150"/>
      <x:c r="P31" s="150"/>
      <x:c r="Q31" s="150"/>
      <x:c r="R31" s="150"/>
      <x:c r="S31" s="150"/>
    </x:row>
    <x:row r="32" ht="42" customHeight="1">
      <x:c r="A32" s="150"/>
      <x:c r="B32" s="150"/>
      <x:c r="C32" s="163" t="n">
        <x:v>0.6</x:v>
      </x:c>
      <x:c r="D32" s="150" t="str">
        <x:v>back_high</x:v>
      </x:c>
      <x:c r="E32" s="163" t="n">
        <x:v>0.65</x:v>
      </x:c>
      <x:c r="F32" s="163" t="n">
        <x:v>0.7</x:v>
      </x:c>
      <x:c r="G32" s="154" t="str">
        <x:v>GRID BRACKET</x:v>
      </x:c>
      <x:c r="H32" s="195" t="b">
        <x:v>1</x:v>
      </x:c>
      <x:c r="I32" s="195" t="b">
        <x:v>0</x:v>
      </x:c>
      <x:c r="J32" s="150"/>
      <x:c r="K32" s="150"/>
      <x:c r="L32" s="150"/>
      <x:c r="M32" s="150"/>
      <x:c r="N32" s="150"/>
      <x:c r="O32" s="150"/>
      <x:c r="P32" s="150"/>
      <x:c r="Q32" s="150"/>
      <x:c r="R32" s="150"/>
      <x:c r="S32" s="150"/>
    </x:row>
    <x:row r="33" ht="42" customHeight="1">
      <x:c r="A33" s="150"/>
      <x:c r="B33" s="150"/>
      <x:c r="C33" s="163" t="n">
        <x:v>0.6</x:v>
      </x:c>
      <x:c r="D33" s="150" t="str">
        <x:v>level_flat</x:v>
      </x:c>
      <x:c r="E33" s="163" t="n">
        <x:v>0.65</x:v>
      </x:c>
      <x:c r="F33" s="163" t="n">
        <x:v>0.7</x:v>
      </x:c>
      <x:c r="G33" s="154" t="str">
        <x:v>GRID BRACKET</x:v>
      </x:c>
      <x:c r="H33" s="195" t="b">
        <x:v>1</x:v>
      </x:c>
      <x:c r="I33" s="195" t="b">
        <x:v>0</x:v>
      </x:c>
      <x:c r="J33" s="150"/>
      <x:c r="K33" s="150"/>
      <x:c r="L33" s="150"/>
      <x:c r="M33" s="150"/>
      <x:c r="N33" s="150"/>
      <x:c r="O33" s="150"/>
      <x:c r="P33" s="150"/>
      <x:c r="Q33" s="150"/>
      <x:c r="R33" s="150"/>
      <x:c r="S33" s="150"/>
    </x:row>
    <x:row r="34" ht="42" customHeight="1">
      <x:c r="A34" s="150"/>
      <x:c r="B34" s="150"/>
      <x:c r="C34" s="163" t="n">
        <x:v>0.6</x:v>
      </x:c>
      <x:c r="D34" s="150" t="str">
        <x:v>level_low</x:v>
      </x:c>
      <x:c r="E34" s="163" t="n">
        <x:v>0.65</x:v>
      </x:c>
      <x:c r="F34" s="163" t="n">
        <x:v>0.7</x:v>
      </x:c>
      <x:c r="G34" s="154" t="str">
        <x:v>GRID BRACKET</x:v>
      </x:c>
      <x:c r="H34" s="195" t="b">
        <x:v>1</x:v>
      </x:c>
      <x:c r="I34" s="195" t="b">
        <x:v>0</x:v>
      </x:c>
      <x:c r="J34" s="150"/>
      <x:c r="K34" s="150"/>
      <x:c r="L34" s="150"/>
      <x:c r="M34" s="150"/>
      <x:c r="N34" s="150"/>
      <x:c r="O34" s="150"/>
      <x:c r="P34" s="150"/>
      <x:c r="Q34" s="150"/>
      <x:c r="R34" s="150"/>
      <x:c r="S34" s="150"/>
    </x:row>
    <x:row r="35" ht="42" customHeight="1">
      <x:c r="A35" s="150"/>
      <x:c r="B35" s="150"/>
      <x:c r="C35" s="163" t="n">
        <x:v>0.6</x:v>
      </x:c>
      <x:c r="D35" s="150" t="str">
        <x:v>level_high</x:v>
      </x:c>
      <x:c r="E35" s="163" t="n">
        <x:v>0.65</x:v>
      </x:c>
      <x:c r="F35" s="163" t="n">
        <x:v>0.7</x:v>
      </x:c>
      <x:c r="G35" s="154" t="str">
        <x:v>GRID BRACKET</x:v>
      </x:c>
      <x:c r="H35" s="195" t="b">
        <x:v>1</x:v>
      </x:c>
      <x:c r="I35" s="195" t="b">
        <x:v>0</x:v>
      </x:c>
      <x:c r="J35" s="150"/>
      <x:c r="K35" s="150"/>
      <x:c r="L35" s="150"/>
      <x:c r="M35" s="150"/>
      <x:c r="N35" s="150"/>
      <x:c r="O35" s="150"/>
      <x:c r="P35" s="150"/>
      <x:c r="Q35" s="150"/>
      <x:c r="R35" s="150"/>
      <x:c r="S35" s="150"/>
    </x:row>
    <x:row r="36" ht="42" customHeight="1">
      <x:c r="A36" s="150"/>
      <x:c r="B36" s="150"/>
      <x:c r="C36" s="163" t="n">
        <x:v>0.61</x:v>
      </x:c>
      <x:c r="D36" s="150" t="str">
        <x:v>front_flat</x:v>
      </x:c>
      <x:c r="E36" s="163" t="n">
        <x:v>0.65</x:v>
      </x:c>
      <x:c r="F36" s="163" t="n">
        <x:v>0.7</x:v>
      </x:c>
      <x:c r="G36" s="154" t="str">
        <x:v>GRID BRACKET</x:v>
      </x:c>
      <x:c r="H36" s="195" t="b">
        <x:v>1</x:v>
      </x:c>
      <x:c r="I36" s="195" t="b">
        <x:v>0</x:v>
      </x:c>
      <x:c r="J36" s="150"/>
      <x:c r="K36" s="150"/>
      <x:c r="L36" s="150"/>
      <x:c r="M36" s="150"/>
      <x:c r="N36" s="150"/>
      <x:c r="O36" s="150"/>
      <x:c r="P36" s="150"/>
      <x:c r="Q36" s="150"/>
      <x:c r="R36" s="150"/>
      <x:c r="S36" s="150"/>
    </x:row>
    <x:row r="37" ht="42" customHeight="1">
      <x:c r="A37" s="150"/>
      <x:c r="B37" s="150"/>
      <x:c r="C37" s="163" t="n">
        <x:v>0.61</x:v>
      </x:c>
      <x:c r="D37" s="150" t="str">
        <x:v>front_low</x:v>
      </x:c>
      <x:c r="E37" s="163" t="n">
        <x:v>0.65</x:v>
      </x:c>
      <x:c r="F37" s="163" t="n">
        <x:v>0.7</x:v>
      </x:c>
      <x:c r="G37" s="154" t="str">
        <x:v>GRID BRACKET</x:v>
      </x:c>
      <x:c r="H37" s="195" t="b">
        <x:v>1</x:v>
      </x:c>
      <x:c r="I37" s="195" t="b">
        <x:v>0</x:v>
      </x:c>
      <x:c r="J37" s="150"/>
      <x:c r="K37" s="150"/>
      <x:c r="L37" s="150"/>
      <x:c r="M37" s="150"/>
      <x:c r="N37" s="150"/>
      <x:c r="O37" s="150"/>
      <x:c r="P37" s="150"/>
      <x:c r="Q37" s="150"/>
      <x:c r="R37" s="150"/>
      <x:c r="S37" s="150"/>
    </x:row>
    <x:row r="38" ht="42" customHeight="1">
      <x:c r="A38" s="150"/>
      <x:c r="B38" s="150"/>
      <x:c r="C38" s="163" t="n">
        <x:v>0.61</x:v>
      </x:c>
      <x:c r="D38" s="150" t="str">
        <x:v>front_high</x:v>
      </x:c>
      <x:c r="E38" s="163" t="n">
        <x:v>0.65</x:v>
      </x:c>
      <x:c r="F38" s="163" t="n">
        <x:v>0.7</x:v>
      </x:c>
      <x:c r="G38" s="154" t="str">
        <x:v>GRID BRACKET</x:v>
      </x:c>
      <x:c r="H38" s="195" t="b">
        <x:v>1</x:v>
      </x:c>
      <x:c r="I38" s="195" t="b">
        <x:v>0</x:v>
      </x:c>
      <x:c r="J38" s="150"/>
      <x:c r="K38" s="150"/>
      <x:c r="L38" s="150"/>
      <x:c r="M38" s="150"/>
      <x:c r="N38" s="150"/>
      <x:c r="O38" s="150"/>
      <x:c r="P38" s="150"/>
      <x:c r="Q38" s="150"/>
      <x:c r="R38" s="150"/>
      <x:c r="S38" s="150"/>
    </x:row>
    <x:row r="39" ht="42" customHeight="1">
      <x:c r="A39" s="150"/>
      <x:c r="B39" s="150"/>
      <x:c r="C39" s="163" t="n">
        <x:v>0.61</x:v>
      </x:c>
      <x:c r="D39" s="150" t="str">
        <x:v>middle_flat</x:v>
      </x:c>
      <x:c r="E39" s="163" t="n">
        <x:v>0.65</x:v>
      </x:c>
      <x:c r="F39" s="163" t="n">
        <x:v>0.7</x:v>
      </x:c>
      <x:c r="G39" s="154" t="str">
        <x:v>GRID BRACKET</x:v>
      </x:c>
      <x:c r="H39" s="195" t="b">
        <x:v>1</x:v>
      </x:c>
      <x:c r="I39" s="195" t="b">
        <x:v>0</x:v>
      </x:c>
      <x:c r="J39" s="150"/>
      <x:c r="K39" s="150"/>
      <x:c r="L39" s="150"/>
      <x:c r="M39" s="150"/>
      <x:c r="N39" s="150"/>
      <x:c r="O39" s="150"/>
      <x:c r="P39" s="150"/>
      <x:c r="Q39" s="150"/>
      <x:c r="R39" s="150"/>
      <x:c r="S39" s="150"/>
    </x:row>
    <x:row r="40" ht="42" customHeight="1">
      <x:c r="A40" s="150"/>
      <x:c r="B40" s="150"/>
      <x:c r="C40" s="163" t="n">
        <x:v>0.61</x:v>
      </x:c>
      <x:c r="D40" s="150" t="str">
        <x:v>middle_low</x:v>
      </x:c>
      <x:c r="E40" s="163" t="n">
        <x:v>0.65</x:v>
      </x:c>
      <x:c r="F40" s="163" t="n">
        <x:v>0.7</x:v>
      </x:c>
      <x:c r="G40" s="154" t="str">
        <x:v>GRID BRACKET</x:v>
      </x:c>
      <x:c r="H40" s="195" t="b">
        <x:v>1</x:v>
      </x:c>
      <x:c r="I40" s="195" t="b">
        <x:v>0</x:v>
      </x:c>
      <x:c r="J40" s="150"/>
      <x:c r="K40" s="150"/>
      <x:c r="L40" s="150"/>
      <x:c r="M40" s="150"/>
      <x:c r="N40" s="150"/>
      <x:c r="O40" s="150"/>
      <x:c r="P40" s="150"/>
      <x:c r="Q40" s="150"/>
      <x:c r="R40" s="150"/>
      <x:c r="S40" s="150"/>
    </x:row>
    <x:row r="41" ht="42" customHeight="1">
      <x:c r="A41" s="150"/>
      <x:c r="B41" s="150"/>
      <x:c r="C41" s="163" t="n">
        <x:v>0.61</x:v>
      </x:c>
      <x:c r="D41" s="150" t="str">
        <x:v>middle_high</x:v>
      </x:c>
      <x:c r="E41" s="163" t="n">
        <x:v>0.65</x:v>
      </x:c>
      <x:c r="F41" s="163" t="n">
        <x:v>0.7</x:v>
      </x:c>
      <x:c r="G41" s="154" t="str">
        <x:v>GRID BRACKET</x:v>
      </x:c>
      <x:c r="H41" s="195" t="b">
        <x:v>1</x:v>
      </x:c>
      <x:c r="I41" s="195" t="b">
        <x:v>0</x:v>
      </x:c>
      <x:c r="J41" s="150"/>
      <x:c r="K41" s="150"/>
      <x:c r="L41" s="150"/>
      <x:c r="M41" s="150"/>
      <x:c r="N41" s="150"/>
      <x:c r="O41" s="150"/>
      <x:c r="P41" s="150"/>
      <x:c r="Q41" s="150"/>
      <x:c r="R41" s="150"/>
      <x:c r="S41" s="150"/>
    </x:row>
    <x:row r="42" ht="42" customHeight="1">
      <x:c r="A42" s="150"/>
      <x:c r="B42" s="150"/>
      <x:c r="C42" s="163" t="n">
        <x:v>0.61</x:v>
      </x:c>
      <x:c r="D42" s="150" t="str">
        <x:v>back_flat</x:v>
      </x:c>
      <x:c r="E42" s="163" t="n">
        <x:v>0.65</x:v>
      </x:c>
      <x:c r="F42" s="163" t="n">
        <x:v>0.7</x:v>
      </x:c>
      <x:c r="G42" s="154" t="str">
        <x:v>GRID BRACKET</x:v>
      </x:c>
      <x:c r="H42" s="195" t="b">
        <x:v>1</x:v>
      </x:c>
      <x:c r="I42" s="195" t="b">
        <x:v>0</x:v>
      </x:c>
      <x:c r="J42" s="150"/>
      <x:c r="K42" s="150"/>
      <x:c r="L42" s="150"/>
      <x:c r="M42" s="150"/>
      <x:c r="N42" s="150"/>
      <x:c r="O42" s="150"/>
      <x:c r="P42" s="150"/>
      <x:c r="Q42" s="150"/>
      <x:c r="R42" s="150"/>
      <x:c r="S42" s="150"/>
    </x:row>
    <x:row r="43" ht="42" customHeight="1">
      <x:c r="A43" s="150"/>
      <x:c r="B43" s="150"/>
      <x:c r="C43" s="163" t="n">
        <x:v>0.61</x:v>
      </x:c>
      <x:c r="D43" s="150" t="str">
        <x:v>back_low</x:v>
      </x:c>
      <x:c r="E43" s="163" t="n">
        <x:v>0.65</x:v>
      </x:c>
      <x:c r="F43" s="163" t="n">
        <x:v>0.7</x:v>
      </x:c>
      <x:c r="G43" s="154" t="str">
        <x:v>GRID BRACKET</x:v>
      </x:c>
      <x:c r="H43" s="195" t="b">
        <x:v>1</x:v>
      </x:c>
      <x:c r="I43" s="195" t="b">
        <x:v>0</x:v>
      </x:c>
      <x:c r="J43" s="150"/>
      <x:c r="K43" s="150"/>
      <x:c r="L43" s="150"/>
      <x:c r="M43" s="150"/>
      <x:c r="N43" s="150"/>
      <x:c r="O43" s="150"/>
      <x:c r="P43" s="150"/>
      <x:c r="Q43" s="150"/>
      <x:c r="R43" s="150"/>
      <x:c r="S43" s="150"/>
    </x:row>
    <x:row r="44" ht="42" customHeight="1">
      <x:c r="A44" s="150"/>
      <x:c r="B44" s="150"/>
      <x:c r="C44" s="163" t="n">
        <x:v>0.61</x:v>
      </x:c>
      <x:c r="D44" s="150" t="str">
        <x:v>back_high</x:v>
      </x:c>
      <x:c r="E44" s="163" t="n">
        <x:v>0.65</x:v>
      </x:c>
      <x:c r="F44" s="163" t="n">
        <x:v>0.7</x:v>
      </x:c>
      <x:c r="G44" s="154" t="str">
        <x:v>GRID BRACKET</x:v>
      </x:c>
      <x:c r="H44" s="195" t="b">
        <x:v>1</x:v>
      </x:c>
      <x:c r="I44" s="195" t="b">
        <x:v>0</x:v>
      </x:c>
      <x:c r="J44" s="150"/>
      <x:c r="K44" s="150"/>
      <x:c r="L44" s="150"/>
      <x:c r="M44" s="150"/>
      <x:c r="N44" s="150"/>
      <x:c r="O44" s="150"/>
      <x:c r="P44" s="150"/>
      <x:c r="Q44" s="150"/>
      <x:c r="R44" s="150"/>
      <x:c r="S44" s="150"/>
    </x:row>
    <x:row r="45" ht="42" customHeight="1">
      <x:c r="A45" s="150"/>
      <x:c r="B45" s="150"/>
      <x:c r="C45" s="163" t="n">
        <x:v>0.61</x:v>
      </x:c>
      <x:c r="D45" s="150" t="str">
        <x:v>level_flat</x:v>
      </x:c>
      <x:c r="E45" s="163" t="n">
        <x:v>0.65</x:v>
      </x:c>
      <x:c r="F45" s="163" t="n">
        <x:v>0.7</x:v>
      </x:c>
      <x:c r="G45" s="154" t="str">
        <x:v>GRID BRACKET</x:v>
      </x:c>
      <x:c r="H45" s="195" t="b">
        <x:v>1</x:v>
      </x:c>
      <x:c r="I45" s="195" t="b">
        <x:v>0</x:v>
      </x:c>
      <x:c r="J45" s="150"/>
      <x:c r="K45" s="150"/>
      <x:c r="L45" s="150"/>
      <x:c r="M45" s="150"/>
      <x:c r="N45" s="150"/>
      <x:c r="O45" s="150"/>
      <x:c r="P45" s="150"/>
      <x:c r="Q45" s="150"/>
      <x:c r="R45" s="150"/>
      <x:c r="S45" s="150"/>
    </x:row>
    <x:row r="46" ht="42" customHeight="1">
      <x:c r="A46" s="150"/>
      <x:c r="B46" s="150"/>
      <x:c r="C46" s="163" t="n">
        <x:v>0.61</x:v>
      </x:c>
      <x:c r="D46" s="150" t="str">
        <x:v>level_low</x:v>
      </x:c>
      <x:c r="E46" s="163" t="n">
        <x:v>0.65</x:v>
      </x:c>
      <x:c r="F46" s="163" t="n">
        <x:v>0.7</x:v>
      </x:c>
      <x:c r="G46" s="154" t="str">
        <x:v>GRID BRACKET</x:v>
      </x:c>
      <x:c r="H46" s="195" t="b">
        <x:v>1</x:v>
      </x:c>
      <x:c r="I46" s="195" t="b">
        <x:v>0</x:v>
      </x:c>
      <x:c r="J46" s="150"/>
      <x:c r="K46" s="150"/>
      <x:c r="L46" s="150"/>
      <x:c r="M46" s="150"/>
      <x:c r="N46" s="150"/>
      <x:c r="O46" s="150"/>
      <x:c r="P46" s="150"/>
      <x:c r="Q46" s="150"/>
      <x:c r="R46" s="150"/>
      <x:c r="S46" s="150"/>
    </x:row>
    <x:row r="47" ht="42" customHeight="1">
      <x:c r="A47" s="150"/>
      <x:c r="B47" s="150"/>
      <x:c r="C47" s="163" t="n">
        <x:v>0.61</x:v>
      </x:c>
      <x:c r="D47" s="150" t="str">
        <x:v>level_high</x:v>
      </x:c>
      <x:c r="E47" s="163" t="n">
        <x:v>0.65</x:v>
      </x:c>
      <x:c r="F47" s="163" t="n">
        <x:v>0.7</x:v>
      </x:c>
      <x:c r="G47" s="154" t="str">
        <x:v>GRID BRACKET</x:v>
      </x:c>
      <x:c r="H47" s="195" t="b">
        <x:v>1</x:v>
      </x:c>
      <x:c r="I47" s="195" t="b">
        <x:v>0</x:v>
      </x:c>
      <x:c r="J47" s="150"/>
      <x:c r="K47" s="150"/>
      <x:c r="L47" s="150"/>
      <x:c r="M47" s="150"/>
      <x:c r="N47" s="150"/>
      <x:c r="O47" s="150"/>
      <x:c r="P47" s="150"/>
      <x:c r="Q47" s="150"/>
      <x:c r="R47" s="150"/>
      <x:c r="S47" s="150"/>
    </x:row>
    <x:row r="48" ht="42" customHeight="1">
      <x:c r="A48" s="150"/>
      <x:c r="B48" s="150"/>
      <x:c r="C48" s="163" t="n">
        <x:v>0.62</x:v>
      </x:c>
      <x:c r="D48" s="150" t="str">
        <x:v>front_flat</x:v>
      </x:c>
      <x:c r="E48" s="163" t="n">
        <x:v>0.65</x:v>
      </x:c>
      <x:c r="F48" s="163" t="n">
        <x:v>0.7</x:v>
      </x:c>
      <x:c r="G48" s="154" t="str">
        <x:v>GRID BRACKET</x:v>
      </x:c>
      <x:c r="H48" s="195" t="b">
        <x:v>1</x:v>
      </x:c>
      <x:c r="I48" s="195" t="b">
        <x:v>0</x:v>
      </x:c>
      <x:c r="J48" s="150"/>
      <x:c r="K48" s="150"/>
      <x:c r="L48" s="150"/>
      <x:c r="M48" s="150"/>
      <x:c r="N48" s="150"/>
      <x:c r="O48" s="150"/>
      <x:c r="P48" s="150"/>
      <x:c r="Q48" s="150"/>
      <x:c r="R48" s="150"/>
      <x:c r="S48" s="150"/>
    </x:row>
    <x:row r="49" ht="42" customHeight="1">
      <x:c r="A49" s="150"/>
      <x:c r="B49" s="150"/>
      <x:c r="C49" s="163" t="n">
        <x:v>0.62</x:v>
      </x:c>
      <x:c r="D49" s="150" t="str">
        <x:v>front_low</x:v>
      </x:c>
      <x:c r="E49" s="163" t="n">
        <x:v>0.65</x:v>
      </x:c>
      <x:c r="F49" s="163" t="n">
        <x:v>0.7</x:v>
      </x:c>
      <x:c r="G49" s="154" t="str">
        <x:v>GRID BRACKET</x:v>
      </x:c>
      <x:c r="H49" s="195" t="b">
        <x:v>1</x:v>
      </x:c>
      <x:c r="I49" s="195" t="b">
        <x:v>0</x:v>
      </x:c>
      <x:c r="J49" s="150"/>
      <x:c r="K49" s="150"/>
      <x:c r="L49" s="150"/>
      <x:c r="M49" s="150"/>
      <x:c r="N49" s="150"/>
      <x:c r="O49" s="150"/>
      <x:c r="P49" s="150"/>
      <x:c r="Q49" s="150"/>
      <x:c r="R49" s="150"/>
      <x:c r="S49" s="150"/>
    </x:row>
    <x:row r="50" ht="42" customHeight="1">
      <x:c r="A50" s="150"/>
      <x:c r="B50" s="150"/>
      <x:c r="C50" s="163" t="n">
        <x:v>0.62</x:v>
      </x:c>
      <x:c r="D50" s="150" t="str">
        <x:v>front_high</x:v>
      </x:c>
      <x:c r="E50" s="163" t="n">
        <x:v>0.65</x:v>
      </x:c>
      <x:c r="F50" s="163" t="n">
        <x:v>0.7</x:v>
      </x:c>
      <x:c r="G50" s="154" t="str">
        <x:v>GRID BRACKET</x:v>
      </x:c>
      <x:c r="H50" s="195" t="b">
        <x:v>1</x:v>
      </x:c>
      <x:c r="I50" s="195" t="b">
        <x:v>0</x:v>
      </x:c>
      <x:c r="J50" s="150"/>
      <x:c r="K50" s="150"/>
      <x:c r="L50" s="150"/>
      <x:c r="M50" s="150"/>
      <x:c r="N50" s="150"/>
      <x:c r="O50" s="150"/>
      <x:c r="P50" s="150"/>
      <x:c r="Q50" s="150"/>
      <x:c r="R50" s="150"/>
      <x:c r="S50" s="150"/>
    </x:row>
    <x:row r="51" ht="42" customHeight="1">
      <x:c r="A51" s="150"/>
      <x:c r="B51" s="150"/>
      <x:c r="C51" s="163" t="n">
        <x:v>0.62</x:v>
      </x:c>
      <x:c r="D51" s="150" t="str">
        <x:v>middle_flat</x:v>
      </x:c>
      <x:c r="E51" s="163" t="n">
        <x:v>0.65</x:v>
      </x:c>
      <x:c r="F51" s="163" t="n">
        <x:v>0.7</x:v>
      </x:c>
      <x:c r="G51" s="154" t="str">
        <x:v>GRID BRACKET</x:v>
      </x:c>
      <x:c r="H51" s="195" t="b">
        <x:v>1</x:v>
      </x:c>
      <x:c r="I51" s="195" t="b">
        <x:v>0</x:v>
      </x:c>
      <x:c r="J51" s="150"/>
      <x:c r="K51" s="150"/>
      <x:c r="L51" s="150"/>
      <x:c r="M51" s="150"/>
      <x:c r="N51" s="150"/>
      <x:c r="O51" s="150"/>
      <x:c r="P51" s="150"/>
      <x:c r="Q51" s="150"/>
      <x:c r="R51" s="150"/>
      <x:c r="S51" s="150"/>
    </x:row>
    <x:row r="52" ht="42" customHeight="1">
      <x:c r="A52" s="150"/>
      <x:c r="B52" s="150"/>
      <x:c r="C52" s="163" t="n">
        <x:v>0.62</x:v>
      </x:c>
      <x:c r="D52" s="150" t="str">
        <x:v>middle_low</x:v>
      </x:c>
      <x:c r="E52" s="163" t="n">
        <x:v>0.65</x:v>
      </x:c>
      <x:c r="F52" s="163" t="n">
        <x:v>0.7</x:v>
      </x:c>
      <x:c r="G52" s="154" t="str">
        <x:v>GRID BRACKET</x:v>
      </x:c>
      <x:c r="H52" s="195" t="b">
        <x:v>1</x:v>
      </x:c>
      <x:c r="I52" s="195" t="b">
        <x:v>0</x:v>
      </x:c>
      <x:c r="J52" s="150"/>
      <x:c r="K52" s="150"/>
      <x:c r="L52" s="150"/>
      <x:c r="M52" s="150"/>
      <x:c r="N52" s="150"/>
      <x:c r="O52" s="150"/>
      <x:c r="P52" s="150"/>
      <x:c r="Q52" s="150"/>
      <x:c r="R52" s="150"/>
      <x:c r="S52" s="150"/>
    </x:row>
    <x:row r="53" ht="42" customHeight="1">
      <x:c r="A53" s="150"/>
      <x:c r="B53" s="150"/>
      <x:c r="C53" s="163" t="n">
        <x:v>0.62</x:v>
      </x:c>
      <x:c r="D53" s="150" t="str">
        <x:v>middle_high</x:v>
      </x:c>
      <x:c r="E53" s="163" t="n">
        <x:v>0.65</x:v>
      </x:c>
      <x:c r="F53" s="163" t="n">
        <x:v>0.7</x:v>
      </x:c>
      <x:c r="G53" s="154" t="str">
        <x:v>GRID BRACKET</x:v>
      </x:c>
      <x:c r="H53" s="195" t="b">
        <x:v>1</x:v>
      </x:c>
      <x:c r="I53" s="195" t="b">
        <x:v>0</x:v>
      </x:c>
      <x:c r="J53" s="150"/>
      <x:c r="K53" s="150"/>
      <x:c r="L53" s="150"/>
      <x:c r="M53" s="150"/>
      <x:c r="N53" s="150"/>
      <x:c r="O53" s="150"/>
      <x:c r="P53" s="150"/>
      <x:c r="Q53" s="150"/>
      <x:c r="R53" s="150"/>
      <x:c r="S53" s="150"/>
    </x:row>
    <x:row r="54" ht="42" customHeight="1">
      <x:c r="A54" s="150"/>
      <x:c r="B54" s="150"/>
      <x:c r="C54" s="163" t="n">
        <x:v>0.62</x:v>
      </x:c>
      <x:c r="D54" s="150" t="str">
        <x:v>back_flat</x:v>
      </x:c>
      <x:c r="E54" s="163" t="n">
        <x:v>0.6</x:v>
      </x:c>
      <x:c r="F54" s="163" t="n">
        <x:v>0.65</x:v>
      </x:c>
      <x:c r="G54" s="154" t="str">
        <x:v>GRID BRACKET</x:v>
      </x:c>
      <x:c r="H54" s="195" t="b">
        <x:v>1</x:v>
      </x:c>
      <x:c r="I54" s="195" t="b">
        <x:v>0</x:v>
      </x:c>
      <x:c r="J54" s="150"/>
      <x:c r="K54" s="150"/>
      <x:c r="L54" s="150"/>
      <x:c r="M54" s="150"/>
      <x:c r="N54" s="150"/>
      <x:c r="O54" s="150"/>
      <x:c r="P54" s="150"/>
      <x:c r="Q54" s="150"/>
      <x:c r="R54" s="150"/>
      <x:c r="S54" s="150"/>
    </x:row>
    <x:row r="55" ht="42" customHeight="1">
      <x:c r="A55" s="150"/>
      <x:c r="B55" s="150"/>
      <x:c r="C55" s="163" t="n">
        <x:v>0.62</x:v>
      </x:c>
      <x:c r="D55" s="150" t="str">
        <x:v>back_low</x:v>
      </x:c>
      <x:c r="E55" s="163" t="n">
        <x:v>0.6</x:v>
      </x:c>
      <x:c r="F55" s="163" t="n">
        <x:v>0.65</x:v>
      </x:c>
      <x:c r="G55" s="154" t="str">
        <x:v>GRID BRACKET</x:v>
      </x:c>
      <x:c r="H55" s="195" t="b">
        <x:v>1</x:v>
      </x:c>
      <x:c r="I55" s="195" t="b">
        <x:v>0</x:v>
      </x:c>
      <x:c r="J55" s="150"/>
      <x:c r="K55" s="150"/>
      <x:c r="L55" s="150"/>
      <x:c r="M55" s="150"/>
      <x:c r="N55" s="150"/>
      <x:c r="O55" s="150"/>
      <x:c r="P55" s="150"/>
      <x:c r="Q55" s="150"/>
      <x:c r="R55" s="150"/>
      <x:c r="S55" s="150"/>
    </x:row>
    <x:row r="56" ht="42" customHeight="1">
      <x:c r="A56" s="150"/>
      <x:c r="B56" s="150"/>
      <x:c r="C56" s="163" t="n">
        <x:v>0.62</x:v>
      </x:c>
      <x:c r="D56" s="150" t="str">
        <x:v>back_high</x:v>
      </x:c>
      <x:c r="E56" s="163" t="n">
        <x:v>0.6</x:v>
      </x:c>
      <x:c r="F56" s="163" t="n">
        <x:v>0.65</x:v>
      </x:c>
      <x:c r="G56" s="154" t="str">
        <x:v>GRID BRACKET</x:v>
      </x:c>
      <x:c r="H56" s="195" t="b">
        <x:v>1</x:v>
      </x:c>
      <x:c r="I56" s="195" t="b">
        <x:v>0</x:v>
      </x:c>
      <x:c r="J56" s="150"/>
      <x:c r="K56" s="150"/>
      <x:c r="L56" s="150"/>
      <x:c r="M56" s="150"/>
      <x:c r="N56" s="150"/>
      <x:c r="O56" s="150"/>
      <x:c r="P56" s="150"/>
      <x:c r="Q56" s="150"/>
      <x:c r="R56" s="150"/>
      <x:c r="S56" s="150"/>
    </x:row>
    <x:row r="57" ht="42" customHeight="1">
      <x:c r="A57" s="150"/>
      <x:c r="B57" s="150"/>
      <x:c r="C57" s="163" t="n">
        <x:v>0.62</x:v>
      </x:c>
      <x:c r="D57" s="150" t="str">
        <x:v>level_flat</x:v>
      </x:c>
      <x:c r="E57" s="163" t="n">
        <x:v>0.65</x:v>
      </x:c>
      <x:c r="F57" s="163" t="n">
        <x:v>0.7</x:v>
      </x:c>
      <x:c r="G57" s="154" t="str">
        <x:v>GRID BRACKET</x:v>
      </x:c>
      <x:c r="H57" s="195" t="b">
        <x:v>1</x:v>
      </x:c>
      <x:c r="I57" s="195" t="b">
        <x:v>0</x:v>
      </x:c>
      <x:c r="J57" s="150"/>
      <x:c r="K57" s="150"/>
      <x:c r="L57" s="150"/>
      <x:c r="M57" s="150"/>
      <x:c r="N57" s="150"/>
      <x:c r="O57" s="150"/>
      <x:c r="P57" s="150"/>
      <x:c r="Q57" s="150"/>
      <x:c r="R57" s="150"/>
      <x:c r="S57" s="150"/>
    </x:row>
    <x:row r="58" ht="42" customHeight="1">
      <x:c r="A58" s="150"/>
      <x:c r="B58" s="150"/>
      <x:c r="C58" s="163" t="n">
        <x:v>0.62</x:v>
      </x:c>
      <x:c r="D58" s="150" t="str">
        <x:v>level_low</x:v>
      </x:c>
      <x:c r="E58" s="163" t="n">
        <x:v>0.65</x:v>
      </x:c>
      <x:c r="F58" s="163" t="n">
        <x:v>0.7</x:v>
      </x:c>
      <x:c r="G58" s="154" t="str">
        <x:v>GRID BRACKET</x:v>
      </x:c>
      <x:c r="H58" s="195" t="b">
        <x:v>1</x:v>
      </x:c>
      <x:c r="I58" s="195" t="b">
        <x:v>0</x:v>
      </x:c>
      <x:c r="J58" s="150"/>
      <x:c r="K58" s="150"/>
      <x:c r="L58" s="150"/>
      <x:c r="M58" s="150"/>
      <x:c r="N58" s="150"/>
      <x:c r="O58" s="150"/>
      <x:c r="P58" s="150"/>
      <x:c r="Q58" s="150"/>
      <x:c r="R58" s="150"/>
      <x:c r="S58" s="150"/>
    </x:row>
    <x:row r="59" ht="42" customHeight="1">
      <x:c r="A59" s="150"/>
      <x:c r="B59" s="150"/>
      <x:c r="C59" s="163" t="n">
        <x:v>0.62</x:v>
      </x:c>
      <x:c r="D59" s="150" t="str">
        <x:v>level_high</x:v>
      </x:c>
      <x:c r="E59" s="163" t="n">
        <x:v>0.65</x:v>
      </x:c>
      <x:c r="F59" s="163" t="n">
        <x:v>0.7</x:v>
      </x:c>
      <x:c r="G59" s="154" t="str">
        <x:v>GRID BRACKET</x:v>
      </x:c>
      <x:c r="H59" s="195" t="b">
        <x:v>1</x:v>
      </x:c>
      <x:c r="I59" s="195" t="b">
        <x:v>0</x:v>
      </x:c>
      <x:c r="J59" s="150"/>
      <x:c r="K59" s="150"/>
      <x:c r="L59" s="150"/>
      <x:c r="M59" s="150"/>
      <x:c r="N59" s="150"/>
      <x:c r="O59" s="150"/>
      <x:c r="P59" s="150"/>
      <x:c r="Q59" s="150"/>
      <x:c r="R59" s="150"/>
      <x:c r="S59" s="150"/>
    </x:row>
    <x:row r="60" ht="42" customHeight="1">
      <x:c r="A60" s="150"/>
      <x:c r="B60" s="150"/>
      <x:c r="C60" s="163" t="n">
        <x:v>0.63</x:v>
      </x:c>
      <x:c r="D60" s="150" t="str">
        <x:v>front_flat</x:v>
      </x:c>
      <x:c r="E60" s="163" t="n">
        <x:v>0.65</x:v>
      </x:c>
      <x:c r="F60" s="163" t="n">
        <x:v>0.7</x:v>
      </x:c>
      <x:c r="G60" s="154" t="str">
        <x:v>GRID BRACKET</x:v>
      </x:c>
      <x:c r="H60" s="195" t="b">
        <x:v>1</x:v>
      </x:c>
      <x:c r="I60" s="195" t="b">
        <x:v>0</x:v>
      </x:c>
      <x:c r="J60" s="150"/>
      <x:c r="K60" s="150"/>
      <x:c r="L60" s="150"/>
      <x:c r="M60" s="150"/>
      <x:c r="N60" s="150"/>
      <x:c r="O60" s="150"/>
      <x:c r="P60" s="150"/>
      <x:c r="Q60" s="150"/>
      <x:c r="R60" s="150"/>
      <x:c r="S60" s="150"/>
    </x:row>
    <x:row r="61" ht="42" customHeight="1">
      <x:c r="A61" s="150"/>
      <x:c r="B61" s="150"/>
      <x:c r="C61" s="163" t="n">
        <x:v>0.63</x:v>
      </x:c>
      <x:c r="D61" s="150" t="str">
        <x:v>front_low</x:v>
      </x:c>
      <x:c r="E61" s="163" t="n">
        <x:v>0.65</x:v>
      </x:c>
      <x:c r="F61" s="163" t="n">
        <x:v>0.7</x:v>
      </x:c>
      <x:c r="G61" s="154" t="str">
        <x:v>GRID BRACKET</x:v>
      </x:c>
      <x:c r="H61" s="195" t="b">
        <x:v>1</x:v>
      </x:c>
      <x:c r="I61" s="195" t="b">
        <x:v>0</x:v>
      </x:c>
      <x:c r="J61" s="150"/>
      <x:c r="K61" s="150"/>
      <x:c r="L61" s="150"/>
      <x:c r="M61" s="150"/>
      <x:c r="N61" s="150"/>
      <x:c r="O61" s="150"/>
      <x:c r="P61" s="150"/>
      <x:c r="Q61" s="150"/>
      <x:c r="R61" s="150"/>
      <x:c r="S61" s="150"/>
    </x:row>
    <x:row r="62" ht="42" customHeight="1">
      <x:c r="A62" s="150"/>
      <x:c r="B62" s="150"/>
      <x:c r="C62" s="163" t="n">
        <x:v>0.63</x:v>
      </x:c>
      <x:c r="D62" s="150" t="str">
        <x:v>front_high</x:v>
      </x:c>
      <x:c r="E62" s="163" t="n">
        <x:v>0.65</x:v>
      </x:c>
      <x:c r="F62" s="163" t="n">
        <x:v>0.7</x:v>
      </x:c>
      <x:c r="G62" s="154" t="str">
        <x:v>GRID BRACKET</x:v>
      </x:c>
      <x:c r="H62" s="195" t="b">
        <x:v>1</x:v>
      </x:c>
      <x:c r="I62" s="195" t="b">
        <x:v>0</x:v>
      </x:c>
      <x:c r="J62" s="150"/>
      <x:c r="K62" s="150"/>
      <x:c r="L62" s="150"/>
      <x:c r="M62" s="150"/>
      <x:c r="N62" s="150"/>
      <x:c r="O62" s="150"/>
      <x:c r="P62" s="150"/>
      <x:c r="Q62" s="150"/>
      <x:c r="R62" s="150"/>
      <x:c r="S62" s="150"/>
    </x:row>
    <x:row r="63" ht="42" customHeight="1">
      <x:c r="A63" s="150"/>
      <x:c r="B63" s="150"/>
      <x:c r="C63" s="163" t="n">
        <x:v>0.63</x:v>
      </x:c>
      <x:c r="D63" s="150" t="str">
        <x:v>middle_flat</x:v>
      </x:c>
      <x:c r="E63" s="163" t="n">
        <x:v>0.6</x:v>
      </x:c>
      <x:c r="F63" s="163" t="n">
        <x:v>0.65</x:v>
      </x:c>
      <x:c r="G63" s="154" t="str">
        <x:v>GRID BRACKET</x:v>
      </x:c>
      <x:c r="H63" s="195" t="b">
        <x:v>1</x:v>
      </x:c>
      <x:c r="I63" s="195" t="b">
        <x:v>0</x:v>
      </x:c>
      <x:c r="J63" s="150"/>
      <x:c r="K63" s="150"/>
      <x:c r="L63" s="150"/>
      <x:c r="M63" s="150"/>
      <x:c r="N63" s="150"/>
      <x:c r="O63" s="150"/>
      <x:c r="P63" s="150"/>
      <x:c r="Q63" s="150"/>
      <x:c r="R63" s="150"/>
      <x:c r="S63" s="150"/>
    </x:row>
    <x:row r="64" ht="42" customHeight="1">
      <x:c r="A64" s="150"/>
      <x:c r="B64" s="150"/>
      <x:c r="C64" s="163" t="n">
        <x:v>0.63</x:v>
      </x:c>
      <x:c r="D64" s="150" t="str">
        <x:v>middle_low</x:v>
      </x:c>
      <x:c r="E64" s="163" t="n">
        <x:v>0.6</x:v>
      </x:c>
      <x:c r="F64" s="163" t="n">
        <x:v>0.65</x:v>
      </x:c>
      <x:c r="G64" s="154" t="str">
        <x:v>GRID BRACKET</x:v>
      </x:c>
      <x:c r="H64" s="195" t="b">
        <x:v>1</x:v>
      </x:c>
      <x:c r="I64" s="195" t="b">
        <x:v>0</x:v>
      </x:c>
      <x:c r="J64" s="150"/>
      <x:c r="K64" s="150"/>
      <x:c r="L64" s="150"/>
      <x:c r="M64" s="150"/>
      <x:c r="N64" s="150"/>
      <x:c r="O64" s="150"/>
      <x:c r="P64" s="150"/>
      <x:c r="Q64" s="150"/>
      <x:c r="R64" s="150"/>
      <x:c r="S64" s="150"/>
    </x:row>
    <x:row r="65" ht="42" customHeight="1">
      <x:c r="A65" s="150"/>
      <x:c r="B65" s="150"/>
      <x:c r="C65" s="163" t="n">
        <x:v>0.63</x:v>
      </x:c>
      <x:c r="D65" s="150" t="str">
        <x:v>middle_high</x:v>
      </x:c>
      <x:c r="E65" s="163" t="n">
        <x:v>0.6</x:v>
      </x:c>
      <x:c r="F65" s="163" t="n">
        <x:v>0.65</x:v>
      </x:c>
      <x:c r="G65" s="154" t="str">
        <x:v>GRID BRACKET</x:v>
      </x:c>
      <x:c r="H65" s="195" t="b">
        <x:v>1</x:v>
      </x:c>
      <x:c r="I65" s="195" t="b">
        <x:v>0</x:v>
      </x:c>
      <x:c r="J65" s="150"/>
      <x:c r="K65" s="150"/>
      <x:c r="L65" s="150"/>
      <x:c r="M65" s="150"/>
      <x:c r="N65" s="150"/>
      <x:c r="O65" s="150"/>
      <x:c r="P65" s="150"/>
      <x:c r="Q65" s="150"/>
      <x:c r="R65" s="150"/>
      <x:c r="S65" s="150"/>
    </x:row>
    <x:row r="66" ht="42" customHeight="1">
      <x:c r="A66" s="150"/>
      <x:c r="B66" s="150"/>
      <x:c r="C66" s="163" t="n">
        <x:v>0.63</x:v>
      </x:c>
      <x:c r="D66" s="150" t="str">
        <x:v>back_flat</x:v>
      </x:c>
      <x:c r="E66" s="163" t="n">
        <x:v>0.6</x:v>
      </x:c>
      <x:c r="F66" s="163" t="n">
        <x:v>0.65</x:v>
      </x:c>
      <x:c r="G66" s="154" t="str">
        <x:v>GRID BRACKET</x:v>
      </x:c>
      <x:c r="H66" s="195" t="b">
        <x:v>1</x:v>
      </x:c>
      <x:c r="I66" s="195" t="b">
        <x:v>0</x:v>
      </x:c>
      <x:c r="J66" s="150"/>
      <x:c r="K66" s="150"/>
      <x:c r="L66" s="150"/>
      <x:c r="M66" s="150"/>
      <x:c r="N66" s="150"/>
      <x:c r="O66" s="150"/>
      <x:c r="P66" s="150"/>
      <x:c r="Q66" s="150"/>
      <x:c r="R66" s="150"/>
      <x:c r="S66" s="150"/>
    </x:row>
    <x:row r="67" ht="42" customHeight="1">
      <x:c r="A67" s="150"/>
      <x:c r="B67" s="150"/>
      <x:c r="C67" s="163" t="n">
        <x:v>0.63</x:v>
      </x:c>
      <x:c r="D67" s="150" t="str">
        <x:v>back_low</x:v>
      </x:c>
      <x:c r="E67" s="163" t="n">
        <x:v>0.6</x:v>
      </x:c>
      <x:c r="F67" s="163" t="n">
        <x:v>0.65</x:v>
      </x:c>
      <x:c r="G67" s="154" t="str">
        <x:v>GRID BRACKET</x:v>
      </x:c>
      <x:c r="H67" s="195" t="b">
        <x:v>1</x:v>
      </x:c>
      <x:c r="I67" s="195" t="b">
        <x:v>0</x:v>
      </x:c>
      <x:c r="J67" s="150"/>
      <x:c r="K67" s="150"/>
      <x:c r="L67" s="150"/>
      <x:c r="M67" s="150"/>
      <x:c r="N67" s="150"/>
      <x:c r="O67" s="150"/>
      <x:c r="P67" s="150"/>
      <x:c r="Q67" s="150"/>
      <x:c r="R67" s="150"/>
      <x:c r="S67" s="150"/>
    </x:row>
    <x:row r="68" ht="42" customHeight="1">
      <x:c r="A68" s="150"/>
      <x:c r="B68" s="150"/>
      <x:c r="C68" s="163" t="n">
        <x:v>0.63</x:v>
      </x:c>
      <x:c r="D68" s="150" t="str">
        <x:v>back_high</x:v>
      </x:c>
      <x:c r="E68" s="163" t="n">
        <x:v>0.6</x:v>
      </x:c>
      <x:c r="F68" s="163" t="n">
        <x:v>0.65</x:v>
      </x:c>
      <x:c r="G68" s="154" t="str">
        <x:v>GRID BRACKET</x:v>
      </x:c>
      <x:c r="H68" s="195" t="b">
        <x:v>1</x:v>
      </x:c>
      <x:c r="I68" s="195" t="b">
        <x:v>0</x:v>
      </x:c>
      <x:c r="J68" s="150"/>
      <x:c r="K68" s="150"/>
      <x:c r="L68" s="150"/>
      <x:c r="M68" s="150"/>
      <x:c r="N68" s="150"/>
      <x:c r="O68" s="150"/>
      <x:c r="P68" s="150"/>
      <x:c r="Q68" s="150"/>
      <x:c r="R68" s="150"/>
      <x:c r="S68" s="150"/>
    </x:row>
    <x:row r="69" ht="42" customHeight="1">
      <x:c r="A69" s="150"/>
      <x:c r="B69" s="150"/>
      <x:c r="C69" s="163" t="n">
        <x:v>0.63</x:v>
      </x:c>
      <x:c r="D69" s="150" t="str">
        <x:v>level_flat</x:v>
      </x:c>
      <x:c r="E69" s="163" t="n">
        <x:v>0.6</x:v>
      </x:c>
      <x:c r="F69" s="163" t="n">
        <x:v>0.65</x:v>
      </x:c>
      <x:c r="G69" s="154" t="str">
        <x:v>GRID BRACKET</x:v>
      </x:c>
      <x:c r="H69" s="195" t="b">
        <x:v>1</x:v>
      </x:c>
      <x:c r="I69" s="195" t="b">
        <x:v>0</x:v>
      </x:c>
      <x:c r="J69" s="150"/>
      <x:c r="K69" s="150"/>
      <x:c r="L69" s="150"/>
      <x:c r="M69" s="150"/>
      <x:c r="N69" s="150"/>
      <x:c r="O69" s="150"/>
      <x:c r="P69" s="150"/>
      <x:c r="Q69" s="150"/>
      <x:c r="R69" s="150"/>
      <x:c r="S69" s="150"/>
    </x:row>
    <x:row r="70" ht="42" customHeight="1">
      <x:c r="A70" s="150"/>
      <x:c r="B70" s="150"/>
      <x:c r="C70" s="163" t="n">
        <x:v>0.63</x:v>
      </x:c>
      <x:c r="D70" s="150" t="str">
        <x:v>level_low</x:v>
      </x:c>
      <x:c r="E70" s="163" t="n">
        <x:v>0.6</x:v>
      </x:c>
      <x:c r="F70" s="163" t="n">
        <x:v>0.65</x:v>
      </x:c>
      <x:c r="G70" s="154" t="str">
        <x:v>GRID BRACKET</x:v>
      </x:c>
      <x:c r="H70" s="195" t="b">
        <x:v>1</x:v>
      </x:c>
      <x:c r="I70" s="195" t="b">
        <x:v>0</x:v>
      </x:c>
      <x:c r="J70" s="150"/>
      <x:c r="K70" s="150"/>
      <x:c r="L70" s="150"/>
      <x:c r="M70" s="150"/>
      <x:c r="N70" s="150"/>
      <x:c r="O70" s="150"/>
      <x:c r="P70" s="150"/>
      <x:c r="Q70" s="150"/>
      <x:c r="R70" s="150"/>
      <x:c r="S70" s="150"/>
    </x:row>
    <x:row r="71" ht="42" customHeight="1">
      <x:c r="A71" s="150"/>
      <x:c r="B71" s="150"/>
      <x:c r="C71" s="163" t="n">
        <x:v>0.63</x:v>
      </x:c>
      <x:c r="D71" s="150" t="str">
        <x:v>level_high</x:v>
      </x:c>
      <x:c r="E71" s="163" t="n">
        <x:v>0.6</x:v>
      </x:c>
      <x:c r="F71" s="163" t="n">
        <x:v>0.65</x:v>
      </x:c>
      <x:c r="G71" s="154" t="str">
        <x:v>GRID BRACKET</x:v>
      </x:c>
      <x:c r="H71" s="195" t="b">
        <x:v>1</x:v>
      </x:c>
      <x:c r="I71" s="195" t="b">
        <x:v>0</x:v>
      </x:c>
      <x:c r="J71" s="150"/>
      <x:c r="K71" s="150"/>
      <x:c r="L71" s="150"/>
      <x:c r="M71" s="150"/>
      <x:c r="N71" s="150"/>
      <x:c r="O71" s="150"/>
      <x:c r="P71" s="150"/>
      <x:c r="Q71" s="150"/>
      <x:c r="R71" s="150"/>
      <x:c r="S71" s="150"/>
    </x:row>
    <x:row r="72" ht="42" customHeight="1">
      <x:c r="A72" s="150"/>
      <x:c r="B72" s="150"/>
      <x:c r="C72" s="163" t="n">
        <x:v>0.64</x:v>
      </x:c>
      <x:c r="D72" s="150" t="str">
        <x:v>front_flat</x:v>
      </x:c>
      <x:c r="E72" s="163" t="n">
        <x:v>0.6</x:v>
      </x:c>
      <x:c r="F72" s="163" t="n">
        <x:v>0.65</x:v>
      </x:c>
      <x:c r="G72" s="154" t="str">
        <x:v>GRID BRACKET</x:v>
      </x:c>
      <x:c r="H72" s="195" t="b">
        <x:v>1</x:v>
      </x:c>
      <x:c r="I72" s="195" t="b">
        <x:v>0</x:v>
      </x:c>
      <x:c r="J72" s="150"/>
      <x:c r="K72" s="150"/>
      <x:c r="L72" s="150"/>
      <x:c r="M72" s="150"/>
      <x:c r="N72" s="150"/>
      <x:c r="O72" s="150"/>
      <x:c r="P72" s="150"/>
      <x:c r="Q72" s="150"/>
      <x:c r="R72" s="150"/>
      <x:c r="S72" s="150"/>
    </x:row>
    <x:row r="73" ht="42" customHeight="1">
      <x:c r="A73" s="150"/>
      <x:c r="B73" s="150"/>
      <x:c r="C73" s="163" t="n">
        <x:v>0.64</x:v>
      </x:c>
      <x:c r="D73" s="150" t="str">
        <x:v>front_low</x:v>
      </x:c>
      <x:c r="E73" s="163" t="n">
        <x:v>0.6</x:v>
      </x:c>
      <x:c r="F73" s="163" t="n">
        <x:v>0.65</x:v>
      </x:c>
      <x:c r="G73" s="154" t="str">
        <x:v>GRID BRACKET</x:v>
      </x:c>
      <x:c r="H73" s="195" t="b">
        <x:v>1</x:v>
      </x:c>
      <x:c r="I73" s="195" t="b">
        <x:v>0</x:v>
      </x:c>
      <x:c r="J73" s="150"/>
      <x:c r="K73" s="150"/>
      <x:c r="L73" s="150"/>
      <x:c r="M73" s="150"/>
      <x:c r="N73" s="150"/>
      <x:c r="O73" s="150"/>
      <x:c r="P73" s="150"/>
      <x:c r="Q73" s="150"/>
      <x:c r="R73" s="150"/>
      <x:c r="S73" s="150"/>
    </x:row>
    <x:row r="74" ht="42" customHeight="1">
      <x:c r="A74" s="150"/>
      <x:c r="B74" s="150"/>
      <x:c r="C74" s="163" t="n">
        <x:v>0.64</x:v>
      </x:c>
      <x:c r="D74" s="150" t="str">
        <x:v>front_high</x:v>
      </x:c>
      <x:c r="E74" s="163" t="n">
        <x:v>0.6</x:v>
      </x:c>
      <x:c r="F74" s="163" t="n">
        <x:v>0.65</x:v>
      </x:c>
      <x:c r="G74" s="154" t="str">
        <x:v>GRID BRACKET</x:v>
      </x:c>
      <x:c r="H74" s="195" t="b">
        <x:v>1</x:v>
      </x:c>
      <x:c r="I74" s="195" t="b">
        <x:v>0</x:v>
      </x:c>
      <x:c r="J74" s="150"/>
      <x:c r="K74" s="150"/>
      <x:c r="L74" s="150"/>
      <x:c r="M74" s="150"/>
      <x:c r="N74" s="150"/>
      <x:c r="O74" s="150"/>
      <x:c r="P74" s="150"/>
      <x:c r="Q74" s="150"/>
      <x:c r="R74" s="150"/>
      <x:c r="S74" s="150"/>
    </x:row>
    <x:row r="75" ht="42" customHeight="1">
      <x:c r="A75" s="150"/>
      <x:c r="B75" s="150"/>
      <x:c r="C75" s="163" t="n">
        <x:v>0.64</x:v>
      </x:c>
      <x:c r="D75" s="150" t="str">
        <x:v>middle_flat</x:v>
      </x:c>
      <x:c r="E75" s="163" t="n">
        <x:v>0.6</x:v>
      </x:c>
      <x:c r="F75" s="163" t="n">
        <x:v>0.65</x:v>
      </x:c>
      <x:c r="G75" s="154" t="str">
        <x:v>GRID BRACKET</x:v>
      </x:c>
      <x:c r="H75" s="195" t="b">
        <x:v>1</x:v>
      </x:c>
      <x:c r="I75" s="195" t="b">
        <x:v>0</x:v>
      </x:c>
      <x:c r="J75" s="150"/>
      <x:c r="K75" s="150"/>
      <x:c r="L75" s="150"/>
      <x:c r="M75" s="150"/>
      <x:c r="N75" s="150"/>
      <x:c r="O75" s="150"/>
      <x:c r="P75" s="150"/>
      <x:c r="Q75" s="150"/>
      <x:c r="R75" s="150"/>
      <x:c r="S75" s="150"/>
    </x:row>
    <x:row r="76" ht="42" customHeight="1">
      <x:c r="A76" s="150"/>
      <x:c r="B76" s="150"/>
      <x:c r="C76" s="163" t="n">
        <x:v>0.64</x:v>
      </x:c>
      <x:c r="D76" s="150" t="str">
        <x:v>middle_low</x:v>
      </x:c>
      <x:c r="E76" s="163" t="n">
        <x:v>0.6</x:v>
      </x:c>
      <x:c r="F76" s="163" t="n">
        <x:v>0.65</x:v>
      </x:c>
      <x:c r="G76" s="154" t="str">
        <x:v>GRID BRACKET</x:v>
      </x:c>
      <x:c r="H76" s="195" t="b">
        <x:v>1</x:v>
      </x:c>
      <x:c r="I76" s="195" t="b">
        <x:v>0</x:v>
      </x:c>
      <x:c r="J76" s="150"/>
      <x:c r="K76" s="150"/>
      <x:c r="L76" s="150"/>
      <x:c r="M76" s="150"/>
      <x:c r="N76" s="150"/>
      <x:c r="O76" s="150"/>
      <x:c r="P76" s="150"/>
      <x:c r="Q76" s="150"/>
      <x:c r="R76" s="150"/>
      <x:c r="S76" s="150"/>
    </x:row>
    <x:row r="77" ht="42" customHeight="1">
      <x:c r="A77" s="150"/>
      <x:c r="B77" s="150"/>
      <x:c r="C77" s="163" t="n">
        <x:v>0.64</x:v>
      </x:c>
      <x:c r="D77" s="150" t="str">
        <x:v>middle_high</x:v>
      </x:c>
      <x:c r="E77" s="163" t="n">
        <x:v>0.6</x:v>
      </x:c>
      <x:c r="F77" s="163" t="n">
        <x:v>0.65</x:v>
      </x:c>
      <x:c r="G77" s="154" t="str">
        <x:v>GRID BRACKET</x:v>
      </x:c>
      <x:c r="H77" s="195" t="b">
        <x:v>1</x:v>
      </x:c>
      <x:c r="I77" s="195" t="b">
        <x:v>0</x:v>
      </x:c>
      <x:c r="J77" s="150"/>
      <x:c r="K77" s="150"/>
      <x:c r="L77" s="150"/>
      <x:c r="M77" s="150"/>
      <x:c r="N77" s="150"/>
      <x:c r="O77" s="150"/>
      <x:c r="P77" s="150"/>
      <x:c r="Q77" s="150"/>
      <x:c r="R77" s="150"/>
      <x:c r="S77" s="150"/>
    </x:row>
    <x:row r="78" ht="42" customHeight="1">
      <x:c r="A78" s="150"/>
      <x:c r="B78" s="150"/>
      <x:c r="C78" s="163" t="n">
        <x:v>0.64</x:v>
      </x:c>
      <x:c r="D78" s="150" t="str">
        <x:v>back_flat</x:v>
      </x:c>
      <x:c r="E78" s="163" t="n">
        <x:v>0.6</x:v>
      </x:c>
      <x:c r="F78" s="163" t="n">
        <x:v>0.65</x:v>
      </x:c>
      <x:c r="G78" s="154" t="str">
        <x:v>GRID BRACKET</x:v>
      </x:c>
      <x:c r="H78" s="195" t="b">
        <x:v>1</x:v>
      </x:c>
      <x:c r="I78" s="195" t="b">
        <x:v>0</x:v>
      </x:c>
      <x:c r="J78" s="150"/>
      <x:c r="K78" s="150"/>
      <x:c r="L78" s="150"/>
      <x:c r="M78" s="150"/>
      <x:c r="N78" s="150"/>
      <x:c r="O78" s="150"/>
      <x:c r="P78" s="150"/>
      <x:c r="Q78" s="150"/>
      <x:c r="R78" s="150"/>
      <x:c r="S78" s="150"/>
    </x:row>
    <x:row r="79" ht="42" customHeight="1">
      <x:c r="A79" s="150"/>
      <x:c r="B79" s="150"/>
      <x:c r="C79" s="163" t="n">
        <x:v>0.64</x:v>
      </x:c>
      <x:c r="D79" s="150" t="str">
        <x:v>back_low</x:v>
      </x:c>
      <x:c r="E79" s="163" t="n">
        <x:v>0.6</x:v>
      </x:c>
      <x:c r="F79" s="163" t="n">
        <x:v>0.65</x:v>
      </x:c>
      <x:c r="G79" s="154" t="str">
        <x:v>GRID BRACKET</x:v>
      </x:c>
      <x:c r="H79" s="195" t="b">
        <x:v>1</x:v>
      </x:c>
      <x:c r="I79" s="195" t="b">
        <x:v>0</x:v>
      </x:c>
      <x:c r="J79" s="150"/>
      <x:c r="K79" s="150"/>
      <x:c r="L79" s="150"/>
      <x:c r="M79" s="150"/>
      <x:c r="N79" s="150"/>
      <x:c r="O79" s="150"/>
      <x:c r="P79" s="150"/>
      <x:c r="Q79" s="150"/>
      <x:c r="R79" s="150"/>
      <x:c r="S79" s="150"/>
    </x:row>
    <x:row r="80" ht="42" customHeight="1">
      <x:c r="A80" s="150"/>
      <x:c r="B80" s="150"/>
      <x:c r="C80" s="163" t="n">
        <x:v>0.64</x:v>
      </x:c>
      <x:c r="D80" s="150" t="str">
        <x:v>back_high</x:v>
      </x:c>
      <x:c r="E80" s="163" t="n">
        <x:v>0.6</x:v>
      </x:c>
      <x:c r="F80" s="163" t="n">
        <x:v>0.65</x:v>
      </x:c>
      <x:c r="G80" s="154" t="str">
        <x:v>GRID BRACKET</x:v>
      </x:c>
      <x:c r="H80" s="195" t="b">
        <x:v>1</x:v>
      </x:c>
      <x:c r="I80" s="195" t="b">
        <x:v>0</x:v>
      </x:c>
      <x:c r="J80" s="150"/>
      <x:c r="K80" s="150"/>
      <x:c r="L80" s="150"/>
      <x:c r="M80" s="150"/>
      <x:c r="N80" s="150"/>
      <x:c r="O80" s="150"/>
      <x:c r="P80" s="150"/>
      <x:c r="Q80" s="150"/>
      <x:c r="R80" s="150"/>
      <x:c r="S80" s="150"/>
    </x:row>
    <x:row r="81" ht="42" customHeight="1">
      <x:c r="A81" s="150"/>
      <x:c r="B81" s="150"/>
      <x:c r="C81" s="163" t="n">
        <x:v>0.64</x:v>
      </x:c>
      <x:c r="D81" s="150" t="str">
        <x:v>level_flat</x:v>
      </x:c>
      <x:c r="E81" s="163" t="n">
        <x:v>0.6</x:v>
      </x:c>
      <x:c r="F81" s="163" t="n">
        <x:v>0.65</x:v>
      </x:c>
      <x:c r="G81" s="154" t="str">
        <x:v>GRID BRACKET</x:v>
      </x:c>
      <x:c r="H81" s="195" t="b">
        <x:v>1</x:v>
      </x:c>
      <x:c r="I81" s="195" t="b">
        <x:v>0</x:v>
      </x:c>
      <x:c r="J81" s="150"/>
      <x:c r="K81" s="150"/>
      <x:c r="L81" s="150"/>
      <x:c r="M81" s="150"/>
      <x:c r="N81" s="150"/>
      <x:c r="O81" s="150"/>
      <x:c r="P81" s="150"/>
      <x:c r="Q81" s="150"/>
      <x:c r="R81" s="150"/>
      <x:c r="S81" s="150"/>
    </x:row>
    <x:row r="82" ht="42" customHeight="1">
      <x:c r="A82" s="150"/>
      <x:c r="B82" s="150"/>
      <x:c r="C82" s="163" t="n">
        <x:v>0.64</x:v>
      </x:c>
      <x:c r="D82" s="150" t="str">
        <x:v>level_low</x:v>
      </x:c>
      <x:c r="E82" s="163" t="n">
        <x:v>0.6</x:v>
      </x:c>
      <x:c r="F82" s="163" t="n">
        <x:v>0.65</x:v>
      </x:c>
      <x:c r="G82" s="154" t="str">
        <x:v>GRID BRACKET</x:v>
      </x:c>
      <x:c r="H82" s="195" t="b">
        <x:v>1</x:v>
      </x:c>
      <x:c r="I82" s="195" t="b">
        <x:v>0</x:v>
      </x:c>
      <x:c r="J82" s="150"/>
      <x:c r="K82" s="150"/>
      <x:c r="L82" s="150"/>
      <x:c r="M82" s="150"/>
      <x:c r="N82" s="150"/>
      <x:c r="O82" s="150"/>
      <x:c r="P82" s="150"/>
      <x:c r="Q82" s="150"/>
      <x:c r="R82" s="150"/>
      <x:c r="S82" s="150"/>
    </x:row>
    <x:row r="83" ht="42" customHeight="1">
      <x:c r="A83" s="150"/>
      <x:c r="B83" s="150"/>
      <x:c r="C83" s="163" t="n">
        <x:v>0.64</x:v>
      </x:c>
      <x:c r="D83" s="150" t="str">
        <x:v>level_high</x:v>
      </x:c>
      <x:c r="E83" s="163" t="n">
        <x:v>0.6</x:v>
      </x:c>
      <x:c r="F83" s="163" t="n">
        <x:v>0.65</x:v>
      </x:c>
      <x:c r="G83" s="154" t="str">
        <x:v>GRID BRACKET</x:v>
      </x:c>
      <x:c r="H83" s="195" t="b">
        <x:v>1</x:v>
      </x:c>
      <x:c r="I83" s="195" t="b">
        <x:v>0</x:v>
      </x:c>
      <x:c r="J83" s="150"/>
      <x:c r="K83" s="150"/>
      <x:c r="L83" s="150"/>
      <x:c r="M83" s="150"/>
      <x:c r="N83" s="150"/>
      <x:c r="O83" s="150"/>
      <x:c r="P83" s="150"/>
      <x:c r="Q83" s="150"/>
      <x:c r="R83" s="150"/>
      <x:c r="S83" s="150"/>
    </x:row>
    <x:row r="84" ht="42" customHeight="1">
      <x:c r="A84" s="150"/>
      <x:c r="B84" s="150"/>
      <x:c r="C84" s="163" t="n">
        <x:v>0.65</x:v>
      </x:c>
      <x:c r="D84" s="150" t="str">
        <x:v>front_flat</x:v>
      </x:c>
      <x:c r="E84" s="163" t="n">
        <x:v>0.6</x:v>
      </x:c>
      <x:c r="F84" s="163" t="n">
        <x:v>0.65</x:v>
      </x:c>
      <x:c r="G84" s="154" t="str">
        <x:v>GRID BRACKET</x:v>
      </x:c>
      <x:c r="H84" s="195" t="b">
        <x:v>1</x:v>
      </x:c>
      <x:c r="I84" s="195" t="b">
        <x:v>0</x:v>
      </x:c>
      <x:c r="J84" s="150"/>
      <x:c r="K84" s="150"/>
      <x:c r="L84" s="150"/>
      <x:c r="M84" s="150"/>
      <x:c r="N84" s="150"/>
      <x:c r="O84" s="150"/>
      <x:c r="P84" s="150"/>
      <x:c r="Q84" s="150"/>
      <x:c r="R84" s="150"/>
      <x:c r="S84" s="150"/>
    </x:row>
    <x:row r="85" ht="42" customHeight="1">
      <x:c r="A85" s="150"/>
      <x:c r="B85" s="150"/>
      <x:c r="C85" s="163" t="n">
        <x:v>0.65</x:v>
      </x:c>
      <x:c r="D85" s="150" t="str">
        <x:v>front_low</x:v>
      </x:c>
      <x:c r="E85" s="163" t="n">
        <x:v>0.6</x:v>
      </x:c>
      <x:c r="F85" s="163" t="n">
        <x:v>0.65</x:v>
      </x:c>
      <x:c r="G85" s="154" t="str">
        <x:v>GRID BRACKET</x:v>
      </x:c>
      <x:c r="H85" s="195" t="b">
        <x:v>1</x:v>
      </x:c>
      <x:c r="I85" s="195" t="b">
        <x:v>0</x:v>
      </x:c>
      <x:c r="J85" s="150"/>
      <x:c r="K85" s="150"/>
      <x:c r="L85" s="150"/>
      <x:c r="M85" s="150"/>
      <x:c r="N85" s="150"/>
      <x:c r="O85" s="150"/>
      <x:c r="P85" s="150"/>
      <x:c r="Q85" s="150"/>
      <x:c r="R85" s="150"/>
      <x:c r="S85" s="150"/>
    </x:row>
    <x:row r="86" ht="42" customHeight="1">
      <x:c r="A86" s="150"/>
      <x:c r="B86" s="150"/>
      <x:c r="C86" s="163" t="n">
        <x:v>0.65</x:v>
      </x:c>
      <x:c r="D86" s="150" t="str">
        <x:v>front_high</x:v>
      </x:c>
      <x:c r="E86" s="163" t="n">
        <x:v>0.6</x:v>
      </x:c>
      <x:c r="F86" s="163" t="n">
        <x:v>0.65</x:v>
      </x:c>
      <x:c r="G86" s="154" t="str">
        <x:v>GRID BRACKET</x:v>
      </x:c>
      <x:c r="H86" s="195" t="b">
        <x:v>1</x:v>
      </x:c>
      <x:c r="I86" s="195" t="b">
        <x:v>0</x:v>
      </x:c>
      <x:c r="J86" s="150"/>
      <x:c r="K86" s="150"/>
      <x:c r="L86" s="150"/>
      <x:c r="M86" s="150"/>
      <x:c r="N86" s="150"/>
      <x:c r="O86" s="150"/>
      <x:c r="P86" s="150"/>
      <x:c r="Q86" s="150"/>
      <x:c r="R86" s="150"/>
      <x:c r="S86" s="150"/>
    </x:row>
    <x:row r="87" ht="42" customHeight="1">
      <x:c r="A87" s="150"/>
      <x:c r="B87" s="150"/>
      <x:c r="C87" s="163" t="n">
        <x:v>0.65</x:v>
      </x:c>
      <x:c r="D87" s="150" t="str">
        <x:v>middle_flat</x:v>
      </x:c>
      <x:c r="E87" s="163" t="n">
        <x:v>0.6</x:v>
      </x:c>
      <x:c r="F87" s="163" t="n">
        <x:v>0.65</x:v>
      </x:c>
      <x:c r="G87" s="154" t="str">
        <x:v>GRID BRACKET</x:v>
      </x:c>
      <x:c r="H87" s="195" t="b">
        <x:v>1</x:v>
      </x:c>
      <x:c r="I87" s="195" t="b">
        <x:v>0</x:v>
      </x:c>
      <x:c r="J87" s="150"/>
      <x:c r="K87" s="150"/>
      <x:c r="L87" s="150"/>
      <x:c r="M87" s="150"/>
      <x:c r="N87" s="150"/>
      <x:c r="O87" s="150"/>
      <x:c r="P87" s="150"/>
      <x:c r="Q87" s="150"/>
      <x:c r="R87" s="150"/>
      <x:c r="S87" s="150"/>
    </x:row>
    <x:row r="88" ht="42" customHeight="1">
      <x:c r="A88" s="150"/>
      <x:c r="B88" s="150"/>
      <x:c r="C88" s="163" t="n">
        <x:v>0.65</x:v>
      </x:c>
      <x:c r="D88" s="150" t="str">
        <x:v>middle_low</x:v>
      </x:c>
      <x:c r="E88" s="163" t="n">
        <x:v>0.6</x:v>
      </x:c>
      <x:c r="F88" s="163" t="n">
        <x:v>0.65</x:v>
      </x:c>
      <x:c r="G88" s="154" t="str">
        <x:v>GRID BRACKET</x:v>
      </x:c>
      <x:c r="H88" s="195" t="b">
        <x:v>1</x:v>
      </x:c>
      <x:c r="I88" s="195" t="b">
        <x:v>0</x:v>
      </x:c>
      <x:c r="J88" s="150"/>
      <x:c r="K88" s="150"/>
      <x:c r="L88" s="150"/>
      <x:c r="M88" s="150"/>
      <x:c r="N88" s="150"/>
      <x:c r="O88" s="150"/>
      <x:c r="P88" s="150"/>
      <x:c r="Q88" s="150"/>
      <x:c r="R88" s="150"/>
      <x:c r="S88" s="150"/>
    </x:row>
    <x:row r="89" ht="42" customHeight="1">
      <x:c r="A89" s="150"/>
      <x:c r="B89" s="150"/>
      <x:c r="C89" s="163" t="n">
        <x:v>0.65</x:v>
      </x:c>
      <x:c r="D89" s="150" t="str">
        <x:v>middle_high</x:v>
      </x:c>
      <x:c r="E89" s="163" t="n">
        <x:v>0.6</x:v>
      </x:c>
      <x:c r="F89" s="163" t="n">
        <x:v>0.65</x:v>
      </x:c>
      <x:c r="G89" s="154" t="str">
        <x:v>GRID BRACKET</x:v>
      </x:c>
      <x:c r="H89" s="195" t="b">
        <x:v>1</x:v>
      </x:c>
      <x:c r="I89" s="195" t="b">
        <x:v>0</x:v>
      </x:c>
      <x:c r="J89" s="150"/>
      <x:c r="K89" s="150"/>
      <x:c r="L89" s="150"/>
      <x:c r="M89" s="150"/>
      <x:c r="N89" s="150"/>
      <x:c r="O89" s="150"/>
      <x:c r="P89" s="150"/>
      <x:c r="Q89" s="150"/>
      <x:c r="R89" s="150"/>
      <x:c r="S89" s="150"/>
    </x:row>
    <x:row r="90" ht="42" customHeight="1">
      <x:c r="A90" s="150"/>
      <x:c r="B90" s="150"/>
      <x:c r="C90" s="163" t="n">
        <x:v>0.65</x:v>
      </x:c>
      <x:c r="D90" s="150" t="str">
        <x:v>back_flat</x:v>
      </x:c>
      <x:c r="E90" s="163" t="n">
        <x:v>0.6</x:v>
      </x:c>
      <x:c r="F90" s="163" t="n">
        <x:v>0.65</x:v>
      </x:c>
      <x:c r="G90" s="154" t="str">
        <x:v>GRID BRACKET</x:v>
      </x:c>
      <x:c r="H90" s="195" t="b">
        <x:v>1</x:v>
      </x:c>
      <x:c r="I90" s="195" t="b">
        <x:v>0</x:v>
      </x:c>
      <x:c r="J90" s="150"/>
      <x:c r="K90" s="150"/>
      <x:c r="L90" s="150"/>
      <x:c r="M90" s="150"/>
      <x:c r="N90" s="150"/>
      <x:c r="O90" s="150"/>
      <x:c r="P90" s="150"/>
      <x:c r="Q90" s="150"/>
      <x:c r="R90" s="150"/>
      <x:c r="S90" s="150"/>
    </x:row>
    <x:row r="91" ht="42" customHeight="1">
      <x:c r="A91" s="150"/>
      <x:c r="B91" s="150"/>
      <x:c r="C91" s="163" t="n">
        <x:v>0.65</x:v>
      </x:c>
      <x:c r="D91" s="150" t="str">
        <x:v>back_low</x:v>
      </x:c>
      <x:c r="E91" s="163" t="n">
        <x:v>0.6</x:v>
      </x:c>
      <x:c r="F91" s="163" t="n">
        <x:v>0.65</x:v>
      </x:c>
      <x:c r="G91" s="154" t="str">
        <x:v>GRID BRACKET</x:v>
      </x:c>
      <x:c r="H91" s="195" t="b">
        <x:v>1</x:v>
      </x:c>
      <x:c r="I91" s="195" t="b">
        <x:v>0</x:v>
      </x:c>
      <x:c r="J91" s="150"/>
      <x:c r="K91" s="150"/>
      <x:c r="L91" s="150"/>
      <x:c r="M91" s="150"/>
      <x:c r="N91" s="150"/>
      <x:c r="O91" s="150"/>
      <x:c r="P91" s="150"/>
      <x:c r="Q91" s="150"/>
      <x:c r="R91" s="150"/>
      <x:c r="S91" s="150"/>
    </x:row>
    <x:row r="92" ht="42" customHeight="1">
      <x:c r="A92" s="150"/>
      <x:c r="B92" s="150"/>
      <x:c r="C92" s="163" t="n">
        <x:v>0.65</x:v>
      </x:c>
      <x:c r="D92" s="150" t="str">
        <x:v>back_high</x:v>
      </x:c>
      <x:c r="E92" s="163" t="n">
        <x:v>0.6</x:v>
      </x:c>
      <x:c r="F92" s="163" t="n">
        <x:v>0.65</x:v>
      </x:c>
      <x:c r="G92" s="154" t="str">
        <x:v>GRID BRACKET</x:v>
      </x:c>
      <x:c r="H92" s="195" t="b">
        <x:v>1</x:v>
      </x:c>
      <x:c r="I92" s="195" t="b">
        <x:v>0</x:v>
      </x:c>
      <x:c r="J92" s="150"/>
      <x:c r="K92" s="150"/>
      <x:c r="L92" s="150"/>
      <x:c r="M92" s="150"/>
      <x:c r="N92" s="150"/>
      <x:c r="O92" s="150"/>
      <x:c r="P92" s="150"/>
      <x:c r="Q92" s="150"/>
      <x:c r="R92" s="150"/>
      <x:c r="S92" s="150"/>
    </x:row>
    <x:row r="93" ht="42" customHeight="1">
      <x:c r="A93" s="150"/>
      <x:c r="B93" s="150"/>
      <x:c r="C93" s="163" t="n">
        <x:v>0.65</x:v>
      </x:c>
      <x:c r="D93" s="150" t="str">
        <x:v>level_flat</x:v>
      </x:c>
      <x:c r="E93" s="163" t="n">
        <x:v>0.6</x:v>
      </x:c>
      <x:c r="F93" s="163" t="n">
        <x:v>0.65</x:v>
      </x:c>
      <x:c r="G93" s="154" t="str">
        <x:v>GRID BRACKET</x:v>
      </x:c>
      <x:c r="H93" s="195" t="b">
        <x:v>1</x:v>
      </x:c>
      <x:c r="I93" s="195" t="b">
        <x:v>0</x:v>
      </x:c>
      <x:c r="J93" s="150"/>
      <x:c r="K93" s="150"/>
      <x:c r="L93" s="150"/>
      <x:c r="M93" s="150"/>
      <x:c r="N93" s="150"/>
      <x:c r="O93" s="150"/>
      <x:c r="P93" s="150"/>
      <x:c r="Q93" s="150"/>
      <x:c r="R93" s="150"/>
      <x:c r="S93" s="150"/>
    </x:row>
    <x:row r="94" ht="42" customHeight="1">
      <x:c r="A94" s="150"/>
      <x:c r="B94" s="150"/>
      <x:c r="C94" s="163" t="n">
        <x:v>0.65</x:v>
      </x:c>
      <x:c r="D94" s="150" t="str">
        <x:v>level_low</x:v>
      </x:c>
      <x:c r="E94" s="163" t="n">
        <x:v>0.6</x:v>
      </x:c>
      <x:c r="F94" s="163" t="n">
        <x:v>0.65</x:v>
      </x:c>
      <x:c r="G94" s="154" t="str">
        <x:v>GRID BRACKET</x:v>
      </x:c>
      <x:c r="H94" s="195" t="b">
        <x:v>1</x:v>
      </x:c>
      <x:c r="I94" s="195" t="b">
        <x:v>0</x:v>
      </x:c>
      <x:c r="J94" s="150"/>
      <x:c r="K94" s="150"/>
      <x:c r="L94" s="150"/>
      <x:c r="M94" s="150"/>
      <x:c r="N94" s="150"/>
      <x:c r="O94" s="150"/>
      <x:c r="P94" s="150"/>
      <x:c r="Q94" s="150"/>
      <x:c r="R94" s="150"/>
      <x:c r="S94" s="150"/>
    </x:row>
    <x:row r="95" ht="42" customHeight="1">
      <x:c r="A95" s="150"/>
      <x:c r="B95" s="150"/>
      <x:c r="C95" s="163" t="n">
        <x:v>0.65</x:v>
      </x:c>
      <x:c r="D95" s="150" t="str">
        <x:v>level_high</x:v>
      </x:c>
      <x:c r="E95" s="163" t="n">
        <x:v>0.6</x:v>
      </x:c>
      <x:c r="F95" s="163" t="n">
        <x:v>0.65</x:v>
      </x:c>
      <x:c r="G95" s="154" t="str">
        <x:v>GRID BRACKET</x:v>
      </x:c>
      <x:c r="H95" s="195" t="b">
        <x:v>1</x:v>
      </x:c>
      <x:c r="I95" s="195" t="b">
        <x:v>0</x:v>
      </x:c>
      <x:c r="J95" s="150"/>
      <x:c r="K95" s="150"/>
      <x:c r="L95" s="150"/>
      <x:c r="M95" s="150"/>
      <x:c r="N95" s="150"/>
      <x:c r="O95" s="150"/>
      <x:c r="P95" s="150"/>
      <x:c r="Q95" s="150"/>
      <x:c r="R95" s="150"/>
      <x:c r="S95" s="150"/>
    </x:row>
    <x:row r="96" ht="42" customHeight="1">
      <x:c r="A96" s="150"/>
      <x:c r="B96" s="150"/>
      <x:c r="C96" s="163" t="n">
        <x:v>0.66</x:v>
      </x:c>
      <x:c r="D96" s="150" t="str">
        <x:v>front_flat</x:v>
      </x:c>
      <x:c r="E96" s="163" t="n">
        <x:v>0.6</x:v>
      </x:c>
      <x:c r="F96" s="163" t="n">
        <x:v>0.65</x:v>
      </x:c>
      <x:c r="G96" s="154" t="str">
        <x:v>GRID BRACKET</x:v>
      </x:c>
      <x:c r="H96" s="195" t="b">
        <x:v>1</x:v>
      </x:c>
      <x:c r="I96" s="195" t="b">
        <x:v>0</x:v>
      </x:c>
      <x:c r="J96" s="150"/>
      <x:c r="K96" s="150"/>
      <x:c r="L96" s="150"/>
      <x:c r="M96" s="150"/>
      <x:c r="N96" s="150"/>
      <x:c r="O96" s="150"/>
      <x:c r="P96" s="150"/>
      <x:c r="Q96" s="150"/>
      <x:c r="R96" s="150"/>
      <x:c r="S96" s="150"/>
    </x:row>
    <x:row r="97" ht="42" customHeight="1">
      <x:c r="A97" s="150"/>
      <x:c r="B97" s="150"/>
      <x:c r="C97" s="163" t="n">
        <x:v>0.66</x:v>
      </x:c>
      <x:c r="D97" s="150" t="str">
        <x:v>front_low</x:v>
      </x:c>
      <x:c r="E97" s="163" t="n">
        <x:v>0.6</x:v>
      </x:c>
      <x:c r="F97" s="163" t="n">
        <x:v>0.65</x:v>
      </x:c>
      <x:c r="G97" s="154" t="str">
        <x:v>GRID BRACKET</x:v>
      </x:c>
      <x:c r="H97" s="195" t="b">
        <x:v>1</x:v>
      </x:c>
      <x:c r="I97" s="195" t="b">
        <x:v>0</x:v>
      </x:c>
      <x:c r="J97" s="150"/>
      <x:c r="K97" s="150"/>
      <x:c r="L97" s="150"/>
      <x:c r="M97" s="150"/>
      <x:c r="N97" s="150"/>
      <x:c r="O97" s="150"/>
      <x:c r="P97" s="150"/>
      <x:c r="Q97" s="150"/>
      <x:c r="R97" s="150"/>
      <x:c r="S97" s="150"/>
    </x:row>
    <x:row r="98" ht="42" customHeight="1">
      <x:c r="A98" s="150"/>
      <x:c r="B98" s="150"/>
      <x:c r="C98" s="163" t="n">
        <x:v>0.66</x:v>
      </x:c>
      <x:c r="D98" s="150" t="str">
        <x:v>front_high</x:v>
      </x:c>
      <x:c r="E98" s="163" t="n">
        <x:v>0.6</x:v>
      </x:c>
      <x:c r="F98" s="163" t="n">
        <x:v>0.65</x:v>
      </x:c>
      <x:c r="G98" s="154" t="str">
        <x:v>GRID BRACKET</x:v>
      </x:c>
      <x:c r="H98" s="195" t="b">
        <x:v>1</x:v>
      </x:c>
      <x:c r="I98" s="195" t="b">
        <x:v>0</x:v>
      </x:c>
      <x:c r="J98" s="150"/>
      <x:c r="K98" s="150"/>
      <x:c r="L98" s="150"/>
      <x:c r="M98" s="150"/>
      <x:c r="N98" s="150"/>
      <x:c r="O98" s="150"/>
      <x:c r="P98" s="150"/>
      <x:c r="Q98" s="150"/>
      <x:c r="R98" s="150"/>
      <x:c r="S98" s="150"/>
    </x:row>
    <x:row r="99" ht="42" customHeight="1">
      <x:c r="A99" s="150"/>
      <x:c r="B99" s="150"/>
      <x:c r="C99" s="163" t="n">
        <x:v>0.66</x:v>
      </x:c>
      <x:c r="D99" s="150" t="str">
        <x:v>middle_flat</x:v>
      </x:c>
      <x:c r="E99" s="163" t="n">
        <x:v>0.55</x:v>
      </x:c>
      <x:c r="F99" s="163" t="n">
        <x:v>0.6</x:v>
      </x:c>
      <x:c r="G99" s="154" t="str">
        <x:v>GRID BRACKET</x:v>
      </x:c>
      <x:c r="H99" s="195" t="b">
        <x:v>1</x:v>
      </x:c>
      <x:c r="I99" s="195" t="b">
        <x:v>0</x:v>
      </x:c>
      <x:c r="J99" s="150"/>
      <x:c r="K99" s="150"/>
      <x:c r="L99" s="150"/>
      <x:c r="M99" s="150"/>
      <x:c r="N99" s="150"/>
      <x:c r="O99" s="150"/>
      <x:c r="P99" s="150"/>
      <x:c r="Q99" s="150"/>
      <x:c r="R99" s="150"/>
      <x:c r="S99" s="150"/>
    </x:row>
    <x:row r="100" ht="42" customHeight="1">
      <x:c r="A100" s="150"/>
      <x:c r="B100" s="150"/>
      <x:c r="C100" s="163" t="n">
        <x:v>0.66</x:v>
      </x:c>
      <x:c r="D100" s="150" t="str">
        <x:v>middle_low</x:v>
      </x:c>
      <x:c r="E100" s="163" t="n">
        <x:v>0.55</x:v>
      </x:c>
      <x:c r="F100" s="163" t="n">
        <x:v>0.6</x:v>
      </x:c>
      <x:c r="G100" s="154" t="str">
        <x:v>GRID BRACKET</x:v>
      </x:c>
      <x:c r="H100" s="195" t="b">
        <x:v>1</x:v>
      </x:c>
      <x:c r="I100" s="195" t="b">
        <x:v>0</x:v>
      </x:c>
      <x:c r="J100" s="150"/>
      <x:c r="K100" s="150"/>
      <x:c r="L100" s="150"/>
      <x:c r="M100" s="150"/>
      <x:c r="N100" s="150"/>
      <x:c r="O100" s="150"/>
      <x:c r="P100" s="150"/>
      <x:c r="Q100" s="150"/>
      <x:c r="R100" s="150"/>
      <x:c r="S100" s="150"/>
    </x:row>
    <x:row r="101" ht="42" customHeight="1">
      <x:c r="A101" s="150"/>
      <x:c r="B101" s="150"/>
      <x:c r="C101" s="163" t="n">
        <x:v>0.66</x:v>
      </x:c>
      <x:c r="D101" s="150" t="str">
        <x:v>middle_high</x:v>
      </x:c>
      <x:c r="E101" s="163" t="n">
        <x:v>0.55</x:v>
      </x:c>
      <x:c r="F101" s="163" t="n">
        <x:v>0.6</x:v>
      </x:c>
      <x:c r="G101" s="154" t="str">
        <x:v>GRID BRACKET</x:v>
      </x:c>
      <x:c r="H101" s="195" t="b">
        <x:v>1</x:v>
      </x:c>
      <x:c r="I101" s="195" t="b">
        <x:v>0</x:v>
      </x:c>
      <x:c r="J101" s="150"/>
      <x:c r="K101" s="150"/>
      <x:c r="L101" s="150"/>
      <x:c r="M101" s="150"/>
      <x:c r="N101" s="150"/>
      <x:c r="O101" s="150"/>
      <x:c r="P101" s="150"/>
      <x:c r="Q101" s="150"/>
      <x:c r="R101" s="150"/>
      <x:c r="S101" s="150"/>
    </x:row>
    <x:row r="102" ht="42" customHeight="1">
      <x:c r="A102" s="150"/>
      <x:c r="B102" s="150"/>
      <x:c r="C102" s="163" t="n">
        <x:v>0.66</x:v>
      </x:c>
      <x:c r="D102" s="150" t="str">
        <x:v>back_flat</x:v>
      </x:c>
      <x:c r="E102" s="163" t="n">
        <x:v>0.55</x:v>
      </x:c>
      <x:c r="F102" s="163" t="n">
        <x:v>0.6</x:v>
      </x:c>
      <x:c r="G102" s="154" t="str">
        <x:v>GRID BRACKET</x:v>
      </x:c>
      <x:c r="H102" s="195" t="b">
        <x:v>1</x:v>
      </x:c>
      <x:c r="I102" s="195" t="b">
        <x:v>0</x:v>
      </x:c>
      <x:c r="J102" s="150"/>
      <x:c r="K102" s="150"/>
      <x:c r="L102" s="150"/>
      <x:c r="M102" s="150"/>
      <x:c r="N102" s="150"/>
      <x:c r="O102" s="150"/>
      <x:c r="P102" s="150"/>
      <x:c r="Q102" s="150"/>
      <x:c r="R102" s="150"/>
      <x:c r="S102" s="150"/>
    </x:row>
    <x:row r="103" ht="42" customHeight="1">
      <x:c r="A103" s="150"/>
      <x:c r="B103" s="150"/>
      <x:c r="C103" s="163" t="n">
        <x:v>0.66</x:v>
      </x:c>
      <x:c r="D103" s="150" t="str">
        <x:v>back_low</x:v>
      </x:c>
      <x:c r="E103" s="163" t="n">
        <x:v>0.55</x:v>
      </x:c>
      <x:c r="F103" s="163" t="n">
        <x:v>0.6</x:v>
      </x:c>
      <x:c r="G103" s="154" t="str">
        <x:v>GRID BRACKET</x:v>
      </x:c>
      <x:c r="H103" s="195" t="b">
        <x:v>1</x:v>
      </x:c>
      <x:c r="I103" s="195" t="b">
        <x:v>0</x:v>
      </x:c>
      <x:c r="J103" s="150"/>
      <x:c r="K103" s="150"/>
      <x:c r="L103" s="150"/>
      <x:c r="M103" s="150"/>
      <x:c r="N103" s="150"/>
      <x:c r="O103" s="150"/>
      <x:c r="P103" s="150"/>
      <x:c r="Q103" s="150"/>
      <x:c r="R103" s="150"/>
      <x:c r="S103" s="150"/>
    </x:row>
    <x:row r="104" ht="42" customHeight="1">
      <x:c r="A104" s="150"/>
      <x:c r="B104" s="150"/>
      <x:c r="C104" s="163" t="n">
        <x:v>0.66</x:v>
      </x:c>
      <x:c r="D104" s="150" t="str">
        <x:v>back_high</x:v>
      </x:c>
      <x:c r="E104" s="163" t="n">
        <x:v>0.55</x:v>
      </x:c>
      <x:c r="F104" s="163" t="n">
        <x:v>0.6</x:v>
      </x:c>
      <x:c r="G104" s="154" t="str">
        <x:v>GRID BRACKET</x:v>
      </x:c>
      <x:c r="H104" s="195" t="b">
        <x:v>1</x:v>
      </x:c>
      <x:c r="I104" s="195" t="b">
        <x:v>0</x:v>
      </x:c>
      <x:c r="J104" s="150"/>
      <x:c r="K104" s="150"/>
      <x:c r="L104" s="150"/>
      <x:c r="M104" s="150"/>
      <x:c r="N104" s="150"/>
      <x:c r="O104" s="150"/>
      <x:c r="P104" s="150"/>
      <x:c r="Q104" s="150"/>
      <x:c r="R104" s="150"/>
      <x:c r="S104" s="150"/>
    </x:row>
    <x:row r="105" ht="42" customHeight="1">
      <x:c r="A105" s="150"/>
      <x:c r="B105" s="150"/>
      <x:c r="C105" s="163" t="n">
        <x:v>0.66</x:v>
      </x:c>
      <x:c r="D105" s="150" t="str">
        <x:v>level_flat</x:v>
      </x:c>
      <x:c r="E105" s="163" t="n">
        <x:v>0.55</x:v>
      </x:c>
      <x:c r="F105" s="163" t="n">
        <x:v>0.6</x:v>
      </x:c>
      <x:c r="G105" s="154" t="str">
        <x:v>GRID BRACKET</x:v>
      </x:c>
      <x:c r="H105" s="195" t="b">
        <x:v>1</x:v>
      </x:c>
      <x:c r="I105" s="195" t="b">
        <x:v>0</x:v>
      </x:c>
      <x:c r="J105" s="150"/>
      <x:c r="K105" s="150"/>
      <x:c r="L105" s="150"/>
      <x:c r="M105" s="150"/>
      <x:c r="N105" s="150"/>
      <x:c r="O105" s="150"/>
      <x:c r="P105" s="150"/>
      <x:c r="Q105" s="150"/>
      <x:c r="R105" s="150"/>
      <x:c r="S105" s="150"/>
    </x:row>
    <x:row r="106" ht="42" customHeight="1">
      <x:c r="A106" s="150"/>
      <x:c r="B106" s="150"/>
      <x:c r="C106" s="163" t="n">
        <x:v>0.66</x:v>
      </x:c>
      <x:c r="D106" s="150" t="str">
        <x:v>level_low</x:v>
      </x:c>
      <x:c r="E106" s="163" t="n">
        <x:v>0.55</x:v>
      </x:c>
      <x:c r="F106" s="163" t="n">
        <x:v>0.6</x:v>
      </x:c>
      <x:c r="G106" s="154" t="str">
        <x:v>GRID BRACKET</x:v>
      </x:c>
      <x:c r="H106" s="195" t="b">
        <x:v>1</x:v>
      </x:c>
      <x:c r="I106" s="195" t="b">
        <x:v>0</x:v>
      </x:c>
      <x:c r="J106" s="150"/>
      <x:c r="K106" s="150"/>
      <x:c r="L106" s="150"/>
      <x:c r="M106" s="150"/>
      <x:c r="N106" s="150"/>
      <x:c r="O106" s="150"/>
      <x:c r="P106" s="150"/>
      <x:c r="Q106" s="150"/>
      <x:c r="R106" s="150"/>
      <x:c r="S106" s="150"/>
    </x:row>
    <x:row r="107" ht="42" customHeight="1">
      <x:c r="A107" s="150"/>
      <x:c r="B107" s="150"/>
      <x:c r="C107" s="163" t="n">
        <x:v>0.66</x:v>
      </x:c>
      <x:c r="D107" s="150" t="str">
        <x:v>level_high</x:v>
      </x:c>
      <x:c r="E107" s="163" t="n">
        <x:v>0.6</x:v>
      </x:c>
      <x:c r="F107" s="163" t="n">
        <x:v>0.65</x:v>
      </x:c>
      <x:c r="G107" s="154" t="str">
        <x:v>GRID BRACKET</x:v>
      </x:c>
      <x:c r="H107" s="195" t="b">
        <x:v>1</x:v>
      </x:c>
      <x:c r="I107" s="195" t="b">
        <x:v>0</x:v>
      </x:c>
      <x:c r="J107" s="150"/>
      <x:c r="K107" s="150"/>
      <x:c r="L107" s="150"/>
      <x:c r="M107" s="150"/>
      <x:c r="N107" s="150"/>
      <x:c r="O107" s="150"/>
      <x:c r="P107" s="150"/>
      <x:c r="Q107" s="150"/>
      <x:c r="R107" s="150"/>
      <x:c r="S107" s="150"/>
    </x:row>
    <x:row r="108" ht="42" customHeight="1">
      <x:c r="A108" s="150"/>
      <x:c r="B108" s="150"/>
      <x:c r="C108" s="163" t="n">
        <x:v>0.67</x:v>
      </x:c>
      <x:c r="D108" s="150" t="str">
        <x:v>front_flat</x:v>
      </x:c>
      <x:c r="E108" s="163" t="n">
        <x:v>0.55</x:v>
      </x:c>
      <x:c r="F108" s="163" t="n">
        <x:v>0.6</x:v>
      </x:c>
      <x:c r="G108" s="154" t="str">
        <x:v>GRID BRACKET</x:v>
      </x:c>
      <x:c r="H108" s="195" t="b">
        <x:v>1</x:v>
      </x:c>
      <x:c r="I108" s="195" t="b">
        <x:v>0</x:v>
      </x:c>
      <x:c r="J108" s="150"/>
      <x:c r="K108" s="150"/>
      <x:c r="L108" s="150"/>
      <x:c r="M108" s="150"/>
      <x:c r="N108" s="150"/>
      <x:c r="O108" s="150"/>
      <x:c r="P108" s="150"/>
      <x:c r="Q108" s="150"/>
      <x:c r="R108" s="150"/>
      <x:c r="S108" s="150"/>
    </x:row>
    <x:row r="109" ht="42" customHeight="1">
      <x:c r="A109" s="150"/>
      <x:c r="B109" s="150"/>
      <x:c r="C109" s="163" t="n">
        <x:v>0.67</x:v>
      </x:c>
      <x:c r="D109" s="150" t="str">
        <x:v>front_low</x:v>
      </x:c>
      <x:c r="E109" s="163" t="n">
        <x:v>0.55</x:v>
      </x:c>
      <x:c r="F109" s="163" t="n">
        <x:v>0.6</x:v>
      </x:c>
      <x:c r="G109" s="154" t="str">
        <x:v>GRID BRACKET</x:v>
      </x:c>
      <x:c r="H109" s="195" t="b">
        <x:v>1</x:v>
      </x:c>
      <x:c r="I109" s="195" t="b">
        <x:v>0</x:v>
      </x:c>
      <x:c r="J109" s="150"/>
      <x:c r="K109" s="150"/>
      <x:c r="L109" s="150"/>
      <x:c r="M109" s="150"/>
      <x:c r="N109" s="150"/>
      <x:c r="O109" s="150"/>
      <x:c r="P109" s="150"/>
      <x:c r="Q109" s="150"/>
      <x:c r="R109" s="150"/>
      <x:c r="S109" s="150"/>
    </x:row>
    <x:row r="110" ht="42" customHeight="1">
      <x:c r="A110" s="150"/>
      <x:c r="B110" s="150"/>
      <x:c r="C110" s="163" t="n">
        <x:v>0.67</x:v>
      </x:c>
      <x:c r="D110" s="150" t="str">
        <x:v>front_high</x:v>
      </x:c>
      <x:c r="E110" s="163" t="n">
        <x:v>0.6</x:v>
      </x:c>
      <x:c r="F110" s="163" t="n">
        <x:v>0.65</x:v>
      </x:c>
      <x:c r="G110" s="154" t="str">
        <x:v>GRID BRACKET</x:v>
      </x:c>
      <x:c r="H110" s="195" t="b">
        <x:v>1</x:v>
      </x:c>
      <x:c r="I110" s="195" t="b">
        <x:v>0</x:v>
      </x:c>
      <x:c r="J110" s="150"/>
      <x:c r="K110" s="150"/>
      <x:c r="L110" s="150"/>
      <x:c r="M110" s="150"/>
      <x:c r="N110" s="150"/>
      <x:c r="O110" s="150"/>
      <x:c r="P110" s="150"/>
      <x:c r="Q110" s="150"/>
      <x:c r="R110" s="150"/>
      <x:c r="S110" s="150"/>
    </x:row>
    <x:row r="111" ht="42" customHeight="1">
      <x:c r="A111" s="150"/>
      <x:c r="B111" s="150"/>
      <x:c r="C111" s="163" t="n">
        <x:v>0.67</x:v>
      </x:c>
      <x:c r="D111" s="150" t="str">
        <x:v>middle_flat</x:v>
      </x:c>
      <x:c r="E111" s="163" t="n">
        <x:v>0.55</x:v>
      </x:c>
      <x:c r="F111" s="163" t="n">
        <x:v>0.6</x:v>
      </x:c>
      <x:c r="G111" s="154" t="str">
        <x:v>GRID BRACKET</x:v>
      </x:c>
      <x:c r="H111" s="195" t="b">
        <x:v>1</x:v>
      </x:c>
      <x:c r="I111" s="195" t="b">
        <x:v>0</x:v>
      </x:c>
      <x:c r="J111" s="150"/>
      <x:c r="K111" s="150"/>
      <x:c r="L111" s="150"/>
      <x:c r="M111" s="150"/>
      <x:c r="N111" s="150"/>
      <x:c r="O111" s="150"/>
      <x:c r="P111" s="150"/>
      <x:c r="Q111" s="150"/>
      <x:c r="R111" s="150"/>
      <x:c r="S111" s="150"/>
    </x:row>
    <x:row r="112" ht="42" customHeight="1">
      <x:c r="A112" s="150"/>
      <x:c r="B112" s="150"/>
      <x:c r="C112" s="163" t="n">
        <x:v>0.67</x:v>
      </x:c>
      <x:c r="D112" s="150" t="str">
        <x:v>middle_low</x:v>
      </x:c>
      <x:c r="E112" s="163" t="n">
        <x:v>0.55</x:v>
      </x:c>
      <x:c r="F112" s="163" t="n">
        <x:v>0.6</x:v>
      </x:c>
      <x:c r="G112" s="154" t="str">
        <x:v>GRID BRACKET</x:v>
      </x:c>
      <x:c r="H112" s="195" t="b">
        <x:v>1</x:v>
      </x:c>
      <x:c r="I112" s="195" t="b">
        <x:v>0</x:v>
      </x:c>
      <x:c r="J112" s="150"/>
      <x:c r="K112" s="150"/>
      <x:c r="L112" s="150"/>
      <x:c r="M112" s="150"/>
      <x:c r="N112" s="150"/>
      <x:c r="O112" s="150"/>
      <x:c r="P112" s="150"/>
      <x:c r="Q112" s="150"/>
      <x:c r="R112" s="150"/>
      <x:c r="S112" s="150"/>
    </x:row>
    <x:row r="113" ht="42" customHeight="1">
      <x:c r="A113" s="150"/>
      <x:c r="B113" s="150"/>
      <x:c r="C113" s="163" t="n">
        <x:v>0.67</x:v>
      </x:c>
      <x:c r="D113" s="150" t="str">
        <x:v>middle_high</x:v>
      </x:c>
      <x:c r="E113" s="163" t="n">
        <x:v>0.55</x:v>
      </x:c>
      <x:c r="F113" s="163" t="n">
        <x:v>0.6</x:v>
      </x:c>
      <x:c r="G113" s="154" t="str">
        <x:v>GRID BRACKET</x:v>
      </x:c>
      <x:c r="H113" s="195" t="b">
        <x:v>1</x:v>
      </x:c>
      <x:c r="I113" s="195" t="b">
        <x:v>0</x:v>
      </x:c>
      <x:c r="J113" s="150"/>
      <x:c r="K113" s="150"/>
      <x:c r="L113" s="150"/>
      <x:c r="M113" s="150"/>
      <x:c r="N113" s="150"/>
      <x:c r="O113" s="150"/>
      <x:c r="P113" s="150"/>
      <x:c r="Q113" s="150"/>
      <x:c r="R113" s="150"/>
      <x:c r="S113" s="150"/>
    </x:row>
    <x:row r="114" ht="42" customHeight="1">
      <x:c r="A114" s="150"/>
      <x:c r="B114" s="150"/>
      <x:c r="C114" s="163" t="n">
        <x:v>0.67</x:v>
      </x:c>
      <x:c r="D114" s="150" t="str">
        <x:v>back_flat</x:v>
      </x:c>
      <x:c r="E114" s="163" t="n">
        <x:v>0.55</x:v>
      </x:c>
      <x:c r="F114" s="163" t="n">
        <x:v>0.6</x:v>
      </x:c>
      <x:c r="G114" s="154" t="str">
        <x:v>GRID BRACKET</x:v>
      </x:c>
      <x:c r="H114" s="195" t="b">
        <x:v>1</x:v>
      </x:c>
      <x:c r="I114" s="195" t="b">
        <x:v>0</x:v>
      </x:c>
      <x:c r="J114" s="150"/>
      <x:c r="K114" s="150"/>
      <x:c r="L114" s="150"/>
      <x:c r="M114" s="150"/>
      <x:c r="N114" s="150"/>
      <x:c r="O114" s="150"/>
      <x:c r="P114" s="150"/>
      <x:c r="Q114" s="150"/>
      <x:c r="R114" s="150"/>
      <x:c r="S114" s="150"/>
    </x:row>
    <x:row r="115" ht="42" customHeight="1">
      <x:c r="A115" s="150"/>
      <x:c r="B115" s="150"/>
      <x:c r="C115" s="163" t="n">
        <x:v>0.67</x:v>
      </x:c>
      <x:c r="D115" s="150" t="str">
        <x:v>back_low</x:v>
      </x:c>
      <x:c r="E115" s="163" t="n">
        <x:v>0.55</x:v>
      </x:c>
      <x:c r="F115" s="163" t="n">
        <x:v>0.6</x:v>
      </x:c>
      <x:c r="G115" s="154" t="str">
        <x:v>GRID BRACKET</x:v>
      </x:c>
      <x:c r="H115" s="195" t="b">
        <x:v>1</x:v>
      </x:c>
      <x:c r="I115" s="195" t="b">
        <x:v>0</x:v>
      </x:c>
      <x:c r="J115" s="150"/>
      <x:c r="K115" s="150"/>
      <x:c r="L115" s="150"/>
      <x:c r="M115" s="150"/>
      <x:c r="N115" s="150"/>
      <x:c r="O115" s="150"/>
      <x:c r="P115" s="150"/>
      <x:c r="Q115" s="150"/>
      <x:c r="R115" s="150"/>
      <x:c r="S115" s="150"/>
    </x:row>
    <x:row r="116" ht="42" customHeight="1">
      <x:c r="A116" s="150"/>
      <x:c r="B116" s="150"/>
      <x:c r="C116" s="163" t="n">
        <x:v>0.67</x:v>
      </x:c>
      <x:c r="D116" s="150" t="str">
        <x:v>back_high</x:v>
      </x:c>
      <x:c r="E116" s="163" t="n">
        <x:v>0.55</x:v>
      </x:c>
      <x:c r="F116" s="163" t="n">
        <x:v>0.6</x:v>
      </x:c>
      <x:c r="G116" s="154" t="str">
        <x:v>GRID BRACKET</x:v>
      </x:c>
      <x:c r="H116" s="195" t="b">
        <x:v>1</x:v>
      </x:c>
      <x:c r="I116" s="195" t="b">
        <x:v>0</x:v>
      </x:c>
      <x:c r="J116" s="150"/>
      <x:c r="K116" s="150"/>
      <x:c r="L116" s="150"/>
      <x:c r="M116" s="150"/>
      <x:c r="N116" s="150"/>
      <x:c r="O116" s="150"/>
      <x:c r="P116" s="150"/>
      <x:c r="Q116" s="150"/>
      <x:c r="R116" s="150"/>
      <x:c r="S116" s="150"/>
    </x:row>
    <x:row r="117" ht="42" customHeight="1">
      <x:c r="A117" s="150"/>
      <x:c r="B117" s="150"/>
      <x:c r="C117" s="163" t="n">
        <x:v>0.67</x:v>
      </x:c>
      <x:c r="D117" s="150" t="str">
        <x:v>level_flat</x:v>
      </x:c>
      <x:c r="E117" s="163" t="n">
        <x:v>0.55</x:v>
      </x:c>
      <x:c r="F117" s="163" t="n">
        <x:v>0.6</x:v>
      </x:c>
      <x:c r="G117" s="154" t="str">
        <x:v>GRID BRACKET</x:v>
      </x:c>
      <x:c r="H117" s="195" t="b">
        <x:v>1</x:v>
      </x:c>
      <x:c r="I117" s="195" t="b">
        <x:v>0</x:v>
      </x:c>
      <x:c r="J117" s="150"/>
      <x:c r="K117" s="150"/>
      <x:c r="L117" s="150"/>
      <x:c r="M117" s="150"/>
      <x:c r="N117" s="150"/>
      <x:c r="O117" s="150"/>
      <x:c r="P117" s="150"/>
      <x:c r="Q117" s="150"/>
      <x:c r="R117" s="150"/>
      <x:c r="S117" s="150"/>
    </x:row>
    <x:row r="118" ht="42" customHeight="1">
      <x:c r="A118" s="150"/>
      <x:c r="B118" s="150"/>
      <x:c r="C118" s="163" t="n">
        <x:v>0.67</x:v>
      </x:c>
      <x:c r="D118" s="150" t="str">
        <x:v>level_low</x:v>
      </x:c>
      <x:c r="E118" s="163" t="n">
        <x:v>0.55</x:v>
      </x:c>
      <x:c r="F118" s="163" t="n">
        <x:v>0.6</x:v>
      </x:c>
      <x:c r="G118" s="154" t="str">
        <x:v>GRID BRACKET</x:v>
      </x:c>
      <x:c r="H118" s="195" t="b">
        <x:v>1</x:v>
      </x:c>
      <x:c r="I118" s="195" t="b">
        <x:v>0</x:v>
      </x:c>
      <x:c r="J118" s="150"/>
      <x:c r="K118" s="150"/>
      <x:c r="L118" s="150"/>
      <x:c r="M118" s="150"/>
      <x:c r="N118" s="150"/>
      <x:c r="O118" s="150"/>
      <x:c r="P118" s="150"/>
      <x:c r="Q118" s="150"/>
      <x:c r="R118" s="150"/>
      <x:c r="S118" s="150"/>
    </x:row>
    <x:row r="119" ht="42" customHeight="1">
      <x:c r="A119" s="150"/>
      <x:c r="B119" s="150"/>
      <x:c r="C119" s="163" t="n">
        <x:v>0.67</x:v>
      </x:c>
      <x:c r="D119" s="150" t="str">
        <x:v>level_high</x:v>
      </x:c>
      <x:c r="E119" s="163" t="n">
        <x:v>0.55</x:v>
      </x:c>
      <x:c r="F119" s="163" t="n">
        <x:v>0.6</x:v>
      </x:c>
      <x:c r="G119" s="154" t="str">
        <x:v>GRID BRACKET</x:v>
      </x:c>
      <x:c r="H119" s="195" t="b">
        <x:v>1</x:v>
      </x:c>
      <x:c r="I119" s="195" t="b">
        <x:v>0</x:v>
      </x:c>
      <x:c r="J119" s="150"/>
      <x:c r="K119" s="150"/>
      <x:c r="L119" s="150"/>
      <x:c r="M119" s="150"/>
      <x:c r="N119" s="150"/>
      <x:c r="O119" s="150"/>
      <x:c r="P119" s="150"/>
      <x:c r="Q119" s="150"/>
      <x:c r="R119" s="150"/>
      <x:c r="S119" s="150"/>
    </x:row>
    <x:row r="120" ht="42" customHeight="1">
      <x:c r="A120" s="150"/>
      <x:c r="B120" s="150"/>
      <x:c r="C120" s="163" t="n">
        <x:v>0.68</x:v>
      </x:c>
      <x:c r="D120" s="150" t="str">
        <x:v>front_flat</x:v>
      </x:c>
      <x:c r="E120" s="163" t="n">
        <x:v>0.55</x:v>
      </x:c>
      <x:c r="F120" s="163" t="n">
        <x:v>0.6</x:v>
      </x:c>
      <x:c r="G120" s="154" t="str">
        <x:v>GRID BRACKET</x:v>
      </x:c>
      <x:c r="H120" s="195" t="b">
        <x:v>1</x:v>
      </x:c>
      <x:c r="I120" s="195" t="b">
        <x:v>0</x:v>
      </x:c>
      <x:c r="J120" s="150"/>
      <x:c r="K120" s="150"/>
      <x:c r="L120" s="150"/>
      <x:c r="M120" s="150"/>
      <x:c r="N120" s="150"/>
      <x:c r="O120" s="150"/>
      <x:c r="P120" s="150"/>
      <x:c r="Q120" s="150"/>
      <x:c r="R120" s="150"/>
      <x:c r="S120" s="150"/>
    </x:row>
    <x:row r="121" ht="42" customHeight="1">
      <x:c r="A121" s="150"/>
      <x:c r="B121" s="150"/>
      <x:c r="C121" s="163" t="n">
        <x:v>0.68</x:v>
      </x:c>
      <x:c r="D121" s="150" t="str">
        <x:v>front_low</x:v>
      </x:c>
      <x:c r="E121" s="163" t="n">
        <x:v>0.55</x:v>
      </x:c>
      <x:c r="F121" s="163" t="n">
        <x:v>0.6</x:v>
      </x:c>
      <x:c r="G121" s="154" t="str">
        <x:v>GRID BRACKET</x:v>
      </x:c>
      <x:c r="H121" s="195" t="b">
        <x:v>1</x:v>
      </x:c>
      <x:c r="I121" s="195" t="b">
        <x:v>0</x:v>
      </x:c>
      <x:c r="J121" s="150"/>
      <x:c r="K121" s="150"/>
      <x:c r="L121" s="150"/>
      <x:c r="M121" s="150"/>
      <x:c r="N121" s="150"/>
      <x:c r="O121" s="150"/>
      <x:c r="P121" s="150"/>
      <x:c r="Q121" s="150"/>
      <x:c r="R121" s="150"/>
      <x:c r="S121" s="150"/>
    </x:row>
    <x:row r="122" ht="42" customHeight="1">
      <x:c r="A122" s="150"/>
      <x:c r="B122" s="150"/>
      <x:c r="C122" s="163" t="n">
        <x:v>0.68</x:v>
      </x:c>
      <x:c r="D122" s="150" t="str">
        <x:v>front_high</x:v>
      </x:c>
      <x:c r="E122" s="163" t="n">
        <x:v>0.55</x:v>
      </x:c>
      <x:c r="F122" s="163" t="n">
        <x:v>0.6</x:v>
      </x:c>
      <x:c r="G122" s="154" t="str">
        <x:v>GRID BRACKET</x:v>
      </x:c>
      <x:c r="H122" s="195" t="b">
        <x:v>1</x:v>
      </x:c>
      <x:c r="I122" s="195" t="b">
        <x:v>0</x:v>
      </x:c>
      <x:c r="J122" s="150"/>
      <x:c r="K122" s="150"/>
      <x:c r="L122" s="150"/>
      <x:c r="M122" s="150"/>
      <x:c r="N122" s="150"/>
      <x:c r="O122" s="150"/>
      <x:c r="P122" s="150"/>
      <x:c r="Q122" s="150"/>
      <x:c r="R122" s="150"/>
      <x:c r="S122" s="150"/>
    </x:row>
    <x:row r="123" ht="42" customHeight="1">
      <x:c r="A123" s="150"/>
      <x:c r="B123" s="150"/>
      <x:c r="C123" s="163" t="n">
        <x:v>0.68</x:v>
      </x:c>
      <x:c r="D123" s="150" t="str">
        <x:v>middle_flat</x:v>
      </x:c>
      <x:c r="E123" s="163" t="n">
        <x:v>0.55</x:v>
      </x:c>
      <x:c r="F123" s="163" t="n">
        <x:v>0.6</x:v>
      </x:c>
      <x:c r="G123" s="154" t="str">
        <x:v>GRID BRACKET</x:v>
      </x:c>
      <x:c r="H123" s="195" t="b">
        <x:v>1</x:v>
      </x:c>
      <x:c r="I123" s="195" t="b">
        <x:v>0</x:v>
      </x:c>
      <x:c r="J123" s="150"/>
      <x:c r="K123" s="150"/>
      <x:c r="L123" s="150"/>
      <x:c r="M123" s="150"/>
      <x:c r="N123" s="150"/>
      <x:c r="O123" s="150"/>
      <x:c r="P123" s="150"/>
      <x:c r="Q123" s="150"/>
      <x:c r="R123" s="150"/>
      <x:c r="S123" s="150"/>
    </x:row>
    <x:row r="124" ht="42" customHeight="1">
      <x:c r="A124" s="150"/>
      <x:c r="B124" s="150"/>
      <x:c r="C124" s="163" t="n">
        <x:v>0.68</x:v>
      </x:c>
      <x:c r="D124" s="150" t="str">
        <x:v>middle_low</x:v>
      </x:c>
      <x:c r="E124" s="163" t="n">
        <x:v>0.55</x:v>
      </x:c>
      <x:c r="F124" s="163" t="n">
        <x:v>0.6</x:v>
      </x:c>
      <x:c r="G124" s="154" t="str">
        <x:v>GRID BRACKET</x:v>
      </x:c>
      <x:c r="H124" s="195" t="b">
        <x:v>1</x:v>
      </x:c>
      <x:c r="I124" s="195" t="b">
        <x:v>0</x:v>
      </x:c>
      <x:c r="J124" s="150"/>
      <x:c r="K124" s="150"/>
      <x:c r="L124" s="150"/>
      <x:c r="M124" s="150"/>
      <x:c r="N124" s="150"/>
      <x:c r="O124" s="150"/>
      <x:c r="P124" s="150"/>
      <x:c r="Q124" s="150"/>
      <x:c r="R124" s="150"/>
      <x:c r="S124" s="150"/>
    </x:row>
    <x:row r="125" ht="42" customHeight="1">
      <x:c r="A125" s="150"/>
      <x:c r="B125" s="150"/>
      <x:c r="C125" s="163" t="n">
        <x:v>0.68</x:v>
      </x:c>
      <x:c r="D125" s="150" t="str">
        <x:v>middle_high</x:v>
      </x:c>
      <x:c r="E125" s="163" t="n">
        <x:v>0.55</x:v>
      </x:c>
      <x:c r="F125" s="163" t="n">
        <x:v>0.6</x:v>
      </x:c>
      <x:c r="G125" s="154" t="str">
        <x:v>GRID BRACKET</x:v>
      </x:c>
      <x:c r="H125" s="195" t="b">
        <x:v>1</x:v>
      </x:c>
      <x:c r="I125" s="195" t="b">
        <x:v>0</x:v>
      </x:c>
      <x:c r="J125" s="150"/>
      <x:c r="K125" s="150"/>
      <x:c r="L125" s="150"/>
      <x:c r="M125" s="150"/>
      <x:c r="N125" s="150"/>
      <x:c r="O125" s="150"/>
      <x:c r="P125" s="150"/>
      <x:c r="Q125" s="150"/>
      <x:c r="R125" s="150"/>
      <x:c r="S125" s="150"/>
    </x:row>
    <x:row r="126" ht="42" customHeight="1">
      <x:c r="A126" s="150"/>
      <x:c r="B126" s="150"/>
      <x:c r="C126" s="163" t="n">
        <x:v>0.68</x:v>
      </x:c>
      <x:c r="D126" s="150" t="str">
        <x:v>back_flat</x:v>
      </x:c>
      <x:c r="E126" s="163" t="n">
        <x:v>0.55</x:v>
      </x:c>
      <x:c r="F126" s="163" t="n">
        <x:v>0.6</x:v>
      </x:c>
      <x:c r="G126" s="154" t="str">
        <x:v>GRID BRACKET</x:v>
      </x:c>
      <x:c r="H126" s="195" t="b">
        <x:v>1</x:v>
      </x:c>
      <x:c r="I126" s="195" t="b">
        <x:v>0</x:v>
      </x:c>
      <x:c r="J126" s="150"/>
      <x:c r="K126" s="150"/>
      <x:c r="L126" s="150"/>
      <x:c r="M126" s="150"/>
      <x:c r="N126" s="150"/>
      <x:c r="O126" s="150"/>
      <x:c r="P126" s="150"/>
      <x:c r="Q126" s="150"/>
      <x:c r="R126" s="150"/>
      <x:c r="S126" s="150"/>
    </x:row>
    <x:row r="127" ht="42" customHeight="1">
      <x:c r="A127" s="150"/>
      <x:c r="B127" s="150"/>
      <x:c r="C127" s="163" t="n">
        <x:v>0.68</x:v>
      </x:c>
      <x:c r="D127" s="150" t="str">
        <x:v>back_low</x:v>
      </x:c>
      <x:c r="E127" s="163" t="n">
        <x:v>0.55</x:v>
      </x:c>
      <x:c r="F127" s="163" t="n">
        <x:v>0.6</x:v>
      </x:c>
      <x:c r="G127" s="154" t="str">
        <x:v>GRID BRACKET</x:v>
      </x:c>
      <x:c r="H127" s="195" t="b">
        <x:v>1</x:v>
      </x:c>
      <x:c r="I127" s="195" t="b">
        <x:v>0</x:v>
      </x:c>
      <x:c r="J127" s="150"/>
      <x:c r="K127" s="150"/>
      <x:c r="L127" s="150"/>
      <x:c r="M127" s="150"/>
      <x:c r="N127" s="150"/>
      <x:c r="O127" s="150"/>
      <x:c r="P127" s="150"/>
      <x:c r="Q127" s="150"/>
      <x:c r="R127" s="150"/>
      <x:c r="S127" s="150"/>
    </x:row>
    <x:row r="128" ht="42" customHeight="1">
      <x:c r="A128" s="150"/>
      <x:c r="B128" s="150"/>
      <x:c r="C128" s="163" t="n">
        <x:v>0.68</x:v>
      </x:c>
      <x:c r="D128" s="150" t="str">
        <x:v>back_high</x:v>
      </x:c>
      <x:c r="E128" s="163" t="n">
        <x:v>0.55</x:v>
      </x:c>
      <x:c r="F128" s="163" t="n">
        <x:v>0.6</x:v>
      </x:c>
      <x:c r="G128" s="154" t="str">
        <x:v>GRID BRACKET</x:v>
      </x:c>
      <x:c r="H128" s="195" t="b">
        <x:v>1</x:v>
      </x:c>
      <x:c r="I128" s="195" t="b">
        <x:v>0</x:v>
      </x:c>
      <x:c r="J128" s="150"/>
      <x:c r="K128" s="150"/>
      <x:c r="L128" s="150"/>
      <x:c r="M128" s="150"/>
      <x:c r="N128" s="150"/>
      <x:c r="O128" s="150"/>
      <x:c r="P128" s="150"/>
      <x:c r="Q128" s="150"/>
      <x:c r="R128" s="150"/>
      <x:c r="S128" s="150"/>
    </x:row>
    <x:row r="129" ht="42" customHeight="1">
      <x:c r="A129" s="150"/>
      <x:c r="B129" s="150"/>
      <x:c r="C129" s="163" t="n">
        <x:v>0.68</x:v>
      </x:c>
      <x:c r="D129" s="150" t="str">
        <x:v>level_flat</x:v>
      </x:c>
      <x:c r="E129" s="163" t="n">
        <x:v>0.55</x:v>
      </x:c>
      <x:c r="F129" s="163" t="n">
        <x:v>0.6</x:v>
      </x:c>
      <x:c r="G129" s="154" t="str">
        <x:v>GRID BRACKET</x:v>
      </x:c>
      <x:c r="H129" s="195" t="b">
        <x:v>1</x:v>
      </x:c>
      <x:c r="I129" s="195" t="b">
        <x:v>0</x:v>
      </x:c>
      <x:c r="J129" s="150"/>
      <x:c r="K129" s="150"/>
      <x:c r="L129" s="150"/>
      <x:c r="M129" s="150"/>
      <x:c r="N129" s="150"/>
      <x:c r="O129" s="150"/>
      <x:c r="P129" s="150"/>
      <x:c r="Q129" s="150"/>
      <x:c r="R129" s="150"/>
      <x:c r="S129" s="150"/>
    </x:row>
    <x:row r="130" ht="42" customHeight="1">
      <x:c r="A130" s="150"/>
      <x:c r="B130" s="150"/>
      <x:c r="C130" s="163" t="n">
        <x:v>0.68</x:v>
      </x:c>
      <x:c r="D130" s="150" t="str">
        <x:v>level_low</x:v>
      </x:c>
      <x:c r="E130" s="163" t="n">
        <x:v>0.55</x:v>
      </x:c>
      <x:c r="F130" s="163" t="n">
        <x:v>0.6</x:v>
      </x:c>
      <x:c r="G130" s="154" t="str">
        <x:v>GRID BRACKET</x:v>
      </x:c>
      <x:c r="H130" s="195" t="b">
        <x:v>1</x:v>
      </x:c>
      <x:c r="I130" s="195" t="b">
        <x:v>0</x:v>
      </x:c>
      <x:c r="J130" s="150"/>
      <x:c r="K130" s="150"/>
      <x:c r="L130" s="150"/>
      <x:c r="M130" s="150"/>
      <x:c r="N130" s="150"/>
      <x:c r="O130" s="150"/>
      <x:c r="P130" s="150"/>
      <x:c r="Q130" s="150"/>
      <x:c r="R130" s="150"/>
      <x:c r="S130" s="150"/>
    </x:row>
    <x:row r="131" ht="42" customHeight="1">
      <x:c r="A131" s="150"/>
      <x:c r="B131" s="150"/>
      <x:c r="C131" s="163" t="n">
        <x:v>0.68</x:v>
      </x:c>
      <x:c r="D131" s="150" t="str">
        <x:v>level_high</x:v>
      </x:c>
      <x:c r="E131" s="163" t="n">
        <x:v>0.55</x:v>
      </x:c>
      <x:c r="F131" s="163" t="n">
        <x:v>0.6</x:v>
      </x:c>
      <x:c r="G131" s="154" t="str">
        <x:v>GRID BRACKET</x:v>
      </x:c>
      <x:c r="H131" s="195" t="b">
        <x:v>1</x:v>
      </x:c>
      <x:c r="I131" s="195" t="b">
        <x:v>0</x:v>
      </x:c>
      <x:c r="J131" s="150"/>
      <x:c r="K131" s="150"/>
      <x:c r="L131" s="150"/>
      <x:c r="M131" s="150"/>
      <x:c r="N131" s="150"/>
      <x:c r="O131" s="150"/>
      <x:c r="P131" s="150"/>
      <x:c r="Q131" s="150"/>
      <x:c r="R131" s="150"/>
      <x:c r="S131" s="150"/>
    </x:row>
    <x:row r="132" ht="42" customHeight="1">
      <x:c r="A132" s="150"/>
      <x:c r="B132" s="150"/>
      <x:c r="C132" s="163" t="n">
        <x:v>0.69</x:v>
      </x:c>
      <x:c r="D132" s="150" t="str">
        <x:v>front_flat</x:v>
      </x:c>
      <x:c r="E132" s="163" t="n">
        <x:v>0.55</x:v>
      </x:c>
      <x:c r="F132" s="163" t="n">
        <x:v>0.6</x:v>
      </x:c>
      <x:c r="G132" s="154" t="str">
        <x:v>GRID BRACKET</x:v>
      </x:c>
      <x:c r="H132" s="195" t="b">
        <x:v>1</x:v>
      </x:c>
      <x:c r="I132" s="195" t="b">
        <x:v>0</x:v>
      </x:c>
      <x:c r="J132" s="150"/>
      <x:c r="K132" s="150"/>
      <x:c r="L132" s="150"/>
      <x:c r="M132" s="150"/>
      <x:c r="N132" s="150"/>
      <x:c r="O132" s="150"/>
      <x:c r="P132" s="150"/>
      <x:c r="Q132" s="150"/>
      <x:c r="R132" s="150"/>
      <x:c r="S132" s="150"/>
    </x:row>
    <x:row r="133" ht="42" customHeight="1">
      <x:c r="A133" s="150"/>
      <x:c r="B133" s="150"/>
      <x:c r="C133" s="163" t="n">
        <x:v>0.69</x:v>
      </x:c>
      <x:c r="D133" s="150" t="str">
        <x:v>front_low</x:v>
      </x:c>
      <x:c r="E133" s="163" t="n">
        <x:v>0.55</x:v>
      </x:c>
      <x:c r="F133" s="163" t="n">
        <x:v>0.6</x:v>
      </x:c>
      <x:c r="G133" s="154" t="str">
        <x:v>GRID BRACKET</x:v>
      </x:c>
      <x:c r="H133" s="195" t="b">
        <x:v>1</x:v>
      </x:c>
      <x:c r="I133" s="195" t="b">
        <x:v>0</x:v>
      </x:c>
      <x:c r="J133" s="150"/>
      <x:c r="K133" s="150"/>
      <x:c r="L133" s="150"/>
      <x:c r="M133" s="150"/>
      <x:c r="N133" s="150"/>
      <x:c r="O133" s="150"/>
      <x:c r="P133" s="150"/>
      <x:c r="Q133" s="150"/>
      <x:c r="R133" s="150"/>
      <x:c r="S133" s="150"/>
    </x:row>
    <x:row r="134" ht="42" customHeight="1">
      <x:c r="A134" s="150"/>
      <x:c r="B134" s="150"/>
      <x:c r="C134" s="163" t="n">
        <x:v>0.69</x:v>
      </x:c>
      <x:c r="D134" s="150" t="str">
        <x:v>front_high</x:v>
      </x:c>
      <x:c r="E134" s="163" t="n">
        <x:v>0.55</x:v>
      </x:c>
      <x:c r="F134" s="163" t="n">
        <x:v>0.6</x:v>
      </x:c>
      <x:c r="G134" s="154" t="str">
        <x:v>GRID BRACKET</x:v>
      </x:c>
      <x:c r="H134" s="195" t="b">
        <x:v>1</x:v>
      </x:c>
      <x:c r="I134" s="195" t="b">
        <x:v>0</x:v>
      </x:c>
      <x:c r="J134" s="150"/>
      <x:c r="K134" s="150"/>
      <x:c r="L134" s="150"/>
      <x:c r="M134" s="150"/>
      <x:c r="N134" s="150"/>
      <x:c r="O134" s="150"/>
      <x:c r="P134" s="150"/>
      <x:c r="Q134" s="150"/>
      <x:c r="R134" s="150"/>
      <x:c r="S134" s="150"/>
    </x:row>
    <x:row r="135" ht="42" customHeight="1">
      <x:c r="A135" s="150"/>
      <x:c r="B135" s="150"/>
      <x:c r="C135" s="163" t="n">
        <x:v>0.69</x:v>
      </x:c>
      <x:c r="D135" s="150" t="str">
        <x:v>middle_flat</x:v>
      </x:c>
      <x:c r="E135" s="163" t="n">
        <x:v>0.55</x:v>
      </x:c>
      <x:c r="F135" s="163" t="n">
        <x:v>0.6</x:v>
      </x:c>
      <x:c r="G135" s="154" t="str">
        <x:v>GRID BRACKET</x:v>
      </x:c>
      <x:c r="H135" s="195" t="b">
        <x:v>1</x:v>
      </x:c>
      <x:c r="I135" s="195" t="b">
        <x:v>0</x:v>
      </x:c>
      <x:c r="J135" s="150"/>
      <x:c r="K135" s="150"/>
      <x:c r="L135" s="150"/>
      <x:c r="M135" s="150"/>
      <x:c r="N135" s="150"/>
      <x:c r="O135" s="150"/>
      <x:c r="P135" s="150"/>
      <x:c r="Q135" s="150"/>
      <x:c r="R135" s="150"/>
      <x:c r="S135" s="150"/>
    </x:row>
    <x:row r="136" ht="42" customHeight="1">
      <x:c r="A136" s="150"/>
      <x:c r="B136" s="150"/>
      <x:c r="C136" s="163" t="n">
        <x:v>0.69</x:v>
      </x:c>
      <x:c r="D136" s="150" t="str">
        <x:v>middle_low</x:v>
      </x:c>
      <x:c r="E136" s="163" t="n">
        <x:v>0.55</x:v>
      </x:c>
      <x:c r="F136" s="163" t="n">
        <x:v>0.6</x:v>
      </x:c>
      <x:c r="G136" s="154" t="str">
        <x:v>GRID BRACKET</x:v>
      </x:c>
      <x:c r="H136" s="195" t="b">
        <x:v>1</x:v>
      </x:c>
      <x:c r="I136" s="195" t="b">
        <x:v>0</x:v>
      </x:c>
      <x:c r="J136" s="150"/>
      <x:c r="K136" s="150"/>
      <x:c r="L136" s="150"/>
      <x:c r="M136" s="150"/>
      <x:c r="N136" s="150"/>
      <x:c r="O136" s="150"/>
      <x:c r="P136" s="150"/>
      <x:c r="Q136" s="150"/>
      <x:c r="R136" s="150"/>
      <x:c r="S136" s="150"/>
    </x:row>
    <x:row r="137" ht="42" customHeight="1">
      <x:c r="A137" s="150"/>
      <x:c r="B137" s="150"/>
      <x:c r="C137" s="163" t="n">
        <x:v>0.69</x:v>
      </x:c>
      <x:c r="D137" s="150" t="str">
        <x:v>middle_high</x:v>
      </x:c>
      <x:c r="E137" s="163" t="n">
        <x:v>0.55</x:v>
      </x:c>
      <x:c r="F137" s="163" t="n">
        <x:v>0.6</x:v>
      </x:c>
      <x:c r="G137" s="154" t="str">
        <x:v>GRID BRACKET</x:v>
      </x:c>
      <x:c r="H137" s="195" t="b">
        <x:v>1</x:v>
      </x:c>
      <x:c r="I137" s="195" t="b">
        <x:v>0</x:v>
      </x:c>
      <x:c r="J137" s="150"/>
      <x:c r="K137" s="150"/>
      <x:c r="L137" s="150"/>
      <x:c r="M137" s="150"/>
      <x:c r="N137" s="150"/>
      <x:c r="O137" s="150"/>
      <x:c r="P137" s="150"/>
      <x:c r="Q137" s="150"/>
      <x:c r="R137" s="150"/>
      <x:c r="S137" s="150"/>
    </x:row>
    <x:row r="138" ht="42" customHeight="1">
      <x:c r="A138" s="150"/>
      <x:c r="B138" s="150"/>
      <x:c r="C138" s="163" t="n">
        <x:v>0.69</x:v>
      </x:c>
      <x:c r="D138" s="150" t="str">
        <x:v>back_flat</x:v>
      </x:c>
      <x:c r="E138" s="163" t="n">
        <x:v>0.5</x:v>
      </x:c>
      <x:c r="F138" s="163" t="n">
        <x:v>0.55</x:v>
      </x:c>
      <x:c r="G138" s="154" t="str">
        <x:v>GRID BRACKET</x:v>
      </x:c>
      <x:c r="H138" s="195" t="b">
        <x:v>1</x:v>
      </x:c>
      <x:c r="I138" s="195" t="b">
        <x:v>0</x:v>
      </x:c>
      <x:c r="J138" s="150"/>
      <x:c r="K138" s="150"/>
      <x:c r="L138" s="150"/>
      <x:c r="M138" s="150"/>
      <x:c r="N138" s="150"/>
      <x:c r="O138" s="150"/>
      <x:c r="P138" s="150"/>
      <x:c r="Q138" s="150"/>
      <x:c r="R138" s="150"/>
      <x:c r="S138" s="150"/>
    </x:row>
    <x:row r="139" ht="42" customHeight="1">
      <x:c r="A139" s="150"/>
      <x:c r="B139" s="150"/>
      <x:c r="C139" s="163" t="n">
        <x:v>0.69</x:v>
      </x:c>
      <x:c r="D139" s="150" t="str">
        <x:v>back_low</x:v>
      </x:c>
      <x:c r="E139" s="163" t="n">
        <x:v>0.5</x:v>
      </x:c>
      <x:c r="F139" s="163" t="n">
        <x:v>0.55</x:v>
      </x:c>
      <x:c r="G139" s="154" t="str">
        <x:v>GRID BRACKET</x:v>
      </x:c>
      <x:c r="H139" s="195" t="b">
        <x:v>1</x:v>
      </x:c>
      <x:c r="I139" s="195" t="b">
        <x:v>0</x:v>
      </x:c>
      <x:c r="J139" s="150"/>
      <x:c r="K139" s="150"/>
      <x:c r="L139" s="150"/>
      <x:c r="M139" s="150"/>
      <x:c r="N139" s="150"/>
      <x:c r="O139" s="150"/>
      <x:c r="P139" s="150"/>
      <x:c r="Q139" s="150"/>
      <x:c r="R139" s="150"/>
      <x:c r="S139" s="150"/>
    </x:row>
    <x:row r="140" ht="42" customHeight="1">
      <x:c r="A140" s="150"/>
      <x:c r="B140" s="150"/>
      <x:c r="C140" s="163" t="n">
        <x:v>0.69</x:v>
      </x:c>
      <x:c r="D140" s="150" t="str">
        <x:v>back_high</x:v>
      </x:c>
      <x:c r="E140" s="163" t="n">
        <x:v>0.5</x:v>
      </x:c>
      <x:c r="F140" s="163" t="n">
        <x:v>0.55</x:v>
      </x:c>
      <x:c r="G140" s="154" t="str">
        <x:v>GRID BRACKET</x:v>
      </x:c>
      <x:c r="H140" s="195" t="b">
        <x:v>1</x:v>
      </x:c>
      <x:c r="I140" s="195" t="b">
        <x:v>0</x:v>
      </x:c>
      <x:c r="J140" s="150"/>
      <x:c r="K140" s="150"/>
      <x:c r="L140" s="150"/>
      <x:c r="M140" s="150"/>
      <x:c r="N140" s="150"/>
      <x:c r="O140" s="150"/>
      <x:c r="P140" s="150"/>
      <x:c r="Q140" s="150"/>
      <x:c r="R140" s="150"/>
      <x:c r="S140" s="150"/>
    </x:row>
    <x:row r="141" ht="42" customHeight="1">
      <x:c r="A141" s="150"/>
      <x:c r="B141" s="150"/>
      <x:c r="C141" s="163" t="n">
        <x:v>0.69</x:v>
      </x:c>
      <x:c r="D141" s="150" t="str">
        <x:v>level_flat</x:v>
      </x:c>
      <x:c r="E141" s="163" t="n">
        <x:v>0.55</x:v>
      </x:c>
      <x:c r="F141" s="163" t="n">
        <x:v>0.6</x:v>
      </x:c>
      <x:c r="G141" s="154" t="str">
        <x:v>GRID BRACKET</x:v>
      </x:c>
      <x:c r="H141" s="195" t="b">
        <x:v>1</x:v>
      </x:c>
      <x:c r="I141" s="195" t="b">
        <x:v>0</x:v>
      </x:c>
      <x:c r="J141" s="150"/>
      <x:c r="K141" s="150"/>
      <x:c r="L141" s="150"/>
      <x:c r="M141" s="150"/>
      <x:c r="N141" s="150"/>
      <x:c r="O141" s="150"/>
      <x:c r="P141" s="150"/>
      <x:c r="Q141" s="150"/>
      <x:c r="R141" s="150"/>
      <x:c r="S141" s="150"/>
    </x:row>
    <x:row r="142" ht="42" customHeight="1">
      <x:c r="A142" s="150"/>
      <x:c r="B142" s="150"/>
      <x:c r="C142" s="163" t="n">
        <x:v>0.69</x:v>
      </x:c>
      <x:c r="D142" s="150" t="str">
        <x:v>level_low</x:v>
      </x:c>
      <x:c r="E142" s="163" t="n">
        <x:v>0.55</x:v>
      </x:c>
      <x:c r="F142" s="163" t="n">
        <x:v>0.6</x:v>
      </x:c>
      <x:c r="G142" s="154" t="str">
        <x:v>GRID BRACKET</x:v>
      </x:c>
      <x:c r="H142" s="195" t="b">
        <x:v>1</x:v>
      </x:c>
      <x:c r="I142" s="195" t="b">
        <x:v>0</x:v>
      </x:c>
      <x:c r="J142" s="150"/>
      <x:c r="K142" s="150"/>
      <x:c r="L142" s="150"/>
      <x:c r="M142" s="150"/>
      <x:c r="N142" s="150"/>
      <x:c r="O142" s="150"/>
      <x:c r="P142" s="150"/>
      <x:c r="Q142" s="150"/>
      <x:c r="R142" s="150"/>
      <x:c r="S142" s="150"/>
    </x:row>
    <x:row r="143" ht="42" customHeight="1">
      <x:c r="A143" s="150"/>
      <x:c r="B143" s="150"/>
      <x:c r="C143" s="163" t="n">
        <x:v>0.69</x:v>
      </x:c>
      <x:c r="D143" s="150" t="str">
        <x:v>level_high</x:v>
      </x:c>
      <x:c r="E143" s="163" t="n">
        <x:v>0.55</x:v>
      </x:c>
      <x:c r="F143" s="163" t="n">
        <x:v>0.6</x:v>
      </x:c>
      <x:c r="G143" s="154" t="str">
        <x:v>GRID BRACKET</x:v>
      </x:c>
      <x:c r="H143" s="195" t="b">
        <x:v>1</x:v>
      </x:c>
      <x:c r="I143" s="195" t="b">
        <x:v>0</x:v>
      </x:c>
      <x:c r="J143" s="150"/>
      <x:c r="K143" s="150"/>
      <x:c r="L143" s="150"/>
      <x:c r="M143" s="150"/>
      <x:c r="N143" s="150"/>
      <x:c r="O143" s="150"/>
      <x:c r="P143" s="150"/>
      <x:c r="Q143" s="150"/>
      <x:c r="R143" s="150"/>
      <x:c r="S143" s="150"/>
    </x:row>
    <x:row r="144" ht="42" customHeight="1">
      <x:c r="A144" s="150"/>
      <x:c r="B144" s="150"/>
      <x:c r="C144" s="163" t="n">
        <x:v>0.7</x:v>
      </x:c>
      <x:c r="D144" s="150" t="str">
        <x:v>front_flat</x:v>
      </x:c>
      <x:c r="E144" s="163" t="n">
        <x:v>0.55</x:v>
      </x:c>
      <x:c r="F144" s="163" t="n">
        <x:v>0.6</x:v>
      </x:c>
      <x:c r="G144" s="154" t="str">
        <x:v>GRID BRACKET</x:v>
      </x:c>
      <x:c r="H144" s="195" t="b">
        <x:v>1</x:v>
      </x:c>
      <x:c r="I144" s="195" t="b">
        <x:v>0</x:v>
      </x:c>
      <x:c r="J144" s="150"/>
      <x:c r="K144" s="150"/>
      <x:c r="L144" s="150"/>
      <x:c r="M144" s="150"/>
      <x:c r="N144" s="150"/>
      <x:c r="O144" s="150"/>
      <x:c r="P144" s="150"/>
      <x:c r="Q144" s="150"/>
      <x:c r="R144" s="150"/>
      <x:c r="S144" s="150"/>
    </x:row>
    <x:row r="145" ht="42" customHeight="1">
      <x:c r="A145" s="150"/>
      <x:c r="B145" s="150"/>
      <x:c r="C145" s="163" t="n">
        <x:v>0.7</x:v>
      </x:c>
      <x:c r="D145" s="150" t="str">
        <x:v>front_low</x:v>
      </x:c>
      <x:c r="E145" s="163" t="n">
        <x:v>0.5</x:v>
      </x:c>
      <x:c r="F145" s="163" t="n">
        <x:v>0.55</x:v>
      </x:c>
      <x:c r="G145" s="154" t="str">
        <x:v>GRID BRACKET</x:v>
      </x:c>
      <x:c r="H145" s="195" t="b">
        <x:v>1</x:v>
      </x:c>
      <x:c r="I145" s="195" t="b">
        <x:v>0</x:v>
      </x:c>
      <x:c r="J145" s="150"/>
      <x:c r="K145" s="150"/>
      <x:c r="L145" s="150"/>
      <x:c r="M145" s="150"/>
      <x:c r="N145" s="150"/>
      <x:c r="O145" s="150"/>
      <x:c r="P145" s="150"/>
      <x:c r="Q145" s="150"/>
      <x:c r="R145" s="150"/>
      <x:c r="S145" s="150"/>
    </x:row>
    <x:row r="146" ht="42" customHeight="1">
      <x:c r="A146" s="150"/>
      <x:c r="B146" s="150"/>
      <x:c r="C146" s="163" t="n">
        <x:v>0.7</x:v>
      </x:c>
      <x:c r="D146" s="150" t="str">
        <x:v>front_high</x:v>
      </x:c>
      <x:c r="E146" s="163" t="n">
        <x:v>0.55</x:v>
      </x:c>
      <x:c r="F146" s="163" t="n">
        <x:v>0.6</x:v>
      </x:c>
      <x:c r="G146" s="154" t="str">
        <x:v>GRID BRACKET</x:v>
      </x:c>
      <x:c r="H146" s="195" t="b">
        <x:v>1</x:v>
      </x:c>
      <x:c r="I146" s="195" t="b">
        <x:v>0</x:v>
      </x:c>
      <x:c r="J146" s="150"/>
      <x:c r="K146" s="150"/>
      <x:c r="L146" s="150"/>
      <x:c r="M146" s="150"/>
      <x:c r="N146" s="150"/>
      <x:c r="O146" s="150"/>
      <x:c r="P146" s="150"/>
      <x:c r="Q146" s="150"/>
      <x:c r="R146" s="150"/>
      <x:c r="S146" s="150"/>
    </x:row>
    <x:row r="147" ht="42" customHeight="1">
      <x:c r="A147" s="150"/>
      <x:c r="B147" s="150"/>
      <x:c r="C147" s="163" t="n">
        <x:v>0.7</x:v>
      </x:c>
      <x:c r="D147" s="150" t="str">
        <x:v>middle_flat</x:v>
      </x:c>
      <x:c r="E147" s="163" t="n">
        <x:v>0.5</x:v>
      </x:c>
      <x:c r="F147" s="163" t="n">
        <x:v>0.55</x:v>
      </x:c>
      <x:c r="G147" s="154" t="str">
        <x:v>GRID BRACKET</x:v>
      </x:c>
      <x:c r="H147" s="195" t="b">
        <x:v>1</x:v>
      </x:c>
      <x:c r="I147" s="195" t="b">
        <x:v>0</x:v>
      </x:c>
      <x:c r="J147" s="150"/>
      <x:c r="K147" s="150"/>
      <x:c r="L147" s="150"/>
      <x:c r="M147" s="150"/>
      <x:c r="N147" s="150"/>
      <x:c r="O147" s="150"/>
      <x:c r="P147" s="150"/>
      <x:c r="Q147" s="150"/>
      <x:c r="R147" s="150"/>
      <x:c r="S147" s="150"/>
    </x:row>
    <x:row r="148" ht="42" customHeight="1">
      <x:c r="A148" s="150"/>
      <x:c r="B148" s="150"/>
      <x:c r="C148" s="163" t="n">
        <x:v>0.7</x:v>
      </x:c>
      <x:c r="D148" s="150" t="str">
        <x:v>middle_low</x:v>
      </x:c>
      <x:c r="E148" s="163" t="n">
        <x:v>0.5</x:v>
      </x:c>
      <x:c r="F148" s="163" t="n">
        <x:v>0.55</x:v>
      </x:c>
      <x:c r="G148" s="154" t="str">
        <x:v>GRID BRACKET</x:v>
      </x:c>
      <x:c r="H148" s="195" t="b">
        <x:v>1</x:v>
      </x:c>
      <x:c r="I148" s="195" t="b">
        <x:v>0</x:v>
      </x:c>
      <x:c r="J148" s="150"/>
      <x:c r="K148" s="150"/>
      <x:c r="L148" s="150"/>
      <x:c r="M148" s="150"/>
      <x:c r="N148" s="150"/>
      <x:c r="O148" s="150"/>
      <x:c r="P148" s="150"/>
      <x:c r="Q148" s="150"/>
      <x:c r="R148" s="150"/>
      <x:c r="S148" s="150"/>
    </x:row>
    <x:row r="149" ht="42" customHeight="1">
      <x:c r="A149" s="150"/>
      <x:c r="B149" s="150"/>
      <x:c r="C149" s="163" t="n">
        <x:v>0.7</x:v>
      </x:c>
      <x:c r="D149" s="150" t="str">
        <x:v>middle_high</x:v>
      </x:c>
      <x:c r="E149" s="163" t="n">
        <x:v>0.5</x:v>
      </x:c>
      <x:c r="F149" s="163" t="n">
        <x:v>0.55</x:v>
      </x:c>
      <x:c r="G149" s="154" t="str">
        <x:v>GRID BRACKET</x:v>
      </x:c>
      <x:c r="H149" s="195" t="b">
        <x:v>1</x:v>
      </x:c>
      <x:c r="I149" s="195" t="b">
        <x:v>0</x:v>
      </x:c>
      <x:c r="J149" s="150"/>
      <x:c r="K149" s="150"/>
      <x:c r="L149" s="150"/>
      <x:c r="M149" s="150"/>
      <x:c r="N149" s="150"/>
      <x:c r="O149" s="150"/>
      <x:c r="P149" s="150"/>
      <x:c r="Q149" s="150"/>
      <x:c r="R149" s="150"/>
      <x:c r="S149" s="150"/>
    </x:row>
    <x:row r="150" ht="42" customHeight="1">
      <x:c r="A150" s="150"/>
      <x:c r="B150" s="150"/>
      <x:c r="C150" s="163" t="n">
        <x:v>0.7</x:v>
      </x:c>
      <x:c r="D150" s="150" t="str">
        <x:v>back_flat</x:v>
      </x:c>
      <x:c r="E150" s="163" t="n">
        <x:v>0.5</x:v>
      </x:c>
      <x:c r="F150" s="163" t="n">
        <x:v>0.55</x:v>
      </x:c>
      <x:c r="G150" s="154" t="str">
        <x:v>GRID BRACKET</x:v>
      </x:c>
      <x:c r="H150" s="195" t="b">
        <x:v>1</x:v>
      </x:c>
      <x:c r="I150" s="195" t="b">
        <x:v>0</x:v>
      </x:c>
      <x:c r="J150" s="150"/>
      <x:c r="K150" s="150"/>
      <x:c r="L150" s="150"/>
      <x:c r="M150" s="150"/>
      <x:c r="N150" s="150"/>
      <x:c r="O150" s="150"/>
      <x:c r="P150" s="150"/>
      <x:c r="Q150" s="150"/>
      <x:c r="R150" s="150"/>
      <x:c r="S150" s="150"/>
    </x:row>
    <x:row r="151" ht="42" customHeight="1">
      <x:c r="A151" s="150"/>
      <x:c r="B151" s="150"/>
      <x:c r="C151" s="163" t="n">
        <x:v>0.7</x:v>
      </x:c>
      <x:c r="D151" s="150" t="str">
        <x:v>back_low</x:v>
      </x:c>
      <x:c r="E151" s="163" t="n">
        <x:v>0.5</x:v>
      </x:c>
      <x:c r="F151" s="163" t="n">
        <x:v>0.55</x:v>
      </x:c>
      <x:c r="G151" s="154" t="str">
        <x:v>GRID BRACKET</x:v>
      </x:c>
      <x:c r="H151" s="195" t="b">
        <x:v>1</x:v>
      </x:c>
      <x:c r="I151" s="195" t="b">
        <x:v>0</x:v>
      </x:c>
      <x:c r="J151" s="150"/>
      <x:c r="K151" s="150"/>
      <x:c r="L151" s="150"/>
      <x:c r="M151" s="150"/>
      <x:c r="N151" s="150"/>
      <x:c r="O151" s="150"/>
      <x:c r="P151" s="150"/>
      <x:c r="Q151" s="150"/>
      <x:c r="R151" s="150"/>
      <x:c r="S151" s="150"/>
    </x:row>
    <x:row r="152" ht="42" customHeight="1">
      <x:c r="A152" s="150"/>
      <x:c r="B152" s="150"/>
      <x:c r="C152" s="163" t="n">
        <x:v>0.7</x:v>
      </x:c>
      <x:c r="D152" s="150" t="str">
        <x:v>back_high</x:v>
      </x:c>
      <x:c r="E152" s="163" t="n">
        <x:v>0.5</x:v>
      </x:c>
      <x:c r="F152" s="163" t="n">
        <x:v>0.55</x:v>
      </x:c>
      <x:c r="G152" s="154" t="str">
        <x:v>GRID BRACKET</x:v>
      </x:c>
      <x:c r="H152" s="195" t="b">
        <x:v>1</x:v>
      </x:c>
      <x:c r="I152" s="195" t="b">
        <x:v>0</x:v>
      </x:c>
      <x:c r="J152" s="150"/>
      <x:c r="K152" s="150"/>
      <x:c r="L152" s="150"/>
      <x:c r="M152" s="150"/>
      <x:c r="N152" s="150"/>
      <x:c r="O152" s="150"/>
      <x:c r="P152" s="150"/>
      <x:c r="Q152" s="150"/>
      <x:c r="R152" s="150"/>
      <x:c r="S152" s="150"/>
    </x:row>
    <x:row r="153" ht="42" customHeight="1">
      <x:c r="A153" s="150"/>
      <x:c r="B153" s="150"/>
      <x:c r="C153" s="163" t="n">
        <x:v>0.7</x:v>
      </x:c>
      <x:c r="D153" s="150" t="str">
        <x:v>level_flat</x:v>
      </x:c>
      <x:c r="E153" s="163" t="n">
        <x:v>0.55</x:v>
      </x:c>
      <x:c r="F153" s="163" t="n">
        <x:v>0.6</x:v>
      </x:c>
      <x:c r="G153" s="154" t="str">
        <x:v>GRID BRACKET</x:v>
      </x:c>
      <x:c r="H153" s="195" t="b">
        <x:v>1</x:v>
      </x:c>
      <x:c r="I153" s="195" t="b">
        <x:v>0</x:v>
      </x:c>
      <x:c r="J153" s="150"/>
      <x:c r="K153" s="150"/>
      <x:c r="L153" s="150"/>
      <x:c r="M153" s="150"/>
      <x:c r="N153" s="150"/>
      <x:c r="O153" s="150"/>
      <x:c r="P153" s="150"/>
      <x:c r="Q153" s="150"/>
      <x:c r="R153" s="150"/>
      <x:c r="S153" s="150"/>
    </x:row>
    <x:row r="154" ht="42" customHeight="1">
      <x:c r="A154" s="150"/>
      <x:c r="B154" s="150"/>
      <x:c r="C154" s="163" t="n">
        <x:v>0.7</x:v>
      </x:c>
      <x:c r="D154" s="150" t="str">
        <x:v>level_low</x:v>
      </x:c>
      <x:c r="E154" s="163" t="n">
        <x:v>0.5</x:v>
      </x:c>
      <x:c r="F154" s="163" t="n">
        <x:v>0.55</x:v>
      </x:c>
      <x:c r="G154" s="154" t="str">
        <x:v>GRID BRACKET</x:v>
      </x:c>
      <x:c r="H154" s="195" t="b">
        <x:v>1</x:v>
      </x:c>
      <x:c r="I154" s="195" t="b">
        <x:v>0</x:v>
      </x:c>
      <x:c r="J154" s="150"/>
      <x:c r="K154" s="150"/>
      <x:c r="L154" s="150"/>
      <x:c r="M154" s="150"/>
      <x:c r="N154" s="150"/>
      <x:c r="O154" s="150"/>
      <x:c r="P154" s="150"/>
      <x:c r="Q154" s="150"/>
      <x:c r="R154" s="150"/>
      <x:c r="S154" s="150"/>
    </x:row>
    <x:row r="155" ht="42" customHeight="1">
      <x:c r="A155" s="150"/>
      <x:c r="B155" s="150"/>
      <x:c r="C155" s="163" t="n">
        <x:v>0.7</x:v>
      </x:c>
      <x:c r="D155" s="150" t="str">
        <x:v>level_high</x:v>
      </x:c>
      <x:c r="E155" s="163" t="n">
        <x:v>0.55</x:v>
      </x:c>
      <x:c r="F155" s="163" t="n">
        <x:v>0.6</x:v>
      </x:c>
      <x:c r="G155" s="154" t="str">
        <x:v>GRID BRACKET</x:v>
      </x:c>
      <x:c r="H155" s="195" t="b">
        <x:v>1</x:v>
      </x:c>
      <x:c r="I155" s="195" t="b">
        <x:v>0</x:v>
      </x:c>
      <x:c r="J155" s="150"/>
      <x:c r="K155" s="150"/>
      <x:c r="L155" s="150"/>
      <x:c r="M155" s="150"/>
      <x:c r="N155" s="150"/>
      <x:c r="O155" s="150"/>
      <x:c r="P155" s="150"/>
      <x:c r="Q155" s="150"/>
      <x:c r="R155" s="150"/>
      <x:c r="S155" s="150"/>
    </x:row>
  </x:sheetData>
  <x:conditionalFormatting sqref="I8:I18">
    <x:cfRule type="containsText" dxfId="0" priority="1" operator="containsText" text="CHECK"/>
    <x:cfRule type="containsText" dxfId="1" priority="2" operator="containsText" text="REFRESH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D8823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23" hidden="0" customWidth="1"/>
    <x:col min="20" max="20" width="19" hidden="0" customWidth="1"/>
    <x:col min="21" max="21" width="19" hidden="0" customWidth="1"/>
    <x:col min="22" max="22" width="19" hidden="0" customWidth="1"/>
  </x:cols>
  <x:sheetData>
    <x:row r="1">
      <x:c r="A1" s="116" t="str">
        <x:v>Development simulations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50"/>
      <x:c r="M1" s="150"/>
      <x:c r="N1" s="150"/>
      <x:c r="O1" s="150"/>
      <x:c r="P1" s="150"/>
      <x:c r="Q1" s="150"/>
      <x:c r="R1" s="150"/>
      <x:c r="S1" s="150"/>
    </x:row>
    <x:row r="2">
      <x:c r="A2" s="64" t="str">
        <x:v>Python Stress Results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  <x:c r="O2" s="150"/>
      <x:c r="P2" s="150"/>
      <x:c r="Q2" s="150"/>
      <x:c r="R2" s="150"/>
      <x:c r="S2" s="150"/>
    </x:row>
    <x:row r="3">
      <x:c r="A3" s="150" t="str">
        <x:v>Detailed grid. Cash-flow pass means timely senior interest and ultimate principal under this exploratory run only.</x:v>
      </x:c>
      <x:c r="B3" s="150"/>
      <x:c r="C3" s="150"/>
      <x:c r="D3" s="150"/>
      <x:c r="E3" s="150"/>
      <x:c r="F3" s="150"/>
      <x:c r="G3" s="150"/>
      <x:c r="H3" s="150"/>
      <x:c r="I3" s="150"/>
      <x:c r="J3" s="150"/>
      <x:c r="K3" s="150"/>
      <x:c r="L3" s="150"/>
      <x:c r="M3" s="150"/>
      <x:c r="N3" s="150"/>
      <x:c r="O3" s="150"/>
      <x:c r="P3" s="150"/>
      <x:c r="Q3" s="150"/>
      <x:c r="R3" s="150"/>
      <x:c r="S3" s="150"/>
    </x:row>
    <x:row r="4">
      <x:c r="A4" s="150"/>
      <x:c r="B4" s="150"/>
      <x:c r="C4" s="150"/>
      <x:c r="D4" s="150"/>
      <x:c r="E4" s="150"/>
      <x:c r="F4" s="150"/>
      <x:c r="G4" s="150"/>
      <x:c r="H4" s="150"/>
      <x:c r="I4" s="150"/>
      <x:c r="J4" s="150"/>
      <x:c r="K4" s="150"/>
      <x:c r="L4" s="150"/>
      <x:c r="M4" s="150"/>
      <x:c r="N4" s="150"/>
      <x:c r="O4" s="150"/>
      <x:c r="P4" s="150"/>
      <x:c r="Q4" s="150"/>
      <x:c r="R4" s="150"/>
      <x:c r="S4" s="150"/>
    </x:row>
    <x:row r="5">
      <x:c r="A5" s="32" t="str">
        <x:f>IF(Refresh_Required,"REFRESH REQUIRED — Python results reflect the last run","Python results match the imported inputs")</x:f>
        <x:v>Python results match the imported inputs</x:v>
      </x:c>
      <x:c r="B5" s="150"/>
      <x:c r="C5" s="150"/>
      <x:c r="D5" s="150"/>
      <x:c r="E5" s="150"/>
      <x:c r="F5" s="150"/>
      <x:c r="G5" s="150"/>
      <x:c r="H5" s="150"/>
      <x:c r="I5" s="150"/>
      <x:c r="J5" s="150"/>
      <x:c r="K5" s="150"/>
      <x:c r="L5" s="150"/>
      <x:c r="M5" s="150"/>
      <x:c r="N5" s="150"/>
      <x:c r="O5" s="150"/>
      <x:c r="P5" s="150"/>
      <x:c r="Q5" s="150"/>
      <x:c r="R5" s="150"/>
      <x:c r="S5" s="150"/>
    </x:row>
    <x:row r="6">
      <x:c r="A6" s="150"/>
      <x:c r="B6" s="150"/>
      <x:c r="C6" s="150"/>
      <x:c r="D6" s="150"/>
      <x:c r="E6" s="150"/>
      <x:c r="F6" s="150"/>
      <x:c r="G6" s="150"/>
      <x:c r="H6" s="150"/>
      <x:c r="I6" s="150"/>
      <x:c r="J6" s="150"/>
      <x:c r="K6" s="150"/>
      <x:c r="L6" s="150"/>
      <x:c r="M6" s="150"/>
      <x:c r="N6" s="150"/>
      <x:c r="O6" s="150"/>
      <x:c r="P6" s="150"/>
      <x:c r="Q6" s="150"/>
      <x:c r="R6" s="150"/>
      <x:c r="S6" s="150"/>
    </x:row>
    <x:row r="7" ht="38" customHeight="1">
      <x:c r="A7" s="7" t="str">
        <x:v>senior_pct</x:v>
      </x:c>
      <x:c r="B7" s="7" t="str">
        <x:v>scenario_id</x:v>
      </x:c>
      <x:c r="C7" s="7" t="str">
        <x:v>target_default_rate</x:v>
      </x:c>
      <x:c r="D7" s="7" t="str">
        <x:v>realized_default_rate</x:v>
      </x:c>
      <x:c r="E7" s="7" t="str">
        <x:v>default_target_attained</x:v>
      </x:c>
      <x:c r="F7" s="7" t="str">
        <x:v>senior_pass</x:v>
      </x:c>
      <x:c r="G7" s="7" t="str">
        <x:v>senior_timely_interest_shortfall</x:v>
      </x:c>
      <x:c r="H7" s="7" t="str">
        <x:v>senior_principal_shortfall</x:v>
      </x:c>
      <x:c r="I7" s="7" t="str">
        <x:v>junior_interest_arrears</x:v>
      </x:c>
      <x:c r="J7" s="7" t="str">
        <x:v>junior_principal_shortfall</x:v>
      </x:c>
      <x:c r="K7" s="7" t="str">
        <x:v>equity_distributions</x:v>
      </x:c>
      <x:c r="L7" s="7" t="str">
        <x:v>oc_breach_periods</x:v>
      </x:c>
      <x:c r="M7" s="7" t="str">
        <x:v>ic_breach_periods</x:v>
      </x:c>
      <x:c r="N7" s="7" t="str">
        <x:v>max_cash_residual</x:v>
      </x:c>
      <x:c r="O7" s="7" t="str">
        <x:v>max_par_residual</x:v>
      </x:c>
      <x:c r="P7" s="7" t="str">
        <x:v>max_priority_violation</x:v>
      </x:c>
      <x:c r="Q7" s="7" t="str">
        <x:v>accounting_valid</x:v>
      </x:c>
      <x:c r="R7" s="7" t="str">
        <x:v>unallocated_defaults</x:v>
      </x:c>
      <x:c r="S7" s="7" t="str">
        <x:v>stress_signature</x:v>
      </x:c>
    </x:row>
    <x:row r="8" ht="21" customHeight="1">
      <x:c r="A8" s="60" t="n">
        <x:v>0.6</x:v>
      </x:c>
      <x:c r="B8" s="28" t="str">
        <x:v>front_flat</x:v>
      </x:c>
      <x:c r="C8" s="60" t="n">
        <x:v>0</x:v>
      </x:c>
      <x:c r="D8" s="60" t="n">
        <x:v>0</x:v>
      </x:c>
      <x:c r="E8" s="62" t="b">
        <x:v>1</x:v>
      </x:c>
      <x:c r="F8" s="62" t="b">
        <x:v>1</x:v>
      </x:c>
      <x:c r="G8" s="85" t="n">
        <x:v>0</x:v>
      </x:c>
      <x:c r="H8" s="85" t="n">
        <x:v>0</x:v>
      </x:c>
      <x:c r="I8" s="85" t="n">
        <x:v>0</x:v>
      </x:c>
      <x:c r="J8" s="85" t="n">
        <x:v>0</x:v>
      </x:c>
      <x:c r="K8" s="85" t="n">
        <x:v>29867310.874657497</x:v>
      </x:c>
      <x:c r="L8" s="28" t="n">
        <x:v>0</x:v>
      </x:c>
      <x:c r="M8" s="28" t="n">
        <x:v>0</x:v>
      </x:c>
      <x:c r="N8" s="28" t="n">
        <x:v>3.725290298461914e-9</x:v>
      </x:c>
      <x:c r="O8" s="28" t="n">
        <x:v>0</x:v>
      </x:c>
      <x:c r="P8" s="28" t="n">
        <x:v>0</x:v>
      </x:c>
      <x:c r="Q8" s="62" t="b">
        <x:v>1</x:v>
      </x:c>
      <x:c r="R8" s="28" t="n">
        <x:v>0</x:v>
      </x:c>
      <x:c r="S8" s="28" t="str">
        <x:v>145d8ba1127806ae</x:v>
      </x:c>
    </x:row>
    <x:row r="9" ht="21" customHeight="1">
      <x:c r="A9" s="60" t="n">
        <x:v>0.6</x:v>
      </x:c>
      <x:c r="B9" s="28" t="str">
        <x:v>front_flat</x:v>
      </x:c>
      <x:c r="C9" s="60" t="n">
        <x:v>0.05</x:v>
      </x:c>
      <x:c r="D9" s="60" t="n">
        <x:v>0.05</x:v>
      </x:c>
      <x:c r="E9" s="62" t="b">
        <x:v>1</x:v>
      </x:c>
      <x:c r="F9" s="62" t="b">
        <x:v>1</x:v>
      </x:c>
      <x:c r="G9" s="85" t="n">
        <x:v>0</x:v>
      </x:c>
      <x:c r="H9" s="85" t="n">
        <x:v>0</x:v>
      </x:c>
      <x:c r="I9" s="85" t="n">
        <x:v>0</x:v>
      </x:c>
      <x:c r="J9" s="85" t="n">
        <x:v>0</x:v>
      </x:c>
      <x:c r="K9" s="85" t="n">
        <x:v>17588210.41138263</x:v>
      </x:c>
      <x:c r="L9" s="28" t="n">
        <x:v>0</x:v>
      </x:c>
      <x:c r="M9" s="28" t="n">
        <x:v>0</x:v>
      </x:c>
      <x:c r="N9" s="28" t="n">
        <x:v>3.725290298461914e-9</x:v>
      </x:c>
      <x:c r="O9" s="28" t="n">
        <x:v>5.960464477539063e-8</x:v>
      </x:c>
      <x:c r="P9" s="28" t="n">
        <x:v>0</x:v>
      </x:c>
      <x:c r="Q9" s="62" t="b">
        <x:v>1</x:v>
      </x:c>
      <x:c r="R9" s="28" t="n">
        <x:v>0</x:v>
      </x:c>
      <x:c r="S9" s="28" t="str">
        <x:v>944d662097e827e6</x:v>
      </x:c>
    </x:row>
    <x:row r="10" ht="21" customHeight="1">
      <x:c r="A10" s="60" t="n">
        <x:v>0.6</x:v>
      </x:c>
      <x:c r="B10" s="28" t="str">
        <x:v>front_flat</x:v>
      </x:c>
      <x:c r="C10" s="60" t="n">
        <x:v>0.1</x:v>
      </x:c>
      <x:c r="D10" s="60" t="n">
        <x:v>0.1</x:v>
      </x:c>
      <x:c r="E10" s="62" t="b">
        <x:v>1</x:v>
      </x:c>
      <x:c r="F10" s="62" t="b">
        <x:v>1</x:v>
      </x:c>
      <x:c r="G10" s="85" t="n">
        <x:v>0</x:v>
      </x:c>
      <x:c r="H10" s="85" t="n">
        <x:v>0</x:v>
      </x:c>
      <x:c r="I10" s="85" t="n">
        <x:v>0</x:v>
      </x:c>
      <x:c r="J10" s="85" t="n">
        <x:v>0</x:v>
      </x:c>
      <x:c r="K10" s="85" t="n">
        <x:v>5189722.543746463</x:v>
      </x:c>
      <x:c r="L10" s="28" t="n">
        <x:v>0</x:v>
      </x:c>
      <x:c r="M10" s="28" t="n">
        <x:v>0</x:v>
      </x:c>
      <x:c r="N10" s="28" t="n">
        <x:v>3.725290298461914e-9</x:v>
      </x:c>
      <x:c r="O10" s="28" t="n">
        <x:v>5.960464477539063e-8</x:v>
      </x:c>
      <x:c r="P10" s="28" t="n">
        <x:v>0</x:v>
      </x:c>
      <x:c r="Q10" s="62" t="b">
        <x:v>1</x:v>
      </x:c>
      <x:c r="R10" s="28" t="n">
        <x:v>0</x:v>
      </x:c>
      <x:c r="S10" s="28" t="str">
        <x:v>6288b164ea1dd7e8</x:v>
      </x:c>
    </x:row>
    <x:row r="11" ht="21" customHeight="1">
      <x:c r="A11" s="60" t="n">
        <x:v>0.6</x:v>
      </x:c>
      <x:c r="B11" s="28" t="str">
        <x:v>front_flat</x:v>
      </x:c>
      <x:c r="C11" s="60" t="n">
        <x:v>0.15</x:v>
      </x:c>
      <x:c r="D11" s="60" t="n">
        <x:v>0.15</x:v>
      </x:c>
      <x:c r="E11" s="62" t="b">
        <x:v>1</x:v>
      </x:c>
      <x:c r="F11" s="62" t="b">
        <x:v>1</x:v>
      </x:c>
      <x:c r="G11" s="85" t="n">
        <x:v>0</x:v>
      </x:c>
      <x:c r="H11" s="85" t="n">
        <x:v>0</x:v>
      </x:c>
      <x:c r="I11" s="85" t="n">
        <x:v>5592319.100308395</x:v>
      </x:c>
      <x:c r="J11" s="85" t="n">
        <x:v>0</x:v>
      </x:c>
      <x:c r="K11" s="85" t="n">
        <x:v>52714.725624315644</x:v>
      </x:c>
      <x:c r="L11" s="28" t="n">
        <x:v>0</x:v>
      </x:c>
      <x:c r="M11" s="28" t="n">
        <x:v>0</x:v>
      </x:c>
      <x:c r="N11" s="28" t="n">
        <x:v>3.725290298461914e-9</x:v>
      </x:c>
      <x:c r="O11" s="28" t="n">
        <x:v>2.9802322387695312e-8</x:v>
      </x:c>
      <x:c r="P11" s="28" t="n">
        <x:v>0</x:v>
      </x:c>
      <x:c r="Q11" s="62" t="b">
        <x:v>1</x:v>
      </x:c>
      <x:c r="R11" s="28" t="n">
        <x:v>0</x:v>
      </x:c>
      <x:c r="S11" s="28" t="str">
        <x:v>8bfa121665396f97</x:v>
      </x:c>
    </x:row>
    <x:row r="12" ht="21" customHeight="1">
      <x:c r="A12" s="60" t="n">
        <x:v>0.6</x:v>
      </x:c>
      <x:c r="B12" s="28" t="str">
        <x:v>front_flat</x:v>
      </x:c>
      <x:c r="C12" s="60" t="n">
        <x:v>0.2</x:v>
      </x:c>
      <x:c r="D12" s="60" t="n">
        <x:v>0.2</x:v>
      </x:c>
      <x:c r="E12" s="62" t="b">
        <x:v>1</x:v>
      </x:c>
      <x:c r="F12" s="62" t="b">
        <x:v>1</x:v>
      </x:c>
      <x:c r="G12" s="85" t="n">
        <x:v>0</x:v>
      </x:c>
      <x:c r="H12" s="85" t="n">
        <x:v>0</x:v>
      </x:c>
      <x:c r="I12" s="85" t="n">
        <x:v>14494479.334531456</x:v>
      </x:c>
      <x:c r="J12" s="85" t="n">
        <x:v>6284479.4973746715</x:v>
      </x:c>
      <x:c r="K12" s="85" t="n">
        <x:v>0</x:v>
      </x:c>
      <x:c r="L12" s="28" t="n">
        <x:v>0</x:v>
      </x:c>
      <x:c r="M12" s="28" t="n">
        <x:v>0</x:v>
      </x:c>
      <x:c r="N12" s="28" t="n">
        <x:v>3.725290298461914e-9</x:v>
      </x:c>
      <x:c r="O12" s="28" t="n">
        <x:v>2.9802322387695312e-8</x:v>
      </x:c>
      <x:c r="P12" s="28" t="n">
        <x:v>0</x:v>
      </x:c>
      <x:c r="Q12" s="62" t="b">
        <x:v>1</x:v>
      </x:c>
      <x:c r="R12" s="28" t="n">
        <x:v>0</x:v>
      </x:c>
      <x:c r="S12" s="28" t="str">
        <x:v>500e82cee7da3eb6</x:v>
      </x:c>
    </x:row>
    <x:row r="13" ht="21" customHeight="1">
      <x:c r="A13" s="60" t="n">
        <x:v>0.6</x:v>
      </x:c>
      <x:c r="B13" s="28" t="str">
        <x:v>front_flat</x:v>
      </x:c>
      <x:c r="C13" s="60" t="n">
        <x:v>0.25</x:v>
      </x:c>
      <x:c r="D13" s="60" t="n">
        <x:v>0.25</x:v>
      </x:c>
      <x:c r="E13" s="62" t="b">
        <x:v>1</x:v>
      </x:c>
      <x:c r="F13" s="62" t="b">
        <x:v>1</x:v>
      </x:c>
      <x:c r="G13" s="85" t="n">
        <x:v>0</x:v>
      </x:c>
      <x:c r="H13" s="85" t="n">
        <x:v>0</x:v>
      </x:c>
      <x:c r="I13" s="85" t="n">
        <x:v>21488352.601212177</x:v>
      </x:c>
      <x:c r="J13" s="85" t="n">
        <x:v>15355599.371718263</x:v>
      </x:c>
      <x:c r="K13" s="85" t="n">
        <x:v>0</x:v>
      </x:c>
      <x:c r="L13" s="28" t="n">
        <x:v>0</x:v>
      </x:c>
      <x:c r="M13" s="28" t="n">
        <x:v>0</x:v>
      </x:c>
      <x:c r="N13" s="28" t="n">
        <x:v>1.862645149230957e-9</x:v>
      </x:c>
      <x:c r="O13" s="28" t="n">
        <x:v>1.4901161193847656e-8</x:v>
      </x:c>
      <x:c r="P13" s="28" t="n">
        <x:v>0</x:v>
      </x:c>
      <x:c r="Q13" s="62" t="b">
        <x:v>1</x:v>
      </x:c>
      <x:c r="R13" s="28" t="n">
        <x:v>0</x:v>
      </x:c>
      <x:c r="S13" s="28" t="str">
        <x:v>066d6b587959a334</x:v>
      </x:c>
    </x:row>
    <x:row r="14" ht="21" customHeight="1">
      <x:c r="A14" s="60" t="n">
        <x:v>0.6</x:v>
      </x:c>
      <x:c r="B14" s="28" t="str">
        <x:v>front_flat</x:v>
      </x:c>
      <x:c r="C14" s="60" t="n">
        <x:v>0.3</x:v>
      </x:c>
      <x:c r="D14" s="60" t="n">
        <x:v>0.3</x:v>
      </x:c>
      <x:c r="E14" s="62" t="b">
        <x:v>1</x:v>
      </x:c>
      <x:c r="F14" s="62" t="b">
        <x:v>1</x:v>
      </x:c>
      <x:c r="G14" s="85" t="n">
        <x:v>0</x:v>
      </x:c>
      <x:c r="H14" s="85" t="n">
        <x:v>0</x:v>
      </x:c>
      <x:c r="I14" s="85" t="n">
        <x:v>28482225.86789295</x:v>
      </x:c>
      <x:c r="J14" s="85" t="n">
        <x:v>24426719.246061865</x:v>
      </x:c>
      <x:c r="K14" s="85" t="n">
        <x:v>0</x:v>
      </x:c>
      <x:c r="L14" s="28" t="n">
        <x:v>0</x:v>
      </x:c>
      <x:c r="M14" s="28" t="n">
        <x:v>0</x:v>
      </x:c>
      <x:c r="N14" s="28" t="n">
        <x:v>1.862645149230957e-9</x:v>
      </x:c>
      <x:c r="O14" s="28" t="n">
        <x:v>2.9802322387695312e-8</x:v>
      </x:c>
      <x:c r="P14" s="28" t="n">
        <x:v>0</x:v>
      </x:c>
      <x:c r="Q14" s="62" t="b">
        <x:v>1</x:v>
      </x:c>
      <x:c r="R14" s="28" t="n">
        <x:v>0</x:v>
      </x:c>
      <x:c r="S14" s="28" t="str">
        <x:v>dc49b8aa955a9976</x:v>
      </x:c>
    </x:row>
    <x:row r="15" ht="21" customHeight="1">
      <x:c r="A15" s="60" t="n">
        <x:v>0.6</x:v>
      </x:c>
      <x:c r="B15" s="28" t="str">
        <x:v>front_flat</x:v>
      </x:c>
      <x:c r="C15" s="60" t="n">
        <x:v>0.35</x:v>
      </x:c>
      <x:c r="D15" s="60" t="n">
        <x:v>0.35</x:v>
      </x:c>
      <x:c r="E15" s="62" t="b">
        <x:v>1</x:v>
      </x:c>
      <x:c r="F15" s="62" t="b">
        <x:v>1</x:v>
      </x:c>
      <x:c r="G15" s="85" t="n">
        <x:v>0</x:v>
      </x:c>
      <x:c r="H15" s="85" t="n">
        <x:v>0</x:v>
      </x:c>
      <x:c r="I15" s="85" t="n">
        <x:v>35479920.86686934</x:v>
      </x:c>
      <x:c r="J15" s="85" t="n">
        <x:v>33497839.120405573</x:v>
      </x:c>
      <x:c r="K15" s="85" t="n">
        <x:v>0</x:v>
      </x:c>
      <x:c r="L15" s="28" t="n">
        <x:v>0</x:v>
      </x:c>
      <x:c r="M15" s="28" t="n">
        <x:v>0</x:v>
      </x:c>
      <x:c r="N15" s="28" t="n">
        <x:v>3.725290298461914e-9</x:v>
      </x:c>
      <x:c r="O15" s="28" t="n">
        <x:v>7.450580596923828e-9</x:v>
      </x:c>
      <x:c r="P15" s="28" t="n">
        <x:v>0</x:v>
      </x:c>
      <x:c r="Q15" s="62" t="b">
        <x:v>1</x:v>
      </x:c>
      <x:c r="R15" s="28" t="n">
        <x:v>0</x:v>
      </x:c>
      <x:c r="S15" s="28" t="str">
        <x:v>3bbef4adfcf9b7d2</x:v>
      </x:c>
    </x:row>
    <x:row r="16" ht="21" customHeight="1">
      <x:c r="A16" s="60" t="n">
        <x:v>0.6</x:v>
      </x:c>
      <x:c r="B16" s="28" t="str">
        <x:v>front_flat</x:v>
      </x:c>
      <x:c r="C16" s="60" t="n">
        <x:v>0.4</x:v>
      </x:c>
      <x:c r="D16" s="60" t="n">
        <x:v>0.4</x:v>
      </x:c>
      <x:c r="E16" s="62" t="b">
        <x:v>1</x:v>
      </x:c>
      <x:c r="F16" s="62" t="b">
        <x:v>1</x:v>
      </x:c>
      <x:c r="G16" s="85" t="n">
        <x:v>0</x:v>
      </x:c>
      <x:c r="H16" s="85" t="n">
        <x:v>0</x:v>
      </x:c>
      <x:c r="I16" s="85" t="n">
        <x:v>42515744.03092311</x:v>
      </x:c>
      <x:c r="J16" s="85" t="n">
        <x:v>42568958.994749255</x:v>
      </x:c>
      <x:c r="K16" s="85" t="n">
        <x:v>0</x:v>
      </x:c>
      <x:c r="L16" s="28" t="n">
        <x:v>0</x:v>
      </x:c>
      <x:c r="M16" s="28" t="n">
        <x:v>0</x:v>
      </x:c>
      <x:c r="N16" s="28" t="n">
        <x:v>3.725290298461914e-9</x:v>
      </x:c>
      <x:c r="O16" s="28" t="n">
        <x:v>2.9802322387695312e-8</x:v>
      </x:c>
      <x:c r="P16" s="28" t="n">
        <x:v>0</x:v>
      </x:c>
      <x:c r="Q16" s="62" t="b">
        <x:v>1</x:v>
      </x:c>
      <x:c r="R16" s="28" t="n">
        <x:v>0</x:v>
      </x:c>
      <x:c r="S16" s="28" t="str">
        <x:v>6d9c8c652f3f3f7b</x:v>
      </x:c>
    </x:row>
    <x:row r="17" ht="21" customHeight="1">
      <x:c r="A17" s="60" t="n">
        <x:v>0.6</x:v>
      </x:c>
      <x:c r="B17" s="28" t="str">
        <x:v>front_flat</x:v>
      </x:c>
      <x:c r="C17" s="60" t="n">
        <x:v>0.45</x:v>
      </x:c>
      <x:c r="D17" s="60" t="n">
        <x:v>0.45</x:v>
      </x:c>
      <x:c r="E17" s="62" t="b">
        <x:v>1</x:v>
      </x:c>
      <x:c r="F17" s="62" t="b">
        <x:v>1</x:v>
      </x:c>
      <x:c r="G17" s="85" t="n">
        <x:v>0</x:v>
      </x:c>
      <x:c r="H17" s="85" t="n">
        <x:v>0</x:v>
      </x:c>
      <x:c r="I17" s="85" t="n">
        <x:v>49531493.81801708</x:v>
      </x:c>
      <x:c r="J17" s="85" t="n">
        <x:v>51640078.8690929</x:v>
      </x:c>
      <x:c r="K17" s="85" t="n">
        <x:v>0</x:v>
      </x:c>
      <x:c r="L17" s="28" t="n">
        <x:v>0</x:v>
      </x:c>
      <x:c r="M17" s="28" t="n">
        <x:v>0</x:v>
      </x:c>
      <x:c r="N17" s="28" t="n">
        <x:v>1.862645149230957e-9</x:v>
      </x:c>
      <x:c r="O17" s="28" t="n">
        <x:v>2.9802322387695312e-8</x:v>
      </x:c>
      <x:c r="P17" s="28" t="n">
        <x:v>0</x:v>
      </x:c>
      <x:c r="Q17" s="62" t="b">
        <x:v>1</x:v>
      </x:c>
      <x:c r="R17" s="28" t="n">
        <x:v>0</x:v>
      </x:c>
      <x:c r="S17" s="28" t="str">
        <x:v>42e7a00b804e8689</x:v>
      </x:c>
    </x:row>
    <x:row r="18" ht="21" customHeight="1">
      <x:c r="A18" s="60" t="n">
        <x:v>0.6</x:v>
      </x:c>
      <x:c r="B18" s="28" t="str">
        <x:v>front_flat</x:v>
      </x:c>
      <x:c r="C18" s="60" t="n">
        <x:v>0.5</x:v>
      </x:c>
      <x:c r="D18" s="60" t="n">
        <x:v>0.5</x:v>
      </x:c>
      <x:c r="E18" s="62" t="b">
        <x:v>1</x:v>
      </x:c>
      <x:c r="F18" s="62" t="b">
        <x:v>1</x:v>
      </x:c>
      <x:c r="G18" s="85" t="n">
        <x:v>0</x:v>
      </x:c>
      <x:c r="H18" s="85" t="n">
        <x:v>0</x:v>
      </x:c>
      <x:c r="I18" s="85" t="n">
        <x:v>56538714.60685306</x:v>
      </x:c>
      <x:c r="J18" s="85" t="n">
        <x:v>60711198.74343664</x:v>
      </x:c>
      <x:c r="K18" s="85" t="n">
        <x:v>0</x:v>
      </x:c>
      <x:c r="L18" s="28" t="n">
        <x:v>0</x:v>
      </x:c>
      <x:c r="M18" s="28" t="n">
        <x:v>0</x:v>
      </x:c>
      <x:c r="N18" s="28" t="n">
        <x:v>1.862645149230957e-9</x:v>
      </x:c>
      <x:c r="O18" s="28" t="n">
        <x:v>2.9802322387695312e-8</x:v>
      </x:c>
      <x:c r="P18" s="28" t="n">
        <x:v>0</x:v>
      </x:c>
      <x:c r="Q18" s="62" t="b">
        <x:v>1</x:v>
      </x:c>
      <x:c r="R18" s="28" t="n">
        <x:v>0</x:v>
      </x:c>
      <x:c r="S18" s="28" t="str">
        <x:v>0848fdce45e196a5</x:v>
      </x:c>
    </x:row>
    <x:row r="19" ht="21" customHeight="1">
      <x:c r="A19" s="60" t="n">
        <x:v>0.6</x:v>
      </x:c>
      <x:c r="B19" s="28" t="str">
        <x:v>front_flat</x:v>
      </x:c>
      <x:c r="C19" s="60" t="n">
        <x:v>0.55</x:v>
      </x:c>
      <x:c r="D19" s="60" t="n">
        <x:v>0.55</x:v>
      </x:c>
      <x:c r="E19" s="62" t="b">
        <x:v>1</x:v>
      </x:c>
      <x:c r="F19" s="62" t="b">
        <x:v>1</x:v>
      </x:c>
      <x:c r="G19" s="85" t="n">
        <x:v>0</x:v>
      </x:c>
      <x:c r="H19" s="85" t="n">
        <x:v>0</x:v>
      </x:c>
      <x:c r="I19" s="85" t="n">
        <x:v>65315005.62391013</x:v>
      </x:c>
      <x:c r="J19" s="85" t="n">
        <x:v>65197054.08678289</x:v>
      </x:c>
      <x:c r="K19" s="85" t="n">
        <x:v>0</x:v>
      </x:c>
      <x:c r="L19" s="28" t="n">
        <x:v>7</x:v>
      </x:c>
      <x:c r="M19" s="28" t="n">
        <x:v>0</x:v>
      </x:c>
      <x:c r="N19" s="28" t="n">
        <x:v>1.862645149230957e-9</x:v>
      </x:c>
      <x:c r="O19" s="28" t="n">
        <x:v>2.9802322387695312e-8</x:v>
      </x:c>
      <x:c r="P19" s="28" t="n">
        <x:v>0</x:v>
      </x:c>
      <x:c r="Q19" s="62" t="b">
        <x:v>1</x:v>
      </x:c>
      <x:c r="R19" s="28" t="n">
        <x:v>0</x:v>
      </x:c>
      <x:c r="S19" s="28" t="str">
        <x:v>26e78c83807c686b</x:v>
      </x:c>
    </x:row>
    <x:row r="20" ht="21" customHeight="1">
      <x:c r="A20" s="60" t="n">
        <x:v>0.6</x:v>
      </x:c>
      <x:c r="B20" s="28" t="str">
        <x:v>front_flat</x:v>
      </x:c>
      <x:c r="C20" s="60" t="n">
        <x:v>0.6</x:v>
      </x:c>
      <x:c r="D20" s="60" t="n">
        <x:v>0.6</x:v>
      </x:c>
      <x:c r="E20" s="62" t="b">
        <x:v>1</x:v>
      </x:c>
      <x:c r="F20" s="62" t="b">
        <x:v>1</x:v>
      </x:c>
      <x:c r="G20" s="85" t="n">
        <x:v>0</x:v>
      </x:c>
      <x:c r="H20" s="85" t="n">
        <x:v>0</x:v>
      </x:c>
      <x:c r="I20" s="85" t="n">
        <x:v>73589737.42616203</x:v>
      </x:c>
      <x:c r="J20" s="85" t="n">
        <x:v>70539303.64602762</x:v>
      </x:c>
      <x:c r="K20" s="85" t="n">
        <x:v>0</x:v>
      </x:c>
      <x:c r="L20" s="28" t="n">
        <x:v>14</x:v>
      </x:c>
      <x:c r="M20" s="28" t="n">
        <x:v>0</x:v>
      </x:c>
      <x:c r="N20" s="28" t="n">
        <x:v>1.862645149230957e-9</x:v>
      </x:c>
      <x:c r="O20" s="28" t="n">
        <x:v>2.9802322387695312e-8</x:v>
      </x:c>
      <x:c r="P20" s="28" t="n">
        <x:v>0</x:v>
      </x:c>
      <x:c r="Q20" s="62" t="b">
        <x:v>1</x:v>
      </x:c>
      <x:c r="R20" s="28" t="n">
        <x:v>0</x:v>
      </x:c>
      <x:c r="S20" s="28" t="str">
        <x:v>31b1d93b7b47d52d</x:v>
      </x:c>
    </x:row>
    <x:row r="21" ht="21" customHeight="1">
      <x:c r="A21" s="60" t="n">
        <x:v>0.6</x:v>
      </x:c>
      <x:c r="B21" s="28" t="str">
        <x:v>front_flat</x:v>
      </x:c>
      <x:c r="C21" s="60" t="n">
        <x:v>0.65</x:v>
      </x:c>
      <x:c r="D21" s="60" t="n">
        <x:v>0.65</x:v>
      </x:c>
      <x:c r="E21" s="62" t="b">
        <x:v>1</x:v>
      </x:c>
      <x:c r="F21" s="62" t="b">
        <x:v>1</x:v>
      </x:c>
      <x:c r="G21" s="85" t="n">
        <x:v>0</x:v>
      </x:c>
      <x:c r="H21" s="85" t="n">
        <x:v>0</x:v>
      </x:c>
      <x:c r="I21" s="85" t="n">
        <x:v>81033091.84175345</x:v>
      </x:c>
      <x:c r="J21" s="85" t="n">
        <x:v>77601929.29839599</x:v>
      </x:c>
      <x:c r="K21" s="85" t="n">
        <x:v>0</x:v>
      </x:c>
      <x:c r="L21" s="28" t="n">
        <x:v>19</x:v>
      </x:c>
      <x:c r="M21" s="28" t="n">
        <x:v>0</x:v>
      </x:c>
      <x:c r="N21" s="28" t="n">
        <x:v>1.862645149230957e-9</x:v>
      </x:c>
      <x:c r="O21" s="28" t="n">
        <x:v>2.9802322387695312e-8</x:v>
      </x:c>
      <x:c r="P21" s="28" t="n">
        <x:v>0</x:v>
      </x:c>
      <x:c r="Q21" s="62" t="b">
        <x:v>1</x:v>
      </x:c>
      <x:c r="R21" s="28" t="n">
        <x:v>0</x:v>
      </x:c>
      <x:c r="S21" s="28" t="str">
        <x:v>41b8821fe6ed9f4c</x:v>
      </x:c>
    </x:row>
    <x:row r="22" ht="21" customHeight="1">
      <x:c r="A22" s="60" t="n">
        <x:v>0.6</x:v>
      </x:c>
      <x:c r="B22" s="28" t="str">
        <x:v>front_flat</x:v>
      </x:c>
      <x:c r="C22" s="60" t="n">
        <x:v>0.7</x:v>
      </x:c>
      <x:c r="D22" s="60" t="n">
        <x:v>0.7</x:v>
      </x:c>
      <x:c r="E22" s="62" t="b">
        <x:v>1</x:v>
      </x:c>
      <x:c r="F22" s="62" t="b">
        <x:v>1</x:v>
      </x:c>
      <x:c r="G22" s="85" t="n">
        <x:v>0</x:v>
      </x:c>
      <x:c r="H22" s="85" t="n">
        <x:v>0</x:v>
      </x:c>
      <x:c r="I22" s="85" t="n">
        <x:v>86846059.238252</x:v>
      </x:c>
      <x:c r="J22" s="85" t="n">
        <x:v>88948641.3399616</x:v>
      </x:c>
      <x:c r="K22" s="85" t="n">
        <x:v>0</x:v>
      </x:c>
      <x:c r="L22" s="28" t="n">
        <x:v>25</x:v>
      </x:c>
      <x:c r="M22" s="28" t="n">
        <x:v>10</x:v>
      </x:c>
      <x:c r="N22" s="28" t="n">
        <x:v>1.862645149230957e-9</x:v>
      </x:c>
      <x:c r="O22" s="28" t="n">
        <x:v>2.9802322387695312e-8</x:v>
      </x:c>
      <x:c r="P22" s="28" t="n">
        <x:v>0</x:v>
      </x:c>
      <x:c r="Q22" s="62" t="b">
        <x:v>1</x:v>
      </x:c>
      <x:c r="R22" s="28" t="n">
        <x:v>0</x:v>
      </x:c>
      <x:c r="S22" s="28" t="str">
        <x:v>84abcaac8fa87b81</x:v>
      </x:c>
    </x:row>
    <x:row r="23" ht="21" customHeight="1">
      <x:c r="A23" s="60" t="n">
        <x:v>0.6</x:v>
      </x:c>
      <x:c r="B23" s="28" t="str">
        <x:v>front_flat</x:v>
      </x:c>
      <x:c r="C23" s="60" t="n">
        <x:v>0.75</x:v>
      </x:c>
      <x:c r="D23" s="60" t="n">
        <x:v>0.75</x:v>
      </x:c>
      <x:c r="E23" s="62" t="b">
        <x:v>1</x:v>
      </x:c>
      <x:c r="F23" s="62" t="b">
        <x:v>0</x:v>
      </x:c>
      <x:c r="G23" s="85" t="n">
        <x:v>2104396.109864585</x:v>
      </x:c>
      <x:c r="H23" s="85" t="n">
        <x:v>12154787.19197396</x:v>
      </x:c>
      <x:c r="I23" s="85" t="n">
        <x:v>87362584.56899488</x:v>
      </x:c>
      <x:c r="J23" s="85" t="n">
        <x:v>90000000.00000001</x:v>
      </x:c>
      <x:c r="K23" s="85" t="n">
        <x:v>0</x:v>
      </x:c>
      <x:c r="L23" s="28" t="n">
        <x:v>45</x:v>
      </x:c>
      <x:c r="M23" s="28" t="n">
        <x:v>35</x:v>
      </x:c>
      <x:c r="N23" s="28" t="n">
        <x:v>1.862645149230957e-9</x:v>
      </x:c>
      <x:c r="O23" s="28" t="n">
        <x:v>2.9802322387695312e-8</x:v>
      </x:c>
      <x:c r="P23" s="28" t="n">
        <x:v>0</x:v>
      </x:c>
      <x:c r="Q23" s="62" t="b">
        <x:v>1</x:v>
      </x:c>
      <x:c r="R23" s="28" t="n">
        <x:v>0</x:v>
      </x:c>
      <x:c r="S23" s="28" t="str">
        <x:v>fcf3afe3afa166db</x:v>
      </x:c>
    </x:row>
    <x:row r="24" ht="21" customHeight="1">
      <x:c r="A24" s="60" t="n">
        <x:v>0.6</x:v>
      </x:c>
      <x:c r="B24" s="28" t="str">
        <x:v>front_flat</x:v>
      </x:c>
      <x:c r="C24" s="60" t="n">
        <x:v>0.8</x:v>
      </x:c>
      <x:c r="D24" s="60" t="n">
        <x:v>0.8</x:v>
      </x:c>
      <x:c r="E24" s="62" t="b">
        <x:v>1</x:v>
      </x:c>
      <x:c r="F24" s="62" t="b">
        <x:v>0</x:v>
      </x:c>
      <x:c r="G24" s="85" t="n">
        <x:v>4467863.701973279</x:v>
      </x:c>
      <x:c r="H24" s="85" t="n">
        <x:v>24932800.34592433</x:v>
      </x:c>
      <x:c r="I24" s="85" t="n">
        <x:v>87486622.4519507</x:v>
      </x:c>
      <x:c r="J24" s="85" t="n">
        <x:v>90000000.00000001</x:v>
      </x:c>
      <x:c r="K24" s="85" t="n">
        <x:v>0</x:v>
      </x:c>
      <x:c r="L24" s="28" t="n">
        <x:v>45</x:v>
      </x:c>
      <x:c r="M24" s="28" t="n">
        <x:v>38</x:v>
      </x:c>
      <x:c r="N24" s="28" t="n">
        <x:v>1.862645149230957e-9</x:v>
      </x:c>
      <x:c r="O24" s="28" t="n">
        <x:v>1.4901161193847656e-8</x:v>
      </x:c>
      <x:c r="P24" s="28" t="n">
        <x:v>0</x:v>
      </x:c>
      <x:c r="Q24" s="62" t="b">
        <x:v>1</x:v>
      </x:c>
      <x:c r="R24" s="28" t="n">
        <x:v>0</x:v>
      </x:c>
      <x:c r="S24" s="28" t="str">
        <x:v>408a8daca3195150</x:v>
      </x:c>
    </x:row>
    <x:row r="25" ht="21" customHeight="1">
      <x:c r="A25" s="60" t="n">
        <x:v>0.6</x:v>
      </x:c>
      <x:c r="B25" s="28" t="str">
        <x:v>front_flat</x:v>
      </x:c>
      <x:c r="C25" s="60" t="n">
        <x:v>0.85</x:v>
      </x:c>
      <x:c r="D25" s="60" t="n">
        <x:v>0.85</x:v>
      </x:c>
      <x:c r="E25" s="62" t="b">
        <x:v>1</x:v>
      </x:c>
      <x:c r="F25" s="62" t="b">
        <x:v>0</x:v>
      </x:c>
      <x:c r="G25" s="85" t="n">
        <x:v>7259099.090483233</x:v>
      </x:c>
      <x:c r="H25" s="85" t="n">
        <x:v>37265693.06406602</x:v>
      </x:c>
      <x:c r="I25" s="85" t="n">
        <x:v>87610660.33490652</x:v>
      </x:c>
      <x:c r="J25" s="85" t="n">
        <x:v>90000000.00000001</x:v>
      </x:c>
      <x:c r="K25" s="85" t="n">
        <x:v>0</x:v>
      </x:c>
      <x:c r="L25" s="28" t="n">
        <x:v>45</x:v>
      </x:c>
      <x:c r="M25" s="28" t="n">
        <x:v>40</x:v>
      </x:c>
      <x:c r="N25" s="28" t="n">
        <x:v>1.862645149230957e-9</x:v>
      </x:c>
      <x:c r="O25" s="28" t="n">
        <x:v>1.862645149230957e-9</x:v>
      </x:c>
      <x:c r="P25" s="28" t="n">
        <x:v>0</x:v>
      </x:c>
      <x:c r="Q25" s="62" t="b">
        <x:v>1</x:v>
      </x:c>
      <x:c r="R25" s="28" t="n">
        <x:v>0</x:v>
      </x:c>
      <x:c r="S25" s="28" t="str">
        <x:v>7786f69a8ab09f56</x:v>
      </x:c>
    </x:row>
    <x:row r="26" ht="21" customHeight="1">
      <x:c r="A26" s="60" t="n">
        <x:v>0.6</x:v>
      </x:c>
      <x:c r="B26" s="28" t="str">
        <x:v>front_flat</x:v>
      </x:c>
      <x:c r="C26" s="60" t="n">
        <x:v>0.9</x:v>
      </x:c>
      <x:c r="D26" s="60" t="n">
        <x:v>0.9</x:v>
      </x:c>
      <x:c r="E26" s="62" t="b">
        <x:v>1</x:v>
      </x:c>
      <x:c r="F26" s="62" t="b">
        <x:v>0</x:v>
      </x:c>
      <x:c r="G26" s="85" t="n">
        <x:v>9894911.873126842</x:v>
      </x:c>
      <x:c r="H26" s="85" t="n">
        <x:v>47947996.947832525</x:v>
      </x:c>
      <x:c r="I26" s="85" t="n">
        <x:v>88736640.38598016</x:v>
      </x:c>
      <x:c r="J26" s="85" t="n">
        <x:v>90000000.00000001</x:v>
      </x:c>
      <x:c r="K26" s="85" t="n">
        <x:v>0</x:v>
      </x:c>
      <x:c r="L26" s="28" t="n">
        <x:v>46</x:v>
      </x:c>
      <x:c r="M26" s="28" t="n">
        <x:v>42</x:v>
      </x:c>
      <x:c r="N26" s="28" t="n">
        <x:v>9.313225746154785e-10</x:v>
      </x:c>
      <x:c r="O26" s="28" t="n">
        <x:v>1.4901161193847656e-8</x:v>
      </x:c>
      <x:c r="P26" s="28" t="n">
        <x:v>0</x:v>
      </x:c>
      <x:c r="Q26" s="62" t="b">
        <x:v>1</x:v>
      </x:c>
      <x:c r="R26" s="28" t="n">
        <x:v>0</x:v>
      </x:c>
      <x:c r="S26" s="28" t="str">
        <x:v>7368ce89330d854a</x:v>
      </x:c>
    </x:row>
    <x:row r="27" ht="21" customHeight="1">
      <x:c r="A27" s="60" t="n">
        <x:v>0.6</x:v>
      </x:c>
      <x:c r="B27" s="28" t="str">
        <x:v>front_flat</x:v>
      </x:c>
      <x:c r="C27" s="60" t="n">
        <x:v>0.95</x:v>
      </x:c>
      <x:c r="D27" s="60" t="n">
        <x:v>0.9497739906324524</x:v>
      </x:c>
      <x:c r="E27" s="62" t="b">
        <x:v>0</x:v>
      </x:c>
      <x:c r="F27" s="62" t="b">
        <x:v>0</x:v>
      </x:c>
      <x:c r="G27" s="85" t="n">
        <x:v>14986053.35524379</x:v>
      </x:c>
      <x:c r="H27" s="85" t="n">
        <x:v>56739445.19588381</x:v>
      </x:c>
      <x:c r="I27" s="85" t="n">
        <x:v>88799410.38086337</x:v>
      </x:c>
      <x:c r="J27" s="85" t="n">
        <x:v>90000000.00000001</x:v>
      </x:c>
      <x:c r="K27" s="85" t="n">
        <x:v>0</x:v>
      </x:c>
      <x:c r="L27" s="28" t="n">
        <x:v>46</x:v>
      </x:c>
      <x:c r="M27" s="28" t="n">
        <x:v>44</x:v>
      </x:c>
      <x:c r="N27" s="28" t="n">
        <x:v>4.656612873077393e-10</x:v>
      </x:c>
      <x:c r="O27" s="28" t="n">
        <x:v>1.4901161193847656e-8</x:v>
      </x:c>
      <x:c r="P27" s="28" t="n">
        <x:v>0</x:v>
      </x:c>
      <x:c r="Q27" s="62" t="b">
        <x:v>1</x:v>
      </x:c>
      <x:c r="R27" s="28" t="n">
        <x:v>67802.81026428938</x:v>
      </x:c>
      <x:c r="S27" s="28" t="str">
        <x:v>4556800c72416ac5</x:v>
      </x:c>
    </x:row>
    <x:row r="28" ht="21" customHeight="1">
      <x:c r="A28" s="60" t="n">
        <x:v>0.6</x:v>
      </x:c>
      <x:c r="B28" s="28" t="str">
        <x:v>front_flat</x:v>
      </x:c>
      <x:c r="C28" s="60" t="n">
        <x:v>1</x:v>
      </x:c>
      <x:c r="D28" s="60" t="n">
        <x:v>0.9646994850752131</x:v>
      </x:c>
      <x:c r="E28" s="62" t="b">
        <x:v>0</x:v>
      </x:c>
      <x:c r="F28" s="62" t="b">
        <x:v>0</x:v>
      </x:c>
      <x:c r="G28" s="85" t="n">
        <x:v>16743947.335924484</x:v>
      </x:c>
      <x:c r="H28" s="85" t="n">
        <x:v>60840409.1268709</x:v>
      </x:c>
      <x:c r="I28" s="85" t="n">
        <x:v>88862180.3757466</x:v>
      </x:c>
      <x:c r="J28" s="85" t="n">
        <x:v>90000000.00000001</x:v>
      </x:c>
      <x:c r="K28" s="85" t="n">
        <x:v>0</x:v>
      </x:c>
      <x:c r="L28" s="28" t="n">
        <x:v>46</x:v>
      </x:c>
      <x:c r="M28" s="28" t="n">
        <x:v>44</x:v>
      </x:c>
      <x:c r="N28" s="28" t="n">
        <x:v>9.313225746154785e-10</x:v>
      </x:c>
      <x:c r="O28" s="28" t="n">
        <x:v>3.725290298461914e-9</x:v>
      </x:c>
      <x:c r="P28" s="28" t="n">
        <x:v>0</x:v>
      </x:c>
      <x:c r="Q28" s="62" t="b">
        <x:v>1</x:v>
      </x:c>
      <x:c r="R28" s="28" t="n">
        <x:v>10590154.477436066</x:v>
      </x:c>
      <x:c r="S28" s="28" t="str">
        <x:v>99b8b9733d137af3</x:v>
      </x:c>
    </x:row>
    <x:row r="29" ht="21" customHeight="1">
      <x:c r="A29" s="60" t="n">
        <x:v>0.6</x:v>
      </x:c>
      <x:c r="B29" s="28" t="str">
        <x:v>front_low</x:v>
      </x:c>
      <x:c r="C29" s="60" t="n">
        <x:v>0</x:v>
      </x:c>
      <x:c r="D29" s="60" t="n">
        <x:v>0</x:v>
      </x:c>
      <x:c r="E29" s="62" t="b">
        <x:v>1</x:v>
      </x:c>
      <x:c r="F29" s="62" t="b">
        <x:v>1</x:v>
      </x:c>
      <x:c r="G29" s="85" t="n">
        <x:v>0</x:v>
      </x:c>
      <x:c r="H29" s="85" t="n">
        <x:v>0</x:v>
      </x:c>
      <x:c r="I29" s="85" t="n">
        <x:v>0</x:v>
      </x:c>
      <x:c r="J29" s="85" t="n">
        <x:v>0</x:v>
      </x:c>
      <x:c r="K29" s="85" t="n">
        <x:v>25874484.34041092</x:v>
      </x:c>
      <x:c r="L29" s="28" t="n">
        <x:v>0</x:v>
      </x:c>
      <x:c r="M29" s="28" t="n">
        <x:v>0</x:v>
      </x:c>
      <x:c r="N29" s="28" t="n">
        <x:v>1.862645149230957e-9</x:v>
      </x:c>
      <x:c r="O29" s="28" t="n">
        <x:v>0</x:v>
      </x:c>
      <x:c r="P29" s="28" t="n">
        <x:v>0</x:v>
      </x:c>
      <x:c r="Q29" s="62" t="b">
        <x:v>1</x:v>
      </x:c>
      <x:c r="R29" s="28" t="n">
        <x:v>0</x:v>
      </x:c>
      <x:c r="S29" s="28" t="str">
        <x:v>fa2ab93f250b78d5</x:v>
      </x:c>
    </x:row>
    <x:row r="30" ht="21" customHeight="1">
      <x:c r="A30" s="60" t="n">
        <x:v>0.6</x:v>
      </x:c>
      <x:c r="B30" s="28" t="str">
        <x:v>front_low</x:v>
      </x:c>
      <x:c r="C30" s="60" t="n">
        <x:v>0.05</x:v>
      </x:c>
      <x:c r="D30" s="60" t="n">
        <x:v>0.05</x:v>
      </x:c>
      <x:c r="E30" s="62" t="b">
        <x:v>1</x:v>
      </x:c>
      <x:c r="F30" s="62" t="b">
        <x:v>1</x:v>
      </x:c>
      <x:c r="G30" s="85" t="n">
        <x:v>0</x:v>
      </x:c>
      <x:c r="H30" s="85" t="n">
        <x:v>0</x:v>
      </x:c>
      <x:c r="I30" s="85" t="n">
        <x:v>0</x:v>
      </x:c>
      <x:c r="J30" s="85" t="n">
        <x:v>0</x:v>
      </x:c>
      <x:c r="K30" s="85" t="n">
        <x:v>14931638.077615522</x:v>
      </x:c>
      <x:c r="L30" s="28" t="n">
        <x:v>0</x:v>
      </x:c>
      <x:c r="M30" s="28" t="n">
        <x:v>0</x:v>
      </x:c>
      <x:c r="N30" s="28" t="n">
        <x:v>1.862645149230957e-9</x:v>
      </x:c>
      <x:c r="O30" s="28" t="n">
        <x:v>5.960464477539063e-8</x:v>
      </x:c>
      <x:c r="P30" s="28" t="n">
        <x:v>0</x:v>
      </x:c>
      <x:c r="Q30" s="62" t="b">
        <x:v>1</x:v>
      </x:c>
      <x:c r="R30" s="28" t="n">
        <x:v>0</x:v>
      </x:c>
      <x:c r="S30" s="28" t="str">
        <x:v>dff73e06922f7220</x:v>
      </x:c>
    </x:row>
    <x:row r="31" ht="21" customHeight="1">
      <x:c r="A31" s="60" t="n">
        <x:v>0.6</x:v>
      </x:c>
      <x:c r="B31" s="28" t="str">
        <x:v>front_low</x:v>
      </x:c>
      <x:c r="C31" s="60" t="n">
        <x:v>0.1</x:v>
      </x:c>
      <x:c r="D31" s="60" t="n">
        <x:v>0.1</x:v>
      </x:c>
      <x:c r="E31" s="62" t="b">
        <x:v>1</x:v>
      </x:c>
      <x:c r="F31" s="62" t="b">
        <x:v>1</x:v>
      </x:c>
      <x:c r="G31" s="85" t="n">
        <x:v>0</x:v>
      </x:c>
      <x:c r="H31" s="85" t="n">
        <x:v>0</x:v>
      </x:c>
      <x:c r="I31" s="85" t="n">
        <x:v>0</x:v>
      </x:c>
      <x:c r="J31" s="85" t="n">
        <x:v>0</x:v>
      </x:c>
      <x:c r="K31" s="85" t="n">
        <x:v>3904518.3529180004</x:v>
      </x:c>
      <x:c r="L31" s="28" t="n">
        <x:v>0</x:v>
      </x:c>
      <x:c r="M31" s="28" t="n">
        <x:v>0</x:v>
      </x:c>
      <x:c r="N31" s="28" t="n">
        <x:v>1.862645149230957e-9</x:v>
      </x:c>
      <x:c r="O31" s="28" t="n">
        <x:v>5.960464477539063e-8</x:v>
      </x:c>
      <x:c r="P31" s="28" t="n">
        <x:v>0</x:v>
      </x:c>
      <x:c r="Q31" s="62" t="b">
        <x:v>1</x:v>
      </x:c>
      <x:c r="R31" s="28" t="n">
        <x:v>0</x:v>
      </x:c>
      <x:c r="S31" s="28" t="str">
        <x:v>92228d37b7a4db49</x:v>
      </x:c>
    </x:row>
    <x:row r="32" ht="21" customHeight="1">
      <x:c r="A32" s="60" t="n">
        <x:v>0.6</x:v>
      </x:c>
      <x:c r="B32" s="28" t="str">
        <x:v>front_low</x:v>
      </x:c>
      <x:c r="C32" s="60" t="n">
        <x:v>0.15</x:v>
      </x:c>
      <x:c r="D32" s="60" t="n">
        <x:v>0.15</x:v>
      </x:c>
      <x:c r="E32" s="62" t="b">
        <x:v>1</x:v>
      </x:c>
      <x:c r="F32" s="62" t="b">
        <x:v>1</x:v>
      </x:c>
      <x:c r="G32" s="85" t="n">
        <x:v>0</x:v>
      </x:c>
      <x:c r="H32" s="85" t="n">
        <x:v>0</x:v>
      </x:c>
      <x:c r="I32" s="85" t="n">
        <x:v>5175743.494133432</x:v>
      </x:c>
      <x:c r="J32" s="85" t="n">
        <x:v>0</x:v>
      </x:c>
      <x:c r="K32" s="85" t="n">
        <x:v>0</x:v>
      </x:c>
      <x:c r="L32" s="28" t="n">
        <x:v>0</x:v>
      </x:c>
      <x:c r="M32" s="28" t="n">
        <x:v>0</x:v>
      </x:c>
      <x:c r="N32" s="28" t="n">
        <x:v>3.725290298461914e-9</x:v>
      </x:c>
      <x:c r="O32" s="28" t="n">
        <x:v>2.9802322387695312e-8</x:v>
      </x:c>
      <x:c r="P32" s="28" t="n">
        <x:v>0</x:v>
      </x:c>
      <x:c r="Q32" s="62" t="b">
        <x:v>1</x:v>
      </x:c>
      <x:c r="R32" s="28" t="n">
        <x:v>0</x:v>
      </x:c>
      <x:c r="S32" s="28" t="str">
        <x:v>cdf83cc3c75adccb</x:v>
      </x:c>
    </x:row>
    <x:row r="33" ht="21" customHeight="1">
      <x:c r="A33" s="60" t="n">
        <x:v>0.6</x:v>
      </x:c>
      <x:c r="B33" s="28" t="str">
        <x:v>front_low</x:v>
      </x:c>
      <x:c r="C33" s="60" t="n">
        <x:v>0.2</x:v>
      </x:c>
      <x:c r="D33" s="60" t="n">
        <x:v>0.2</x:v>
      </x:c>
      <x:c r="E33" s="62" t="b">
        <x:v>1</x:v>
      </x:c>
      <x:c r="F33" s="62" t="b">
        <x:v>1</x:v>
      </x:c>
      <x:c r="G33" s="85" t="n">
        <x:v>0</x:v>
      </x:c>
      <x:c r="H33" s="85" t="n">
        <x:v>0</x:v>
      </x:c>
      <x:c r="I33" s="85" t="n">
        <x:v>11932817.38971965</x:v>
      </x:c>
      <x:c r="J33" s="85" t="n">
        <x:v>6284479.4973746715</x:v>
      </x:c>
      <x:c r="K33" s="85" t="n">
        <x:v>0</x:v>
      </x:c>
      <x:c r="L33" s="28" t="n">
        <x:v>0</x:v>
      </x:c>
      <x:c r="M33" s="28" t="n">
        <x:v>0</x:v>
      </x:c>
      <x:c r="N33" s="28" t="n">
        <x:v>1.862645149230957e-9</x:v>
      </x:c>
      <x:c r="O33" s="28" t="n">
        <x:v>2.9802322387695312e-8</x:v>
      </x:c>
      <x:c r="P33" s="28" t="n">
        <x:v>0</x:v>
      </x:c>
      <x:c r="Q33" s="62" t="b">
        <x:v>1</x:v>
      </x:c>
      <x:c r="R33" s="28" t="n">
        <x:v>0</x:v>
      </x:c>
      <x:c r="S33" s="28" t="str">
        <x:v>105142269d9715fe</x:v>
      </x:c>
    </x:row>
    <x:row r="34" ht="21" customHeight="1">
      <x:c r="A34" s="60" t="n">
        <x:v>0.6</x:v>
      </x:c>
      <x:c r="B34" s="28" t="str">
        <x:v>front_low</x:v>
      </x:c>
      <x:c r="C34" s="60" t="n">
        <x:v>0.25</x:v>
      </x:c>
      <x:c r="D34" s="60" t="n">
        <x:v>0.25</x:v>
      </x:c>
      <x:c r="E34" s="62" t="b">
        <x:v>1</x:v>
      </x:c>
      <x:c r="F34" s="62" t="b">
        <x:v>1</x:v>
      </x:c>
      <x:c r="G34" s="85" t="n">
        <x:v>0</x:v>
      </x:c>
      <x:c r="H34" s="85" t="n">
        <x:v>0</x:v>
      </x:c>
      <x:c r="I34" s="85" t="n">
        <x:v>16515562.991051909</x:v>
      </x:c>
      <x:c r="J34" s="85" t="n">
        <x:v>15355599.371718263</x:v>
      </x:c>
      <x:c r="K34" s="85" t="n">
        <x:v>0</x:v>
      </x:c>
      <x:c r="L34" s="28" t="n">
        <x:v>0</x:v>
      </x:c>
      <x:c r="M34" s="28" t="n">
        <x:v>0</x:v>
      </x:c>
      <x:c r="N34" s="28" t="n">
        <x:v>1.862645149230957e-9</x:v>
      </x:c>
      <x:c r="O34" s="28" t="n">
        <x:v>1.4901161193847656e-8</x:v>
      </x:c>
      <x:c r="P34" s="28" t="n">
        <x:v>0</x:v>
      </x:c>
      <x:c r="Q34" s="62" t="b">
        <x:v>1</x:v>
      </x:c>
      <x:c r="R34" s="28" t="n">
        <x:v>0</x:v>
      </x:c>
      <x:c r="S34" s="28" t="str">
        <x:v>9b525cfa6b2e8412</x:v>
      </x:c>
    </x:row>
    <x:row r="35" ht="21" customHeight="1">
      <x:c r="A35" s="60" t="n">
        <x:v>0.6</x:v>
      </x:c>
      <x:c r="B35" s="28" t="str">
        <x:v>front_low</x:v>
      </x:c>
      <x:c r="C35" s="60" t="n">
        <x:v>0.3</x:v>
      </x:c>
      <x:c r="D35" s="60" t="n">
        <x:v>0.3</x:v>
      </x:c>
      <x:c r="E35" s="62" t="b">
        <x:v>1</x:v>
      </x:c>
      <x:c r="F35" s="62" t="b">
        <x:v>1</x:v>
      </x:c>
      <x:c r="G35" s="85" t="n">
        <x:v>0</x:v>
      </x:c>
      <x:c r="H35" s="85" t="n">
        <x:v>0</x:v>
      </x:c>
      <x:c r="I35" s="85" t="n">
        <x:v>21116816.46748146</x:v>
      </x:c>
      <x:c r="J35" s="85" t="n">
        <x:v>24426719.246061865</x:v>
      </x:c>
      <x:c r="K35" s="85" t="n">
        <x:v>0</x:v>
      </x:c>
      <x:c r="L35" s="28" t="n">
        <x:v>0</x:v>
      </x:c>
      <x:c r="M35" s="28" t="n">
        <x:v>0</x:v>
      </x:c>
      <x:c r="N35" s="28" t="n">
        <x:v>3.725290298461914e-9</x:v>
      </x:c>
      <x:c r="O35" s="28" t="n">
        <x:v>2.9802322387695312e-8</x:v>
      </x:c>
      <x:c r="P35" s="28" t="n">
        <x:v>0</x:v>
      </x:c>
      <x:c r="Q35" s="62" t="b">
        <x:v>1</x:v>
      </x:c>
      <x:c r="R35" s="28" t="n">
        <x:v>0</x:v>
      </x:c>
      <x:c r="S35" s="28" t="str">
        <x:v>e4cbbcbee93c044b</x:v>
      </x:c>
    </x:row>
    <x:row r="36" ht="21" customHeight="1">
      <x:c r="A36" s="60" t="n">
        <x:v>0.6</x:v>
      </x:c>
      <x:c r="B36" s="28" t="str">
        <x:v>front_low</x:v>
      </x:c>
      <x:c r="C36" s="60" t="n">
        <x:v>0.35</x:v>
      </x:c>
      <x:c r="D36" s="60" t="n">
        <x:v>0.35</x:v>
      </x:c>
      <x:c r="E36" s="62" t="b">
        <x:v>1</x:v>
      </x:c>
      <x:c r="F36" s="62" t="b">
        <x:v>1</x:v>
      </x:c>
      <x:c r="G36" s="85" t="n">
        <x:v>0</x:v>
      </x:c>
      <x:c r="H36" s="85" t="n">
        <x:v>0</x:v>
      </x:c>
      <x:c r="I36" s="85" t="n">
        <x:v>25718069.943911035</x:v>
      </x:c>
      <x:c r="J36" s="85" t="n">
        <x:v>33497839.120405573</x:v>
      </x:c>
      <x:c r="K36" s="85" t="n">
        <x:v>0</x:v>
      </x:c>
      <x:c r="L36" s="28" t="n">
        <x:v>0</x:v>
      </x:c>
      <x:c r="M36" s="28" t="n">
        <x:v>0</x:v>
      </x:c>
      <x:c r="N36" s="28" t="n">
        <x:v>3.725290298461914e-9</x:v>
      </x:c>
      <x:c r="O36" s="28" t="n">
        <x:v>7.450580596923828e-9</x:v>
      </x:c>
      <x:c r="P36" s="28" t="n">
        <x:v>0</x:v>
      </x:c>
      <x:c r="Q36" s="62" t="b">
        <x:v>1</x:v>
      </x:c>
      <x:c r="R36" s="28" t="n">
        <x:v>0</x:v>
      </x:c>
      <x:c r="S36" s="28" t="str">
        <x:v>56948ef45f7ab6c8</x:v>
      </x:c>
    </x:row>
    <x:row r="37" ht="21" customHeight="1">
      <x:c r="A37" s="60" t="n">
        <x:v>0.6</x:v>
      </x:c>
      <x:c r="B37" s="28" t="str">
        <x:v>front_low</x:v>
      </x:c>
      <x:c r="C37" s="60" t="n">
        <x:v>0.4</x:v>
      </x:c>
      <x:c r="D37" s="60" t="n">
        <x:v>0.4</x:v>
      </x:c>
      <x:c r="E37" s="62" t="b">
        <x:v>1</x:v>
      </x:c>
      <x:c r="F37" s="62" t="b">
        <x:v>1</x:v>
      </x:c>
      <x:c r="G37" s="85" t="n">
        <x:v>0</x:v>
      </x:c>
      <x:c r="H37" s="85" t="n">
        <x:v>0</x:v>
      </x:c>
      <x:c r="I37" s="85" t="n">
        <x:v>30319323.42034062</x:v>
      </x:c>
      <x:c r="J37" s="85" t="n">
        <x:v>42568958.994749255</x:v>
      </x:c>
      <x:c r="K37" s="85" t="n">
        <x:v>0</x:v>
      </x:c>
      <x:c r="L37" s="28" t="n">
        <x:v>0</x:v>
      </x:c>
      <x:c r="M37" s="28" t="n">
        <x:v>0</x:v>
      </x:c>
      <x:c r="N37" s="28" t="n">
        <x:v>1.862645149230957e-9</x:v>
      </x:c>
      <x:c r="O37" s="28" t="n">
        <x:v>2.9802322387695312e-8</x:v>
      </x:c>
      <x:c r="P37" s="28" t="n">
        <x:v>0</x:v>
      </x:c>
      <x:c r="Q37" s="62" t="b">
        <x:v>1</x:v>
      </x:c>
      <x:c r="R37" s="28" t="n">
        <x:v>0</x:v>
      </x:c>
      <x:c r="S37" s="28" t="str">
        <x:v>7f2f9d2169dd3708</x:v>
      </x:c>
    </x:row>
    <x:row r="38" ht="21" customHeight="1">
      <x:c r="A38" s="60" t="n">
        <x:v>0.6</x:v>
      </x:c>
      <x:c r="B38" s="28" t="str">
        <x:v>front_low</x:v>
      </x:c>
      <x:c r="C38" s="60" t="n">
        <x:v>0.45</x:v>
      </x:c>
      <x:c r="D38" s="60" t="n">
        <x:v>0.45</x:v>
      </x:c>
      <x:c r="E38" s="62" t="b">
        <x:v>1</x:v>
      </x:c>
      <x:c r="F38" s="62" t="b">
        <x:v>1</x:v>
      </x:c>
      <x:c r="G38" s="85" t="n">
        <x:v>0</x:v>
      </x:c>
      <x:c r="H38" s="85" t="n">
        <x:v>0</x:v>
      </x:c>
      <x:c r="I38" s="85" t="n">
        <x:v>34885829.68331378</x:v>
      </x:c>
      <x:c r="J38" s="85" t="n">
        <x:v>51640078.8690929</x:v>
      </x:c>
      <x:c r="K38" s="85" t="n">
        <x:v>0</x:v>
      </x:c>
      <x:c r="L38" s="28" t="n">
        <x:v>0</x:v>
      </x:c>
      <x:c r="M38" s="28" t="n">
        <x:v>0</x:v>
      </x:c>
      <x:c r="N38" s="28" t="n">
        <x:v>1.862645149230957e-9</x:v>
      </x:c>
      <x:c r="O38" s="28" t="n">
        <x:v>2.9802322387695312e-8</x:v>
      </x:c>
      <x:c r="P38" s="28" t="n">
        <x:v>0</x:v>
      </x:c>
      <x:c r="Q38" s="62" t="b">
        <x:v>1</x:v>
      </x:c>
      <x:c r="R38" s="28" t="n">
        <x:v>0</x:v>
      </x:c>
      <x:c r="S38" s="28" t="str">
        <x:v>3066ad39724955a0</x:v>
      </x:c>
    </x:row>
    <x:row r="39" ht="21" customHeight="1">
      <x:c r="A39" s="60" t="n">
        <x:v>0.6</x:v>
      </x:c>
      <x:c r="B39" s="28" t="str">
        <x:v>front_low</x:v>
      </x:c>
      <x:c r="C39" s="60" t="n">
        <x:v>0.5</x:v>
      </x:c>
      <x:c r="D39" s="60" t="n">
        <x:v>0.5</x:v>
      </x:c>
      <x:c r="E39" s="62" t="b">
        <x:v>1</x:v>
      </x:c>
      <x:c r="F39" s="62" t="b">
        <x:v>1</x:v>
      </x:c>
      <x:c r="G39" s="85" t="n">
        <x:v>0</x:v>
      </x:c>
      <x:c r="H39" s="85" t="n">
        <x:v>0</x:v>
      </x:c>
      <x:c r="I39" s="85" t="n">
        <x:v>39437660.687015355</x:v>
      </x:c>
      <x:c r="J39" s="85" t="n">
        <x:v>60711198.74343664</x:v>
      </x:c>
      <x:c r="K39" s="85" t="n">
        <x:v>0</x:v>
      </x:c>
      <x:c r="L39" s="28" t="n">
        <x:v>0</x:v>
      </x:c>
      <x:c r="M39" s="28" t="n">
        <x:v>0</x:v>
      </x:c>
      <x:c r="N39" s="28" t="n">
        <x:v>1.862645149230957e-9</x:v>
      </x:c>
      <x:c r="O39" s="28" t="n">
        <x:v>2.9802322387695312e-8</x:v>
      </x:c>
      <x:c r="P39" s="28" t="n">
        <x:v>0</x:v>
      </x:c>
      <x:c r="Q39" s="62" t="b">
        <x:v>1</x:v>
      </x:c>
      <x:c r="R39" s="28" t="n">
        <x:v>0</x:v>
      </x:c>
      <x:c r="S39" s="28" t="str">
        <x:v>b36b8e715e07f328</x:v>
      </x:c>
    </x:row>
    <x:row r="40" ht="21" customHeight="1">
      <x:c r="A40" s="60" t="n">
        <x:v>0.6</x:v>
      </x:c>
      <x:c r="B40" s="28" t="str">
        <x:v>front_low</x:v>
      </x:c>
      <x:c r="C40" s="60" t="n">
        <x:v>0.55</x:v>
      </x:c>
      <x:c r="D40" s="60" t="n">
        <x:v>0.55</x:v>
      </x:c>
      <x:c r="E40" s="62" t="b">
        <x:v>1</x:v>
      </x:c>
      <x:c r="F40" s="62" t="b">
        <x:v>1</x:v>
      </x:c>
      <x:c r="G40" s="85" t="n">
        <x:v>0</x:v>
      </x:c>
      <x:c r="H40" s="85" t="n">
        <x:v>0</x:v>
      </x:c>
      <x:c r="I40" s="85" t="n">
        <x:v>46385271.68222078</x:v>
      </x:c>
      <x:c r="J40" s="85" t="n">
        <x:v>65788098.26649808</x:v>
      </x:c>
      <x:c r="K40" s="85" t="n">
        <x:v>0</x:v>
      </x:c>
      <x:c r="L40" s="28" t="n">
        <x:v>8</x:v>
      </x:c>
      <x:c r="M40" s="28" t="n">
        <x:v>0</x:v>
      </x:c>
      <x:c r="N40" s="28" t="n">
        <x:v>1.862645149230957e-9</x:v>
      </x:c>
      <x:c r="O40" s="28" t="n">
        <x:v>2.9802322387695312e-8</x:v>
      </x:c>
      <x:c r="P40" s="28" t="n">
        <x:v>0</x:v>
      </x:c>
      <x:c r="Q40" s="62" t="b">
        <x:v>1</x:v>
      </x:c>
      <x:c r="R40" s="28" t="n">
        <x:v>0</x:v>
      </x:c>
      <x:c r="S40" s="28" t="str">
        <x:v>098cccda947ba3a9</x:v>
      </x:c>
    </x:row>
    <x:row r="41" ht="21" customHeight="1">
      <x:c r="A41" s="60" t="n">
        <x:v>0.6</x:v>
      </x:c>
      <x:c r="B41" s="28" t="str">
        <x:v>front_low</x:v>
      </x:c>
      <x:c r="C41" s="60" t="n">
        <x:v>0.6</x:v>
      </x:c>
      <x:c r="D41" s="60" t="n">
        <x:v>0.6</x:v>
      </x:c>
      <x:c r="E41" s="62" t="b">
        <x:v>1</x:v>
      </x:c>
      <x:c r="F41" s="62" t="b">
        <x:v>1</x:v>
      </x:c>
      <x:c r="G41" s="85" t="n">
        <x:v>0</x:v>
      </x:c>
      <x:c r="H41" s="85" t="n">
        <x:v>0</x:v>
      </x:c>
      <x:c r="I41" s="85" t="n">
        <x:v>52575133.62209991</x:v>
      </x:c>
      <x:c r="J41" s="85" t="n">
        <x:v>71989265.86644688</x:v>
      </x:c>
      <x:c r="K41" s="85" t="n">
        <x:v>0</x:v>
      </x:c>
      <x:c r="L41" s="28" t="n">
        <x:v>15</x:v>
      </x:c>
      <x:c r="M41" s="28" t="n">
        <x:v>0</x:v>
      </x:c>
      <x:c r="N41" s="28" t="n">
        <x:v>9.313225746154785e-10</x:v>
      </x:c>
      <x:c r="O41" s="28" t="n">
        <x:v>2.9802322387695312e-8</x:v>
      </x:c>
      <x:c r="P41" s="28" t="n">
        <x:v>0</x:v>
      </x:c>
      <x:c r="Q41" s="62" t="b">
        <x:v>1</x:v>
      </x:c>
      <x:c r="R41" s="28" t="n">
        <x:v>0</x:v>
      </x:c>
      <x:c r="S41" s="28" t="str">
        <x:v>58a421be4c14bbfe</x:v>
      </x:c>
    </x:row>
    <x:row r="42" ht="21" customHeight="1">
      <x:c r="A42" s="60" t="n">
        <x:v>0.6</x:v>
      </x:c>
      <x:c r="B42" s="28" t="str">
        <x:v>front_low</x:v>
      </x:c>
      <x:c r="C42" s="60" t="n">
        <x:v>0.65</x:v>
      </x:c>
      <x:c r="D42" s="60" t="n">
        <x:v>0.65</x:v>
      </x:c>
      <x:c r="E42" s="62" t="b">
        <x:v>1</x:v>
      </x:c>
      <x:c r="F42" s="62" t="b">
        <x:v>1</x:v>
      </x:c>
      <x:c r="G42" s="85" t="n">
        <x:v>0</x:v>
      </x:c>
      <x:c r="H42" s="85" t="n">
        <x:v>0</x:v>
      </x:c>
      <x:c r="I42" s="85" t="n">
        <x:v>57985528.79670337</x:v>
      </x:c>
      <x:c r="J42" s="85" t="n">
        <x:v>79312951.48956189</x:v>
      </x:c>
      <x:c r="K42" s="85" t="n">
        <x:v>0</x:v>
      </x:c>
      <x:c r="L42" s="28" t="n">
        <x:v>20</x:v>
      </x:c>
      <x:c r="M42" s="28" t="n">
        <x:v>0</x:v>
      </x:c>
      <x:c r="N42" s="28" t="n">
        <x:v>9.313225746154785e-10</x:v>
      </x:c>
      <x:c r="O42" s="28" t="n">
        <x:v>2.9802322387695312e-8</x:v>
      </x:c>
      <x:c r="P42" s="28" t="n">
        <x:v>0</x:v>
      </x:c>
      <x:c r="Q42" s="62" t="b">
        <x:v>1</x:v>
      </x:c>
      <x:c r="R42" s="28" t="n">
        <x:v>0</x:v>
      </x:c>
      <x:c r="S42" s="28" t="str">
        <x:v>cbd615e0eddcec78</x:v>
      </x:c>
    </x:row>
    <x:row r="43" ht="21" customHeight="1">
      <x:c r="A43" s="60" t="n">
        <x:v>0.6</x:v>
      </x:c>
      <x:c r="B43" s="28" t="str">
        <x:v>front_low</x:v>
      </x:c>
      <x:c r="C43" s="60" t="n">
        <x:v>0.7</x:v>
      </x:c>
      <x:c r="D43" s="60" t="n">
        <x:v>0.7</x:v>
      </x:c>
      <x:c r="E43" s="62" t="b">
        <x:v>1</x:v>
      </x:c>
      <x:c r="F43" s="62" t="b">
        <x:v>1</x:v>
      </x:c>
      <x:c r="G43" s="85" t="n">
        <x:v>0</x:v>
      </x:c>
      <x:c r="H43" s="85" t="n">
        <x:v>0</x:v>
      </x:c>
      <x:c r="I43" s="85" t="n">
        <x:v>61502869.923163354</x:v>
      </x:c>
      <x:c r="J43" s="85" t="n">
        <x:v>89570449.3881792</x:v>
      </x:c>
      <x:c r="K43" s="85" t="n">
        <x:v>0</x:v>
      </x:c>
      <x:c r="L43" s="28" t="n">
        <x:v>27</x:v>
      </x:c>
      <x:c r="M43" s="28" t="n">
        <x:v>0</x:v>
      </x:c>
      <x:c r="N43" s="28" t="n">
        <x:v>1.862645149230957e-9</x:v>
      </x:c>
      <x:c r="O43" s="28" t="n">
        <x:v>2.9802322387695312e-8</x:v>
      </x:c>
      <x:c r="P43" s="28" t="n">
        <x:v>0</x:v>
      </x:c>
      <x:c r="Q43" s="62" t="b">
        <x:v>1</x:v>
      </x:c>
      <x:c r="R43" s="28" t="n">
        <x:v>0</x:v>
      </x:c>
      <x:c r="S43" s="28" t="str">
        <x:v>53ce7e2c780cddb7</x:v>
      </x:c>
    </x:row>
    <x:row r="44" ht="21" customHeight="1">
      <x:c r="A44" s="60" t="n">
        <x:v>0.6</x:v>
      </x:c>
      <x:c r="B44" s="28" t="str">
        <x:v>front_low</x:v>
      </x:c>
      <x:c r="C44" s="60" t="n">
        <x:v>0.75</x:v>
      </x:c>
      <x:c r="D44" s="60" t="n">
        <x:v>0.75</x:v>
      </x:c>
      <x:c r="E44" s="62" t="b">
        <x:v>1</x:v>
      </x:c>
      <x:c r="F44" s="62" t="b">
        <x:v>0</x:v>
      </x:c>
      <x:c r="G44" s="85" t="n">
        <x:v>711430.0034572673</x:v>
      </x:c>
      <x:c r="H44" s="85" t="n">
        <x:v>10716264.734125827</x:v>
      </x:c>
      <x:c r="I44" s="85" t="n">
        <x:v>61671737.77659761</x:v>
      </x:c>
      <x:c r="J44" s="85" t="n">
        <x:v>90000000.00000001</x:v>
      </x:c>
      <x:c r="K44" s="85" t="n">
        <x:v>0</x:v>
      </x:c>
      <x:c r="L44" s="28" t="n">
        <x:v>45</x:v>
      </x:c>
      <x:c r="M44" s="28" t="n">
        <x:v>30</x:v>
      </x:c>
      <x:c r="N44" s="28" t="n">
        <x:v>1.862645149230957e-9</x:v>
      </x:c>
      <x:c r="O44" s="28" t="n">
        <x:v>2.9802322387695312e-8</x:v>
      </x:c>
      <x:c r="P44" s="28" t="n">
        <x:v>0</x:v>
      </x:c>
      <x:c r="Q44" s="62" t="b">
        <x:v>1</x:v>
      </x:c>
      <x:c r="R44" s="28" t="n">
        <x:v>0</x:v>
      </x:c>
      <x:c r="S44" s="28" t="str">
        <x:v>41c9beaa80f00d88</x:v>
      </x:c>
    </x:row>
    <x:row r="45" ht="21" customHeight="1">
      <x:c r="A45" s="60" t="n">
        <x:v>0.6</x:v>
      </x:c>
      <x:c r="B45" s="28" t="str">
        <x:v>front_low</x:v>
      </x:c>
      <x:c r="C45" s="60" t="n">
        <x:v>0.8</x:v>
      </x:c>
      <x:c r="D45" s="60" t="n">
        <x:v>0.8</x:v>
      </x:c>
      <x:c r="E45" s="62" t="b">
        <x:v>1</x:v>
      </x:c>
      <x:c r="F45" s="62" t="b">
        <x:v>0</x:v>
      </x:c>
      <x:c r="G45" s="85" t="n">
        <x:v>1640720.7742582608</x:v>
      </x:c>
      <x:c r="H45" s="85" t="n">
        <x:v>21758262.8136209</x:v>
      </x:c>
      <x:c r="I45" s="85" t="n">
        <x:v>61741945.95923837</x:v>
      </x:c>
      <x:c r="J45" s="85" t="n">
        <x:v>90000000.00000001</x:v>
      </x:c>
      <x:c r="K45" s="85" t="n">
        <x:v>0</x:v>
      </x:c>
      <x:c r="L45" s="28" t="n">
        <x:v>45</x:v>
      </x:c>
      <x:c r="M45" s="28" t="n">
        <x:v>33</x:v>
      </x:c>
      <x:c r="N45" s="28" t="n">
        <x:v>1.862645149230957e-9</x:v>
      </x:c>
      <x:c r="O45" s="28" t="n">
        <x:v>1.4901161193847656e-8</x:v>
      </x:c>
      <x:c r="P45" s="28" t="n">
        <x:v>0</x:v>
      </x:c>
      <x:c r="Q45" s="62" t="b">
        <x:v>1</x:v>
      </x:c>
      <x:c r="R45" s="28" t="n">
        <x:v>0</x:v>
      </x:c>
      <x:c r="S45" s="28" t="str">
        <x:v>7a9f0f64a28a99f9</x:v>
      </x:c>
    </x:row>
    <x:row r="46" ht="21" customHeight="1">
      <x:c r="A46" s="60" t="n">
        <x:v>0.6</x:v>
      </x:c>
      <x:c r="B46" s="28" t="str">
        <x:v>front_low</x:v>
      </x:c>
      <x:c r="C46" s="60" t="n">
        <x:v>0.85</x:v>
      </x:c>
      <x:c r="D46" s="60" t="n">
        <x:v>0.85</x:v>
      </x:c>
      <x:c r="E46" s="62" t="b">
        <x:v>1</x:v>
      </x:c>
      <x:c r="F46" s="62" t="b">
        <x:v>0</x:v>
      </x:c>
      <x:c r="G46" s="85" t="n">
        <x:v>2507959.358066693</x:v>
      </x:c>
      <x:c r="H46" s="85" t="n">
        <x:v>32617392.014344744</x:v>
      </x:c>
      <x:c r="I46" s="85" t="n">
        <x:v>61812154.14187913</x:v>
      </x:c>
      <x:c r="J46" s="85" t="n">
        <x:v>90000000.00000001</x:v>
      </x:c>
      <x:c r="K46" s="85" t="n">
        <x:v>0</x:v>
      </x:c>
      <x:c r="L46" s="28" t="n">
        <x:v>45</x:v>
      </x:c>
      <x:c r="M46" s="28" t="n">
        <x:v>34</x:v>
      </x:c>
      <x:c r="N46" s="28" t="n">
        <x:v>9.313225746154785e-10</x:v>
      </x:c>
      <x:c r="O46" s="28" t="n">
        <x:v>1.862645149230957e-9</x:v>
      </x:c>
      <x:c r="P46" s="28" t="n">
        <x:v>0</x:v>
      </x:c>
      <x:c r="Q46" s="62" t="b">
        <x:v>1</x:v>
      </x:c>
      <x:c r="R46" s="28" t="n">
        <x:v>0</x:v>
      </x:c>
      <x:c r="S46" s="28" t="str">
        <x:v>3f6cb46a9f0b4f54</x:v>
      </x:c>
    </x:row>
    <x:row r="47" ht="21" customHeight="1">
      <x:c r="A47" s="60" t="n">
        <x:v>0.6</x:v>
      </x:c>
      <x:c r="B47" s="28" t="str">
        <x:v>front_low</x:v>
      </x:c>
      <x:c r="C47" s="60" t="n">
        <x:v>0.9</x:v>
      </x:c>
      <x:c r="D47" s="60" t="n">
        <x:v>0.9</x:v>
      </x:c>
      <x:c r="E47" s="62" t="b">
        <x:v>1</x:v>
      </x:c>
      <x:c r="F47" s="62" t="b">
        <x:v>0</x:v>
      </x:c>
      <x:c r="G47" s="85" t="n">
        <x:v>3564829.5885901367</x:v>
      </x:c>
      <x:c r="H47" s="85" t="n">
        <x:v>42374658.74216237</x:v>
      </x:c>
      <x:c r="I47" s="85" t="n">
        <x:v>62652789.91617193</x:v>
      </x:c>
      <x:c r="J47" s="85" t="n">
        <x:v>90000000.00000001</x:v>
      </x:c>
      <x:c r="K47" s="85" t="n">
        <x:v>0</x:v>
      </x:c>
      <x:c r="L47" s="28" t="n">
        <x:v>46</x:v>
      </x:c>
      <x:c r="M47" s="28" t="n">
        <x:v>36</x:v>
      </x:c>
      <x:c r="N47" s="28" t="n">
        <x:v>9.313225746154785e-10</x:v>
      </x:c>
      <x:c r="O47" s="28" t="n">
        <x:v>1.4901161193847656e-8</x:v>
      </x:c>
      <x:c r="P47" s="28" t="n">
        <x:v>0</x:v>
      </x:c>
      <x:c r="Q47" s="62" t="b">
        <x:v>1</x:v>
      </x:c>
      <x:c r="R47" s="28" t="n">
        <x:v>0</x:v>
      </x:c>
      <x:c r="S47" s="28" t="str">
        <x:v>c8a637a7268ba9b4</x:v>
      </x:c>
    </x:row>
    <x:row r="48" ht="21" customHeight="1">
      <x:c r="A48" s="60" t="n">
        <x:v>0.6</x:v>
      </x:c>
      <x:c r="B48" s="28" t="str">
        <x:v>front_low</x:v>
      </x:c>
      <x:c r="C48" s="60" t="n">
        <x:v>0.95</x:v>
      </x:c>
      <x:c r="D48" s="60" t="n">
        <x:v>0.9497739906324524</x:v>
      </x:c>
      <x:c r="E48" s="62" t="b">
        <x:v>0</x:v>
      </x:c>
      <x:c r="F48" s="62" t="b">
        <x:v>0</x:v>
      </x:c>
      <x:c r="G48" s="85" t="n">
        <x:v>5868931.572188257</x:v>
      </x:c>
      <x:c r="H48" s="85" t="n">
        <x:v>51458358.9288408</x:v>
      </x:c>
      <x:c r="I48" s="85" t="n">
        <x:v>62688841.51965789</x:v>
      </x:c>
      <x:c r="J48" s="85" t="n">
        <x:v>90000000.00000001</x:v>
      </x:c>
      <x:c r="K48" s="85" t="n">
        <x:v>0</x:v>
      </x:c>
      <x:c r="L48" s="28" t="n">
        <x:v>46</x:v>
      </x:c>
      <x:c r="M48" s="28" t="n">
        <x:v>38</x:v>
      </x:c>
      <x:c r="N48" s="28" t="n">
        <x:v>1.862645149230957e-9</x:v>
      </x:c>
      <x:c r="O48" s="28" t="n">
        <x:v>1.4901161193847656e-8</x:v>
      </x:c>
      <x:c r="P48" s="28" t="n">
        <x:v>0</x:v>
      </x:c>
      <x:c r="Q48" s="62" t="b">
        <x:v>1</x:v>
      </x:c>
      <x:c r="R48" s="28" t="n">
        <x:v>67802.81026428938</x:v>
      </x:c>
      <x:c r="S48" s="28" t="str">
        <x:v>3983506a60a24412</x:v>
      </x:c>
    </x:row>
    <x:row r="49" ht="21" customHeight="1">
      <x:c r="A49" s="60" t="n">
        <x:v>0.6</x:v>
      </x:c>
      <x:c r="B49" s="28" t="str">
        <x:v>front_low</x:v>
      </x:c>
      <x:c r="C49" s="60" t="n">
        <x:v>1</x:v>
      </x:c>
      <x:c r="D49" s="60" t="n">
        <x:v>0.9646994850752131</x:v>
      </x:c>
      <x:c r="E49" s="62" t="b">
        <x:v>0</x:v>
      </x:c>
      <x:c r="F49" s="62" t="b">
        <x:v>0</x:v>
      </x:c>
      <x:c r="G49" s="85" t="n">
        <x:v>6536584.631804654</x:v>
      </x:c>
      <x:c r="H49" s="85" t="n">
        <x:v>55002729.34063441</x:v>
      </x:c>
      <x:c r="I49" s="85" t="n">
        <x:v>62724893.12314385</x:v>
      </x:c>
      <x:c r="J49" s="85" t="n">
        <x:v>90000000.00000001</x:v>
      </x:c>
      <x:c r="K49" s="85" t="n">
        <x:v>0</x:v>
      </x:c>
      <x:c r="L49" s="28" t="n">
        <x:v>46</x:v>
      </x:c>
      <x:c r="M49" s="28" t="n">
        <x:v>39</x:v>
      </x:c>
      <x:c r="N49" s="28" t="n">
        <x:v>9.313225746154785e-10</x:v>
      </x:c>
      <x:c r="O49" s="28" t="n">
        <x:v>3.725290298461914e-9</x:v>
      </x:c>
      <x:c r="P49" s="28" t="n">
        <x:v>0</x:v>
      </x:c>
      <x:c r="Q49" s="62" t="b">
        <x:v>1</x:v>
      </x:c>
      <x:c r="R49" s="28" t="n">
        <x:v>10590154.477436066</x:v>
      </x:c>
      <x:c r="S49" s="28" t="str">
        <x:v>57f28db1079d7290</x:v>
      </x:c>
    </x:row>
    <x:row r="50" ht="21" customHeight="1">
      <x:c r="A50" s="60" t="n">
        <x:v>0.6</x:v>
      </x:c>
      <x:c r="B50" s="28" t="str">
        <x:v>front_high</x:v>
      </x:c>
      <x:c r="C50" s="60" t="n">
        <x:v>0</x:v>
      </x:c>
      <x:c r="D50" s="60" t="n">
        <x:v>0</x:v>
      </x:c>
      <x:c r="E50" s="62" t="b">
        <x:v>1</x:v>
      </x:c>
      <x:c r="F50" s="62" t="b">
        <x:v>1</x:v>
      </x:c>
      <x:c r="G50" s="85" t="n">
        <x:v>0</x:v>
      </x:c>
      <x:c r="H50" s="85" t="n">
        <x:v>0</x:v>
      </x:c>
      <x:c r="I50" s="85" t="n">
        <x:v>0</x:v>
      </x:c>
      <x:c r="J50" s="85" t="n">
        <x:v>0</x:v>
      </x:c>
      <x:c r="K50" s="85" t="n">
        <x:v>34685023.614383504</x:v>
      </x:c>
      <x:c r="L50" s="28" t="n">
        <x:v>0</x:v>
      </x:c>
      <x:c r="M50" s="28" t="n">
        <x:v>0</x:v>
      </x:c>
      <x:c r="N50" s="28" t="n">
        <x:v>3.725290298461914e-9</x:v>
      </x:c>
      <x:c r="O50" s="28" t="n">
        <x:v>0</x:v>
      </x:c>
      <x:c r="P50" s="28" t="n">
        <x:v>0</x:v>
      </x:c>
      <x:c r="Q50" s="62" t="b">
        <x:v>1</x:v>
      </x:c>
      <x:c r="R50" s="28" t="n">
        <x:v>0</x:v>
      </x:c>
      <x:c r="S50" s="28" t="str">
        <x:v>9858cd529ad446f8</x:v>
      </x:c>
    </x:row>
    <x:row r="51" ht="21" customHeight="1">
      <x:c r="A51" s="60" t="n">
        <x:v>0.6</x:v>
      </x:c>
      <x:c r="B51" s="28" t="str">
        <x:v>front_high</x:v>
      </x:c>
      <x:c r="C51" s="60" t="n">
        <x:v>0.05</x:v>
      </x:c>
      <x:c r="D51" s="60" t="n">
        <x:v>0.05</x:v>
      </x:c>
      <x:c r="E51" s="62" t="b">
        <x:v>1</x:v>
      </x:c>
      <x:c r="F51" s="62" t="b">
        <x:v>1</x:v>
      </x:c>
      <x:c r="G51" s="85" t="n">
        <x:v>0</x:v>
      </x:c>
      <x:c r="H51" s="85" t="n">
        <x:v>0</x:v>
      </x:c>
      <x:c r="I51" s="85" t="n">
        <x:v>0</x:v>
      </x:c>
      <x:c r="J51" s="85" t="n">
        <x:v>0</x:v>
      </x:c>
      <x:c r="K51" s="85" t="n">
        <x:v>20801452.29039254</x:v>
      </x:c>
      <x:c r="L51" s="28" t="n">
        <x:v>0</x:v>
      </x:c>
      <x:c r="M51" s="28" t="n">
        <x:v>0</x:v>
      </x:c>
      <x:c r="N51" s="28" t="n">
        <x:v>3.725290298461914e-9</x:v>
      </x:c>
      <x:c r="O51" s="28" t="n">
        <x:v>5.960464477539063e-8</x:v>
      </x:c>
      <x:c r="P51" s="28" t="n">
        <x:v>0</x:v>
      </x:c>
      <x:c r="Q51" s="62" t="b">
        <x:v>1</x:v>
      </x:c>
      <x:c r="R51" s="28" t="n">
        <x:v>0</x:v>
      </x:c>
      <x:c r="S51" s="28" t="str">
        <x:v>2d3f13b4884efa38</x:v>
      </x:c>
    </x:row>
    <x:row r="52" ht="21" customHeight="1">
      <x:c r="A52" s="60" t="n">
        <x:v>0.6</x:v>
      </x:c>
      <x:c r="B52" s="28" t="str">
        <x:v>front_high</x:v>
      </x:c>
      <x:c r="C52" s="60" t="n">
        <x:v>0.1</x:v>
      </x:c>
      <x:c r="D52" s="60" t="n">
        <x:v>0.1</x:v>
      </x:c>
      <x:c r="E52" s="62" t="b">
        <x:v>1</x:v>
      </x:c>
      <x:c r="F52" s="62" t="b">
        <x:v>1</x:v>
      </x:c>
      <x:c r="G52" s="85" t="n">
        <x:v>0</x:v>
      </x:c>
      <x:c r="H52" s="85" t="n">
        <x:v>0</x:v>
      </x:c>
      <x:c r="I52" s="85" t="n">
        <x:v>0</x:v>
      </x:c>
      <x:c r="J52" s="85" t="n">
        <x:v>0</x:v>
      </x:c>
      <x:c r="K52" s="85" t="n">
        <x:v>6756356.831089016</x:v>
      </x:c>
      <x:c r="L52" s="28" t="n">
        <x:v>0</x:v>
      </x:c>
      <x:c r="M52" s="28" t="n">
        <x:v>0</x:v>
      </x:c>
      <x:c r="N52" s="28" t="n">
        <x:v>3.725290298461914e-9</x:v>
      </x:c>
      <x:c r="O52" s="28" t="n">
        <x:v>5.960464477539063e-8</x:v>
      </x:c>
      <x:c r="P52" s="28" t="n">
        <x:v>0</x:v>
      </x:c>
      <x:c r="Q52" s="62" t="b">
        <x:v>1</x:v>
      </x:c>
      <x:c r="R52" s="28" t="n">
        <x:v>0</x:v>
      </x:c>
      <x:c r="S52" s="28" t="str">
        <x:v>448e3963ed5e5cea</x:v>
      </x:c>
    </x:row>
    <x:row r="53" ht="21" customHeight="1">
      <x:c r="A53" s="60" t="n">
        <x:v>0.6</x:v>
      </x:c>
      <x:c r="B53" s="28" t="str">
        <x:v>front_high</x:v>
      </x:c>
      <x:c r="C53" s="60" t="n">
        <x:v>0.15</x:v>
      </x:c>
      <x:c r="D53" s="60" t="n">
        <x:v>0.15</x:v>
      </x:c>
      <x:c r="E53" s="62" t="b">
        <x:v>1</x:v>
      </x:c>
      <x:c r="F53" s="62" t="b">
        <x:v>1</x:v>
      </x:c>
      <x:c r="G53" s="85" t="n">
        <x:v>0</x:v>
      </x:c>
      <x:c r="H53" s="85" t="n">
        <x:v>0</x:v>
      </x:c>
      <x:c r="I53" s="85" t="n">
        <x:v>6168088.826432963</x:v>
      </x:c>
      <x:c r="J53" s="85" t="n">
        <x:v>0</x:v>
      </x:c>
      <x:c r="K53" s="85" t="n">
        <x:v>318431.3223366416</x:v>
      </x:c>
      <x:c r="L53" s="28" t="n">
        <x:v>0</x:v>
      </x:c>
      <x:c r="M53" s="28" t="n">
        <x:v>0</x:v>
      </x:c>
      <x:c r="N53" s="28" t="n">
        <x:v>3.725290298461914e-9</x:v>
      </x:c>
      <x:c r="O53" s="28" t="n">
        <x:v>2.9802322387695312e-8</x:v>
      </x:c>
      <x:c r="P53" s="28" t="n">
        <x:v>0</x:v>
      </x:c>
      <x:c r="Q53" s="62" t="b">
        <x:v>1</x:v>
      </x:c>
      <x:c r="R53" s="28" t="n">
        <x:v>0</x:v>
      </x:c>
      <x:c r="S53" s="28" t="str">
        <x:v>71b373191066e693</x:v>
      </x:c>
    </x:row>
    <x:row r="54" ht="21" customHeight="1">
      <x:c r="A54" s="60" t="n">
        <x:v>0.6</x:v>
      </x:c>
      <x:c r="B54" s="28" t="str">
        <x:v>front_high</x:v>
      </x:c>
      <x:c r="C54" s="60" t="n">
        <x:v>0.2</x:v>
      </x:c>
      <x:c r="D54" s="60" t="n">
        <x:v>0.2</x:v>
      </x:c>
      <x:c r="E54" s="62" t="b">
        <x:v>1</x:v>
      </x:c>
      <x:c r="F54" s="62" t="b">
        <x:v>1</x:v>
      </x:c>
      <x:c r="G54" s="85" t="n">
        <x:v>0</x:v>
      </x:c>
      <x:c r="H54" s="85" t="n">
        <x:v>0</x:v>
      </x:c>
      <x:c r="I54" s="85" t="n">
        <x:v>17548118.62593205</x:v>
      </x:c>
      <x:c r="J54" s="85" t="n">
        <x:v>6284479.4973746715</x:v>
      </x:c>
      <x:c r="K54" s="85" t="n">
        <x:v>224130.32430274313</x:v>
      </x:c>
      <x:c r="L54" s="28" t="n">
        <x:v>0</x:v>
      </x:c>
      <x:c r="M54" s="28" t="n">
        <x:v>0</x:v>
      </x:c>
      <x:c r="N54" s="28" t="n">
        <x:v>1.862645149230957e-9</x:v>
      </x:c>
      <x:c r="O54" s="28" t="n">
        <x:v>2.9802322387695312e-8</x:v>
      </x:c>
      <x:c r="P54" s="28" t="n">
        <x:v>0</x:v>
      </x:c>
      <x:c r="Q54" s="62" t="b">
        <x:v>1</x:v>
      </x:c>
      <x:c r="R54" s="28" t="n">
        <x:v>0</x:v>
      </x:c>
      <x:c r="S54" s="28" t="str">
        <x:v>4a42cc3c9c5df53f</x:v>
      </x:c>
    </x:row>
    <x:row r="55" ht="21" customHeight="1">
      <x:c r="A55" s="60" t="n">
        <x:v>0.6</x:v>
      </x:c>
      <x:c r="B55" s="28" t="str">
        <x:v>front_high</x:v>
      </x:c>
      <x:c r="C55" s="60" t="n">
        <x:v>0.25</x:v>
      </x:c>
      <x:c r="D55" s="60" t="n">
        <x:v>0.25</x:v>
      </x:c>
      <x:c r="E55" s="62" t="b">
        <x:v>1</x:v>
      </x:c>
      <x:c r="F55" s="62" t="b">
        <x:v>1</x:v>
      </x:c>
      <x:c r="G55" s="85" t="n">
        <x:v>0</x:v>
      </x:c>
      <x:c r="H55" s="85" t="n">
        <x:v>0</x:v>
      </x:c>
      <x:c r="I55" s="85" t="n">
        <x:v>27457347.51683276</x:v>
      </x:c>
      <x:c r="J55" s="85" t="n">
        <x:v>15355599.371718263</x:v>
      </x:c>
      <x:c r="K55" s="85" t="n">
        <x:v>129829.32626882795</x:v>
      </x:c>
      <x:c r="L55" s="28" t="n">
        <x:v>0</x:v>
      </x:c>
      <x:c r="M55" s="28" t="n">
        <x:v>0</x:v>
      </x:c>
      <x:c r="N55" s="28" t="n">
        <x:v>3.725290298461914e-9</x:v>
      </x:c>
      <x:c r="O55" s="28" t="n">
        <x:v>1.4901161193847656e-8</x:v>
      </x:c>
      <x:c r="P55" s="28" t="n">
        <x:v>0</x:v>
      </x:c>
      <x:c r="Q55" s="62" t="b">
        <x:v>1</x:v>
      </x:c>
      <x:c r="R55" s="28" t="n">
        <x:v>0</x:v>
      </x:c>
      <x:c r="S55" s="28" t="str">
        <x:v>6106b4418d6be82d</x:v>
      </x:c>
    </x:row>
    <x:row r="56" ht="21" customHeight="1">
      <x:c r="A56" s="60" t="n">
        <x:v>0.6</x:v>
      </x:c>
      <x:c r="B56" s="28" t="str">
        <x:v>front_high</x:v>
      </x:c>
      <x:c r="C56" s="60" t="n">
        <x:v>0.3</x:v>
      </x:c>
      <x:c r="D56" s="60" t="n">
        <x:v>0.3</x:v>
      </x:c>
      <x:c r="E56" s="62" t="b">
        <x:v>1</x:v>
      </x:c>
      <x:c r="F56" s="62" t="b">
        <x:v>1</x:v>
      </x:c>
      <x:c r="G56" s="85" t="n">
        <x:v>0</x:v>
      </x:c>
      <x:c r="H56" s="85" t="n">
        <x:v>0</x:v>
      </x:c>
      <x:c r="I56" s="85" t="n">
        <x:v>37366576.40773357</x:v>
      </x:c>
      <x:c r="J56" s="85" t="n">
        <x:v>24426719.246061865</x:v>
      </x:c>
      <x:c r="K56" s="85" t="n">
        <x:v>53118.75260958754</x:v>
      </x:c>
      <x:c r="L56" s="28" t="n">
        <x:v>0</x:v>
      </x:c>
      <x:c r="M56" s="28" t="n">
        <x:v>0</x:v>
      </x:c>
      <x:c r="N56" s="28" t="n">
        <x:v>3.725290298461914e-9</x:v>
      </x:c>
      <x:c r="O56" s="28" t="n">
        <x:v>2.9802322387695312e-8</x:v>
      </x:c>
      <x:c r="P56" s="28" t="n">
        <x:v>0</x:v>
      </x:c>
      <x:c r="Q56" s="62" t="b">
        <x:v>1</x:v>
      </x:c>
      <x:c r="R56" s="28" t="n">
        <x:v>0</x:v>
      </x:c>
      <x:c r="S56" s="28" t="str">
        <x:v>a63948acecf6ae76</x:v>
      </x:c>
    </x:row>
    <x:row r="57" ht="21" customHeight="1">
      <x:c r="A57" s="60" t="n">
        <x:v>0.6</x:v>
      </x:c>
      <x:c r="B57" s="28" t="str">
        <x:v>front_high</x:v>
      </x:c>
      <x:c r="C57" s="60" t="n">
        <x:v>0.35</x:v>
      </x:c>
      <x:c r="D57" s="60" t="n">
        <x:v>0.35</x:v>
      </x:c>
      <x:c r="E57" s="62" t="b">
        <x:v>1</x:v>
      </x:c>
      <x:c r="F57" s="62" t="b">
        <x:v>1</x:v>
      </x:c>
      <x:c r="G57" s="85" t="n">
        <x:v>0</x:v>
      </x:c>
      <x:c r="H57" s="85" t="n">
        <x:v>0</x:v>
      </x:c>
      <x:c r="I57" s="85" t="n">
        <x:v>47275805.29863438</x:v>
      </x:c>
      <x:c r="J57" s="85" t="n">
        <x:v>33497839.120405573</x:v>
      </x:c>
      <x:c r="K57" s="85" t="n">
        <x:v>21684.631469172688</x:v>
      </x:c>
      <x:c r="L57" s="28" t="n">
        <x:v>0</x:v>
      </x:c>
      <x:c r="M57" s="28" t="n">
        <x:v>0</x:v>
      </x:c>
      <x:c r="N57" s="28" t="n">
        <x:v>3.725290298461914e-9</x:v>
      </x:c>
      <x:c r="O57" s="28" t="n">
        <x:v>7.450580596923828e-9</x:v>
      </x:c>
      <x:c r="P57" s="28" t="n">
        <x:v>0</x:v>
      </x:c>
      <x:c r="Q57" s="62" t="b">
        <x:v>1</x:v>
      </x:c>
      <x:c r="R57" s="28" t="n">
        <x:v>0</x:v>
      </x:c>
      <x:c r="S57" s="28" t="str">
        <x:v>fb32e0d0cbd48cdb</x:v>
      </x:c>
    </x:row>
    <x:row r="58" ht="21" customHeight="1">
      <x:c r="A58" s="60" t="n">
        <x:v>0.6</x:v>
      </x:c>
      <x:c r="B58" s="28" t="str">
        <x:v>front_high</x:v>
      </x:c>
      <x:c r="C58" s="60" t="n">
        <x:v>0.4</x:v>
      </x:c>
      <x:c r="D58" s="60" t="n">
        <x:v>0.4</x:v>
      </x:c>
      <x:c r="E58" s="62" t="b">
        <x:v>1</x:v>
      </x:c>
      <x:c r="F58" s="62" t="b">
        <x:v>1</x:v>
      </x:c>
      <x:c r="G58" s="85" t="n">
        <x:v>0</x:v>
      </x:c>
      <x:c r="H58" s="85" t="n">
        <x:v>0</x:v>
      </x:c>
      <x:c r="I58" s="85" t="n">
        <x:v>57220542.06632698</x:v>
      </x:c>
      <x:c r="J58" s="85" t="n">
        <x:v>42568958.994749255</x:v>
      </x:c>
      <x:c r="K58" s="85" t="n">
        <x:v>0</x:v>
      </x:c>
      <x:c r="L58" s="28" t="n">
        <x:v>0</x:v>
      </x:c>
      <x:c r="M58" s="28" t="n">
        <x:v>0</x:v>
      </x:c>
      <x:c r="N58" s="28" t="n">
        <x:v>3.725290298461914e-9</x:v>
      </x:c>
      <x:c r="O58" s="28" t="n">
        <x:v>2.9802322387695312e-8</x:v>
      </x:c>
      <x:c r="P58" s="28" t="n">
        <x:v>0</x:v>
      </x:c>
      <x:c r="Q58" s="62" t="b">
        <x:v>1</x:v>
      </x:c>
      <x:c r="R58" s="28" t="n">
        <x:v>0</x:v>
      </x:c>
      <x:c r="S58" s="28" t="str">
        <x:v>7f25cc89d4ae423f</x:v>
      </x:c>
    </x:row>
    <x:row r="59" ht="21" customHeight="1">
      <x:c r="A59" s="60" t="n">
        <x:v>0.6</x:v>
      </x:c>
      <x:c r="B59" s="28" t="str">
        <x:v>front_high</x:v>
      </x:c>
      <x:c r="C59" s="60" t="n">
        <x:v>0.45</x:v>
      </x:c>
      <x:c r="D59" s="60" t="n">
        <x:v>0.45</x:v>
      </x:c>
      <x:c r="E59" s="62" t="b">
        <x:v>1</x:v>
      </x:c>
      <x:c r="F59" s="62" t="b">
        <x:v>1</x:v>
      </x:c>
      <x:c r="G59" s="85" t="n">
        <x:v>0</x:v>
      </x:c>
      <x:c r="H59" s="85" t="n">
        <x:v>0</x:v>
      </x:c>
      <x:c r="I59" s="85" t="n">
        <x:v>67158437.5555964</x:v>
      </x:c>
      <x:c r="J59" s="85" t="n">
        <x:v>51640078.8690929</x:v>
      </x:c>
      <x:c r="K59" s="85" t="n">
        <x:v>0</x:v>
      </x:c>
      <x:c r="L59" s="28" t="n">
        <x:v>0</x:v>
      </x:c>
      <x:c r="M59" s="28" t="n">
        <x:v>0</x:v>
      </x:c>
      <x:c r="N59" s="28" t="n">
        <x:v>3.725290298461914e-9</x:v>
      </x:c>
      <x:c r="O59" s="28" t="n">
        <x:v>2.9802322387695312e-8</x:v>
      </x:c>
      <x:c r="P59" s="28" t="n">
        <x:v>0</x:v>
      </x:c>
      <x:c r="Q59" s="62" t="b">
        <x:v>1</x:v>
      </x:c>
      <x:c r="R59" s="28" t="n">
        <x:v>0</x:v>
      </x:c>
      <x:c r="S59" s="28" t="str">
        <x:v>dcd7ac11b515484a</x:v>
      </x:c>
    </x:row>
    <x:row r="60" ht="21" customHeight="1">
      <x:c r="A60" s="60" t="n">
        <x:v>0.6</x:v>
      </x:c>
      <x:c r="B60" s="28" t="str">
        <x:v>front_high</x:v>
      </x:c>
      <x:c r="C60" s="60" t="n">
        <x:v>0.5</x:v>
      </x:c>
      <x:c r="D60" s="60" t="n">
        <x:v>0.5</x:v>
      </x:c>
      <x:c r="E60" s="62" t="b">
        <x:v>1</x:v>
      </x:c>
      <x:c r="F60" s="62" t="b">
        <x:v>1</x:v>
      </x:c>
      <x:c r="G60" s="85" t="n">
        <x:v>0</x:v>
      </x:c>
      <x:c r="H60" s="85" t="n">
        <x:v>0</x:v>
      </x:c>
      <x:c r="I60" s="85" t="n">
        <x:v>77081657.78559427</x:v>
      </x:c>
      <x:c r="J60" s="85" t="n">
        <x:v>60711198.74343664</x:v>
      </x:c>
      <x:c r="K60" s="85" t="n">
        <x:v>0</x:v>
      </x:c>
      <x:c r="L60" s="28" t="n">
        <x:v>0</x:v>
      </x:c>
      <x:c r="M60" s="28" t="n">
        <x:v>0</x:v>
      </x:c>
      <x:c r="N60" s="28" t="n">
        <x:v>1.862645149230957e-9</x:v>
      </x:c>
      <x:c r="O60" s="28" t="n">
        <x:v>2.9802322387695312e-8</x:v>
      </x:c>
      <x:c r="P60" s="28" t="n">
        <x:v>0</x:v>
      </x:c>
      <x:c r="Q60" s="62" t="b">
        <x:v>1</x:v>
      </x:c>
      <x:c r="R60" s="28" t="n">
        <x:v>0</x:v>
      </x:c>
      <x:c r="S60" s="28" t="str">
        <x:v>29f088cbb55cda44</x:v>
      </x:c>
    </x:row>
    <x:row r="61" ht="21" customHeight="1">
      <x:c r="A61" s="60" t="n">
        <x:v>0.6</x:v>
      </x:c>
      <x:c r="B61" s="28" t="str">
        <x:v>front_high</x:v>
      </x:c>
      <x:c r="C61" s="60" t="n">
        <x:v>0.55</x:v>
      </x:c>
      <x:c r="D61" s="60" t="n">
        <x:v>0.55</x:v>
      </x:c>
      <x:c r="E61" s="62" t="b">
        <x:v>1</x:v>
      </x:c>
      <x:c r="F61" s="62" t="b">
        <x:v>1</x:v>
      </x:c>
      <x:c r="G61" s="85" t="n">
        <x:v>0</x:v>
      </x:c>
      <x:c r="H61" s="85" t="n">
        <x:v>0</x:v>
      </x:c>
      <x:c r="I61" s="85" t="n">
        <x:v>87508575.57626161</x:v>
      </x:c>
      <x:c r="J61" s="85" t="n">
        <x:v>65283801.072399005</x:v>
      </x:c>
      <x:c r="K61" s="85" t="n">
        <x:v>0</x:v>
      </x:c>
      <x:c r="L61" s="28" t="n">
        <x:v>5</x:v>
      </x:c>
      <x:c r="M61" s="28" t="n">
        <x:v>0</x:v>
      </x:c>
      <x:c r="N61" s="28" t="n">
        <x:v>1.862645149230957e-9</x:v>
      </x:c>
      <x:c r="O61" s="28" t="n">
        <x:v>2.9802322387695312e-8</x:v>
      </x:c>
      <x:c r="P61" s="28" t="n">
        <x:v>0</x:v>
      </x:c>
      <x:c r="Q61" s="62" t="b">
        <x:v>1</x:v>
      </x:c>
      <x:c r="R61" s="28" t="n">
        <x:v>0</x:v>
      </x:c>
      <x:c r="S61" s="28" t="str">
        <x:v>29426acd9e99d4f3</x:v>
      </x:c>
    </x:row>
    <x:row r="62" ht="21" customHeight="1">
      <x:c r="A62" s="60" t="n">
        <x:v>0.6</x:v>
      </x:c>
      <x:c r="B62" s="28" t="str">
        <x:v>front_high</x:v>
      </x:c>
      <x:c r="C62" s="60" t="n">
        <x:v>0.6</x:v>
      </x:c>
      <x:c r="D62" s="60" t="n">
        <x:v>0.6</x:v>
      </x:c>
      <x:c r="E62" s="62" t="b">
        <x:v>1</x:v>
      </x:c>
      <x:c r="F62" s="62" t="b">
        <x:v>1</x:v>
      </x:c>
      <x:c r="G62" s="85" t="n">
        <x:v>0</x:v>
      </x:c>
      <x:c r="H62" s="85" t="n">
        <x:v>0</x:v>
      </x:c>
      <x:c r="I62" s="85" t="n">
        <x:v>97998675.2576945</x:v>
      </x:c>
      <x:c r="J62" s="85" t="n">
        <x:v>68312441.98567571</x:v>
      </x:c>
      <x:c r="K62" s="85" t="n">
        <x:v>0</x:v>
      </x:c>
      <x:c r="L62" s="28" t="n">
        <x:v>14</x:v>
      </x:c>
      <x:c r="M62" s="28" t="n">
        <x:v>0</x:v>
      </x:c>
      <x:c r="N62" s="28" t="n">
        <x:v>1.862645149230957e-9</x:v>
      </x:c>
      <x:c r="O62" s="28" t="n">
        <x:v>2.9802322387695312e-8</x:v>
      </x:c>
      <x:c r="P62" s="28" t="n">
        <x:v>0</x:v>
      </x:c>
      <x:c r="Q62" s="62" t="b">
        <x:v>1</x:v>
      </x:c>
      <x:c r="R62" s="28" t="n">
        <x:v>0</x:v>
      </x:c>
      <x:c r="S62" s="28" t="str">
        <x:v>40aa15a5e0dd8f90</x:v>
      </x:c>
    </x:row>
    <x:row r="63" ht="21" customHeight="1">
      <x:c r="A63" s="60" t="n">
        <x:v>0.6</x:v>
      </x:c>
      <x:c r="B63" s="28" t="str">
        <x:v>front_high</x:v>
      </x:c>
      <x:c r="C63" s="60" t="n">
        <x:v>0.65</x:v>
      </x:c>
      <x:c r="D63" s="60" t="n">
        <x:v>0.65</x:v>
      </x:c>
      <x:c r="E63" s="62" t="b">
        <x:v>1</x:v>
      </x:c>
      <x:c r="F63" s="62" t="b">
        <x:v>1</x:v>
      </x:c>
      <x:c r="G63" s="85" t="n">
        <x:v>0</x:v>
      </x:c>
      <x:c r="H63" s="85" t="n">
        <x:v>0</x:v>
      </x:c>
      <x:c r="I63" s="85" t="n">
        <x:v>107588398.99848707</x:v>
      </x:c>
      <x:c r="J63" s="85" t="n">
        <x:v>75201295.2249639</x:v>
      </x:c>
      <x:c r="K63" s="85" t="n">
        <x:v>0</x:v>
      </x:c>
      <x:c r="L63" s="28" t="n">
        <x:v>18</x:v>
      </x:c>
      <x:c r="M63" s="28" t="n">
        <x:v>1</x:v>
      </x:c>
      <x:c r="N63" s="28" t="n">
        <x:v>1.862645149230957e-9</x:v>
      </x:c>
      <x:c r="O63" s="28" t="n">
        <x:v>2.9802322387695312e-8</x:v>
      </x:c>
      <x:c r="P63" s="28" t="n">
        <x:v>0</x:v>
      </x:c>
      <x:c r="Q63" s="62" t="b">
        <x:v>1</x:v>
      </x:c>
      <x:c r="R63" s="28" t="n">
        <x:v>0</x:v>
      </x:c>
      <x:c r="S63" s="28" t="str">
        <x:v>9690ffd346b7827b</x:v>
      </x:c>
    </x:row>
    <x:row r="64" ht="21" customHeight="1">
      <x:c r="A64" s="60" t="n">
        <x:v>0.6</x:v>
      </x:c>
      <x:c r="B64" s="28" t="str">
        <x:v>front_high</x:v>
      </x:c>
      <x:c r="C64" s="60" t="n">
        <x:v>0.7</x:v>
      </x:c>
      <x:c r="D64" s="60" t="n">
        <x:v>0.7</x:v>
      </x:c>
      <x:c r="E64" s="62" t="b">
        <x:v>1</x:v>
      </x:c>
      <x:c r="F64" s="62" t="b">
        <x:v>1</x:v>
      </x:c>
      <x:c r="G64" s="85" t="n">
        <x:v>0</x:v>
      </x:c>
      <x:c r="H64" s="85" t="n">
        <x:v>0</x:v>
      </x:c>
      <x:c r="I64" s="85" t="n">
        <x:v>116824814.57327636</x:v>
      </x:c>
      <x:c r="J64" s="85" t="n">
        <x:v>87781477.60269852</x:v>
      </x:c>
      <x:c r="K64" s="85" t="n">
        <x:v>0</x:v>
      </x:c>
      <x:c r="L64" s="28" t="n">
        <x:v>24</x:v>
      </x:c>
      <x:c r="M64" s="28" t="n">
        <x:v>12</x:v>
      </x:c>
      <x:c r="N64" s="28" t="n">
        <x:v>1.862645149230957e-9</x:v>
      </x:c>
      <x:c r="O64" s="28" t="n">
        <x:v>2.9802322387695312e-8</x:v>
      </x:c>
      <x:c r="P64" s="28" t="n">
        <x:v>0</x:v>
      </x:c>
      <x:c r="Q64" s="62" t="b">
        <x:v>1</x:v>
      </x:c>
      <x:c r="R64" s="28" t="n">
        <x:v>0</x:v>
      </x:c>
      <x:c r="S64" s="28" t="str">
        <x:v>58bc7ca35fe31e14</x:v>
      </x:c>
    </x:row>
    <x:row r="65" ht="21" customHeight="1">
      <x:c r="A65" s="60" t="n">
        <x:v>0.6</x:v>
      </x:c>
      <x:c r="B65" s="28" t="str">
        <x:v>front_high</x:v>
      </x:c>
      <x:c r="C65" s="60" t="n">
        <x:v>0.75</x:v>
      </x:c>
      <x:c r="D65" s="60" t="n">
        <x:v>0.75</x:v>
      </x:c>
      <x:c r="E65" s="62" t="b">
        <x:v>1</x:v>
      </x:c>
      <x:c r="F65" s="62" t="b">
        <x:v>0</x:v>
      </x:c>
      <x:c r="G65" s="85" t="n">
        <x:v>4033000.9244097113</x:v>
      </x:c>
      <x:c r="H65" s="85" t="n">
        <x:v>13642047.980190948</x:v>
      </x:c>
      <x:c r="I65" s="85" t="n">
        <x:v>118188813.247762</x:v>
      </x:c>
      <x:c r="J65" s="85" t="n">
        <x:v>90000000.00000001</x:v>
      </x:c>
      <x:c r="K65" s="85" t="n">
        <x:v>0</x:v>
      </x:c>
      <x:c r="L65" s="28" t="n">
        <x:v>45</x:v>
      </x:c>
      <x:c r="M65" s="28" t="n">
        <x:v>38</x:v>
      </x:c>
      <x:c r="N65" s="28" t="n">
        <x:v>1.862645149230957e-9</x:v>
      </x:c>
      <x:c r="O65" s="28" t="n">
        <x:v>2.9802322387695312e-8</x:v>
      </x:c>
      <x:c r="P65" s="28" t="n">
        <x:v>0</x:v>
      </x:c>
      <x:c r="Q65" s="62" t="b">
        <x:v>1</x:v>
      </x:c>
      <x:c r="R65" s="28" t="n">
        <x:v>0</x:v>
      </x:c>
      <x:c r="S65" s="28" t="str">
        <x:v>a78523efe59e667e</x:v>
      </x:c>
    </x:row>
    <x:row r="66" ht="21" customHeight="1">
      <x:c r="A66" s="60" t="n">
        <x:v>0.6</x:v>
      </x:c>
      <x:c r="B66" s="28" t="str">
        <x:v>front_high</x:v>
      </x:c>
      <x:c r="C66" s="60" t="n">
        <x:v>0.8</x:v>
      </x:c>
      <x:c r="D66" s="60" t="n">
        <x:v>0.8</x:v>
      </x:c>
      <x:c r="E66" s="62" t="b">
        <x:v>1</x:v>
      </x:c>
      <x:c r="F66" s="62" t="b">
        <x:v>0</x:v>
      </x:c>
      <x:c r="G66" s="85" t="n">
        <x:v>9317074.752928156</x:v>
      </x:c>
      <x:c r="H66" s="85" t="n">
        <x:v>28685521.184425846</x:v>
      </x:c>
      <x:c r="I66" s="85" t="n">
        <x:v>118377478.74126576</x:v>
      </x:c>
      <x:c r="J66" s="85" t="n">
        <x:v>90000000.00000001</x:v>
      </x:c>
      <x:c r="K66" s="85" t="n">
        <x:v>0</x:v>
      </x:c>
      <x:c r="L66" s="28" t="n">
        <x:v>45</x:v>
      </x:c>
      <x:c r="M66" s="28" t="n">
        <x:v>42</x:v>
      </x:c>
      <x:c r="N66" s="28" t="n">
        <x:v>1.862645149230957e-9</x:v>
      </x:c>
      <x:c r="O66" s="28" t="n">
        <x:v>1.4901161193847656e-8</x:v>
      </x:c>
      <x:c r="P66" s="28" t="n">
        <x:v>0</x:v>
      </x:c>
      <x:c r="Q66" s="62" t="b">
        <x:v>1</x:v>
      </x:c>
      <x:c r="R66" s="28" t="n">
        <x:v>0</x:v>
      </x:c>
      <x:c r="S66" s="28" t="str">
        <x:v>62cb0606d7189773</x:v>
      </x:c>
    </x:row>
    <x:row r="67" ht="21" customHeight="1">
      <x:c r="A67" s="60" t="n">
        <x:v>0.6</x:v>
      </x:c>
      <x:c r="B67" s="28" t="str">
        <x:v>front_high</x:v>
      </x:c>
      <x:c r="C67" s="60" t="n">
        <x:v>0.85</x:v>
      </x:c>
      <x:c r="D67" s="60" t="n">
        <x:v>0.85</x:v>
      </x:c>
      <x:c r="E67" s="62" t="b">
        <x:v>1</x:v>
      </x:c>
      <x:c r="F67" s="62" t="b">
        <x:v>0</x:v>
      </x:c>
      <x:c r="G67" s="85" t="n">
        <x:v>14515676.380946254</x:v>
      </x:c>
      <x:c r="H67" s="85" t="n">
        <x:v>43377736.14874695</x:v>
      </x:c>
      <x:c r="I67" s="85" t="n">
        <x:v>118566144.23476951</x:v>
      </x:c>
      <x:c r="J67" s="85" t="n">
        <x:v>90000000.00000001</x:v>
      </x:c>
      <x:c r="K67" s="85" t="n">
        <x:v>0</x:v>
      </x:c>
      <x:c r="L67" s="28" t="n">
        <x:v>45</x:v>
      </x:c>
      <x:c r="M67" s="28" t="n">
        <x:v>44</x:v>
      </x:c>
      <x:c r="N67" s="28" t="n">
        <x:v>1.862645149230957e-9</x:v>
      </x:c>
      <x:c r="O67" s="28" t="n">
        <x:v>1.862645149230957e-9</x:v>
      </x:c>
      <x:c r="P67" s="28" t="n">
        <x:v>0</x:v>
      </x:c>
      <x:c r="Q67" s="62" t="b">
        <x:v>1</x:v>
      </x:c>
      <x:c r="R67" s="28" t="n">
        <x:v>0</x:v>
      </x:c>
      <x:c r="S67" s="28" t="str">
        <x:v>65c55e284ad63486</x:v>
      </x:c>
    </x:row>
    <x:row r="68" ht="21" customHeight="1">
      <x:c r="A68" s="60" t="n">
        <x:v>0.6</x:v>
      </x:c>
      <x:c r="B68" s="28" t="str">
        <x:v>front_high</x:v>
      </x:c>
      <x:c r="C68" s="60" t="n">
        <x:v>0.9</x:v>
      </x:c>
      <x:c r="D68" s="60" t="n">
        <x:v>0.9</x:v>
      </x:c>
      <x:c r="E68" s="62" t="b">
        <x:v>1</x:v>
      </x:c>
      <x:c r="F68" s="62" t="b">
        <x:v>0</x:v>
      </x:c>
      <x:c r="G68" s="85" t="n">
        <x:v>21904659.72903734</x:v>
      </x:c>
      <x:c r="H68" s="85" t="n">
        <x:v>54134687.1756207</x:v>
      </x:c>
      <x:c r="I68" s="85" t="n">
        <x:v>120035380.53173356</x:v>
      </x:c>
      <x:c r="J68" s="85" t="n">
        <x:v>90000000.00000001</x:v>
      </x:c>
      <x:c r="K68" s="85" t="n">
        <x:v>0</x:v>
      </x:c>
      <x:c r="L68" s="28" t="n">
        <x:v>46</x:v>
      </x:c>
      <x:c r="M68" s="28" t="n">
        <x:v>44</x:v>
      </x:c>
      <x:c r="N68" s="28" t="n">
        <x:v>9.313225746154785e-10</x:v>
      </x:c>
      <x:c r="O68" s="28" t="n">
        <x:v>1.4901161193847656e-8</x:v>
      </x:c>
      <x:c r="P68" s="28" t="n">
        <x:v>0</x:v>
      </x:c>
      <x:c r="Q68" s="62" t="b">
        <x:v>1</x:v>
      </x:c>
      <x:c r="R68" s="28" t="n">
        <x:v>0</x:v>
      </x:c>
      <x:c r="S68" s="28" t="str">
        <x:v>b0d4782272e59193</x:v>
      </x:c>
    </x:row>
    <x:row r="69" ht="21" customHeight="1">
      <x:c r="A69" s="60" t="n">
        <x:v>0.6</x:v>
      </x:c>
      <x:c r="B69" s="28" t="str">
        <x:v>front_high</x:v>
      </x:c>
      <x:c r="C69" s="60" t="n">
        <x:v>0.95</x:v>
      </x:c>
      <x:c r="D69" s="60" t="n">
        <x:v>0.9497739906324524</x:v>
      </x:c>
      <x:c r="E69" s="62" t="b">
        <x:v>0</x:v>
      </x:c>
      <x:c r="F69" s="62" t="b">
        <x:v>0</x:v>
      </x:c>
      <x:c r="G69" s="85" t="n">
        <x:v>28277100.156152084</x:v>
      </x:c>
      <x:c r="H69" s="85" t="n">
        <x:v>63658094.890618324</x:v>
      </x:c>
      <x:c r="I69" s="85" t="n">
        <x:v>120130228.46469897</x:v>
      </x:c>
      <x:c r="J69" s="85" t="n">
        <x:v>90000000.00000001</x:v>
      </x:c>
      <x:c r="K69" s="85" t="n">
        <x:v>0</x:v>
      </x:c>
      <x:c r="L69" s="28" t="n">
        <x:v>46</x:v>
      </x:c>
      <x:c r="M69" s="28" t="n">
        <x:v>44</x:v>
      </x:c>
      <x:c r="N69" s="28" t="n">
        <x:v>9.313225746154785e-10</x:v>
      </x:c>
      <x:c r="O69" s="28" t="n">
        <x:v>1.4901161193847656e-8</x:v>
      </x:c>
      <x:c r="P69" s="28" t="n">
        <x:v>0</x:v>
      </x:c>
      <x:c r="Q69" s="62" t="b">
        <x:v>1</x:v>
      </x:c>
      <x:c r="R69" s="28" t="n">
        <x:v>67802.81026428938</x:v>
      </x:c>
      <x:c r="S69" s="28" t="str">
        <x:v>0bfc67187d54a554</x:v>
      </x:c>
    </x:row>
    <x:row r="70" ht="21" customHeight="1">
      <x:c r="A70" s="60" t="n">
        <x:v>0.6</x:v>
      </x:c>
      <x:c r="B70" s="28" t="str">
        <x:v>front_high</x:v>
      </x:c>
      <x:c r="C70" s="60" t="n">
        <x:v>1</x:v>
      </x:c>
      <x:c r="D70" s="60" t="n">
        <x:v>0.9646994850752131</x:v>
      </x:c>
      <x:c r="E70" s="62" t="b">
        <x:v>0</x:v>
      </x:c>
      <x:c r="F70" s="62" t="b">
        <x:v>0</x:v>
      </x:c>
      <x:c r="G70" s="85" t="n">
        <x:v>31716547.98732573</x:v>
      </x:c>
      <x:c r="H70" s="85" t="n">
        <x:v>68523753.8052935</x:v>
      </x:c>
      <x:c r="I70" s="85" t="n">
        <x:v>120225076.39766438</x:v>
      </x:c>
      <x:c r="J70" s="85" t="n">
        <x:v>90000000.00000001</x:v>
      </x:c>
      <x:c r="K70" s="85" t="n">
        <x:v>0</x:v>
      </x:c>
      <x:c r="L70" s="28" t="n">
        <x:v>46</x:v>
      </x:c>
      <x:c r="M70" s="28" t="n">
        <x:v>45</x:v>
      </x:c>
      <x:c r="N70" s="28" t="n">
        <x:v>9.313225746154785e-10</x:v>
      </x:c>
      <x:c r="O70" s="28" t="n">
        <x:v>3.725290298461914e-9</x:v>
      </x:c>
      <x:c r="P70" s="28" t="n">
        <x:v>0</x:v>
      </x:c>
      <x:c r="Q70" s="62" t="b">
        <x:v>1</x:v>
      </x:c>
      <x:c r="R70" s="28" t="n">
        <x:v>10590154.477436066</x:v>
      </x:c>
      <x:c r="S70" s="28" t="str">
        <x:v>07cf2c67a342f4b5</x:v>
      </x:c>
    </x:row>
    <x:row r="71" ht="21" customHeight="1">
      <x:c r="A71" s="60" t="n">
        <x:v>0.6</x:v>
      </x:c>
      <x:c r="B71" s="28" t="str">
        <x:v>middle_flat</x:v>
      </x:c>
      <x:c r="C71" s="60" t="n">
        <x:v>0</x:v>
      </x:c>
      <x:c r="D71" s="60" t="n">
        <x:v>0</x:v>
      </x:c>
      <x:c r="E71" s="62" t="b">
        <x:v>1</x:v>
      </x:c>
      <x:c r="F71" s="62" t="b">
        <x:v>1</x:v>
      </x:c>
      <x:c r="G71" s="85" t="n">
        <x:v>0</x:v>
      </x:c>
      <x:c r="H71" s="85" t="n">
        <x:v>0</x:v>
      </x:c>
      <x:c r="I71" s="85" t="n">
        <x:v>0</x:v>
      </x:c>
      <x:c r="J71" s="85" t="n">
        <x:v>0</x:v>
      </x:c>
      <x:c r="K71" s="85" t="n">
        <x:v>29867310.874657497</x:v>
      </x:c>
      <x:c r="L71" s="28" t="n">
        <x:v>0</x:v>
      </x:c>
      <x:c r="M71" s="28" t="n">
        <x:v>0</x:v>
      </x:c>
      <x:c r="N71" s="28" t="n">
        <x:v>3.725290298461914e-9</x:v>
      </x:c>
      <x:c r="O71" s="28" t="n">
        <x:v>0</x:v>
      </x:c>
      <x:c r="P71" s="28" t="n">
        <x:v>0</x:v>
      </x:c>
      <x:c r="Q71" s="62" t="b">
        <x:v>1</x:v>
      </x:c>
      <x:c r="R71" s="28" t="n">
        <x:v>0</x:v>
      </x:c>
      <x:c r="S71" s="28" t="str">
        <x:v>1722360b2713d71b</x:v>
      </x:c>
    </x:row>
    <x:row r="72" ht="21" customHeight="1">
      <x:c r="A72" s="60" t="n">
        <x:v>0.6</x:v>
      </x:c>
      <x:c r="B72" s="28" t="str">
        <x:v>middle_flat</x:v>
      </x:c>
      <x:c r="C72" s="60" t="n">
        <x:v>0.05</x:v>
      </x:c>
      <x:c r="D72" s="60" t="n">
        <x:v>0.05</x:v>
      </x:c>
      <x:c r="E72" s="62" t="b">
        <x:v>1</x:v>
      </x:c>
      <x:c r="F72" s="62" t="b">
        <x:v>1</x:v>
      </x:c>
      <x:c r="G72" s="85" t="n">
        <x:v>0</x:v>
      </x:c>
      <x:c r="H72" s="85" t="n">
        <x:v>0</x:v>
      </x:c>
      <x:c r="I72" s="85" t="n">
        <x:v>0</x:v>
      </x:c>
      <x:c r="J72" s="85" t="n">
        <x:v>0</x:v>
      </x:c>
      <x:c r="K72" s="85" t="n">
        <x:v>17899693.154997014</x:v>
      </x:c>
      <x:c r="L72" s="28" t="n">
        <x:v>0</x:v>
      </x:c>
      <x:c r="M72" s="28" t="n">
        <x:v>0</x:v>
      </x:c>
      <x:c r="N72" s="28" t="n">
        <x:v>3.725290298461914e-9</x:v>
      </x:c>
      <x:c r="O72" s="28" t="n">
        <x:v>2.9802322387695312e-8</x:v>
      </x:c>
      <x:c r="P72" s="28" t="n">
        <x:v>0</x:v>
      </x:c>
      <x:c r="Q72" s="62" t="b">
        <x:v>1</x:v>
      </x:c>
      <x:c r="R72" s="28" t="n">
        <x:v>0</x:v>
      </x:c>
      <x:c r="S72" s="28" t="str">
        <x:v>c48f3e829e588e8b</x:v>
      </x:c>
    </x:row>
    <x:row r="73" ht="21" customHeight="1">
      <x:c r="A73" s="60" t="n">
        <x:v>0.6</x:v>
      </x:c>
      <x:c r="B73" s="28" t="str">
        <x:v>middle_flat</x:v>
      </x:c>
      <x:c r="C73" s="60" t="n">
        <x:v>0.1</x:v>
      </x:c>
      <x:c r="D73" s="60" t="n">
        <x:v>0.1</x:v>
      </x:c>
      <x:c r="E73" s="62" t="b">
        <x:v>1</x:v>
      </x:c>
      <x:c r="F73" s="62" t="b">
        <x:v>1</x:v>
      </x:c>
      <x:c r="G73" s="85" t="n">
        <x:v>0</x:v>
      </x:c>
      <x:c r="H73" s="85" t="n">
        <x:v>0</x:v>
      </x:c>
      <x:c r="I73" s="85" t="n">
        <x:v>0</x:v>
      </x:c>
      <x:c r="J73" s="85" t="n">
        <x:v>0</x:v>
      </x:c>
      <x:c r="K73" s="85" t="n">
        <x:v>5813238.641801986</x:v>
      </x:c>
      <x:c r="L73" s="28" t="n">
        <x:v>0</x:v>
      </x:c>
      <x:c r="M73" s="28" t="n">
        <x:v>0</x:v>
      </x:c>
      <x:c r="N73" s="28" t="n">
        <x:v>3.725290298461914e-9</x:v>
      </x:c>
      <x:c r="O73" s="28" t="n">
        <x:v>5.960464477539063e-8</x:v>
      </x:c>
      <x:c r="P73" s="28" t="n">
        <x:v>0</x:v>
      </x:c>
      <x:c r="Q73" s="62" t="b">
        <x:v>1</x:v>
      </x:c>
      <x:c r="R73" s="28" t="n">
        <x:v>0</x:v>
      </x:c>
      <x:c r="S73" s="28" t="str">
        <x:v>8af7e25a59777991</x:v>
      </x:c>
    </x:row>
    <x:row r="74" ht="21" customHeight="1">
      <x:c r="A74" s="60" t="n">
        <x:v>0.6</x:v>
      </x:c>
      <x:c r="B74" s="28" t="str">
        <x:v>middle_flat</x:v>
      </x:c>
      <x:c r="C74" s="60" t="n">
        <x:v>0.15</x:v>
      </x:c>
      <x:c r="D74" s="60" t="n">
        <x:v>0.15</x:v>
      </x:c>
      <x:c r="E74" s="62" t="b">
        <x:v>1</x:v>
      </x:c>
      <x:c r="F74" s="62" t="b">
        <x:v>1</x:v>
      </x:c>
      <x:c r="G74" s="85" t="n">
        <x:v>0</x:v>
      </x:c>
      <x:c r="H74" s="85" t="n">
        <x:v>0</x:v>
      </x:c>
      <x:c r="I74" s="85" t="n">
        <x:v>5206810.494844666</x:v>
      </x:c>
      <x:c r="J74" s="85" t="n">
        <x:v>0</x:v>
      </x:c>
      <x:c r="K74" s="85" t="n">
        <x:v>231325.85737533786</x:v>
      </x:c>
      <x:c r="L74" s="28" t="n">
        <x:v>0</x:v>
      </x:c>
      <x:c r="M74" s="28" t="n">
        <x:v>0</x:v>
      </x:c>
      <x:c r="N74" s="28" t="n">
        <x:v>3.725290298461914e-9</x:v>
      </x:c>
      <x:c r="O74" s="28" t="n">
        <x:v>2.9802322387695312e-8</x:v>
      </x:c>
      <x:c r="P74" s="28" t="n">
        <x:v>0</x:v>
      </x:c>
      <x:c r="Q74" s="62" t="b">
        <x:v>1</x:v>
      </x:c>
      <x:c r="R74" s="28" t="n">
        <x:v>0</x:v>
      </x:c>
      <x:c r="S74" s="28" t="str">
        <x:v>12e916edf8d20436</x:v>
      </x:c>
    </x:row>
    <x:row r="75" ht="21" customHeight="1">
      <x:c r="A75" s="60" t="n">
        <x:v>0.6</x:v>
      </x:c>
      <x:c r="B75" s="28" t="str">
        <x:v>middle_flat</x:v>
      </x:c>
      <x:c r="C75" s="60" t="n">
        <x:v>0.2</x:v>
      </x:c>
      <x:c r="D75" s="60" t="n">
        <x:v>0.2</x:v>
      </x:c>
      <x:c r="E75" s="62" t="b">
        <x:v>1</x:v>
      </x:c>
      <x:c r="F75" s="62" t="b">
        <x:v>1</x:v>
      </x:c>
      <x:c r="G75" s="85" t="n">
        <x:v>0</x:v>
      </x:c>
      <x:c r="H75" s="85" t="n">
        <x:v>0</x:v>
      </x:c>
      <x:c r="I75" s="85" t="n">
        <x:v>13621686.913650248</x:v>
      </x:c>
      <x:c r="J75" s="85" t="n">
        <x:v>6318282.052720871</x:v>
      </x:c>
      <x:c r="K75" s="85" t="n">
        <x:v>147522.64316712198</x:v>
      </x:c>
      <x:c r="L75" s="28" t="n">
        <x:v>0</x:v>
      </x:c>
      <x:c r="M75" s="28" t="n">
        <x:v>0</x:v>
      </x:c>
      <x:c r="N75" s="28" t="n">
        <x:v>1.862645149230957e-9</x:v>
      </x:c>
      <x:c r="O75" s="28" t="n">
        <x:v>2.9802322387695312e-8</x:v>
      </x:c>
      <x:c r="P75" s="28" t="n">
        <x:v>0</x:v>
      </x:c>
      <x:c r="Q75" s="62" t="b">
        <x:v>1</x:v>
      </x:c>
      <x:c r="R75" s="28" t="n">
        <x:v>0</x:v>
      </x:c>
      <x:c r="S75" s="28" t="str">
        <x:v>1ef4ed9fb1a67bac</x:v>
      </x:c>
    </x:row>
    <x:row r="76" ht="21" customHeight="1">
      <x:c r="A76" s="60" t="n">
        <x:v>0.6</x:v>
      </x:c>
      <x:c r="B76" s="28" t="str">
        <x:v>middle_flat</x:v>
      </x:c>
      <x:c r="C76" s="60" t="n">
        <x:v>0.25</x:v>
      </x:c>
      <x:c r="D76" s="60" t="n">
        <x:v>0.25</x:v>
      </x:c>
      <x:c r="E76" s="62" t="b">
        <x:v>1</x:v>
      </x:c>
      <x:c r="F76" s="62" t="b">
        <x:v>1</x:v>
      </x:c>
      <x:c r="G76" s="85" t="n">
        <x:v>0</x:v>
      </x:c>
      <x:c r="H76" s="85" t="n">
        <x:v>0</x:v>
      </x:c>
      <x:c r="I76" s="85" t="n">
        <x:v>20200350.069757503</x:v>
      </x:c>
      <x:c r="J76" s="85" t="n">
        <x:v>15397852.565901024</x:v>
      </x:c>
      <x:c r="K76" s="85" t="n">
        <x:v>111746.85942465521</x:v>
      </x:c>
      <x:c r="L76" s="28" t="n">
        <x:v>0</x:v>
      </x:c>
      <x:c r="M76" s="28" t="n">
        <x:v>0</x:v>
      </x:c>
      <x:c r="N76" s="28" t="n">
        <x:v>3.725290298461914e-9</x:v>
      </x:c>
      <x:c r="O76" s="28" t="n">
        <x:v>2.9802322387695312e-8</x:v>
      </x:c>
      <x:c r="P76" s="28" t="n">
        <x:v>0</x:v>
      </x:c>
      <x:c r="Q76" s="62" t="b">
        <x:v>1</x:v>
      </x:c>
      <x:c r="R76" s="28" t="n">
        <x:v>0</x:v>
      </x:c>
      <x:c r="S76" s="28" t="str">
        <x:v>6bef5444cb9f7aa1</x:v>
      </x:c>
    </x:row>
    <x:row r="77" ht="21" customHeight="1">
      <x:c r="A77" s="60" t="n">
        <x:v>0.6</x:v>
      </x:c>
      <x:c r="B77" s="28" t="str">
        <x:v>middle_flat</x:v>
      </x:c>
      <x:c r="C77" s="60" t="n">
        <x:v>0.3</x:v>
      </x:c>
      <x:c r="D77" s="60" t="n">
        <x:v>0.3</x:v>
      </x:c>
      <x:c r="E77" s="62" t="b">
        <x:v>1</x:v>
      </x:c>
      <x:c r="F77" s="62" t="b">
        <x:v>1</x:v>
      </x:c>
      <x:c r="G77" s="85" t="n">
        <x:v>0</x:v>
      </x:c>
      <x:c r="H77" s="85" t="n">
        <x:v>0</x:v>
      </x:c>
      <x:c r="I77" s="85" t="n">
        <x:v>26842582.6482295</x:v>
      </x:c>
      <x:c r="J77" s="85" t="n">
        <x:v>24477423.079081148</x:v>
      </x:c>
      <x:c r="K77" s="85" t="n">
        <x:v>86219.45021370024</x:v>
      </x:c>
      <x:c r="L77" s="28" t="n">
        <x:v>0</x:v>
      </x:c>
      <x:c r="M77" s="28" t="n">
        <x:v>0</x:v>
      </x:c>
      <x:c r="N77" s="28" t="n">
        <x:v>1.862645149230957e-9</x:v>
      </x:c>
      <x:c r="O77" s="28" t="n">
        <x:v>2.9802322387695312e-8</x:v>
      </x:c>
      <x:c r="P77" s="28" t="n">
        <x:v>0</x:v>
      </x:c>
      <x:c r="Q77" s="62" t="b">
        <x:v>1</x:v>
      </x:c>
      <x:c r="R77" s="28" t="n">
        <x:v>0</x:v>
      </x:c>
      <x:c r="S77" s="28" t="str">
        <x:v>989ecf689d479abe</x:v>
      </x:c>
    </x:row>
    <x:row r="78" ht="21" customHeight="1">
      <x:c r="A78" s="60" t="n">
        <x:v>0.6</x:v>
      </x:c>
      <x:c r="B78" s="28" t="str">
        <x:v>middle_flat</x:v>
      </x:c>
      <x:c r="C78" s="60" t="n">
        <x:v>0.35</x:v>
      </x:c>
      <x:c r="D78" s="60" t="n">
        <x:v>0.35</x:v>
      </x:c>
      <x:c r="E78" s="62" t="b">
        <x:v>1</x:v>
      </x:c>
      <x:c r="F78" s="62" t="b">
        <x:v>1</x:v>
      </x:c>
      <x:c r="G78" s="85" t="n">
        <x:v>0</x:v>
      </x:c>
      <x:c r="H78" s="85" t="n">
        <x:v>0</x:v>
      </x:c>
      <x:c r="I78" s="85" t="n">
        <x:v>33484815.226701513</x:v>
      </x:c>
      <x:c r="J78" s="85" t="n">
        <x:v>33556993.59226132</x:v>
      </x:c>
      <x:c r="K78" s="85" t="n">
        <x:v>60692.04100274226</x:v>
      </x:c>
      <x:c r="L78" s="28" t="n">
        <x:v>0</x:v>
      </x:c>
      <x:c r="M78" s="28" t="n">
        <x:v>0</x:v>
      </x:c>
      <x:c r="N78" s="28" t="n">
        <x:v>3.725290298461914e-9</x:v>
      </x:c>
      <x:c r="O78" s="28" t="n">
        <x:v>2.9802322387695312e-8</x:v>
      </x:c>
      <x:c r="P78" s="28" t="n">
        <x:v>0</x:v>
      </x:c>
      <x:c r="Q78" s="62" t="b">
        <x:v>1</x:v>
      </x:c>
      <x:c r="R78" s="28" t="n">
        <x:v>0</x:v>
      </x:c>
      <x:c r="S78" s="28" t="str">
        <x:v>6874e80a243ca0e6</x:v>
      </x:c>
    </x:row>
    <x:row r="79" ht="21" customHeight="1">
      <x:c r="A79" s="60" t="n">
        <x:v>0.6</x:v>
      </x:c>
      <x:c r="B79" s="28" t="str">
        <x:v>middle_flat</x:v>
      </x:c>
      <x:c r="C79" s="60" t="n">
        <x:v>0.4</x:v>
      </x:c>
      <x:c r="D79" s="60" t="n">
        <x:v>0.4</x:v>
      </x:c>
      <x:c r="E79" s="62" t="b">
        <x:v>1</x:v>
      </x:c>
      <x:c r="F79" s="62" t="b">
        <x:v>1</x:v>
      </x:c>
      <x:c r="G79" s="85" t="n">
        <x:v>0</x:v>
      </x:c>
      <x:c r="H79" s="85" t="n">
        <x:v>0</x:v>
      </x:c>
      <x:c r="I79" s="85" t="n">
        <x:v>40132127.30816541</x:v>
      </x:c>
      <x:c r="J79" s="85" t="n">
        <x:v>42636564.10544156</x:v>
      </x:c>
      <x:c r="K79" s="85" t="n">
        <x:v>35164.631791782405</x:v>
      </x:c>
      <x:c r="L79" s="28" t="n">
        <x:v>0</x:v>
      </x:c>
      <x:c r="M79" s="28" t="n">
        <x:v>0</x:v>
      </x:c>
      <x:c r="N79" s="28" t="n">
        <x:v>1.862645149230957e-9</x:v>
      </x:c>
      <x:c r="O79" s="28" t="n">
        <x:v>2.9802322387695312e-8</x:v>
      </x:c>
      <x:c r="P79" s="28" t="n">
        <x:v>0</x:v>
      </x:c>
      <x:c r="Q79" s="62" t="b">
        <x:v>1</x:v>
      </x:c>
      <x:c r="R79" s="28" t="n">
        <x:v>0</x:v>
      </x:c>
      <x:c r="S79" s="28" t="str">
        <x:v>9f9fec6be209b369</x:v>
      </x:c>
    </x:row>
    <x:row r="80" ht="21" customHeight="1">
      <x:c r="A80" s="60" t="n">
        <x:v>0.6</x:v>
      </x:c>
      <x:c r="B80" s="28" t="str">
        <x:v>middle_flat</x:v>
      </x:c>
      <x:c r="C80" s="60" t="n">
        <x:v>0.45</x:v>
      </x:c>
      <x:c r="D80" s="60" t="n">
        <x:v>0.45</x:v>
      </x:c>
      <x:c r="E80" s="62" t="b">
        <x:v>1</x:v>
      </x:c>
      <x:c r="F80" s="62" t="b">
        <x:v>1</x:v>
      </x:c>
      <x:c r="G80" s="85" t="n">
        <x:v>0</x:v>
      </x:c>
      <x:c r="H80" s="85" t="n">
        <x:v>0</x:v>
      </x:c>
      <x:c r="I80" s="85" t="n">
        <x:v>46806205.999197446</x:v>
      </x:c>
      <x:c r="J80" s="85" t="n">
        <x:v>51716134.61862181</x:v>
      </x:c>
      <x:c r="K80" s="85" t="n">
        <x:v>9637.222580825823</x:v>
      </x:c>
      <x:c r="L80" s="28" t="n">
        <x:v>0</x:v>
      </x:c>
      <x:c r="M80" s="28" t="n">
        <x:v>0</x:v>
      </x:c>
      <x:c r="N80" s="28" t="n">
        <x:v>3.725290298461914e-9</x:v>
      </x:c>
      <x:c r="O80" s="28" t="n">
        <x:v>2.9802322387695312e-8</x:v>
      </x:c>
      <x:c r="P80" s="28" t="n">
        <x:v>0</x:v>
      </x:c>
      <x:c r="Q80" s="62" t="b">
        <x:v>1</x:v>
      </x:c>
      <x:c r="R80" s="28" t="n">
        <x:v>0</x:v>
      </x:c>
      <x:c r="S80" s="28" t="str">
        <x:v>9582a77b63bd117a</x:v>
      </x:c>
    </x:row>
    <x:row r="81" ht="21" customHeight="1">
      <x:c r="A81" s="60" t="n">
        <x:v>0.6</x:v>
      </x:c>
      <x:c r="B81" s="28" t="str">
        <x:v>middle_flat</x:v>
      </x:c>
      <x:c r="C81" s="60" t="n">
        <x:v>0.5</x:v>
      </x:c>
      <x:c r="D81" s="60" t="n">
        <x:v>0.5</x:v>
      </x:c>
      <x:c r="E81" s="62" t="b">
        <x:v>1</x:v>
      </x:c>
      <x:c r="F81" s="62" t="b">
        <x:v>1</x:v>
      </x:c>
      <x:c r="G81" s="85" t="n">
        <x:v>0</x:v>
      </x:c>
      <x:c r="H81" s="85" t="n">
        <x:v>0</x:v>
      </x:c>
      <x:c r="I81" s="85" t="n">
        <x:v>53723362.8993251</x:v>
      </x:c>
      <x:c r="J81" s="85" t="n">
        <x:v>60154212.36483465</x:v>
      </x:c>
      <x:c r="K81" s="85" t="n">
        <x:v>0</x:v>
      </x:c>
      <x:c r="L81" s="28" t="n">
        <x:v>1</x:v>
      </x:c>
      <x:c r="M81" s="28" t="n">
        <x:v>0</x:v>
      </x:c>
      <x:c r="N81" s="28" t="n">
        <x:v>3.725290298461914e-9</x:v>
      </x:c>
      <x:c r="O81" s="28" t="n">
        <x:v>1.4901161193847656e-8</x:v>
      </x:c>
      <x:c r="P81" s="28" t="n">
        <x:v>0</x:v>
      </x:c>
      <x:c r="Q81" s="62" t="b">
        <x:v>1</x:v>
      </x:c>
      <x:c r="R81" s="28" t="n">
        <x:v>0</x:v>
      </x:c>
      <x:c r="S81" s="28" t="str">
        <x:v>3dc32d8609b3a375</x:v>
      </x:c>
    </x:row>
    <x:row r="82" ht="21" customHeight="1">
      <x:c r="A82" s="60" t="n">
        <x:v>0.6</x:v>
      </x:c>
      <x:c r="B82" s="28" t="str">
        <x:v>middle_flat</x:v>
      </x:c>
      <x:c r="C82" s="60" t="n">
        <x:v>0.55</x:v>
      </x:c>
      <x:c r="D82" s="60" t="n">
        <x:v>0.55</x:v>
      </x:c>
      <x:c r="E82" s="62" t="b">
        <x:v>1</x:v>
      </x:c>
      <x:c r="F82" s="62" t="b">
        <x:v>1</x:v>
      </x:c>
      <x:c r="G82" s="85" t="n">
        <x:v>0</x:v>
      </x:c>
      <x:c r="H82" s="85" t="n">
        <x:v>0</x:v>
      </x:c>
      <x:c r="I82" s="85" t="n">
        <x:v>61725208.55493663</x:v>
      </x:c>
      <x:c r="J82" s="85" t="n">
        <x:v>65922924.300204225</x:v>
      </x:c>
      <x:c r="K82" s="85" t="n">
        <x:v>0</x:v>
      </x:c>
      <x:c r="L82" s="28" t="n">
        <x:v>8</x:v>
      </x:c>
      <x:c r="M82" s="28" t="n">
        <x:v>0</x:v>
      </x:c>
      <x:c r="N82" s="28" t="n">
        <x:v>1.862645149230957e-9</x:v>
      </x:c>
      <x:c r="O82" s="28" t="n">
        <x:v>2.9802322387695312e-8</x:v>
      </x:c>
      <x:c r="P82" s="28" t="n">
        <x:v>0</x:v>
      </x:c>
      <x:c r="Q82" s="62" t="b">
        <x:v>1</x:v>
      </x:c>
      <x:c r="R82" s="28" t="n">
        <x:v>0</x:v>
      </x:c>
      <x:c r="S82" s="28" t="str">
        <x:v>e65cb707e6c3ff53</x:v>
      </x:c>
    </x:row>
    <x:row r="83" ht="21" customHeight="1">
      <x:c r="A83" s="60" t="n">
        <x:v>0.6</x:v>
      </x:c>
      <x:c r="B83" s="28" t="str">
        <x:v>middle_flat</x:v>
      </x:c>
      <x:c r="C83" s="60" t="n">
        <x:v>0.6</x:v>
      </x:c>
      <x:c r="D83" s="60" t="n">
        <x:v>0.6</x:v>
      </x:c>
      <x:c r="E83" s="62" t="b">
        <x:v>1</x:v>
      </x:c>
      <x:c r="F83" s="62" t="b">
        <x:v>1</x:v>
      </x:c>
      <x:c r="G83" s="85" t="n">
        <x:v>0</x:v>
      </x:c>
      <x:c r="H83" s="85" t="n">
        <x:v>0</x:v>
      </x:c>
      <x:c r="I83" s="85" t="n">
        <x:v>68596071.99872473</x:v>
      </x:c>
      <x:c r="J83" s="85" t="n">
        <x:v>74112800.85321759</x:v>
      </x:c>
      <x:c r="K83" s="85" t="n">
        <x:v>0</x:v>
      </x:c>
      <x:c r="L83" s="28" t="n">
        <x:v>11</x:v>
      </x:c>
      <x:c r="M83" s="28" t="n">
        <x:v>0</x:v>
      </x:c>
      <x:c r="N83" s="28" t="n">
        <x:v>1.862645149230957e-9</x:v>
      </x:c>
      <x:c r="O83" s="28" t="n">
        <x:v>2.9802322387695312e-8</x:v>
      </x:c>
      <x:c r="P83" s="28" t="n">
        <x:v>0</x:v>
      </x:c>
      <x:c r="Q83" s="62" t="b">
        <x:v>1</x:v>
      </x:c>
      <x:c r="R83" s="28" t="n">
        <x:v>0</x:v>
      </x:c>
      <x:c r="S83" s="28" t="str">
        <x:v>9015c70308c95431</x:v>
      </x:c>
    </x:row>
    <x:row r="84" ht="21" customHeight="1">
      <x:c r="A84" s="60" t="n">
        <x:v>0.6</x:v>
      </x:c>
      <x:c r="B84" s="28" t="str">
        <x:v>middle_flat</x:v>
      </x:c>
      <x:c r="C84" s="60" t="n">
        <x:v>0.65</x:v>
      </x:c>
      <x:c r="D84" s="60" t="n">
        <x:v>0.65</x:v>
      </x:c>
      <x:c r="E84" s="62" t="b">
        <x:v>1</x:v>
      </x:c>
      <x:c r="F84" s="62" t="b">
        <x:v>1</x:v>
      </x:c>
      <x:c r="G84" s="85" t="n">
        <x:v>0</x:v>
      </x:c>
      <x:c r="H84" s="85" t="n">
        <x:v>0</x:v>
      </x:c>
      <x:c r="I84" s="85" t="n">
        <x:v>74973010.28999552</x:v>
      </x:c>
      <x:c r="J84" s="85" t="n">
        <x:v>83323821.57088743</x:v>
      </x:c>
      <x:c r="K84" s="85" t="n">
        <x:v>0</x:v>
      </x:c>
      <x:c r="L84" s="28" t="n">
        <x:v>15</x:v>
      </x:c>
      <x:c r="M84" s="28" t="n">
        <x:v>7</x:v>
      </x:c>
      <x:c r="N84" s="28" t="n">
        <x:v>1.862645149230957e-9</x:v>
      </x:c>
      <x:c r="O84" s="28" t="n">
        <x:v>2.9802322387695312e-8</x:v>
      </x:c>
      <x:c r="P84" s="28" t="n">
        <x:v>0</x:v>
      </x:c>
      <x:c r="Q84" s="62" t="b">
        <x:v>1</x:v>
      </x:c>
      <x:c r="R84" s="28" t="n">
        <x:v>0</x:v>
      </x:c>
      <x:c r="S84" s="28" t="str">
        <x:v>ad4dce434b6a9970</x:v>
      </x:c>
    </x:row>
    <x:row r="85" ht="21" customHeight="1">
      <x:c r="A85" s="60" t="n">
        <x:v>0.6</x:v>
      </x:c>
      <x:c r="B85" s="28" t="str">
        <x:v>middle_flat</x:v>
      </x:c>
      <x:c r="C85" s="60" t="n">
        <x:v>0.7</x:v>
      </x:c>
      <x:c r="D85" s="60" t="n">
        <x:v>0.7</x:v>
      </x:c>
      <x:c r="E85" s="62" t="b">
        <x:v>1</x:v>
      </x:c>
      <x:c r="F85" s="62" t="b">
        <x:v>0</x:v>
      </x:c>
      <x:c r="G85" s="85" t="n">
        <x:v>754689.0456864852</x:v>
      </x:c>
      <x:c r="H85" s="85" t="n">
        <x:v>4906343.760508611</x:v>
      </x:c>
      <x:c r="I85" s="85" t="n">
        <x:v>78425683.0186307</x:v>
      </x:c>
      <x:c r="J85" s="85" t="n">
        <x:v>90000000.00000001</x:v>
      </x:c>
      <x:c r="K85" s="85" t="n">
        <x:v>0</x:v>
      </x:c>
      <x:c r="L85" s="28" t="n">
        <x:v>39</x:v>
      </x:c>
      <x:c r="M85" s="28" t="n">
        <x:v>34</x:v>
      </x:c>
      <x:c r="N85" s="28" t="n">
        <x:v>1.862645149230957e-9</x:v>
      </x:c>
      <x:c r="O85" s="28" t="n">
        <x:v>1.4901161193847656e-8</x:v>
      </x:c>
      <x:c r="P85" s="28" t="n">
        <x:v>0</x:v>
      </x:c>
      <x:c r="Q85" s="62" t="b">
        <x:v>1</x:v>
      </x:c>
      <x:c r="R85" s="28" t="n">
        <x:v>0</x:v>
      </x:c>
      <x:c r="S85" s="28" t="str">
        <x:v>91833cb3b75c7516</x:v>
      </x:c>
    </x:row>
    <x:row r="86" ht="21" customHeight="1">
      <x:c r="A86" s="60" t="n">
        <x:v>0.6</x:v>
      </x:c>
      <x:c r="B86" s="28" t="str">
        <x:v>middle_flat</x:v>
      </x:c>
      <x:c r="C86" s="60" t="n">
        <x:v>0.75</x:v>
      </x:c>
      <x:c r="D86" s="60" t="n">
        <x:v>0.75</x:v>
      </x:c>
      <x:c r="E86" s="62" t="b">
        <x:v>1</x:v>
      </x:c>
      <x:c r="F86" s="62" t="b">
        <x:v>0</x:v>
      </x:c>
      <x:c r="G86" s="85" t="n">
        <x:v>2828124.9981969497</x:v>
      </x:c>
      <x:c r="H86" s="85" t="n">
        <x:v>16084017.436891828</x:v>
      </x:c>
      <x:c r="I86" s="85" t="n">
        <x:v>79614843.9771554</x:v>
      </x:c>
      <x:c r="J86" s="85" t="n">
        <x:v>90000000.00000001</x:v>
      </x:c>
      <x:c r="K86" s="85" t="n">
        <x:v>0</x:v>
      </x:c>
      <x:c r="L86" s="28" t="n">
        <x:v>40</x:v>
      </x:c>
      <x:c r="M86" s="28" t="n">
        <x:v>36</x:v>
      </x:c>
      <x:c r="N86" s="28" t="n">
        <x:v>1.862645149230957e-9</x:v>
      </x:c>
      <x:c r="O86" s="28" t="n">
        <x:v>2.9802322387695312e-8</x:v>
      </x:c>
      <x:c r="P86" s="28" t="n">
        <x:v>0</x:v>
      </x:c>
      <x:c r="Q86" s="62" t="b">
        <x:v>1</x:v>
      </x:c>
      <x:c r="R86" s="28" t="n">
        <x:v>0</x:v>
      </x:c>
      <x:c r="S86" s="28" t="str">
        <x:v>1a2053a627e37294</x:v>
      </x:c>
    </x:row>
    <x:row r="87" ht="21" customHeight="1">
      <x:c r="A87" s="60" t="n">
        <x:v>0.6</x:v>
      </x:c>
      <x:c r="B87" s="28" t="str">
        <x:v>middle_flat</x:v>
      </x:c>
      <x:c r="C87" s="60" t="n">
        <x:v>0.8</x:v>
      </x:c>
      <x:c r="D87" s="60" t="n">
        <x:v>0.8</x:v>
      </x:c>
      <x:c r="E87" s="62" t="b">
        <x:v>1</x:v>
      </x:c>
      <x:c r="F87" s="62" t="b">
        <x:v>0</x:v>
      </x:c>
      <x:c r="G87" s="85" t="n">
        <x:v>4917100.517993653</x:v>
      </x:c>
      <x:c r="H87" s="85" t="n">
        <x:v>26754342.234414723</x:v>
      </x:c>
      <x:c r="I87" s="85" t="n">
        <x:v>80933614.2412</x:v>
      </x:c>
      <x:c r="J87" s="85" t="n">
        <x:v>90000000.00000001</x:v>
      </x:c>
      <x:c r="K87" s="85" t="n">
        <x:v>0</x:v>
      </x:c>
      <x:c r="L87" s="28" t="n">
        <x:v>41</x:v>
      </x:c>
      <x:c r="M87" s="28" t="n">
        <x:v>36</x:v>
      </x:c>
      <x:c r="N87" s="28" t="n">
        <x:v>1.862645149230957e-9</x:v>
      </x:c>
      <x:c r="O87" s="28" t="n">
        <x:v>1.4901161193847656e-8</x:v>
      </x:c>
      <x:c r="P87" s="28" t="n">
        <x:v>0</x:v>
      </x:c>
      <x:c r="Q87" s="62" t="b">
        <x:v>1</x:v>
      </x:c>
      <x:c r="R87" s="28" t="n">
        <x:v>0</x:v>
      </x:c>
      <x:c r="S87" s="28" t="str">
        <x:v>1c5af14e32e62484</x:v>
      </x:c>
    </x:row>
    <x:row r="88" ht="21" customHeight="1">
      <x:c r="A88" s="60" t="n">
        <x:v>0.6</x:v>
      </x:c>
      <x:c r="B88" s="28" t="str">
        <x:v>middle_flat</x:v>
      </x:c>
      <x:c r="C88" s="60" t="n">
        <x:v>0.85</x:v>
      </x:c>
      <x:c r="D88" s="60" t="n">
        <x:v>0.85</x:v>
      </x:c>
      <x:c r="E88" s="62" t="b">
        <x:v>1</x:v>
      </x:c>
      <x:c r="F88" s="62" t="b">
        <x:v>0</x:v>
      </x:c>
      <x:c r="G88" s="85" t="n">
        <x:v>7522197.033560602</x:v>
      </x:c>
      <x:c r="H88" s="85" t="n">
        <x:v>38474959.51955226</x:v>
      </x:c>
      <x:c r="I88" s="85" t="n">
        <x:v>81159817.40822431</x:v>
      </x:c>
      <x:c r="J88" s="85" t="n">
        <x:v>90000000.00000001</x:v>
      </x:c>
      <x:c r="K88" s="85" t="n">
        <x:v>0</x:v>
      </x:c>
      <x:c r="L88" s="28" t="n">
        <x:v>41</x:v>
      </x:c>
      <x:c r="M88" s="28" t="n">
        <x:v>37</x:v>
      </x:c>
      <x:c r="N88" s="28" t="n">
        <x:v>1.862645149230957e-9</x:v>
      </x:c>
      <x:c r="O88" s="28" t="n">
        <x:v>2.9802322387695312e-8</x:v>
      </x:c>
      <x:c r="P88" s="28" t="n">
        <x:v>0</x:v>
      </x:c>
      <x:c r="Q88" s="62" t="b">
        <x:v>1</x:v>
      </x:c>
      <x:c r="R88" s="28" t="n">
        <x:v>0</x:v>
      </x:c>
      <x:c r="S88" s="28" t="str">
        <x:v>66c448e0f2fbe4be</x:v>
      </x:c>
    </x:row>
    <x:row r="89" ht="21" customHeight="1">
      <x:c r="A89" s="60" t="n">
        <x:v>0.6</x:v>
      </x:c>
      <x:c r="B89" s="28" t="str">
        <x:v>middle_flat</x:v>
      </x:c>
      <x:c r="C89" s="60" t="n">
        <x:v>0.9</x:v>
      </x:c>
      <x:c r="D89" s="60" t="n">
        <x:v>0.9</x:v>
      </x:c>
      <x:c r="E89" s="62" t="b">
        <x:v>1</x:v>
      </x:c>
      <x:c r="F89" s="62" t="b">
        <x:v>0</x:v>
      </x:c>
      <x:c r="G89" s="85" t="n">
        <x:v>11600680.75637249</x:v>
      </x:c>
      <x:c r="H89" s="85" t="n">
        <x:v>49326219.189713724</x:v>
      </x:c>
      <x:c r="I89" s="85" t="n">
        <x:v>81400484.69565411</x:v>
      </x:c>
      <x:c r="J89" s="85" t="n">
        <x:v>90000000.00000001</x:v>
      </x:c>
      <x:c r="K89" s="85" t="n">
        <x:v>0</x:v>
      </x:c>
      <x:c r="L89" s="28" t="n">
        <x:v>41</x:v>
      </x:c>
      <x:c r="M89" s="28" t="n">
        <x:v>38</x:v>
      </x:c>
      <x:c r="N89" s="28" t="n">
        <x:v>1.862645149230957e-9</x:v>
      </x:c>
      <x:c r="O89" s="28" t="n">
        <x:v>2.9802322387695312e-8</x:v>
      </x:c>
      <x:c r="P89" s="28" t="n">
        <x:v>0</x:v>
      </x:c>
      <x:c r="Q89" s="62" t="b">
        <x:v>1</x:v>
      </x:c>
      <x:c r="R89" s="28" t="n">
        <x:v>0</x:v>
      </x:c>
      <x:c r="S89" s="28" t="str">
        <x:v>27639fce131f70f5</x:v>
      </x:c>
    </x:row>
    <x:row r="90" ht="21" customHeight="1">
      <x:c r="A90" s="60" t="n">
        <x:v>0.6</x:v>
      </x:c>
      <x:c r="B90" s="28" t="str">
        <x:v>middle_flat</x:v>
      </x:c>
      <x:c r="C90" s="60" t="n">
        <x:v>0.95</x:v>
      </x:c>
      <x:c r="D90" s="60" t="n">
        <x:v>0.9361238209331334</x:v>
      </x:c>
      <x:c r="E90" s="62" t="b">
        <x:v>0</x:v>
      </x:c>
      <x:c r="F90" s="62" t="b">
        <x:v>0</x:v>
      </x:c>
      <x:c r="G90" s="85" t="n">
        <x:v>14322152.823259136</x:v>
      </x:c>
      <x:c r="H90" s="85" t="n">
        <x:v>54225818.22838872</x:v>
      </x:c>
      <x:c r="I90" s="85" t="n">
        <x:v>82536245.6139701</x:v>
      </x:c>
      <x:c r="J90" s="85" t="n">
        <x:v>90000000.00000001</x:v>
      </x:c>
      <x:c r="K90" s="85" t="n">
        <x:v>0</x:v>
      </x:c>
      <x:c r="L90" s="28" t="n">
        <x:v>42</x:v>
      </x:c>
      <x:c r="M90" s="28" t="n">
        <x:v>38</x:v>
      </x:c>
      <x:c r="N90" s="28" t="n">
        <x:v>1.862645149230957e-9</x:v>
      </x:c>
      <x:c r="O90" s="28" t="n">
        <x:v>1.4901161193847656e-8</x:v>
      </x:c>
      <x:c r="P90" s="28" t="n">
        <x:v>0</x:v>
      </x:c>
      <x:c r="Q90" s="62" t="b">
        <x:v>1</x:v>
      </x:c>
      <x:c r="R90" s="28" t="n">
        <x:v>4162853.720059991</x:v>
      </x:c>
      <x:c r="S90" s="28" t="str">
        <x:v>d10823c7c9b1de80</x:v>
      </x:c>
    </x:row>
    <x:row r="91" ht="21" customHeight="1">
      <x:c r="A91" s="60" t="n">
        <x:v>0.6</x:v>
      </x:c>
      <x:c r="B91" s="28" t="str">
        <x:v>middle_flat</x:v>
      </x:c>
      <x:c r="C91" s="60" t="n">
        <x:v>1</x:v>
      </x:c>
      <x:c r="D91" s="60" t="n">
        <x:v>0.9498342654879072</x:v>
      </x:c>
      <x:c r="E91" s="62" t="b">
        <x:v>0</x:v>
      </x:c>
      <x:c r="F91" s="62" t="b">
        <x:v>0</x:v>
      </x:c>
      <x:c r="G91" s="85" t="n">
        <x:v>15837830.173722379</x:v>
      </x:c>
      <x:c r="H91" s="85" t="n">
        <x:v>57547963.339790836</x:v>
      </x:c>
      <x:c r="I91" s="85" t="n">
        <x:v>82713246.0317926</x:v>
      </x:c>
      <x:c r="J91" s="85" t="n">
        <x:v>90000000.00000001</x:v>
      </x:c>
      <x:c r="K91" s="85" t="n">
        <x:v>0</x:v>
      </x:c>
      <x:c r="L91" s="28" t="n">
        <x:v>42</x:v>
      </x:c>
      <x:c r="M91" s="28" t="n">
        <x:v>39</x:v>
      </x:c>
      <x:c r="N91" s="28" t="n">
        <x:v>1.862645149230957e-9</x:v>
      </x:c>
      <x:c r="O91" s="28" t="n">
        <x:v>1.4901161193847656e-8</x:v>
      </x:c>
      <x:c r="P91" s="28" t="n">
        <x:v>0</x:v>
      </x:c>
      <x:c r="Q91" s="62" t="b">
        <x:v>1</x:v>
      </x:c>
      <x:c r="R91" s="28" t="n">
        <x:v>15049720.35362786</x:v>
      </x:c>
      <x:c r="S91" s="28" t="str">
        <x:v>9f4c098cf0f9c7fb</x:v>
      </x:c>
    </x:row>
    <x:row r="92" ht="21" customHeight="1">
      <x:c r="A92" s="60" t="n">
        <x:v>0.6</x:v>
      </x:c>
      <x:c r="B92" s="28" t="str">
        <x:v>middle_low</x:v>
      </x:c>
      <x:c r="C92" s="60" t="n">
        <x:v>0</x:v>
      </x:c>
      <x:c r="D92" s="60" t="n">
        <x:v>0</x:v>
      </x:c>
      <x:c r="E92" s="62" t="b">
        <x:v>1</x:v>
      </x:c>
      <x:c r="F92" s="62" t="b">
        <x:v>1</x:v>
      </x:c>
      <x:c r="G92" s="85" t="n">
        <x:v>0</x:v>
      </x:c>
      <x:c r="H92" s="85" t="n">
        <x:v>0</x:v>
      </x:c>
      <x:c r="I92" s="85" t="n">
        <x:v>0</x:v>
      </x:c>
      <x:c r="J92" s="85" t="n">
        <x:v>0</x:v>
      </x:c>
      <x:c r="K92" s="85" t="n">
        <x:v>25874484.34041092</x:v>
      </x:c>
      <x:c r="L92" s="28" t="n">
        <x:v>0</x:v>
      </x:c>
      <x:c r="M92" s="28" t="n">
        <x:v>0</x:v>
      </x:c>
      <x:c r="N92" s="28" t="n">
        <x:v>1.862645149230957e-9</x:v>
      </x:c>
      <x:c r="O92" s="28" t="n">
        <x:v>0</x:v>
      </x:c>
      <x:c r="P92" s="28" t="n">
        <x:v>0</x:v>
      </x:c>
      <x:c r="Q92" s="62" t="b">
        <x:v>1</x:v>
      </x:c>
      <x:c r="R92" s="28" t="n">
        <x:v>0</x:v>
      </x:c>
      <x:c r="S92" s="28" t="str">
        <x:v>c90e62642e49eb8e</x:v>
      </x:c>
    </x:row>
    <x:row r="93" ht="21" customHeight="1">
      <x:c r="A93" s="60" t="n">
        <x:v>0.6</x:v>
      </x:c>
      <x:c r="B93" s="28" t="str">
        <x:v>middle_low</x:v>
      </x:c>
      <x:c r="C93" s="60" t="n">
        <x:v>0.05</x:v>
      </x:c>
      <x:c r="D93" s="60" t="n">
        <x:v>0.05</x:v>
      </x:c>
      <x:c r="E93" s="62" t="b">
        <x:v>1</x:v>
      </x:c>
      <x:c r="F93" s="62" t="b">
        <x:v>1</x:v>
      </x:c>
      <x:c r="G93" s="85" t="n">
        <x:v>0</x:v>
      </x:c>
      <x:c r="H93" s="85" t="n">
        <x:v>0</x:v>
      </x:c>
      <x:c r="I93" s="85" t="n">
        <x:v>0</x:v>
      </x:c>
      <x:c r="J93" s="85" t="n">
        <x:v>0</x:v>
      </x:c>
      <x:c r="K93" s="85" t="n">
        <x:v>15111886.118770879</x:v>
      </x:c>
      <x:c r="L93" s="28" t="n">
        <x:v>0</x:v>
      </x:c>
      <x:c r="M93" s="28" t="n">
        <x:v>0</x:v>
      </x:c>
      <x:c r="N93" s="28" t="n">
        <x:v>3.725290298461914e-9</x:v>
      </x:c>
      <x:c r="O93" s="28" t="n">
        <x:v>2.9802322387695312e-8</x:v>
      </x:c>
      <x:c r="P93" s="28" t="n">
        <x:v>0</x:v>
      </x:c>
      <x:c r="Q93" s="62" t="b">
        <x:v>1</x:v>
      </x:c>
      <x:c r="R93" s="28" t="n">
        <x:v>0</x:v>
      </x:c>
      <x:c r="S93" s="28" t="str">
        <x:v>2f07d2255861f2ea</x:v>
      </x:c>
    </x:row>
    <x:row r="94" ht="21" customHeight="1">
      <x:c r="A94" s="60" t="n">
        <x:v>0.6</x:v>
      </x:c>
      <x:c r="B94" s="28" t="str">
        <x:v>middle_low</x:v>
      </x:c>
      <x:c r="C94" s="60" t="n">
        <x:v>0.1</x:v>
      </x:c>
      <x:c r="D94" s="60" t="n">
        <x:v>0.1</x:v>
      </x:c>
      <x:c r="E94" s="62" t="b">
        <x:v>1</x:v>
      </x:c>
      <x:c r="F94" s="62" t="b">
        <x:v>1</x:v>
      </x:c>
      <x:c r="G94" s="85" t="n">
        <x:v>0</x:v>
      </x:c>
      <x:c r="H94" s="85" t="n">
        <x:v>0</x:v>
      </x:c>
      <x:c r="I94" s="85" t="n">
        <x:v>0</x:v>
      </x:c>
      <x:c r="J94" s="85" t="n">
        <x:v>0</x:v>
      </x:c>
      <x:c r="K94" s="85" t="n">
        <x:v>4265403.1016947385</x:v>
      </x:c>
      <x:c r="L94" s="28" t="n">
        <x:v>0</x:v>
      </x:c>
      <x:c r="M94" s="28" t="n">
        <x:v>0</x:v>
      </x:c>
      <x:c r="N94" s="28" t="n">
        <x:v>1.862645149230957e-9</x:v>
      </x:c>
      <x:c r="O94" s="28" t="n">
        <x:v>5.960464477539063e-8</x:v>
      </x:c>
      <x:c r="P94" s="28" t="n">
        <x:v>0</x:v>
      </x:c>
      <x:c r="Q94" s="62" t="b">
        <x:v>1</x:v>
      </x:c>
      <x:c r="R94" s="28" t="n">
        <x:v>0</x:v>
      </x:c>
      <x:c r="S94" s="28" t="str">
        <x:v>2607c3ba714f4f18</x:v>
      </x:c>
    </x:row>
    <x:row r="95" ht="21" customHeight="1">
      <x:c r="A95" s="60" t="n">
        <x:v>0.6</x:v>
      </x:c>
      <x:c r="B95" s="28" t="str">
        <x:v>middle_low</x:v>
      </x:c>
      <x:c r="C95" s="60" t="n">
        <x:v>0.15</x:v>
      </x:c>
      <x:c r="D95" s="60" t="n">
        <x:v>0.15</x:v>
      </x:c>
      <x:c r="E95" s="62" t="b">
        <x:v>1</x:v>
      </x:c>
      <x:c r="F95" s="62" t="b">
        <x:v>1</x:v>
      </x:c>
      <x:c r="G95" s="85" t="n">
        <x:v>0</x:v>
      </x:c>
      <x:c r="H95" s="85" t="n">
        <x:v>0</x:v>
      </x:c>
      <x:c r="I95" s="85" t="n">
        <x:v>4727872.292982255</x:v>
      </x:c>
      <x:c r="J95" s="85" t="n">
        <x:v>0</x:v>
      </x:c>
      <x:c r="K95" s="85" t="n">
        <x:v>0</x:v>
      </x:c>
      <x:c r="L95" s="28" t="n">
        <x:v>0</x:v>
      </x:c>
      <x:c r="M95" s="28" t="n">
        <x:v>0</x:v>
      </x:c>
      <x:c r="N95" s="28" t="n">
        <x:v>1.862645149230957e-9</x:v>
      </x:c>
      <x:c r="O95" s="28" t="n">
        <x:v>2.9802322387695312e-8</x:v>
      </x:c>
      <x:c r="P95" s="28" t="n">
        <x:v>0</x:v>
      </x:c>
      <x:c r="Q95" s="62" t="b">
        <x:v>1</x:v>
      </x:c>
      <x:c r="R95" s="28" t="n">
        <x:v>0</x:v>
      </x:c>
      <x:c r="S95" s="28" t="str">
        <x:v>41c7d6932eed5aee</x:v>
      </x:c>
    </x:row>
    <x:row r="96" ht="21" customHeight="1">
      <x:c r="A96" s="60" t="n">
        <x:v>0.6</x:v>
      </x:c>
      <x:c r="B96" s="28" t="str">
        <x:v>middle_low</x:v>
      </x:c>
      <x:c r="C96" s="60" t="n">
        <x:v>0.2</x:v>
      </x:c>
      <x:c r="D96" s="60" t="n">
        <x:v>0.2</x:v>
      </x:c>
      <x:c r="E96" s="62" t="b">
        <x:v>1</x:v>
      </x:c>
      <x:c r="F96" s="62" t="b">
        <x:v>1</x:v>
      </x:c>
      <x:c r="G96" s="85" t="n">
        <x:v>0</x:v>
      </x:c>
      <x:c r="H96" s="85" t="n">
        <x:v>0</x:v>
      </x:c>
      <x:c r="I96" s="85" t="n">
        <x:v>11254445.056886327</x:v>
      </x:c>
      <x:c r="J96" s="85" t="n">
        <x:v>6318282.052720871</x:v>
      </x:c>
      <x:c r="K96" s="85" t="n">
        <x:v>0</x:v>
      </x:c>
      <x:c r="L96" s="28" t="n">
        <x:v>0</x:v>
      </x:c>
      <x:c r="M96" s="28" t="n">
        <x:v>0</x:v>
      </x:c>
      <x:c r="N96" s="28" t="n">
        <x:v>1.862645149230957e-9</x:v>
      </x:c>
      <x:c r="O96" s="28" t="n">
        <x:v>2.9802322387695312e-8</x:v>
      </x:c>
      <x:c r="P96" s="28" t="n">
        <x:v>0</x:v>
      </x:c>
      <x:c r="Q96" s="62" t="b">
        <x:v>1</x:v>
      </x:c>
      <x:c r="R96" s="28" t="n">
        <x:v>0</x:v>
      </x:c>
      <x:c r="S96" s="28" t="str">
        <x:v>b09855adcba314f0</x:v>
      </x:c>
    </x:row>
    <x:row r="97" ht="21" customHeight="1">
      <x:c r="A97" s="60" t="n">
        <x:v>0.6</x:v>
      </x:c>
      <x:c r="B97" s="28" t="str">
        <x:v>middle_low</x:v>
      </x:c>
      <x:c r="C97" s="60" t="n">
        <x:v>0.25</x:v>
      </x:c>
      <x:c r="D97" s="60" t="n">
        <x:v>0.25</x:v>
      </x:c>
      <x:c r="E97" s="62" t="b">
        <x:v>1</x:v>
      </x:c>
      <x:c r="F97" s="62" t="b">
        <x:v>1</x:v>
      </x:c>
      <x:c r="G97" s="85" t="n">
        <x:v>0</x:v>
      </x:c>
      <x:c r="H97" s="85" t="n">
        <x:v>0</x:v>
      </x:c>
      <x:c r="I97" s="85" t="n">
        <x:v>15610576.560922958</x:v>
      </x:c>
      <x:c r="J97" s="85" t="n">
        <x:v>15397852.565901024</x:v>
      </x:c>
      <x:c r="K97" s="85" t="n">
        <x:v>0</x:v>
      </x:c>
      <x:c r="L97" s="28" t="n">
        <x:v>0</x:v>
      </x:c>
      <x:c r="M97" s="28" t="n">
        <x:v>0</x:v>
      </x:c>
      <x:c r="N97" s="28" t="n">
        <x:v>9.313225746154785e-10</x:v>
      </x:c>
      <x:c r="O97" s="28" t="n">
        <x:v>2.9802322387695312e-8</x:v>
      </x:c>
      <x:c r="P97" s="28" t="n">
        <x:v>0</x:v>
      </x:c>
      <x:c r="Q97" s="62" t="b">
        <x:v>1</x:v>
      </x:c>
      <x:c r="R97" s="28" t="n">
        <x:v>0</x:v>
      </x:c>
      <x:c r="S97" s="28" t="str">
        <x:v>c451b7c06eebd53e</x:v>
      </x:c>
    </x:row>
    <x:row r="98" ht="21" customHeight="1">
      <x:c r="A98" s="60" t="n">
        <x:v>0.6</x:v>
      </x:c>
      <x:c r="B98" s="28" t="str">
        <x:v>middle_low</x:v>
      </x:c>
      <x:c r="C98" s="60" t="n">
        <x:v>0.3</x:v>
      </x:c>
      <x:c r="D98" s="60" t="n">
        <x:v>0.3</x:v>
      </x:c>
      <x:c r="E98" s="62" t="b">
        <x:v>1</x:v>
      </x:c>
      <x:c r="F98" s="62" t="b">
        <x:v>1</x:v>
      </x:c>
      <x:c r="G98" s="85" t="n">
        <x:v>0</x:v>
      </x:c>
      <x:c r="H98" s="85" t="n">
        <x:v>0</x:v>
      </x:c>
      <x:c r="I98" s="85" t="n">
        <x:v>19998289.893518485</x:v>
      </x:c>
      <x:c r="J98" s="85" t="n">
        <x:v>24477423.079081148</x:v>
      </x:c>
      <x:c r="K98" s="85" t="n">
        <x:v>0</x:v>
      </x:c>
      <x:c r="L98" s="28" t="n">
        <x:v>0</x:v>
      </x:c>
      <x:c r="M98" s="28" t="n">
        <x:v>0</x:v>
      </x:c>
      <x:c r="N98" s="28" t="n">
        <x:v>1.862645149230957e-9</x:v>
      </x:c>
      <x:c r="O98" s="28" t="n">
        <x:v>2.9802322387695312e-8</x:v>
      </x:c>
      <x:c r="P98" s="28" t="n">
        <x:v>0</x:v>
      </x:c>
      <x:c r="Q98" s="62" t="b">
        <x:v>1</x:v>
      </x:c>
      <x:c r="R98" s="28" t="n">
        <x:v>0</x:v>
      </x:c>
      <x:c r="S98" s="28" t="str">
        <x:v>8f0ec8ac458f760b</x:v>
      </x:c>
    </x:row>
    <x:row r="99" ht="21" customHeight="1">
      <x:c r="A99" s="60" t="n">
        <x:v>0.6</x:v>
      </x:c>
      <x:c r="B99" s="28" t="str">
        <x:v>middle_low</x:v>
      </x:c>
      <x:c r="C99" s="60" t="n">
        <x:v>0.35</x:v>
      </x:c>
      <x:c r="D99" s="60" t="n">
        <x:v>0.35</x:v>
      </x:c>
      <x:c r="E99" s="62" t="b">
        <x:v>1</x:v>
      </x:c>
      <x:c r="F99" s="62" t="b">
        <x:v>1</x:v>
      </x:c>
      <x:c r="G99" s="85" t="n">
        <x:v>0</x:v>
      </x:c>
      <x:c r="H99" s="85" t="n">
        <x:v>0</x:v>
      </x:c>
      <x:c r="I99" s="85" t="n">
        <x:v>24386003.226114035</x:v>
      </x:c>
      <x:c r="J99" s="85" t="n">
        <x:v>33556993.59226132</x:v>
      </x:c>
      <x:c r="K99" s="85" t="n">
        <x:v>0</x:v>
      </x:c>
      <x:c r="L99" s="28" t="n">
        <x:v>0</x:v>
      </x:c>
      <x:c r="M99" s="28" t="n">
        <x:v>0</x:v>
      </x:c>
      <x:c r="N99" s="28" t="n">
        <x:v>3.725290298461914e-9</x:v>
      </x:c>
      <x:c r="O99" s="28" t="n">
        <x:v>2.9802322387695312e-8</x:v>
      </x:c>
      <x:c r="P99" s="28" t="n">
        <x:v>0</x:v>
      </x:c>
      <x:c r="Q99" s="62" t="b">
        <x:v>1</x:v>
      </x:c>
      <x:c r="R99" s="28" t="n">
        <x:v>0</x:v>
      </x:c>
      <x:c r="S99" s="28" t="str">
        <x:v>b8d3913998909c01</x:v>
      </x:c>
    </x:row>
    <x:row r="100" ht="21" customHeight="1">
      <x:c r="A100" s="60" t="n">
        <x:v>0.6</x:v>
      </x:c>
      <x:c r="B100" s="28" t="str">
        <x:v>middle_low</x:v>
      </x:c>
      <x:c r="C100" s="60" t="n">
        <x:v>0.4</x:v>
      </x:c>
      <x:c r="D100" s="60" t="n">
        <x:v>0.4</x:v>
      </x:c>
      <x:c r="E100" s="62" t="b">
        <x:v>1</x:v>
      </x:c>
      <x:c r="F100" s="62" t="b">
        <x:v>1</x:v>
      </x:c>
      <x:c r="G100" s="85" t="n">
        <x:v>0</x:v>
      </x:c>
      <x:c r="H100" s="85" t="n">
        <x:v>0</x:v>
      </x:c>
      <x:c r="I100" s="85" t="n">
        <x:v>28773716.558709584</x:v>
      </x:c>
      <x:c r="J100" s="85" t="n">
        <x:v>42636564.10544156</x:v>
      </x:c>
      <x:c r="K100" s="85" t="n">
        <x:v>0</x:v>
      </x:c>
      <x:c r="L100" s="28" t="n">
        <x:v>0</x:v>
      </x:c>
      <x:c r="M100" s="28" t="n">
        <x:v>0</x:v>
      </x:c>
      <x:c r="N100" s="28" t="n">
        <x:v>1.862645149230957e-9</x:v>
      </x:c>
      <x:c r="O100" s="28" t="n">
        <x:v>2.9802322387695312e-8</x:v>
      </x:c>
      <x:c r="P100" s="28" t="n">
        <x:v>0</x:v>
      </x:c>
      <x:c r="Q100" s="62" t="b">
        <x:v>1</x:v>
      </x:c>
      <x:c r="R100" s="28" t="n">
        <x:v>0</x:v>
      </x:c>
      <x:c r="S100" s="28" t="str">
        <x:v>736383389a5e546c</x:v>
      </x:c>
    </x:row>
    <x:row r="101" ht="21" customHeight="1">
      <x:c r="A101" s="60" t="n">
        <x:v>0.6</x:v>
      </x:c>
      <x:c r="B101" s="28" t="str">
        <x:v>middle_low</x:v>
      </x:c>
      <x:c r="C101" s="60" t="n">
        <x:v>0.45</x:v>
      </x:c>
      <x:c r="D101" s="60" t="n">
        <x:v>0.45</x:v>
      </x:c>
      <x:c r="E101" s="62" t="b">
        <x:v>1</x:v>
      </x:c>
      <x:c r="F101" s="62" t="b">
        <x:v>1</x:v>
      </x:c>
      <x:c r="G101" s="85" t="n">
        <x:v>0</x:v>
      </x:c>
      <x:c r="H101" s="85" t="n">
        <x:v>0</x:v>
      </x:c>
      <x:c r="I101" s="85" t="n">
        <x:v>33133865.952292558</x:v>
      </x:c>
      <x:c r="J101" s="85" t="n">
        <x:v>51716134.61862181</x:v>
      </x:c>
      <x:c r="K101" s="85" t="n">
        <x:v>0</x:v>
      </x:c>
      <x:c r="L101" s="28" t="n">
        <x:v>0</x:v>
      </x:c>
      <x:c r="M101" s="28" t="n">
        <x:v>0</x:v>
      </x:c>
      <x:c r="N101" s="28" t="n">
        <x:v>1.862645149230957e-9</x:v>
      </x:c>
      <x:c r="O101" s="28" t="n">
        <x:v>2.9802322387695312e-8</x:v>
      </x:c>
      <x:c r="P101" s="28" t="n">
        <x:v>0</x:v>
      </x:c>
      <x:c r="Q101" s="62" t="b">
        <x:v>1</x:v>
      </x:c>
      <x:c r="R101" s="28" t="n">
        <x:v>0</x:v>
      </x:c>
      <x:c r="S101" s="28" t="str">
        <x:v>be2fc6b56a3eae55</x:v>
      </x:c>
    </x:row>
    <x:row r="102" ht="21" customHeight="1">
      <x:c r="A102" s="60" t="n">
        <x:v>0.6</x:v>
      </x:c>
      <x:c r="B102" s="28" t="str">
        <x:v>middle_low</x:v>
      </x:c>
      <x:c r="C102" s="60" t="n">
        <x:v>0.5</x:v>
      </x:c>
      <x:c r="D102" s="60" t="n">
        <x:v>0.5</x:v>
      </x:c>
      <x:c r="E102" s="62" t="b">
        <x:v>1</x:v>
      </x:c>
      <x:c r="F102" s="62" t="b">
        <x:v>1</x:v>
      </x:c>
      <x:c r="G102" s="85" t="n">
        <x:v>0</x:v>
      </x:c>
      <x:c r="H102" s="85" t="n">
        <x:v>0</x:v>
      </x:c>
      <x:c r="I102" s="85" t="n">
        <x:v>37789110.81814105</x:v>
      </x:c>
      <x:c r="J102" s="85" t="n">
        <x:v>60279020.37397732</x:v>
      </x:c>
      <x:c r="K102" s="85" t="n">
        <x:v>0</x:v>
      </x:c>
      <x:c r="L102" s="28" t="n">
        <x:v>1</x:v>
      </x:c>
      <x:c r="M102" s="28" t="n">
        <x:v>0</x:v>
      </x:c>
      <x:c r="N102" s="28" t="n">
        <x:v>1.862645149230957e-9</x:v>
      </x:c>
      <x:c r="O102" s="28" t="n">
        <x:v>1.4901161193847656e-8</x:v>
      </x:c>
      <x:c r="P102" s="28" t="n">
        <x:v>0</x:v>
      </x:c>
      <x:c r="Q102" s="62" t="b">
        <x:v>1</x:v>
      </x:c>
      <x:c r="R102" s="28" t="n">
        <x:v>0</x:v>
      </x:c>
      <x:c r="S102" s="28" t="str">
        <x:v>bd92feba1d3a08c6</x:v>
      </x:c>
    </x:row>
    <x:row r="103" ht="21" customHeight="1">
      <x:c r="A103" s="60" t="n">
        <x:v>0.6</x:v>
      </x:c>
      <x:c r="B103" s="28" t="str">
        <x:v>middle_low</x:v>
      </x:c>
      <x:c r="C103" s="60" t="n">
        <x:v>0.55</x:v>
      </x:c>
      <x:c r="D103" s="60" t="n">
        <x:v>0.55</x:v>
      </x:c>
      <x:c r="E103" s="62" t="b">
        <x:v>1</x:v>
      </x:c>
      <x:c r="F103" s="62" t="b">
        <x:v>1</x:v>
      </x:c>
      <x:c r="G103" s="85" t="n">
        <x:v>0</x:v>
      </x:c>
      <x:c r="H103" s="85" t="n">
        <x:v>0</x:v>
      </x:c>
      <x:c r="I103" s="85" t="n">
        <x:v>43793372.69250906</x:v>
      </x:c>
      <x:c r="J103" s="85" t="n">
        <x:v>66612584.630140476</x:v>
      </x:c>
      <x:c r="K103" s="85" t="n">
        <x:v>0</x:v>
      </x:c>
      <x:c r="L103" s="28" t="n">
        <x:v>8</x:v>
      </x:c>
      <x:c r="M103" s="28" t="n">
        <x:v>0</x:v>
      </x:c>
      <x:c r="N103" s="28" t="n">
        <x:v>1.862645149230957e-9</x:v>
      </x:c>
      <x:c r="O103" s="28" t="n">
        <x:v>2.9802322387695312e-8</x:v>
      </x:c>
      <x:c r="P103" s="28" t="n">
        <x:v>0</x:v>
      </x:c>
      <x:c r="Q103" s="62" t="b">
        <x:v>1</x:v>
      </x:c>
      <x:c r="R103" s="28" t="n">
        <x:v>0</x:v>
      </x:c>
      <x:c r="S103" s="28" t="str">
        <x:v>eaa6dcd13874e07a</x:v>
      </x:c>
    </x:row>
    <x:row r="104" ht="21" customHeight="1">
      <x:c r="A104" s="60" t="n">
        <x:v>0.6</x:v>
      </x:c>
      <x:c r="B104" s="28" t="str">
        <x:v>middle_low</x:v>
      </x:c>
      <x:c r="C104" s="60" t="n">
        <x:v>0.6</x:v>
      </x:c>
      <x:c r="D104" s="60" t="n">
        <x:v>0.6</x:v>
      </x:c>
      <x:c r="E104" s="62" t="b">
        <x:v>1</x:v>
      </x:c>
      <x:c r="F104" s="62" t="b">
        <x:v>1</x:v>
      </x:c>
      <x:c r="G104" s="85" t="n">
        <x:v>0</x:v>
      </x:c>
      <x:c r="H104" s="85" t="n">
        <x:v>0</x:v>
      </x:c>
      <x:c r="I104" s="85" t="n">
        <x:v>48729829.636369415</x:v>
      </x:c>
      <x:c r="J104" s="85" t="n">
        <x:v>74586316.27108377</x:v>
      </x:c>
      <x:c r="K104" s="85" t="n">
        <x:v>0</x:v>
      </x:c>
      <x:c r="L104" s="28" t="n">
        <x:v>12</x:v>
      </x:c>
      <x:c r="M104" s="28" t="n">
        <x:v>0</x:v>
      </x:c>
      <x:c r="N104" s="28" t="n">
        <x:v>1.862645149230957e-9</x:v>
      </x:c>
      <x:c r="O104" s="28" t="n">
        <x:v>2.9802322387695312e-8</x:v>
      </x:c>
      <x:c r="P104" s="28" t="n">
        <x:v>0</x:v>
      </x:c>
      <x:c r="Q104" s="62" t="b">
        <x:v>1</x:v>
      </x:c>
      <x:c r="R104" s="28" t="n">
        <x:v>0</x:v>
      </x:c>
      <x:c r="S104" s="28" t="str">
        <x:v>068f8400da91c369</x:v>
      </x:c>
    </x:row>
    <x:row r="105" ht="21" customHeight="1">
      <x:c r="A105" s="60" t="n">
        <x:v>0.6</x:v>
      </x:c>
      <x:c r="B105" s="28" t="str">
        <x:v>middle_low</x:v>
      </x:c>
      <x:c r="C105" s="60" t="n">
        <x:v>0.65</x:v>
      </x:c>
      <x:c r="D105" s="60" t="n">
        <x:v>0.65</x:v>
      </x:c>
      <x:c r="E105" s="62" t="b">
        <x:v>1</x:v>
      </x:c>
      <x:c r="F105" s="62" t="b">
        <x:v>1</x:v>
      </x:c>
      <x:c r="G105" s="85" t="n">
        <x:v>0</x:v>
      </x:c>
      <x:c r="H105" s="85" t="n">
        <x:v>0</x:v>
      </x:c>
      <x:c r="I105" s="85" t="n">
        <x:v>52957127.9401191</x:v>
      </x:c>
      <x:c r="J105" s="85" t="n">
        <x:v>83561457.96957505</x:v>
      </x:c>
      <x:c r="K105" s="85" t="n">
        <x:v>0</x:v>
      </x:c>
      <x:c r="L105" s="28" t="n">
        <x:v>15</x:v>
      </x:c>
      <x:c r="M105" s="28" t="n">
        <x:v>0</x:v>
      </x:c>
      <x:c r="N105" s="28" t="n">
        <x:v>1.862645149230957e-9</x:v>
      </x:c>
      <x:c r="O105" s="28" t="n">
        <x:v>2.9802322387695312e-8</x:v>
      </x:c>
      <x:c r="P105" s="28" t="n">
        <x:v>0</x:v>
      </x:c>
      <x:c r="Q105" s="62" t="b">
        <x:v>1</x:v>
      </x:c>
      <x:c r="R105" s="28" t="n">
        <x:v>0</x:v>
      </x:c>
      <x:c r="S105" s="28" t="str">
        <x:v>d7b66630666b5102</x:v>
      </x:c>
    </x:row>
    <x:row r="106" ht="21" customHeight="1">
      <x:c r="A106" s="60" t="n">
        <x:v>0.6</x:v>
      </x:c>
      <x:c r="B106" s="28" t="str">
        <x:v>middle_low</x:v>
      </x:c>
      <x:c r="C106" s="60" t="n">
        <x:v>0.7</x:v>
      </x:c>
      <x:c r="D106" s="60" t="n">
        <x:v>0.7</x:v>
      </x:c>
      <x:c r="E106" s="62" t="b">
        <x:v>1</x:v>
      </x:c>
      <x:c r="F106" s="62" t="b">
        <x:v>0</x:v>
      </x:c>
      <x:c r="G106" s="85" t="n">
        <x:v>251532.20686721522</x:v>
      </x:c>
      <x:c r="H106" s="85" t="n">
        <x:v>3776820.590557999</x:v>
      </x:c>
      <x:c r="I106" s="85" t="n">
        <x:v>55259938.195766345</x:v>
      </x:c>
      <x:c r="J106" s="85" t="n">
        <x:v>90000000.00000001</x:v>
      </x:c>
      <x:c r="K106" s="85" t="n">
        <x:v>0</x:v>
      </x:c>
      <x:c r="L106" s="28" t="n">
        <x:v>39</x:v>
      </x:c>
      <x:c r="M106" s="28" t="n">
        <x:v>28</x:v>
      </x:c>
      <x:c r="N106" s="28" t="n">
        <x:v>1.862645149230957e-9</x:v>
      </x:c>
      <x:c r="O106" s="28" t="n">
        <x:v>1.4901161193847656e-8</x:v>
      </x:c>
      <x:c r="P106" s="28" t="n">
        <x:v>0</x:v>
      </x:c>
      <x:c r="Q106" s="62" t="b">
        <x:v>1</x:v>
      </x:c>
      <x:c r="R106" s="28" t="n">
        <x:v>0</x:v>
      </x:c>
      <x:c r="S106" s="28" t="str">
        <x:v>887dbe249e59254a</x:v>
      </x:c>
    </x:row>
    <x:row r="107" ht="21" customHeight="1">
      <x:c r="A107" s="60" t="n">
        <x:v>0.6</x:v>
      </x:c>
      <x:c r="B107" s="28" t="str">
        <x:v>middle_low</x:v>
      </x:c>
      <x:c r="C107" s="60" t="n">
        <x:v>0.75</x:v>
      </x:c>
      <x:c r="D107" s="60" t="n">
        <x:v>0.75</x:v>
      </x:c>
      <x:c r="E107" s="62" t="b">
        <x:v>1</x:v>
      </x:c>
      <x:c r="F107" s="62" t="b">
        <x:v>0</x:v>
      </x:c>
      <x:c r="G107" s="85" t="n">
        <x:v>916019.4573834296</x:v>
      </x:c>
      <x:c r="H107" s="85" t="n">
        <x:v>13803330.991382355</x:v>
      </x:c>
      <x:c r="I107" s="85" t="n">
        <x:v>56136218.86753556</x:v>
      </x:c>
      <x:c r="J107" s="85" t="n">
        <x:v>90000000.00000001</x:v>
      </x:c>
      <x:c r="K107" s="85" t="n">
        <x:v>0</x:v>
      </x:c>
      <x:c r="L107" s="28" t="n">
        <x:v>40</x:v>
      </x:c>
      <x:c r="M107" s="28" t="n">
        <x:v>32</x:v>
      </x:c>
      <x:c r="N107" s="28" t="n">
        <x:v>1.862645149230957e-9</x:v>
      </x:c>
      <x:c r="O107" s="28" t="n">
        <x:v>2.9802322387695312e-8</x:v>
      </x:c>
      <x:c r="P107" s="28" t="n">
        <x:v>0</x:v>
      </x:c>
      <x:c r="Q107" s="62" t="b">
        <x:v>1</x:v>
      </x:c>
      <x:c r="R107" s="28" t="n">
        <x:v>0</x:v>
      </x:c>
      <x:c r="S107" s="28" t="str">
        <x:v>47214732f87f6186</x:v>
      </x:c>
    </x:row>
    <x:row r="108" ht="21" customHeight="1">
      <x:c r="A108" s="60" t="n">
        <x:v>0.6</x:v>
      </x:c>
      <x:c r="B108" s="28" t="str">
        <x:v>middle_low</x:v>
      </x:c>
      <x:c r="C108" s="60" t="n">
        <x:v>0.8</x:v>
      </x:c>
      <x:c r="D108" s="60" t="n">
        <x:v>0.8</x:v>
      </x:c>
      <x:c r="E108" s="62" t="b">
        <x:v>1</x:v>
      </x:c>
      <x:c r="F108" s="62" t="b">
        <x:v>0</x:v>
      </x:c>
      <x:c r="G108" s="85" t="n">
        <x:v>1785959.4421422882</x:v>
      </x:c>
      <x:c r="H108" s="85" t="n">
        <x:v>23506534.247025646</x:v>
      </x:c>
      <x:c r="I108" s="85" t="n">
        <x:v>57127621.19328769</x:v>
      </x:c>
      <x:c r="J108" s="85" t="n">
        <x:v>90000000.00000001</x:v>
      </x:c>
      <x:c r="K108" s="85" t="n">
        <x:v>0</x:v>
      </x:c>
      <x:c r="L108" s="28" t="n">
        <x:v>41</x:v>
      </x:c>
      <x:c r="M108" s="28" t="n">
        <x:v>34</x:v>
      </x:c>
      <x:c r="N108" s="28" t="n">
        <x:v>1.862645149230957e-9</x:v>
      </x:c>
      <x:c r="O108" s="28" t="n">
        <x:v>1.4901161193847656e-8</x:v>
      </x:c>
      <x:c r="P108" s="28" t="n">
        <x:v>0</x:v>
      </x:c>
      <x:c r="Q108" s="62" t="b">
        <x:v>1</x:v>
      </x:c>
      <x:c r="R108" s="28" t="n">
        <x:v>0</x:v>
      </x:c>
      <x:c r="S108" s="28" t="str">
        <x:v>f14c12a02d758b8d</x:v>
      </x:c>
    </x:row>
    <x:row r="109" ht="21" customHeight="1">
      <x:c r="A109" s="60" t="n">
        <x:v>0.6</x:v>
      </x:c>
      <x:c r="B109" s="28" t="str">
        <x:v>middle_low</x:v>
      </x:c>
      <x:c r="C109" s="60" t="n">
        <x:v>0.85</x:v>
      </x:c>
      <x:c r="D109" s="60" t="n">
        <x:v>0.85</x:v>
      </x:c>
      <x:c r="E109" s="62" t="b">
        <x:v>1</x:v>
      </x:c>
      <x:c r="F109" s="62" t="b">
        <x:v>0</x:v>
      </x:c>
      <x:c r="G109" s="85" t="n">
        <x:v>2663153.896267318</x:v>
      </x:c>
      <x:c r="H109" s="85" t="n">
        <x:v>34052273.93485296</x:v>
      </x:c>
      <x:c r="I109" s="85" t="n">
        <x:v>57268422.765214056</x:v>
      </x:c>
      <x:c r="J109" s="85" t="n">
        <x:v>90000000.00000001</x:v>
      </x:c>
      <x:c r="K109" s="85" t="n">
        <x:v>0</x:v>
      </x:c>
      <x:c r="L109" s="28" t="n">
        <x:v>41</x:v>
      </x:c>
      <x:c r="M109" s="28" t="n">
        <x:v>34</x:v>
      </x:c>
      <x:c r="N109" s="28" t="n">
        <x:v>1.862645149230957e-9</x:v>
      </x:c>
      <x:c r="O109" s="28" t="n">
        <x:v>2.9802322387695312e-8</x:v>
      </x:c>
      <x:c r="P109" s="28" t="n">
        <x:v>0</x:v>
      </x:c>
      <x:c r="Q109" s="62" t="b">
        <x:v>1</x:v>
      </x:c>
      <x:c r="R109" s="28" t="n">
        <x:v>0</x:v>
      </x:c>
      <x:c r="S109" s="28" t="str">
        <x:v>345f38df766e7969</x:v>
      </x:c>
    </x:row>
    <x:row r="110" ht="21" customHeight="1">
      <x:c r="A110" s="60" t="n">
        <x:v>0.6</x:v>
      </x:c>
      <x:c r="B110" s="28" t="str">
        <x:v>middle_low</x:v>
      </x:c>
      <x:c r="C110" s="60" t="n">
        <x:v>0.9</x:v>
      </x:c>
      <x:c r="D110" s="60" t="n">
        <x:v>0.9</x:v>
      </x:c>
      <x:c r="E110" s="62" t="b">
        <x:v>1</x:v>
      </x:c>
      <x:c r="F110" s="62" t="b">
        <x:v>0</x:v>
      </x:c>
      <x:c r="G110" s="85" t="n">
        <x:v>3755632.100922577</x:v>
      </x:c>
      <x:c r="H110" s="85" t="n">
        <x:v>44321132.59320906</x:v>
      </x:c>
      <x:c r="I110" s="85" t="n">
        <x:v>57409224.337140426</x:v>
      </x:c>
      <x:c r="J110" s="85" t="n">
        <x:v>90000000.00000001</x:v>
      </x:c>
      <x:c r="K110" s="85" t="n">
        <x:v>0</x:v>
      </x:c>
      <x:c r="L110" s="28" t="n">
        <x:v>41</x:v>
      </x:c>
      <x:c r="M110" s="28" t="n">
        <x:v>35</x:v>
      </x:c>
      <x:c r="N110" s="28" t="n">
        <x:v>1.862645149230957e-9</x:v>
      </x:c>
      <x:c r="O110" s="28" t="n">
        <x:v>2.9802322387695312e-8</x:v>
      </x:c>
      <x:c r="P110" s="28" t="n">
        <x:v>0</x:v>
      </x:c>
      <x:c r="Q110" s="62" t="b">
        <x:v>1</x:v>
      </x:c>
      <x:c r="R110" s="28" t="n">
        <x:v>0</x:v>
      </x:c>
      <x:c r="S110" s="28" t="str">
        <x:v>2e3a71fa9b00dd4e</x:v>
      </x:c>
    </x:row>
    <x:row r="111" ht="21" customHeight="1">
      <x:c r="A111" s="60" t="n">
        <x:v>0.6</x:v>
      </x:c>
      <x:c r="B111" s="28" t="str">
        <x:v>middle_low</x:v>
      </x:c>
      <x:c r="C111" s="60" t="n">
        <x:v>0.95</x:v>
      </x:c>
      <x:c r="D111" s="60" t="n">
        <x:v>0.9361238209331334</x:v>
      </x:c>
      <x:c r="E111" s="62" t="b">
        <x:v>0</x:v>
      </x:c>
      <x:c r="F111" s="62" t="b">
        <x:v>0</x:v>
      </x:c>
      <x:c r="G111" s="85" t="n">
        <x:v>5672631.00485378</x:v>
      </x:c>
      <x:c r="H111" s="85" t="n">
        <x:v>49737210.04039565</x:v>
      </x:c>
      <x:c r="I111" s="85" t="n">
        <x:v>58254226.482991345</x:v>
      </x:c>
      <x:c r="J111" s="85" t="n">
        <x:v>90000000.00000001</x:v>
      </x:c>
      <x:c r="K111" s="85" t="n">
        <x:v>0</x:v>
      </x:c>
      <x:c r="L111" s="28" t="n">
        <x:v>42</x:v>
      </x:c>
      <x:c r="M111" s="28" t="n">
        <x:v>36</x:v>
      </x:c>
      <x:c r="N111" s="28" t="n">
        <x:v>1.862645149230957e-9</x:v>
      </x:c>
      <x:c r="O111" s="28" t="n">
        <x:v>1.4901161193847656e-8</x:v>
      </x:c>
      <x:c r="P111" s="28" t="n">
        <x:v>0</x:v>
      </x:c>
      <x:c r="Q111" s="62" t="b">
        <x:v>1</x:v>
      </x:c>
      <x:c r="R111" s="28" t="n">
        <x:v>4162853.720059991</x:v>
      </x:c>
      <x:c r="S111" s="28" t="str">
        <x:v>0390fd8fdc37bc18</x:v>
      </x:c>
    </x:row>
    <x:row r="112" ht="21" customHeight="1">
      <x:c r="A112" s="60" t="n">
        <x:v>0.6</x:v>
      </x:c>
      <x:c r="B112" s="28" t="str">
        <x:v>middle_low</x:v>
      </x:c>
      <x:c r="C112" s="60" t="n">
        <x:v>1</x:v>
      </x:c>
      <x:c r="D112" s="60" t="n">
        <x:v>0.9498342654879072</x:v>
      </x:c>
      <x:c r="E112" s="62" t="b">
        <x:v>0</x:v>
      </x:c>
      <x:c r="F112" s="62" t="b">
        <x:v>0</x:v>
      </x:c>
      <x:c r="G112" s="85" t="n">
        <x:v>6270273.728809244</x:v>
      </x:c>
      <x:c r="H112" s="85" t="n">
        <x:v>52761830.25601985</x:v>
      </x:c>
      <x:c r="I112" s="85" t="n">
        <x:v>58359183.55794331</x:v>
      </x:c>
      <x:c r="J112" s="85" t="n">
        <x:v>90000000.00000001</x:v>
      </x:c>
      <x:c r="K112" s="85" t="n">
        <x:v>0</x:v>
      </x:c>
      <x:c r="L112" s="28" t="n">
        <x:v>42</x:v>
      </x:c>
      <x:c r="M112" s="28" t="n">
        <x:v>37</x:v>
      </x:c>
      <x:c r="N112" s="28" t="n">
        <x:v>1.862645149230957e-9</x:v>
      </x:c>
      <x:c r="O112" s="28" t="n">
        <x:v>1.4901161193847656e-8</x:v>
      </x:c>
      <x:c r="P112" s="28" t="n">
        <x:v>0</x:v>
      </x:c>
      <x:c r="Q112" s="62" t="b">
        <x:v>1</x:v>
      </x:c>
      <x:c r="R112" s="28" t="n">
        <x:v>15049720.35362786</x:v>
      </x:c>
      <x:c r="S112" s="28" t="str">
        <x:v>75b55030d128207f</x:v>
      </x:c>
    </x:row>
    <x:row r="113" ht="21" customHeight="1">
      <x:c r="A113" s="60" t="n">
        <x:v>0.6</x:v>
      </x:c>
      <x:c r="B113" s="28" t="str">
        <x:v>middle_high</x:v>
      </x:c>
      <x:c r="C113" s="60" t="n">
        <x:v>0</x:v>
      </x:c>
      <x:c r="D113" s="60" t="n">
        <x:v>0</x:v>
      </x:c>
      <x:c r="E113" s="62" t="b">
        <x:v>1</x:v>
      </x:c>
      <x:c r="F113" s="62" t="b">
        <x:v>1</x:v>
      </x:c>
      <x:c r="G113" s="85" t="n">
        <x:v>0</x:v>
      </x:c>
      <x:c r="H113" s="85" t="n">
        <x:v>0</x:v>
      </x:c>
      <x:c r="I113" s="85" t="n">
        <x:v>0</x:v>
      </x:c>
      <x:c r="J113" s="85" t="n">
        <x:v>0</x:v>
      </x:c>
      <x:c r="K113" s="85" t="n">
        <x:v>34685023.614383504</x:v>
      </x:c>
      <x:c r="L113" s="28" t="n">
        <x:v>0</x:v>
      </x:c>
      <x:c r="M113" s="28" t="n">
        <x:v>0</x:v>
      </x:c>
      <x:c r="N113" s="28" t="n">
        <x:v>3.725290298461914e-9</x:v>
      </x:c>
      <x:c r="O113" s="28" t="n">
        <x:v>0</x:v>
      </x:c>
      <x:c r="P113" s="28" t="n">
        <x:v>0</x:v>
      </x:c>
      <x:c r="Q113" s="62" t="b">
        <x:v>1</x:v>
      </x:c>
      <x:c r="R113" s="28" t="n">
        <x:v>0</x:v>
      </x:c>
      <x:c r="S113" s="28" t="str">
        <x:v>429839c29b05d317</x:v>
      </x:c>
    </x:row>
    <x:row r="114" ht="21" customHeight="1">
      <x:c r="A114" s="60" t="n">
        <x:v>0.6</x:v>
      </x:c>
      <x:c r="B114" s="28" t="str">
        <x:v>middle_high</x:v>
      </x:c>
      <x:c r="C114" s="60" t="n">
        <x:v>0.05</x:v>
      </x:c>
      <x:c r="D114" s="60" t="n">
        <x:v>0.05</x:v>
      </x:c>
      <x:c r="E114" s="62" t="b">
        <x:v>1</x:v>
      </x:c>
      <x:c r="F114" s="62" t="b">
        <x:v>1</x:v>
      </x:c>
      <x:c r="G114" s="85" t="n">
        <x:v>0</x:v>
      </x:c>
      <x:c r="H114" s="85" t="n">
        <x:v>0</x:v>
      </x:c>
      <x:c r="I114" s="85" t="n">
        <x:v>0</x:v>
      </x:c>
      <x:c r="J114" s="85" t="n">
        <x:v>0</x:v>
      </x:c>
      <x:c r="K114" s="85" t="n">
        <x:v>21270537.735233746</x:v>
      </x:c>
      <x:c r="L114" s="28" t="n">
        <x:v>0</x:v>
      </x:c>
      <x:c r="M114" s="28" t="n">
        <x:v>0</x:v>
      </x:c>
      <x:c r="N114" s="28" t="n">
        <x:v>3.725290298461914e-9</x:v>
      </x:c>
      <x:c r="O114" s="28" t="n">
        <x:v>2.9802322387695312e-8</x:v>
      </x:c>
      <x:c r="P114" s="28" t="n">
        <x:v>0</x:v>
      </x:c>
      <x:c r="Q114" s="62" t="b">
        <x:v>1</x:v>
      </x:c>
      <x:c r="R114" s="28" t="n">
        <x:v>0</x:v>
      </x:c>
      <x:c r="S114" s="28" t="str">
        <x:v>7ddb9ce3d3f895a6</x:v>
      </x:c>
    </x:row>
    <x:row r="115" ht="21" customHeight="1">
      <x:c r="A115" s="60" t="n">
        <x:v>0.6</x:v>
      </x:c>
      <x:c r="B115" s="28" t="str">
        <x:v>middle_high</x:v>
      </x:c>
      <x:c r="C115" s="60" t="n">
        <x:v>0.1</x:v>
      </x:c>
      <x:c r="D115" s="60" t="n">
        <x:v>0.1</x:v>
      </x:c>
      <x:c r="E115" s="62" t="b">
        <x:v>1</x:v>
      </x:c>
      <x:c r="F115" s="62" t="b">
        <x:v>1</x:v>
      </x:c>
      <x:c r="G115" s="85" t="n">
        <x:v>0</x:v>
      </x:c>
      <x:c r="H115" s="85" t="n">
        <x:v>0</x:v>
      </x:c>
      <x:c r="I115" s="85" t="n">
        <x:v>0</x:v>
      </x:c>
      <x:c r="J115" s="85" t="n">
        <x:v>0</x:v>
      </x:c>
      <x:c r="K115" s="85" t="n">
        <x:v>7695272.664831225</x:v>
      </x:c>
      <x:c r="L115" s="28" t="n">
        <x:v>0</x:v>
      </x:c>
      <x:c r="M115" s="28" t="n">
        <x:v>0</x:v>
      </x:c>
      <x:c r="N115" s="28" t="n">
        <x:v>3.725290298461914e-9</x:v>
      </x:c>
      <x:c r="O115" s="28" t="n">
        <x:v>5.960464477539063e-8</x:v>
      </x:c>
      <x:c r="P115" s="28" t="n">
        <x:v>0</x:v>
      </x:c>
      <x:c r="Q115" s="62" t="b">
        <x:v>1</x:v>
      </x:c>
      <x:c r="R115" s="28" t="n">
        <x:v>0</x:v>
      </x:c>
      <x:c r="S115" s="28" t="str">
        <x:v>1db6bc02e175beb3</x:v>
      </x:c>
    </x:row>
    <x:row r="116" ht="21" customHeight="1">
      <x:c r="A116" s="60" t="n">
        <x:v>0.6</x:v>
      </x:c>
      <x:c r="B116" s="28" t="str">
        <x:v>middle_high</x:v>
      </x:c>
      <x:c r="C116" s="60" t="n">
        <x:v>0.15</x:v>
      </x:c>
      <x:c r="D116" s="60" t="n">
        <x:v>0.15</x:v>
      </x:c>
      <x:c r="E116" s="62" t="b">
        <x:v>1</x:v>
      </x:c>
      <x:c r="F116" s="62" t="b">
        <x:v>1</x:v>
      </x:c>
      <x:c r="G116" s="85" t="n">
        <x:v>0</x:v>
      </x:c>
      <x:c r="H116" s="85" t="n">
        <x:v>0</x:v>
      </x:c>
      <x:c r="I116" s="85" t="n">
        <x:v>5861018.045195913</x:v>
      </x:c>
      <x:c r="J116" s="85" t="n">
        <x:v>0</x:v>
      </x:c>
      <x:c r="K116" s="85" t="n">
        <x:v>980842.9280122132</x:v>
      </x:c>
      <x:c r="L116" s="28" t="n">
        <x:v>0</x:v>
      </x:c>
      <x:c r="M116" s="28" t="n">
        <x:v>0</x:v>
      </x:c>
      <x:c r="N116" s="28" t="n">
        <x:v>3.725290298461914e-9</x:v>
      </x:c>
      <x:c r="O116" s="28" t="n">
        <x:v>2.9802322387695312e-8</x:v>
      </x:c>
      <x:c r="P116" s="28" t="n">
        <x:v>0</x:v>
      </x:c>
      <x:c r="Q116" s="62" t="b">
        <x:v>1</x:v>
      </x:c>
      <x:c r="R116" s="28" t="n">
        <x:v>0</x:v>
      </x:c>
      <x:c r="S116" s="28" t="str">
        <x:v>58ffc4be450db456</x:v>
      </x:c>
    </x:row>
    <x:row r="117" ht="21" customHeight="1">
      <x:c r="A117" s="60" t="n">
        <x:v>0.6</x:v>
      </x:c>
      <x:c r="B117" s="28" t="str">
        <x:v>middle_high</x:v>
      </x:c>
      <x:c r="C117" s="60" t="n">
        <x:v>0.2</x:v>
      </x:c>
      <x:c r="D117" s="60" t="n">
        <x:v>0.2</x:v>
      </x:c>
      <x:c r="E117" s="62" t="b">
        <x:v>1</x:v>
      </x:c>
      <x:c r="F117" s="62" t="b">
        <x:v>1</x:v>
      </x:c>
      <x:c r="G117" s="85" t="n">
        <x:v>0</x:v>
      </x:c>
      <x:c r="H117" s="85" t="n">
        <x:v>0</x:v>
      </x:c>
      <x:c r="I117" s="85" t="n">
        <x:v>16521655.203053625</x:v>
      </x:c>
      <x:c r="J117" s="85" t="n">
        <x:v>6318282.052720871</x:v>
      </x:c>
      <x:c r="K117" s="85" t="n">
        <x:v>702026.5355231296</x:v>
      </x:c>
      <x:c r="L117" s="28" t="n">
        <x:v>0</x:v>
      </x:c>
      <x:c r="M117" s="28" t="n">
        <x:v>0</x:v>
      </x:c>
      <x:c r="N117" s="28" t="n">
        <x:v>3.725290298461914e-9</x:v>
      </x:c>
      <x:c r="O117" s="28" t="n">
        <x:v>2.9802322387695312e-8</x:v>
      </x:c>
      <x:c r="P117" s="28" t="n">
        <x:v>0</x:v>
      </x:c>
      <x:c r="Q117" s="62" t="b">
        <x:v>1</x:v>
      </x:c>
      <x:c r="R117" s="28" t="n">
        <x:v>0</x:v>
      </x:c>
      <x:c r="S117" s="28" t="str">
        <x:v>efb13188cbdfd068</x:v>
      </x:c>
    </x:row>
    <x:row r="118" ht="21" customHeight="1">
      <x:c r="A118" s="60" t="n">
        <x:v>0.6</x:v>
      </x:c>
      <x:c r="B118" s="28" t="str">
        <x:v>middle_high</x:v>
      </x:c>
      <x:c r="C118" s="60" t="n">
        <x:v>0.25</x:v>
      </x:c>
      <x:c r="D118" s="60" t="n">
        <x:v>0.25</x:v>
      </x:c>
      <x:c r="E118" s="62" t="b">
        <x:v>1</x:v>
      </x:c>
      <x:c r="F118" s="62" t="b">
        <x:v>1</x:v>
      </x:c>
      <x:c r="G118" s="85" t="n">
        <x:v>0</x:v>
      </x:c>
      <x:c r="H118" s="85" t="n">
        <x:v>0</x:v>
      </x:c>
      <x:c r="I118" s="85" t="n">
        <x:v>25757470.571796436</x:v>
      </x:c>
      <x:c r="J118" s="85" t="n">
        <x:v>15397852.565901024</x:v>
      </x:c>
      <x:c r="K118" s="85" t="n">
        <x:v>572025.226219178</x:v>
      </x:c>
      <x:c r="L118" s="28" t="n">
        <x:v>0</x:v>
      </x:c>
      <x:c r="M118" s="28" t="n">
        <x:v>0</x:v>
      </x:c>
      <x:c r="N118" s="28" t="n">
        <x:v>3.725290298461914e-9</x:v>
      </x:c>
      <x:c r="O118" s="28" t="n">
        <x:v>2.9802322387695312e-8</x:v>
      </x:c>
      <x:c r="P118" s="28" t="n">
        <x:v>0</x:v>
      </x:c>
      <x:c r="Q118" s="62" t="b">
        <x:v>1</x:v>
      </x:c>
      <x:c r="R118" s="28" t="n">
        <x:v>0</x:v>
      </x:c>
      <x:c r="S118" s="28" t="str">
        <x:v>34a54eaf3687e871</x:v>
      </x:c>
    </x:row>
    <x:row r="119" ht="21" customHeight="1">
      <x:c r="A119" s="60" t="n">
        <x:v>0.6</x:v>
      </x:c>
      <x:c r="B119" s="28" t="str">
        <x:v>middle_high</x:v>
      </x:c>
      <x:c r="C119" s="60" t="n">
        <x:v>0.3</x:v>
      </x:c>
      <x:c r="D119" s="60" t="n">
        <x:v>0.3</x:v>
      </x:c>
      <x:c r="E119" s="62" t="b">
        <x:v>1</x:v>
      </x:c>
      <x:c r="F119" s="62" t="b">
        <x:v>1</x:v>
      </x:c>
      <x:c r="G119" s="85" t="n">
        <x:v>0</x:v>
      </x:c>
      <x:c r="H119" s="85" t="n">
        <x:v>0</x:v>
      </x:c>
      <x:c r="I119" s="85" t="n">
        <x:v>35081117.51899153</x:v>
      </x:c>
      <x:c r="J119" s="85" t="n">
        <x:v>24477423.079081148</x:v>
      </x:c>
      <x:c r="K119" s="85" t="n">
        <x:v>443903.17146302457</x:v>
      </x:c>
      <x:c r="L119" s="28" t="n">
        <x:v>0</x:v>
      </x:c>
      <x:c r="M119" s="28" t="n">
        <x:v>0</x:v>
      </x:c>
      <x:c r="N119" s="28" t="n">
        <x:v>3.725290298461914e-9</x:v>
      </x:c>
      <x:c r="O119" s="28" t="n">
        <x:v>2.9802322387695312e-8</x:v>
      </x:c>
      <x:c r="P119" s="28" t="n">
        <x:v>0</x:v>
      </x:c>
      <x:c r="Q119" s="62" t="b">
        <x:v>1</x:v>
      </x:c>
      <x:c r="R119" s="28" t="n">
        <x:v>0</x:v>
      </x:c>
      <x:c r="S119" s="28" t="str">
        <x:v>e22119e823706cae</x:v>
      </x:c>
    </x:row>
    <x:row r="120" ht="21" customHeight="1">
      <x:c r="A120" s="60" t="n">
        <x:v>0.6</x:v>
      </x:c>
      <x:c r="B120" s="28" t="str">
        <x:v>middle_high</x:v>
      </x:c>
      <x:c r="C120" s="60" t="n">
        <x:v>0.35</x:v>
      </x:c>
      <x:c r="D120" s="60" t="n">
        <x:v>0.35</x:v>
      </x:c>
      <x:c r="E120" s="62" t="b">
        <x:v>1</x:v>
      </x:c>
      <x:c r="F120" s="62" t="b">
        <x:v>1</x:v>
      </x:c>
      <x:c r="G120" s="85" t="n">
        <x:v>0</x:v>
      </x:c>
      <x:c r="H120" s="85" t="n">
        <x:v>0</x:v>
      </x:c>
      <x:c r="I120" s="85" t="n">
        <x:v>44469744.84533028</x:v>
      </x:c>
      <x:c r="J120" s="85" t="n">
        <x:v>33556993.59226132</x:v>
      </x:c>
      <x:c r="K120" s="85" t="n">
        <x:v>330521.1938794381</x:v>
      </x:c>
      <x:c r="L120" s="28" t="n">
        <x:v>0</x:v>
      </x:c>
      <x:c r="M120" s="28" t="n">
        <x:v>0</x:v>
      </x:c>
      <x:c r="N120" s="28" t="n">
        <x:v>1.862645149230957e-9</x:v>
      </x:c>
      <x:c r="O120" s="28" t="n">
        <x:v>2.9802322387695312e-8</x:v>
      </x:c>
      <x:c r="P120" s="28" t="n">
        <x:v>0</x:v>
      </x:c>
      <x:c r="Q120" s="62" t="b">
        <x:v>1</x:v>
      </x:c>
      <x:c r="R120" s="28" t="n">
        <x:v>0</x:v>
      </x:c>
      <x:c r="S120" s="28" t="str">
        <x:v>e60876fbbe55d992</x:v>
      </x:c>
    </x:row>
    <x:row r="121" ht="21" customHeight="1">
      <x:c r="A121" s="60" t="n">
        <x:v>0.6</x:v>
      </x:c>
      <x:c r="B121" s="28" t="str">
        <x:v>middle_high</x:v>
      </x:c>
      <x:c r="C121" s="60" t="n">
        <x:v>0.4</x:v>
      </x:c>
      <x:c r="D121" s="60" t="n">
        <x:v>0.4</x:v>
      </x:c>
      <x:c r="E121" s="62" t="b">
        <x:v>1</x:v>
      </x:c>
      <x:c r="F121" s="62" t="b">
        <x:v>1</x:v>
      </x:c>
      <x:c r="G121" s="85" t="n">
        <x:v>0</x:v>
      </x:c>
      <x:c r="H121" s="85" t="n">
        <x:v>0</x:v>
      </x:c>
      <x:c r="I121" s="85" t="n">
        <x:v>53858372.17166912</x:v>
      </x:c>
      <x:c r="J121" s="85" t="n">
        <x:v>42636564.10544156</x:v>
      </x:c>
      <x:c r="K121" s="85" t="n">
        <x:v>291833.604942463</x:v>
      </x:c>
      <x:c r="L121" s="28" t="n">
        <x:v>0</x:v>
      </x:c>
      <x:c r="M121" s="28" t="n">
        <x:v>0</x:v>
      </x:c>
      <x:c r="N121" s="28" t="n">
        <x:v>1.862645149230957e-9</x:v>
      </x:c>
      <x:c r="O121" s="28" t="n">
        <x:v>2.9802322387695312e-8</x:v>
      </x:c>
      <x:c r="P121" s="28" t="n">
        <x:v>0</x:v>
      </x:c>
      <x:c r="Q121" s="62" t="b">
        <x:v>1</x:v>
      </x:c>
      <x:c r="R121" s="28" t="n">
        <x:v>0</x:v>
      </x:c>
      <x:c r="S121" s="28" t="str">
        <x:v>15793b6a4f78554d</x:v>
      </x:c>
    </x:row>
    <x:row r="122" ht="21" customHeight="1">
      <x:c r="A122" s="60" t="n">
        <x:v>0.6</x:v>
      </x:c>
      <x:c r="B122" s="28" t="str">
        <x:v>middle_high</x:v>
      </x:c>
      <x:c r="C122" s="60" t="n">
        <x:v>0.45</x:v>
      </x:c>
      <x:c r="D122" s="60" t="n">
        <x:v>0.45</x:v>
      </x:c>
      <x:c r="E122" s="62" t="b">
        <x:v>1</x:v>
      </x:c>
      <x:c r="F122" s="62" t="b">
        <x:v>1</x:v>
      </x:c>
      <x:c r="G122" s="85" t="n">
        <x:v>0</x:v>
      </x:c>
      <x:c r="H122" s="85" t="n">
        <x:v>0</x:v>
      </x:c>
      <x:c r="I122" s="85" t="n">
        <x:v>63219435.558995314</x:v>
      </x:c>
      <x:c r="J122" s="85" t="n">
        <x:v>51716134.61862181</x:v>
      </x:c>
      <x:c r="K122" s="85" t="n">
        <x:v>253146.01600547382</x:v>
      </x:c>
      <x:c r="L122" s="28" t="n">
        <x:v>0</x:v>
      </x:c>
      <x:c r="M122" s="28" t="n">
        <x:v>0</x:v>
      </x:c>
      <x:c r="N122" s="28" t="n">
        <x:v>3.725290298461914e-9</x:v>
      </x:c>
      <x:c r="O122" s="28" t="n">
        <x:v>2.9802322387695312e-8</x:v>
      </x:c>
      <x:c r="P122" s="28" t="n">
        <x:v>0</x:v>
      </x:c>
      <x:c r="Q122" s="62" t="b">
        <x:v>1</x:v>
      </x:c>
      <x:c r="R122" s="28" t="n">
        <x:v>0</x:v>
      </x:c>
      <x:c r="S122" s="28" t="str">
        <x:v>0db9bf96e0abdd4b</x:v>
      </x:c>
    </x:row>
    <x:row r="123" ht="21" customHeight="1">
      <x:c r="A123" s="60" t="n">
        <x:v>0.6</x:v>
      </x:c>
      <x:c r="B123" s="28" t="str">
        <x:v>middle_high</x:v>
      </x:c>
      <x:c r="C123" s="60" t="n">
        <x:v>0.5</x:v>
      </x:c>
      <x:c r="D123" s="60" t="n">
        <x:v>0.5</x:v>
      </x:c>
      <x:c r="E123" s="62" t="b">
        <x:v>1</x:v>
      </x:c>
      <x:c r="F123" s="62" t="b">
        <x:v>1</x:v>
      </x:c>
      <x:c r="G123" s="85" t="n">
        <x:v>0</x:v>
      </x:c>
      <x:c r="H123" s="85" t="n">
        <x:v>0</x:v>
      </x:c>
      <x:c r="I123" s="85" t="n">
        <x:v>72762853.49963729</x:v>
      </x:c>
      <x:c r="J123" s="85" t="n">
        <x:v>60003835.50109731</x:v>
      </x:c>
      <x:c r="K123" s="85" t="n">
        <x:v>214458.42706849307</x:v>
      </x:c>
      <x:c r="L123" s="28" t="n">
        <x:v>1</x:v>
      </x:c>
      <x:c r="M123" s="28" t="n">
        <x:v>0</x:v>
      </x:c>
      <x:c r="N123" s="28" t="n">
        <x:v>3.725290298461914e-9</x:v>
      </x:c>
      <x:c r="O123" s="28" t="n">
        <x:v>1.4901161193847656e-8</x:v>
      </x:c>
      <x:c r="P123" s="28" t="n">
        <x:v>0</x:v>
      </x:c>
      <x:c r="Q123" s="62" t="b">
        <x:v>1</x:v>
      </x:c>
      <x:c r="R123" s="28" t="n">
        <x:v>0</x:v>
      </x:c>
      <x:c r="S123" s="28" t="str">
        <x:v>f1acf39595a97f18</x:v>
      </x:c>
    </x:row>
    <x:row r="124" ht="21" customHeight="1">
      <x:c r="A124" s="60" t="n">
        <x:v>0.6</x:v>
      </x:c>
      <x:c r="B124" s="28" t="str">
        <x:v>middle_high</x:v>
      </x:c>
      <x:c r="C124" s="60" t="n">
        <x:v>0.55</x:v>
      </x:c>
      <x:c r="D124" s="60" t="n">
        <x:v>0.55</x:v>
      </x:c>
      <x:c r="E124" s="62" t="b">
        <x:v>1</x:v>
      </x:c>
      <x:c r="F124" s="62" t="b">
        <x:v>1</x:v>
      </x:c>
      <x:c r="G124" s="85" t="n">
        <x:v>0</x:v>
      </x:c>
      <x:c r="H124" s="85" t="n">
        <x:v>0</x:v>
      </x:c>
      <x:c r="I124" s="85" t="n">
        <x:v>82867882.09987612</x:v>
      </x:c>
      <x:c r="J124" s="85" t="n">
        <x:v>65037698.23664123</x:v>
      </x:c>
      <x:c r="K124" s="85" t="n">
        <x:v>175770.83813150672</x:v>
      </x:c>
      <x:c r="L124" s="28" t="n">
        <x:v>8</x:v>
      </x:c>
      <x:c r="M124" s="28" t="n">
        <x:v>0</x:v>
      </x:c>
      <x:c r="N124" s="28" t="n">
        <x:v>1.862645149230957e-9</x:v>
      </x:c>
      <x:c r="O124" s="28" t="n">
        <x:v>2.9802322387695312e-8</x:v>
      </x:c>
      <x:c r="P124" s="28" t="n">
        <x:v>0</x:v>
      </x:c>
      <x:c r="Q124" s="62" t="b">
        <x:v>1</x:v>
      </x:c>
      <x:c r="R124" s="28" t="n">
        <x:v>0</x:v>
      </x:c>
      <x:c r="S124" s="28" t="str">
        <x:v>ed3620adb2be677d</x:v>
      </x:c>
    </x:row>
    <x:row r="125" ht="21" customHeight="1">
      <x:c r="A125" s="60" t="n">
        <x:v>0.6</x:v>
      </x:c>
      <x:c r="B125" s="28" t="str">
        <x:v>middle_high</x:v>
      </x:c>
      <x:c r="C125" s="60" t="n">
        <x:v>0.6</x:v>
      </x:c>
      <x:c r="D125" s="60" t="n">
        <x:v>0.6</x:v>
      </x:c>
      <x:c r="E125" s="62" t="b">
        <x:v>1</x:v>
      </x:c>
      <x:c r="F125" s="62" t="b">
        <x:v>1</x:v>
      </x:c>
      <x:c r="G125" s="85" t="n">
        <x:v>0</x:v>
      </x:c>
      <x:c r="H125" s="85" t="n">
        <x:v>0</x:v>
      </x:c>
      <x:c r="I125" s="85" t="n">
        <x:v>92228003.67901614</x:v>
      </x:c>
      <x:c r="J125" s="85" t="n">
        <x:v>73216221.17750812</x:v>
      </x:c>
      <x:c r="K125" s="85" t="n">
        <x:v>137083.2491945204</x:v>
      </x:c>
      <x:c r="L125" s="28" t="n">
        <x:v>11</x:v>
      </x:c>
      <x:c r="M125" s="28" t="n">
        <x:v>3</x:v>
      </x:c>
      <x:c r="N125" s="28" t="n">
        <x:v>1.862645149230957e-9</x:v>
      </x:c>
      <x:c r="O125" s="28" t="n">
        <x:v>2.9802322387695312e-8</x:v>
      </x:c>
      <x:c r="P125" s="28" t="n">
        <x:v>0</x:v>
      </x:c>
      <x:c r="Q125" s="62" t="b">
        <x:v>1</x:v>
      </x:c>
      <x:c r="R125" s="28" t="n">
        <x:v>0</x:v>
      </x:c>
      <x:c r="S125" s="28" t="str">
        <x:v>206898eb5f8e7da5</x:v>
      </x:c>
    </x:row>
    <x:row r="126" ht="21" customHeight="1">
      <x:c r="A126" s="60" t="n">
        <x:v>0.6</x:v>
      </x:c>
      <x:c r="B126" s="28" t="str">
        <x:v>middle_high</x:v>
      </x:c>
      <x:c r="C126" s="60" t="n">
        <x:v>0.65</x:v>
      </x:c>
      <x:c r="D126" s="60" t="n">
        <x:v>0.65</x:v>
      </x:c>
      <x:c r="E126" s="62" t="b">
        <x:v>1</x:v>
      </x:c>
      <x:c r="F126" s="62" t="b">
        <x:v>1</x:v>
      </x:c>
      <x:c r="G126" s="85" t="n">
        <x:v>0</x:v>
      </x:c>
      <x:c r="H126" s="85" t="n">
        <x:v>0</x:v>
      </x:c>
      <x:c r="I126" s="85" t="n">
        <x:v>101253631.16113375</x:v>
      </x:c>
      <x:c r="J126" s="85" t="n">
        <x:v>82925644.23442738</x:v>
      </x:c>
      <x:c r="K126" s="85" t="n">
        <x:v>98395.66025753312</x:v>
      </x:c>
      <x:c r="L126" s="28" t="n">
        <x:v>15</x:v>
      </x:c>
      <x:c r="M126" s="28" t="n">
        <x:v>10</x:v>
      </x:c>
      <x:c r="N126" s="28" t="n">
        <x:v>1.862645149230957e-9</x:v>
      </x:c>
      <x:c r="O126" s="28" t="n">
        <x:v>2.9802322387695312e-8</x:v>
      </x:c>
      <x:c r="P126" s="28" t="n">
        <x:v>0</x:v>
      </x:c>
      <x:c r="Q126" s="62" t="b">
        <x:v>1</x:v>
      </x:c>
      <x:c r="R126" s="28" t="n">
        <x:v>0</x:v>
      </x:c>
      <x:c r="S126" s="28" t="str">
        <x:v>4a97ff5d1cfcee37</x:v>
      </x:c>
    </x:row>
    <x:row r="127" ht="21" customHeight="1">
      <x:c r="A127" s="60" t="n">
        <x:v>0.6</x:v>
      </x:c>
      <x:c r="B127" s="28" t="str">
        <x:v>middle_high</x:v>
      </x:c>
      <x:c r="C127" s="60" t="n">
        <x:v>0.7</x:v>
      </x:c>
      <x:c r="D127" s="60" t="n">
        <x:v>0.7</x:v>
      </x:c>
      <x:c r="E127" s="62" t="b">
        <x:v>1</x:v>
      </x:c>
      <x:c r="F127" s="62" t="b">
        <x:v>0</x:v>
      </x:c>
      <x:c r="G127" s="85" t="n">
        <x:v>1660079.449723836</x:v>
      </x:c>
      <x:c r="H127" s="85" t="n">
        <x:v>6440198.6752477335</x:v>
      </x:c>
      <x:c r="I127" s="85" t="n">
        <x:v>106271630.52696002</x:v>
      </x:c>
      <x:c r="J127" s="85" t="n">
        <x:v>90000000.00000001</x:v>
      </x:c>
      <x:c r="K127" s="85" t="n">
        <x:v>61178.783671234996</x:v>
      </x:c>
      <x:c r="L127" s="28" t="n">
        <x:v>39</x:v>
      </x:c>
      <x:c r="M127" s="28" t="n">
        <x:v>36</x:v>
      </x:c>
      <x:c r="N127" s="28" t="n">
        <x:v>3.725290298461914e-9</x:v>
      </x:c>
      <x:c r="O127" s="28" t="n">
        <x:v>1.4901161193847656e-8</x:v>
      </x:c>
      <x:c r="P127" s="28" t="n">
        <x:v>0</x:v>
      </x:c>
      <x:c r="Q127" s="62" t="b">
        <x:v>1</x:v>
      </x:c>
      <x:c r="R127" s="28" t="n">
        <x:v>0</x:v>
      </x:c>
      <x:c r="S127" s="28" t="str">
        <x:v>3d5222e1fdccbdb7</x:v>
      </x:c>
    </x:row>
    <x:row r="128" ht="21" customHeight="1">
      <x:c r="A128" s="60" t="n">
        <x:v>0.6</x:v>
      </x:c>
      <x:c r="B128" s="28" t="str">
        <x:v>middle_high</x:v>
      </x:c>
      <x:c r="C128" s="60" t="n">
        <x:v>0.75</x:v>
      </x:c>
      <x:c r="D128" s="60" t="n">
        <x:v>0.75</x:v>
      </x:c>
      <x:c r="E128" s="62" t="b">
        <x:v>1</x:v>
      </x:c>
      <x:c r="F128" s="62" t="b">
        <x:v>0</x:v>
      </x:c>
      <x:c r="G128" s="85" t="n">
        <x:v>5722644.3897184655</x:v>
      </x:c>
      <x:c r="H128" s="85" t="n">
        <x:v>18984675.95952187</x:v>
      </x:c>
      <x:c r="I128" s="85" t="n">
        <x:v>107854812.31803074</x:v>
      </x:c>
      <x:c r="J128" s="85" t="n">
        <x:v>90000000.00000001</x:v>
      </x:c>
      <x:c r="K128" s="85" t="n">
        <x:v>48282.733972601854</x:v>
      </x:c>
      <x:c r="L128" s="28" t="n">
        <x:v>40</x:v>
      </x:c>
      <x:c r="M128" s="28" t="n">
        <x:v>37</x:v>
      </x:c>
      <x:c r="N128" s="28" t="n">
        <x:v>1.862645149230957e-9</x:v>
      </x:c>
      <x:c r="O128" s="28" t="n">
        <x:v>2.9802322387695312e-8</x:v>
      </x:c>
      <x:c r="P128" s="28" t="n">
        <x:v>0</x:v>
      </x:c>
      <x:c r="Q128" s="62" t="b">
        <x:v>1</x:v>
      </x:c>
      <x:c r="R128" s="28" t="n">
        <x:v>0</x:v>
      </x:c>
      <x:c r="S128" s="28" t="str">
        <x:v>ba1dbb36787e34be</x:v>
      </x:c>
    </x:row>
    <x:row r="129" ht="21" customHeight="1">
      <x:c r="A129" s="60" t="n">
        <x:v>0.6</x:v>
      </x:c>
      <x:c r="B129" s="28" t="str">
        <x:v>middle_high</x:v>
      </x:c>
      <x:c r="C129" s="60" t="n">
        <x:v>0.8</x:v>
      </x:c>
      <x:c r="D129" s="60" t="n">
        <x:v>0.8</x:v>
      </x:c>
      <x:c r="E129" s="62" t="b">
        <x:v>1</x:v>
      </x:c>
      <x:c r="F129" s="62" t="b">
        <x:v>0</x:v>
      </x:c>
      <x:c r="G129" s="85" t="n">
        <x:v>10039287.00919887</x:v>
      </x:c>
      <x:c r="H129" s="85" t="n">
        <x:v>30638932.787531316</x:v>
      </x:c>
      <x:c r="I129" s="85" t="n">
        <x:v>109585012.06399451</x:v>
      </x:c>
      <x:c r="J129" s="85" t="n">
        <x:v>90000000.00000001</x:v>
      </x:c>
      <x:c r="K129" s="85" t="n">
        <x:v>35386.684273970575</x:v>
      </x:c>
      <x:c r="L129" s="28" t="n">
        <x:v>41</x:v>
      </x:c>
      <x:c r="M129" s="28" t="n">
        <x:v>38</x:v>
      </x:c>
      <x:c r="N129" s="28" t="n">
        <x:v>1.862645149230957e-9</x:v>
      </x:c>
      <x:c r="O129" s="28" t="n">
        <x:v>1.4901161193847656e-8</x:v>
      </x:c>
      <x:c r="P129" s="28" t="n">
        <x:v>0</x:v>
      </x:c>
      <x:c r="Q129" s="62" t="b">
        <x:v>1</x:v>
      </x:c>
      <x:c r="R129" s="28" t="n">
        <x:v>0</x:v>
      </x:c>
      <x:c r="S129" s="28" t="str">
        <x:v>5382a6ccb18f152e</x:v>
      </x:c>
    </x:row>
    <x:row r="130" ht="21" customHeight="1">
      <x:c r="A130" s="60" t="n">
        <x:v>0.6</x:v>
      </x:c>
      <x:c r="B130" s="28" t="str">
        <x:v>middle_high</x:v>
      </x:c>
      <x:c r="C130" s="60" t="n">
        <x:v>0.85</x:v>
      </x:c>
      <x:c r="D130" s="60" t="n">
        <x:v>0.85</x:v>
      </x:c>
      <x:c r="E130" s="62" t="b">
        <x:v>1</x:v>
      </x:c>
      <x:c r="F130" s="62" t="b">
        <x:v>0</x:v>
      </x:c>
      <x:c r="G130" s="85" t="n">
        <x:v>15130085.241401248</x:v>
      </x:c>
      <x:c r="H130" s="85" t="n">
        <x:v>44023694.140376374</x:v>
      </x:c>
      <x:c r="I130" s="85" t="n">
        <x:v>109925464.75446677</x:v>
      </x:c>
      <x:c r="J130" s="85" t="n">
        <x:v>90000000.00000001</x:v>
      </x:c>
      <x:c r="K130" s="85" t="n">
        <x:v>22490.63457534116</x:v>
      </x:c>
      <x:c r="L130" s="28" t="n">
        <x:v>41</x:v>
      </x:c>
      <x:c r="M130" s="28" t="n">
        <x:v>38</x:v>
      </x:c>
      <x:c r="N130" s="28" t="n">
        <x:v>1.862645149230957e-9</x:v>
      </x:c>
      <x:c r="O130" s="28" t="n">
        <x:v>2.9802322387695312e-8</x:v>
      </x:c>
      <x:c r="P130" s="28" t="n">
        <x:v>0</x:v>
      </x:c>
      <x:c r="Q130" s="62" t="b">
        <x:v>1</x:v>
      </x:c>
      <x:c r="R130" s="28" t="n">
        <x:v>0</x:v>
      </x:c>
      <x:c r="S130" s="28" t="str">
        <x:v>5f36177ca275564e</x:v>
      </x:c>
    </x:row>
    <x:row r="131" ht="21" customHeight="1">
      <x:c r="A131" s="60" t="n">
        <x:v>0.6</x:v>
      </x:c>
      <x:c r="B131" s="28" t="str">
        <x:v>middle_high</x:v>
      </x:c>
      <x:c r="C131" s="60" t="n">
        <x:v>0.9</x:v>
      </x:c>
      <x:c r="D131" s="60" t="n">
        <x:v>0.9</x:v>
      </x:c>
      <x:c r="E131" s="62" t="b">
        <x:v>1</x:v>
      </x:c>
      <x:c r="F131" s="62" t="b">
        <x:v>0</x:v>
      </x:c>
      <x:c r="G131" s="85" t="n">
        <x:v>23498543.609535933</x:v>
      </x:c>
      <x:c r="H131" s="85" t="n">
        <x:v>54480916.335894644</x:v>
      </x:c>
      <x:c r="I131" s="85" t="n">
        <x:v>110265917.44493903</x:v>
      </x:c>
      <x:c r="J131" s="85" t="n">
        <x:v>90000000.00000001</x:v>
      </x:c>
      <x:c r="K131" s="85" t="n">
        <x:v>9594.584876708948</x:v>
      </x:c>
      <x:c r="L131" s="28" t="n">
        <x:v>41</x:v>
      </x:c>
      <x:c r="M131" s="28" t="n">
        <x:v>39</x:v>
      </x:c>
      <x:c r="N131" s="28" t="n">
        <x:v>1.862645149230957e-9</x:v>
      </x:c>
      <x:c r="O131" s="28" t="n">
        <x:v>2.9802322387695312e-8</x:v>
      </x:c>
      <x:c r="P131" s="28" t="n">
        <x:v>0</x:v>
      </x:c>
      <x:c r="Q131" s="62" t="b">
        <x:v>1</x:v>
      </x:c>
      <x:c r="R131" s="28" t="n">
        <x:v>0</x:v>
      </x:c>
      <x:c r="S131" s="28" t="str">
        <x:v>22bd92a4b347e15a</x:v>
      </x:c>
    </x:row>
    <x:row r="132" ht="21" customHeight="1">
      <x:c r="A132" s="60" t="n">
        <x:v>0.6</x:v>
      </x:c>
      <x:c r="B132" s="28" t="str">
        <x:v>middle_high</x:v>
      </x:c>
      <x:c r="C132" s="60" t="n">
        <x:v>0.95</x:v>
      </x:c>
      <x:c r="D132" s="60" t="n">
        <x:v>0.9361238209331334</x:v>
      </x:c>
      <x:c r="E132" s="62" t="b">
        <x:v>0</x:v>
      </x:c>
      <x:c r="F132" s="62" t="b">
        <x:v>0</x:v>
      </x:c>
      <x:c r="G132" s="85" t="n">
        <x:v>26640843.567719564</x:v>
      </x:c>
      <x:c r="H132" s="85" t="n">
        <x:v>59974514.30432629</x:v>
      </x:c>
      <x:c r="I132" s="85" t="n">
        <x:v>111753788.55479941</x:v>
      </x:c>
      <x:c r="J132" s="85" t="n">
        <x:v>90000000.00000001</x:v>
      </x:c>
      <x:c r="K132" s="85" t="n">
        <x:v>0</x:v>
      </x:c>
      <x:c r="L132" s="28" t="n">
        <x:v>42</x:v>
      </x:c>
      <x:c r="M132" s="28" t="n">
        <x:v>40</x:v>
      </x:c>
      <x:c r="N132" s="28" t="n">
        <x:v>1.862645149230957e-9</x:v>
      </x:c>
      <x:c r="O132" s="28" t="n">
        <x:v>1.4901161193847656e-8</x:v>
      </x:c>
      <x:c r="P132" s="28" t="n">
        <x:v>0</x:v>
      </x:c>
      <x:c r="Q132" s="62" t="b">
        <x:v>1</x:v>
      </x:c>
      <x:c r="R132" s="28" t="n">
        <x:v>4162853.720059991</x:v>
      </x:c>
      <x:c r="S132" s="28" t="str">
        <x:v>b818a5beec20f458</x:v>
      </x:c>
    </x:row>
    <x:row r="133" ht="21" customHeight="1">
      <x:c r="A133" s="60" t="n">
        <x:v>0.6</x:v>
      </x:c>
      <x:c r="B133" s="28" t="str">
        <x:v>middle_high</x:v>
      </x:c>
      <x:c r="C133" s="60" t="n">
        <x:v>1</x:v>
      </x:c>
      <x:c r="D133" s="60" t="n">
        <x:v>0.9498342654879072</x:v>
      </x:c>
      <x:c r="E133" s="62" t="b">
        <x:v>0</x:v>
      </x:c>
      <x:c r="F133" s="62" t="b">
        <x:v>0</x:v>
      </x:c>
      <x:c r="G133" s="85" t="n">
        <x:v>29478882.810164656</x:v>
      </x:c>
      <x:c r="H133" s="85" t="n">
        <x:v>63689267.47469607</x:v>
      </x:c>
      <x:c r="I133" s="85" t="n">
        <x:v>112023185.14758986</x:v>
      </x:c>
      <x:c r="J133" s="85" t="n">
        <x:v>90000000.00000001</x:v>
      </x:c>
      <x:c r="K133" s="85" t="n">
        <x:v>0</x:v>
      </x:c>
      <x:c r="L133" s="28" t="n">
        <x:v>42</x:v>
      </x:c>
      <x:c r="M133" s="28" t="n">
        <x:v>40</x:v>
      </x:c>
      <x:c r="N133" s="28" t="n">
        <x:v>1.862645149230957e-9</x:v>
      </x:c>
      <x:c r="O133" s="28" t="n">
        <x:v>1.4901161193847656e-8</x:v>
      </x:c>
      <x:c r="P133" s="28" t="n">
        <x:v>0</x:v>
      </x:c>
      <x:c r="Q133" s="62" t="b">
        <x:v>1</x:v>
      </x:c>
      <x:c r="R133" s="28" t="n">
        <x:v>15049720.35362786</x:v>
      </x:c>
      <x:c r="S133" s="28" t="str">
        <x:v>fb97fc90026f2c31</x:v>
      </x:c>
    </x:row>
    <x:row r="134" ht="21" customHeight="1">
      <x:c r="A134" s="60" t="n">
        <x:v>0.6</x:v>
      </x:c>
      <x:c r="B134" s="28" t="str">
        <x:v>back_flat</x:v>
      </x:c>
      <x:c r="C134" s="60" t="n">
        <x:v>0</x:v>
      </x:c>
      <x:c r="D134" s="60" t="n">
        <x:v>0</x:v>
      </x:c>
      <x:c r="E134" s="62" t="b">
        <x:v>1</x:v>
      </x:c>
      <x:c r="F134" s="62" t="b">
        <x:v>1</x:v>
      </x:c>
      <x:c r="G134" s="85" t="n">
        <x:v>0</x:v>
      </x:c>
      <x:c r="H134" s="85" t="n">
        <x:v>0</x:v>
      </x:c>
      <x:c r="I134" s="85" t="n">
        <x:v>0</x:v>
      </x:c>
      <x:c r="J134" s="85" t="n">
        <x:v>0</x:v>
      </x:c>
      <x:c r="K134" s="85" t="n">
        <x:v>29867310.874657497</x:v>
      </x:c>
      <x:c r="L134" s="28" t="n">
        <x:v>0</x:v>
      </x:c>
      <x:c r="M134" s="28" t="n">
        <x:v>0</x:v>
      </x:c>
      <x:c r="N134" s="28" t="n">
        <x:v>3.725290298461914e-9</x:v>
      </x:c>
      <x:c r="O134" s="28" t="n">
        <x:v>0</x:v>
      </x:c>
      <x:c r="P134" s="28" t="n">
        <x:v>0</x:v>
      </x:c>
      <x:c r="Q134" s="62" t="b">
        <x:v>1</x:v>
      </x:c>
      <x:c r="R134" s="28" t="n">
        <x:v>0</x:v>
      </x:c>
      <x:c r="S134" s="28" t="str">
        <x:v>58219c1124d3eef7</x:v>
      </x:c>
    </x:row>
    <x:row r="135" ht="21" customHeight="1">
      <x:c r="A135" s="60" t="n">
        <x:v>0.6</x:v>
      </x:c>
      <x:c r="B135" s="28" t="str">
        <x:v>back_flat</x:v>
      </x:c>
      <x:c r="C135" s="60" t="n">
        <x:v>0.05</x:v>
      </x:c>
      <x:c r="D135" s="60" t="n">
        <x:v>0.05</x:v>
      </x:c>
      <x:c r="E135" s="62" t="b">
        <x:v>1</x:v>
      </x:c>
      <x:c r="F135" s="62" t="b">
        <x:v>1</x:v>
      </x:c>
      <x:c r="G135" s="85" t="n">
        <x:v>0</x:v>
      </x:c>
      <x:c r="H135" s="85" t="n">
        <x:v>0</x:v>
      </x:c>
      <x:c r="I135" s="85" t="n">
        <x:v>0</x:v>
      </x:c>
      <x:c r="J135" s="85" t="n">
        <x:v>0</x:v>
      </x:c>
      <x:c r="K135" s="85" t="n">
        <x:v>18093087.595262263</x:v>
      </x:c>
      <x:c r="L135" s="28" t="n">
        <x:v>0</x:v>
      </x:c>
      <x:c r="M135" s="28" t="n">
        <x:v>0</x:v>
      </x:c>
      <x:c r="N135" s="28" t="n">
        <x:v>1.862645149230957e-9</x:v>
      </x:c>
      <x:c r="O135" s="28" t="n">
        <x:v>5.960464477539063e-8</x:v>
      </x:c>
      <x:c r="P135" s="28" t="n">
        <x:v>0</x:v>
      </x:c>
      <x:c r="Q135" s="62" t="b">
        <x:v>1</x:v>
      </x:c>
      <x:c r="R135" s="28" t="n">
        <x:v>0</x:v>
      </x:c>
      <x:c r="S135" s="28" t="str">
        <x:v>a2254046f821b99f</x:v>
      </x:c>
    </x:row>
    <x:row r="136" ht="21" customHeight="1">
      <x:c r="A136" s="60" t="n">
        <x:v>0.6</x:v>
      </x:c>
      <x:c r="B136" s="28" t="str">
        <x:v>back_flat</x:v>
      </x:c>
      <x:c r="C136" s="60" t="n">
        <x:v>0.1</x:v>
      </x:c>
      <x:c r="D136" s="60" t="n">
        <x:v>0.1</x:v>
      </x:c>
      <x:c r="E136" s="62" t="b">
        <x:v>1</x:v>
      </x:c>
      <x:c r="F136" s="62" t="b">
        <x:v>1</x:v>
      </x:c>
      <x:c r="G136" s="85" t="n">
        <x:v>0</x:v>
      </x:c>
      <x:c r="H136" s="85" t="n">
        <x:v>0</x:v>
      </x:c>
      <x:c r="I136" s="85" t="n">
        <x:v>0</x:v>
      </x:c>
      <x:c r="J136" s="85" t="n">
        <x:v>0</x:v>
      </x:c>
      <x:c r="K136" s="85" t="n">
        <x:v>6201632.778102723</x:v>
      </x:c>
      <x:c r="L136" s="28" t="n">
        <x:v>0</x:v>
      </x:c>
      <x:c r="M136" s="28" t="n">
        <x:v>0</x:v>
      </x:c>
      <x:c r="N136" s="28" t="n">
        <x:v>1.862645149230957e-9</x:v>
      </x:c>
      <x:c r="O136" s="28" t="n">
        <x:v>5.960464477539063e-8</x:v>
      </x:c>
      <x:c r="P136" s="28" t="n">
        <x:v>0</x:v>
      </x:c>
      <x:c r="Q136" s="62" t="b">
        <x:v>1</x:v>
      </x:c>
      <x:c r="R136" s="28" t="n">
        <x:v>0</x:v>
      </x:c>
      <x:c r="S136" s="28" t="str">
        <x:v>e2c7852f048e5921</x:v>
      </x:c>
    </x:row>
    <x:row r="137" ht="21" customHeight="1">
      <x:c r="A137" s="60" t="n">
        <x:v>0.6</x:v>
      </x:c>
      <x:c r="B137" s="28" t="str">
        <x:v>back_flat</x:v>
      </x:c>
      <x:c r="C137" s="60" t="n">
        <x:v>0.15</x:v>
      </x:c>
      <x:c r="D137" s="60" t="n">
        <x:v>0.15</x:v>
      </x:c>
      <x:c r="E137" s="62" t="b">
        <x:v>1</x:v>
      </x:c>
      <x:c r="F137" s="62" t="b">
        <x:v>1</x:v>
      </x:c>
      <x:c r="G137" s="85" t="n">
        <x:v>0</x:v>
      </x:c>
      <x:c r="H137" s="85" t="n">
        <x:v>0</x:v>
      </x:c>
      <x:c r="I137" s="85" t="n">
        <x:v>4834720.303052482</x:v>
      </x:c>
      <x:c r="J137" s="85" t="n">
        <x:v>0</x:v>
      </x:c>
      <x:c r="K137" s="85" t="n">
        <x:v>310190.5431920851</x:v>
      </x:c>
      <x:c r="L137" s="28" t="n">
        <x:v>0</x:v>
      </x:c>
      <x:c r="M137" s="28" t="n">
        <x:v>0</x:v>
      </x:c>
      <x:c r="N137" s="28" t="n">
        <x:v>3.725290298461914e-9</x:v>
      </x:c>
      <x:c r="O137" s="28" t="n">
        <x:v>5.960464477539063e-8</x:v>
      </x:c>
      <x:c r="P137" s="28" t="n">
        <x:v>0</x:v>
      </x:c>
      <x:c r="Q137" s="62" t="b">
        <x:v>1</x:v>
      </x:c>
      <x:c r="R137" s="28" t="n">
        <x:v>0</x:v>
      </x:c>
      <x:c r="S137" s="28" t="str">
        <x:v>956558f43768533d</x:v>
      </x:c>
    </x:row>
    <x:row r="138" ht="21" customHeight="1">
      <x:c r="A138" s="60" t="n">
        <x:v>0.6</x:v>
      </x:c>
      <x:c r="B138" s="28" t="str">
        <x:v>back_flat</x:v>
      </x:c>
      <x:c r="C138" s="60" t="n">
        <x:v>0.2</x:v>
      </x:c>
      <x:c r="D138" s="60" t="n">
        <x:v>0.2</x:v>
      </x:c>
      <x:c r="E138" s="62" t="b">
        <x:v>1</x:v>
      </x:c>
      <x:c r="F138" s="62" t="b">
        <x:v>1</x:v>
      </x:c>
      <x:c r="G138" s="85" t="n">
        <x:v>0</x:v>
      </x:c>
      <x:c r="H138" s="85" t="n">
        <x:v>0</x:v>
      </x:c>
      <x:c r="I138" s="85" t="n">
        <x:v>13024517.72301598</x:v>
      </x:c>
      <x:c r="J138" s="85" t="n">
        <x:v>6341080.834812444</x:v>
      </x:c>
      <x:c r="K138" s="85" t="n">
        <x:v>231325.85737533786</x:v>
      </x:c>
      <x:c r="L138" s="28" t="n">
        <x:v>0</x:v>
      </x:c>
      <x:c r="M138" s="28" t="n">
        <x:v>0</x:v>
      </x:c>
      <x:c r="N138" s="28" t="n">
        <x:v>1.862645149230957e-9</x:v>
      </x:c>
      <x:c r="O138" s="28" t="n">
        <x:v>2.9802322387695312e-8</x:v>
      </x:c>
      <x:c r="P138" s="28" t="n">
        <x:v>0</x:v>
      </x:c>
      <x:c r="Q138" s="62" t="b">
        <x:v>1</x:v>
      </x:c>
      <x:c r="R138" s="28" t="n">
        <x:v>0</x:v>
      </x:c>
      <x:c r="S138" s="28" t="str">
        <x:v>9b51efdb968aa5fa</x:v>
      </x:c>
    </x:row>
    <x:row r="139" ht="21" customHeight="1">
      <x:c r="A139" s="60" t="n">
        <x:v>0.6</x:v>
      </x:c>
      <x:c r="B139" s="28" t="str">
        <x:v>back_flat</x:v>
      </x:c>
      <x:c r="C139" s="60" t="n">
        <x:v>0.25</x:v>
      </x:c>
      <x:c r="D139" s="60" t="n">
        <x:v>0.25</x:v>
      </x:c>
      <x:c r="E139" s="62" t="b">
        <x:v>1</x:v>
      </x:c>
      <x:c r="F139" s="62" t="b">
        <x:v>1</x:v>
      </x:c>
      <x:c r="G139" s="85" t="n">
        <x:v>0</x:v>
      </x:c>
      <x:c r="H139" s="85" t="n">
        <x:v>0</x:v>
      </x:c>
      <x:c r="I139" s="85" t="n">
        <x:v>19363642.187116608</x:v>
      </x:c>
      <x:c r="J139" s="85" t="n">
        <x:v>15426351.043515662</x:v>
      </x:c>
      <x:c r="K139" s="85" t="n">
        <x:v>168473.44671917887</x:v>
      </x:c>
      <x:c r="L139" s="28" t="n">
        <x:v>0</x:v>
      </x:c>
      <x:c r="M139" s="28" t="n">
        <x:v>0</x:v>
      </x:c>
      <x:c r="N139" s="28" t="n">
        <x:v>3.725290298461914e-9</x:v>
      </x:c>
      <x:c r="O139" s="28" t="n">
        <x:v>2.9802322387695312e-8</x:v>
      </x:c>
      <x:c r="P139" s="28" t="n">
        <x:v>0</x:v>
      </x:c>
      <x:c r="Q139" s="62" t="b">
        <x:v>1</x:v>
      </x:c>
      <x:c r="R139" s="28" t="n">
        <x:v>0</x:v>
      </x:c>
      <x:c r="S139" s="28" t="str">
        <x:v>3ce058737f191f43</x:v>
      </x:c>
    </x:row>
    <x:row r="140" ht="21" customHeight="1">
      <x:c r="A140" s="60" t="n">
        <x:v>0.6</x:v>
      </x:c>
      <x:c r="B140" s="28" t="str">
        <x:v>back_flat</x:v>
      </x:c>
      <x:c r="C140" s="60" t="n">
        <x:v>0.3</x:v>
      </x:c>
      <x:c r="D140" s="60" t="n">
        <x:v>0.3</x:v>
      </x:c>
      <x:c r="E140" s="62" t="b">
        <x:v>1</x:v>
      </x:c>
      <x:c r="F140" s="62" t="b">
        <x:v>1</x:v>
      </x:c>
      <x:c r="G140" s="85" t="n">
        <x:v>0</x:v>
      </x:c>
      <x:c r="H140" s="85" t="n">
        <x:v>0</x:v>
      </x:c>
      <x:c r="I140" s="85" t="n">
        <x:v>25745515.18303302</x:v>
      </x:c>
      <x:c r="J140" s="85" t="n">
        <x:v>24511621.252218716</x:v>
      </x:c>
      <x:c r="K140" s="85" t="n">
        <x:v>124510.56403013537</x:v>
      </x:c>
      <x:c r="L140" s="28" t="n">
        <x:v>0</x:v>
      </x:c>
      <x:c r="M140" s="28" t="n">
        <x:v>0</x:v>
      </x:c>
      <x:c r="N140" s="28" t="n">
        <x:v>1.862645149230957e-9</x:v>
      </x:c>
      <x:c r="O140" s="28" t="n">
        <x:v>2.9802322387695312e-8</x:v>
      </x:c>
      <x:c r="P140" s="28" t="n">
        <x:v>0</x:v>
      </x:c>
      <x:c r="Q140" s="62" t="b">
        <x:v>1</x:v>
      </x:c>
      <x:c r="R140" s="28" t="n">
        <x:v>0</x:v>
      </x:c>
      <x:c r="S140" s="28" t="str">
        <x:v>9a68bc2256bacb39</x:v>
      </x:c>
    </x:row>
    <x:row r="141" ht="21" customHeight="1">
      <x:c r="A141" s="60" t="n">
        <x:v>0.6</x:v>
      </x:c>
      <x:c r="B141" s="28" t="str">
        <x:v>back_flat</x:v>
      </x:c>
      <x:c r="C141" s="60" t="n">
        <x:v>0.35</x:v>
      </x:c>
      <x:c r="D141" s="60" t="n">
        <x:v>0.35</x:v>
      </x:c>
      <x:c r="E141" s="62" t="b">
        <x:v>1</x:v>
      </x:c>
      <x:c r="F141" s="62" t="b">
        <x:v>1</x:v>
      </x:c>
      <x:c r="G141" s="85" t="n">
        <x:v>0</x:v>
      </x:c>
      <x:c r="H141" s="85" t="n">
        <x:v>0</x:v>
      </x:c>
      <x:c r="I141" s="85" t="n">
        <x:v>32197775.73005879</x:v>
      </x:c>
      <x:c r="J141" s="85" t="n">
        <x:v>33596891.460921794</x:v>
      </x:c>
      <x:c r="K141" s="85" t="n">
        <x:v>105365.00712192025</x:v>
      </x:c>
      <x:c r="L141" s="28" t="n">
        <x:v>0</x:v>
      </x:c>
      <x:c r="M141" s="28" t="n">
        <x:v>0</x:v>
      </x:c>
      <x:c r="N141" s="28" t="n">
        <x:v>3.725290298461914e-9</x:v>
      </x:c>
      <x:c r="O141" s="28" t="n">
        <x:v>2.9802322387695312e-8</x:v>
      </x:c>
      <x:c r="P141" s="28" t="n">
        <x:v>0</x:v>
      </x:c>
      <x:c r="Q141" s="62" t="b">
        <x:v>1</x:v>
      </x:c>
      <x:c r="R141" s="28" t="n">
        <x:v>0</x:v>
      </x:c>
      <x:c r="S141" s="28" t="str">
        <x:v>754eaed1395c7042</x:v>
      </x:c>
    </x:row>
    <x:row r="142" ht="21" customHeight="1">
      <x:c r="A142" s="60" t="n">
        <x:v>0.6</x:v>
      </x:c>
      <x:c r="B142" s="28" t="str">
        <x:v>back_flat</x:v>
      </x:c>
      <x:c r="C142" s="60" t="n">
        <x:v>0.4</x:v>
      </x:c>
      <x:c r="D142" s="60" t="n">
        <x:v>0.4</x:v>
      </x:c>
      <x:c r="E142" s="62" t="b">
        <x:v>1</x:v>
      </x:c>
      <x:c r="F142" s="62" t="b">
        <x:v>1</x:v>
      </x:c>
      <x:c r="G142" s="85" t="n">
        <x:v>0</x:v>
      </x:c>
      <x:c r="H142" s="85" t="n">
        <x:v>0</x:v>
      </x:c>
      <x:c r="I142" s="85" t="n">
        <x:v>38656145.5232962</x:v>
      </x:c>
      <x:c r="J142" s="85" t="n">
        <x:v>42682161.66962496</x:v>
      </x:c>
      <x:c r="K142" s="85" t="n">
        <x:v>86219.45021370024</x:v>
      </x:c>
      <x:c r="L142" s="28" t="n">
        <x:v>0</x:v>
      </x:c>
      <x:c r="M142" s="28" t="n">
        <x:v>0</x:v>
      </x:c>
      <x:c r="N142" s="28" t="n">
        <x:v>1.862645149230957e-9</x:v>
      </x:c>
      <x:c r="O142" s="28" t="n">
        <x:v>2.9802322387695312e-8</x:v>
      </x:c>
      <x:c r="P142" s="28" t="n">
        <x:v>0</x:v>
      </x:c>
      <x:c r="Q142" s="62" t="b">
        <x:v>1</x:v>
      </x:c>
      <x:c r="R142" s="28" t="n">
        <x:v>0</x:v>
      </x:c>
      <x:c r="S142" s="28" t="str">
        <x:v>c9d54146aa73253a</x:v>
      </x:c>
    </x:row>
    <x:row r="143" ht="21" customHeight="1">
      <x:c r="A143" s="60" t="n">
        <x:v>0.6</x:v>
      </x:c>
      <x:c r="B143" s="28" t="str">
        <x:v>back_flat</x:v>
      </x:c>
      <x:c r="C143" s="60" t="n">
        <x:v>0.45</x:v>
      </x:c>
      <x:c r="D143" s="60" t="n">
        <x:v>0.45</x:v>
      </x:c>
      <x:c r="E143" s="62" t="b">
        <x:v>1</x:v>
      </x:c>
      <x:c r="F143" s="62" t="b">
        <x:v>1</x:v>
      </x:c>
      <x:c r="G143" s="85" t="n">
        <x:v>0</x:v>
      </x:c>
      <x:c r="H143" s="85" t="n">
        <x:v>0</x:v>
      </x:c>
      <x:c r="I143" s="85" t="n">
        <x:v>45102640.21597988</x:v>
      </x:c>
      <x:c r="J143" s="85" t="n">
        <x:v>51767431.87832807</x:v>
      </x:c>
      <x:c r="K143" s="85" t="n">
        <x:v>67073.89330547536</x:v>
      </x:c>
      <x:c r="L143" s="28" t="n">
        <x:v>0</x:v>
      </x:c>
      <x:c r="M143" s="28" t="n">
        <x:v>0</x:v>
      </x:c>
      <x:c r="N143" s="28" t="n">
        <x:v>3.725290298461914e-9</x:v>
      </x:c>
      <x:c r="O143" s="28" t="n">
        <x:v>1.4901161193847656e-8</x:v>
      </x:c>
      <x:c r="P143" s="28" t="n">
        <x:v>0</x:v>
      </x:c>
      <x:c r="Q143" s="62" t="b">
        <x:v>1</x:v>
      </x:c>
      <x:c r="R143" s="28" t="n">
        <x:v>0</x:v>
      </x:c>
      <x:c r="S143" s="28" t="str">
        <x:v>cc6469c0ffa3a72c</x:v>
      </x:c>
    </x:row>
    <x:row r="144" ht="21" customHeight="1">
      <x:c r="A144" s="60" t="n">
        <x:v>0.6</x:v>
      </x:c>
      <x:c r="B144" s="28" t="str">
        <x:v>back_flat</x:v>
      </x:c>
      <x:c r="C144" s="60" t="n">
        <x:v>0.5</x:v>
      </x:c>
      <x:c r="D144" s="60" t="n">
        <x:v>0.5</x:v>
      </x:c>
      <x:c r="E144" s="62" t="b">
        <x:v>1</x:v>
      </x:c>
      <x:c r="F144" s="62" t="b">
        <x:v>1</x:v>
      </x:c>
      <x:c r="G144" s="85" t="n">
        <x:v>0</x:v>
      </x:c>
      <x:c r="H144" s="85" t="n">
        <x:v>0</x:v>
      </x:c>
      <x:c r="I144" s="85" t="n">
        <x:v>51824947.2340295</x:v>
      </x:c>
      <x:c r="J144" s="85" t="n">
        <x:v>60160959.72196021</x:v>
      </x:c>
      <x:c r="K144" s="85" t="n">
        <x:v>47928.33639726117</x:v>
      </x:c>
      <x:c r="L144" s="28" t="n">
        <x:v>2</x:v>
      </x:c>
      <x:c r="M144" s="28" t="n">
        <x:v>0</x:v>
      </x:c>
      <x:c r="N144" s="28" t="n">
        <x:v>3.725290298461914e-9</x:v>
      </x:c>
      <x:c r="O144" s="28" t="n">
        <x:v>2.9802322387695312e-8</x:v>
      </x:c>
      <x:c r="P144" s="28" t="n">
        <x:v>0</x:v>
      </x:c>
      <x:c r="Q144" s="62" t="b">
        <x:v>1</x:v>
      </x:c>
      <x:c r="R144" s="28" t="n">
        <x:v>0</x:v>
      </x:c>
      <x:c r="S144" s="28" t="str">
        <x:v>f9aed43fe5e893dd</x:v>
      </x:c>
    </x:row>
    <x:row r="145" ht="21" customHeight="1">
      <x:c r="A145" s="60" t="n">
        <x:v>0.6</x:v>
      </x:c>
      <x:c r="B145" s="28" t="str">
        <x:v>back_flat</x:v>
      </x:c>
      <x:c r="C145" s="60" t="n">
        <x:v>0.55</x:v>
      </x:c>
      <x:c r="D145" s="60" t="n">
        <x:v>0.55</x:v>
      </x:c>
      <x:c r="E145" s="62" t="b">
        <x:v>1</x:v>
      </x:c>
      <x:c r="F145" s="62" t="b">
        <x:v>1</x:v>
      </x:c>
      <x:c r="G145" s="85" t="n">
        <x:v>0</x:v>
      </x:c>
      <x:c r="H145" s="85" t="n">
        <x:v>0</x:v>
      </x:c>
      <x:c r="I145" s="85" t="n">
        <x:v>58587172.27952529</x:v>
      </x:c>
      <x:c r="J145" s="85" t="n">
        <x:v>68437125.67081258</x:v>
      </x:c>
      <x:c r="K145" s="85" t="n">
        <x:v>28782.779489037202</x:v>
      </x:c>
      <x:c r="L145" s="28" t="n">
        <x:v>5</x:v>
      </x:c>
      <x:c r="M145" s="28" t="n">
        <x:v>1</x:v>
      </x:c>
      <x:c r="N145" s="28" t="n">
        <x:v>1.862645149230957e-9</x:v>
      </x:c>
      <x:c r="O145" s="28" t="n">
        <x:v>2.9802322387695312e-8</x:v>
      </x:c>
      <x:c r="P145" s="28" t="n">
        <x:v>0</x:v>
      </x:c>
      <x:c r="Q145" s="62" t="b">
        <x:v>1</x:v>
      </x:c>
      <x:c r="R145" s="28" t="n">
        <x:v>0</x:v>
      </x:c>
      <x:c r="S145" s="28" t="str">
        <x:v>738f230249d455ef</x:v>
      </x:c>
    </x:row>
    <x:row r="146" ht="21" customHeight="1">
      <x:c r="A146" s="60" t="n">
        <x:v>0.6</x:v>
      </x:c>
      <x:c r="B146" s="28" t="str">
        <x:v>back_flat</x:v>
      </x:c>
      <x:c r="C146" s="60" t="n">
        <x:v>0.6</x:v>
      </x:c>
      <x:c r="D146" s="60" t="n">
        <x:v>0.6</x:v>
      </x:c>
      <x:c r="E146" s="62" t="b">
        <x:v>1</x:v>
      </x:c>
      <x:c r="F146" s="62" t="b">
        <x:v>1</x:v>
      </x:c>
      <x:c r="G146" s="85" t="n">
        <x:v>0</x:v>
      </x:c>
      <x:c r="H146" s="85" t="n">
        <x:v>0</x:v>
      </x:c>
      <x:c r="I146" s="85" t="n">
        <x:v>65275306.989708684</x:v>
      </x:c>
      <x:c r="J146" s="85" t="n">
        <x:v>76728656.7851907</x:v>
      </x:c>
      <x:c r="K146" s="85" t="n">
        <x:v>9637.222580825823</x:v>
      </x:c>
      <x:c r="L146" s="28" t="n">
        <x:v>9</x:v>
      </x:c>
      <x:c r="M146" s="28" t="n">
        <x:v>3</x:v>
      </x:c>
      <x:c r="N146" s="28" t="n">
        <x:v>1.862645149230957e-9</x:v>
      </x:c>
      <x:c r="O146" s="28" t="n">
        <x:v>2.9802322387695312e-8</x:v>
      </x:c>
      <x:c r="P146" s="28" t="n">
        <x:v>0</x:v>
      </x:c>
      <x:c r="Q146" s="62" t="b">
        <x:v>1</x:v>
      </x:c>
      <x:c r="R146" s="28" t="n">
        <x:v>0</x:v>
      </x:c>
      <x:c r="S146" s="28" t="str">
        <x:v>c540c1f3a9fff5f4</x:v>
      </x:c>
    </x:row>
    <x:row r="147" ht="21" customHeight="1">
      <x:c r="A147" s="60" t="n">
        <x:v>0.6</x:v>
      </x:c>
      <x:c r="B147" s="28" t="str">
        <x:v>back_flat</x:v>
      </x:c>
      <x:c r="C147" s="60" t="n">
        <x:v>0.65</x:v>
      </x:c>
      <x:c r="D147" s="60" t="n">
        <x:v>0.65</x:v>
      </x:c>
      <x:c r="E147" s="62" t="b">
        <x:v>1</x:v>
      </x:c>
      <x:c r="F147" s="62" t="b">
        <x:v>1</x:v>
      </x:c>
      <x:c r="G147" s="85" t="n">
        <x:v>0</x:v>
      </x:c>
      <x:c r="H147" s="85" t="n">
        <x:v>0</x:v>
      </x:c>
      <x:c r="I147" s="85" t="n">
        <x:v>71648056.56684521</x:v>
      </x:c>
      <x:c r="J147" s="85" t="n">
        <x:v>85399713.17410521</x:v>
      </x:c>
      <x:c r="K147" s="85" t="n">
        <x:v>0</x:v>
      </x:c>
      <x:c r="L147" s="28" t="n">
        <x:v>12</x:v>
      </x:c>
      <x:c r="M147" s="28" t="n">
        <x:v>7</x:v>
      </x:c>
      <x:c r="N147" s="28" t="n">
        <x:v>1.862645149230957e-9</x:v>
      </x:c>
      <x:c r="O147" s="28" t="n">
        <x:v>1.4901161193847656e-8</x:v>
      </x:c>
      <x:c r="P147" s="28" t="n">
        <x:v>0</x:v>
      </x:c>
      <x:c r="Q147" s="62" t="b">
        <x:v>1</x:v>
      </x:c>
      <x:c r="R147" s="28" t="n">
        <x:v>0</x:v>
      </x:c>
      <x:c r="S147" s="28" t="str">
        <x:v>879edddea875cd3a</x:v>
      </x:c>
    </x:row>
    <x:row r="148" ht="21" customHeight="1">
      <x:c r="A148" s="60" t="n">
        <x:v>0.6</x:v>
      </x:c>
      <x:c r="B148" s="28" t="str">
        <x:v>back_flat</x:v>
      </x:c>
      <x:c r="C148" s="60" t="n">
        <x:v>0.7</x:v>
      </x:c>
      <x:c r="D148" s="60" t="n">
        <x:v>0.7</x:v>
      </x:c>
      <x:c r="E148" s="62" t="b">
        <x:v>1</x:v>
      </x:c>
      <x:c r="F148" s="62" t="b">
        <x:v>0</x:v>
      </x:c>
      <x:c r="G148" s="85" t="n">
        <x:v>875789.2911087766</x:v>
      </x:c>
      <x:c r="H148" s="85" t="n">
        <x:v>5701061.09654218</x:v>
      </x:c>
      <x:c r="I148" s="85" t="n">
        <x:v>75161249.04780853</x:v>
      </x:c>
      <x:c r="J148" s="85" t="n">
        <x:v>90000000.00000001</x:v>
      </x:c>
      <x:c r="K148" s="85" t="n">
        <x:v>0</x:v>
      </x:c>
      <x:c r="L148" s="28" t="n">
        <x:v>37</x:v>
      </x:c>
      <x:c r="M148" s="28" t="n">
        <x:v>32</x:v>
      </x:c>
      <x:c r="N148" s="28" t="n">
        <x:v>1.862645149230957e-9</x:v>
      </x:c>
      <x:c r="O148" s="28" t="n">
        <x:v>2.9802322387695312e-8</x:v>
      </x:c>
      <x:c r="P148" s="28" t="n">
        <x:v>0</x:v>
      </x:c>
      <x:c r="Q148" s="62" t="b">
        <x:v>1</x:v>
      </x:c>
      <x:c r="R148" s="28" t="n">
        <x:v>0</x:v>
      </x:c>
      <x:c r="S148" s="28" t="str">
        <x:v>27ed252b8174f5d6</x:v>
      </x:c>
    </x:row>
    <x:row r="149" ht="21" customHeight="1">
      <x:c r="A149" s="60" t="n">
        <x:v>0.6</x:v>
      </x:c>
      <x:c r="B149" s="28" t="str">
        <x:v>back_flat</x:v>
      </x:c>
      <x:c r="C149" s="60" t="n">
        <x:v>0.75</x:v>
      </x:c>
      <x:c r="D149" s="60" t="n">
        <x:v>0.75</x:v>
      </x:c>
      <x:c r="E149" s="62" t="b">
        <x:v>1</x:v>
      </x:c>
      <x:c r="F149" s="62" t="b">
        <x:v>0</x:v>
      </x:c>
      <x:c r="G149" s="85" t="n">
        <x:v>2893089.4352997025</x:v>
      </x:c>
      <x:c r="H149" s="85" t="n">
        <x:v>16448345.744692232</x:v>
      </x:c>
      <x:c r="I149" s="85" t="n">
        <x:v>76443158.52454871</x:v>
      </x:c>
      <x:c r="J149" s="85" t="n">
        <x:v>90000000.00000001</x:v>
      </x:c>
      <x:c r="K149" s="85" t="n">
        <x:v>0</x:v>
      </x:c>
      <x:c r="L149" s="28" t="n">
        <x:v>38</x:v>
      </x:c>
      <x:c r="M149" s="28" t="n">
        <x:v>33</x:v>
      </x:c>
      <x:c r="N149" s="28" t="n">
        <x:v>1.862645149230957e-9</x:v>
      </x:c>
      <x:c r="O149" s="28" t="n">
        <x:v>2.9802322387695312e-8</x:v>
      </x:c>
      <x:c r="P149" s="28" t="n">
        <x:v>0</x:v>
      </x:c>
      <x:c r="Q149" s="62" t="b">
        <x:v>1</x:v>
      </x:c>
      <x:c r="R149" s="28" t="n">
        <x:v>0</x:v>
      </x:c>
      <x:c r="S149" s="28" t="str">
        <x:v>a58e4c4a09487344</x:v>
      </x:c>
    </x:row>
    <x:row r="150" ht="21" customHeight="1">
      <x:c r="A150" s="60" t="n">
        <x:v>0.6</x:v>
      </x:c>
      <x:c r="B150" s="28" t="str">
        <x:v>back_flat</x:v>
      </x:c>
      <x:c r="C150" s="60" t="n">
        <x:v>0.8</x:v>
      </x:c>
      <x:c r="D150" s="60" t="n">
        <x:v>0.8</x:v>
      </x:c>
      <x:c r="E150" s="62" t="b">
        <x:v>1</x:v>
      </x:c>
      <x:c r="F150" s="62" t="b">
        <x:v>0</x:v>
      </x:c>
      <x:c r="G150" s="85" t="n">
        <x:v>5343933.435472556</x:v>
      </x:c>
      <x:c r="H150" s="85" t="n">
        <x:v>27954381.95279687</x:v>
      </x:c>
      <x:c r="I150" s="85" t="n">
        <x:v>76809456.32034057</x:v>
      </x:c>
      <x:c r="J150" s="85" t="n">
        <x:v>90000000.00000001</x:v>
      </x:c>
      <x:c r="K150" s="85" t="n">
        <x:v>0</x:v>
      </x:c>
      <x:c r="L150" s="28" t="n">
        <x:v>38</x:v>
      </x:c>
      <x:c r="M150" s="28" t="n">
        <x:v>34</x:v>
      </x:c>
      <x:c r="N150" s="28" t="n">
        <x:v>1.862645149230957e-9</x:v>
      </x:c>
      <x:c r="O150" s="28" t="n">
        <x:v>1.4901161193847656e-8</x:v>
      </x:c>
      <x:c r="P150" s="28" t="n">
        <x:v>0</x:v>
      </x:c>
      <x:c r="Q150" s="62" t="b">
        <x:v>1</x:v>
      </x:c>
      <x:c r="R150" s="28" t="n">
        <x:v>0</x:v>
      </x:c>
      <x:c r="S150" s="28" t="str">
        <x:v>977b32d532cae130</x:v>
      </x:c>
    </x:row>
    <x:row r="151" ht="21" customHeight="1">
      <x:c r="A151" s="60" t="n">
        <x:v>0.6</x:v>
      </x:c>
      <x:c r="B151" s="28" t="str">
        <x:v>back_flat</x:v>
      </x:c>
      <x:c r="C151" s="60" t="n">
        <x:v>0.85</x:v>
      </x:c>
      <x:c r="D151" s="60" t="n">
        <x:v>0.85</x:v>
      </x:c>
      <x:c r="E151" s="62" t="b">
        <x:v>1</x:v>
      </x:c>
      <x:c r="F151" s="62" t="b">
        <x:v>0</x:v>
      </x:c>
      <x:c r="G151" s="85" t="n">
        <x:v>7693738.811496435</x:v>
      </x:c>
      <x:c r="H151" s="85" t="n">
        <x:v>38010305.273175746</x:v>
      </x:c>
      <x:c r="I151" s="85" t="n">
        <x:v>78067017.54541345</x:v>
      </x:c>
      <x:c r="J151" s="85" t="n">
        <x:v>90000000.00000001</x:v>
      </x:c>
      <x:c r="K151" s="85" t="n">
        <x:v>0</x:v>
      </x:c>
      <x:c r="L151" s="28" t="n">
        <x:v>39</x:v>
      </x:c>
      <x:c r="M151" s="28" t="n">
        <x:v>34</x:v>
      </x:c>
      <x:c r="N151" s="28" t="n">
        <x:v>1.862645149230957e-9</x:v>
      </x:c>
      <x:c r="O151" s="28" t="n">
        <x:v>2.9802322387695312e-8</x:v>
      </x:c>
      <x:c r="P151" s="28" t="n">
        <x:v>0</x:v>
      </x:c>
      <x:c r="Q151" s="62" t="b">
        <x:v>1</x:v>
      </x:c>
      <x:c r="R151" s="28" t="n">
        <x:v>0</x:v>
      </x:c>
      <x:c r="S151" s="28" t="str">
        <x:v>cdfe4c5816588c8b</x:v>
      </x:c>
    </x:row>
    <x:row r="152" ht="21" customHeight="1">
      <x:c r="A152" s="60" t="n">
        <x:v>0.6</x:v>
      </x:c>
      <x:c r="B152" s="28" t="str">
        <x:v>back_flat</x:v>
      </x:c>
      <x:c r="C152" s="60" t="n">
        <x:v>0.9</x:v>
      </x:c>
      <x:c r="D152" s="60" t="n">
        <x:v>0.8948658400492392</x:v>
      </x:c>
      <x:c r="E152" s="62" t="b">
        <x:v>0</x:v>
      </x:c>
      <x:c r="F152" s="62" t="b">
        <x:v>0</x:v>
      </x:c>
      <x:c r="G152" s="85" t="n">
        <x:v>11987984.602180049</x:v>
      </x:c>
      <x:c r="H152" s="85" t="n">
        <x:v>45388307.32952697</x:v>
      </x:c>
      <x:c r="I152" s="85" t="n">
        <x:v>78358512.39586888</x:v>
      </x:c>
      <x:c r="J152" s="85" t="n">
        <x:v>90000000.00000001</x:v>
      </x:c>
      <x:c r="K152" s="85" t="n">
        <x:v>0</x:v>
      </x:c>
      <x:c r="L152" s="28" t="n">
        <x:v>39</x:v>
      </x:c>
      <x:c r="M152" s="28" t="n">
        <x:v>36</x:v>
      </x:c>
      <x:c r="N152" s="28" t="n">
        <x:v>1.862645149230957e-9</x:v>
      </x:c>
      <x:c r="O152" s="28" t="n">
        <x:v>2.9802322387695312e-8</x:v>
      </x:c>
      <x:c r="P152" s="28" t="n">
        <x:v>0</x:v>
      </x:c>
      <x:c r="Q152" s="62" t="b">
        <x:v>1</x:v>
      </x:c>
      <x:c r="R152" s="28" t="n">
        <x:v>1540247.9852282405</x:v>
      </x:c>
      <x:c r="S152" s="28" t="str">
        <x:v>c9a5848972f3be05</x:v>
      </x:c>
    </x:row>
    <x:row r="153" ht="21" customHeight="1">
      <x:c r="A153" s="60" t="n">
        <x:v>0.6</x:v>
      </x:c>
      <x:c r="B153" s="28" t="str">
        <x:v>back_flat</x:v>
      </x:c>
      <x:c r="C153" s="60" t="n">
        <x:v>0.95</x:v>
      </x:c>
      <x:c r="D153" s="60" t="n">
        <x:v>0.9083032015334562</x:v>
      </x:c>
      <x:c r="E153" s="62" t="b">
        <x:v>0</x:v>
      </x:c>
      <x:c r="F153" s="62" t="b">
        <x:v>0</x:v>
      </x:c>
      <x:c r="G153" s="85" t="n">
        <x:v>12678806.30270454</x:v>
      </x:c>
      <x:c r="H153" s="85" t="n">
        <x:v>48003861.87800462</x:v>
      </x:c>
      <x:c r="I153" s="85" t="n">
        <x:v>79466857.13733335</x:v>
      </x:c>
      <x:c r="J153" s="85" t="n">
        <x:v>90000000.00000001</x:v>
      </x:c>
      <x:c r="K153" s="85" t="n">
        <x:v>0</x:v>
      </x:c>
      <x:c r="L153" s="28" t="n">
        <x:v>40</x:v>
      </x:c>
      <x:c r="M153" s="28" t="n">
        <x:v>36</x:v>
      </x:c>
      <x:c r="N153" s="28" t="n">
        <x:v>1.862645149230957e-9</x:v>
      </x:c>
      <x:c r="O153" s="28" t="n">
        <x:v>2.9802322387695312e-8</x:v>
      </x:c>
      <x:c r="P153" s="28" t="n">
        <x:v>0</x:v>
      </x:c>
      <x:c r="Q153" s="62" t="b">
        <x:v>1</x:v>
      </x:c>
      <x:c r="R153" s="28" t="n">
        <x:v>12509039.539963126</x:v>
      </x:c>
      <x:c r="S153" s="28" t="str">
        <x:v>ac4d658563238ff8</x:v>
      </x:c>
    </x:row>
    <x:row r="154" ht="21" customHeight="1">
      <x:c r="A154" s="60" t="n">
        <x:v>0.6</x:v>
      </x:c>
      <x:c r="B154" s="28" t="str">
        <x:v>back_flat</x:v>
      </x:c>
      <x:c r="C154" s="60" t="n">
        <x:v>1</x:v>
      </x:c>
      <x:c r="D154" s="60" t="n">
        <x:v>0.920601109498915</x:v>
      </x:c>
      <x:c r="E154" s="62" t="b">
        <x:v>0</x:v>
      </x:c>
      <x:c r="F154" s="62" t="b">
        <x:v>0</x:v>
      </x:c>
      <x:c r="G154" s="85" t="n">
        <x:v>13984343.206878599</x:v>
      </x:c>
      <x:c r="H154" s="85" t="n">
        <x:v>50813177.144414134</x:v>
      </x:c>
      <x:c r="I154" s="85" t="n">
        <x:v>79694774.567777</x:v>
      </x:c>
      <x:c r="J154" s="85" t="n">
        <x:v>90000000.00000001</x:v>
      </x:c>
      <x:c r="K154" s="85" t="n">
        <x:v>0</x:v>
      </x:c>
      <x:c r="L154" s="28" t="n">
        <x:v>40</x:v>
      </x:c>
      <x:c r="M154" s="28" t="n">
        <x:v>36</x:v>
      </x:c>
      <x:c r="N154" s="28" t="n">
        <x:v>1.862645149230957e-9</x:v>
      </x:c>
      <x:c r="O154" s="28" t="n">
        <x:v>2.9802322387695312e-8</x:v>
      </x:c>
      <x:c r="P154" s="28" t="n">
        <x:v>0</x:v>
      </x:c>
      <x:c r="Q154" s="62" t="b">
        <x:v>1</x:v>
      </x:c>
      <x:c r="R154" s="28" t="n">
        <x:v>23819667.150325477</x:v>
      </x:c>
      <x:c r="S154" s="28" t="str">
        <x:v>955c5024882cab79</x:v>
      </x:c>
    </x:row>
    <x:row r="155" ht="21" customHeight="1">
      <x:c r="A155" s="60" t="n">
        <x:v>0.6</x:v>
      </x:c>
      <x:c r="B155" s="28" t="str">
        <x:v>back_low</x:v>
      </x:c>
      <x:c r="C155" s="60" t="n">
        <x:v>0</x:v>
      </x:c>
      <x:c r="D155" s="60" t="n">
        <x:v>0</x:v>
      </x:c>
      <x:c r="E155" s="62" t="b">
        <x:v>1</x:v>
      </x:c>
      <x:c r="F155" s="62" t="b">
        <x:v>1</x:v>
      </x:c>
      <x:c r="G155" s="85" t="n">
        <x:v>0</x:v>
      </x:c>
      <x:c r="H155" s="85" t="n">
        <x:v>0</x:v>
      </x:c>
      <x:c r="I155" s="85" t="n">
        <x:v>0</x:v>
      </x:c>
      <x:c r="J155" s="85" t="n">
        <x:v>0</x:v>
      </x:c>
      <x:c r="K155" s="85" t="n">
        <x:v>25874484.34041092</x:v>
      </x:c>
      <x:c r="L155" s="28" t="n">
        <x:v>0</x:v>
      </x:c>
      <x:c r="M155" s="28" t="n">
        <x:v>0</x:v>
      </x:c>
      <x:c r="N155" s="28" t="n">
        <x:v>1.862645149230957e-9</x:v>
      </x:c>
      <x:c r="O155" s="28" t="n">
        <x:v>0</x:v>
      </x:c>
      <x:c r="P155" s="28" t="n">
        <x:v>0</x:v>
      </x:c>
      <x:c r="Q155" s="62" t="b">
        <x:v>1</x:v>
      </x:c>
      <x:c r="R155" s="28" t="n">
        <x:v>0</x:v>
      </x:c>
      <x:c r="S155" s="28" t="str">
        <x:v>0665606b451aec52</x:v>
      </x:c>
    </x:row>
    <x:row r="156" ht="21" customHeight="1">
      <x:c r="A156" s="60" t="n">
        <x:v>0.6</x:v>
      </x:c>
      <x:c r="B156" s="28" t="str">
        <x:v>back_low</x:v>
      </x:c>
      <x:c r="C156" s="60" t="n">
        <x:v>0.05</x:v>
      </x:c>
      <x:c r="D156" s="60" t="n">
        <x:v>0.05</x:v>
      </x:c>
      <x:c r="E156" s="62" t="b">
        <x:v>1</x:v>
      </x:c>
      <x:c r="F156" s="62" t="b">
        <x:v>1</x:v>
      </x:c>
      <x:c r="G156" s="85" t="n">
        <x:v>0</x:v>
      </x:c>
      <x:c r="H156" s="85" t="n">
        <x:v>0</x:v>
      </x:c>
      <x:c r="I156" s="85" t="n">
        <x:v>0</x:v>
      </x:c>
      <x:c r="J156" s="85" t="n">
        <x:v>0</x:v>
      </x:c>
      <x:c r="K156" s="85" t="n">
        <x:v>15222077.790221982</x:v>
      </x:c>
      <x:c r="L156" s="28" t="n">
        <x:v>0</x:v>
      </x:c>
      <x:c r="M156" s="28" t="n">
        <x:v>0</x:v>
      </x:c>
      <x:c r="N156" s="28" t="n">
        <x:v>3.725290298461914e-9</x:v>
      </x:c>
      <x:c r="O156" s="28" t="n">
        <x:v>5.960464477539063e-8</x:v>
      </x:c>
      <x:c r="P156" s="28" t="n">
        <x:v>0</x:v>
      </x:c>
      <x:c r="Q156" s="62" t="b">
        <x:v>1</x:v>
      </x:c>
      <x:c r="R156" s="28" t="n">
        <x:v>0</x:v>
      </x:c>
      <x:c r="S156" s="28" t="str">
        <x:v>37cf5634205eca89</x:v>
      </x:c>
    </x:row>
    <x:row r="157" ht="21" customHeight="1">
      <x:c r="A157" s="60" t="n">
        <x:v>0.6</x:v>
      </x:c>
      <x:c r="B157" s="28" t="str">
        <x:v>back_low</x:v>
      </x:c>
      <x:c r="C157" s="60" t="n">
        <x:v>0.1</x:v>
      </x:c>
      <x:c r="D157" s="60" t="n">
        <x:v>0.1</x:v>
      </x:c>
      <x:c r="E157" s="62" t="b">
        <x:v>1</x:v>
      </x:c>
      <x:c r="F157" s="62" t="b">
        <x:v>1</x:v>
      </x:c>
      <x:c r="G157" s="85" t="n">
        <x:v>0</x:v>
      </x:c>
      <x:c r="H157" s="85" t="n">
        <x:v>0</x:v>
      </x:c>
      <x:c r="I157" s="85" t="n">
        <x:v>0</x:v>
      </x:c>
      <x:c r="J157" s="85" t="n">
        <x:v>0</x:v>
      </x:c>
      <x:c r="K157" s="85" t="n">
        <x:v>4486919.566317092</x:v>
      </x:c>
      <x:c r="L157" s="28" t="n">
        <x:v>0</x:v>
      </x:c>
      <x:c r="M157" s="28" t="n">
        <x:v>0</x:v>
      </x:c>
      <x:c r="N157" s="28" t="n">
        <x:v>1.862645149230957e-9</x:v>
      </x:c>
      <x:c r="O157" s="28" t="n">
        <x:v>5.960464477539063e-8</x:v>
      </x:c>
      <x:c r="P157" s="28" t="n">
        <x:v>0</x:v>
      </x:c>
      <x:c r="Q157" s="62" t="b">
        <x:v>1</x:v>
      </x:c>
      <x:c r="R157" s="28" t="n">
        <x:v>0</x:v>
      </x:c>
      <x:c r="S157" s="28" t="str">
        <x:v>063b9c82a9edfef0</x:v>
      </x:c>
    </x:row>
    <x:row r="158" ht="21" customHeight="1">
      <x:c r="A158" s="60" t="n">
        <x:v>0.6</x:v>
      </x:c>
      <x:c r="B158" s="28" t="str">
        <x:v>back_low</x:v>
      </x:c>
      <x:c r="C158" s="60" t="n">
        <x:v>0.15</x:v>
      </x:c>
      <x:c r="D158" s="60" t="n">
        <x:v>0.15</x:v>
      </x:c>
      <x:c r="E158" s="62" t="b">
        <x:v>1</x:v>
      </x:c>
      <x:c r="F158" s="62" t="b">
        <x:v>1</x:v>
      </x:c>
      <x:c r="G158" s="85" t="n">
        <x:v>0</x:v>
      </x:c>
      <x:c r="H158" s="85" t="n">
        <x:v>0</x:v>
      </x:c>
      <x:c r="I158" s="85" t="n">
        <x:v>4445549.542723524</x:v>
      </x:c>
      <x:c r="J158" s="85" t="n">
        <x:v>0</x:v>
      </x:c>
      <x:c r="K158" s="85" t="n">
        <x:v>0</x:v>
      </x:c>
      <x:c r="L158" s="28" t="n">
        <x:v>0</x:v>
      </x:c>
      <x:c r="M158" s="28" t="n">
        <x:v>0</x:v>
      </x:c>
      <x:c r="N158" s="28" t="n">
        <x:v>1.862645149230957e-9</x:v>
      </x:c>
      <x:c r="O158" s="28" t="n">
        <x:v>5.960464477539063e-8</x:v>
      </x:c>
      <x:c r="P158" s="28" t="n">
        <x:v>0</x:v>
      </x:c>
      <x:c r="Q158" s="62" t="b">
        <x:v>1</x:v>
      </x:c>
      <x:c r="R158" s="28" t="n">
        <x:v>0</x:v>
      </x:c>
      <x:c r="S158" s="28" t="str">
        <x:v>40627e429b94c169</x:v>
      </x:c>
    </x:row>
    <x:row r="159" ht="21" customHeight="1">
      <x:c r="A159" s="60" t="n">
        <x:v>0.6</x:v>
      </x:c>
      <x:c r="B159" s="28" t="str">
        <x:v>back_low</x:v>
      </x:c>
      <x:c r="C159" s="60" t="n">
        <x:v>0.2</x:v>
      </x:c>
      <x:c r="D159" s="60" t="n">
        <x:v>0.2</x:v>
      </x:c>
      <x:c r="E159" s="62" t="b">
        <x:v>1</x:v>
      </x:c>
      <x:c r="F159" s="62" t="b">
        <x:v>1</x:v>
      </x:c>
      <x:c r="G159" s="85" t="n">
        <x:v>0</x:v>
      </x:c>
      <x:c r="H159" s="85" t="n">
        <x:v>0</x:v>
      </x:c>
      <x:c r="I159" s="85" t="n">
        <x:v>10814658.891104612</x:v>
      </x:c>
      <x:c r="J159" s="85" t="n">
        <x:v>6341080.834812444</x:v>
      </x:c>
      <x:c r="K159" s="85" t="n">
        <x:v>0</x:v>
      </x:c>
      <x:c r="L159" s="28" t="n">
        <x:v>0</x:v>
      </x:c>
      <x:c r="M159" s="28" t="n">
        <x:v>0</x:v>
      </x:c>
      <x:c r="N159" s="28" t="n">
        <x:v>1.862645149230957e-9</x:v>
      </x:c>
      <x:c r="O159" s="28" t="n">
        <x:v>2.9802322387695312e-8</x:v>
      </x:c>
      <x:c r="P159" s="28" t="n">
        <x:v>0</x:v>
      </x:c>
      <x:c r="Q159" s="62" t="b">
        <x:v>1</x:v>
      </x:c>
      <x:c r="R159" s="28" t="n">
        <x:v>0</x:v>
      </x:c>
      <x:c r="S159" s="28" t="str">
        <x:v>c3e62e546f641608</x:v>
      </x:c>
    </x:row>
    <x:row r="160" ht="21" customHeight="1">
      <x:c r="A160" s="60" t="n">
        <x:v>0.6</x:v>
      </x:c>
      <x:c r="B160" s="28" t="str">
        <x:v>back_low</x:v>
      </x:c>
      <x:c r="C160" s="60" t="n">
        <x:v>0.25</x:v>
      </x:c>
      <x:c r="D160" s="60" t="n">
        <x:v>0.25</x:v>
      </x:c>
      <x:c r="E160" s="62" t="b">
        <x:v>1</x:v>
      </x:c>
      <x:c r="F160" s="62" t="b">
        <x:v>1</x:v>
      </x:c>
      <x:c r="G160" s="85" t="n">
        <x:v>0</x:v>
      </x:c>
      <x:c r="H160" s="85" t="n">
        <x:v>0</x:v>
      </x:c>
      <x:c r="I160" s="85" t="n">
        <x:v>15058968.336654777</x:v>
      </x:c>
      <x:c r="J160" s="85" t="n">
        <x:v>15426351.043515662</x:v>
      </x:c>
      <x:c r="K160" s="85" t="n">
        <x:v>0</x:v>
      </x:c>
      <x:c r="L160" s="28" t="n">
        <x:v>0</x:v>
      </x:c>
      <x:c r="M160" s="28" t="n">
        <x:v>0</x:v>
      </x:c>
      <x:c r="N160" s="28" t="n">
        <x:v>9.313225746154785e-10</x:v>
      </x:c>
      <x:c r="O160" s="28" t="n">
        <x:v>2.9802322387695312e-8</x:v>
      </x:c>
      <x:c r="P160" s="28" t="n">
        <x:v>0</x:v>
      </x:c>
      <x:c r="Q160" s="62" t="b">
        <x:v>1</x:v>
      </x:c>
      <x:c r="R160" s="28" t="n">
        <x:v>0</x:v>
      </x:c>
      <x:c r="S160" s="28" t="str">
        <x:v>d9f04f5f6cab0813</x:v>
      </x:c>
    </x:row>
    <x:row r="161" ht="21" customHeight="1">
      <x:c r="A161" s="60" t="n">
        <x:v>0.6</x:v>
      </x:c>
      <x:c r="B161" s="28" t="str">
        <x:v>back_low</x:v>
      </x:c>
      <x:c r="C161" s="60" t="n">
        <x:v>0.3</x:v>
      </x:c>
      <x:c r="D161" s="60" t="n">
        <x:v>0.3</x:v>
      </x:c>
      <x:c r="E161" s="62" t="b">
        <x:v>1</x:v>
      </x:c>
      <x:c r="F161" s="62" t="b">
        <x:v>1</x:v>
      </x:c>
      <x:c r="G161" s="85" t="n">
        <x:v>0</x:v>
      </x:c>
      <x:c r="H161" s="85" t="n">
        <x:v>0</x:v>
      </x:c>
      <x:c r="I161" s="85" t="n">
        <x:v>19303277.78220489</x:v>
      </x:c>
      <x:c r="J161" s="85" t="n">
        <x:v>24511621.252218716</x:v>
      </x:c>
      <x:c r="K161" s="85" t="n">
        <x:v>0</x:v>
      </x:c>
      <x:c r="L161" s="28" t="n">
        <x:v>0</x:v>
      </x:c>
      <x:c r="M161" s="28" t="n">
        <x:v>0</x:v>
      </x:c>
      <x:c r="N161" s="28" t="n">
        <x:v>1.862645149230957e-9</x:v>
      </x:c>
      <x:c r="O161" s="28" t="n">
        <x:v>2.9802322387695312e-8</x:v>
      </x:c>
      <x:c r="P161" s="28" t="n">
        <x:v>0</x:v>
      </x:c>
      <x:c r="Q161" s="62" t="b">
        <x:v>1</x:v>
      </x:c>
      <x:c r="R161" s="28" t="n">
        <x:v>0</x:v>
      </x:c>
      <x:c r="S161" s="28" t="str">
        <x:v>c5a63f086fe4e661</x:v>
      </x:c>
    </x:row>
    <x:row r="162" ht="21" customHeight="1">
      <x:c r="A162" s="60" t="n">
        <x:v>0.6</x:v>
      </x:c>
      <x:c r="B162" s="28" t="str">
        <x:v>back_low</x:v>
      </x:c>
      <x:c r="C162" s="60" t="n">
        <x:v>0.35</x:v>
      </x:c>
      <x:c r="D162" s="60" t="n">
        <x:v>0.35</x:v>
      </x:c>
      <x:c r="E162" s="62" t="b">
        <x:v>1</x:v>
      </x:c>
      <x:c r="F162" s="62" t="b">
        <x:v>1</x:v>
      </x:c>
      <x:c r="G162" s="85" t="n">
        <x:v>0</x:v>
      </x:c>
      <x:c r="H162" s="85" t="n">
        <x:v>0</x:v>
      </x:c>
      <x:c r="I162" s="85" t="n">
        <x:v>23557827.081196096</x:v>
      </x:c>
      <x:c r="J162" s="85" t="n">
        <x:v>33596891.460921794</x:v>
      </x:c>
      <x:c r="K162" s="85" t="n">
        <x:v>0</x:v>
      </x:c>
      <x:c r="L162" s="28" t="n">
        <x:v>0</x:v>
      </x:c>
      <x:c r="M162" s="28" t="n">
        <x:v>0</x:v>
      </x:c>
      <x:c r="N162" s="28" t="n">
        <x:v>1.862645149230957e-9</x:v>
      </x:c>
      <x:c r="O162" s="28" t="n">
        <x:v>2.9802322387695312e-8</x:v>
      </x:c>
      <x:c r="P162" s="28" t="n">
        <x:v>0</x:v>
      </x:c>
      <x:c r="Q162" s="62" t="b">
        <x:v>1</x:v>
      </x:c>
      <x:c r="R162" s="28" t="n">
        <x:v>0</x:v>
      </x:c>
      <x:c r="S162" s="28" t="str">
        <x:v>2ef4b33cad6d213c</x:v>
      </x:c>
    </x:row>
    <x:row r="163" ht="21" customHeight="1">
      <x:c r="A163" s="60" t="n">
        <x:v>0.6</x:v>
      </x:c>
      <x:c r="B163" s="28" t="str">
        <x:v>back_low</x:v>
      </x:c>
      <x:c r="C163" s="60" t="n">
        <x:v>0.4</x:v>
      </x:c>
      <x:c r="D163" s="60" t="n">
        <x:v>0.4</x:v>
      </x:c>
      <x:c r="E163" s="62" t="b">
        <x:v>1</x:v>
      </x:c>
      <x:c r="F163" s="62" t="b">
        <x:v>1</x:v>
      </x:c>
      <x:c r="G163" s="85" t="n">
        <x:v>0</x:v>
      </x:c>
      <x:c r="H163" s="85" t="n">
        <x:v>0</x:v>
      </x:c>
      <x:c r="I163" s="85" t="n">
        <x:v>27827229.535946254</x:v>
      </x:c>
      <x:c r="J163" s="85" t="n">
        <x:v>42682161.66962496</x:v>
      </x:c>
      <x:c r="K163" s="85" t="n">
        <x:v>0</x:v>
      </x:c>
      <x:c r="L163" s="28" t="n">
        <x:v>0</x:v>
      </x:c>
      <x:c r="M163" s="28" t="n">
        <x:v>0</x:v>
      </x:c>
      <x:c r="N163" s="28" t="n">
        <x:v>3.725290298461914e-9</x:v>
      </x:c>
      <x:c r="O163" s="28" t="n">
        <x:v>2.9802322387695312e-8</x:v>
      </x:c>
      <x:c r="P163" s="28" t="n">
        <x:v>0</x:v>
      </x:c>
      <x:c r="Q163" s="62" t="b">
        <x:v>1</x:v>
      </x:c>
      <x:c r="R163" s="28" t="n">
        <x:v>0</x:v>
      </x:c>
      <x:c r="S163" s="28" t="str">
        <x:v>480f7ea7017996d5</x:v>
      </x:c>
    </x:row>
    <x:row r="164" ht="21" customHeight="1">
      <x:c r="A164" s="60" t="n">
        <x:v>0.6</x:v>
      </x:c>
      <x:c r="B164" s="28" t="str">
        <x:v>back_low</x:v>
      </x:c>
      <x:c r="C164" s="60" t="n">
        <x:v>0.45</x:v>
      </x:c>
      <x:c r="D164" s="60" t="n">
        <x:v>0.45</x:v>
      </x:c>
      <x:c r="E164" s="62" t="b">
        <x:v>1</x:v>
      </x:c>
      <x:c r="F164" s="62" t="b">
        <x:v>1</x:v>
      </x:c>
      <x:c r="G164" s="85" t="n">
        <x:v>0</x:v>
      </x:c>
      <x:c r="H164" s="85" t="n">
        <x:v>0</x:v>
      </x:c>
      <x:c r="I164" s="85" t="n">
        <x:v>32084756.89014267</x:v>
      </x:c>
      <x:c r="J164" s="85" t="n">
        <x:v>51767431.87832807</x:v>
      </x:c>
      <x:c r="K164" s="85" t="n">
        <x:v>0</x:v>
      </x:c>
      <x:c r="L164" s="28" t="n">
        <x:v>0</x:v>
      </x:c>
      <x:c r="M164" s="28" t="n">
        <x:v>0</x:v>
      </x:c>
      <x:c r="N164" s="28" t="n">
        <x:v>3.725290298461914e-9</x:v>
      </x:c>
      <x:c r="O164" s="28" t="n">
        <x:v>1.4901161193847656e-8</x:v>
      </x:c>
      <x:c r="P164" s="28" t="n">
        <x:v>0</x:v>
      </x:c>
      <x:c r="Q164" s="62" t="b">
        <x:v>1</x:v>
      </x:c>
      <x:c r="R164" s="28" t="n">
        <x:v>0</x:v>
      </x:c>
      <x:c r="S164" s="28" t="str">
        <x:v>3e262f3515296095</x:v>
      </x:c>
    </x:row>
    <x:row r="165" ht="21" customHeight="1">
      <x:c r="A165" s="60" t="n">
        <x:v>0.6</x:v>
      </x:c>
      <x:c r="B165" s="28" t="str">
        <x:v>back_low</x:v>
      </x:c>
      <x:c r="C165" s="60" t="n">
        <x:v>0.5</x:v>
      </x:c>
      <x:c r="D165" s="60" t="n">
        <x:v>0.5</x:v>
      </x:c>
      <x:c r="E165" s="62" t="b">
        <x:v>1</x:v>
      </x:c>
      <x:c r="F165" s="62" t="b">
        <x:v>1</x:v>
      </x:c>
      <x:c r="G165" s="85" t="n">
        <x:v>0</x:v>
      </x:c>
      <x:c r="H165" s="85" t="n">
        <x:v>0</x:v>
      </x:c>
      <x:c r="I165" s="85" t="n">
        <x:v>36674319.870635435</x:v>
      </x:c>
      <x:c r="J165" s="85" t="n">
        <x:v>60268469.00587214</x:v>
      </x:c>
      <x:c r="K165" s="85" t="n">
        <x:v>0</x:v>
      </x:c>
      <x:c r="L165" s="28" t="n">
        <x:v>2</x:v>
      </x:c>
      <x:c r="M165" s="28" t="n">
        <x:v>0</x:v>
      </x:c>
      <x:c r="N165" s="28" t="n">
        <x:v>3.725290298461914e-9</x:v>
      </x:c>
      <x:c r="O165" s="28" t="n">
        <x:v>2.9802322387695312e-8</x:v>
      </x:c>
      <x:c r="P165" s="28" t="n">
        <x:v>0</x:v>
      </x:c>
      <x:c r="Q165" s="62" t="b">
        <x:v>1</x:v>
      </x:c>
      <x:c r="R165" s="28" t="n">
        <x:v>0</x:v>
      </x:c>
      <x:c r="S165" s="28" t="str">
        <x:v>fc59bf5ff8e7eea1</x:v>
      </x:c>
    </x:row>
    <x:row r="166" ht="21" customHeight="1">
      <x:c r="A166" s="60" t="n">
        <x:v>0.6</x:v>
      </x:c>
      <x:c r="B166" s="28" t="str">
        <x:v>back_low</x:v>
      </x:c>
      <x:c r="C166" s="60" t="n">
        <x:v>0.55</x:v>
      </x:c>
      <x:c r="D166" s="60" t="n">
        <x:v>0.55</x:v>
      </x:c>
      <x:c r="E166" s="62" t="b">
        <x:v>1</x:v>
      </x:c>
      <x:c r="F166" s="62" t="b">
        <x:v>1</x:v>
      </x:c>
      <x:c r="G166" s="85" t="n">
        <x:v>0</x:v>
      </x:c>
      <x:c r="H166" s="85" t="n">
        <x:v>0</x:v>
      </x:c>
      <x:c r="I166" s="85" t="n">
        <x:v>41360423.48498353</x:v>
      </x:c>
      <x:c r="J166" s="85" t="n">
        <x:v>68578290.16307452</x:v>
      </x:c>
      <x:c r="K166" s="85" t="n">
        <x:v>0</x:v>
      </x:c>
      <x:c r="L166" s="28" t="n">
        <x:v>5</x:v>
      </x:c>
      <x:c r="M166" s="28" t="n">
        <x:v>0</x:v>
      </x:c>
      <x:c r="N166" s="28" t="n">
        <x:v>1.862645149230957e-9</x:v>
      </x:c>
      <x:c r="O166" s="28" t="n">
        <x:v>2.9802322387695312e-8</x:v>
      </x:c>
      <x:c r="P166" s="28" t="n">
        <x:v>0</x:v>
      </x:c>
      <x:c r="Q166" s="62" t="b">
        <x:v>1</x:v>
      </x:c>
      <x:c r="R166" s="28" t="n">
        <x:v>0</x:v>
      </x:c>
      <x:c r="S166" s="28" t="str">
        <x:v>0891f155441098a7</x:v>
      </x:c>
    </x:row>
    <x:row r="167" ht="21" customHeight="1">
      <x:c r="A167" s="60" t="n">
        <x:v>0.6</x:v>
      </x:c>
      <x:c r="B167" s="28" t="str">
        <x:v>back_low</x:v>
      </x:c>
      <x:c r="C167" s="60" t="n">
        <x:v>0.6</x:v>
      </x:c>
      <x:c r="D167" s="60" t="n">
        <x:v>0.6</x:v>
      </x:c>
      <x:c r="E167" s="62" t="b">
        <x:v>1</x:v>
      </x:c>
      <x:c r="F167" s="62" t="b">
        <x:v>1</x:v>
      </x:c>
      <x:c r="G167" s="85" t="n">
        <x:v>0</x:v>
      </x:c>
      <x:c r="H167" s="85" t="n">
        <x:v>0</x:v>
      </x:c>
      <x:c r="I167" s="85" t="n">
        <x:v>46031001.54045973</x:v>
      </x:c>
      <x:c r="J167" s="85" t="n">
        <x:v>76794667.48189278</x:v>
      </x:c>
      <x:c r="K167" s="85" t="n">
        <x:v>0</x:v>
      </x:c>
      <x:c r="L167" s="28" t="n">
        <x:v>9</x:v>
      </x:c>
      <x:c r="M167" s="28" t="n">
        <x:v>0</x:v>
      </x:c>
      <x:c r="N167" s="28" t="n">
        <x:v>1.862645149230957e-9</x:v>
      </x:c>
      <x:c r="O167" s="28" t="n">
        <x:v>2.9802322387695312e-8</x:v>
      </x:c>
      <x:c r="P167" s="28" t="n">
        <x:v>0</x:v>
      </x:c>
      <x:c r="Q167" s="62" t="b">
        <x:v>1</x:v>
      </x:c>
      <x:c r="R167" s="28" t="n">
        <x:v>0</x:v>
      </x:c>
      <x:c r="S167" s="28" t="str">
        <x:v>594abb91a4581f03</x:v>
      </x:c>
    </x:row>
    <x:row r="168" ht="21" customHeight="1">
      <x:c r="A168" s="60" t="n">
        <x:v>0.6</x:v>
      </x:c>
      <x:c r="B168" s="28" t="str">
        <x:v>back_low</x:v>
      </x:c>
      <x:c r="C168" s="60" t="n">
        <x:v>0.65</x:v>
      </x:c>
      <x:c r="D168" s="60" t="n">
        <x:v>0.65</x:v>
      </x:c>
      <x:c r="E168" s="62" t="b">
        <x:v>1</x:v>
      </x:c>
      <x:c r="F168" s="62" t="b">
        <x:v>1</x:v>
      </x:c>
      <x:c r="G168" s="85" t="n">
        <x:v>0</x:v>
      </x:c>
      <x:c r="H168" s="85" t="n">
        <x:v>0</x:v>
      </x:c>
      <x:c r="I168" s="85" t="n">
        <x:v>50435913.056140035</x:v>
      </x:c>
      <x:c r="J168" s="85" t="n">
        <x:v>85266697.04322442</x:v>
      </x:c>
      <x:c r="K168" s="85" t="n">
        <x:v>0</x:v>
      </x:c>
      <x:c r="L168" s="28" t="n">
        <x:v>12</x:v>
      </x:c>
      <x:c r="M168" s="28" t="n">
        <x:v>2</x:v>
      </x:c>
      <x:c r="N168" s="28" t="n">
        <x:v>1.862645149230957e-9</x:v>
      </x:c>
      <x:c r="O168" s="28" t="n">
        <x:v>1.4901161193847656e-8</x:v>
      </x:c>
      <x:c r="P168" s="28" t="n">
        <x:v>0</x:v>
      </x:c>
      <x:c r="Q168" s="62" t="b">
        <x:v>1</x:v>
      </x:c>
      <x:c r="R168" s="28" t="n">
        <x:v>0</x:v>
      </x:c>
      <x:c r="S168" s="28" t="str">
        <x:v>bf40fc1b132803cc</x:v>
      </x:c>
    </x:row>
    <x:row r="169" ht="21" customHeight="1">
      <x:c r="A169" s="60" t="n">
        <x:v>0.6</x:v>
      </x:c>
      <x:c r="B169" s="28" t="str">
        <x:v>back_low</x:v>
      </x:c>
      <x:c r="C169" s="60" t="n">
        <x:v>0.7</x:v>
      </x:c>
      <x:c r="D169" s="60" t="n">
        <x:v>0.7</x:v>
      </x:c>
      <x:c r="E169" s="62" t="b">
        <x:v>1</x:v>
      </x:c>
      <x:c r="F169" s="62" t="b">
        <x:v>0</x:v>
      </x:c>
      <x:c r="G169" s="85" t="n">
        <x:v>305942.86903703515</x:v>
      </x:c>
      <x:c r="H169" s="85" t="n">
        <x:v>4599699.777563534</x:v>
      </x:c>
      <x:c r="I169" s="85" t="n">
        <x:v>52965437.948466316</x:v>
      </x:c>
      <x:c r="J169" s="85" t="n">
        <x:v>90000000.00000001</x:v>
      </x:c>
      <x:c r="K169" s="85" t="n">
        <x:v>0</x:v>
      </x:c>
      <x:c r="L169" s="28" t="n">
        <x:v>37</x:v>
      </x:c>
      <x:c r="M169" s="28" t="n">
        <x:v>30</x:v>
      </x:c>
      <x:c r="N169" s="28" t="n">
        <x:v>1.862645149230957e-9</x:v>
      </x:c>
      <x:c r="O169" s="28" t="n">
        <x:v>2.9802322387695312e-8</x:v>
      </x:c>
      <x:c r="P169" s="28" t="n">
        <x:v>0</x:v>
      </x:c>
      <x:c r="Q169" s="62" t="b">
        <x:v>1</x:v>
      </x:c>
      <x:c r="R169" s="28" t="n">
        <x:v>0</x:v>
      </x:c>
      <x:c r="S169" s="28" t="str">
        <x:v>076352e696f5bc91</x:v>
      </x:c>
    </x:row>
    <x:row r="170" ht="21" customHeight="1">
      <x:c r="A170" s="60" t="n">
        <x:v>0.6</x:v>
      </x:c>
      <x:c r="B170" s="28" t="str">
        <x:v>back_low</x:v>
      </x:c>
      <x:c r="C170" s="60" t="n">
        <x:v>0.75</x:v>
      </x:c>
      <x:c r="D170" s="60" t="n">
        <x:v>0.75</x:v>
      </x:c>
      <x:c r="E170" s="62" t="b">
        <x:v>1</x:v>
      </x:c>
      <x:c r="F170" s="62" t="b">
        <x:v>0</x:v>
      </x:c>
      <x:c r="G170" s="85" t="n">
        <x:v>959279.9032129621</x:v>
      </x:c>
      <x:c r="H170" s="85" t="n">
        <x:v>14458181.544036986</x:v>
      </x:c>
      <x:c r="I170" s="85" t="n">
        <x:v>53877012.750642404</x:v>
      </x:c>
      <x:c r="J170" s="85" t="n">
        <x:v>90000000.00000001</x:v>
      </x:c>
      <x:c r="K170" s="85" t="n">
        <x:v>0</x:v>
      </x:c>
      <x:c r="L170" s="28" t="n">
        <x:v>38</x:v>
      </x:c>
      <x:c r="M170" s="28" t="n">
        <x:v>31</x:v>
      </x:c>
      <x:c r="N170" s="28" t="n">
        <x:v>1.862645149230957e-9</x:v>
      </x:c>
      <x:c r="O170" s="28" t="n">
        <x:v>2.9802322387695312e-8</x:v>
      </x:c>
      <x:c r="P170" s="28" t="n">
        <x:v>0</x:v>
      </x:c>
      <x:c r="Q170" s="62" t="b">
        <x:v>1</x:v>
      </x:c>
      <x:c r="R170" s="28" t="n">
        <x:v>0</x:v>
      </x:c>
      <x:c r="S170" s="28" t="str">
        <x:v>12d6610bdf080bf4</x:v>
      </x:c>
    </x:row>
    <x:row r="171" ht="21" customHeight="1">
      <x:c r="A171" s="60" t="n">
        <x:v>0.6</x:v>
      </x:c>
      <x:c r="B171" s="28" t="str">
        <x:v>back_low</x:v>
      </x:c>
      <x:c r="C171" s="60" t="n">
        <x:v>0.8</x:v>
      </x:c>
      <x:c r="D171" s="60" t="n">
        <x:v>0.8</x:v>
      </x:c>
      <x:c r="E171" s="62" t="b">
        <x:v>1</x:v>
      </x:c>
      <x:c r="F171" s="62" t="b">
        <x:v>0</x:v>
      </x:c>
      <x:c r="G171" s="85" t="n">
        <x:v>1886580.1413696446</x:v>
      </x:c>
      <x:c r="H171" s="85" t="n">
        <x:v>24823651.363440637</x:v>
      </x:c>
      <x:c r="I171" s="85" t="n">
        <x:v>54097018.856575646</x:v>
      </x:c>
      <x:c r="J171" s="85" t="n">
        <x:v>90000000.00000001</x:v>
      </x:c>
      <x:c r="K171" s="85" t="n">
        <x:v>0</x:v>
      </x:c>
      <x:c r="L171" s="28" t="n">
        <x:v>38</x:v>
      </x:c>
      <x:c r="M171" s="28" t="n">
        <x:v>32</x:v>
      </x:c>
      <x:c r="N171" s="28" t="n">
        <x:v>1.862645149230957e-9</x:v>
      </x:c>
      <x:c r="O171" s="28" t="n">
        <x:v>1.4901161193847656e-8</x:v>
      </x:c>
      <x:c r="P171" s="28" t="n">
        <x:v>0</x:v>
      </x:c>
      <x:c r="Q171" s="62" t="b">
        <x:v>1</x:v>
      </x:c>
      <x:c r="R171" s="28" t="n">
        <x:v>0</x:v>
      </x:c>
      <x:c r="S171" s="28" t="str">
        <x:v>11fbc49eca992caa</x:v>
      </x:c>
    </x:row>
    <x:row r="172" ht="21" customHeight="1">
      <x:c r="A172" s="60" t="n">
        <x:v>0.6</x:v>
      </x:c>
      <x:c r="B172" s="28" t="str">
        <x:v>back_low</x:v>
      </x:c>
      <x:c r="C172" s="60" t="n">
        <x:v>0.85</x:v>
      </x:c>
      <x:c r="D172" s="60" t="n">
        <x:v>0.85</x:v>
      </x:c>
      <x:c r="E172" s="62" t="b">
        <x:v>1</x:v>
      </x:c>
      <x:c r="F172" s="62" t="b">
        <x:v>0</x:v>
      </x:c>
      <x:c r="G172" s="85" t="n">
        <x:v>2861491.1905258447</x:v>
      </x:c>
      <x:c r="H172" s="85" t="n">
        <x:v>34213239.906716615</x:v>
      </x:c>
      <x:c r="I172" s="85" t="n">
        <x:v>55037517.72859018</x:v>
      </x:c>
      <x:c r="J172" s="85" t="n">
        <x:v>90000000.00000001</x:v>
      </x:c>
      <x:c r="K172" s="85" t="n">
        <x:v>0</x:v>
      </x:c>
      <x:c r="L172" s="28" t="n">
        <x:v>39</x:v>
      </x:c>
      <x:c r="M172" s="28" t="n">
        <x:v>32</x:v>
      </x:c>
      <x:c r="N172" s="28" t="n">
        <x:v>1.862645149230957e-9</x:v>
      </x:c>
      <x:c r="O172" s="28" t="n">
        <x:v>2.9802322387695312e-8</x:v>
      </x:c>
      <x:c r="P172" s="28" t="n">
        <x:v>0</x:v>
      </x:c>
      <x:c r="Q172" s="62" t="b">
        <x:v>1</x:v>
      </x:c>
      <x:c r="R172" s="28" t="n">
        <x:v>0</x:v>
      </x:c>
      <x:c r="S172" s="28" t="str">
        <x:v>c2d17a21614d6c24</x:v>
      </x:c>
    </x:row>
    <x:row r="173" ht="21" customHeight="1">
      <x:c r="A173" s="60" t="n">
        <x:v>0.6</x:v>
      </x:c>
      <x:c r="B173" s="28" t="str">
        <x:v>back_low</x:v>
      </x:c>
      <x:c r="C173" s="60" t="n">
        <x:v>0.9</x:v>
      </x:c>
      <x:c r="D173" s="60" t="n">
        <x:v>0.8948658400492392</x:v>
      </x:c>
      <x:c r="E173" s="62" t="b">
        <x:v>0</x:v>
      </x:c>
      <x:c r="F173" s="62" t="b">
        <x:v>0</x:v>
      </x:c>
      <x:c r="G173" s="85" t="n">
        <x:v>4803831.521019889</x:v>
      </x:c>
      <x:c r="H173" s="85" t="n">
        <x:v>42119640.278946385</x:v>
      </x:c>
      <x:c r="I173" s="85" t="n">
        <x:v>55214011.48837026</x:v>
      </x:c>
      <x:c r="J173" s="85" t="n">
        <x:v>90000000.00000001</x:v>
      </x:c>
      <x:c r="K173" s="85" t="n">
        <x:v>0</x:v>
      </x:c>
      <x:c r="L173" s="28" t="n">
        <x:v>39</x:v>
      </x:c>
      <x:c r="M173" s="28" t="n">
        <x:v>33</x:v>
      </x:c>
      <x:c r="N173" s="28" t="n">
        <x:v>1.862645149230957e-9</x:v>
      </x:c>
      <x:c r="O173" s="28" t="n">
        <x:v>2.9802322387695312e-8</x:v>
      </x:c>
      <x:c r="P173" s="28" t="n">
        <x:v>0</x:v>
      </x:c>
      <x:c r="Q173" s="62" t="b">
        <x:v>1</x:v>
      </x:c>
      <x:c r="R173" s="28" t="n">
        <x:v>1540247.9852282405</x:v>
      </x:c>
      <x:c r="S173" s="28" t="str">
        <x:v>c2ece49933fb2849</x:v>
      </x:c>
    </x:row>
    <x:row r="174" ht="21" customHeight="1">
      <x:c r="A174" s="60" t="n">
        <x:v>0.6</x:v>
      </x:c>
      <x:c r="B174" s="28" t="str">
        <x:v>back_low</x:v>
      </x:c>
      <x:c r="C174" s="60" t="n">
        <x:v>0.95</x:v>
      </x:c>
      <x:c r="D174" s="60" t="n">
        <x:v>0.9083032015334562</x:v>
      </x:c>
      <x:c r="E174" s="62" t="b">
        <x:v>0</x:v>
      </x:c>
      <x:c r="F174" s="62" t="b">
        <x:v>0</x:v>
      </x:c>
      <x:c r="G174" s="85" t="n">
        <x:v>5072845.037218033</x:v>
      </x:c>
      <x:c r="H174" s="85" t="n">
        <x:v>44478330.9371972</x:v>
      </x:c>
      <x:c r="I174" s="85" t="n">
        <x:v>56041051.42917993</x:v>
      </x:c>
      <x:c r="J174" s="85" t="n">
        <x:v>90000000.00000001</x:v>
      </x:c>
      <x:c r="K174" s="85" t="n">
        <x:v>0</x:v>
      </x:c>
      <x:c r="L174" s="28" t="n">
        <x:v>40</x:v>
      </x:c>
      <x:c r="M174" s="28" t="n">
        <x:v>34</x:v>
      </x:c>
      <x:c r="N174" s="28" t="n">
        <x:v>1.862645149230957e-9</x:v>
      </x:c>
      <x:c r="O174" s="28" t="n">
        <x:v>2.9802322387695312e-8</x:v>
      </x:c>
      <x:c r="P174" s="28" t="n">
        <x:v>0</x:v>
      </x:c>
      <x:c r="Q174" s="62" t="b">
        <x:v>1</x:v>
      </x:c>
      <x:c r="R174" s="28" t="n">
        <x:v>12509039.539963126</x:v>
      </x:c>
      <x:c r="S174" s="28" t="str">
        <x:v>90f18e6229469ab0</x:v>
      </x:c>
    </x:row>
    <x:row r="175" ht="21" customHeight="1">
      <x:c r="A175" s="60" t="n">
        <x:v>0.6</x:v>
      </x:c>
      <x:c r="B175" s="28" t="str">
        <x:v>back_low</x:v>
      </x:c>
      <x:c r="C175" s="60" t="n">
        <x:v>1</x:v>
      </x:c>
      <x:c r="D175" s="60" t="n">
        <x:v>0.920601109498915</x:v>
      </x:c>
      <x:c r="E175" s="62" t="b">
        <x:v>0</x:v>
      </x:c>
      <x:c r="F175" s="62" t="b">
        <x:v>0</x:v>
      </x:c>
      <x:c r="G175" s="85" t="n">
        <x:v>5597442.023980613</x:v>
      </x:c>
      <x:c r="H175" s="85" t="n">
        <x:v>47100222.20884163</x:v>
      </x:c>
      <x:c r="I175" s="85" t="n">
        <x:v>56181504.71139343</x:v>
      </x:c>
      <x:c r="J175" s="85" t="n">
        <x:v>90000000.00000001</x:v>
      </x:c>
      <x:c r="K175" s="85" t="n">
        <x:v>0</x:v>
      </x:c>
      <x:c r="L175" s="28" t="n">
        <x:v>40</x:v>
      </x:c>
      <x:c r="M175" s="28" t="n">
        <x:v>34</x:v>
      </x:c>
      <x:c r="N175" s="28" t="n">
        <x:v>1.862645149230957e-9</x:v>
      </x:c>
      <x:c r="O175" s="28" t="n">
        <x:v>2.9802322387695312e-8</x:v>
      </x:c>
      <x:c r="P175" s="28" t="n">
        <x:v>0</x:v>
      </x:c>
      <x:c r="Q175" s="62" t="b">
        <x:v>1</x:v>
      </x:c>
      <x:c r="R175" s="28" t="n">
        <x:v>23819667.150325477</x:v>
      </x:c>
      <x:c r="S175" s="28" t="str">
        <x:v>0fda72496f16480a</x:v>
      </x:c>
    </x:row>
    <x:row r="176" ht="21" customHeight="1">
      <x:c r="A176" s="60" t="n">
        <x:v>0.6</x:v>
      </x:c>
      <x:c r="B176" s="28" t="str">
        <x:v>back_high</x:v>
      </x:c>
      <x:c r="C176" s="60" t="n">
        <x:v>0</x:v>
      </x:c>
      <x:c r="D176" s="60" t="n">
        <x:v>0</x:v>
      </x:c>
      <x:c r="E176" s="62" t="b">
        <x:v>1</x:v>
      </x:c>
      <x:c r="F176" s="62" t="b">
        <x:v>1</x:v>
      </x:c>
      <x:c r="G176" s="85" t="n">
        <x:v>0</x:v>
      </x:c>
      <x:c r="H176" s="85" t="n">
        <x:v>0</x:v>
      </x:c>
      <x:c r="I176" s="85" t="n">
        <x:v>0</x:v>
      </x:c>
      <x:c r="J176" s="85" t="n">
        <x:v>0</x:v>
      </x:c>
      <x:c r="K176" s="85" t="n">
        <x:v>34685023.614383504</x:v>
      </x:c>
      <x:c r="L176" s="28" t="n">
        <x:v>0</x:v>
      </x:c>
      <x:c r="M176" s="28" t="n">
        <x:v>0</x:v>
      </x:c>
      <x:c r="N176" s="28" t="n">
        <x:v>3.725290298461914e-9</x:v>
      </x:c>
      <x:c r="O176" s="28" t="n">
        <x:v>0</x:v>
      </x:c>
      <x:c r="P176" s="28" t="n">
        <x:v>0</x:v>
      </x:c>
      <x:c r="Q176" s="62" t="b">
        <x:v>1</x:v>
      </x:c>
      <x:c r="R176" s="28" t="n">
        <x:v>0</x:v>
      </x:c>
      <x:c r="S176" s="28" t="str">
        <x:v>420889b2946810c3</x:v>
      </x:c>
    </x:row>
    <x:row r="177" ht="21" customHeight="1">
      <x:c r="A177" s="60" t="n">
        <x:v>0.6</x:v>
      </x:c>
      <x:c r="B177" s="28" t="str">
        <x:v>back_high</x:v>
      </x:c>
      <x:c r="C177" s="60" t="n">
        <x:v>0.05</x:v>
      </x:c>
      <x:c r="D177" s="60" t="n">
        <x:v>0.05</x:v>
      </x:c>
      <x:c r="E177" s="62" t="b">
        <x:v>1</x:v>
      </x:c>
      <x:c r="F177" s="62" t="b">
        <x:v>1</x:v>
      </x:c>
      <x:c r="G177" s="85" t="n">
        <x:v>0</x:v>
      </x:c>
      <x:c r="H177" s="85" t="n">
        <x:v>0</x:v>
      </x:c>
      <x:c r="I177" s="85" t="n">
        <x:v>0</x:v>
      </x:c>
      <x:c r="J177" s="85" t="n">
        <x:v>0</x:v>
      </x:c>
      <x:c r="K177" s="85" t="n">
        <x:v>21563843.23527679</x:v>
      </x:c>
      <x:c r="L177" s="28" t="n">
        <x:v>0</x:v>
      </x:c>
      <x:c r="M177" s="28" t="n">
        <x:v>0</x:v>
      </x:c>
      <x:c r="N177" s="28" t="n">
        <x:v>3.725290298461914e-9</x:v>
      </x:c>
      <x:c r="O177" s="28" t="n">
        <x:v>5.960464477539063e-8</x:v>
      </x:c>
      <x:c r="P177" s="28" t="n">
        <x:v>0</x:v>
      </x:c>
      <x:c r="Q177" s="62" t="b">
        <x:v>1</x:v>
      </x:c>
      <x:c r="R177" s="28" t="n">
        <x:v>0</x:v>
      </x:c>
      <x:c r="S177" s="28" t="str">
        <x:v>b47ff385f5c5e111</x:v>
      </x:c>
    </x:row>
    <x:row r="178" ht="21" customHeight="1">
      <x:c r="A178" s="60" t="n">
        <x:v>0.6</x:v>
      </x:c>
      <x:c r="B178" s="28" t="str">
        <x:v>back_high</x:v>
      </x:c>
      <x:c r="C178" s="60" t="n">
        <x:v>0.1</x:v>
      </x:c>
      <x:c r="D178" s="60" t="n">
        <x:v>0.1</x:v>
      </x:c>
      <x:c r="E178" s="62" t="b">
        <x:v>1</x:v>
      </x:c>
      <x:c r="F178" s="62" t="b">
        <x:v>1</x:v>
      </x:c>
      <x:c r="G178" s="85" t="n">
        <x:v>0</x:v>
      </x:c>
      <x:c r="H178" s="85" t="n">
        <x:v>0</x:v>
      </x:c>
      <x:c r="I178" s="85" t="n">
        <x:v>0</x:v>
      </x:c>
      <x:c r="J178" s="85" t="n">
        <x:v>0</x:v>
      </x:c>
      <x:c r="K178" s="85" t="n">
        <x:v>8284055.481547654</x:v>
      </x:c>
      <x:c r="L178" s="28" t="n">
        <x:v>0</x:v>
      </x:c>
      <x:c r="M178" s="28" t="n">
        <x:v>0</x:v>
      </x:c>
      <x:c r="N178" s="28" t="n">
        <x:v>3.725290298461914e-9</x:v>
      </x:c>
      <x:c r="O178" s="28" t="n">
        <x:v>5.960464477539063e-8</x:v>
      </x:c>
      <x:c r="P178" s="28" t="n">
        <x:v>0</x:v>
      </x:c>
      <x:c r="Q178" s="62" t="b">
        <x:v>1</x:v>
      </x:c>
      <x:c r="R178" s="28" t="n">
        <x:v>0</x:v>
      </x:c>
      <x:c r="S178" s="28" t="str">
        <x:v>5131e76a36de9138</x:v>
      </x:c>
    </x:row>
    <x:row r="179" ht="21" customHeight="1">
      <x:c r="A179" s="60" t="n">
        <x:v>0.6</x:v>
      </x:c>
      <x:c r="B179" s="28" t="str">
        <x:v>back_high</x:v>
      </x:c>
      <x:c r="C179" s="60" t="n">
        <x:v>0.15</x:v>
      </x:c>
      <x:c r="D179" s="60" t="n">
        <x:v>0.15</x:v>
      </x:c>
      <x:c r="E179" s="62" t="b">
        <x:v>1</x:v>
      </x:c>
      <x:c r="F179" s="62" t="b">
        <x:v>1</x:v>
      </x:c>
      <x:c r="G179" s="85" t="n">
        <x:v>0</x:v>
      </x:c>
      <x:c r="H179" s="85" t="n">
        <x:v>0</x:v>
      </x:c>
      <x:c r="I179" s="85" t="n">
        <x:v>5408579.615272903</x:v>
      </x:c>
      <x:c r="J179" s="85" t="n">
        <x:v>0</x:v>
      </x:c>
      <x:c r="K179" s="85" t="n">
        <x:v>1318060.9347668812</x:v>
      </x:c>
      <x:c r="L179" s="28" t="n">
        <x:v>0</x:v>
      </x:c>
      <x:c r="M179" s="28" t="n">
        <x:v>0</x:v>
      </x:c>
      <x:c r="N179" s="28" t="n">
        <x:v>3.725290298461914e-9</x:v>
      </x:c>
      <x:c r="O179" s="28" t="n">
        <x:v>5.960464477539063e-8</x:v>
      </x:c>
      <x:c r="P179" s="28" t="n">
        <x:v>0</x:v>
      </x:c>
      <x:c r="Q179" s="62" t="b">
        <x:v>1</x:v>
      </x:c>
      <x:c r="R179" s="28" t="n">
        <x:v>0</x:v>
      </x:c>
      <x:c r="S179" s="28" t="str">
        <x:v>4dcf10fbd3a91e72</x:v>
      </x:c>
    </x:row>
    <x:row r="180" ht="21" customHeight="1">
      <x:c r="A180" s="60" t="n">
        <x:v>0.6</x:v>
      </x:c>
      <x:c r="B180" s="28" t="str">
        <x:v>back_high</x:v>
      </x:c>
      <x:c r="C180" s="60" t="n">
        <x:v>0.2</x:v>
      </x:c>
      <x:c r="D180" s="60" t="n">
        <x:v>0.2</x:v>
      </x:c>
      <x:c r="E180" s="62" t="b">
        <x:v>1</x:v>
      </x:c>
      <x:c r="F180" s="62" t="b">
        <x:v>1</x:v>
      </x:c>
      <x:c r="G180" s="85" t="n">
        <x:v>0</x:v>
      </x:c>
      <x:c r="H180" s="85" t="n">
        <x:v>0</x:v>
      </x:c>
      <x:c r="I180" s="85" t="n">
        <x:v>15767268.329818793</x:v>
      </x:c>
      <x:c r="J180" s="85" t="n">
        <x:v>6341080.834812444</x:v>
      </x:c>
      <x:c r="K180" s="85" t="n">
        <x:v>973561.6609618767</x:v>
      </x:c>
      <x:c r="L180" s="28" t="n">
        <x:v>0</x:v>
      </x:c>
      <x:c r="M180" s="28" t="n">
        <x:v>0</x:v>
      </x:c>
      <x:c r="N180" s="28" t="n">
        <x:v>1.862645149230957e-9</x:v>
      </x:c>
      <x:c r="O180" s="28" t="n">
        <x:v>2.9802322387695312e-8</x:v>
      </x:c>
      <x:c r="P180" s="28" t="n">
        <x:v>0</x:v>
      </x:c>
      <x:c r="Q180" s="62" t="b">
        <x:v>1</x:v>
      </x:c>
      <x:c r="R180" s="28" t="n">
        <x:v>0</x:v>
      </x:c>
      <x:c r="S180" s="28" t="str">
        <x:v>e639e94925820197</x:v>
      </x:c>
    </x:row>
    <x:row r="181" ht="21" customHeight="1">
      <x:c r="A181" s="60" t="n">
        <x:v>0.6</x:v>
      </x:c>
      <x:c r="B181" s="28" t="str">
        <x:v>back_high</x:v>
      </x:c>
      <x:c r="C181" s="60" t="n">
        <x:v>0.25</x:v>
      </x:c>
      <x:c r="D181" s="60" t="n">
        <x:v>0.25</x:v>
      </x:c>
      <x:c r="E181" s="62" t="b">
        <x:v>1</x:v>
      </x:c>
      <x:c r="F181" s="62" t="b">
        <x:v>1</x:v>
      </x:c>
      <x:c r="G181" s="85" t="n">
        <x:v>0</x:v>
      </x:c>
      <x:c r="H181" s="85" t="n">
        <x:v>0</x:v>
      </x:c>
      <x:c r="I181" s="85" t="n">
        <x:v>24604949.355595525</x:v>
      </x:c>
      <x:c r="J181" s="85" t="n">
        <x:v>15426351.043515662</x:v>
      </x:c>
      <x:c r="K181" s="85" t="n">
        <x:v>762629.0498324618</x:v>
      </x:c>
      <x:c r="L181" s="28" t="n">
        <x:v>0</x:v>
      </x:c>
      <x:c r="M181" s="28" t="n">
        <x:v>0</x:v>
      </x:c>
      <x:c r="N181" s="28" t="n">
        <x:v>3.725290298461914e-9</x:v>
      </x:c>
      <x:c r="O181" s="28" t="n">
        <x:v>2.9802322387695312e-8</x:v>
      </x:c>
      <x:c r="P181" s="28" t="n">
        <x:v>0</x:v>
      </x:c>
      <x:c r="Q181" s="62" t="b">
        <x:v>1</x:v>
      </x:c>
      <x:c r="R181" s="28" t="n">
        <x:v>0</x:v>
      </x:c>
      <x:c r="S181" s="28" t="str">
        <x:v>3b1928f969a30c67</x:v>
      </x:c>
    </x:row>
    <x:row r="182" ht="21" customHeight="1">
      <x:c r="A182" s="60" t="n">
        <x:v>0.6</x:v>
      </x:c>
      <x:c r="B182" s="28" t="str">
        <x:v>back_high</x:v>
      </x:c>
      <x:c r="C182" s="60" t="n">
        <x:v>0.3</x:v>
      </x:c>
      <x:c r="D182" s="60" t="n">
        <x:v>0.3</x:v>
      </x:c>
      <x:c r="E182" s="62" t="b">
        <x:v>1</x:v>
      </x:c>
      <x:c r="F182" s="62" t="b">
        <x:v>1</x:v>
      </x:c>
      <x:c r="G182" s="85" t="n">
        <x:v>0</x:v>
      </x:c>
      <x:c r="H182" s="85" t="n">
        <x:v>0</x:v>
      </x:c>
      <x:c r="I182" s="85" t="n">
        <x:v>33575771.664240025</x:v>
      </x:c>
      <x:c r="J182" s="85" t="n">
        <x:v>24511621.252218716</x:v>
      </x:c>
      <x:c r="K182" s="85" t="n">
        <x:v>636086.2535972663</x:v>
      </x:c>
      <x:c r="L182" s="28" t="n">
        <x:v>0</x:v>
      </x:c>
      <x:c r="M182" s="28" t="n">
        <x:v>0</x:v>
      </x:c>
      <x:c r="N182" s="28" t="n">
        <x:v>3.725290298461914e-9</x:v>
      </x:c>
      <x:c r="O182" s="28" t="n">
        <x:v>2.9802322387695312e-8</x:v>
      </x:c>
      <x:c r="P182" s="28" t="n">
        <x:v>0</x:v>
      </x:c>
      <x:c r="Q182" s="62" t="b">
        <x:v>1</x:v>
      </x:c>
      <x:c r="R182" s="28" t="n">
        <x:v>0</x:v>
      </x:c>
      <x:c r="S182" s="28" t="str">
        <x:v>51fa3404a371a247</x:v>
      </x:c>
    </x:row>
    <x:row r="183" ht="21" customHeight="1">
      <x:c r="A183" s="60" t="n">
        <x:v>0.6</x:v>
      </x:c>
      <x:c r="B183" s="28" t="str">
        <x:v>back_high</x:v>
      </x:c>
      <x:c r="C183" s="60" t="n">
        <x:v>0.35</x:v>
      </x:c>
      <x:c r="D183" s="60" t="n">
        <x:v>0.35</x:v>
      </x:c>
      <x:c r="E183" s="62" t="b">
        <x:v>1</x:v>
      </x:c>
      <x:c r="F183" s="62" t="b">
        <x:v>1</x:v>
      </x:c>
      <x:c r="G183" s="85" t="n">
        <x:v>0</x:v>
      </x:c>
      <x:c r="H183" s="85" t="n">
        <x:v>0</x:v>
      </x:c>
      <x:c r="I183" s="85" t="n">
        <x:v>42575334.65359967</x:v>
      </x:c>
      <x:c r="J183" s="85" t="n">
        <x:v>33596891.460921794</x:v>
      </x:c>
      <x:c r="K183" s="85" t="n">
        <x:v>539994.7125301333</x:v>
      </x:c>
      <x:c r="L183" s="28" t="n">
        <x:v>0</x:v>
      </x:c>
      <x:c r="M183" s="28" t="n">
        <x:v>0</x:v>
      </x:c>
      <x:c r="N183" s="28" t="n">
        <x:v>1.862645149230957e-9</x:v>
      </x:c>
      <x:c r="O183" s="28" t="n">
        <x:v>2.9802322387695312e-8</x:v>
      </x:c>
      <x:c r="P183" s="28" t="n">
        <x:v>0</x:v>
      </x:c>
      <x:c r="Q183" s="62" t="b">
        <x:v>1</x:v>
      </x:c>
      <x:c r="R183" s="28" t="n">
        <x:v>0</x:v>
      </x:c>
      <x:c r="S183" s="28" t="str">
        <x:v>59b6c376ec4a5414</x:v>
      </x:c>
    </x:row>
    <x:row r="184" ht="21" customHeight="1">
      <x:c r="A184" s="60" t="n">
        <x:v>0.6</x:v>
      </x:c>
      <x:c r="B184" s="28" t="str">
        <x:v>back_high</x:v>
      </x:c>
      <x:c r="C184" s="60" t="n">
        <x:v>0.4</x:v>
      </x:c>
      <x:c r="D184" s="60" t="n">
        <x:v>0.4</x:v>
      </x:c>
      <x:c r="E184" s="62" t="b">
        <x:v>1</x:v>
      </x:c>
      <x:c r="F184" s="62" t="b">
        <x:v>1</x:v>
      </x:c>
      <x:c r="G184" s="85" t="n">
        <x:v>0</x:v>
      </x:c>
      <x:c r="H184" s="85" t="n">
        <x:v>0</x:v>
      </x:c>
      <x:c r="I184" s="85" t="n">
        <x:v>51677375.8993479</x:v>
      </x:c>
      <x:c r="J184" s="85" t="n">
        <x:v>42682161.66962496</x:v>
      </x:c>
      <x:c r="K184" s="85" t="n">
        <x:v>443903.17146302457</x:v>
      </x:c>
      <x:c r="L184" s="28" t="n">
        <x:v>0</x:v>
      </x:c>
      <x:c r="M184" s="28" t="n">
        <x:v>0</x:v>
      </x:c>
      <x:c r="N184" s="28" t="n">
        <x:v>3.725290298461914e-9</x:v>
      </x:c>
      <x:c r="O184" s="28" t="n">
        <x:v>2.9802322387695312e-8</x:v>
      </x:c>
      <x:c r="P184" s="28" t="n">
        <x:v>0</x:v>
      </x:c>
      <x:c r="Q184" s="62" t="b">
        <x:v>1</x:v>
      </x:c>
      <x:c r="R184" s="28" t="n">
        <x:v>0</x:v>
      </x:c>
      <x:c r="S184" s="28" t="str">
        <x:v>d82a7e2248b2dc55</x:v>
      </x:c>
    </x:row>
    <x:row r="185" ht="21" customHeight="1">
      <x:c r="A185" s="60" t="n">
        <x:v>0.6</x:v>
      </x:c>
      <x:c r="B185" s="28" t="str">
        <x:v>back_high</x:v>
      </x:c>
      <x:c r="C185" s="60" t="n">
        <x:v>0.45</x:v>
      </x:c>
      <x:c r="D185" s="60" t="n">
        <x:v>0.45</x:v>
      </x:c>
      <x:c r="E185" s="62" t="b">
        <x:v>1</x:v>
      </x:c>
      <x:c r="F185" s="62" t="b">
        <x:v>1</x:v>
      </x:c>
      <x:c r="G185" s="85" t="n">
        <x:v>0</x:v>
      </x:c>
      <x:c r="H185" s="85" t="n">
        <x:v>0</x:v>
      </x:c>
      <x:c r="I185" s="85" t="n">
        <x:v>60781503.59109284</x:v>
      </x:c>
      <x:c r="J185" s="85" t="n">
        <x:v>51767431.87832807</x:v>
      </x:c>
      <x:c r="K185" s="85" t="n">
        <x:v>347811.6303958832</x:v>
      </x:c>
      <x:c r="L185" s="28" t="n">
        <x:v>0</x:v>
      </x:c>
      <x:c r="M185" s="28" t="n">
        <x:v>0</x:v>
      </x:c>
      <x:c r="N185" s="28" t="n">
        <x:v>3.725290298461914e-9</x:v>
      </x:c>
      <x:c r="O185" s="28" t="n">
        <x:v>1.4901161193847656e-8</x:v>
      </x:c>
      <x:c r="P185" s="28" t="n">
        <x:v>0</x:v>
      </x:c>
      <x:c r="Q185" s="62" t="b">
        <x:v>1</x:v>
      </x:c>
      <x:c r="R185" s="28" t="n">
        <x:v>0</x:v>
      </x:c>
      <x:c r="S185" s="28" t="str">
        <x:v>eeb31edffd94e1b0</x:v>
      </x:c>
    </x:row>
    <x:row r="186" ht="21" customHeight="1">
      <x:c r="A186" s="60" t="n">
        <x:v>0.6</x:v>
      </x:c>
      <x:c r="B186" s="28" t="str">
        <x:v>back_high</x:v>
      </x:c>
      <x:c r="C186" s="60" t="n">
        <x:v>0.5</x:v>
      </x:c>
      <x:c r="D186" s="60" t="n">
        <x:v>0.5</x:v>
      </x:c>
      <x:c r="E186" s="62" t="b">
        <x:v>1</x:v>
      </x:c>
      <x:c r="F186" s="62" t="b">
        <x:v>1</x:v>
      </x:c>
      <x:c r="G186" s="85" t="n">
        <x:v>0</x:v>
      </x:c>
      <x:c r="H186" s="85" t="n">
        <x:v>0</x:v>
      </x:c>
      <x:c r="I186" s="85" t="n">
        <x:v>70043532.02536336</x:v>
      </x:c>
      <x:c r="J186" s="85" t="n">
        <x:v>60029619.38095199</x:v>
      </x:c>
      <x:c r="K186" s="85" t="n">
        <x:v>311177.39941095933</x:v>
      </x:c>
      <x:c r="L186" s="28" t="n">
        <x:v>2</x:v>
      </x:c>
      <x:c r="M186" s="28" t="n">
        <x:v>0</x:v>
      </x:c>
      <x:c r="N186" s="28" t="n">
        <x:v>3.725290298461914e-9</x:v>
      </x:c>
      <x:c r="O186" s="28" t="n">
        <x:v>2.9802322387695312e-8</x:v>
      </x:c>
      <x:c r="P186" s="28" t="n">
        <x:v>0</x:v>
      </x:c>
      <x:c r="Q186" s="62" t="b">
        <x:v>1</x:v>
      </x:c>
      <x:c r="R186" s="28" t="n">
        <x:v>0</x:v>
      </x:c>
      <x:c r="S186" s="28" t="str">
        <x:v>da39c9e50adcdced</x:v>
      </x:c>
    </x:row>
    <x:row r="187" ht="21" customHeight="1">
      <x:c r="A187" s="60" t="n">
        <x:v>0.6</x:v>
      </x:c>
      <x:c r="B187" s="28" t="str">
        <x:v>back_high</x:v>
      </x:c>
      <x:c r="C187" s="60" t="n">
        <x:v>0.55</x:v>
      </x:c>
      <x:c r="D187" s="60" t="n">
        <x:v>0.55</x:v>
      </x:c>
      <x:c r="E187" s="62" t="b">
        <x:v>1</x:v>
      </x:c>
      <x:c r="F187" s="62" t="b">
        <x:v>1</x:v>
      </x:c>
      <x:c r="G187" s="85" t="n">
        <x:v>0</x:v>
      </x:c>
      <x:c r="H187" s="85" t="n">
        <x:v>0</x:v>
      </x:c>
      <x:c r="I187" s="85" t="n">
        <x:v>79265742.21297406</x:v>
      </x:c>
      <x:c r="J187" s="85" t="n">
        <x:v>68256289.41313726</x:v>
      </x:c>
      <x:c r="K187" s="85" t="n">
        <x:v>282161.70770821476</x:v>
      </x:c>
      <x:c r="L187" s="28" t="n">
        <x:v>5</x:v>
      </x:c>
      <x:c r="M187" s="28" t="n">
        <x:v>3</x:v>
      </x:c>
      <x:c r="N187" s="28" t="n">
        <x:v>3.725290298461914e-9</x:v>
      </x:c>
      <x:c r="O187" s="28" t="n">
        <x:v>2.9802322387695312e-8</x:v>
      </x:c>
      <x:c r="P187" s="28" t="n">
        <x:v>0</x:v>
      </x:c>
      <x:c r="Q187" s="62" t="b">
        <x:v>1</x:v>
      </x:c>
      <x:c r="R187" s="28" t="n">
        <x:v>0</x:v>
      </x:c>
      <x:c r="S187" s="28" t="str">
        <x:v>bcade7af65b1b6e7</x:v>
      </x:c>
    </x:row>
    <x:row r="188" ht="21" customHeight="1">
      <x:c r="A188" s="60" t="n">
        <x:v>0.6</x:v>
      </x:c>
      <x:c r="B188" s="28" t="str">
        <x:v>back_high</x:v>
      </x:c>
      <x:c r="C188" s="60" t="n">
        <x:v>0.6</x:v>
      </x:c>
      <x:c r="D188" s="60" t="n">
        <x:v>0.6</x:v>
      </x:c>
      <x:c r="E188" s="62" t="b">
        <x:v>1</x:v>
      </x:c>
      <x:c r="F188" s="62" t="b">
        <x:v>1</x:v>
      </x:c>
      <x:c r="G188" s="85" t="n">
        <x:v>0</x:v>
      </x:c>
      <x:c r="H188" s="85" t="n">
        <x:v>0</x:v>
      </x:c>
      <x:c r="I188" s="85" t="n">
        <x:v>88334265.39638518</x:v>
      </x:c>
      <x:c r="J188" s="85" t="n">
        <x:v>76621160.26801062</x:v>
      </x:c>
      <x:c r="K188" s="85" t="n">
        <x:v>253146.01600547382</x:v>
      </x:c>
      <x:c r="L188" s="28" t="n">
        <x:v>9</x:v>
      </x:c>
      <x:c r="M188" s="28" t="n">
        <x:v>6</x:v>
      </x:c>
      <x:c r="N188" s="28" t="n">
        <x:v>1.862645149230957e-9</x:v>
      </x:c>
      <x:c r="O188" s="28" t="n">
        <x:v>2.9802322387695312e-8</x:v>
      </x:c>
      <x:c r="P188" s="28" t="n">
        <x:v>0</x:v>
      </x:c>
      <x:c r="Q188" s="62" t="b">
        <x:v>1</x:v>
      </x:c>
      <x:c r="R188" s="28" t="n">
        <x:v>0</x:v>
      </x:c>
      <x:c r="S188" s="28" t="str">
        <x:v>9f029ff363164419</x:v>
      </x:c>
    </x:row>
    <x:row r="189" ht="21" customHeight="1">
      <x:c r="A189" s="60" t="n">
        <x:v>0.6</x:v>
      </x:c>
      <x:c r="B189" s="28" t="str">
        <x:v>back_high</x:v>
      </x:c>
      <x:c r="C189" s="60" t="n">
        <x:v>0.65</x:v>
      </x:c>
      <x:c r="D189" s="60" t="n">
        <x:v>0.65</x:v>
      </x:c>
      <x:c r="E189" s="62" t="b">
        <x:v>1</x:v>
      </x:c>
      <x:c r="F189" s="62" t="b">
        <x:v>1</x:v>
      </x:c>
      <x:c r="G189" s="85" t="n">
        <x:v>0</x:v>
      </x:c>
      <x:c r="H189" s="85" t="n">
        <x:v>0</x:v>
      </x:c>
      <x:c r="I189" s="85" t="n">
        <x:v>97114764.97316216</x:v>
      </x:c>
      <x:c r="J189" s="85" t="n">
        <x:v>85509935.21234958</x:v>
      </x:c>
      <x:c r="K189" s="85" t="n">
        <x:v>224130.32430274313</x:v>
      </x:c>
      <x:c r="L189" s="28" t="n">
        <x:v>12</x:v>
      </x:c>
      <x:c r="M189" s="28" t="n">
        <x:v>8</x:v>
      </x:c>
      <x:c r="N189" s="28" t="n">
        <x:v>3.725290298461914e-9</x:v>
      </x:c>
      <x:c r="O189" s="28" t="n">
        <x:v>1.4901161193847656e-8</x:v>
      </x:c>
      <x:c r="P189" s="28" t="n">
        <x:v>0</x:v>
      </x:c>
      <x:c r="Q189" s="62" t="b">
        <x:v>1</x:v>
      </x:c>
      <x:c r="R189" s="28" t="n">
        <x:v>0</x:v>
      </x:c>
      <x:c r="S189" s="28" t="str">
        <x:v>08a0cc9eeb37793a</x:v>
      </x:c>
    </x:row>
    <x:row r="190" ht="21" customHeight="1">
      <x:c r="A190" s="60" t="n">
        <x:v>0.6</x:v>
      </x:c>
      <x:c r="B190" s="28" t="str">
        <x:v>back_high</x:v>
      </x:c>
      <x:c r="C190" s="60" t="n">
        <x:v>0.7</x:v>
      </x:c>
      <x:c r="D190" s="60" t="n">
        <x:v>0.7</x:v>
      </x:c>
      <x:c r="E190" s="62" t="b">
        <x:v>1</x:v>
      </x:c>
      <x:c r="F190" s="62" t="b">
        <x:v>0</x:v>
      </x:c>
      <x:c r="G190" s="85" t="n">
        <x:v>2001008.5941583277</x:v>
      </x:c>
      <x:c r="H190" s="85" t="n">
        <x:v>7054887.849732769</x:v>
      </x:c>
      <x:c r="I190" s="85" t="n">
        <x:v>101788189.03980018</x:v>
      </x:c>
      <x:c r="J190" s="85" t="n">
        <x:v>90000000.00000001</x:v>
      </x:c>
      <x:c r="K190" s="85" t="n">
        <x:v>195114.6326000013</x:v>
      </x:c>
      <x:c r="L190" s="28" t="n">
        <x:v>37</x:v>
      </x:c>
      <x:c r="M190" s="28" t="n">
        <x:v>34</x:v>
      </x:c>
      <x:c r="N190" s="28" t="n">
        <x:v>1.862645149230957e-9</x:v>
      </x:c>
      <x:c r="O190" s="28" t="n">
        <x:v>2.9802322387695312e-8</x:v>
      </x:c>
      <x:c r="P190" s="28" t="n">
        <x:v>0</x:v>
      </x:c>
      <x:c r="Q190" s="62" t="b">
        <x:v>1</x:v>
      </x:c>
      <x:c r="R190" s="28" t="n">
        <x:v>0</x:v>
      </x:c>
      <x:c r="S190" s="28" t="str">
        <x:v>066e01a19a7bea2a</x:v>
      </x:c>
    </x:row>
    <x:row r="191" ht="21" customHeight="1">
      <x:c r="A191" s="60" t="n">
        <x:v>0.6</x:v>
      </x:c>
      <x:c r="B191" s="28" t="str">
        <x:v>back_high</x:v>
      </x:c>
      <x:c r="C191" s="60" t="n">
        <x:v>0.75</x:v>
      </x:c>
      <x:c r="D191" s="60" t="n">
        <x:v>0.75</x:v>
      </x:c>
      <x:c r="E191" s="62" t="b">
        <x:v>1</x:v>
      </x:c>
      <x:c r="F191" s="62" t="b">
        <x:v>0</x:v>
      </x:c>
      <x:c r="G191" s="85" t="n">
        <x:v>5854492.206428535</x:v>
      </x:c>
      <x:c r="H191" s="85" t="n">
        <x:v>18888587.429496102</x:v>
      </x:c>
      <x:c r="I191" s="85" t="n">
        <x:v>103519758.81179093</x:v>
      </x:c>
      <x:c r="J191" s="85" t="n">
        <x:v>90000000.00000001</x:v>
      </x:c>
      <x:c r="K191" s="85" t="n">
        <x:v>166098.94089725014</x:v>
      </x:c>
      <x:c r="L191" s="28" t="n">
        <x:v>38</x:v>
      </x:c>
      <x:c r="M191" s="28" t="n">
        <x:v>34</x:v>
      </x:c>
      <x:c r="N191" s="28" t="n">
        <x:v>1.862645149230957e-9</x:v>
      </x:c>
      <x:c r="O191" s="28" t="n">
        <x:v>2.9802322387695312e-8</x:v>
      </x:c>
      <x:c r="P191" s="28" t="n">
        <x:v>0</x:v>
      </x:c>
      <x:c r="Q191" s="62" t="b">
        <x:v>1</x:v>
      </x:c>
      <x:c r="R191" s="28" t="n">
        <x:v>0</x:v>
      </x:c>
      <x:c r="S191" s="28" t="str">
        <x:v>5a863052861d5e26</x:v>
      </x:c>
    </x:row>
    <x:row r="192" ht="21" customHeight="1">
      <x:c r="A192" s="60" t="n">
        <x:v>0.6</x:v>
      </x:c>
      <x:c r="B192" s="28" t="str">
        <x:v>back_high</x:v>
      </x:c>
      <x:c r="C192" s="60" t="n">
        <x:v>0.8</x:v>
      </x:c>
      <x:c r="D192" s="60" t="n">
        <x:v>0.8</x:v>
      </x:c>
      <x:c r="E192" s="62" t="b">
        <x:v>1</x:v>
      </x:c>
      <x:c r="F192" s="62" t="b">
        <x:v>0</x:v>
      </x:c>
      <x:c r="G192" s="85" t="n">
        <x:v>10495407.39057418</x:v>
      </x:c>
      <x:c r="H192" s="85" t="n">
        <x:v>31869031.633661725</x:v>
      </x:c>
      <x:c r="I192" s="85" t="n">
        <x:v>104075022.00024821</x:v>
      </x:c>
      <x:c r="J192" s="85" t="n">
        <x:v>90000000.00000001</x:v>
      </x:c>
      <x:c r="K192" s="85" t="n">
        <x:v>137083.2491945204</x:v>
      </x:c>
      <x:c r="L192" s="28" t="n">
        <x:v>38</x:v>
      </x:c>
      <x:c r="M192" s="28" t="n">
        <x:v>35</x:v>
      </x:c>
      <x:c r="N192" s="28" t="n">
        <x:v>1.862645149230957e-9</x:v>
      </x:c>
      <x:c r="O192" s="28" t="n">
        <x:v>1.4901161193847656e-8</x:v>
      </x:c>
      <x:c r="P192" s="28" t="n">
        <x:v>0</x:v>
      </x:c>
      <x:c r="Q192" s="62" t="b">
        <x:v>1</x:v>
      </x:c>
      <x:c r="R192" s="28" t="n">
        <x:v>0</x:v>
      </x:c>
      <x:c r="S192" s="28" t="str">
        <x:v>f60a9352663ecd91</x:v>
      </x:c>
    </x:row>
    <x:row r="193" ht="21" customHeight="1">
      <x:c r="A193" s="60" t="n">
        <x:v>0.6</x:v>
      </x:c>
      <x:c r="B193" s="28" t="str">
        <x:v>back_high</x:v>
      </x:c>
      <x:c r="C193" s="60" t="n">
        <x:v>0.85</x:v>
      </x:c>
      <x:c r="D193" s="60" t="n">
        <x:v>0.85</x:v>
      </x:c>
      <x:c r="E193" s="62" t="b">
        <x:v>1</x:v>
      </x:c>
      <x:c r="F193" s="62" t="b">
        <x:v>0</x:v>
      </x:c>
      <x:c r="G193" s="85" t="n">
        <x:v>16334717.615329154</x:v>
      </x:c>
      <x:c r="H193" s="85" t="n">
        <x:v>42145956.064868264</x:v>
      </x:c>
      <x:c r="I193" s="85" t="n">
        <x:v>105727182.38946606</x:v>
      </x:c>
      <x:c r="J193" s="85" t="n">
        <x:v>90000000.00000001</x:v>
      </x:c>
      <x:c r="K193" s="85" t="n">
        <x:v>108067.55749179344</x:v>
      </x:c>
      <x:c r="L193" s="28" t="n">
        <x:v>39</x:v>
      </x:c>
      <x:c r="M193" s="28" t="n">
        <x:v>36</x:v>
      </x:c>
      <x:c r="N193" s="28" t="n">
        <x:v>1.862645149230957e-9</x:v>
      </x:c>
      <x:c r="O193" s="28" t="n">
        <x:v>2.9802322387695312e-8</x:v>
      </x:c>
      <x:c r="P193" s="28" t="n">
        <x:v>0</x:v>
      </x:c>
      <x:c r="Q193" s="62" t="b">
        <x:v>1</x:v>
      </x:c>
      <x:c r="R193" s="28" t="n">
        <x:v>0</x:v>
      </x:c>
      <x:c r="S193" s="28" t="str">
        <x:v>d3fbeba1289fbce9</x:v>
      </x:c>
    </x:row>
    <x:row r="194" ht="21" customHeight="1">
      <x:c r="A194" s="60" t="n">
        <x:v>0.6</x:v>
      </x:c>
      <x:c r="B194" s="28" t="str">
        <x:v>back_high</x:v>
      </x:c>
      <x:c r="C194" s="60" t="n">
        <x:v>0.9</x:v>
      </x:c>
      <x:c r="D194" s="60" t="n">
        <x:v>0.8948658400492392</x:v>
      </x:c>
      <x:c r="E194" s="62" t="b">
        <x:v>0</x:v>
      </x:c>
      <x:c r="F194" s="62" t="b">
        <x:v>0</x:v>
      </x:c>
      <x:c r="G194" s="85" t="n">
        <x:v>21986622.54450669</x:v>
      </x:c>
      <x:c r="H194" s="85" t="n">
        <x:v>49496818.8581355</x:v>
      </x:c>
      <x:c r="I194" s="85" t="n">
        <x:v>106170071.55870941</x:v>
      </x:c>
      <x:c r="J194" s="85" t="n">
        <x:v>90000000.00000001</x:v>
      </x:c>
      <x:c r="K194" s="85" t="n">
        <x:v>79051.86578904041</x:v>
      </x:c>
      <x:c r="L194" s="28" t="n">
        <x:v>39</x:v>
      </x:c>
      <x:c r="M194" s="28" t="n">
        <x:v>36</x:v>
      </x:c>
      <x:c r="N194" s="28" t="n">
        <x:v>1.862645149230957e-9</x:v>
      </x:c>
      <x:c r="O194" s="28" t="n">
        <x:v>2.9802322387695312e-8</x:v>
      </x:c>
      <x:c r="P194" s="28" t="n">
        <x:v>0</x:v>
      </x:c>
      <x:c r="Q194" s="62" t="b">
        <x:v>1</x:v>
      </x:c>
      <x:c r="R194" s="28" t="n">
        <x:v>1540247.9852282405</x:v>
      </x:c>
      <x:c r="S194" s="28" t="str">
        <x:v>ee3ecbb2df564dd8</x:v>
      </x:c>
    </x:row>
    <x:row r="195" ht="21" customHeight="1">
      <x:c r="A195" s="60" t="n">
        <x:v>0.6</x:v>
      </x:c>
      <x:c r="B195" s="28" t="str">
        <x:v>back_high</x:v>
      </x:c>
      <x:c r="C195" s="60" t="n">
        <x:v>0.95</x:v>
      </x:c>
      <x:c r="D195" s="60" t="n">
        <x:v>0.9083032015334562</x:v>
      </x:c>
      <x:c r="E195" s="62" t="b">
        <x:v>0</x:v>
      </x:c>
      <x:c r="F195" s="62" t="b">
        <x:v>0</x:v>
      </x:c>
      <x:c r="G195" s="85" t="n">
        <x:v>23294525.689545594</x:v>
      </x:c>
      <x:c r="H195" s="85" t="n">
        <x:v>52441202.19500007</x:v>
      </x:c>
      <x:c r="I195" s="85" t="n">
        <x:v>107630088.8799235</x:v>
      </x:c>
      <x:c r="J195" s="85" t="n">
        <x:v>90000000.00000001</x:v>
      </x:c>
      <x:c r="K195" s="85" t="n">
        <x:v>57954.77124657415</x:v>
      </x:c>
      <x:c r="L195" s="28" t="n">
        <x:v>40</x:v>
      </x:c>
      <x:c r="M195" s="28" t="n">
        <x:v>37</x:v>
      </x:c>
      <x:c r="N195" s="28" t="n">
        <x:v>1.862645149230957e-9</x:v>
      </x:c>
      <x:c r="O195" s="28" t="n">
        <x:v>2.9802322387695312e-8</x:v>
      </x:c>
      <x:c r="P195" s="28" t="n">
        <x:v>0</x:v>
      </x:c>
      <x:c r="Q195" s="62" t="b">
        <x:v>1</x:v>
      </x:c>
      <x:c r="R195" s="28" t="n">
        <x:v>12509039.539963126</x:v>
      </x:c>
      <x:c r="S195" s="28" t="str">
        <x:v>945fa29502be613d</x:v>
      </x:c>
    </x:row>
    <x:row r="196" ht="21" customHeight="1">
      <x:c r="A196" s="60" t="n">
        <x:v>0.6</x:v>
      </x:c>
      <x:c r="B196" s="28" t="str">
        <x:v>back_high</x:v>
      </x:c>
      <x:c r="C196" s="60" t="n">
        <x:v>1</x:v>
      </x:c>
      <x:c r="D196" s="60" t="n">
        <x:v>0.920601109498915</x:v>
      </x:c>
      <x:c r="E196" s="62" t="b">
        <x:v>0</x:v>
      </x:c>
      <x:c r="F196" s="62" t="b">
        <x:v>0</x:v>
      </x:c>
      <x:c r="G196" s="85" t="n">
        <x:v>25686382.729706295</x:v>
      </x:c>
      <x:c r="H196" s="85" t="n">
        <x:v>55495552.89000248</x:v>
      </x:c>
      <x:c r="I196" s="85" t="n">
        <x:v>107976337.18074137</x:v>
      </x:c>
      <x:c r="J196" s="85" t="n">
        <x:v>90000000.00000001</x:v>
      </x:c>
      <x:c r="K196" s="85" t="n">
        <x:v>48282.733972601854</x:v>
      </x:c>
      <x:c r="L196" s="28" t="n">
        <x:v>40</x:v>
      </x:c>
      <x:c r="M196" s="28" t="n">
        <x:v>38</x:v>
      </x:c>
      <x:c r="N196" s="28" t="n">
        <x:v>1.862645149230957e-9</x:v>
      </x:c>
      <x:c r="O196" s="28" t="n">
        <x:v>2.9802322387695312e-8</x:v>
      </x:c>
      <x:c r="P196" s="28" t="n">
        <x:v>0</x:v>
      </x:c>
      <x:c r="Q196" s="62" t="b">
        <x:v>1</x:v>
      </x:c>
      <x:c r="R196" s="28" t="n">
        <x:v>23819667.150325477</x:v>
      </x:c>
      <x:c r="S196" s="28" t="str">
        <x:v>40a21965d4fd7395</x:v>
      </x:c>
    </x:row>
    <x:row r="197" ht="21" customHeight="1">
      <x:c r="A197" s="60" t="n">
        <x:v>0.6</x:v>
      </x:c>
      <x:c r="B197" s="28" t="str">
        <x:v>level_flat</x:v>
      </x:c>
      <x:c r="C197" s="60" t="n">
        <x:v>0</x:v>
      </x:c>
      <x:c r="D197" s="60" t="n">
        <x:v>0</x:v>
      </x:c>
      <x:c r="E197" s="62" t="b">
        <x:v>1</x:v>
      </x:c>
      <x:c r="F197" s="62" t="b">
        <x:v>1</x:v>
      </x:c>
      <x:c r="G197" s="85" t="n">
        <x:v>0</x:v>
      </x:c>
      <x:c r="H197" s="85" t="n">
        <x:v>0</x:v>
      </x:c>
      <x:c r="I197" s="85" t="n">
        <x:v>0</x:v>
      </x:c>
      <x:c r="J197" s="85" t="n">
        <x:v>0</x:v>
      </x:c>
      <x:c r="K197" s="85" t="n">
        <x:v>29867310.874657497</x:v>
      </x:c>
      <x:c r="L197" s="28" t="n">
        <x:v>0</x:v>
      </x:c>
      <x:c r="M197" s="28" t="n">
        <x:v>0</x:v>
      </x:c>
      <x:c r="N197" s="28" t="n">
        <x:v>3.725290298461914e-9</x:v>
      </x:c>
      <x:c r="O197" s="28" t="n">
        <x:v>0</x:v>
      </x:c>
      <x:c r="P197" s="28" t="n">
        <x:v>0</x:v>
      </x:c>
      <x:c r="Q197" s="62" t="b">
        <x:v>1</x:v>
      </x:c>
      <x:c r="R197" s="28" t="n">
        <x:v>0</x:v>
      </x:c>
      <x:c r="S197" s="28" t="str">
        <x:v>ad2a89e020c5b2df</x:v>
      </x:c>
    </x:row>
    <x:row r="198" ht="21" customHeight="1">
      <x:c r="A198" s="60" t="n">
        <x:v>0.6</x:v>
      </x:c>
      <x:c r="B198" s="28" t="str">
        <x:v>level_flat</x:v>
      </x:c>
      <x:c r="C198" s="60" t="n">
        <x:v>0.05</x:v>
      </x:c>
      <x:c r="D198" s="60" t="n">
        <x:v>0.05</x:v>
      </x:c>
      <x:c r="E198" s="62" t="b">
        <x:v>1</x:v>
      </x:c>
      <x:c r="F198" s="62" t="b">
        <x:v>1</x:v>
      </x:c>
      <x:c r="G198" s="85" t="n">
        <x:v>0</x:v>
      </x:c>
      <x:c r="H198" s="85" t="n">
        <x:v>0</x:v>
      </x:c>
      <x:c r="I198" s="85" t="n">
        <x:v>0</x:v>
      </x:c>
      <x:c r="J198" s="85" t="n">
        <x:v>0</x:v>
      </x:c>
      <x:c r="K198" s="85" t="n">
        <x:v>17933533.136495743</x:v>
      </x:c>
      <x:c r="L198" s="28" t="n">
        <x:v>0</x:v>
      </x:c>
      <x:c r="M198" s="28" t="n">
        <x:v>0</x:v>
      </x:c>
      <x:c r="N198" s="28" t="n">
        <x:v>1.862645149230957e-9</x:v>
      </x:c>
      <x:c r="O198" s="28" t="n">
        <x:v>2.9802322387695312e-8</x:v>
      </x:c>
      <x:c r="P198" s="28" t="n">
        <x:v>0</x:v>
      </x:c>
      <x:c r="Q198" s="62" t="b">
        <x:v>1</x:v>
      </x:c>
      <x:c r="R198" s="28" t="n">
        <x:v>0</x:v>
      </x:c>
      <x:c r="S198" s="28" t="str">
        <x:v>8d537f211138973f</x:v>
      </x:c>
    </x:row>
    <x:row r="199" ht="21" customHeight="1">
      <x:c r="A199" s="60" t="n">
        <x:v>0.6</x:v>
      </x:c>
      <x:c r="B199" s="28" t="str">
        <x:v>level_flat</x:v>
      </x:c>
      <x:c r="C199" s="60" t="n">
        <x:v>0.1</x:v>
      </x:c>
      <x:c r="D199" s="60" t="n">
        <x:v>0.1</x:v>
      </x:c>
      <x:c r="E199" s="62" t="b">
        <x:v>1</x:v>
      </x:c>
      <x:c r="F199" s="62" t="b">
        <x:v>1</x:v>
      </x:c>
      <x:c r="G199" s="85" t="n">
        <x:v>0</x:v>
      </x:c>
      <x:c r="H199" s="85" t="n">
        <x:v>0</x:v>
      </x:c>
      <x:c r="I199" s="85" t="n">
        <x:v>0</x:v>
      </x:c>
      <x:c r="J199" s="85" t="n">
        <x:v>0</x:v>
      </x:c>
      <x:c r="K199" s="85" t="n">
        <x:v>5881811.239298977</x:v>
      </x:c>
      <x:c r="L199" s="28" t="n">
        <x:v>0</x:v>
      </x:c>
      <x:c r="M199" s="28" t="n">
        <x:v>0</x:v>
      </x:c>
      <x:c r="N199" s="28" t="n">
        <x:v>3.725290298461914e-9</x:v>
      </x:c>
      <x:c r="O199" s="28" t="n">
        <x:v>5.960464477539063e-8</x:v>
      </x:c>
      <x:c r="P199" s="28" t="n">
        <x:v>0</x:v>
      </x:c>
      <x:c r="Q199" s="62" t="b">
        <x:v>1</x:v>
      </x:c>
      <x:c r="R199" s="28" t="n">
        <x:v>0</x:v>
      </x:c>
      <x:c r="S199" s="28" t="str">
        <x:v>b0548f23e4d3342f</x:v>
      </x:c>
    </x:row>
    <x:row r="200" ht="21" customHeight="1">
      <x:c r="A200" s="60" t="n">
        <x:v>0.6</x:v>
      </x:c>
      <x:c r="B200" s="28" t="str">
        <x:v>level_flat</x:v>
      </x:c>
      <x:c r="C200" s="60" t="n">
        <x:v>0.15</x:v>
      </x:c>
      <x:c r="D200" s="60" t="n">
        <x:v>0.15</x:v>
      </x:c>
      <x:c r="E200" s="62" t="b">
        <x:v>1</x:v>
      </x:c>
      <x:c r="F200" s="62" t="b">
        <x:v>1</x:v>
      </x:c>
      <x:c r="G200" s="85" t="n">
        <x:v>0</x:v>
      </x:c>
      <x:c r="H200" s="85" t="n">
        <x:v>0</x:v>
      </x:c>
      <x:c r="I200" s="85" t="n">
        <x:v>4997537.735691465</x:v>
      </x:c>
      <x:c r="J200" s="85" t="n">
        <x:v>0</x:v>
      </x:c>
      <x:c r="K200" s="85" t="n">
        <x:v>168473.44671917887</x:v>
      </x:c>
      <x:c r="L200" s="28" t="n">
        <x:v>0</x:v>
      </x:c>
      <x:c r="M200" s="28" t="n">
        <x:v>0</x:v>
      </x:c>
      <x:c r="N200" s="28" t="n">
        <x:v>1.862645149230957e-9</x:v>
      </x:c>
      <x:c r="O200" s="28" t="n">
        <x:v>2.9802322387695312e-8</x:v>
      </x:c>
      <x:c r="P200" s="28" t="n">
        <x:v>0</x:v>
      </x:c>
      <x:c r="Q200" s="62" t="b">
        <x:v>1</x:v>
      </x:c>
      <x:c r="R200" s="28" t="n">
        <x:v>0</x:v>
      </x:c>
      <x:c r="S200" s="28" t="str">
        <x:v>a2fbbdf7c0aa12df</x:v>
      </x:c>
    </x:row>
    <x:row r="201" ht="21" customHeight="1">
      <x:c r="A201" s="60" t="n">
        <x:v>0.6</x:v>
      </x:c>
      <x:c r="B201" s="28" t="str">
        <x:v>level_flat</x:v>
      </x:c>
      <x:c r="C201" s="60" t="n">
        <x:v>0.2</x:v>
      </x:c>
      <x:c r="D201" s="60" t="n">
        <x:v>0.2</x:v>
      </x:c>
      <x:c r="E201" s="62" t="b">
        <x:v>1</x:v>
      </x:c>
      <x:c r="F201" s="62" t="b">
        <x:v>1</x:v>
      </x:c>
      <x:c r="G201" s="85" t="n">
        <x:v>0</x:v>
      </x:c>
      <x:c r="H201" s="85" t="n">
        <x:v>0</x:v>
      </x:c>
      <x:c r="I201" s="85" t="n">
        <x:v>13347778.985555692</x:v>
      </x:c>
      <x:c r="J201" s="85" t="n">
        <x:v>6323003.2725342475</x:v>
      </x:c>
      <x:c r="K201" s="85" t="n">
        <x:v>111746.85942465521</x:v>
      </x:c>
      <x:c r="L201" s="28" t="n">
        <x:v>0</x:v>
      </x:c>
      <x:c r="M201" s="28" t="n">
        <x:v>0</x:v>
      </x:c>
      <x:c r="N201" s="28" t="n">
        <x:v>0</x:v>
      </x:c>
      <x:c r="O201" s="28" t="n">
        <x:v>2.9802322387695312e-8</x:v>
      </x:c>
      <x:c r="P201" s="28" t="n">
        <x:v>0</x:v>
      </x:c>
      <x:c r="Q201" s="62" t="b">
        <x:v>1</x:v>
      </x:c>
      <x:c r="R201" s="28" t="n">
        <x:v>0</x:v>
      </x:c>
      <x:c r="S201" s="28" t="str">
        <x:v>6a67c96cee50bea3</x:v>
      </x:c>
    </x:row>
    <x:row r="202" ht="21" customHeight="1">
      <x:c r="A202" s="60" t="n">
        <x:v>0.6</x:v>
      </x:c>
      <x:c r="B202" s="28" t="str">
        <x:v>level_flat</x:v>
      </x:c>
      <x:c r="C202" s="60" t="n">
        <x:v>0.25</x:v>
      </x:c>
      <x:c r="D202" s="60" t="n">
        <x:v>0.25</x:v>
      </x:c>
      <x:c r="E202" s="62" t="b">
        <x:v>1</x:v>
      </x:c>
      <x:c r="F202" s="62" t="b">
        <x:v>1</x:v>
      </x:c>
      <x:c r="G202" s="85" t="n">
        <x:v>0</x:v>
      </x:c>
      <x:c r="H202" s="85" t="n">
        <x:v>0</x:v>
      </x:c>
      <x:c r="I202" s="85" t="n">
        <x:v>19912758.82002406</x:v>
      </x:c>
      <x:c r="J202" s="85" t="n">
        <x:v>15403754.090667764</x:v>
      </x:c>
      <x:c r="K202" s="85" t="n">
        <x:v>79837.59791095598</x:v>
      </x:c>
      <x:c r="L202" s="28" t="n">
        <x:v>0</x:v>
      </x:c>
      <x:c r="M202" s="28" t="n">
        <x:v>0</x:v>
      </x:c>
      <x:c r="N202" s="28" t="n">
        <x:v>3.725290298461914e-9</x:v>
      </x:c>
      <x:c r="O202" s="28" t="n">
        <x:v>2.9802322387695312e-8</x:v>
      </x:c>
      <x:c r="P202" s="28" t="n">
        <x:v>0</x:v>
      </x:c>
      <x:c r="Q202" s="62" t="b">
        <x:v>1</x:v>
      </x:c>
      <x:c r="R202" s="28" t="n">
        <x:v>0</x:v>
      </x:c>
      <x:c r="S202" s="28" t="str">
        <x:v>583e9f3c9d3bb409</x:v>
      </x:c>
    </x:row>
    <x:row r="203" ht="21" customHeight="1">
      <x:c r="A203" s="60" t="n">
        <x:v>0.6</x:v>
      </x:c>
      <x:c r="B203" s="28" t="str">
        <x:v>level_flat</x:v>
      </x:c>
      <x:c r="C203" s="60" t="n">
        <x:v>0.3</x:v>
      </x:c>
      <x:c r="D203" s="60" t="n">
        <x:v>0.3</x:v>
      </x:c>
      <x:c r="E203" s="62" t="b">
        <x:v>1</x:v>
      </x:c>
      <x:c r="F203" s="62" t="b">
        <x:v>1</x:v>
      </x:c>
      <x:c r="G203" s="85" t="n">
        <x:v>0</x:v>
      </x:c>
      <x:c r="H203" s="85" t="n">
        <x:v>0</x:v>
      </x:c>
      <x:c r="I203" s="85" t="n">
        <x:v>26497473.148549333</x:v>
      </x:c>
      <x:c r="J203" s="85" t="n">
        <x:v>24484504.908801205</x:v>
      </x:c>
      <x:c r="K203" s="85" t="n">
        <x:v>47928.33639726117</x:v>
      </x:c>
      <x:c r="L203" s="28" t="n">
        <x:v>0</x:v>
      </x:c>
      <x:c r="M203" s="28" t="n">
        <x:v>0</x:v>
      </x:c>
      <x:c r="N203" s="28" t="n">
        <x:v>3.725290298461914e-9</x:v>
      </x:c>
      <x:c r="O203" s="28" t="n">
        <x:v>7.450580596923828e-9</x:v>
      </x:c>
      <x:c r="P203" s="28" t="n">
        <x:v>0</x:v>
      </x:c>
      <x:c r="Q203" s="62" t="b">
        <x:v>1</x:v>
      </x:c>
      <x:c r="R203" s="28" t="n">
        <x:v>0</x:v>
      </x:c>
      <x:c r="S203" s="28" t="str">
        <x:v>2d876297c56b9453</x:v>
      </x:c>
    </x:row>
    <x:row r="204" ht="21" customHeight="1">
      <x:c r="A204" s="60" t="n">
        <x:v>0.6</x:v>
      </x:c>
      <x:c r="B204" s="28" t="str">
        <x:v>level_flat</x:v>
      </x:c>
      <x:c r="C204" s="60" t="n">
        <x:v>0.35</x:v>
      </x:c>
      <x:c r="D204" s="60" t="n">
        <x:v>0.35</x:v>
      </x:c>
      <x:c r="E204" s="62" t="b">
        <x:v>1</x:v>
      </x:c>
      <x:c r="F204" s="62" t="b">
        <x:v>1</x:v>
      </x:c>
      <x:c r="G204" s="85" t="n">
        <x:v>0</x:v>
      </x:c>
      <x:c r="H204" s="85" t="n">
        <x:v>0</x:v>
      </x:c>
      <x:c r="I204" s="85" t="n">
        <x:v>33131824.51874588</x:v>
      </x:c>
      <x:c r="J204" s="85" t="n">
        <x:v>33565255.72693476</x:v>
      </x:c>
      <x:c r="K204" s="85" t="n">
        <x:v>16019.07488355937</x:v>
      </x:c>
      <x:c r="L204" s="28" t="n">
        <x:v>0</x:v>
      </x:c>
      <x:c r="M204" s="28" t="n">
        <x:v>0</x:v>
      </x:c>
      <x:c r="N204" s="28" t="n">
        <x:v>3.725290298461914e-9</x:v>
      </x:c>
      <x:c r="O204" s="28" t="n">
        <x:v>2.9802322387695312e-8</x:v>
      </x:c>
      <x:c r="P204" s="28" t="n">
        <x:v>0</x:v>
      </x:c>
      <x:c r="Q204" s="62" t="b">
        <x:v>1</x:v>
      </x:c>
      <x:c r="R204" s="28" t="n">
        <x:v>0</x:v>
      </x:c>
      <x:c r="S204" s="28" t="str">
        <x:v>a9e1419a2a3f86c0</x:v>
      </x:c>
    </x:row>
    <x:row r="205" ht="21" customHeight="1">
      <x:c r="A205" s="60" t="n">
        <x:v>0.6</x:v>
      </x:c>
      <x:c r="B205" s="28" t="str">
        <x:v>level_flat</x:v>
      </x:c>
      <x:c r="C205" s="60" t="n">
        <x:v>0.4</x:v>
      </x:c>
      <x:c r="D205" s="60" t="n">
        <x:v>0.4</x:v>
      </x:c>
      <x:c r="E205" s="62" t="b">
        <x:v>1</x:v>
      </x:c>
      <x:c r="F205" s="62" t="b">
        <x:v>1</x:v>
      </x:c>
      <x:c r="G205" s="85" t="n">
        <x:v>0</x:v>
      </x:c>
      <x:c r="H205" s="85" t="n">
        <x:v>0</x:v>
      </x:c>
      <x:c r="I205" s="85" t="n">
        <x:v>39790801.41173703</x:v>
      </x:c>
      <x:c r="J205" s="85" t="n">
        <x:v>42646006.54506833</x:v>
      </x:c>
      <x:c r="K205" s="85" t="n">
        <x:v>0</x:v>
      </x:c>
      <x:c r="L205" s="28" t="n">
        <x:v>0</x:v>
      </x:c>
      <x:c r="M205" s="28" t="n">
        <x:v>0</x:v>
      </x:c>
      <x:c r="N205" s="28" t="n">
        <x:v>3.725290298461914e-9</x:v>
      </x:c>
      <x:c r="O205" s="28" t="n">
        <x:v>2.9802322387695312e-8</x:v>
      </x:c>
      <x:c r="P205" s="28" t="n">
        <x:v>0</x:v>
      </x:c>
      <x:c r="Q205" s="62" t="b">
        <x:v>1</x:v>
      </x:c>
      <x:c r="R205" s="28" t="n">
        <x:v>0</x:v>
      </x:c>
      <x:c r="S205" s="28" t="str">
        <x:v>ee3c64d4fe026be2</x:v>
      </x:c>
    </x:row>
    <x:row r="206" ht="21" customHeight="1">
      <x:c r="A206" s="60" t="n">
        <x:v>0.6</x:v>
      </x:c>
      <x:c r="B206" s="28" t="str">
        <x:v>level_flat</x:v>
      </x:c>
      <x:c r="C206" s="60" t="n">
        <x:v>0.45</x:v>
      </x:c>
      <x:c r="D206" s="60" t="n">
        <x:v>0.45</x:v>
      </x:c>
      <x:c r="E206" s="62" t="b">
        <x:v>1</x:v>
      </x:c>
      <x:c r="F206" s="62" t="b">
        <x:v>1</x:v>
      </x:c>
      <x:c r="G206" s="85" t="n">
        <x:v>0</x:v>
      </x:c>
      <x:c r="H206" s="85" t="n">
        <x:v>0</x:v>
      </x:c>
      <x:c r="I206" s="85" t="n">
        <x:v>46430386.661919944</x:v>
      </x:c>
      <x:c r="J206" s="85" t="n">
        <x:v>51726757.363201916</x:v>
      </x:c>
      <x:c r="K206" s="85" t="n">
        <x:v>0</x:v>
      </x:c>
      <x:c r="L206" s="28" t="n">
        <x:v>0</x:v>
      </x:c>
      <x:c r="M206" s="28" t="n">
        <x:v>0</x:v>
      </x:c>
      <x:c r="N206" s="28" t="n">
        <x:v>1.862645149230957e-9</x:v>
      </x:c>
      <x:c r="O206" s="28" t="n">
        <x:v>2.9802322387695312e-8</x:v>
      </x:c>
      <x:c r="P206" s="28" t="n">
        <x:v>0</x:v>
      </x:c>
      <x:c r="Q206" s="62" t="b">
        <x:v>1</x:v>
      </x:c>
      <x:c r="R206" s="28" t="n">
        <x:v>0</x:v>
      </x:c>
      <x:c r="S206" s="28" t="str">
        <x:v>ba633171f949dc1e</x:v>
      </x:c>
    </x:row>
    <x:row r="207" ht="21" customHeight="1">
      <x:c r="A207" s="60" t="n">
        <x:v>0.6</x:v>
      </x:c>
      <x:c r="B207" s="28" t="str">
        <x:v>level_flat</x:v>
      </x:c>
      <x:c r="C207" s="60" t="n">
        <x:v>0.5</x:v>
      </x:c>
      <x:c r="D207" s="60" t="n">
        <x:v>0.5</x:v>
      </x:c>
      <x:c r="E207" s="62" t="b">
        <x:v>1</x:v>
      </x:c>
      <x:c r="F207" s="62" t="b">
        <x:v>1</x:v>
      </x:c>
      <x:c r="G207" s="85" t="n">
        <x:v>0</x:v>
      </x:c>
      <x:c r="H207" s="85" t="n">
        <x:v>0</x:v>
      </x:c>
      <x:c r="I207" s="85" t="n">
        <x:v>53192178.08102352</x:v>
      </x:c>
      <x:c r="J207" s="85" t="n">
        <x:v>60477220.11045948</x:v>
      </x:c>
      <x:c r="K207" s="85" t="n">
        <x:v>0</x:v>
      </x:c>
      <x:c r="L207" s="28" t="n">
        <x:v>1</x:v>
      </x:c>
      <x:c r="M207" s="28" t="n">
        <x:v>0</x:v>
      </x:c>
      <x:c r="N207" s="28" t="n">
        <x:v>1.862645149230957e-9</x:v>
      </x:c>
      <x:c r="O207" s="28" t="n">
        <x:v>1.4901161193847656e-8</x:v>
      </x:c>
      <x:c r="P207" s="28" t="n">
        <x:v>0</x:v>
      </x:c>
      <x:c r="Q207" s="62" t="b">
        <x:v>1</x:v>
      </x:c>
      <x:c r="R207" s="28" t="n">
        <x:v>0</x:v>
      </x:c>
      <x:c r="S207" s="28" t="str">
        <x:v>69de388add77a64b</x:v>
      </x:c>
    </x:row>
    <x:row r="208" ht="21" customHeight="1">
      <x:c r="A208" s="60" t="n">
        <x:v>0.6</x:v>
      </x:c>
      <x:c r="B208" s="28" t="str">
        <x:v>level_flat</x:v>
      </x:c>
      <x:c r="C208" s="60" t="n">
        <x:v>0.55</x:v>
      </x:c>
      <x:c r="D208" s="60" t="n">
        <x:v>0.55</x:v>
      </x:c>
      <x:c r="E208" s="62" t="b">
        <x:v>1</x:v>
      </x:c>
      <x:c r="F208" s="62" t="b">
        <x:v>1</x:v>
      </x:c>
      <x:c r="G208" s="85" t="n">
        <x:v>0</x:v>
      </x:c>
      <x:c r="H208" s="85" t="n">
        <x:v>0</x:v>
      </x:c>
      <x:c r="I208" s="85" t="n">
        <x:v>60620139.5544817</x:v>
      </x:c>
      <x:c r="J208" s="85" t="n">
        <x:v>67614408.28166708</x:v>
      </x:c>
      <x:c r="K208" s="85" t="n">
        <x:v>0</x:v>
      </x:c>
      <x:c r="L208" s="28" t="n">
        <x:v>6</x:v>
      </x:c>
      <x:c r="M208" s="28" t="n">
        <x:v>0</x:v>
      </x:c>
      <x:c r="N208" s="28" t="n">
        <x:v>1.862645149230957e-9</x:v>
      </x:c>
      <x:c r="O208" s="28" t="n">
        <x:v>2.9802322387695312e-8</x:v>
      </x:c>
      <x:c r="P208" s="28" t="n">
        <x:v>0</x:v>
      </x:c>
      <x:c r="Q208" s="62" t="b">
        <x:v>1</x:v>
      </x:c>
      <x:c r="R208" s="28" t="n">
        <x:v>0</x:v>
      </x:c>
      <x:c r="S208" s="28" t="str">
        <x:v>d408dce4b0fe6b87</x:v>
      </x:c>
    </x:row>
    <x:row r="209" ht="21" customHeight="1">
      <x:c r="A209" s="60" t="n">
        <x:v>0.6</x:v>
      </x:c>
      <x:c r="B209" s="28" t="str">
        <x:v>level_flat</x:v>
      </x:c>
      <x:c r="C209" s="60" t="n">
        <x:v>0.6</x:v>
      </x:c>
      <x:c r="D209" s="60" t="n">
        <x:v>0.6</x:v>
      </x:c>
      <x:c r="E209" s="62" t="b">
        <x:v>1</x:v>
      </x:c>
      <x:c r="F209" s="62" t="b">
        <x:v>1</x:v>
      </x:c>
      <x:c r="G209" s="85" t="n">
        <x:v>0</x:v>
      </x:c>
      <x:c r="H209" s="85" t="n">
        <x:v>0</x:v>
      </x:c>
      <x:c r="I209" s="85" t="n">
        <x:v>67738573.88497898</x:v>
      </x:c>
      <x:c r="J209" s="85" t="n">
        <x:v>75165232.13976015</x:v>
      </x:c>
      <x:c r="K209" s="85" t="n">
        <x:v>0</x:v>
      </x:c>
      <x:c r="L209" s="28" t="n">
        <x:v>10</x:v>
      </x:c>
      <x:c r="M209" s="28" t="n">
        <x:v>2</x:v>
      </x:c>
      <x:c r="N209" s="28" t="n">
        <x:v>1.862645149230957e-9</x:v>
      </x:c>
      <x:c r="O209" s="28" t="n">
        <x:v>2.9802322387695312e-8</x:v>
      </x:c>
      <x:c r="P209" s="28" t="n">
        <x:v>0</x:v>
      </x:c>
      <x:c r="Q209" s="62" t="b">
        <x:v>1</x:v>
      </x:c>
      <x:c r="R209" s="28" t="n">
        <x:v>0</x:v>
      </x:c>
      <x:c r="S209" s="28" t="str">
        <x:v>650c97b1a984c92f</x:v>
      </x:c>
    </x:row>
    <x:row r="210" ht="21" customHeight="1">
      <x:c r="A210" s="60" t="n">
        <x:v>0.6</x:v>
      </x:c>
      <x:c r="B210" s="28" t="str">
        <x:v>level_flat</x:v>
      </x:c>
      <x:c r="C210" s="60" t="n">
        <x:v>0.65</x:v>
      </x:c>
      <x:c r="D210" s="60" t="n">
        <x:v>0.65</x:v>
      </x:c>
      <x:c r="E210" s="62" t="b">
        <x:v>1</x:v>
      </x:c>
      <x:c r="F210" s="62" t="b">
        <x:v>1</x:v>
      </x:c>
      <x:c r="G210" s="85" t="n">
        <x:v>0</x:v>
      </x:c>
      <x:c r="H210" s="85" t="n">
        <x:v>0</x:v>
      </x:c>
      <x:c r="I210" s="85" t="n">
        <x:v>73986074.19318673</x:v>
      </x:c>
      <x:c r="J210" s="85" t="n">
        <x:v>84549232.65635368</x:v>
      </x:c>
      <x:c r="K210" s="85" t="n">
        <x:v>0</x:v>
      </x:c>
      <x:c r="L210" s="28" t="n">
        <x:v>13</x:v>
      </x:c>
      <x:c r="M210" s="28" t="n">
        <x:v>7</x:v>
      </x:c>
      <x:c r="N210" s="28" t="n">
        <x:v>1.862645149230957e-9</x:v>
      </x:c>
      <x:c r="O210" s="28" t="n">
        <x:v>2.9802322387695312e-8</x:v>
      </x:c>
      <x:c r="P210" s="28" t="n">
        <x:v>0</x:v>
      </x:c>
      <x:c r="Q210" s="62" t="b">
        <x:v>1</x:v>
      </x:c>
      <x:c r="R210" s="28" t="n">
        <x:v>0</x:v>
      </x:c>
      <x:c r="S210" s="28" t="str">
        <x:v>cb8bfed1ca96d25b</x:v>
      </x:c>
    </x:row>
    <x:row r="211" ht="21" customHeight="1">
      <x:c r="A211" s="60" t="n">
        <x:v>0.6</x:v>
      </x:c>
      <x:c r="B211" s="28" t="str">
        <x:v>level_flat</x:v>
      </x:c>
      <x:c r="C211" s="60" t="n">
        <x:v>0.7</x:v>
      </x:c>
      <x:c r="D211" s="60" t="n">
        <x:v>0.7</x:v>
      </x:c>
      <x:c r="E211" s="62" t="b">
        <x:v>1</x:v>
      </x:c>
      <x:c r="F211" s="62" t="b">
        <x:v>0</x:v>
      </x:c>
      <x:c r="G211" s="85" t="n">
        <x:v>767197.1927407706</x:v>
      </x:c>
      <x:c r="H211" s="85" t="n">
        <x:v>4989764.536874655</x:v>
      </x:c>
      <x:c r="I211" s="85" t="n">
        <x:v>77842926.22249863</x:v>
      </x:c>
      <x:c r="J211" s="85" t="n">
        <x:v>90000000.00000001</x:v>
      </x:c>
      <x:c r="K211" s="85" t="n">
        <x:v>0</x:v>
      </x:c>
      <x:c r="L211" s="28" t="n">
        <x:v>38</x:v>
      </x:c>
      <x:c r="M211" s="28" t="n">
        <x:v>32</x:v>
      </x:c>
      <x:c r="N211" s="28" t="n">
        <x:v>1.862645149230957e-9</x:v>
      </x:c>
      <x:c r="O211" s="28" t="n">
        <x:v>2.9802322387695312e-8</x:v>
      </x:c>
      <x:c r="P211" s="28" t="n">
        <x:v>0</x:v>
      </x:c>
      <x:c r="Q211" s="62" t="b">
        <x:v>1</x:v>
      </x:c>
      <x:c r="R211" s="28" t="n">
        <x:v>0</x:v>
      </x:c>
      <x:c r="S211" s="28" t="str">
        <x:v>654f2b53c0432511</x:v>
      </x:c>
    </x:row>
    <x:row r="212" ht="21" customHeight="1">
      <x:c r="A212" s="60" t="n">
        <x:v>0.6</x:v>
      </x:c>
      <x:c r="B212" s="28" t="str">
        <x:v>level_flat</x:v>
      </x:c>
      <x:c r="C212" s="60" t="n">
        <x:v>0.75</x:v>
      </x:c>
      <x:c r="D212" s="60" t="n">
        <x:v>0.75</x:v>
      </x:c>
      <x:c r="E212" s="62" t="b">
        <x:v>1</x:v>
      </x:c>
      <x:c r="F212" s="62" t="b">
        <x:v>0</x:v>
      </x:c>
      <x:c r="G212" s="85" t="n">
        <x:v>2797359.146214439</x:v>
      </x:c>
      <x:c r="H212" s="85" t="n">
        <x:v>15907014.284592003</x:v>
      </x:c>
      <x:c r="I212" s="85" t="n">
        <x:v>79201813.29010138</x:v>
      </x:c>
      <x:c r="J212" s="85" t="n">
        <x:v>90000000.00000001</x:v>
      </x:c>
      <x:c r="K212" s="85" t="n">
        <x:v>0</x:v>
      </x:c>
      <x:c r="L212" s="28" t="n">
        <x:v>39</x:v>
      </x:c>
      <x:c r="M212" s="28" t="n">
        <x:v>34</x:v>
      </x:c>
      <x:c r="N212" s="28" t="n">
        <x:v>1.862645149230957e-9</x:v>
      </x:c>
      <x:c r="O212" s="28" t="n">
        <x:v>2.9802322387695312e-8</x:v>
      </x:c>
      <x:c r="P212" s="28" t="n">
        <x:v>0</x:v>
      </x:c>
      <x:c r="Q212" s="62" t="b">
        <x:v>1</x:v>
      </x:c>
      <x:c r="R212" s="28" t="n">
        <x:v>0</x:v>
      </x:c>
      <x:c r="S212" s="28" t="str">
        <x:v>05a4f77a8a91e2e4</x:v>
      </x:c>
    </x:row>
    <x:row r="213" ht="21" customHeight="1">
      <x:c r="A213" s="60" t="n">
        <x:v>0.6</x:v>
      </x:c>
      <x:c r="B213" s="28" t="str">
        <x:v>level_flat</x:v>
      </x:c>
      <x:c r="C213" s="60" t="n">
        <x:v>0.8</x:v>
      </x:c>
      <x:c r="D213" s="60" t="n">
        <x:v>0.8</x:v>
      </x:c>
      <x:c r="E213" s="62" t="b">
        <x:v>1</x:v>
      </x:c>
      <x:c r="F213" s="62" t="b">
        <x:v>0</x:v>
      </x:c>
      <x:c r="G213" s="85" t="n">
        <x:v>4982675.2410549475</x:v>
      </x:c>
      <x:c r="H213" s="85" t="n">
        <x:v>26639205.989804234</x:v>
      </x:c>
      <x:c r="I213" s="85" t="n">
        <x:v>80416007.87425973</x:v>
      </x:c>
      <x:c r="J213" s="85" t="n">
        <x:v>90000000.00000001</x:v>
      </x:c>
      <x:c r="K213" s="85" t="n">
        <x:v>0</x:v>
      </x:c>
      <x:c r="L213" s="28" t="n">
        <x:v>40</x:v>
      </x:c>
      <x:c r="M213" s="28" t="n">
        <x:v>34</x:v>
      </x:c>
      <x:c r="N213" s="28" t="n">
        <x:v>1.862645149230957e-9</x:v>
      </x:c>
      <x:c r="O213" s="28" t="n">
        <x:v>2.9802322387695312e-8</x:v>
      </x:c>
      <x:c r="P213" s="28" t="n">
        <x:v>0</x:v>
      </x:c>
      <x:c r="Q213" s="62" t="b">
        <x:v>1</x:v>
      </x:c>
      <x:c r="R213" s="28" t="n">
        <x:v>0</x:v>
      </x:c>
      <x:c r="S213" s="28" t="str">
        <x:v>46ee72b151d57e87</x:v>
      </x:c>
    </x:row>
    <x:row r="214" ht="21" customHeight="1">
      <x:c r="A214" s="60" t="n">
        <x:v>0.6</x:v>
      </x:c>
      <x:c r="B214" s="28" t="str">
        <x:v>level_flat</x:v>
      </x:c>
      <x:c r="C214" s="60" t="n">
        <x:v>0.85</x:v>
      </x:c>
      <x:c r="D214" s="60" t="n">
        <x:v>0.85</x:v>
      </x:c>
      <x:c r="E214" s="62" t="b">
        <x:v>1</x:v>
      </x:c>
      <x:c r="F214" s="62" t="b">
        <x:v>0</x:v>
      </x:c>
      <x:c r="G214" s="85" t="n">
        <x:v>7248906.419700161</x:v>
      </x:c>
      <x:c r="H214" s="85" t="n">
        <x:v>36974470.87635009</x:v>
      </x:c>
      <x:c r="I214" s="85" t="n">
        <x:v>81717455.67165753</x:v>
      </x:c>
      <x:c r="J214" s="85" t="n">
        <x:v>90000000.00000001</x:v>
      </x:c>
      <x:c r="K214" s="85" t="n">
        <x:v>0</x:v>
      </x:c>
      <x:c r="L214" s="28" t="n">
        <x:v>41</x:v>
      </x:c>
      <x:c r="M214" s="28" t="n">
        <x:v>36</x:v>
      </x:c>
      <x:c r="N214" s="28" t="n">
        <x:v>1.862645149230957e-9</x:v>
      </x:c>
      <x:c r="O214" s="28" t="n">
        <x:v>2.9802322387695312e-8</x:v>
      </x:c>
      <x:c r="P214" s="28" t="n">
        <x:v>0</x:v>
      </x:c>
      <x:c r="Q214" s="62" t="b">
        <x:v>1</x:v>
      </x:c>
      <x:c r="R214" s="28" t="n">
        <x:v>0</x:v>
      </x:c>
      <x:c r="S214" s="28" t="str">
        <x:v>f68c4abf487a4e5d</x:v>
      </x:c>
    </x:row>
    <x:row r="215" ht="21" customHeight="1">
      <x:c r="A215" s="60" t="n">
        <x:v>0.6</x:v>
      </x:c>
      <x:c r="B215" s="28" t="str">
        <x:v>level_flat</x:v>
      </x:c>
      <x:c r="C215" s="60" t="n">
        <x:v>0.9</x:v>
      </x:c>
      <x:c r="D215" s="60" t="n">
        <x:v>0.9</x:v>
      </x:c>
      <x:c r="E215" s="62" t="b">
        <x:v>1</x:v>
      </x:c>
      <x:c r="F215" s="62" t="b">
        <x:v>0</x:v>
      </x:c>
      <x:c r="G215" s="85" t="n">
        <x:v>11727777.542649573</x:v>
      </x:c>
      <x:c r="H215" s="85" t="n">
        <x:v>45306347.07757651</x:v>
      </x:c>
      <x:c r="I215" s="85" t="n">
        <x:v>82920772.0443737</x:v>
      </x:c>
      <x:c r="J215" s="85" t="n">
        <x:v>90000000.00000001</x:v>
      </x:c>
      <x:c r="K215" s="85" t="n">
        <x:v>0</x:v>
      </x:c>
      <x:c r="L215" s="28" t="n">
        <x:v>42</x:v>
      </x:c>
      <x:c r="M215" s="28" t="n">
        <x:v>36</x:v>
      </x:c>
      <x:c r="N215" s="28" t="n">
        <x:v>1.862645149230957e-9</x:v>
      </x:c>
      <x:c r="O215" s="28" t="n">
        <x:v>7.450580596923828e-9</x:v>
      </x:c>
      <x:c r="P215" s="28" t="n">
        <x:v>0</x:v>
      </x:c>
      <x:c r="Q215" s="62" t="b">
        <x:v>1</x:v>
      </x:c>
      <x:c r="R215" s="28" t="n">
        <x:v>0</x:v>
      </x:c>
      <x:c r="S215" s="28" t="str">
        <x:v>d25a6aac353ebe56</x:v>
      </x:c>
    </x:row>
    <x:row r="216" ht="21" customHeight="1">
      <x:c r="A216" s="60" t="n">
        <x:v>0.6</x:v>
      </x:c>
      <x:c r="B216" s="28" t="str">
        <x:v>level_flat</x:v>
      </x:c>
      <x:c r="C216" s="60" t="n">
        <x:v>0.95</x:v>
      </x:c>
      <x:c r="D216" s="60" t="n">
        <x:v>0.9219114501462435</x:v>
      </x:c>
      <x:c r="E216" s="62" t="b">
        <x:v>0</x:v>
      </x:c>
      <x:c r="F216" s="62" t="b">
        <x:v>0</x:v>
      </x:c>
      <x:c r="G216" s="85" t="n">
        <x:v>13193024.81675799</x:v>
      </x:c>
      <x:c r="H216" s="85" t="n">
        <x:v>49950770.28045172</x:v>
      </x:c>
      <x:c r="I216" s="85" t="n">
        <x:v>83138563.2338252</x:v>
      </x:c>
      <x:c r="J216" s="85" t="n">
        <x:v>90000000.00000001</x:v>
      </x:c>
      <x:c r="K216" s="85" t="n">
        <x:v>0</x:v>
      </x:c>
      <x:c r="L216" s="28" t="n">
        <x:v>42</x:v>
      </x:c>
      <x:c r="M216" s="28" t="n">
        <x:v>37</x:v>
      </x:c>
      <x:c r="N216" s="28" t="n">
        <x:v>1.862645149230957e-9</x:v>
      </x:c>
      <x:c r="O216" s="28" t="n">
        <x:v>1.4901161193847656e-8</x:v>
      </x:c>
      <x:c r="P216" s="28" t="n">
        <x:v>0</x:v>
      </x:c>
      <x:c r="Q216" s="62" t="b">
        <x:v>1</x:v>
      </x:c>
      <x:c r="R216" s="28" t="n">
        <x:v>8426564.956126928</x:v>
      </x:c>
      <x:c r="S216" s="28" t="str">
        <x:v>c63dadb18a040d81</x:v>
      </x:c>
    </x:row>
    <x:row r="217" ht="21" customHeight="1">
      <x:c r="A217" s="60" t="n">
        <x:v>0.6</x:v>
      </x:c>
      <x:c r="B217" s="28" t="str">
        <x:v>level_flat</x:v>
      </x:c>
      <x:c r="C217" s="60" t="n">
        <x:v>1</x:v>
      </x:c>
      <x:c r="D217" s="60" t="n">
        <x:v>0.9350574964161632</x:v>
      </x:c>
      <x:c r="E217" s="62" t="b">
        <x:v>0</x:v>
      </x:c>
      <x:c r="F217" s="62" t="b">
        <x:v>0</x:v>
      </x:c>
      <x:c r="G217" s="85" t="n">
        <x:v>14294331.85305719</x:v>
      </x:c>
      <x:c r="H217" s="85" t="n">
        <x:v>51939544.522417426</x:v>
      </x:c>
      <x:c r="I217" s="85" t="n">
        <x:v>84354505.4860274</x:v>
      </x:c>
      <x:c r="J217" s="85" t="n">
        <x:v>90000000.00000001</x:v>
      </x:c>
      <x:c r="K217" s="85" t="n">
        <x:v>0</x:v>
      </x:c>
      <x:c r="L217" s="28" t="n">
        <x:v>43</x:v>
      </x:c>
      <x:c r="M217" s="28" t="n">
        <x:v>38</x:v>
      </x:c>
      <x:c r="N217" s="28" t="n">
        <x:v>1.862645149230957e-9</x:v>
      </x:c>
      <x:c r="O217" s="28" t="n">
        <x:v>7.450580596923828e-9</x:v>
      </x:c>
      <x:c r="P217" s="28" t="n">
        <x:v>0</x:v>
      </x:c>
      <x:c r="Q217" s="62" t="b">
        <x:v>1</x:v>
      </x:c>
      <x:c r="R217" s="28" t="n">
        <x:v>19482751.075151026</x:v>
      </x:c>
      <x:c r="S217" s="28" t="str">
        <x:v>c75eb8520da2bdf3</x:v>
      </x:c>
    </x:row>
    <x:row r="218" ht="21" customHeight="1">
      <x:c r="A218" s="60" t="n">
        <x:v>0.6</x:v>
      </x:c>
      <x:c r="B218" s="28" t="str">
        <x:v>level_low</x:v>
      </x:c>
      <x:c r="C218" s="60" t="n">
        <x:v>0</x:v>
      </x:c>
      <x:c r="D218" s="60" t="n">
        <x:v>0</x:v>
      </x:c>
      <x:c r="E218" s="62" t="b">
        <x:v>1</x:v>
      </x:c>
      <x:c r="F218" s="62" t="b">
        <x:v>1</x:v>
      </x:c>
      <x:c r="G218" s="85" t="n">
        <x:v>0</x:v>
      </x:c>
      <x:c r="H218" s="85" t="n">
        <x:v>0</x:v>
      </x:c>
      <x:c r="I218" s="85" t="n">
        <x:v>0</x:v>
      </x:c>
      <x:c r="J218" s="85" t="n">
        <x:v>0</x:v>
      </x:c>
      <x:c r="K218" s="85" t="n">
        <x:v>25874484.34041092</x:v>
      </x:c>
      <x:c r="L218" s="28" t="n">
        <x:v>0</x:v>
      </x:c>
      <x:c r="M218" s="28" t="n">
        <x:v>0</x:v>
      </x:c>
      <x:c r="N218" s="28" t="n">
        <x:v>1.862645149230957e-9</x:v>
      </x:c>
      <x:c r="O218" s="28" t="n">
        <x:v>0</x:v>
      </x:c>
      <x:c r="P218" s="28" t="n">
        <x:v>0</x:v>
      </x:c>
      <x:c r="Q218" s="62" t="b">
        <x:v>1</x:v>
      </x:c>
      <x:c r="R218" s="28" t="n">
        <x:v>0</x:v>
      </x:c>
      <x:c r="S218" s="28" t="str">
        <x:v>ca9aadc73d447928</x:v>
      </x:c>
    </x:row>
    <x:row r="219" ht="21" customHeight="1">
      <x:c r="A219" s="60" t="n">
        <x:v>0.6</x:v>
      </x:c>
      <x:c r="B219" s="28" t="str">
        <x:v>level_low</x:v>
      </x:c>
      <x:c r="C219" s="60" t="n">
        <x:v>0.05</x:v>
      </x:c>
      <x:c r="D219" s="60" t="n">
        <x:v>0.05</x:v>
      </x:c>
      <x:c r="E219" s="62" t="b">
        <x:v>1</x:v>
      </x:c>
      <x:c r="F219" s="62" t="b">
        <x:v>1</x:v>
      </x:c>
      <x:c r="G219" s="85" t="n">
        <x:v>0</x:v>
      </x:c>
      <x:c r="H219" s="85" t="n">
        <x:v>0</x:v>
      </x:c>
      <x:c r="I219" s="85" t="n">
        <x:v>0</x:v>
      </x:c>
      <x:c r="J219" s="85" t="n">
        <x:v>0</x:v>
      </x:c>
      <x:c r="K219" s="85" t="n">
        <x:v>15130351.925712029</x:v>
      </x:c>
      <x:c r="L219" s="28" t="n">
        <x:v>0</x:v>
      </x:c>
      <x:c r="M219" s="28" t="n">
        <x:v>0</x:v>
      </x:c>
      <x:c r="N219" s="28" t="n">
        <x:v>3.725290298461914e-9</x:v>
      </x:c>
      <x:c r="O219" s="28" t="n">
        <x:v>2.9802322387695312e-8</x:v>
      </x:c>
      <x:c r="P219" s="28" t="n">
        <x:v>0</x:v>
      </x:c>
      <x:c r="Q219" s="62" t="b">
        <x:v>1</x:v>
      </x:c>
      <x:c r="R219" s="28" t="n">
        <x:v>0</x:v>
      </x:c>
      <x:c r="S219" s="28" t="str">
        <x:v>a590f1d57727b27c</x:v>
      </x:c>
    </x:row>
    <x:row r="220" ht="21" customHeight="1">
      <x:c r="A220" s="60" t="n">
        <x:v>0.6</x:v>
      </x:c>
      <x:c r="B220" s="28" t="str">
        <x:v>level_low</x:v>
      </x:c>
      <x:c r="C220" s="60" t="n">
        <x:v>0.1</x:v>
      </x:c>
      <x:c r="D220" s="60" t="n">
        <x:v>0.1</x:v>
      </x:c>
      <x:c r="E220" s="62" t="b">
        <x:v>1</x:v>
      </x:c>
      <x:c r="F220" s="62" t="b">
        <x:v>1</x:v>
      </x:c>
      <x:c r="G220" s="85" t="n">
        <x:v>0</x:v>
      </x:c>
      <x:c r="H220" s="85" t="n">
        <x:v>0</x:v>
      </x:c>
      <x:c r="I220" s="85" t="n">
        <x:v>0</x:v>
      </x:c>
      <x:c r="J220" s="85" t="n">
        <x:v>0</x:v>
      </x:c>
      <x:c r="K220" s="85" t="n">
        <x:v>4302964.810517821</x:v>
      </x:c>
      <x:c r="L220" s="28" t="n">
        <x:v>0</x:v>
      </x:c>
      <x:c r="M220" s="28" t="n">
        <x:v>0</x:v>
      </x:c>
      <x:c r="N220" s="28" t="n">
        <x:v>3.725290298461914e-9</x:v>
      </x:c>
      <x:c r="O220" s="28" t="n">
        <x:v>5.960464477539063e-8</x:v>
      </x:c>
      <x:c r="P220" s="28" t="n">
        <x:v>0</x:v>
      </x:c>
      <x:c r="Q220" s="62" t="b">
        <x:v>1</x:v>
      </x:c>
      <x:c r="R220" s="28" t="n">
        <x:v>0</x:v>
      </x:c>
      <x:c r="S220" s="28" t="str">
        <x:v>613f08b08290d0ff</x:v>
      </x:c>
    </x:row>
    <x:row r="221" ht="21" customHeight="1">
      <x:c r="A221" s="60" t="n">
        <x:v>0.6</x:v>
      </x:c>
      <x:c r="B221" s="28" t="str">
        <x:v>level_low</x:v>
      </x:c>
      <x:c r="C221" s="60" t="n">
        <x:v>0.15</x:v>
      </x:c>
      <x:c r="D221" s="60" t="n">
        <x:v>0.15</x:v>
      </x:c>
      <x:c r="E221" s="62" t="b">
        <x:v>1</x:v>
      </x:c>
      <x:c r="F221" s="62" t="b">
        <x:v>1</x:v>
      </x:c>
      <x:c r="G221" s="85" t="n">
        <x:v>0</x:v>
      </x:c>
      <x:c r="H221" s="85" t="n">
        <x:v>0</x:v>
      </x:c>
      <x:c r="I221" s="85" t="n">
        <x:v>4632680.884918208</x:v>
      </x:c>
      <x:c r="J221" s="85" t="n">
        <x:v>0</x:v>
      </x:c>
      <x:c r="K221" s="85" t="n">
        <x:v>0</x:v>
      </x:c>
      <x:c r="L221" s="28" t="n">
        <x:v>0</x:v>
      </x:c>
      <x:c r="M221" s="28" t="n">
        <x:v>0</x:v>
      </x:c>
      <x:c r="N221" s="28" t="n">
        <x:v>1.862645149230957e-9</x:v>
      </x:c>
      <x:c r="O221" s="28" t="n">
        <x:v>2.9802322387695312e-8</x:v>
      </x:c>
      <x:c r="P221" s="28" t="n">
        <x:v>0</x:v>
      </x:c>
      <x:c r="Q221" s="62" t="b">
        <x:v>1</x:v>
      </x:c>
      <x:c r="R221" s="28" t="n">
        <x:v>0</x:v>
      </x:c>
      <x:c r="S221" s="28" t="str">
        <x:v>ef3a6a507b4efe58</x:v>
      </x:c>
    </x:row>
    <x:row r="222" ht="21" customHeight="1">
      <x:c r="A222" s="60" t="n">
        <x:v>0.6</x:v>
      </x:c>
      <x:c r="B222" s="28" t="str">
        <x:v>level_low</x:v>
      </x:c>
      <x:c r="C222" s="60" t="n">
        <x:v>0.2</x:v>
      </x:c>
      <x:c r="D222" s="60" t="n">
        <x:v>0.2</x:v>
      </x:c>
      <x:c r="E222" s="62" t="b">
        <x:v>1</x:v>
      </x:c>
      <x:c r="F222" s="62" t="b">
        <x:v>1</x:v>
      </x:c>
      <x:c r="G222" s="85" t="n">
        <x:v>0</x:v>
      </x:c>
      <x:c r="H222" s="85" t="n">
        <x:v>0</x:v>
      </x:c>
      <x:c r="I222" s="85" t="n">
        <x:v>11125406.037192032</x:v>
      </x:c>
      <x:c r="J222" s="85" t="n">
        <x:v>6323003.2725342475</x:v>
      </x:c>
      <x:c r="K222" s="85" t="n">
        <x:v>0</x:v>
      </x:c>
      <x:c r="L222" s="28" t="n">
        <x:v>0</x:v>
      </x:c>
      <x:c r="M222" s="28" t="n">
        <x:v>0</x:v>
      </x:c>
      <x:c r="N222" s="28" t="n">
        <x:v>1.862645149230957e-9</x:v>
      </x:c>
      <x:c r="O222" s="28" t="n">
        <x:v>2.9802322387695312e-8</x:v>
      </x:c>
      <x:c r="P222" s="28" t="n">
        <x:v>0</x:v>
      </x:c>
      <x:c r="Q222" s="62" t="b">
        <x:v>1</x:v>
      </x:c>
      <x:c r="R222" s="28" t="n">
        <x:v>0</x:v>
      </x:c>
      <x:c r="S222" s="28" t="str">
        <x:v>782c74dc70cc39df</x:v>
      </x:c>
    </x:row>
    <x:row r="223" ht="21" customHeight="1">
      <x:c r="A223" s="60" t="n">
        <x:v>0.6</x:v>
      </x:c>
      <x:c r="B223" s="28" t="str">
        <x:v>level_low</x:v>
      </x:c>
      <x:c r="C223" s="60" t="n">
        <x:v>0.25</x:v>
      </x:c>
      <x:c r="D223" s="60" t="n">
        <x:v>0.25</x:v>
      </x:c>
      <x:c r="E223" s="62" t="b">
        <x:v>1</x:v>
      </x:c>
      <x:c r="F223" s="62" t="b">
        <x:v>1</x:v>
      </x:c>
      <x:c r="G223" s="85" t="n">
        <x:v>0</x:v>
      </x:c>
      <x:c r="H223" s="85" t="n">
        <x:v>0</x:v>
      </x:c>
      <x:c r="I223" s="85" t="n">
        <x:v>15488755.072003726</x:v>
      </x:c>
      <x:c r="J223" s="85" t="n">
        <x:v>15403754.090667764</x:v>
      </x:c>
      <x:c r="K223" s="85" t="n">
        <x:v>0</x:v>
      </x:c>
      <x:c r="L223" s="28" t="n">
        <x:v>0</x:v>
      </x:c>
      <x:c r="M223" s="28" t="n">
        <x:v>0</x:v>
      </x:c>
      <x:c r="N223" s="28" t="n">
        <x:v>1.862645149230957e-9</x:v>
      </x:c>
      <x:c r="O223" s="28" t="n">
        <x:v>2.9802322387695312e-8</x:v>
      </x:c>
      <x:c r="P223" s="28" t="n">
        <x:v>0</x:v>
      </x:c>
      <x:c r="Q223" s="62" t="b">
        <x:v>1</x:v>
      </x:c>
      <x:c r="R223" s="28" t="n">
        <x:v>0</x:v>
      </x:c>
      <x:c r="S223" s="28" t="str">
        <x:v>b8027e46710026b5</x:v>
      </x:c>
    </x:row>
    <x:row r="224" ht="21" customHeight="1">
      <x:c r="A224" s="60" t="n">
        <x:v>0.6</x:v>
      </x:c>
      <x:c r="B224" s="28" t="str">
        <x:v>level_low</x:v>
      </x:c>
      <x:c r="C224" s="60" t="n">
        <x:v>0.3</x:v>
      </x:c>
      <x:c r="D224" s="60" t="n">
        <x:v>0.3</x:v>
      </x:c>
      <x:c r="E224" s="62" t="b">
        <x:v>1</x:v>
      </x:c>
      <x:c r="F224" s="62" t="b">
        <x:v>1</x:v>
      </x:c>
      <x:c r="G224" s="85" t="n">
        <x:v>0</x:v>
      </x:c>
      <x:c r="H224" s="85" t="n">
        <x:v>0</x:v>
      </x:c>
      <x:c r="I224" s="85" t="n">
        <x:v>19852104.106815375</x:v>
      </x:c>
      <x:c r="J224" s="85" t="n">
        <x:v>24484504.908801205</x:v>
      </x:c>
      <x:c r="K224" s="85" t="n">
        <x:v>0</x:v>
      </x:c>
      <x:c r="L224" s="28" t="n">
        <x:v>0</x:v>
      </x:c>
      <x:c r="M224" s="28" t="n">
        <x:v>0</x:v>
      </x:c>
      <x:c r="N224" s="28" t="n">
        <x:v>3.725290298461914e-9</x:v>
      </x:c>
      <x:c r="O224" s="28" t="n">
        <x:v>7.450580596923828e-9</x:v>
      </x:c>
      <x:c r="P224" s="28" t="n">
        <x:v>0</x:v>
      </x:c>
      <x:c r="Q224" s="62" t="b">
        <x:v>1</x:v>
      </x:c>
      <x:c r="R224" s="28" t="n">
        <x:v>0</x:v>
      </x:c>
      <x:c r="S224" s="28" t="str">
        <x:v>07155c5df0d8cc2a</x:v>
      </x:c>
    </x:row>
    <x:row r="225" ht="21" customHeight="1">
      <x:c r="A225" s="60" t="n">
        <x:v>0.6</x:v>
      </x:c>
      <x:c r="B225" s="28" t="str">
        <x:v>level_low</x:v>
      </x:c>
      <x:c r="C225" s="60" t="n">
        <x:v>0.35</x:v>
      </x:c>
      <x:c r="D225" s="60" t="n">
        <x:v>0.35</x:v>
      </x:c>
      <x:c r="E225" s="62" t="b">
        <x:v>1</x:v>
      </x:c>
      <x:c r="F225" s="62" t="b">
        <x:v>1</x:v>
      </x:c>
      <x:c r="G225" s="85" t="n">
        <x:v>0</x:v>
      </x:c>
      <x:c r="H225" s="85" t="n">
        <x:v>0</x:v>
      </x:c>
      <x:c r="I225" s="85" t="n">
        <x:v>24215453.141627114</x:v>
      </x:c>
      <x:c r="J225" s="85" t="n">
        <x:v>33565255.72693476</x:v>
      </x:c>
      <x:c r="K225" s="85" t="n">
        <x:v>0</x:v>
      </x:c>
      <x:c r="L225" s="28" t="n">
        <x:v>0</x:v>
      </x:c>
      <x:c r="M225" s="28" t="n">
        <x:v>0</x:v>
      </x:c>
      <x:c r="N225" s="28" t="n">
        <x:v>9.313225746154785e-10</x:v>
      </x:c>
      <x:c r="O225" s="28" t="n">
        <x:v>2.9802322387695312e-8</x:v>
      </x:c>
      <x:c r="P225" s="28" t="n">
        <x:v>0</x:v>
      </x:c>
      <x:c r="Q225" s="62" t="b">
        <x:v>1</x:v>
      </x:c>
      <x:c r="R225" s="28" t="n">
        <x:v>0</x:v>
      </x:c>
      <x:c r="S225" s="28" t="str">
        <x:v>ca87702335f8f222</x:v>
      </x:c>
    </x:row>
    <x:row r="226" ht="21" customHeight="1">
      <x:c r="A226" s="60" t="n">
        <x:v>0.6</x:v>
      </x:c>
      <x:c r="B226" s="28" t="str">
        <x:v>level_low</x:v>
      </x:c>
      <x:c r="C226" s="60" t="n">
        <x:v>0.4</x:v>
      </x:c>
      <x:c r="D226" s="60" t="n">
        <x:v>0.4</x:v>
      </x:c>
      <x:c r="E226" s="62" t="b">
        <x:v>1</x:v>
      </x:c>
      <x:c r="F226" s="62" t="b">
        <x:v>1</x:v>
      </x:c>
      <x:c r="G226" s="85" t="n">
        <x:v>0</x:v>
      </x:c>
      <x:c r="H226" s="85" t="n">
        <x:v>0</x:v>
      </x:c>
      <x:c r="I226" s="85" t="n">
        <x:v>28578802.17643881</x:v>
      </x:c>
      <x:c r="J226" s="85" t="n">
        <x:v>42646006.54506833</x:v>
      </x:c>
      <x:c r="K226" s="85" t="n">
        <x:v>0</x:v>
      </x:c>
      <x:c r="L226" s="28" t="n">
        <x:v>0</x:v>
      </x:c>
      <x:c r="M226" s="28" t="n">
        <x:v>0</x:v>
      </x:c>
      <x:c r="N226" s="28" t="n">
        <x:v>3.725290298461914e-9</x:v>
      </x:c>
      <x:c r="O226" s="28" t="n">
        <x:v>2.9802322387695312e-8</x:v>
      </x:c>
      <x:c r="P226" s="28" t="n">
        <x:v>0</x:v>
      </x:c>
      <x:c r="Q226" s="62" t="b">
        <x:v>1</x:v>
      </x:c>
      <x:c r="R226" s="28" t="n">
        <x:v>0</x:v>
      </x:c>
      <x:c r="S226" s="28" t="str">
        <x:v>024c834310b16154</x:v>
      </x:c>
    </x:row>
    <x:row r="227" ht="21" customHeight="1">
      <x:c r="A227" s="60" t="n">
        <x:v>0.6</x:v>
      </x:c>
      <x:c r="B227" s="28" t="str">
        <x:v>level_low</x:v>
      </x:c>
      <x:c r="C227" s="60" t="n">
        <x:v>0.45</x:v>
      </x:c>
      <x:c r="D227" s="60" t="n">
        <x:v>0.45</x:v>
      </x:c>
      <x:c r="E227" s="62" t="b">
        <x:v>1</x:v>
      </x:c>
      <x:c r="F227" s="62" t="b">
        <x:v>1</x:v>
      </x:c>
      <x:c r="G227" s="85" t="n">
        <x:v>0</x:v>
      </x:c>
      <x:c r="H227" s="85" t="n">
        <x:v>0</x:v>
      </x:c>
      <x:c r="I227" s="85" t="n">
        <x:v>32926437.295490265</x:v>
      </x:c>
      <x:c r="J227" s="85" t="n">
        <x:v>51726757.363201916</x:v>
      </x:c>
      <x:c r="K227" s="85" t="n">
        <x:v>0</x:v>
      </x:c>
      <x:c r="L227" s="28" t="n">
        <x:v>0</x:v>
      </x:c>
      <x:c r="M227" s="28" t="n">
        <x:v>0</x:v>
      </x:c>
      <x:c r="N227" s="28" t="n">
        <x:v>1.862645149230957e-9</x:v>
      </x:c>
      <x:c r="O227" s="28" t="n">
        <x:v>2.9802322387695312e-8</x:v>
      </x:c>
      <x:c r="P227" s="28" t="n">
        <x:v>0</x:v>
      </x:c>
      <x:c r="Q227" s="62" t="b">
        <x:v>1</x:v>
      </x:c>
      <x:c r="R227" s="28" t="n">
        <x:v>0</x:v>
      </x:c>
      <x:c r="S227" s="28" t="str">
        <x:v>305821c493cb0bc8</x:v>
      </x:c>
    </x:row>
    <x:row r="228" ht="21" customHeight="1">
      <x:c r="A228" s="60" t="n">
        <x:v>0.6</x:v>
      </x:c>
      <x:c r="B228" s="28" t="str">
        <x:v>level_low</x:v>
      </x:c>
      <x:c r="C228" s="60" t="n">
        <x:v>0.5</x:v>
      </x:c>
      <x:c r="D228" s="60" t="n">
        <x:v>0.5</x:v>
      </x:c>
      <x:c r="E228" s="62" t="b">
        <x:v>1</x:v>
      </x:c>
      <x:c r="F228" s="62" t="b">
        <x:v>1</x:v>
      </x:c>
      <x:c r="G228" s="85" t="n">
        <x:v>0</x:v>
      </x:c>
      <x:c r="H228" s="85" t="n">
        <x:v>0</x:v>
      </x:c>
      <x:c r="I228" s="85" t="n">
        <x:v>37439171.195194066</x:v>
      </x:c>
      <x:c r="J228" s="85" t="n">
        <x:v>60524396.59402132</x:v>
      </x:c>
      <x:c r="K228" s="85" t="n">
        <x:v>0</x:v>
      </x:c>
      <x:c r="L228" s="28" t="n">
        <x:v>1</x:v>
      </x:c>
      <x:c r="M228" s="28" t="n">
        <x:v>0</x:v>
      </x:c>
      <x:c r="N228" s="28" t="n">
        <x:v>9.313225746154785e-10</x:v>
      </x:c>
      <x:c r="O228" s="28" t="n">
        <x:v>1.4901161193847656e-8</x:v>
      </x:c>
      <x:c r="P228" s="28" t="n">
        <x:v>0</x:v>
      </x:c>
      <x:c r="Q228" s="62" t="b">
        <x:v>1</x:v>
      </x:c>
      <x:c r="R228" s="28" t="n">
        <x:v>0</x:v>
      </x:c>
      <x:c r="S228" s="28" t="str">
        <x:v>325c98ae16a4901e</x:v>
      </x:c>
    </x:row>
    <x:row r="229" ht="21" customHeight="1">
      <x:c r="A229" s="60" t="n">
        <x:v>0.6</x:v>
      </x:c>
      <x:c r="B229" s="28" t="str">
        <x:v>level_low</x:v>
      </x:c>
      <x:c r="C229" s="60" t="n">
        <x:v>0.55</x:v>
      </x:c>
      <x:c r="D229" s="60" t="n">
        <x:v>0.55</x:v>
      </x:c>
      <x:c r="E229" s="62" t="b">
        <x:v>1</x:v>
      </x:c>
      <x:c r="F229" s="62" t="b">
        <x:v>1</x:v>
      </x:c>
      <x:c r="G229" s="85" t="n">
        <x:v>0</x:v>
      </x:c>
      <x:c r="H229" s="85" t="n">
        <x:v>0</x:v>
      </x:c>
      <x:c r="I229" s="85" t="n">
        <x:v>42774384.23151524</x:v>
      </x:c>
      <x:c r="J229" s="85" t="n">
        <x:v>67958369.19111526</x:v>
      </x:c>
      <x:c r="K229" s="85" t="n">
        <x:v>0</x:v>
      </x:c>
      <x:c r="L229" s="28" t="n">
        <x:v>6</x:v>
      </x:c>
      <x:c r="M229" s="28" t="n">
        <x:v>0</x:v>
      </x:c>
      <x:c r="N229" s="28" t="n">
        <x:v>1.862645149230957e-9</x:v>
      </x:c>
      <x:c r="O229" s="28" t="n">
        <x:v>2.9802322387695312e-8</x:v>
      </x:c>
      <x:c r="P229" s="28" t="n">
        <x:v>0</x:v>
      </x:c>
      <x:c r="Q229" s="62" t="b">
        <x:v>1</x:v>
      </x:c>
      <x:c r="R229" s="28" t="n">
        <x:v>0</x:v>
      </x:c>
      <x:c r="S229" s="28" t="str">
        <x:v>c07598da4c2cea17</x:v>
      </x:c>
    </x:row>
    <x:row r="230" ht="21" customHeight="1">
      <x:c r="A230" s="60" t="n">
        <x:v>0.6</x:v>
      </x:c>
      <x:c r="B230" s="28" t="str">
        <x:v>level_low</x:v>
      </x:c>
      <x:c r="C230" s="60" t="n">
        <x:v>0.6</x:v>
      </x:c>
      <x:c r="D230" s="60" t="n">
        <x:v>0.6</x:v>
      </x:c>
      <x:c r="E230" s="62" t="b">
        <x:v>1</x:v>
      </x:c>
      <x:c r="F230" s="62" t="b">
        <x:v>1</x:v>
      </x:c>
      <x:c r="G230" s="85" t="n">
        <x:v>0</x:v>
      </x:c>
      <x:c r="H230" s="85" t="n">
        <x:v>0</x:v>
      </x:c>
      <x:c r="I230" s="85" t="n">
        <x:v>47859572.09377671</x:v>
      </x:c>
      <x:c r="J230" s="85" t="n">
        <x:v>75663141.35648738</x:v>
      </x:c>
      <x:c r="K230" s="85" t="n">
        <x:v>0</x:v>
      </x:c>
      <x:c r="L230" s="28" t="n">
        <x:v>10</x:v>
      </x:c>
      <x:c r="M230" s="28" t="n">
        <x:v>0</x:v>
      </x:c>
      <x:c r="N230" s="28" t="n">
        <x:v>1.862645149230957e-9</x:v>
      </x:c>
      <x:c r="O230" s="28" t="n">
        <x:v>2.9802322387695312e-8</x:v>
      </x:c>
      <x:c r="P230" s="28" t="n">
        <x:v>0</x:v>
      </x:c>
      <x:c r="Q230" s="62" t="b">
        <x:v>1</x:v>
      </x:c>
      <x:c r="R230" s="28" t="n">
        <x:v>0</x:v>
      </x:c>
      <x:c r="S230" s="28" t="str">
        <x:v>f2ea86aa15ae2752</x:v>
      </x:c>
    </x:row>
    <x:row r="231" ht="21" customHeight="1">
      <x:c r="A231" s="60" t="n">
        <x:v>0.6</x:v>
      </x:c>
      <x:c r="B231" s="28" t="str">
        <x:v>level_low</x:v>
      </x:c>
      <x:c r="C231" s="60" t="n">
        <x:v>0.65</x:v>
      </x:c>
      <x:c r="D231" s="60" t="n">
        <x:v>0.65</x:v>
      </x:c>
      <x:c r="E231" s="62" t="b">
        <x:v>1</x:v>
      </x:c>
      <x:c r="F231" s="62" t="b">
        <x:v>1</x:v>
      </x:c>
      <x:c r="G231" s="85" t="n">
        <x:v>0</x:v>
      </x:c>
      <x:c r="H231" s="85" t="n">
        <x:v>0</x:v>
      </x:c>
      <x:c r="I231" s="85" t="n">
        <x:v>52076659.237127855</x:v>
      </x:c>
      <x:c r="J231" s="85" t="n">
        <x:v>84621798.33059746</x:v>
      </x:c>
      <x:c r="K231" s="85" t="n">
        <x:v>0</x:v>
      </x:c>
      <x:c r="L231" s="28" t="n">
        <x:v>13</x:v>
      </x:c>
      <x:c r="M231" s="28" t="n">
        <x:v>1</x:v>
      </x:c>
      <x:c r="N231" s="28" t="n">
        <x:v>1.862645149230957e-9</x:v>
      </x:c>
      <x:c r="O231" s="28" t="n">
        <x:v>2.9802322387695312e-8</x:v>
      </x:c>
      <x:c r="P231" s="28" t="n">
        <x:v>0</x:v>
      </x:c>
      <x:c r="Q231" s="62" t="b">
        <x:v>1</x:v>
      </x:c>
      <x:c r="R231" s="28" t="n">
        <x:v>0</x:v>
      </x:c>
      <x:c r="S231" s="28" t="str">
        <x:v>c33fca6b50e370f9</x:v>
      </x:c>
    </x:row>
    <x:row r="232" ht="21" customHeight="1">
      <x:c r="A232" s="60" t="n">
        <x:v>0.6</x:v>
      </x:c>
      <x:c r="B232" s="28" t="str">
        <x:v>level_low</x:v>
      </x:c>
      <x:c r="C232" s="60" t="n">
        <x:v>0.7</x:v>
      </x:c>
      <x:c r="D232" s="60" t="n">
        <x:v>0.7</x:v>
      </x:c>
      <x:c r="E232" s="62" t="b">
        <x:v>1</x:v>
      </x:c>
      <x:c r="F232" s="62" t="b">
        <x:v>0</x:v>
      </x:c>
      <x:c r="G232" s="85" t="n">
        <x:v>270919.05540488835</x:v>
      </x:c>
      <x:c r="H232" s="85" t="n">
        <x:v>4070353.855389763</x:v>
      </x:c>
      <x:c r="I232" s="85" t="n">
        <x:v>54769273.35756111</x:v>
      </x:c>
      <x:c r="J232" s="85" t="n">
        <x:v>90000000.00000001</x:v>
      </x:c>
      <x:c r="K232" s="85" t="n">
        <x:v>0</x:v>
      </x:c>
      <x:c r="L232" s="28" t="n">
        <x:v>38</x:v>
      </x:c>
      <x:c r="M232" s="28" t="n">
        <x:v>30</x:v>
      </x:c>
      <x:c r="N232" s="28" t="n">
        <x:v>1.862645149230957e-9</x:v>
      </x:c>
      <x:c r="O232" s="28" t="n">
        <x:v>2.9802322387695312e-8</x:v>
      </x:c>
      <x:c r="P232" s="28" t="n">
        <x:v>0</x:v>
      </x:c>
      <x:c r="Q232" s="62" t="b">
        <x:v>1</x:v>
      </x:c>
      <x:c r="R232" s="28" t="n">
        <x:v>0</x:v>
      </x:c>
      <x:c r="S232" s="28" t="str">
        <x:v>2d5cb1c50528af0d</x:v>
      </x:c>
    </x:row>
    <x:row r="233" ht="21" customHeight="1">
      <x:c r="A233" s="60" t="n">
        <x:v>0.6</x:v>
      </x:c>
      <x:c r="B233" s="28" t="str">
        <x:v>level_low</x:v>
      </x:c>
      <x:c r="C233" s="60" t="n">
        <x:v>0.75</x:v>
      </x:c>
      <x:c r="D233" s="60" t="n">
        <x:v>0.75</x:v>
      </x:c>
      <x:c r="E233" s="62" t="b">
        <x:v>1</x:v>
      </x:c>
      <x:c r="F233" s="62" t="b">
        <x:v>0</x:v>
      </x:c>
      <x:c r="G233" s="85" t="n">
        <x:v>926031.1264500222</x:v>
      </x:c>
      <x:c r="H233" s="85" t="n">
        <x:v>13955533.309312083</x:v>
      </x:c>
      <x:c r="I233" s="85" t="n">
        <x:v>55757042.053937</x:v>
      </x:c>
      <x:c r="J233" s="85" t="n">
        <x:v>90000000.00000001</x:v>
      </x:c>
      <x:c r="K233" s="85" t="n">
        <x:v>0</x:v>
      </x:c>
      <x:c r="L233" s="28" t="n">
        <x:v>39</x:v>
      </x:c>
      <x:c r="M233" s="28" t="n">
        <x:v>31</x:v>
      </x:c>
      <x:c r="N233" s="28" t="n">
        <x:v>1.862645149230957e-9</x:v>
      </x:c>
      <x:c r="O233" s="28" t="n">
        <x:v>2.9802322387695312e-8</x:v>
      </x:c>
      <x:c r="P233" s="28" t="n">
        <x:v>0</x:v>
      </x:c>
      <x:c r="Q233" s="62" t="b">
        <x:v>1</x:v>
      </x:c>
      <x:c r="R233" s="28" t="n">
        <x:v>0</x:v>
      </x:c>
      <x:c r="S233" s="28" t="str">
        <x:v>af0d4c303b4c2512</x:v>
      </x:c>
    </x:row>
    <x:row r="234" ht="21" customHeight="1">
      <x:c r="A234" s="60" t="n">
        <x:v>0.6</x:v>
      </x:c>
      <x:c r="B234" s="28" t="str">
        <x:v>level_low</x:v>
      </x:c>
      <x:c r="C234" s="60" t="n">
        <x:v>0.8</x:v>
      </x:c>
      <x:c r="D234" s="60" t="n">
        <x:v>0.8</x:v>
      </x:c>
      <x:c r="E234" s="62" t="b">
        <x:v>1</x:v>
      </x:c>
      <x:c r="F234" s="62" t="b">
        <x:v>0</x:v>
      </x:c>
      <x:c r="G234" s="85" t="n">
        <x:v>1803580.0850135398</x:v>
      </x:c>
      <x:c r="H234" s="85" t="n">
        <x:v>23735195.071292467</x:v>
      </x:c>
      <x:c r="I234" s="85" t="n">
        <x:v>56634810.92499946</x:v>
      </x:c>
      <x:c r="J234" s="85" t="n">
        <x:v>90000000.00000001</x:v>
      </x:c>
      <x:c r="K234" s="85" t="n">
        <x:v>0</x:v>
      </x:c>
      <x:c r="L234" s="28" t="n">
        <x:v>40</x:v>
      </x:c>
      <x:c r="M234" s="28" t="n">
        <x:v>32</x:v>
      </x:c>
      <x:c r="N234" s="28" t="n">
        <x:v>1.862645149230957e-9</x:v>
      </x:c>
      <x:c r="O234" s="28" t="n">
        <x:v>2.9802322387695312e-8</x:v>
      </x:c>
      <x:c r="P234" s="28" t="n">
        <x:v>0</x:v>
      </x:c>
      <x:c r="Q234" s="62" t="b">
        <x:v>1</x:v>
      </x:c>
      <x:c r="R234" s="28" t="n">
        <x:v>0</x:v>
      </x:c>
      <x:c r="S234" s="28" t="str">
        <x:v>a3047853ebf6b5bb</x:v>
      </x:c>
    </x:row>
    <x:row r="235" ht="21" customHeight="1">
      <x:c r="A235" s="60" t="n">
        <x:v>0.6</x:v>
      </x:c>
      <x:c r="B235" s="28" t="str">
        <x:v>level_low</x:v>
      </x:c>
      <x:c r="C235" s="60" t="n">
        <x:v>0.85</x:v>
      </x:c>
      <x:c r="D235" s="60" t="n">
        <x:v>0.85</x:v>
      </x:c>
      <x:c r="E235" s="62" t="b">
        <x:v>1</x:v>
      </x:c>
      <x:c r="F235" s="62" t="b">
        <x:v>0</x:v>
      </x:c>
      <x:c r="G235" s="85" t="n">
        <x:v>2686834.522732495</x:v>
      </x:c>
      <x:c r="H235" s="85" t="n">
        <x:v>33275821.07537227</x:v>
      </x:c>
      <x:c r="I235" s="85" t="n">
        <x:v>57598516.89138357</x:v>
      </x:c>
      <x:c r="J235" s="85" t="n">
        <x:v>90000000.00000001</x:v>
      </x:c>
      <x:c r="K235" s="85" t="n">
        <x:v>0</x:v>
      </x:c>
      <x:c r="L235" s="28" t="n">
        <x:v>41</x:v>
      </x:c>
      <x:c r="M235" s="28" t="n">
        <x:v>33</x:v>
      </x:c>
      <x:c r="N235" s="28" t="n">
        <x:v>1.862645149230957e-9</x:v>
      </x:c>
      <x:c r="O235" s="28" t="n">
        <x:v>2.9802322387695312e-8</x:v>
      </x:c>
      <x:c r="P235" s="28" t="n">
        <x:v>0</x:v>
      </x:c>
      <x:c r="Q235" s="62" t="b">
        <x:v>1</x:v>
      </x:c>
      <x:c r="R235" s="28" t="n">
        <x:v>0</x:v>
      </x:c>
      <x:c r="S235" s="28" t="str">
        <x:v>eba3160614f67c4d</x:v>
      </x:c>
    </x:row>
    <x:row r="236" ht="21" customHeight="1">
      <x:c r="A236" s="60" t="n">
        <x:v>0.6</x:v>
      </x:c>
      <x:c r="B236" s="28" t="str">
        <x:v>level_low</x:v>
      </x:c>
      <x:c r="C236" s="60" t="n">
        <x:v>0.9</x:v>
      </x:c>
      <x:c r="D236" s="60" t="n">
        <x:v>0.9</x:v>
      </x:c>
      <x:c r="E236" s="62" t="b">
        <x:v>1</x:v>
      </x:c>
      <x:c r="F236" s="62" t="b">
        <x:v>0</x:v>
      </x:c>
      <x:c r="G236" s="85" t="n">
        <x:v>4337399.496390813</x:v>
      </x:c>
      <x:c r="H236" s="85" t="n">
        <x:v>42359041.85339271</x:v>
      </x:c>
      <x:c r="I236" s="85" t="n">
        <x:v>58475420.630565494</x:v>
      </x:c>
      <x:c r="J236" s="85" t="n">
        <x:v>90000000.00000001</x:v>
      </x:c>
      <x:c r="K236" s="85" t="n">
        <x:v>0</x:v>
      </x:c>
      <x:c r="L236" s="28" t="n">
        <x:v>42</x:v>
      </x:c>
      <x:c r="M236" s="28" t="n">
        <x:v>34</x:v>
      </x:c>
      <x:c r="N236" s="28" t="n">
        <x:v>1.862645149230957e-9</x:v>
      </x:c>
      <x:c r="O236" s="28" t="n">
        <x:v>7.450580596923828e-9</x:v>
      </x:c>
      <x:c r="P236" s="28" t="n">
        <x:v>0</x:v>
      </x:c>
      <x:c r="Q236" s="62" t="b">
        <x:v>1</x:v>
      </x:c>
      <x:c r="R236" s="28" t="n">
        <x:v>0</x:v>
      </x:c>
      <x:c r="S236" s="28" t="str">
        <x:v>1f6df8ddb6730f1c</x:v>
      </x:c>
    </x:row>
    <x:row r="237" ht="21" customHeight="1">
      <x:c r="A237" s="60" t="n">
        <x:v>0.6</x:v>
      </x:c>
      <x:c r="B237" s="28" t="str">
        <x:v>level_low</x:v>
      </x:c>
      <x:c r="C237" s="60" t="n">
        <x:v>0.95</x:v>
      </x:c>
      <x:c r="D237" s="60" t="n">
        <x:v>0.9219114501462435</x:v>
      </x:c>
      <x:c r="E237" s="62" t="b">
        <x:v>0</x:v>
      </x:c>
      <x:c r="F237" s="62" t="b">
        <x:v>0</x:v>
      </x:c>
      <x:c r="G237" s="85" t="n">
        <x:v>5280041.213781815</x:v>
      </x:c>
      <x:c r="H237" s="85" t="n">
        <x:v>46295011.723326586</x:v>
      </x:c>
      <x:c r="I237" s="85" t="n">
        <x:v>58598497.21788002</x:v>
      </x:c>
      <x:c r="J237" s="85" t="n">
        <x:v>90000000.00000001</x:v>
      </x:c>
      <x:c r="K237" s="85" t="n">
        <x:v>0</x:v>
      </x:c>
      <x:c r="L237" s="28" t="n">
        <x:v>42</x:v>
      </x:c>
      <x:c r="M237" s="28" t="n">
        <x:v>34</x:v>
      </x:c>
      <x:c r="N237" s="28" t="n">
        <x:v>1.862645149230957e-9</x:v>
      </x:c>
      <x:c r="O237" s="28" t="n">
        <x:v>1.4901161193847656e-8</x:v>
      </x:c>
      <x:c r="P237" s="28" t="n">
        <x:v>0</x:v>
      </x:c>
      <x:c r="Q237" s="62" t="b">
        <x:v>1</x:v>
      </x:c>
      <x:c r="R237" s="28" t="n">
        <x:v>8426564.956126928</x:v>
      </x:c>
      <x:c r="S237" s="28" t="str">
        <x:v>ac68128e989474eb</x:v>
      </x:c>
    </x:row>
    <x:row r="238" ht="21" customHeight="1">
      <x:c r="A238" s="60" t="n">
        <x:v>0.6</x:v>
      </x:c>
      <x:c r="B238" s="28" t="str">
        <x:v>level_low</x:v>
      </x:c>
      <x:c r="C238" s="60" t="n">
        <x:v>1</x:v>
      </x:c>
      <x:c r="D238" s="60" t="n">
        <x:v>0.9350574964161632</x:v>
      </x:c>
      <x:c r="E238" s="62" t="b">
        <x:v>0</x:v>
      </x:c>
      <x:c r="F238" s="62" t="b">
        <x:v>0</x:v>
      </x:c>
      <x:c r="G238" s="85" t="n">
        <x:v>5743464.948133636</x:v>
      </x:c>
      <x:c r="H238" s="85" t="n">
        <x:v>48328946.35564416</x:v>
      </x:c>
      <x:c r="I238" s="85" t="n">
        <x:v>59521063.4161644</x:v>
      </x:c>
      <x:c r="J238" s="85" t="n">
        <x:v>90000000.00000001</x:v>
      </x:c>
      <x:c r="K238" s="85" t="n">
        <x:v>0</x:v>
      </x:c>
      <x:c r="L238" s="28" t="n">
        <x:v>43</x:v>
      </x:c>
      <x:c r="M238" s="28" t="n">
        <x:v>35</x:v>
      </x:c>
      <x:c r="N238" s="28" t="n">
        <x:v>0</x:v>
      </x:c>
      <x:c r="O238" s="28" t="n">
        <x:v>7.450580596923828e-9</x:v>
      </x:c>
      <x:c r="P238" s="28" t="n">
        <x:v>0</x:v>
      </x:c>
      <x:c r="Q238" s="62" t="b">
        <x:v>1</x:v>
      </x:c>
      <x:c r="R238" s="28" t="n">
        <x:v>19482751.075151026</x:v>
      </x:c>
      <x:c r="S238" s="28" t="str">
        <x:v>42080ac4642f5772</x:v>
      </x:c>
    </x:row>
    <x:row r="239" ht="21" customHeight="1">
      <x:c r="A239" s="60" t="n">
        <x:v>0.6</x:v>
      </x:c>
      <x:c r="B239" s="28" t="str">
        <x:v>level_high</x:v>
      </x:c>
      <x:c r="C239" s="60" t="n">
        <x:v>0</x:v>
      </x:c>
      <x:c r="D239" s="60" t="n">
        <x:v>0</x:v>
      </x:c>
      <x:c r="E239" s="62" t="b">
        <x:v>1</x:v>
      </x:c>
      <x:c r="F239" s="62" t="b">
        <x:v>1</x:v>
      </x:c>
      <x:c r="G239" s="85" t="n">
        <x:v>0</x:v>
      </x:c>
      <x:c r="H239" s="85" t="n">
        <x:v>0</x:v>
      </x:c>
      <x:c r="I239" s="85" t="n">
        <x:v>0</x:v>
      </x:c>
      <x:c r="J239" s="85" t="n">
        <x:v>0</x:v>
      </x:c>
      <x:c r="K239" s="85" t="n">
        <x:v>34685023.614383504</x:v>
      </x:c>
      <x:c r="L239" s="28" t="n">
        <x:v>0</x:v>
      </x:c>
      <x:c r="M239" s="28" t="n">
        <x:v>0</x:v>
      </x:c>
      <x:c r="N239" s="28" t="n">
        <x:v>3.725290298461914e-9</x:v>
      </x:c>
      <x:c r="O239" s="28" t="n">
        <x:v>0</x:v>
      </x:c>
      <x:c r="P239" s="28" t="n">
        <x:v>0</x:v>
      </x:c>
      <x:c r="Q239" s="62" t="b">
        <x:v>1</x:v>
      </x:c>
      <x:c r="R239" s="28" t="n">
        <x:v>0</x:v>
      </x:c>
      <x:c r="S239" s="28" t="str">
        <x:v>a824b50cdfaa5011</x:v>
      </x:c>
    </x:row>
    <x:row r="240" ht="21" customHeight="1">
      <x:c r="A240" s="60" t="n">
        <x:v>0.6</x:v>
      </x:c>
      <x:c r="B240" s="28" t="str">
        <x:v>level_high</x:v>
      </x:c>
      <x:c r="C240" s="60" t="n">
        <x:v>0.05</x:v>
      </x:c>
      <x:c r="D240" s="60" t="n">
        <x:v>0.05</x:v>
      </x:c>
      <x:c r="E240" s="62" t="b">
        <x:v>1</x:v>
      </x:c>
      <x:c r="F240" s="62" t="b">
        <x:v>1</x:v>
      </x:c>
      <x:c r="G240" s="85" t="n">
        <x:v>0</x:v>
      </x:c>
      <x:c r="H240" s="85" t="n">
        <x:v>0</x:v>
      </x:c>
      <x:c r="I240" s="85" t="n">
        <x:v>0</x:v>
      </x:c>
      <x:c r="J240" s="85" t="n">
        <x:v>0</x:v>
      </x:c>
      <x:c r="K240" s="85" t="n">
        <x:v>21322834.984686334</x:v>
      </x:c>
      <x:c r="L240" s="28" t="n">
        <x:v>0</x:v>
      </x:c>
      <x:c r="M240" s="28" t="n">
        <x:v>0</x:v>
      </x:c>
      <x:c r="N240" s="28" t="n">
        <x:v>3.725290298461914e-9</x:v>
      </x:c>
      <x:c r="O240" s="28" t="n">
        <x:v>2.9802322387695312e-8</x:v>
      </x:c>
      <x:c r="P240" s="28" t="n">
        <x:v>0</x:v>
      </x:c>
      <x:c r="Q240" s="62" t="b">
        <x:v>1</x:v>
      </x:c>
      <x:c r="R240" s="28" t="n">
        <x:v>0</x:v>
      </x:c>
      <x:c r="S240" s="28" t="str">
        <x:v>0872b493520503ac</x:v>
      </x:c>
    </x:row>
    <x:row r="241" ht="21" customHeight="1">
      <x:c r="A241" s="60" t="n">
        <x:v>0.6</x:v>
      </x:c>
      <x:c r="B241" s="28" t="str">
        <x:v>level_high</x:v>
      </x:c>
      <x:c r="C241" s="60" t="n">
        <x:v>0.1</x:v>
      </x:c>
      <x:c r="D241" s="60" t="n">
        <x:v>0.1</x:v>
      </x:c>
      <x:c r="E241" s="62" t="b">
        <x:v>1</x:v>
      </x:c>
      <x:c r="F241" s="62" t="b">
        <x:v>1</x:v>
      </x:c>
      <x:c r="G241" s="85" t="n">
        <x:v>0</x:v>
      </x:c>
      <x:c r="H241" s="85" t="n">
        <x:v>0</x:v>
      </x:c>
      <x:c r="I241" s="85" t="n">
        <x:v>0</x:v>
      </x:c>
      <x:c r="J241" s="85" t="n">
        <x:v>0</x:v>
      </x:c>
      <x:c r="K241" s="85" t="n">
        <x:v>7801074.845706471</x:v>
      </x:c>
      <x:c r="L241" s="28" t="n">
        <x:v>0</x:v>
      </x:c>
      <x:c r="M241" s="28" t="n">
        <x:v>0</x:v>
      </x:c>
      <x:c r="N241" s="28" t="n">
        <x:v>3.725290298461914e-9</x:v>
      </x:c>
      <x:c r="O241" s="28" t="n">
        <x:v>5.960464477539063e-8</x:v>
      </x:c>
      <x:c r="P241" s="28" t="n">
        <x:v>0</x:v>
      </x:c>
      <x:c r="Q241" s="62" t="b">
        <x:v>1</x:v>
      </x:c>
      <x:c r="R241" s="28" t="n">
        <x:v>0</x:v>
      </x:c>
      <x:c r="S241" s="28" t="str">
        <x:v>3bda1cd8d44e1597</x:v>
      </x:c>
    </x:row>
    <x:row r="242" ht="21" customHeight="1">
      <x:c r="A242" s="60" t="n">
        <x:v>0.6</x:v>
      </x:c>
      <x:c r="B242" s="28" t="str">
        <x:v>level_high</x:v>
      </x:c>
      <x:c r="C242" s="60" t="n">
        <x:v>0.15</x:v>
      </x:c>
      <x:c r="D242" s="60" t="n">
        <x:v>0.15</x:v>
      </x:c>
      <x:c r="E242" s="62" t="b">
        <x:v>1</x:v>
      </x:c>
      <x:c r="F242" s="62" t="b">
        <x:v>1</x:v>
      </x:c>
      <x:c r="G242" s="85" t="n">
        <x:v>0</x:v>
      </x:c>
      <x:c r="H242" s="85" t="n">
        <x:v>0</x:v>
      </x:c>
      <x:c r="I242" s="85" t="n">
        <x:v>5542096.055830891</x:v>
      </x:c>
      <x:c r="J242" s="85" t="n">
        <x:v>0</x:v>
      </x:c>
      <x:c r="K242" s="85" t="n">
        <x:v>835441.720335878</x:v>
      </x:c>
      <x:c r="L242" s="28" t="n">
        <x:v>0</x:v>
      </x:c>
      <x:c r="M242" s="28" t="n">
        <x:v>0</x:v>
      </x:c>
      <x:c r="N242" s="28" t="n">
        <x:v>3.725290298461914e-9</x:v>
      </x:c>
      <x:c r="O242" s="28" t="n">
        <x:v>2.9802322387695312e-8</x:v>
      </x:c>
      <x:c r="P242" s="28" t="n">
        <x:v>0</x:v>
      </x:c>
      <x:c r="Q242" s="62" t="b">
        <x:v>1</x:v>
      </x:c>
      <x:c r="R242" s="28" t="n">
        <x:v>0</x:v>
      </x:c>
      <x:c r="S242" s="28" t="str">
        <x:v>9b5008ec7651c13a</x:v>
      </x:c>
    </x:row>
    <x:row r="243" ht="21" customHeight="1">
      <x:c r="A243" s="60" t="n">
        <x:v>0.6</x:v>
      </x:c>
      <x:c r="B243" s="28" t="str">
        <x:v>level_high</x:v>
      </x:c>
      <x:c r="C243" s="60" t="n">
        <x:v>0.2</x:v>
      </x:c>
      <x:c r="D243" s="60" t="n">
        <x:v>0.2</x:v>
      </x:c>
      <x:c r="E243" s="62" t="b">
        <x:v>1</x:v>
      </x:c>
      <x:c r="F243" s="62" t="b">
        <x:v>1</x:v>
      </x:c>
      <x:c r="G243" s="85" t="n">
        <x:v>0</x:v>
      </x:c>
      <x:c r="H243" s="85" t="n">
        <x:v>0</x:v>
      </x:c>
      <x:c r="I243" s="85" t="n">
        <x:v>16105164.086928701</x:v>
      </x:c>
      <x:c r="J243" s="85" t="n">
        <x:v>6323003.2725342475</x:v>
      </x:c>
      <x:c r="K243" s="85" t="n">
        <x:v>572025.226219178</x:v>
      </x:c>
      <x:c r="L243" s="28" t="n">
        <x:v>0</x:v>
      </x:c>
      <x:c r="M243" s="28" t="n">
        <x:v>0</x:v>
      </x:c>
      <x:c r="N243" s="28" t="n">
        <x:v>1.862645149230957e-9</x:v>
      </x:c>
      <x:c r="O243" s="28" t="n">
        <x:v>2.9802322387695312e-8</x:v>
      </x:c>
      <x:c r="P243" s="28" t="n">
        <x:v>0</x:v>
      </x:c>
      <x:c r="Q243" s="62" t="b">
        <x:v>1</x:v>
      </x:c>
      <x:c r="R243" s="28" t="n">
        <x:v>0</x:v>
      </x:c>
      <x:c r="S243" s="28" t="str">
        <x:v>f9add68a0bfb42a7</x:v>
      </x:c>
    </x:row>
    <x:row r="244" ht="21" customHeight="1">
      <x:c r="A244" s="60" t="n">
        <x:v>0.6</x:v>
      </x:c>
      <x:c r="B244" s="28" t="str">
        <x:v>level_high</x:v>
      </x:c>
      <x:c r="C244" s="60" t="n">
        <x:v>0.25</x:v>
      </x:c>
      <x:c r="D244" s="60" t="n">
        <x:v>0.25</x:v>
      </x:c>
      <x:c r="E244" s="62" t="b">
        <x:v>1</x:v>
      </x:c>
      <x:c r="F244" s="62" t="b">
        <x:v>1</x:v>
      </x:c>
      <x:c r="G244" s="85" t="n">
        <x:v>0</x:v>
      </x:c>
      <x:c r="H244" s="85" t="n">
        <x:v>0</x:v>
      </x:c>
      <x:c r="I244" s="85" t="n">
        <x:v>25256092.55120607</x:v>
      </x:c>
      <x:c r="J244" s="85" t="n">
        <x:v>15403754.090667764</x:v>
      </x:c>
      <x:c r="K244" s="85" t="n">
        <x:v>411872.6577739753</x:v>
      </x:c>
      <x:c r="L244" s="28" t="n">
        <x:v>0</x:v>
      </x:c>
      <x:c r="M244" s="28" t="n">
        <x:v>0</x:v>
      </x:c>
      <x:c r="N244" s="28" t="n">
        <x:v>3.725290298461914e-9</x:v>
      </x:c>
      <x:c r="O244" s="28" t="n">
        <x:v>2.9802322387695312e-8</x:v>
      </x:c>
      <x:c r="P244" s="28" t="n">
        <x:v>0</x:v>
      </x:c>
      <x:c r="Q244" s="62" t="b">
        <x:v>1</x:v>
      </x:c>
      <x:c r="R244" s="28" t="n">
        <x:v>0</x:v>
      </x:c>
      <x:c r="S244" s="28" t="str">
        <x:v>6b13e90b8d0cd655</x:v>
      </x:c>
    </x:row>
    <x:row r="245" ht="21" customHeight="1">
      <x:c r="A245" s="60" t="n">
        <x:v>0.6</x:v>
      </x:c>
      <x:c r="B245" s="28" t="str">
        <x:v>level_high</x:v>
      </x:c>
      <x:c r="C245" s="60" t="n">
        <x:v>0.3</x:v>
      </x:c>
      <x:c r="D245" s="60" t="n">
        <x:v>0.3</x:v>
      </x:c>
      <x:c r="E245" s="62" t="b">
        <x:v>1</x:v>
      </x:c>
      <x:c r="F245" s="62" t="b">
        <x:v>1</x:v>
      </x:c>
      <x:c r="G245" s="85" t="n">
        <x:v>0</x:v>
      </x:c>
      <x:c r="H245" s="85" t="n">
        <x:v>0</x:v>
      </x:c>
      <x:c r="I245" s="85" t="n">
        <x:v>34557440.34925541</x:v>
      </x:c>
      <x:c r="J245" s="85" t="n">
        <x:v>24484504.908801205</x:v>
      </x:c>
      <x:c r="K245" s="85" t="n">
        <x:v>311177.39941095933</x:v>
      </x:c>
      <x:c r="L245" s="28" t="n">
        <x:v>0</x:v>
      </x:c>
      <x:c r="M245" s="28" t="n">
        <x:v>0</x:v>
      </x:c>
      <x:c r="N245" s="28" t="n">
        <x:v>1.862645149230957e-9</x:v>
      </x:c>
      <x:c r="O245" s="28" t="n">
        <x:v>7.450580596923828e-9</x:v>
      </x:c>
      <x:c r="P245" s="28" t="n">
        <x:v>0</x:v>
      </x:c>
      <x:c r="Q245" s="62" t="b">
        <x:v>1</x:v>
      </x:c>
      <x:c r="R245" s="28" t="n">
        <x:v>0</x:v>
      </x:c>
      <x:c r="S245" s="28" t="str">
        <x:v>76966b1922354308</x:v>
      </x:c>
    </x:row>
    <x:row r="246" ht="21" customHeight="1">
      <x:c r="A246" s="60" t="n">
        <x:v>0.6</x:v>
      </x:c>
      <x:c r="B246" s="28" t="str">
        <x:v>level_high</x:v>
      </x:c>
      <x:c r="C246" s="60" t="n">
        <x:v>0.35</x:v>
      </x:c>
      <x:c r="D246" s="60" t="n">
        <x:v>0.35</x:v>
      </x:c>
      <x:c r="E246" s="62" t="b">
        <x:v>1</x:v>
      </x:c>
      <x:c r="F246" s="62" t="b">
        <x:v>1</x:v>
      </x:c>
      <x:c r="G246" s="85" t="n">
        <x:v>0</x:v>
      </x:c>
      <x:c r="H246" s="85" t="n">
        <x:v>0</x:v>
      </x:c>
      <x:c r="I246" s="85" t="n">
        <x:v>43858788.14730484</x:v>
      </x:c>
      <x:c r="J246" s="85" t="n">
        <x:v>33565255.72693476</x:v>
      </x:c>
      <x:c r="K246" s="85" t="n">
        <x:v>262817.9132397155</x:v>
      </x:c>
      <x:c r="L246" s="28" t="n">
        <x:v>0</x:v>
      </x:c>
      <x:c r="M246" s="28" t="n">
        <x:v>0</x:v>
      </x:c>
      <x:c r="N246" s="28" t="n">
        <x:v>3.725290298461914e-9</x:v>
      </x:c>
      <x:c r="O246" s="28" t="n">
        <x:v>2.9802322387695312e-8</x:v>
      </x:c>
      <x:c r="P246" s="28" t="n">
        <x:v>0</x:v>
      </x:c>
      <x:c r="Q246" s="62" t="b">
        <x:v>1</x:v>
      </x:c>
      <x:c r="R246" s="28" t="n">
        <x:v>0</x:v>
      </x:c>
      <x:c r="S246" s="28" t="str">
        <x:v>71c0798ae5ef03a1</x:v>
      </x:c>
    </x:row>
    <x:row r="247" ht="21" customHeight="1">
      <x:c r="A247" s="60" t="n">
        <x:v>0.6</x:v>
      </x:c>
      <x:c r="B247" s="28" t="str">
        <x:v>level_high</x:v>
      </x:c>
      <x:c r="C247" s="60" t="n">
        <x:v>0.4</x:v>
      </x:c>
      <x:c r="D247" s="60" t="n">
        <x:v>0.4</x:v>
      </x:c>
      <x:c r="E247" s="62" t="b">
        <x:v>1</x:v>
      </x:c>
      <x:c r="F247" s="62" t="b">
        <x:v>1</x:v>
      </x:c>
      <x:c r="G247" s="85" t="n">
        <x:v>0</x:v>
      </x:c>
      <x:c r="H247" s="85" t="n">
        <x:v>0</x:v>
      </x:c>
      <x:c r="I247" s="85" t="n">
        <x:v>53227672.570669375</x:v>
      </x:c>
      <x:c r="J247" s="85" t="n">
        <x:v>42646006.54506833</x:v>
      </x:c>
      <x:c r="K247" s="85" t="n">
        <x:v>214458.42706849307</x:v>
      </x:c>
      <x:c r="L247" s="28" t="n">
        <x:v>0</x:v>
      </x:c>
      <x:c r="M247" s="28" t="n">
        <x:v>0</x:v>
      </x:c>
      <x:c r="N247" s="28" t="n">
        <x:v>1.862645149230957e-9</x:v>
      </x:c>
      <x:c r="O247" s="28" t="n">
        <x:v>2.9802322387695312e-8</x:v>
      </x:c>
      <x:c r="P247" s="28" t="n">
        <x:v>0</x:v>
      </x:c>
      <x:c r="Q247" s="62" t="b">
        <x:v>1</x:v>
      </x:c>
      <x:c r="R247" s="28" t="n">
        <x:v>0</x:v>
      </x:c>
      <x:c r="S247" s="28" t="str">
        <x:v>bb7f493e6a9d3f2d</x:v>
      </x:c>
    </x:row>
    <x:row r="248" ht="21" customHeight="1">
      <x:c r="A248" s="60" t="n">
        <x:v>0.6</x:v>
      </x:c>
      <x:c r="B248" s="28" t="str">
        <x:v>level_high</x:v>
      </x:c>
      <x:c r="C248" s="60" t="n">
        <x:v>0.45</x:v>
      </x:c>
      <x:c r="D248" s="60" t="n">
        <x:v>0.45</x:v>
      </x:c>
      <x:c r="E248" s="62" t="b">
        <x:v>1</x:v>
      </x:c>
      <x:c r="F248" s="62" t="b">
        <x:v>1</x:v>
      </x:c>
      <x:c r="G248" s="85" t="n">
        <x:v>0</x:v>
      </x:c>
      <x:c r="H248" s="85" t="n">
        <x:v>0</x:v>
      </x:c>
      <x:c r="I248" s="85" t="n">
        <x:v>62622839.61640376</x:v>
      </x:c>
      <x:c r="J248" s="85" t="n">
        <x:v>51726757.363201916</x:v>
      </x:c>
      <x:c r="K248" s="85" t="n">
        <x:v>166098.94089725014</x:v>
      </x:c>
      <x:c r="L248" s="28" t="n">
        <x:v>0</x:v>
      </x:c>
      <x:c r="M248" s="28" t="n">
        <x:v>0</x:v>
      </x:c>
      <x:c r="N248" s="28" t="n">
        <x:v>1.862645149230957e-9</x:v>
      </x:c>
      <x:c r="O248" s="28" t="n">
        <x:v>2.9802322387695312e-8</x:v>
      </x:c>
      <x:c r="P248" s="28" t="n">
        <x:v>0</x:v>
      </x:c>
      <x:c r="Q248" s="62" t="b">
        <x:v>1</x:v>
      </x:c>
      <x:c r="R248" s="28" t="n">
        <x:v>0</x:v>
      </x:c>
      <x:c r="S248" s="28" t="str">
        <x:v>0bdbc47c61633d62</x:v>
      </x:c>
    </x:row>
    <x:row r="249" ht="21" customHeight="1">
      <x:c r="A249" s="60" t="n">
        <x:v>0.6</x:v>
      </x:c>
      <x:c r="B249" s="28" t="str">
        <x:v>level_high</x:v>
      </x:c>
      <x:c r="C249" s="60" t="n">
        <x:v>0.5</x:v>
      </x:c>
      <x:c r="D249" s="60" t="n">
        <x:v>0.5</x:v>
      </x:c>
      <x:c r="E249" s="62" t="b">
        <x:v>1</x:v>
      </x:c>
      <x:c r="F249" s="62" t="b">
        <x:v>1</x:v>
      </x:c>
      <x:c r="G249" s="85" t="n">
        <x:v>0</x:v>
      </x:c>
      <x:c r="H249" s="85" t="n">
        <x:v>0</x:v>
      </x:c>
      <x:c r="I249" s="85" t="n">
        <x:v>72084823.38837902</x:v>
      </x:c>
      <x:c r="J249" s="85" t="n">
        <x:v>60420111.741088614</x:v>
      </x:c>
      <x:c r="K249" s="85" t="n">
        <x:v>117739.45472603141</x:v>
      </x:c>
      <x:c r="L249" s="28" t="n">
        <x:v>1</x:v>
      </x:c>
      <x:c r="M249" s="28" t="n">
        <x:v>0</x:v>
      </x:c>
      <x:c r="N249" s="28" t="n">
        <x:v>3.725290298461914e-9</x:v>
      </x:c>
      <x:c r="O249" s="28" t="n">
        <x:v>1.4901161193847656e-8</x:v>
      </x:c>
      <x:c r="P249" s="28" t="n">
        <x:v>0</x:v>
      </x:c>
      <x:c r="Q249" s="62" t="b">
        <x:v>1</x:v>
      </x:c>
      <x:c r="R249" s="28" t="n">
        <x:v>0</x:v>
      </x:c>
      <x:c r="S249" s="28" t="str">
        <x:v>d3c244b0f7af6862</x:v>
      </x:c>
    </x:row>
    <x:row r="250" ht="21" customHeight="1">
      <x:c r="A250" s="60" t="n">
        <x:v>0.6</x:v>
      </x:c>
      <x:c r="B250" s="28" t="str">
        <x:v>level_high</x:v>
      </x:c>
      <x:c r="C250" s="60" t="n">
        <x:v>0.55</x:v>
      </x:c>
      <x:c r="D250" s="60" t="n">
        <x:v>0.55</x:v>
      </x:c>
      <x:c r="E250" s="62" t="b">
        <x:v>1</x:v>
      </x:c>
      <x:c r="F250" s="62" t="b">
        <x:v>1</x:v>
      </x:c>
      <x:c r="G250" s="85" t="n">
        <x:v>0</x:v>
      </x:c>
      <x:c r="H250" s="85" t="n">
        <x:v>0</x:v>
      </x:c>
      <x:c r="I250" s="85" t="n">
        <x:v>81900929.89066</x:v>
      </x:c>
      <x:c r="J250" s="85" t="n">
        <x:v>67177531.04500519</x:v>
      </x:c>
      <x:c r="K250" s="85" t="n">
        <x:v>69379.96855479499</x:v>
      </x:c>
      <x:c r="L250" s="28" t="n">
        <x:v>6</x:v>
      </x:c>
      <x:c r="M250" s="28" t="n">
        <x:v>1</x:v>
      </x:c>
      <x:c r="N250" s="28" t="n">
        <x:v>1.862645149230957e-9</x:v>
      </x:c>
      <x:c r="O250" s="28" t="n">
        <x:v>2.9802322387695312e-8</x:v>
      </x:c>
      <x:c r="P250" s="28" t="n">
        <x:v>0</x:v>
      </x:c>
      <x:c r="Q250" s="62" t="b">
        <x:v>1</x:v>
      </x:c>
      <x:c r="R250" s="28" t="n">
        <x:v>0</x:v>
      </x:c>
      <x:c r="S250" s="28" t="str">
        <x:v>ad7b2493ba81f98d</x:v>
      </x:c>
    </x:row>
    <x:row r="251" ht="21" customHeight="1">
      <x:c r="A251" s="60" t="n">
        <x:v>0.6</x:v>
      </x:c>
      <x:c r="B251" s="28" t="str">
        <x:v>level_high</x:v>
      </x:c>
      <x:c r="C251" s="60" t="n">
        <x:v>0.6</x:v>
      </x:c>
      <x:c r="D251" s="60" t="n">
        <x:v>0.6</x:v>
      </x:c>
      <x:c r="E251" s="62" t="b">
        <x:v>1</x:v>
      </x:c>
      <x:c r="F251" s="62" t="b">
        <x:v>1</x:v>
      </x:c>
      <x:c r="G251" s="85" t="n">
        <x:v>0</x:v>
      </x:c>
      <x:c r="H251" s="85" t="n">
        <x:v>0</x:v>
      </x:c>
      <x:c r="I251" s="85" t="n">
        <x:v>91387553.95050994</x:v>
      </x:c>
      <x:c r="J251" s="85" t="n">
        <x:v>74490693.17752917</x:v>
      </x:c>
      <x:c r="K251" s="85" t="n">
        <x:v>48282.733972601854</x:v>
      </x:c>
      <x:c r="L251" s="28" t="n">
        <x:v>10</x:v>
      </x:c>
      <x:c r="M251" s="28" t="n">
        <x:v>4</x:v>
      </x:c>
      <x:c r="N251" s="28" t="n">
        <x:v>1.862645149230957e-9</x:v>
      </x:c>
      <x:c r="O251" s="28" t="n">
        <x:v>2.9802322387695312e-8</x:v>
      </x:c>
      <x:c r="P251" s="28" t="n">
        <x:v>0</x:v>
      </x:c>
      <x:c r="Q251" s="62" t="b">
        <x:v>1</x:v>
      </x:c>
      <x:c r="R251" s="28" t="n">
        <x:v>0</x:v>
      </x:c>
      <x:c r="S251" s="28" t="str">
        <x:v>6e0c1f3fe629818f</x:v>
      </x:c>
    </x:row>
    <x:row r="252" ht="21" customHeight="1">
      <x:c r="A252" s="60" t="n">
        <x:v>0.6</x:v>
      </x:c>
      <x:c r="B252" s="28" t="str">
        <x:v>level_high</x:v>
      </x:c>
      <x:c r="C252" s="60" t="n">
        <x:v>0.65</x:v>
      </x:c>
      <x:c r="D252" s="60" t="n">
        <x:v>0.65</x:v>
      </x:c>
      <x:c r="E252" s="62" t="b">
        <x:v>1</x:v>
      </x:c>
      <x:c r="F252" s="62" t="b">
        <x:v>1</x:v>
      </x:c>
      <x:c r="G252" s="85" t="n">
        <x:v>0</x:v>
      </x:c>
      <x:c r="H252" s="85" t="n">
        <x:v>0</x:v>
      </x:c>
      <x:c r="I252" s="85" t="n">
        <x:v>100285250.03635128</x:v>
      </x:c>
      <x:c r="J252" s="85" t="n">
        <x:v>84385782.03015774</x:v>
      </x:c>
      <x:c r="K252" s="85" t="n">
        <x:v>32162.67184931811</x:v>
      </x:c>
      <x:c r="L252" s="28" t="n">
        <x:v>13</x:v>
      </x:c>
      <x:c r="M252" s="28" t="n">
        <x:v>8</x:v>
      </x:c>
      <x:c r="N252" s="28" t="n">
        <x:v>1.862645149230957e-9</x:v>
      </x:c>
      <x:c r="O252" s="28" t="n">
        <x:v>2.9802322387695312e-8</x:v>
      </x:c>
      <x:c r="P252" s="28" t="n">
        <x:v>0</x:v>
      </x:c>
      <x:c r="Q252" s="62" t="b">
        <x:v>1</x:v>
      </x:c>
      <x:c r="R252" s="28" t="n">
        <x:v>0</x:v>
      </x:c>
      <x:c r="S252" s="28" t="str">
        <x:v>ab33e0e418a6cb35</x:v>
      </x:c>
    </x:row>
    <x:row r="253" ht="21" customHeight="1">
      <x:c r="A253" s="60" t="n">
        <x:v>0.6</x:v>
      </x:c>
      <x:c r="B253" s="28" t="str">
        <x:v>level_high</x:v>
      </x:c>
      <x:c r="C253" s="60" t="n">
        <x:v>0.7</x:v>
      </x:c>
      <x:c r="D253" s="60" t="n">
        <x:v>0.7</x:v>
      </x:c>
      <x:c r="E253" s="62" t="b">
        <x:v>1</x:v>
      </x:c>
      <x:c r="F253" s="62" t="b">
        <x:v>0</x:v>
      </x:c>
      <x:c r="G253" s="85" t="n">
        <x:v>1605312.1842011851</x:v>
      </x:c>
      <x:c r="H253" s="85" t="n">
        <x:v>6170771.0511759585</x:v>
      </x:c>
      <x:c r="I253" s="85" t="n">
        <x:v>105614918.15838857</x:v>
      </x:c>
      <x:c r="J253" s="85" t="n">
        <x:v>90000000.00000001</x:v>
      </x:c>
      <x:c r="K253" s="85" t="n">
        <x:v>16042.609726027848</x:v>
      </x:c>
      <x:c r="L253" s="28" t="n">
        <x:v>38</x:v>
      </x:c>
      <x:c r="M253" s="28" t="n">
        <x:v>34</x:v>
      </x:c>
      <x:c r="N253" s="28" t="n">
        <x:v>1.862645149230957e-9</x:v>
      </x:c>
      <x:c r="O253" s="28" t="n">
        <x:v>2.9802322387695312e-8</x:v>
      </x:c>
      <x:c r="P253" s="28" t="n">
        <x:v>0</x:v>
      </x:c>
      <x:c r="Q253" s="62" t="b">
        <x:v>1</x:v>
      </x:c>
      <x:c r="R253" s="28" t="n">
        <x:v>0</x:v>
      </x:c>
      <x:c r="S253" s="28" t="str">
        <x:v>bfcb17fe950d1885</x:v>
      </x:c>
    </x:row>
    <x:row r="254" ht="21" customHeight="1">
      <x:c r="A254" s="60" t="n">
        <x:v>0.6</x:v>
      </x:c>
      <x:c r="B254" s="28" t="str">
        <x:v>level_high</x:v>
      </x:c>
      <x:c r="C254" s="60" t="n">
        <x:v>0.75</x:v>
      </x:c>
      <x:c r="D254" s="60" t="n">
        <x:v>0.75</x:v>
      </x:c>
      <x:c r="E254" s="62" t="b">
        <x:v>1</x:v>
      </x:c>
      <x:c r="F254" s="62" t="b">
        <x:v>0</x:v>
      </x:c>
      <x:c r="G254" s="85" t="n">
        <x:v>5574499.352630238</x:v>
      </x:c>
      <x:c r="H254" s="85" t="n">
        <x:v>18326149.227743242</x:v>
      </x:c>
      <x:c r="I254" s="85" t="n">
        <x:v>107410822.9248685</x:v>
      </x:c>
      <x:c r="J254" s="85" t="n">
        <x:v>90000000.00000001</x:v>
      </x:c>
      <x:c r="K254" s="85" t="n">
        <x:v>0</x:v>
      </x:c>
      <x:c r="L254" s="28" t="n">
        <x:v>39</x:v>
      </x:c>
      <x:c r="M254" s="28" t="n">
        <x:v>35</x:v>
      </x:c>
      <x:c r="N254" s="28" t="n">
        <x:v>1.862645149230957e-9</x:v>
      </x:c>
      <x:c r="O254" s="28" t="n">
        <x:v>2.9802322387695312e-8</x:v>
      </x:c>
      <x:c r="P254" s="28" t="n">
        <x:v>0</x:v>
      </x:c>
      <x:c r="Q254" s="62" t="b">
        <x:v>1</x:v>
      </x:c>
      <x:c r="R254" s="28" t="n">
        <x:v>0</x:v>
      </x:c>
      <x:c r="S254" s="28" t="str">
        <x:v>de9ad93b97404e64</x:v>
      </x:c>
    </x:row>
    <x:row r="255" ht="21" customHeight="1">
      <x:c r="A255" s="60" t="n">
        <x:v>0.6</x:v>
      </x:c>
      <x:c r="B255" s="28" t="str">
        <x:v>level_high</x:v>
      </x:c>
      <x:c r="C255" s="60" t="n">
        <x:v>0.8</x:v>
      </x:c>
      <x:c r="D255" s="60" t="n">
        <x:v>0.8</x:v>
      </x:c>
      <x:c r="E255" s="62" t="b">
        <x:v>1</x:v>
      </x:c>
      <x:c r="F255" s="62" t="b">
        <x:v>0</x:v>
      </x:c>
      <x:c r="G255" s="85" t="n">
        <x:v>9888786.30939412</x:v>
      </x:c>
      <x:c r="H255" s="85" t="n">
        <x:v>30117396.96203965</x:v>
      </x:c>
      <x:c r="I255" s="85" t="n">
        <x:v>109036909.82213917</x:v>
      </x:c>
      <x:c r="J255" s="85" t="n">
        <x:v>90000000.00000001</x:v>
      </x:c>
      <x:c r="K255" s="85" t="n">
        <x:v>0</x:v>
      </x:c>
      <x:c r="L255" s="28" t="n">
        <x:v>40</x:v>
      </x:c>
      <x:c r="M255" s="28" t="n">
        <x:v>36</x:v>
      </x:c>
      <x:c r="N255" s="28" t="n">
        <x:v>1.862645149230957e-9</x:v>
      </x:c>
      <x:c r="O255" s="28" t="n">
        <x:v>2.9802322387695312e-8</x:v>
      </x:c>
      <x:c r="P255" s="28" t="n">
        <x:v>0</x:v>
      </x:c>
      <x:c r="Q255" s="62" t="b">
        <x:v>1</x:v>
      </x:c>
      <x:c r="R255" s="28" t="n">
        <x:v>0</x:v>
      </x:c>
      <x:c r="S255" s="28" t="str">
        <x:v>a3d71330498bcfa2</x:v>
      </x:c>
    </x:row>
    <x:row r="256" ht="21" customHeight="1">
      <x:c r="A256" s="60" t="n">
        <x:v>0.6</x:v>
      </x:c>
      <x:c r="B256" s="28" t="str">
        <x:v>level_high</x:v>
      </x:c>
      <x:c r="C256" s="60" t="n">
        <x:v>0.85</x:v>
      </x:c>
      <x:c r="D256" s="60" t="n">
        <x:v>0.85</x:v>
      </x:c>
      <x:c r="E256" s="62" t="b">
        <x:v>1</x:v>
      </x:c>
      <x:c r="F256" s="62" t="b">
        <x:v>0</x:v>
      </x:c>
      <x:c r="G256" s="85" t="n">
        <x:v>14531661.38159477</x:v>
      </x:c>
      <x:c r="H256" s="85" t="n">
        <x:v>41245426.06720386</x:v>
      </x:c>
      <x:c r="I256" s="85" t="n">
        <x:v>110732479.07528767</x:v>
      </x:c>
      <x:c r="J256" s="85" t="n">
        <x:v>90000000.00000001</x:v>
      </x:c>
      <x:c r="K256" s="85" t="n">
        <x:v>0</x:v>
      </x:c>
      <x:c r="L256" s="28" t="n">
        <x:v>41</x:v>
      </x:c>
      <x:c r="M256" s="28" t="n">
        <x:v>37</x:v>
      </x:c>
      <x:c r="N256" s="28" t="n">
        <x:v>9.313225746154785e-10</x:v>
      </x:c>
      <x:c r="O256" s="28" t="n">
        <x:v>2.9802322387695312e-8</x:v>
      </x:c>
      <x:c r="P256" s="28" t="n">
        <x:v>0</x:v>
      </x:c>
      <x:c r="Q256" s="62" t="b">
        <x:v>1</x:v>
      </x:c>
      <x:c r="R256" s="28" t="n">
        <x:v>0</x:v>
      </x:c>
      <x:c r="S256" s="28" t="str">
        <x:v>273d6e77767d87fa</x:v>
      </x:c>
    </x:row>
    <x:row r="257" ht="21" customHeight="1">
      <x:c r="A257" s="60" t="n">
        <x:v>0.6</x:v>
      </x:c>
      <x:c r="B257" s="28" t="str">
        <x:v>level_high</x:v>
      </x:c>
      <x:c r="C257" s="60" t="n">
        <x:v>0.9</x:v>
      </x:c>
      <x:c r="D257" s="60" t="n">
        <x:v>0.9</x:v>
      </x:c>
      <x:c r="E257" s="62" t="b">
        <x:v>1</x:v>
      </x:c>
      <x:c r="F257" s="62" t="b">
        <x:v>0</x:v>
      </x:c>
      <x:c r="G257" s="85" t="n">
        <x:v>21474745.11237279</x:v>
      </x:c>
      <x:c r="H257" s="85" t="n">
        <x:v>48895034.62070845</x:v>
      </x:c>
      <x:c r="I257" s="85" t="n">
        <x:v>112312201.33373809</x:v>
      </x:c>
      <x:c r="J257" s="85" t="n">
        <x:v>90000000.00000001</x:v>
      </x:c>
      <x:c r="K257" s="85" t="n">
        <x:v>0</x:v>
      </x:c>
      <x:c r="L257" s="28" t="n">
        <x:v>42</x:v>
      </x:c>
      <x:c r="M257" s="28" t="n">
        <x:v>38</x:v>
      </x:c>
      <x:c r="N257" s="28" t="n">
        <x:v>1.862645149230957e-9</x:v>
      </x:c>
      <x:c r="O257" s="28" t="n">
        <x:v>7.450580596923828e-9</x:v>
      </x:c>
      <x:c r="P257" s="28" t="n">
        <x:v>0</x:v>
      </x:c>
      <x:c r="Q257" s="62" t="b">
        <x:v>1</x:v>
      </x:c>
      <x:c r="R257" s="28" t="n">
        <x:v>0</x:v>
      </x:c>
      <x:c r="S257" s="28" t="str">
        <x:v>5234273385cfedfd</x:v>
      </x:c>
    </x:row>
    <x:row r="258" ht="21" customHeight="1">
      <x:c r="A258" s="60" t="n">
        <x:v>0.6</x:v>
      </x:c>
      <x:c r="B258" s="28" t="str">
        <x:v>level_high</x:v>
      </x:c>
      <x:c r="C258" s="60" t="n">
        <x:v>0.95</x:v>
      </x:c>
      <x:c r="D258" s="60" t="n">
        <x:v>0.9219114501462435</x:v>
      </x:c>
      <x:c r="E258" s="62" t="b">
        <x:v>0</x:v>
      </x:c>
      <x:c r="F258" s="62" t="b">
        <x:v>0</x:v>
      </x:c>
      <x:c r="G258" s="85" t="n">
        <x:v>24232168.87544046</x:v>
      </x:c>
      <x:c r="H258" s="85" t="n">
        <x:v>54552047.31602114</x:v>
      </x:c>
      <x:c r="I258" s="85" t="n">
        <x:v>112627587.33606905</x:v>
      </x:c>
      <x:c r="J258" s="85" t="n">
        <x:v>90000000.00000001</x:v>
      </x:c>
      <x:c r="K258" s="85" t="n">
        <x:v>0</x:v>
      </x:c>
      <x:c r="L258" s="28" t="n">
        <x:v>42</x:v>
      </x:c>
      <x:c r="M258" s="28" t="n">
        <x:v>38</x:v>
      </x:c>
      <x:c r="N258" s="28" t="n">
        <x:v>1.862645149230957e-9</x:v>
      </x:c>
      <x:c r="O258" s="28" t="n">
        <x:v>1.4901161193847656e-8</x:v>
      </x:c>
      <x:c r="P258" s="28" t="n">
        <x:v>0</x:v>
      </x:c>
      <x:c r="Q258" s="62" t="b">
        <x:v>1</x:v>
      </x:c>
      <x:c r="R258" s="28" t="n">
        <x:v>8426564.956126928</x:v>
      </x:c>
      <x:c r="S258" s="28" t="str">
        <x:v>5b9ff8cf6aa1df24</x:v>
      </x:c>
    </x:row>
    <x:row r="259" ht="21" customHeight="1">
      <x:c r="A259" s="60" t="n">
        <x:v>0.6</x:v>
      </x:c>
      <x:c r="B259" s="28" t="str">
        <x:v>level_high</x:v>
      </x:c>
      <x:c r="C259" s="60" t="n">
        <x:v>1</x:v>
      </x:c>
      <x:c r="D259" s="60" t="n">
        <x:v>0.9350574964161632</x:v>
      </x:c>
      <x:c r="E259" s="62" t="b">
        <x:v>0</x:v>
      </x:c>
      <x:c r="F259" s="62" t="b">
        <x:v>0</x:v>
      </x:c>
      <x:c r="G259" s="85" t="n">
        <x:v>26126545.390821226</x:v>
      </x:c>
      <x:c r="H259" s="85" t="n">
        <x:v>56446526.427115545</x:v>
      </x:c>
      <x:c r="I259" s="85" t="n">
        <x:v>114180280.4490411</x:v>
      </x:c>
      <x:c r="J259" s="85" t="n">
        <x:v>90000000.00000001</x:v>
      </x:c>
      <x:c r="K259" s="85" t="n">
        <x:v>0</x:v>
      </x:c>
      <x:c r="L259" s="28" t="n">
        <x:v>43</x:v>
      </x:c>
      <x:c r="M259" s="28" t="n">
        <x:v>39</x:v>
      </x:c>
      <x:c r="N259" s="28" t="n">
        <x:v>1.862645149230957e-9</x:v>
      </x:c>
      <x:c r="O259" s="28" t="n">
        <x:v>7.450580596923828e-9</x:v>
      </x:c>
      <x:c r="P259" s="28" t="n">
        <x:v>0</x:v>
      </x:c>
      <x:c r="Q259" s="62" t="b">
        <x:v>1</x:v>
      </x:c>
      <x:c r="R259" s="28" t="n">
        <x:v>19482751.075151026</x:v>
      </x:c>
      <x:c r="S259" s="28" t="str">
        <x:v>d7ef2964ffc08c8c</x:v>
      </x:c>
    </x:row>
    <x:row r="260" ht="21" customHeight="1">
      <x:c r="A260" s="60" t="n">
        <x:v>0.61</x:v>
      </x:c>
      <x:c r="B260" s="28" t="str">
        <x:v>front_flat</x:v>
      </x:c>
      <x:c r="C260" s="60" t="n">
        <x:v>0</x:v>
      </x:c>
      <x:c r="D260" s="60" t="n">
        <x:v>0</x:v>
      </x:c>
      <x:c r="E260" s="62" t="b">
        <x:v>1</x:v>
      </x:c>
      <x:c r="F260" s="62" t="b">
        <x:v>1</x:v>
      </x:c>
      <x:c r="G260" s="85" t="n">
        <x:v>0</x:v>
      </x:c>
      <x:c r="H260" s="85" t="n">
        <x:v>0</x:v>
      </x:c>
      <x:c r="I260" s="85" t="n">
        <x:v>0</x:v>
      </x:c>
      <x:c r="J260" s="85" t="n">
        <x:v>0</x:v>
      </x:c>
      <x:c r="K260" s="85" t="n">
        <x:v>30574982.107534215</x:v>
      </x:c>
      <x:c r="L260" s="28" t="n">
        <x:v>0</x:v>
      </x:c>
      <x:c r="M260" s="28" t="n">
        <x:v>0</x:v>
      </x:c>
      <x:c r="N260" s="28" t="n">
        <x:v>3.725290298461914e-9</x:v>
      </x:c>
      <x:c r="O260" s="28" t="n">
        <x:v>0</x:v>
      </x:c>
      <x:c r="P260" s="28" t="n">
        <x:v>0</x:v>
      </x:c>
      <x:c r="Q260" s="62" t="b">
        <x:v>1</x:v>
      </x:c>
      <x:c r="R260" s="28" t="n">
        <x:v>0</x:v>
      </x:c>
      <x:c r="S260" s="28" t="str">
        <x:v>145d8ba1127806ae</x:v>
      </x:c>
    </x:row>
    <x:row r="261" ht="21" customHeight="1">
      <x:c r="A261" s="60" t="n">
        <x:v>0.61</x:v>
      </x:c>
      <x:c r="B261" s="28" t="str">
        <x:v>front_flat</x:v>
      </x:c>
      <x:c r="C261" s="60" t="n">
        <x:v>0.05</x:v>
      </x:c>
      <x:c r="D261" s="60" t="n">
        <x:v>0.05</x:v>
      </x:c>
      <x:c r="E261" s="62" t="b">
        <x:v>1</x:v>
      </x:c>
      <x:c r="F261" s="62" t="b">
        <x:v>1</x:v>
      </x:c>
      <x:c r="G261" s="85" t="n">
        <x:v>0</x:v>
      </x:c>
      <x:c r="H261" s="85" t="n">
        <x:v>0</x:v>
      </x:c>
      <x:c r="I261" s="85" t="n">
        <x:v>0</x:v>
      </x:c>
      <x:c r="J261" s="85" t="n">
        <x:v>0</x:v>
      </x:c>
      <x:c r="K261" s="85" t="n">
        <x:v>18295881.64425936</x:v>
      </x:c>
      <x:c r="L261" s="28" t="n">
        <x:v>0</x:v>
      </x:c>
      <x:c r="M261" s="28" t="n">
        <x:v>0</x:v>
      </x:c>
      <x:c r="N261" s="28" t="n">
        <x:v>3.725290298461914e-9</x:v>
      </x:c>
      <x:c r="O261" s="28" t="n">
        <x:v>5.960464477539063e-8</x:v>
      </x:c>
      <x:c r="P261" s="28" t="n">
        <x:v>0</x:v>
      </x:c>
      <x:c r="Q261" s="62" t="b">
        <x:v>1</x:v>
      </x:c>
      <x:c r="R261" s="28" t="n">
        <x:v>0</x:v>
      </x:c>
      <x:c r="S261" s="28" t="str">
        <x:v>944d662097e827e6</x:v>
      </x:c>
    </x:row>
    <x:row r="262" ht="21" customHeight="1">
      <x:c r="A262" s="60" t="n">
        <x:v>0.61</x:v>
      </x:c>
      <x:c r="B262" s="28" t="str">
        <x:v>front_flat</x:v>
      </x:c>
      <x:c r="C262" s="60" t="n">
        <x:v>0.1</x:v>
      </x:c>
      <x:c r="D262" s="60" t="n">
        <x:v>0.1</x:v>
      </x:c>
      <x:c r="E262" s="62" t="b">
        <x:v>1</x:v>
      </x:c>
      <x:c r="F262" s="62" t="b">
        <x:v>1</x:v>
      </x:c>
      <x:c r="G262" s="85" t="n">
        <x:v>0</x:v>
      </x:c>
      <x:c r="H262" s="85" t="n">
        <x:v>0</x:v>
      </x:c>
      <x:c r="I262" s="85" t="n">
        <x:v>0</x:v>
      </x:c>
      <x:c r="J262" s="85" t="n">
        <x:v>0</x:v>
      </x:c>
      <x:c r="K262" s="85" t="n">
        <x:v>5909906.883160298</x:v>
      </x:c>
      <x:c r="L262" s="28" t="n">
        <x:v>0</x:v>
      </x:c>
      <x:c r="M262" s="28" t="n">
        <x:v>0</x:v>
      </x:c>
      <x:c r="N262" s="28" t="n">
        <x:v>3.725290298461914e-9</x:v>
      </x:c>
      <x:c r="O262" s="28" t="n">
        <x:v>5.960464477539063e-8</x:v>
      </x:c>
      <x:c r="P262" s="28" t="n">
        <x:v>0</x:v>
      </x:c>
      <x:c r="Q262" s="62" t="b">
        <x:v>1</x:v>
      </x:c>
      <x:c r="R262" s="28" t="n">
        <x:v>0</x:v>
      </x:c>
      <x:c r="S262" s="28" t="str">
        <x:v>6288b164ea1dd7e8</x:v>
      </x:c>
    </x:row>
    <x:row r="263" ht="21" customHeight="1">
      <x:c r="A263" s="60" t="n">
        <x:v>0.61</x:v>
      </x:c>
      <x:c r="B263" s="28" t="str">
        <x:v>front_flat</x:v>
      </x:c>
      <x:c r="C263" s="60" t="n">
        <x:v>0.15</x:v>
      </x:c>
      <x:c r="D263" s="60" t="n">
        <x:v>0.15</x:v>
      </x:c>
      <x:c r="E263" s="62" t="b">
        <x:v>1</x:v>
      </x:c>
      <x:c r="F263" s="62" t="b">
        <x:v>1</x:v>
      </x:c>
      <x:c r="G263" s="85" t="n">
        <x:v>0</x:v>
      </x:c>
      <x:c r="H263" s="85" t="n">
        <x:v>0</x:v>
      </x:c>
      <x:c r="I263" s="85" t="n">
        <x:v>4976645.127705655</x:v>
      </x:c>
      <x:c r="J263" s="85" t="n">
        <x:v>0</x:v>
      </x:c>
      <x:c r="K263" s="85" t="n">
        <x:v>113709.24617226093</x:v>
      </x:c>
      <x:c r="L263" s="28" t="n">
        <x:v>0</x:v>
      </x:c>
      <x:c r="M263" s="28" t="n">
        <x:v>0</x:v>
      </x:c>
      <x:c r="N263" s="28" t="n">
        <x:v>3.725290298461914e-9</x:v>
      </x:c>
      <x:c r="O263" s="28" t="n">
        <x:v>2.9802322387695312e-8</x:v>
      </x:c>
      <x:c r="P263" s="28" t="n">
        <x:v>0</x:v>
      </x:c>
      <x:c r="Q263" s="62" t="b">
        <x:v>1</x:v>
      </x:c>
      <x:c r="R263" s="28" t="n">
        <x:v>0</x:v>
      </x:c>
      <x:c r="S263" s="28" t="str">
        <x:v>8bfa121665396f97</x:v>
      </x:c>
    </x:row>
    <x:row r="264" ht="21" customHeight="1">
      <x:c r="A264" s="60" t="n">
        <x:v>0.61</x:v>
      </x:c>
      <x:c r="B264" s="28" t="str">
        <x:v>front_flat</x:v>
      </x:c>
      <x:c r="C264" s="60" t="n">
        <x:v>0.2</x:v>
      </x:c>
      <x:c r="D264" s="60" t="n">
        <x:v>0.2</x:v>
      </x:c>
      <x:c r="E264" s="62" t="b">
        <x:v>1</x:v>
      </x:c>
      <x:c r="F264" s="62" t="b">
        <x:v>1</x:v>
      </x:c>
      <x:c r="G264" s="85" t="n">
        <x:v>0</x:v>
      </x:c>
      <x:c r="H264" s="85" t="n">
        <x:v>0</x:v>
      </x:c>
      <x:c r="I264" s="85" t="n">
        <x:v>13816799.882476665</x:v>
      </x:c>
      <x:c r="J264" s="85" t="n">
        <x:v>6284479.4973746715</x:v>
      </x:c>
      <x:c r="K264" s="85" t="n">
        <x:v>51486.186220546675</x:v>
      </x:c>
      <x:c r="L264" s="28" t="n">
        <x:v>0</x:v>
      </x:c>
      <x:c r="M264" s="28" t="n">
        <x:v>0</x:v>
      </x:c>
      <x:c r="N264" s="28" t="n">
        <x:v>3.725290298461914e-9</x:v>
      </x:c>
      <x:c r="O264" s="28" t="n">
        <x:v>2.9802322387695312e-8</x:v>
      </x:c>
      <x:c r="P264" s="28" t="n">
        <x:v>0</x:v>
      </x:c>
      <x:c r="Q264" s="62" t="b">
        <x:v>1</x:v>
      </x:c>
      <x:c r="R264" s="28" t="n">
        <x:v>0</x:v>
      </x:c>
      <x:c r="S264" s="28" t="str">
        <x:v>500e82cee7da3eb6</x:v>
      </x:c>
    </x:row>
    <x:row r="265" ht="21" customHeight="1">
      <x:c r="A265" s="60" t="n">
        <x:v>0.61</x:v>
      </x:c>
      <x:c r="B265" s="28" t="str">
        <x:v>front_flat</x:v>
      </x:c>
      <x:c r="C265" s="60" t="n">
        <x:v>0.25</x:v>
      </x:c>
      <x:c r="D265" s="60" t="n">
        <x:v>0.25</x:v>
      </x:c>
      <x:c r="E265" s="62" t="b">
        <x:v>1</x:v>
      </x:c>
      <x:c r="F265" s="62" t="b">
        <x:v>1</x:v>
      </x:c>
      <x:c r="G265" s="85" t="n">
        <x:v>0</x:v>
      </x:c>
      <x:c r="H265" s="85" t="n">
        <x:v>0</x:v>
      </x:c>
      <x:c r="I265" s="85" t="n">
        <x:v>20810673.149157375</x:v>
      </x:c>
      <x:c r="J265" s="85" t="n">
        <x:v>15355599.371718263</x:v>
      </x:c>
      <x:c r="K265" s="85" t="n">
        <x:v>0</x:v>
      </x:c>
      <x:c r="L265" s="28" t="n">
        <x:v>0</x:v>
      </x:c>
      <x:c r="M265" s="28" t="n">
        <x:v>0</x:v>
      </x:c>
      <x:c r="N265" s="28" t="n">
        <x:v>1.862645149230957e-9</x:v>
      </x:c>
      <x:c r="O265" s="28" t="n">
        <x:v>1.4901161193847656e-8</x:v>
      </x:c>
      <x:c r="P265" s="28" t="n">
        <x:v>0</x:v>
      </x:c>
      <x:c r="Q265" s="62" t="b">
        <x:v>1</x:v>
      </x:c>
      <x:c r="R265" s="28" t="n">
        <x:v>0</x:v>
      </x:c>
      <x:c r="S265" s="28" t="str">
        <x:v>066d6b587959a334</x:v>
      </x:c>
    </x:row>
    <x:row r="266" ht="21" customHeight="1">
      <x:c r="A266" s="60" t="n">
        <x:v>0.61</x:v>
      </x:c>
      <x:c r="B266" s="28" t="str">
        <x:v>front_flat</x:v>
      </x:c>
      <x:c r="C266" s="60" t="n">
        <x:v>0.3</x:v>
      </x:c>
      <x:c r="D266" s="60" t="n">
        <x:v>0.3</x:v>
      </x:c>
      <x:c r="E266" s="62" t="b">
        <x:v>1</x:v>
      </x:c>
      <x:c r="F266" s="62" t="b">
        <x:v>1</x:v>
      </x:c>
      <x:c r="G266" s="85" t="n">
        <x:v>0</x:v>
      </x:c>
      <x:c r="H266" s="85" t="n">
        <x:v>0</x:v>
      </x:c>
      <x:c r="I266" s="85" t="n">
        <x:v>27804546.41583817</x:v>
      </x:c>
      <x:c r="J266" s="85" t="n">
        <x:v>24426719.246061895</x:v>
      </x:c>
      <x:c r="K266" s="85" t="n">
        <x:v>0</x:v>
      </x:c>
      <x:c r="L266" s="28" t="n">
        <x:v>0</x:v>
      </x:c>
      <x:c r="M266" s="28" t="n">
        <x:v>0</x:v>
      </x:c>
      <x:c r="N266" s="28" t="n">
        <x:v>1.862645149230957e-9</x:v>
      </x:c>
      <x:c r="O266" s="28" t="n">
        <x:v>2.9802322387695312e-8</x:v>
      </x:c>
      <x:c r="P266" s="28" t="n">
        <x:v>0</x:v>
      </x:c>
      <x:c r="Q266" s="62" t="b">
        <x:v>1</x:v>
      </x:c>
      <x:c r="R266" s="28" t="n">
        <x:v>0</x:v>
      </x:c>
      <x:c r="S266" s="28" t="str">
        <x:v>dc49b8aa955a9976</x:v>
      </x:c>
    </x:row>
    <x:row r="267" ht="21" customHeight="1">
      <x:c r="A267" s="60" t="n">
        <x:v>0.61</x:v>
      </x:c>
      <x:c r="B267" s="28" t="str">
        <x:v>front_flat</x:v>
      </x:c>
      <x:c r="C267" s="60" t="n">
        <x:v>0.35</x:v>
      </x:c>
      <x:c r="D267" s="60" t="n">
        <x:v>0.35</x:v>
      </x:c>
      <x:c r="E267" s="62" t="b">
        <x:v>1</x:v>
      </x:c>
      <x:c r="F267" s="62" t="b">
        <x:v>1</x:v>
      </x:c>
      <x:c r="G267" s="85" t="n">
        <x:v>0</x:v>
      </x:c>
      <x:c r="H267" s="85" t="n">
        <x:v>0</x:v>
      </x:c>
      <x:c r="I267" s="85" t="n">
        <x:v>34798419.682519004</x:v>
      </x:c>
      <x:c r="J267" s="85" t="n">
        <x:v>33497839.120405573</x:v>
      </x:c>
      <x:c r="K267" s="85" t="n">
        <x:v>0</x:v>
      </x:c>
      <x:c r="L267" s="28" t="n">
        <x:v>0</x:v>
      </x:c>
      <x:c r="M267" s="28" t="n">
        <x:v>0</x:v>
      </x:c>
      <x:c r="N267" s="28" t="n">
        <x:v>3.725290298461914e-9</x:v>
      </x:c>
      <x:c r="O267" s="28" t="n">
        <x:v>7.450580596923828e-9</x:v>
      </x:c>
      <x:c r="P267" s="28" t="n">
        <x:v>0</x:v>
      </x:c>
      <x:c r="Q267" s="62" t="b">
        <x:v>1</x:v>
      </x:c>
      <x:c r="R267" s="28" t="n">
        <x:v>0</x:v>
      </x:c>
      <x:c r="S267" s="28" t="str">
        <x:v>3bbef4adfcf9b7d2</x:v>
      </x:c>
    </x:row>
    <x:row r="268" ht="21" customHeight="1">
      <x:c r="A268" s="60" t="n">
        <x:v>0.61</x:v>
      </x:c>
      <x:c r="B268" s="28" t="str">
        <x:v>front_flat</x:v>
      </x:c>
      <x:c r="C268" s="60" t="n">
        <x:v>0.4</x:v>
      </x:c>
      <x:c r="D268" s="60" t="n">
        <x:v>0.4</x:v>
      </x:c>
      <x:c r="E268" s="62" t="b">
        <x:v>1</x:v>
      </x:c>
      <x:c r="F268" s="62" t="b">
        <x:v>1</x:v>
      </x:c>
      <x:c r="G268" s="85" t="n">
        <x:v>0</x:v>
      </x:c>
      <x:c r="H268" s="85" t="n">
        <x:v>0</x:v>
      </x:c>
      <x:c r="I268" s="85" t="n">
        <x:v>41791745.31759203</x:v>
      </x:c>
      <x:c r="J268" s="85" t="n">
        <x:v>42568958.994749255</x:v>
      </x:c>
      <x:c r="K268" s="85" t="n">
        <x:v>0</x:v>
      </x:c>
      <x:c r="L268" s="28" t="n">
        <x:v>0</x:v>
      </x:c>
      <x:c r="M268" s="28" t="n">
        <x:v>0</x:v>
      </x:c>
      <x:c r="N268" s="28" t="n">
        <x:v>3.725290298461914e-9</x:v>
      </x:c>
      <x:c r="O268" s="28" t="n">
        <x:v>2.9802322387695312e-8</x:v>
      </x:c>
      <x:c r="P268" s="28" t="n">
        <x:v>0</x:v>
      </x:c>
      <x:c r="Q268" s="62" t="b">
        <x:v>1</x:v>
      </x:c>
      <x:c r="R268" s="28" t="n">
        <x:v>0</x:v>
      </x:c>
      <x:c r="S268" s="28" t="str">
        <x:v>6d9c8c652f3f3f7b</x:v>
      </x:c>
    </x:row>
    <x:row r="269" ht="21" customHeight="1">
      <x:c r="A269" s="60" t="n">
        <x:v>0.61</x:v>
      </x:c>
      <x:c r="B269" s="28" t="str">
        <x:v>front_flat</x:v>
      </x:c>
      <x:c r="C269" s="60" t="n">
        <x:v>0.45</x:v>
      </x:c>
      <x:c r="D269" s="60" t="n">
        <x:v>0.45</x:v>
      </x:c>
      <x:c r="E269" s="62" t="b">
        <x:v>1</x:v>
      </x:c>
      <x:c r="F269" s="62" t="b">
        <x:v>1</x:v>
      </x:c>
      <x:c r="G269" s="85" t="n">
        <x:v>0</x:v>
      </x:c>
      <x:c r="H269" s="85" t="n">
        <x:v>0</x:v>
      </x:c>
      <x:c r="I269" s="85" t="n">
        <x:v>48778146.008917764</x:v>
      </x:c>
      <x:c r="J269" s="85" t="n">
        <x:v>51640078.8690929</x:v>
      </x:c>
      <x:c r="K269" s="85" t="n">
        <x:v>0</x:v>
      </x:c>
      <x:c r="L269" s="28" t="n">
        <x:v>0</x:v>
      </x:c>
      <x:c r="M269" s="28" t="n">
        <x:v>0</x:v>
      </x:c>
      <x:c r="N269" s="28" t="n">
        <x:v>1.862645149230957e-9</x:v>
      </x:c>
      <x:c r="O269" s="28" t="n">
        <x:v>2.9802322387695312e-8</x:v>
      </x:c>
      <x:c r="P269" s="28" t="n">
        <x:v>0</x:v>
      </x:c>
      <x:c r="Q269" s="62" t="b">
        <x:v>1</x:v>
      </x:c>
      <x:c r="R269" s="28" t="n">
        <x:v>0</x:v>
      </x:c>
      <x:c r="S269" s="28" t="str">
        <x:v>42e7a00b804e8689</x:v>
      </x:c>
    </x:row>
    <x:row r="270" ht="21" customHeight="1">
      <x:c r="A270" s="60" t="n">
        <x:v>0.61</x:v>
      </x:c>
      <x:c r="B270" s="28" t="str">
        <x:v>front_flat</x:v>
      </x:c>
      <x:c r="C270" s="60" t="n">
        <x:v>0.5</x:v>
      </x:c>
      <x:c r="D270" s="60" t="n">
        <x:v>0.5</x:v>
      </x:c>
      <x:c r="E270" s="62" t="b">
        <x:v>1</x:v>
      </x:c>
      <x:c r="F270" s="62" t="b">
        <x:v>1</x:v>
      </x:c>
      <x:c r="G270" s="85" t="n">
        <x:v>0</x:v>
      </x:c>
      <x:c r="H270" s="85" t="n">
        <x:v>0</x:v>
      </x:c>
      <x:c r="I270" s="85" t="n">
        <x:v>56010129.03647709</x:v>
      </x:c>
      <x:c r="J270" s="85" t="n">
        <x:v>60069798.401489265</x:v>
      </x:c>
      <x:c r="K270" s="85" t="n">
        <x:v>0</x:v>
      </x:c>
      <x:c r="L270" s="28" t="n">
        <x:v>1</x:v>
      </x:c>
      <x:c r="M270" s="28" t="n">
        <x:v>0</x:v>
      </x:c>
      <x:c r="N270" s="28" t="n">
        <x:v>1.862645149230957e-9</x:v>
      </x:c>
      <x:c r="O270" s="28" t="n">
        <x:v>2.9802322387695312e-8</x:v>
      </x:c>
      <x:c r="P270" s="28" t="n">
        <x:v>0</x:v>
      </x:c>
      <x:c r="Q270" s="62" t="b">
        <x:v>1</x:v>
      </x:c>
      <x:c r="R270" s="28" t="n">
        <x:v>0</x:v>
      </x:c>
      <x:c r="S270" s="28" t="str">
        <x:v>0848fdce45e196a5</x:v>
      </x:c>
    </x:row>
    <x:row r="271" ht="21" customHeight="1">
      <x:c r="A271" s="60" t="n">
        <x:v>0.61</x:v>
      </x:c>
      <x:c r="B271" s="28" t="str">
        <x:v>front_flat</x:v>
      </x:c>
      <x:c r="C271" s="60" t="n">
        <x:v>0.55</x:v>
      </x:c>
      <x:c r="D271" s="60" t="n">
        <x:v>0.55</x:v>
      </x:c>
      <x:c r="E271" s="62" t="b">
        <x:v>1</x:v>
      </x:c>
      <x:c r="F271" s="62" t="b">
        <x:v>1</x:v>
      </x:c>
      <x:c r="G271" s="85" t="n">
        <x:v>0</x:v>
      </x:c>
      <x:c r="H271" s="85" t="n">
        <x:v>0</x:v>
      </x:c>
      <x:c r="I271" s="85" t="n">
        <x:v>65288677.67422594</x:v>
      </x:c>
      <x:c r="J271" s="85" t="n">
        <x:v>63089678.739412405</x:v>
      </x:c>
      <x:c r="K271" s="85" t="n">
        <x:v>0</x:v>
      </x:c>
      <x:c r="L271" s="28" t="n">
        <x:v>10</x:v>
      </x:c>
      <x:c r="M271" s="28" t="n">
        <x:v>0</x:v>
      </x:c>
      <x:c r="N271" s="28" t="n">
        <x:v>1.862645149230957e-9</x:v>
      </x:c>
      <x:c r="O271" s="28" t="n">
        <x:v>2.9802322387695312e-8</x:v>
      </x:c>
      <x:c r="P271" s="28" t="n">
        <x:v>0</x:v>
      </x:c>
      <x:c r="Q271" s="62" t="b">
        <x:v>1</x:v>
      </x:c>
      <x:c r="R271" s="28" t="n">
        <x:v>0</x:v>
      </x:c>
      <x:c r="S271" s="28" t="str">
        <x:v>26e78c83807c686b</x:v>
      </x:c>
    </x:row>
    <x:row r="272" ht="21" customHeight="1">
      <x:c r="A272" s="60" t="n">
        <x:v>0.61</x:v>
      </x:c>
      <x:c r="B272" s="28" t="str">
        <x:v>front_flat</x:v>
      </x:c>
      <x:c r="C272" s="60" t="n">
        <x:v>0.6</x:v>
      </x:c>
      <x:c r="D272" s="60" t="n">
        <x:v>0.6</x:v>
      </x:c>
      <x:c r="E272" s="62" t="b">
        <x:v>1</x:v>
      </x:c>
      <x:c r="F272" s="62" t="b">
        <x:v>1</x:v>
      </x:c>
      <x:c r="G272" s="85" t="n">
        <x:v>0</x:v>
      </x:c>
      <x:c r="H272" s="85" t="n">
        <x:v>0</x:v>
      </x:c>
      <x:c r="I272" s="85" t="n">
        <x:v>73314531.9522733</x:v>
      </x:c>
      <x:c r="J272" s="85" t="n">
        <x:v>68765009.90370409</x:v>
      </x:c>
      <x:c r="K272" s="85" t="n">
        <x:v>0</x:v>
      </x:c>
      <x:c r="L272" s="28" t="n">
        <x:v>16</x:v>
      </x:c>
      <x:c r="M272" s="28" t="n">
        <x:v>0</x:v>
      </x:c>
      <x:c r="N272" s="28" t="n">
        <x:v>1.862645149230957e-9</x:v>
      </x:c>
      <x:c r="O272" s="28" t="n">
        <x:v>2.9802322387695312e-8</x:v>
      </x:c>
      <x:c r="P272" s="28" t="n">
        <x:v>0</x:v>
      </x:c>
      <x:c r="Q272" s="62" t="b">
        <x:v>1</x:v>
      </x:c>
      <x:c r="R272" s="28" t="n">
        <x:v>0</x:v>
      </x:c>
      <x:c r="S272" s="28" t="str">
        <x:v>31b1d93b7b47d52d</x:v>
      </x:c>
    </x:row>
    <x:row r="273" ht="21" customHeight="1">
      <x:c r="A273" s="60" t="n">
        <x:v>0.61</x:v>
      </x:c>
      <x:c r="B273" s="28" t="str">
        <x:v>front_flat</x:v>
      </x:c>
      <x:c r="C273" s="60" t="n">
        <x:v>0.65</x:v>
      </x:c>
      <x:c r="D273" s="60" t="n">
        <x:v>0.65</x:v>
      </x:c>
      <x:c r="E273" s="62" t="b">
        <x:v>1</x:v>
      </x:c>
      <x:c r="F273" s="62" t="b">
        <x:v>1</x:v>
      </x:c>
      <x:c r="G273" s="85" t="n">
        <x:v>0</x:v>
      </x:c>
      <x:c r="H273" s="85" t="n">
        <x:v>0</x:v>
      </x:c>
      <x:c r="I273" s="85" t="n">
        <x:v>79955806.20102358</x:v>
      </x:c>
      <x:c r="J273" s="85" t="n">
        <x:v>78171220.79351433</x:v>
      </x:c>
      <x:c r="K273" s="85" t="n">
        <x:v>0</x:v>
      </x:c>
      <x:c r="L273" s="28" t="n">
        <x:v>20</x:v>
      </x:c>
      <x:c r="M273" s="28" t="n">
        <x:v>3</x:v>
      </x:c>
      <x:c r="N273" s="28" t="n">
        <x:v>1.862645149230957e-9</x:v>
      </x:c>
      <x:c r="O273" s="28" t="n">
        <x:v>2.9802322387695312e-8</x:v>
      </x:c>
      <x:c r="P273" s="28" t="n">
        <x:v>0</x:v>
      </x:c>
      <x:c r="Q273" s="62" t="b">
        <x:v>1</x:v>
      </x:c>
      <x:c r="R273" s="28" t="n">
        <x:v>0</x:v>
      </x:c>
      <x:c r="S273" s="28" t="str">
        <x:v>41b8821fe6ed9f4c</x:v>
      </x:c>
    </x:row>
    <x:row r="274" ht="21" customHeight="1">
      <x:c r="A274" s="60" t="n">
        <x:v>0.61</x:v>
      </x:c>
      <x:c r="B274" s="28" t="str">
        <x:v>front_flat</x:v>
      </x:c>
      <x:c r="C274" s="60" t="n">
        <x:v>0.7</x:v>
      </x:c>
      <x:c r="D274" s="60" t="n">
        <x:v>0.7</x:v>
      </x:c>
      <x:c r="E274" s="62" t="b">
        <x:v>1</x:v>
      </x:c>
      <x:c r="F274" s="62" t="b">
        <x:v>0</x:v>
      </x:c>
      <x:c r="G274" s="85" t="n">
        <x:v>486579.0121314657</x:v>
      </x:c>
      <x:c r="H274" s="85" t="n">
        <x:v>3152528.865173473</x:v>
      </x:c>
      <x:c r="I274" s="85" t="n">
        <x:v>84275179.56275138</x:v>
      </x:c>
      <x:c r="J274" s="85" t="n">
        <x:v>87000000.00000001</x:v>
      </x:c>
      <x:c r="K274" s="85" t="n">
        <x:v>0</x:v>
      </x:c>
      <x:c r="L274" s="28" t="n">
        <x:v>45</x:v>
      </x:c>
      <x:c r="M274" s="28" t="n">
        <x:v>34</x:v>
      </x:c>
      <x:c r="N274" s="28" t="n">
        <x:v>1.862645149230957e-9</x:v>
      </x:c>
      <x:c r="O274" s="28" t="n">
        <x:v>2.9802322387695312e-8</x:v>
      </x:c>
      <x:c r="P274" s="28" t="n">
        <x:v>0</x:v>
      </x:c>
      <x:c r="Q274" s="62" t="b">
        <x:v>1</x:v>
      </x:c>
      <x:c r="R274" s="28" t="n">
        <x:v>0</x:v>
      </x:c>
      <x:c r="S274" s="28" t="str">
        <x:v>84abcaac8fa87b81</x:v>
      </x:c>
    </x:row>
    <x:row r="275" ht="21" customHeight="1">
      <x:c r="A275" s="60" t="n">
        <x:v>0.61</x:v>
      </x:c>
      <x:c r="B275" s="28" t="str">
        <x:v>front_flat</x:v>
      </x:c>
      <x:c r="C275" s="60" t="n">
        <x:v>0.75</x:v>
      </x:c>
      <x:c r="D275" s="60" t="n">
        <x:v>0.75</x:v>
      </x:c>
      <x:c r="E275" s="62" t="b">
        <x:v>1</x:v>
      </x:c>
      <x:c r="F275" s="62" t="b">
        <x:v>0</x:v>
      </x:c>
      <x:c r="G275" s="85" t="n">
        <x:v>2861582.0747650927</x:v>
      </x:c>
      <x:c r="H275" s="85" t="n">
        <x:v>16276209.524861135</x:v>
      </x:c>
      <x:c r="I275" s="85" t="n">
        <x:v>84399217.4457072</x:v>
      </x:c>
      <x:c r="J275" s="85" t="n">
        <x:v>87000000.00000001</x:v>
      </x:c>
      <x:c r="K275" s="85" t="n">
        <x:v>0</x:v>
      </x:c>
      <x:c r="L275" s="28" t="n">
        <x:v>45</x:v>
      </x:c>
      <x:c r="M275" s="28" t="n">
        <x:v>36</x:v>
      </x:c>
      <x:c r="N275" s="28" t="n">
        <x:v>1.862645149230957e-9</x:v>
      </x:c>
      <x:c r="O275" s="28" t="n">
        <x:v>2.9802322387695312e-8</x:v>
      </x:c>
      <x:c r="P275" s="28" t="n">
        <x:v>0</x:v>
      </x:c>
      <x:c r="Q275" s="62" t="b">
        <x:v>1</x:v>
      </x:c>
      <x:c r="R275" s="28" t="n">
        <x:v>0</x:v>
      </x:c>
      <x:c r="S275" s="28" t="str">
        <x:v>fcf3afe3afa166db</x:v>
      </x:c>
    </x:row>
    <x:row r="276" ht="21" customHeight="1">
      <x:c r="A276" s="60" t="n">
        <x:v>0.61</x:v>
      </x:c>
      <x:c r="B276" s="28" t="str">
        <x:v>front_flat</x:v>
      </x:c>
      <x:c r="C276" s="60" t="n">
        <x:v>0.8</x:v>
      </x:c>
      <x:c r="D276" s="60" t="n">
        <x:v>0.8</x:v>
      </x:c>
      <x:c r="E276" s="62" t="b">
        <x:v>1</x:v>
      </x:c>
      <x:c r="F276" s="62" t="b">
        <x:v>0</x:v>
      </x:c>
      <x:c r="G276" s="85" t="n">
        <x:v>5298182.7241769815</x:v>
      </x:c>
      <x:c r="H276" s="85" t="n">
        <x:v>28985651.856092803</x:v>
      </x:c>
      <x:c r="I276" s="85" t="n">
        <x:v>84523255.32866302</x:v>
      </x:c>
      <x:c r="J276" s="85" t="n">
        <x:v>87000000.00000001</x:v>
      </x:c>
      <x:c r="K276" s="85" t="n">
        <x:v>0</x:v>
      </x:c>
      <x:c r="L276" s="28" t="n">
        <x:v>45</x:v>
      </x:c>
      <x:c r="M276" s="28" t="n">
        <x:v>38</x:v>
      </x:c>
      <x:c r="N276" s="28" t="n">
        <x:v>1.862645149230957e-9</x:v>
      </x:c>
      <x:c r="O276" s="28" t="n">
        <x:v>1.4901161193847656e-8</x:v>
      </x:c>
      <x:c r="P276" s="28" t="n">
        <x:v>0</x:v>
      </x:c>
      <x:c r="Q276" s="62" t="b">
        <x:v>1</x:v>
      </x:c>
      <x:c r="R276" s="28" t="n">
        <x:v>0</x:v>
      </x:c>
      <x:c r="S276" s="28" t="str">
        <x:v>408a8daca3195150</x:v>
      </x:c>
    </x:row>
    <x:row r="277" ht="21" customHeight="1">
      <x:c r="A277" s="60" t="n">
        <x:v>0.61</x:v>
      </x:c>
      <x:c r="B277" s="28" t="str">
        <x:v>front_flat</x:v>
      </x:c>
      <x:c r="C277" s="60" t="n">
        <x:v>0.85</x:v>
      </x:c>
      <x:c r="D277" s="60" t="n">
        <x:v>0.85</x:v>
      </x:c>
      <x:c r="E277" s="62" t="b">
        <x:v>1</x:v>
      </x:c>
      <x:c r="F277" s="62" t="b">
        <x:v>0</x:v>
      </x:c>
      <x:c r="G277" s="85" t="n">
        <x:v>7784089.426537093</x:v>
      </x:c>
      <x:c r="H277" s="85" t="n">
        <x:v>39913129.8236634</x:v>
      </x:c>
      <x:c r="I277" s="85" t="n">
        <x:v>85677232.03493254</x:v>
      </x:c>
      <x:c r="J277" s="85" t="n">
        <x:v>87000000.00000001</x:v>
      </x:c>
      <x:c r="K277" s="85" t="n">
        <x:v>0</x:v>
      </x:c>
      <x:c r="L277" s="28" t="n">
        <x:v>46</x:v>
      </x:c>
      <x:c r="M277" s="28" t="n">
        <x:v>40</x:v>
      </x:c>
      <x:c r="N277" s="28" t="n">
        <x:v>1.862645149230957e-9</x:v>
      </x:c>
      <x:c r="O277" s="28" t="n">
        <x:v>1.862645149230957e-9</x:v>
      </x:c>
      <x:c r="P277" s="28" t="n">
        <x:v>0</x:v>
      </x:c>
      <x:c r="Q277" s="62" t="b">
        <x:v>1</x:v>
      </x:c>
      <x:c r="R277" s="28" t="n">
        <x:v>0</x:v>
      </x:c>
      <x:c r="S277" s="28" t="str">
        <x:v>7786f69a8ab09f56</x:v>
      </x:c>
    </x:row>
    <x:row r="278" ht="21" customHeight="1">
      <x:c r="A278" s="60" t="n">
        <x:v>0.61</x:v>
      </x:c>
      <x:c r="B278" s="28" t="str">
        <x:v>front_flat</x:v>
      </x:c>
      <x:c r="C278" s="60" t="n">
        <x:v>0.9</x:v>
      </x:c>
      <x:c r="D278" s="60" t="n">
        <x:v>0.9</x:v>
      </x:c>
      <x:c r="E278" s="62" t="b">
        <x:v>1</x:v>
      </x:c>
      <x:c r="F278" s="62" t="b">
        <x:v>0</x:v>
      </x:c>
      <x:c r="G278" s="85" t="n">
        <x:v>10835962.723174077</x:v>
      </x:c>
      <x:c r="H278" s="85" t="n">
        <x:v>51936484.91151111</x:v>
      </x:c>
      <x:c r="I278" s="85" t="n">
        <x:v>85740002.02981578</x:v>
      </x:c>
      <x:c r="J278" s="85" t="n">
        <x:v>87000000.00000001</x:v>
      </x:c>
      <x:c r="K278" s="85" t="n">
        <x:v>0</x:v>
      </x:c>
      <x:c r="L278" s="28" t="n">
        <x:v>46</x:v>
      </x:c>
      <x:c r="M278" s="28" t="n">
        <x:v>42</x:v>
      </x:c>
      <x:c r="N278" s="28" t="n">
        <x:v>9.313225746154785e-10</x:v>
      </x:c>
      <x:c r="O278" s="28" t="n">
        <x:v>1.4901161193847656e-8</x:v>
      </x:c>
      <x:c r="P278" s="28" t="n">
        <x:v>0</x:v>
      </x:c>
      <x:c r="Q278" s="62" t="b">
        <x:v>1</x:v>
      </x:c>
      <x:c r="R278" s="28" t="n">
        <x:v>0</x:v>
      </x:c>
      <x:c r="S278" s="28" t="str">
        <x:v>7368ce89330d854a</x:v>
      </x:c>
    </x:row>
    <x:row r="279" ht="21" customHeight="1">
      <x:c r="A279" s="60" t="n">
        <x:v>0.61</x:v>
      </x:c>
      <x:c r="B279" s="28" t="str">
        <x:v>front_flat</x:v>
      </x:c>
      <x:c r="C279" s="60" t="n">
        <x:v>0.95</x:v>
      </x:c>
      <x:c r="D279" s="60" t="n">
        <x:v>0.9497739906324524</x:v>
      </x:c>
      <x:c r="E279" s="62" t="b">
        <x:v>0</x:v>
      </x:c>
      <x:c r="F279" s="62" t="b">
        <x:v>0</x:v>
      </x:c>
      <x:c r="G279" s="85" t="n">
        <x:v>15994446.93873646</x:v>
      </x:c>
      <x:c r="H279" s="85" t="n">
        <x:v>60557374.51390823</x:v>
      </x:c>
      <x:c r="I279" s="85" t="n">
        <x:v>85802772.02469899</x:v>
      </x:c>
      <x:c r="J279" s="85" t="n">
        <x:v>87000000.00000001</x:v>
      </x:c>
      <x:c r="K279" s="85" t="n">
        <x:v>0</x:v>
      </x:c>
      <x:c r="L279" s="28" t="n">
        <x:v>46</x:v>
      </x:c>
      <x:c r="M279" s="28" t="n">
        <x:v>44</x:v>
      </x:c>
      <x:c r="N279" s="28" t="n">
        <x:v>9.313225746154785e-10</x:v>
      </x:c>
      <x:c r="O279" s="28" t="n">
        <x:v>1.4901161193847656e-8</x:v>
      </x:c>
      <x:c r="P279" s="28" t="n">
        <x:v>0</x:v>
      </x:c>
      <x:c r="Q279" s="62" t="b">
        <x:v>1</x:v>
      </x:c>
      <x:c r="R279" s="28" t="n">
        <x:v>67802.81026428938</x:v>
      </x:c>
      <x:c r="S279" s="28" t="str">
        <x:v>4556800c72416ac5</x:v>
      </x:c>
    </x:row>
    <x:row r="280" ht="21" customHeight="1">
      <x:c r="A280" s="60" t="n">
        <x:v>0.61</x:v>
      </x:c>
      <x:c r="B280" s="28" t="str">
        <x:v>front_flat</x:v>
      </x:c>
      <x:c r="C280" s="60" t="n">
        <x:v>1</x:v>
      </x:c>
      <x:c r="D280" s="60" t="n">
        <x:v>0.9646994850752131</x:v>
      </x:c>
      <x:c r="E280" s="62" t="b">
        <x:v>0</x:v>
      </x:c>
      <x:c r="F280" s="62" t="b">
        <x:v>0</x:v>
      </x:c>
      <x:c r="G280" s="85" t="n">
        <x:v>17783158.050666668</x:v>
      </x:c>
      <x:c r="H280" s="85" t="n">
        <x:v>64616460.48354772</x:v>
      </x:c>
      <x:c r="I280" s="85" t="n">
        <x:v>85865542.0195822</x:v>
      </x:c>
      <x:c r="J280" s="85" t="n">
        <x:v>87000000.00000001</x:v>
      </x:c>
      <x:c r="K280" s="85" t="n">
        <x:v>0</x:v>
      </x:c>
      <x:c r="L280" s="28" t="n">
        <x:v>46</x:v>
      </x:c>
      <x:c r="M280" s="28" t="n">
        <x:v>44</x:v>
      </x:c>
      <x:c r="N280" s="28" t="n">
        <x:v>1.862645149230957e-9</x:v>
      </x:c>
      <x:c r="O280" s="28" t="n">
        <x:v>3.725290298461914e-9</x:v>
      </x:c>
      <x:c r="P280" s="28" t="n">
        <x:v>0</x:v>
      </x:c>
      <x:c r="Q280" s="62" t="b">
        <x:v>1</x:v>
      </x:c>
      <x:c r="R280" s="28" t="n">
        <x:v>10590154.477436066</x:v>
      </x:c>
      <x:c r="S280" s="28" t="str">
        <x:v>99b8b9733d137af3</x:v>
      </x:c>
    </x:row>
    <x:row r="281" ht="21" customHeight="1">
      <x:c r="A281" s="60" t="n">
        <x:v>0.61</x:v>
      </x:c>
      <x:c r="B281" s="28" t="str">
        <x:v>front_low</x:v>
      </x:c>
      <x:c r="C281" s="60" t="n">
        <x:v>0</x:v>
      </x:c>
      <x:c r="D281" s="60" t="n">
        <x:v>0</x:v>
      </x:c>
      <x:c r="E281" s="62" t="b">
        <x:v>1</x:v>
      </x:c>
      <x:c r="F281" s="62" t="b">
        <x:v>1</x:v>
      </x:c>
      <x:c r="G281" s="85" t="n">
        <x:v>0</x:v>
      </x:c>
      <x:c r="H281" s="85" t="n">
        <x:v>0</x:v>
      </x:c>
      <x:c r="I281" s="85" t="n">
        <x:v>0</x:v>
      </x:c>
      <x:c r="J281" s="85" t="n">
        <x:v>0</x:v>
      </x:c>
      <x:c r="K281" s="85" t="n">
        <x:v>26582155.57328764</x:v>
      </x:c>
      <x:c r="L281" s="28" t="n">
        <x:v>0</x:v>
      </x:c>
      <x:c r="M281" s="28" t="n">
        <x:v>0</x:v>
      </x:c>
      <x:c r="N281" s="28" t="n">
        <x:v>4.656612873077393e-10</x:v>
      </x:c>
      <x:c r="O281" s="28" t="n">
        <x:v>0</x:v>
      </x:c>
      <x:c r="P281" s="28" t="n">
        <x:v>0</x:v>
      </x:c>
      <x:c r="Q281" s="62" t="b">
        <x:v>1</x:v>
      </x:c>
      <x:c r="R281" s="28" t="n">
        <x:v>0</x:v>
      </x:c>
      <x:c r="S281" s="28" t="str">
        <x:v>fa2ab93f250b78d5</x:v>
      </x:c>
    </x:row>
    <x:row r="282" ht="21" customHeight="1">
      <x:c r="A282" s="60" t="n">
        <x:v>0.61</x:v>
      </x:c>
      <x:c r="B282" s="28" t="str">
        <x:v>front_low</x:v>
      </x:c>
      <x:c r="C282" s="60" t="n">
        <x:v>0.05</x:v>
      </x:c>
      <x:c r="D282" s="60" t="n">
        <x:v>0.05</x:v>
      </x:c>
      <x:c r="E282" s="62" t="b">
        <x:v>1</x:v>
      </x:c>
      <x:c r="F282" s="62" t="b">
        <x:v>1</x:v>
      </x:c>
      <x:c r="G282" s="85" t="n">
        <x:v>0</x:v>
      </x:c>
      <x:c r="H282" s="85" t="n">
        <x:v>0</x:v>
      </x:c>
      <x:c r="I282" s="85" t="n">
        <x:v>0</x:v>
      </x:c>
      <x:c r="J282" s="85" t="n">
        <x:v>0</x:v>
      </x:c>
      <x:c r="K282" s="85" t="n">
        <x:v>15639309.310492247</x:v>
      </x:c>
      <x:c r="L282" s="28" t="n">
        <x:v>0</x:v>
      </x:c>
      <x:c r="M282" s="28" t="n">
        <x:v>0</x:v>
      </x:c>
      <x:c r="N282" s="28" t="n">
        <x:v>1.862645149230957e-9</x:v>
      </x:c>
      <x:c r="O282" s="28" t="n">
        <x:v>5.960464477539063e-8</x:v>
      </x:c>
      <x:c r="P282" s="28" t="n">
        <x:v>0</x:v>
      </x:c>
      <x:c r="Q282" s="62" t="b">
        <x:v>1</x:v>
      </x:c>
      <x:c r="R282" s="28" t="n">
        <x:v>0</x:v>
      </x:c>
      <x:c r="S282" s="28" t="str">
        <x:v>dff73e06922f7220</x:v>
      </x:c>
    </x:row>
    <x:row r="283" ht="21" customHeight="1">
      <x:c r="A283" s="60" t="n">
        <x:v>0.61</x:v>
      </x:c>
      <x:c r="B283" s="28" t="str">
        <x:v>front_low</x:v>
      </x:c>
      <x:c r="C283" s="60" t="n">
        <x:v>0.1</x:v>
      </x:c>
      <x:c r="D283" s="60" t="n">
        <x:v>0.1</x:v>
      </x:c>
      <x:c r="E283" s="62" t="b">
        <x:v>1</x:v>
      </x:c>
      <x:c r="F283" s="62" t="b">
        <x:v>1</x:v>
      </x:c>
      <x:c r="G283" s="85" t="n">
        <x:v>0</x:v>
      </x:c>
      <x:c r="H283" s="85" t="n">
        <x:v>0</x:v>
      </x:c>
      <x:c r="I283" s="85" t="n">
        <x:v>0</x:v>
      </x:c>
      <x:c r="J283" s="85" t="n">
        <x:v>0</x:v>
      </x:c>
      <x:c r="K283" s="85" t="n">
        <x:v>4624702.6923318375</x:v>
      </x:c>
      <x:c r="L283" s="28" t="n">
        <x:v>0</x:v>
      </x:c>
      <x:c r="M283" s="28" t="n">
        <x:v>0</x:v>
      </x:c>
      <x:c r="N283" s="28" t="n">
        <x:v>3.725290298461914e-9</x:v>
      </x:c>
      <x:c r="O283" s="28" t="n">
        <x:v>5.960464477539063e-8</x:v>
      </x:c>
      <x:c r="P283" s="28" t="n">
        <x:v>0</x:v>
      </x:c>
      <x:c r="Q283" s="62" t="b">
        <x:v>1</x:v>
      </x:c>
      <x:c r="R283" s="28" t="n">
        <x:v>0</x:v>
      </x:c>
      <x:c r="S283" s="28" t="str">
        <x:v>92228d37b7a4db49</x:v>
      </x:c>
    </x:row>
    <x:row r="284" ht="21" customHeight="1">
      <x:c r="A284" s="60" t="n">
        <x:v>0.61</x:v>
      </x:c>
      <x:c r="B284" s="28" t="str">
        <x:v>front_low</x:v>
      </x:c>
      <x:c r="C284" s="60" t="n">
        <x:v>0.15</x:v>
      </x:c>
      <x:c r="D284" s="60" t="n">
        <x:v>0.15</x:v>
      </x:c>
      <x:c r="E284" s="62" t="b">
        <x:v>1</x:v>
      </x:c>
      <x:c r="F284" s="62" t="b">
        <x:v>1</x:v>
      </x:c>
      <x:c r="G284" s="85" t="n">
        <x:v>0</x:v>
      </x:c>
      <x:c r="H284" s="85" t="n">
        <x:v>0</x:v>
      </x:c>
      <x:c r="I284" s="85" t="n">
        <x:v>4498064.042078632</x:v>
      </x:c>
      <x:c r="J284" s="85" t="n">
        <x:v>0</x:v>
      </x:c>
      <x:c r="K284" s="85" t="n">
        <x:v>0</x:v>
      </x:c>
      <x:c r="L284" s="28" t="n">
        <x:v>0</x:v>
      </x:c>
      <x:c r="M284" s="28" t="n">
        <x:v>0</x:v>
      </x:c>
      <x:c r="N284" s="28" t="n">
        <x:v>3.725290298461914e-9</x:v>
      </x:c>
      <x:c r="O284" s="28" t="n">
        <x:v>2.9802322387695312e-8</x:v>
      </x:c>
      <x:c r="P284" s="28" t="n">
        <x:v>0</x:v>
      </x:c>
      <x:c r="Q284" s="62" t="b">
        <x:v>1</x:v>
      </x:c>
      <x:c r="R284" s="28" t="n">
        <x:v>0</x:v>
      </x:c>
      <x:c r="S284" s="28" t="str">
        <x:v>cdf83cc3c75adccb</x:v>
      </x:c>
    </x:row>
    <x:row r="285" ht="21" customHeight="1">
      <x:c r="A285" s="60" t="n">
        <x:v>0.61</x:v>
      </x:c>
      <x:c r="B285" s="28" t="str">
        <x:v>front_low</x:v>
      </x:c>
      <x:c r="C285" s="60" t="n">
        <x:v>0.2</x:v>
      </x:c>
      <x:c r="D285" s="60" t="n">
        <x:v>0.2</x:v>
      </x:c>
      <x:c r="E285" s="62" t="b">
        <x:v>1</x:v>
      </x:c>
      <x:c r="F285" s="62" t="b">
        <x:v>1</x:v>
      </x:c>
      <x:c r="G285" s="85" t="n">
        <x:v>0</x:v>
      </x:c>
      <x:c r="H285" s="85" t="n">
        <x:v>0</x:v>
      </x:c>
      <x:c r="I285" s="85" t="n">
        <x:v>11255137.937664857</x:v>
      </x:c>
      <x:c r="J285" s="85" t="n">
        <x:v>6284479.4973746715</x:v>
      </x:c>
      <x:c r="K285" s="85" t="n">
        <x:v>0</x:v>
      </x:c>
      <x:c r="L285" s="28" t="n">
        <x:v>0</x:v>
      </x:c>
      <x:c r="M285" s="28" t="n">
        <x:v>0</x:v>
      </x:c>
      <x:c r="N285" s="28" t="n">
        <x:v>1.862645149230957e-9</x:v>
      </x:c>
      <x:c r="O285" s="28" t="n">
        <x:v>2.9802322387695312e-8</x:v>
      </x:c>
      <x:c r="P285" s="28" t="n">
        <x:v>0</x:v>
      </x:c>
      <x:c r="Q285" s="62" t="b">
        <x:v>1</x:v>
      </x:c>
      <x:c r="R285" s="28" t="n">
        <x:v>0</x:v>
      </x:c>
      <x:c r="S285" s="28" t="str">
        <x:v>105142269d9715fe</x:v>
      </x:c>
    </x:row>
    <x:row r="286" ht="21" customHeight="1">
      <x:c r="A286" s="60" t="n">
        <x:v>0.61</x:v>
      </x:c>
      <x:c r="B286" s="28" t="str">
        <x:v>front_low</x:v>
      </x:c>
      <x:c r="C286" s="60" t="n">
        <x:v>0.25</x:v>
      </x:c>
      <x:c r="D286" s="60" t="n">
        <x:v>0.25</x:v>
      </x:c>
      <x:c r="E286" s="62" t="b">
        <x:v>1</x:v>
      </x:c>
      <x:c r="F286" s="62" t="b">
        <x:v>1</x:v>
      </x:c>
      <x:c r="G286" s="85" t="n">
        <x:v>0</x:v>
      </x:c>
      <x:c r="H286" s="85" t="n">
        <x:v>0</x:v>
      </x:c>
      <x:c r="I286" s="85" t="n">
        <x:v>15820339.81060841</x:v>
      </x:c>
      <x:c r="J286" s="85" t="n">
        <x:v>15355599.371718263</x:v>
      </x:c>
      <x:c r="K286" s="85" t="n">
        <x:v>0</x:v>
      </x:c>
      <x:c r="L286" s="28" t="n">
        <x:v>0</x:v>
      </x:c>
      <x:c r="M286" s="28" t="n">
        <x:v>0</x:v>
      </x:c>
      <x:c r="N286" s="28" t="n">
        <x:v>1.862645149230957e-9</x:v>
      </x:c>
      <x:c r="O286" s="28" t="n">
        <x:v>1.4901161193847656e-8</x:v>
      </x:c>
      <x:c r="P286" s="28" t="n">
        <x:v>0</x:v>
      </x:c>
      <x:c r="Q286" s="62" t="b">
        <x:v>1</x:v>
      </x:c>
      <x:c r="R286" s="28" t="n">
        <x:v>0</x:v>
      </x:c>
      <x:c r="S286" s="28" t="str">
        <x:v>9b525cfa6b2e8412</x:v>
      </x:c>
    </x:row>
    <x:row r="287" ht="21" customHeight="1">
      <x:c r="A287" s="60" t="n">
        <x:v>0.61</x:v>
      </x:c>
      <x:c r="B287" s="28" t="str">
        <x:v>front_low</x:v>
      </x:c>
      <x:c r="C287" s="60" t="n">
        <x:v>0.3</x:v>
      </x:c>
      <x:c r="D287" s="60" t="n">
        <x:v>0.3</x:v>
      </x:c>
      <x:c r="E287" s="62" t="b">
        <x:v>1</x:v>
      </x:c>
      <x:c r="F287" s="62" t="b">
        <x:v>1</x:v>
      </x:c>
      <x:c r="G287" s="85" t="n">
        <x:v>0</x:v>
      </x:c>
      <x:c r="H287" s="85" t="n">
        <x:v>0</x:v>
      </x:c>
      <x:c r="I287" s="85" t="n">
        <x:v>20385541.683552016</x:v>
      </x:c>
      <x:c r="J287" s="85" t="n">
        <x:v>24426719.246061895</x:v>
      </x:c>
      <x:c r="K287" s="85" t="n">
        <x:v>0</x:v>
      </x:c>
      <x:c r="L287" s="28" t="n">
        <x:v>0</x:v>
      </x:c>
      <x:c r="M287" s="28" t="n">
        <x:v>0</x:v>
      </x:c>
      <x:c r="N287" s="28" t="n">
        <x:v>3.725290298461914e-9</x:v>
      </x:c>
      <x:c r="O287" s="28" t="n">
        <x:v>2.9802322387695312e-8</x:v>
      </x:c>
      <x:c r="P287" s="28" t="n">
        <x:v>0</x:v>
      </x:c>
      <x:c r="Q287" s="62" t="b">
        <x:v>1</x:v>
      </x:c>
      <x:c r="R287" s="28" t="n">
        <x:v>0</x:v>
      </x:c>
      <x:c r="S287" s="28" t="str">
        <x:v>e4cbbcbee93c044b</x:v>
      </x:c>
    </x:row>
    <x:row r="288" ht="21" customHeight="1">
      <x:c r="A288" s="60" t="n">
        <x:v>0.61</x:v>
      </x:c>
      <x:c r="B288" s="28" t="str">
        <x:v>front_low</x:v>
      </x:c>
      <x:c r="C288" s="60" t="n">
        <x:v>0.35</x:v>
      </x:c>
      <x:c r="D288" s="60" t="n">
        <x:v>0.35</x:v>
      </x:c>
      <x:c r="E288" s="62" t="b">
        <x:v>1</x:v>
      </x:c>
      <x:c r="F288" s="62" t="b">
        <x:v>1</x:v>
      </x:c>
      <x:c r="G288" s="85" t="n">
        <x:v>0</x:v>
      </x:c>
      <x:c r="H288" s="85" t="n">
        <x:v>0</x:v>
      </x:c>
      <x:c r="I288" s="85" t="n">
        <x:v>24979395.971308287</x:v>
      </x:c>
      <x:c r="J288" s="85" t="n">
        <x:v>33497839.120405573</x:v>
      </x:c>
      <x:c r="K288" s="85" t="n">
        <x:v>0</x:v>
      </x:c>
      <x:c r="L288" s="28" t="n">
        <x:v>0</x:v>
      </x:c>
      <x:c r="M288" s="28" t="n">
        <x:v>0</x:v>
      </x:c>
      <x:c r="N288" s="28" t="n">
        <x:v>3.725290298461914e-9</x:v>
      </x:c>
      <x:c r="O288" s="28" t="n">
        <x:v>7.450580596923828e-9</x:v>
      </x:c>
      <x:c r="P288" s="28" t="n">
        <x:v>0</x:v>
      </x:c>
      <x:c r="Q288" s="62" t="b">
        <x:v>1</x:v>
      </x:c>
      <x:c r="R288" s="28" t="n">
        <x:v>0</x:v>
      </x:c>
      <x:c r="S288" s="28" t="str">
        <x:v>56948ef45f7ab6c8</x:v>
      </x:c>
    </x:row>
    <x:row r="289" ht="21" customHeight="1">
      <x:c r="A289" s="60" t="n">
        <x:v>0.61</x:v>
      </x:c>
      <x:c r="B289" s="28" t="str">
        <x:v>front_low</x:v>
      </x:c>
      <x:c r="C289" s="60" t="n">
        <x:v>0.4</x:v>
      </x:c>
      <x:c r="D289" s="60" t="n">
        <x:v>0.4</x:v>
      </x:c>
      <x:c r="E289" s="62" t="b">
        <x:v>1</x:v>
      </x:c>
      <x:c r="F289" s="62" t="b">
        <x:v>1</x:v>
      </x:c>
      <x:c r="G289" s="85" t="n">
        <x:v>0</x:v>
      </x:c>
      <x:c r="H289" s="85" t="n">
        <x:v>0</x:v>
      </x:c>
      <x:c r="I289" s="85" t="n">
        <x:v>29564995.93988624</x:v>
      </x:c>
      <x:c r="J289" s="85" t="n">
        <x:v>42568958.994749255</x:v>
      </x:c>
      <x:c r="K289" s="85" t="n">
        <x:v>0</x:v>
      </x:c>
      <x:c r="L289" s="28" t="n">
        <x:v>0</x:v>
      </x:c>
      <x:c r="M289" s="28" t="n">
        <x:v>0</x:v>
      </x:c>
      <x:c r="N289" s="28" t="n">
        <x:v>1.862645149230957e-9</x:v>
      </x:c>
      <x:c r="O289" s="28" t="n">
        <x:v>2.9802322387695312e-8</x:v>
      </x:c>
      <x:c r="P289" s="28" t="n">
        <x:v>0</x:v>
      </x:c>
      <x:c r="Q289" s="62" t="b">
        <x:v>1</x:v>
      </x:c>
      <x:c r="R289" s="28" t="n">
        <x:v>0</x:v>
      </x:c>
      <x:c r="S289" s="28" t="str">
        <x:v>7f2f9d2169dd3708</x:v>
      </x:c>
    </x:row>
    <x:row r="290" ht="21" customHeight="1">
      <x:c r="A290" s="60" t="n">
        <x:v>0.61</x:v>
      </x:c>
      <x:c r="B290" s="28" t="str">
        <x:v>front_low</x:v>
      </x:c>
      <x:c r="C290" s="60" t="n">
        <x:v>0.45</x:v>
      </x:c>
      <x:c r="D290" s="60" t="n">
        <x:v>0.45</x:v>
      </x:c>
      <x:c r="E290" s="62" t="b">
        <x:v>1</x:v>
      </x:c>
      <x:c r="F290" s="62" t="b">
        <x:v>1</x:v>
      </x:c>
      <x:c r="G290" s="85" t="n">
        <x:v>0</x:v>
      </x:c>
      <x:c r="H290" s="85" t="n">
        <x:v>0</x:v>
      </x:c>
      <x:c r="I290" s="85" t="n">
        <x:v>34116826.94358774</x:v>
      </x:c>
      <x:c r="J290" s="85" t="n">
        <x:v>51640078.8690929</x:v>
      </x:c>
      <x:c r="K290" s="85" t="n">
        <x:v>0</x:v>
      </x:c>
      <x:c r="L290" s="28" t="n">
        <x:v>0</x:v>
      </x:c>
      <x:c r="M290" s="28" t="n">
        <x:v>0</x:v>
      </x:c>
      <x:c r="N290" s="28" t="n">
        <x:v>1.862645149230957e-9</x:v>
      </x:c>
      <x:c r="O290" s="28" t="n">
        <x:v>2.9802322387695312e-8</x:v>
      </x:c>
      <x:c r="P290" s="28" t="n">
        <x:v>0</x:v>
      </x:c>
      <x:c r="Q290" s="62" t="b">
        <x:v>1</x:v>
      </x:c>
      <x:c r="R290" s="28" t="n">
        <x:v>0</x:v>
      </x:c>
      <x:c r="S290" s="28" t="str">
        <x:v>3066ad39724955a0</x:v>
      </x:c>
    </x:row>
    <x:row r="291" ht="21" customHeight="1">
      <x:c r="A291" s="60" t="n">
        <x:v>0.61</x:v>
      </x:c>
      <x:c r="B291" s="28" t="str">
        <x:v>front_low</x:v>
      </x:c>
      <x:c r="C291" s="60" t="n">
        <x:v>0.5</x:v>
      </x:c>
      <x:c r="D291" s="60" t="n">
        <x:v>0.5</x:v>
      </x:c>
      <x:c r="E291" s="62" t="b">
        <x:v>1</x:v>
      </x:c>
      <x:c r="F291" s="62" t="b">
        <x:v>1</x:v>
      </x:c>
      <x:c r="G291" s="85" t="n">
        <x:v>0</x:v>
      </x:c>
      <x:c r="H291" s="85" t="n">
        <x:v>0</x:v>
      </x:c>
      <x:c r="I291" s="85" t="n">
        <x:v>38955615.49828105</x:v>
      </x:c>
      <x:c r="J291" s="85" t="n">
        <x:v>60208897.1058728</x:v>
      </x:c>
      <x:c r="K291" s="85" t="n">
        <x:v>0</x:v>
      </x:c>
      <x:c r="L291" s="28" t="n">
        <x:v>1</x:v>
      </x:c>
      <x:c r="M291" s="28" t="n">
        <x:v>0</x:v>
      </x:c>
      <x:c r="N291" s="28" t="n">
        <x:v>1.862645149230957e-9</x:v>
      </x:c>
      <x:c r="O291" s="28" t="n">
        <x:v>2.9802322387695312e-8</x:v>
      </x:c>
      <x:c r="P291" s="28" t="n">
        <x:v>0</x:v>
      </x:c>
      <x:c r="Q291" s="62" t="b">
        <x:v>1</x:v>
      </x:c>
      <x:c r="R291" s="28" t="n">
        <x:v>0</x:v>
      </x:c>
      <x:c r="S291" s="28" t="str">
        <x:v>b36b8e715e07f328</x:v>
      </x:c>
    </x:row>
    <x:row r="292" ht="21" customHeight="1">
      <x:c r="A292" s="60" t="n">
        <x:v>0.61</x:v>
      </x:c>
      <x:c r="B292" s="28" t="str">
        <x:v>front_low</x:v>
      </x:c>
      <x:c r="C292" s="60" t="n">
        <x:v>0.55</x:v>
      </x:c>
      <x:c r="D292" s="60" t="n">
        <x:v>0.55</x:v>
      </x:c>
      <x:c r="E292" s="62" t="b">
        <x:v>1</x:v>
      </x:c>
      <x:c r="F292" s="62" t="b">
        <x:v>1</x:v>
      </x:c>
      <x:c r="G292" s="85" t="n">
        <x:v>0</x:v>
      </x:c>
      <x:c r="H292" s="85" t="n">
        <x:v>0</x:v>
      </x:c>
      <x:c r="I292" s="85" t="n">
        <x:v>46713794.21146314</x:v>
      </x:c>
      <x:c r="J292" s="85" t="n">
        <x:v>63922978.97706016</x:v>
      </x:c>
      <x:c r="K292" s="85" t="n">
        <x:v>0</x:v>
      </x:c>
      <x:c r="L292" s="28" t="n">
        <x:v>12</x:v>
      </x:c>
      <x:c r="M292" s="28" t="n">
        <x:v>0</x:v>
      </x:c>
      <x:c r="N292" s="28" t="n">
        <x:v>1.862645149230957e-9</x:v>
      </x:c>
      <x:c r="O292" s="28" t="n">
        <x:v>2.9802322387695312e-8</x:v>
      </x:c>
      <x:c r="P292" s="28" t="n">
        <x:v>0</x:v>
      </x:c>
      <x:c r="Q292" s="62" t="b">
        <x:v>1</x:v>
      </x:c>
      <x:c r="R292" s="28" t="n">
        <x:v>0</x:v>
      </x:c>
      <x:c r="S292" s="28" t="str">
        <x:v>098cccda947ba3a9</x:v>
      </x:c>
    </x:row>
    <x:row r="293" ht="21" customHeight="1">
      <x:c r="A293" s="60" t="n">
        <x:v>0.61</x:v>
      </x:c>
      <x:c r="B293" s="28" t="str">
        <x:v>front_low</x:v>
      </x:c>
      <x:c r="C293" s="60" t="n">
        <x:v>0.6</x:v>
      </x:c>
      <x:c r="D293" s="60" t="n">
        <x:v>0.6</x:v>
      </x:c>
      <x:c r="E293" s="62" t="b">
        <x:v>1</x:v>
      </x:c>
      <x:c r="F293" s="62" t="b">
        <x:v>1</x:v>
      </x:c>
      <x:c r="G293" s="85" t="n">
        <x:v>0</x:v>
      </x:c>
      <x:c r="H293" s="85" t="n">
        <x:v>0</x:v>
      </x:c>
      <x:c r="I293" s="85" t="n">
        <x:v>52582010.49703603</x:v>
      </x:c>
      <x:c r="J293" s="85" t="n">
        <x:v>70544118.24388927</x:v>
      </x:c>
      <x:c r="K293" s="85" t="n">
        <x:v>0</x:v>
      </x:c>
      <x:c r="L293" s="28" t="n">
        <x:v>17</x:v>
      </x:c>
      <x:c r="M293" s="28" t="n">
        <x:v>0</x:v>
      </x:c>
      <x:c r="N293" s="28" t="n">
        <x:v>9.313225746154785e-10</x:v>
      </x:c>
      <x:c r="O293" s="28" t="n">
        <x:v>2.9802322387695312e-8</x:v>
      </x:c>
      <x:c r="P293" s="28" t="n">
        <x:v>0</x:v>
      </x:c>
      <x:c r="Q293" s="62" t="b">
        <x:v>1</x:v>
      </x:c>
      <x:c r="R293" s="28" t="n">
        <x:v>0</x:v>
      </x:c>
      <x:c r="S293" s="28" t="str">
        <x:v>58a421be4c14bbfe</x:v>
      </x:c>
    </x:row>
    <x:row r="294" ht="21" customHeight="1">
      <x:c r="A294" s="60" t="n">
        <x:v>0.61</x:v>
      </x:c>
      <x:c r="B294" s="28" t="str">
        <x:v>front_low</x:v>
      </x:c>
      <x:c r="C294" s="60" t="n">
        <x:v>0.65</x:v>
      </x:c>
      <x:c r="D294" s="60" t="n">
        <x:v>0.65</x:v>
      </x:c>
      <x:c r="E294" s="62" t="b">
        <x:v>1</x:v>
      </x:c>
      <x:c r="F294" s="62" t="b">
        <x:v>1</x:v>
      </x:c>
      <x:c r="G294" s="85" t="n">
        <x:v>0</x:v>
      </x:c>
      <x:c r="H294" s="85" t="n">
        <x:v>0</x:v>
      </x:c>
      <x:c r="I294" s="85" t="n">
        <x:v>57003743.16401857</x:v>
      </x:c>
      <x:c r="J294" s="85" t="n">
        <x:v>79510951.73104934</x:v>
      </x:c>
      <x:c r="K294" s="85" t="n">
        <x:v>0</x:v>
      </x:c>
      <x:c r="L294" s="28" t="n">
        <x:v>21</x:v>
      </x:c>
      <x:c r="M294" s="28" t="n">
        <x:v>0</x:v>
      </x:c>
      <x:c r="N294" s="28" t="n">
        <x:v>9.313225746154785e-10</x:v>
      </x:c>
      <x:c r="O294" s="28" t="n">
        <x:v>2.9802322387695312e-8</x:v>
      </x:c>
      <x:c r="P294" s="28" t="n">
        <x:v>0</x:v>
      </x:c>
      <x:c r="Q294" s="62" t="b">
        <x:v>1</x:v>
      </x:c>
      <x:c r="R294" s="28" t="n">
        <x:v>0</x:v>
      </x:c>
      <x:c r="S294" s="28" t="str">
        <x:v>cbd615e0eddcec78</x:v>
      </x:c>
    </x:row>
    <x:row r="295" ht="21" customHeight="1">
      <x:c r="A295" s="60" t="n">
        <x:v>0.61</x:v>
      </x:c>
      <x:c r="B295" s="28" t="str">
        <x:v>front_low</x:v>
      </x:c>
      <x:c r="C295" s="60" t="n">
        <x:v>0.7</x:v>
      </x:c>
      <x:c r="D295" s="60" t="n">
        <x:v>0.7</x:v>
      </x:c>
      <x:c r="E295" s="62" t="b">
        <x:v>1</x:v>
      </x:c>
      <x:c r="F295" s="62" t="b">
        <x:v>0</x:v>
      </x:c>
      <x:c r="G295" s="85" t="n">
        <x:v>204093.25363912113</x:v>
      </x:c>
      <x:c r="H295" s="85" t="n">
        <x:v>3060207.818316769</x:v>
      </x:c>
      <x:c r="I295" s="85" t="n">
        <x:v>59482683.01861439</x:v>
      </x:c>
      <x:c r="J295" s="85" t="n">
        <x:v>87000000.00000001</x:v>
      </x:c>
      <x:c r="K295" s="85" t="n">
        <x:v>0</x:v>
      </x:c>
      <x:c r="L295" s="28" t="n">
        <x:v>45</x:v>
      </x:c>
      <x:c r="M295" s="28" t="n">
        <x:v>24</x:v>
      </x:c>
      <x:c r="N295" s="28" t="n">
        <x:v>1.862645149230957e-9</x:v>
      </x:c>
      <x:c r="O295" s="28" t="n">
        <x:v>2.9802322387695312e-8</x:v>
      </x:c>
      <x:c r="P295" s="28" t="n">
        <x:v>0</x:v>
      </x:c>
      <x:c r="Q295" s="62" t="b">
        <x:v>1</x:v>
      </x:c>
      <x:c r="R295" s="28" t="n">
        <x:v>0</x:v>
      </x:c>
      <x:c r="S295" s="28" t="str">
        <x:v>53ce7e2c780cddb7</x:v>
      </x:c>
    </x:row>
    <x:row r="296" ht="21" customHeight="1">
      <x:c r="A296" s="60" t="n">
        <x:v>0.61</x:v>
      </x:c>
      <x:c r="B296" s="28" t="str">
        <x:v>front_low</x:v>
      </x:c>
      <x:c r="C296" s="60" t="n">
        <x:v>0.75</x:v>
      </x:c>
      <x:c r="D296" s="60" t="n">
        <x:v>0.75</x:v>
      </x:c>
      <x:c r="E296" s="62" t="b">
        <x:v>1</x:v>
      </x:c>
      <x:c r="F296" s="62" t="b">
        <x:v>0</x:v>
      </x:c>
      <x:c r="G296" s="85" t="n">
        <x:v>944007.1558579112</x:v>
      </x:c>
      <x:c r="H296" s="85" t="n">
        <x:v>14224338.68881703</x:v>
      </x:c>
      <x:c r="I296" s="85" t="n">
        <x:v>59552891.20125514</x:v>
      </x:c>
      <x:c r="J296" s="85" t="n">
        <x:v>87000000.00000001</x:v>
      </x:c>
      <x:c r="K296" s="85" t="n">
        <x:v>0</x:v>
      </x:c>
      <x:c r="L296" s="28" t="n">
        <x:v>45</x:v>
      </x:c>
      <x:c r="M296" s="28" t="n">
        <x:v>31</x:v>
      </x:c>
      <x:c r="N296" s="28" t="n">
        <x:v>1.862645149230957e-9</x:v>
      </x:c>
      <x:c r="O296" s="28" t="n">
        <x:v>2.9802322387695312e-8</x:v>
      </x:c>
      <x:c r="P296" s="28" t="n">
        <x:v>0</x:v>
      </x:c>
      <x:c r="Q296" s="62" t="b">
        <x:v>1</x:v>
      </x:c>
      <x:c r="R296" s="28" t="n">
        <x:v>0</x:v>
      </x:c>
      <x:c r="S296" s="28" t="str">
        <x:v>41c9beaa80f00d88</x:v>
      </x:c>
    </x:row>
    <x:row r="297" ht="21" customHeight="1">
      <x:c r="A297" s="60" t="n">
        <x:v>0.61</x:v>
      </x:c>
      <x:c r="B297" s="28" t="str">
        <x:v>front_low</x:v>
      </x:c>
      <x:c r="C297" s="60" t="n">
        <x:v>0.8</x:v>
      </x:c>
      <x:c r="D297" s="60" t="n">
        <x:v>0.8</x:v>
      </x:c>
      <x:c r="E297" s="62" t="b">
        <x:v>1</x:v>
      </x:c>
      <x:c r="F297" s="62" t="b">
        <x:v>0</x:v>
      </x:c>
      <x:c r="G297" s="85" t="n">
        <x:v>1914582.5450341678</x:v>
      </x:c>
      <x:c r="H297" s="85" t="n">
        <x:v>25200696.251755696</x:v>
      </x:c>
      <x:c r="I297" s="85" t="n">
        <x:v>59623099.3838959</x:v>
      </x:c>
      <x:c r="J297" s="85" t="n">
        <x:v>87000000.00000001</x:v>
      </x:c>
      <x:c r="K297" s="85" t="n">
        <x:v>0</x:v>
      </x:c>
      <x:c r="L297" s="28" t="n">
        <x:v>45</x:v>
      </x:c>
      <x:c r="M297" s="28" t="n">
        <x:v>34</x:v>
      </x:c>
      <x:c r="N297" s="28" t="n">
        <x:v>1.862645149230957e-9</x:v>
      </x:c>
      <x:c r="O297" s="28" t="n">
        <x:v>1.4901161193847656e-8</x:v>
      </x:c>
      <x:c r="P297" s="28" t="n">
        <x:v>0</x:v>
      </x:c>
      <x:c r="Q297" s="62" t="b">
        <x:v>1</x:v>
      </x:c>
      <x:c r="R297" s="28" t="n">
        <x:v>0</x:v>
      </x:c>
      <x:c r="S297" s="28" t="str">
        <x:v>7a9f0f64a28a99f9</x:v>
      </x:c>
    </x:row>
    <x:row r="298" ht="21" customHeight="1">
      <x:c r="A298" s="60" t="n">
        <x:v>0.61</x:v>
      </x:c>
      <x:c r="B298" s="28" t="str">
        <x:v>front_low</x:v>
      </x:c>
      <x:c r="C298" s="60" t="n">
        <x:v>0.85</x:v>
      </x:c>
      <x:c r="D298" s="60" t="n">
        <x:v>0.85</x:v>
      </x:c>
      <x:c r="E298" s="62" t="b">
        <x:v>1</x:v>
      </x:c>
      <x:c r="F298" s="62" t="b">
        <x:v>0</x:v>
      </x:c>
      <x:c r="G298" s="85" t="n">
        <x:v>2712826.3965742686</x:v>
      </x:c>
      <x:c r="H298" s="85" t="n">
        <x:v>35153011.320733905</x:v>
      </x:c>
      <x:c r="I298" s="85" t="n">
        <x:v>60483524.61405583</x:v>
      </x:c>
      <x:c r="J298" s="85" t="n">
        <x:v>87000000.00000001</x:v>
      </x:c>
      <x:c r="K298" s="85" t="n">
        <x:v>0</x:v>
      </x:c>
      <x:c r="L298" s="28" t="n">
        <x:v>46</x:v>
      </x:c>
      <x:c r="M298" s="28" t="n">
        <x:v>34</x:v>
      </x:c>
      <x:c r="N298" s="28" t="n">
        <x:v>9.313225746154785e-10</x:v>
      </x:c>
      <x:c r="O298" s="28" t="n">
        <x:v>1.862645149230957e-9</x:v>
      </x:c>
      <x:c r="P298" s="28" t="n">
        <x:v>0</x:v>
      </x:c>
      <x:c r="Q298" s="62" t="b">
        <x:v>1</x:v>
      </x:c>
      <x:c r="R298" s="28" t="n">
        <x:v>0</x:v>
      </x:c>
      <x:c r="S298" s="28" t="str">
        <x:v>3f6cb46a9f0b4f54</x:v>
      </x:c>
    </x:row>
    <x:row r="299" ht="21" customHeight="1">
      <x:c r="A299" s="60" t="n">
        <x:v>0.61</x:v>
      </x:c>
      <x:c r="B299" s="28" t="str">
        <x:v>front_low</x:v>
      </x:c>
      <x:c r="C299" s="60" t="n">
        <x:v>0.9</x:v>
      </x:c>
      <x:c r="D299" s="60" t="n">
        <x:v>0.9</x:v>
      </x:c>
      <x:c r="E299" s="62" t="b">
        <x:v>1</x:v>
      </x:c>
      <x:c r="F299" s="62" t="b">
        <x:v>0</x:v>
      </x:c>
      <x:c r="G299" s="85" t="n">
        <x:v>3858200.669301962</x:v>
      </x:c>
      <x:c r="H299" s="85" t="n">
        <x:v>45800684.800707124</x:v>
      </x:c>
      <x:c r="I299" s="85" t="n">
        <x:v>60519576.217541784</x:v>
      </x:c>
      <x:c r="J299" s="85" t="n">
        <x:v>87000000.00000001</x:v>
      </x:c>
      <x:c r="K299" s="85" t="n">
        <x:v>0</x:v>
      </x:c>
      <x:c r="L299" s="28" t="n">
        <x:v>46</x:v>
      </x:c>
      <x:c r="M299" s="28" t="n">
        <x:v>36</x:v>
      </x:c>
      <x:c r="N299" s="28" t="n">
        <x:v>9.313225746154785e-10</x:v>
      </x:c>
      <x:c r="O299" s="28" t="n">
        <x:v>1.4901161193847656e-8</x:v>
      </x:c>
      <x:c r="P299" s="28" t="n">
        <x:v>0</x:v>
      </x:c>
      <x:c r="Q299" s="62" t="b">
        <x:v>1</x:v>
      </x:c>
      <x:c r="R299" s="28" t="n">
        <x:v>0</x:v>
      </x:c>
      <x:c r="S299" s="28" t="str">
        <x:v>c8a637a7268ba9b4</x:v>
      </x:c>
    </x:row>
    <x:row r="300" ht="21" customHeight="1">
      <x:c r="A300" s="60" t="n">
        <x:v>0.61</x:v>
      </x:c>
      <x:c r="B300" s="28" t="str">
        <x:v>front_low</x:v>
      </x:c>
      <x:c r="C300" s="60" t="n">
        <x:v>0.95</x:v>
      </x:c>
      <x:c r="D300" s="60" t="n">
        <x:v>0.9497739906324524</x:v>
      </x:c>
      <x:c r="E300" s="62" t="b">
        <x:v>0</x:v>
      </x:c>
      <x:c r="F300" s="62" t="b">
        <x:v>0</x:v>
      </x:c>
      <x:c r="G300" s="85" t="n">
        <x:v>6248752.980458306</x:v>
      </x:c>
      <x:c r="H300" s="85" t="n">
        <x:v>54788605.00774176</x:v>
      </x:c>
      <x:c r="I300" s="85" t="n">
        <x:v>60555627.82102775</x:v>
      </x:c>
      <x:c r="J300" s="85" t="n">
        <x:v>87000000.00000001</x:v>
      </x:c>
      <x:c r="K300" s="85" t="n">
        <x:v>0</x:v>
      </x:c>
      <x:c r="L300" s="28" t="n">
        <x:v>46</x:v>
      </x:c>
      <x:c r="M300" s="28" t="n">
        <x:v>38</x:v>
      </x:c>
      <x:c r="N300" s="28" t="n">
        <x:v>1.862645149230957e-9</x:v>
      </x:c>
      <x:c r="O300" s="28" t="n">
        <x:v>1.4901161193847656e-8</x:v>
      </x:c>
      <x:c r="P300" s="28" t="n">
        <x:v>0</x:v>
      </x:c>
      <x:c r="Q300" s="62" t="b">
        <x:v>1</x:v>
      </x:c>
      <x:c r="R300" s="28" t="n">
        <x:v>67802.81026428938</x:v>
      </x:c>
      <x:c r="S300" s="28" t="str">
        <x:v>3983506a60a24412</x:v>
      </x:c>
    </x:row>
    <x:row r="301" ht="21" customHeight="1">
      <x:c r="A301" s="60" t="n">
        <x:v>0.61</x:v>
      </x:c>
      <x:c r="B301" s="28" t="str">
        <x:v>front_low</x:v>
      </x:c>
      <x:c r="C301" s="60" t="n">
        <x:v>1</x:v>
      </x:c>
      <x:c r="D301" s="60" t="n">
        <x:v>0.9646994850752131</x:v>
      </x:c>
      <x:c r="E301" s="62" t="b">
        <x:v>0</x:v>
      </x:c>
      <x:c r="F301" s="62" t="b">
        <x:v>0</x:v>
      </x:c>
      <x:c r="G301" s="85" t="n">
        <x:v>6930468.399853797</x:v>
      </x:c>
      <x:c r="H301" s="85" t="n">
        <x:v>58317102.749075234</x:v>
      </x:c>
      <x:c r="I301" s="85" t="n">
        <x:v>60591679.424513705</x:v>
      </x:c>
      <x:c r="J301" s="85" t="n">
        <x:v>87000000.00000001</x:v>
      </x:c>
      <x:c r="K301" s="85" t="n">
        <x:v>0</x:v>
      </x:c>
      <x:c r="L301" s="28" t="n">
        <x:v>46</x:v>
      </x:c>
      <x:c r="M301" s="28" t="n">
        <x:v>40</x:v>
      </x:c>
      <x:c r="N301" s="28" t="n">
        <x:v>9.313225746154785e-10</x:v>
      </x:c>
      <x:c r="O301" s="28" t="n">
        <x:v>3.725290298461914e-9</x:v>
      </x:c>
      <x:c r="P301" s="28" t="n">
        <x:v>0</x:v>
      </x:c>
      <x:c r="Q301" s="62" t="b">
        <x:v>1</x:v>
      </x:c>
      <x:c r="R301" s="28" t="n">
        <x:v>10590154.477436066</x:v>
      </x:c>
      <x:c r="S301" s="28" t="str">
        <x:v>57f28db1079d7290</x:v>
      </x:c>
    </x:row>
    <x:row r="302" ht="21" customHeight="1">
      <x:c r="A302" s="60" t="n">
        <x:v>0.61</x:v>
      </x:c>
      <x:c r="B302" s="28" t="str">
        <x:v>front_high</x:v>
      </x:c>
      <x:c r="C302" s="60" t="n">
        <x:v>0</x:v>
      </x:c>
      <x:c r="D302" s="60" t="n">
        <x:v>0</x:v>
      </x:c>
      <x:c r="E302" s="62" t="b">
        <x:v>1</x:v>
      </x:c>
      <x:c r="F302" s="62" t="b">
        <x:v>1</x:v>
      </x:c>
      <x:c r="G302" s="85" t="n">
        <x:v>0</x:v>
      </x:c>
      <x:c r="H302" s="85" t="n">
        <x:v>0</x:v>
      </x:c>
      <x:c r="I302" s="85" t="n">
        <x:v>0</x:v>
      </x:c>
      <x:c r="J302" s="85" t="n">
        <x:v>0</x:v>
      </x:c>
      <x:c r="K302" s="85" t="n">
        <x:v>35392694.84726021</x:v>
      </x:c>
      <x:c r="L302" s="28" t="n">
        <x:v>0</x:v>
      </x:c>
      <x:c r="M302" s="28" t="n">
        <x:v>0</x:v>
      </x:c>
      <x:c r="N302" s="28" t="n">
        <x:v>1.862645149230957e-9</x:v>
      </x:c>
      <x:c r="O302" s="28" t="n">
        <x:v>0</x:v>
      </x:c>
      <x:c r="P302" s="28" t="n">
        <x:v>0</x:v>
      </x:c>
      <x:c r="Q302" s="62" t="b">
        <x:v>1</x:v>
      </x:c>
      <x:c r="R302" s="28" t="n">
        <x:v>0</x:v>
      </x:c>
      <x:c r="S302" s="28" t="str">
        <x:v>9858cd529ad446f8</x:v>
      </x:c>
    </x:row>
    <x:row r="303" ht="21" customHeight="1">
      <x:c r="A303" s="60" t="n">
        <x:v>0.61</x:v>
      </x:c>
      <x:c r="B303" s="28" t="str">
        <x:v>front_high</x:v>
      </x:c>
      <x:c r="C303" s="60" t="n">
        <x:v>0.05</x:v>
      </x:c>
      <x:c r="D303" s="60" t="n">
        <x:v>0.05</x:v>
      </x:c>
      <x:c r="E303" s="62" t="b">
        <x:v>1</x:v>
      </x:c>
      <x:c r="F303" s="62" t="b">
        <x:v>1</x:v>
      </x:c>
      <x:c r="G303" s="85" t="n">
        <x:v>0</x:v>
      </x:c>
      <x:c r="H303" s="85" t="n">
        <x:v>0</x:v>
      </x:c>
      <x:c r="I303" s="85" t="n">
        <x:v>0</x:v>
      </x:c>
      <x:c r="J303" s="85" t="n">
        <x:v>0</x:v>
      </x:c>
      <x:c r="K303" s="85" t="n">
        <x:v>21509123.523269255</x:v>
      </x:c>
      <x:c r="L303" s="28" t="n">
        <x:v>0</x:v>
      </x:c>
      <x:c r="M303" s="28" t="n">
        <x:v>0</x:v>
      </x:c>
      <x:c r="N303" s="28" t="n">
        <x:v>3.725290298461914e-9</x:v>
      </x:c>
      <x:c r="O303" s="28" t="n">
        <x:v>5.960464477539063e-8</x:v>
      </x:c>
      <x:c r="P303" s="28" t="n">
        <x:v>0</x:v>
      </x:c>
      <x:c r="Q303" s="62" t="b">
        <x:v>1</x:v>
      </x:c>
      <x:c r="R303" s="28" t="n">
        <x:v>0</x:v>
      </x:c>
      <x:c r="S303" s="28" t="str">
        <x:v>2d3f13b4884efa38</x:v>
      </x:c>
    </x:row>
    <x:row r="304" ht="21" customHeight="1">
      <x:c r="A304" s="60" t="n">
        <x:v>0.61</x:v>
      </x:c>
      <x:c r="B304" s="28" t="str">
        <x:v>front_high</x:v>
      </x:c>
      <x:c r="C304" s="60" t="n">
        <x:v>0.1</x:v>
      </x:c>
      <x:c r="D304" s="60" t="n">
        <x:v>0.1</x:v>
      </x:c>
      <x:c r="E304" s="62" t="b">
        <x:v>1</x:v>
      </x:c>
      <x:c r="F304" s="62" t="b">
        <x:v>1</x:v>
      </x:c>
      <x:c r="G304" s="85" t="n">
        <x:v>0</x:v>
      </x:c>
      <x:c r="H304" s="85" t="n">
        <x:v>0</x:v>
      </x:c>
      <x:c r="I304" s="85" t="n">
        <x:v>0</x:v>
      </x:c>
      <x:c r="J304" s="85" t="n">
        <x:v>0</x:v>
      </x:c>
      <x:c r="K304" s="85" t="n">
        <x:v>7476541.170502836</x:v>
      </x:c>
      <x:c r="L304" s="28" t="n">
        <x:v>0</x:v>
      </x:c>
      <x:c r="M304" s="28" t="n">
        <x:v>0</x:v>
      </x:c>
      <x:c r="N304" s="28" t="n">
        <x:v>3.725290298461914e-9</x:v>
      </x:c>
      <x:c r="O304" s="28" t="n">
        <x:v>5.960464477539063e-8</x:v>
      </x:c>
      <x:c r="P304" s="28" t="n">
        <x:v>0</x:v>
      </x:c>
      <x:c r="Q304" s="62" t="b">
        <x:v>1</x:v>
      </x:c>
      <x:c r="R304" s="28" t="n">
        <x:v>0</x:v>
      </x:c>
      <x:c r="S304" s="28" t="str">
        <x:v>448e3963ed5e5cea</x:v>
      </x:c>
    </x:row>
    <x:row r="305" ht="21" customHeight="1">
      <x:c r="A305" s="60" t="n">
        <x:v>0.61</x:v>
      </x:c>
      <x:c r="B305" s="28" t="str">
        <x:v>front_high</x:v>
      </x:c>
      <x:c r="C305" s="60" t="n">
        <x:v>0.15</x:v>
      </x:c>
      <x:c r="D305" s="60" t="n">
        <x:v>0.15</x:v>
      </x:c>
      <x:c r="E305" s="62" t="b">
        <x:v>1</x:v>
      </x:c>
      <x:c r="F305" s="62" t="b">
        <x:v>1</x:v>
      </x:c>
      <x:c r="G305" s="85" t="n">
        <x:v>0</x:v>
      </x:c>
      <x:c r="H305" s="85" t="n">
        <x:v>0</x:v>
      </x:c>
      <x:c r="I305" s="85" t="n">
        <x:v>5574800.321485215</x:v>
      </x:c>
      <x:c r="J305" s="85" t="n">
        <x:v>0</x:v>
      </x:c>
      <x:c r="K305" s="85" t="n">
        <x:v>398742.97459554195</x:v>
      </x:c>
      <x:c r="L305" s="28" t="n">
        <x:v>0</x:v>
      </x:c>
      <x:c r="M305" s="28" t="n">
        <x:v>0</x:v>
      </x:c>
      <x:c r="N305" s="28" t="n">
        <x:v>3.725290298461914e-9</x:v>
      </x:c>
      <x:c r="O305" s="28" t="n">
        <x:v>2.9802322387695312e-8</x:v>
      </x:c>
      <x:c r="P305" s="28" t="n">
        <x:v>0</x:v>
      </x:c>
      <x:c r="Q305" s="62" t="b">
        <x:v>1</x:v>
      </x:c>
      <x:c r="R305" s="28" t="n">
        <x:v>0</x:v>
      </x:c>
      <x:c r="S305" s="28" t="str">
        <x:v>71b373191066e693</x:v>
      </x:c>
    </x:row>
    <x:row r="306" ht="21" customHeight="1">
      <x:c r="A306" s="60" t="n">
        <x:v>0.61</x:v>
      </x:c>
      <x:c r="B306" s="28" t="str">
        <x:v>front_high</x:v>
      </x:c>
      <x:c r="C306" s="60" t="n">
        <x:v>0.2</x:v>
      </x:c>
      <x:c r="D306" s="60" t="n">
        <x:v>0.2</x:v>
      </x:c>
      <x:c r="E306" s="62" t="b">
        <x:v>1</x:v>
      </x:c>
      <x:c r="F306" s="62" t="b">
        <x:v>1</x:v>
      </x:c>
      <x:c r="G306" s="85" t="n">
        <x:v>0</x:v>
      </x:c>
      <x:c r="H306" s="85" t="n">
        <x:v>0</x:v>
      </x:c>
      <x:c r="I306" s="85" t="n">
        <x:v>16887550.206112884</x:v>
      </x:c>
      <x:c r="J306" s="85" t="n">
        <x:v>6284479.4973746715</x:v>
      </x:c>
      <x:c r="K306" s="85" t="n">
        <x:v>285124.84485068684</x:v>
      </x:c>
      <x:c r="L306" s="28" t="n">
        <x:v>0</x:v>
      </x:c>
      <x:c r="M306" s="28" t="n">
        <x:v>0</x:v>
      </x:c>
      <x:c r="N306" s="28" t="n">
        <x:v>1.862645149230957e-9</x:v>
      </x:c>
      <x:c r="O306" s="28" t="n">
        <x:v>2.9802322387695312e-8</x:v>
      </x:c>
      <x:c r="P306" s="28" t="n">
        <x:v>0</x:v>
      </x:c>
      <x:c r="Q306" s="62" t="b">
        <x:v>1</x:v>
      </x:c>
      <x:c r="R306" s="28" t="n">
        <x:v>0</x:v>
      </x:c>
      <x:c r="S306" s="28" t="str">
        <x:v>4a42cc3c9c5df53f</x:v>
      </x:c>
    </x:row>
    <x:row r="307" ht="21" customHeight="1">
      <x:c r="A307" s="60" t="n">
        <x:v>0.61</x:v>
      </x:c>
      <x:c r="B307" s="28" t="str">
        <x:v>front_high</x:v>
      </x:c>
      <x:c r="C307" s="60" t="n">
        <x:v>0.25</x:v>
      </x:c>
      <x:c r="D307" s="60" t="n">
        <x:v>0.25</x:v>
      </x:c>
      <x:c r="E307" s="62" t="b">
        <x:v>1</x:v>
      </x:c>
      <x:c r="F307" s="62" t="b">
        <x:v>1</x:v>
      </x:c>
      <x:c r="G307" s="85" t="n">
        <x:v>0</x:v>
      </x:c>
      <x:c r="H307" s="85" t="n">
        <x:v>0</x:v>
      </x:c>
      <x:c r="I307" s="85" t="n">
        <x:v>26779668.06477797</x:v>
      </x:c>
      <x:c r="J307" s="85" t="n">
        <x:v>15355599.371718263</x:v>
      </x:c>
      <x:c r="K307" s="85" t="n">
        <x:v>190823.8468167716</x:v>
      </x:c>
      <x:c r="L307" s="28" t="n">
        <x:v>0</x:v>
      </x:c>
      <x:c r="M307" s="28" t="n">
        <x:v>0</x:v>
      </x:c>
      <x:c r="N307" s="28" t="n">
        <x:v>3.725290298461914e-9</x:v>
      </x:c>
      <x:c r="O307" s="28" t="n">
        <x:v>1.4901161193847656e-8</x:v>
      </x:c>
      <x:c r="P307" s="28" t="n">
        <x:v>0</x:v>
      </x:c>
      <x:c r="Q307" s="62" t="b">
        <x:v>1</x:v>
      </x:c>
      <x:c r="R307" s="28" t="n">
        <x:v>0</x:v>
      </x:c>
      <x:c r="S307" s="28" t="str">
        <x:v>6106b4418d6be82d</x:v>
      </x:c>
    </x:row>
    <x:row r="308" ht="21" customHeight="1">
      <x:c r="A308" s="60" t="n">
        <x:v>0.61</x:v>
      </x:c>
      <x:c r="B308" s="28" t="str">
        <x:v>front_high</x:v>
      </x:c>
      <x:c r="C308" s="60" t="n">
        <x:v>0.3</x:v>
      </x:c>
      <x:c r="D308" s="60" t="n">
        <x:v>0.3</x:v>
      </x:c>
      <x:c r="E308" s="62" t="b">
        <x:v>1</x:v>
      </x:c>
      <x:c r="F308" s="62" t="b">
        <x:v>1</x:v>
      </x:c>
      <x:c r="G308" s="85" t="n">
        <x:v>0</x:v>
      </x:c>
      <x:c r="H308" s="85" t="n">
        <x:v>0</x:v>
      </x:c>
      <x:c r="I308" s="85" t="n">
        <x:v>36688896.95567881</x:v>
      </x:c>
      <x:c r="J308" s="85" t="n">
        <x:v>24426719.246061895</x:v>
      </x:c>
      <x:c r="K308" s="85" t="n">
        <x:v>96522.84878287502</x:v>
      </x:c>
      <x:c r="L308" s="28" t="n">
        <x:v>0</x:v>
      </x:c>
      <x:c r="M308" s="28" t="n">
        <x:v>0</x:v>
      </x:c>
      <x:c r="N308" s="28" t="n">
        <x:v>3.725290298461914e-9</x:v>
      </x:c>
      <x:c r="O308" s="28" t="n">
        <x:v>2.9802322387695312e-8</x:v>
      </x:c>
      <x:c r="P308" s="28" t="n">
        <x:v>0</x:v>
      </x:c>
      <x:c r="Q308" s="62" t="b">
        <x:v>1</x:v>
      </x:c>
      <x:c r="R308" s="28" t="n">
        <x:v>0</x:v>
      </x:c>
      <x:c r="S308" s="28" t="str">
        <x:v>a63948acecf6ae76</x:v>
      </x:c>
    </x:row>
    <x:row r="309" ht="21" customHeight="1">
      <x:c r="A309" s="60" t="n">
        <x:v>0.61</x:v>
      </x:c>
      <x:c r="B309" s="28" t="str">
        <x:v>front_high</x:v>
      </x:c>
      <x:c r="C309" s="60" t="n">
        <x:v>0.35</x:v>
      </x:c>
      <x:c r="D309" s="60" t="n">
        <x:v>0.35</x:v>
      </x:c>
      <x:c r="E309" s="62" t="b">
        <x:v>1</x:v>
      </x:c>
      <x:c r="F309" s="62" t="b">
        <x:v>1</x:v>
      </x:c>
      <x:c r="G309" s="85" t="n">
        <x:v>0</x:v>
      </x:c>
      <x:c r="H309" s="85" t="n">
        <x:v>0</x:v>
      </x:c>
      <x:c r="I309" s="85" t="n">
        <x:v>46598125.84657962</x:v>
      </x:c>
      <x:c r="J309" s="85" t="n">
        <x:v>33497839.120405573</x:v>
      </x:c>
      <x:c r="K309" s="85" t="n">
        <x:v>52013.398592459765</x:v>
      </x:c>
      <x:c r="L309" s="28" t="n">
        <x:v>0</x:v>
      </x:c>
      <x:c r="M309" s="28" t="n">
        <x:v>0</x:v>
      </x:c>
      <x:c r="N309" s="28" t="n">
        <x:v>3.725290298461914e-9</x:v>
      </x:c>
      <x:c r="O309" s="28" t="n">
        <x:v>7.450580596923828e-9</x:v>
      </x:c>
      <x:c r="P309" s="28" t="n">
        <x:v>0</x:v>
      </x:c>
      <x:c r="Q309" s="62" t="b">
        <x:v>1</x:v>
      </x:c>
      <x:c r="R309" s="28" t="n">
        <x:v>0</x:v>
      </x:c>
      <x:c r="S309" s="28" t="str">
        <x:v>fb32e0d0cbd48cdb</x:v>
      </x:c>
    </x:row>
    <x:row r="310" ht="21" customHeight="1">
      <x:c r="A310" s="60" t="n">
        <x:v>0.61</x:v>
      </x:c>
      <x:c r="B310" s="28" t="str">
        <x:v>front_high</x:v>
      </x:c>
      <x:c r="C310" s="60" t="n">
        <x:v>0.4</x:v>
      </x:c>
      <x:c r="D310" s="60" t="n">
        <x:v>0.4</x:v>
      </x:c>
      <x:c r="E310" s="62" t="b">
        <x:v>1</x:v>
      </x:c>
      <x:c r="F310" s="62" t="b">
        <x:v>1</x:v>
      </x:c>
      <x:c r="G310" s="85" t="n">
        <x:v>0</x:v>
      </x:c>
      <x:c r="H310" s="85" t="n">
        <x:v>0</x:v>
      </x:c>
      <x:c r="I310" s="85" t="n">
        <x:v>56496543.35299593</x:v>
      </x:c>
      <x:c r="J310" s="85" t="n">
        <x:v>42568958.994749255</x:v>
      </x:c>
      <x:c r="K310" s="85" t="n">
        <x:v>20579.277452052367</x:v>
      </x:c>
      <x:c r="L310" s="28" t="n">
        <x:v>0</x:v>
      </x:c>
      <x:c r="M310" s="28" t="n">
        <x:v>0</x:v>
      </x:c>
      <x:c r="N310" s="28" t="n">
        <x:v>3.725290298461914e-9</x:v>
      </x:c>
      <x:c r="O310" s="28" t="n">
        <x:v>2.9802322387695312e-8</x:v>
      </x:c>
      <x:c r="P310" s="28" t="n">
        <x:v>0</x:v>
      </x:c>
      <x:c r="Q310" s="62" t="b">
        <x:v>1</x:v>
      </x:c>
      <x:c r="R310" s="28" t="n">
        <x:v>0</x:v>
      </x:c>
      <x:c r="S310" s="28" t="str">
        <x:v>7f25cc89d4ae423f</x:v>
      </x:c>
    </x:row>
    <x:row r="311" ht="21" customHeight="1">
      <x:c r="A311" s="60" t="n">
        <x:v>0.61</x:v>
      </x:c>
      <x:c r="B311" s="28" t="str">
        <x:v>front_high</x:v>
      </x:c>
      <x:c r="C311" s="60" t="n">
        <x:v>0.45</x:v>
      </x:c>
      <x:c r="D311" s="60" t="n">
        <x:v>0.45</x:v>
      </x:c>
      <x:c r="E311" s="62" t="b">
        <x:v>1</x:v>
      </x:c>
      <x:c r="F311" s="62" t="b">
        <x:v>1</x:v>
      </x:c>
      <x:c r="G311" s="85" t="n">
        <x:v>0</x:v>
      </x:c>
      <x:c r="H311" s="85" t="n">
        <x:v>0</x:v>
      </x:c>
      <x:c r="I311" s="85" t="n">
        <x:v>66419763.58299368</x:v>
      </x:c>
      <x:c r="J311" s="85" t="n">
        <x:v>51640078.8690929</x:v>
      </x:c>
      <x:c r="K311" s="85" t="n">
        <x:v>0</x:v>
      </x:c>
      <x:c r="L311" s="28" t="n">
        <x:v>0</x:v>
      </x:c>
      <x:c r="M311" s="28" t="n">
        <x:v>0</x:v>
      </x:c>
      <x:c r="N311" s="28" t="n">
        <x:v>3.725290298461914e-9</x:v>
      </x:c>
      <x:c r="O311" s="28" t="n">
        <x:v>2.9802322387695312e-8</x:v>
      </x:c>
      <x:c r="P311" s="28" t="n">
        <x:v>0</x:v>
      </x:c>
      <x:c r="Q311" s="62" t="b">
        <x:v>1</x:v>
      </x:c>
      <x:c r="R311" s="28" t="n">
        <x:v>0</x:v>
      </x:c>
      <x:c r="S311" s="28" t="str">
        <x:v>dcd7ac11b515484a</x:v>
      </x:c>
    </x:row>
    <x:row r="312" ht="21" customHeight="1">
      <x:c r="A312" s="60" t="n">
        <x:v>0.61</x:v>
      </x:c>
      <x:c r="B312" s="28" t="str">
        <x:v>front_high</x:v>
      </x:c>
      <x:c r="C312" s="60" t="n">
        <x:v>0.5</x:v>
      </x:c>
      <x:c r="D312" s="60" t="n">
        <x:v>0.5</x:v>
      </x:c>
      <x:c r="E312" s="62" t="b">
        <x:v>1</x:v>
      </x:c>
      <x:c r="F312" s="62" t="b">
        <x:v>1</x:v>
      </x:c>
      <x:c r="G312" s="85" t="n">
        <x:v>0</x:v>
      </x:c>
      <x:c r="H312" s="85" t="n">
        <x:v>0</x:v>
      </x:c>
      <x:c r="I312" s="85" t="n">
        <x:v>76451844.90672852</x:v>
      </x:c>
      <x:c r="J312" s="85" t="n">
        <x:v>59902262.19367606</x:v>
      </x:c>
      <x:c r="K312" s="85" t="n">
        <x:v>0</x:v>
      </x:c>
      <x:c r="L312" s="28" t="n">
        <x:v>1</x:v>
      </x:c>
      <x:c r="M312" s="28" t="n">
        <x:v>0</x:v>
      </x:c>
      <x:c r="N312" s="28" t="n">
        <x:v>1.862645149230957e-9</x:v>
      </x:c>
      <x:c r="O312" s="28" t="n">
        <x:v>2.9802322387695312e-8</x:v>
      </x:c>
      <x:c r="P312" s="28" t="n">
        <x:v>0</x:v>
      </x:c>
      <x:c r="Q312" s="62" t="b">
        <x:v>1</x:v>
      </x:c>
      <x:c r="R312" s="28" t="n">
        <x:v>0</x:v>
      </x:c>
      <x:c r="S312" s="28" t="str">
        <x:v>29f088cbb55cda44</x:v>
      </x:c>
    </x:row>
    <x:row r="313" ht="21" customHeight="1">
      <x:c r="A313" s="60" t="n">
        <x:v>0.61</x:v>
      </x:c>
      <x:c r="B313" s="28" t="str">
        <x:v>front_high</x:v>
      </x:c>
      <x:c r="C313" s="60" t="n">
        <x:v>0.55</x:v>
      </x:c>
      <x:c r="D313" s="60" t="n">
        <x:v>0.55</x:v>
      </x:c>
      <x:c r="E313" s="62" t="b">
        <x:v>1</x:v>
      </x:c>
      <x:c r="F313" s="62" t="b">
        <x:v>1</x:v>
      </x:c>
      <x:c r="G313" s="85" t="n">
        <x:v>0</x:v>
      </x:c>
      <x:c r="H313" s="85" t="n">
        <x:v>0</x:v>
      </x:c>
      <x:c r="I313" s="85" t="n">
        <x:v>86995253.69486707</x:v>
      </x:c>
      <x:c r="J313" s="85" t="n">
        <x:v>62466739.456431486</x:v>
      </x:c>
      <x:c r="K313" s="85" t="n">
        <x:v>0</x:v>
      </x:c>
      <x:c r="L313" s="28" t="n">
        <x:v>8</x:v>
      </x:c>
      <x:c r="M313" s="28" t="n">
        <x:v>0</x:v>
      </x:c>
      <x:c r="N313" s="28" t="n">
        <x:v>1.862645149230957e-9</x:v>
      </x:c>
      <x:c r="O313" s="28" t="n">
        <x:v>2.9802322387695312e-8</x:v>
      </x:c>
      <x:c r="P313" s="28" t="n">
        <x:v>0</x:v>
      </x:c>
      <x:c r="Q313" s="62" t="b">
        <x:v>1</x:v>
      </x:c>
      <x:c r="R313" s="28" t="n">
        <x:v>0</x:v>
      </x:c>
      <x:c r="S313" s="28" t="str">
        <x:v>29426acd9e99d4f3</x:v>
      </x:c>
    </x:row>
    <x:row r="314" ht="21" customHeight="1">
      <x:c r="A314" s="60" t="n">
        <x:v>0.61</x:v>
      </x:c>
      <x:c r="B314" s="28" t="str">
        <x:v>front_high</x:v>
      </x:c>
      <x:c r="C314" s="60" t="n">
        <x:v>0.6</x:v>
      </x:c>
      <x:c r="D314" s="60" t="n">
        <x:v>0.6</x:v>
      </x:c>
      <x:c r="E314" s="62" t="b">
        <x:v>1</x:v>
      </x:c>
      <x:c r="F314" s="62" t="b">
        <x:v>1</x:v>
      </x:c>
      <x:c r="G314" s="85" t="n">
        <x:v>0</x:v>
      </x:c>
      <x:c r="H314" s="85" t="n">
        <x:v>0</x:v>
      </x:c>
      <x:c r="I314" s="85" t="n">
        <x:v>97150589.85408671</x:v>
      </x:c>
      <x:c r="J314" s="85" t="n">
        <x:v>66050202.483495764</x:v>
      </x:c>
      <x:c r="K314" s="85" t="n">
        <x:v>0</x:v>
      </x:c>
      <x:c r="L314" s="28" t="n">
        <x:v>16</x:v>
      </x:c>
      <x:c r="M314" s="28" t="n">
        <x:v>0</x:v>
      </x:c>
      <x:c r="N314" s="28" t="n">
        <x:v>1.862645149230957e-9</x:v>
      </x:c>
      <x:c r="O314" s="28" t="n">
        <x:v>2.9802322387695312e-8</x:v>
      </x:c>
      <x:c r="P314" s="28" t="n">
        <x:v>0</x:v>
      </x:c>
      <x:c r="Q314" s="62" t="b">
        <x:v>1</x:v>
      </x:c>
      <x:c r="R314" s="28" t="n">
        <x:v>0</x:v>
      </x:c>
      <x:c r="S314" s="28" t="str">
        <x:v>40aa15a5e0dd8f90</x:v>
      </x:c>
    </x:row>
    <x:row r="315" ht="21" customHeight="1">
      <x:c r="A315" s="60" t="n">
        <x:v>0.61</x:v>
      </x:c>
      <x:c r="B315" s="28" t="str">
        <x:v>front_high</x:v>
      </x:c>
      <x:c r="C315" s="60" t="n">
        <x:v>0.65</x:v>
      </x:c>
      <x:c r="D315" s="60" t="n">
        <x:v>0.65</x:v>
      </x:c>
      <x:c r="E315" s="62" t="b">
        <x:v>1</x:v>
      </x:c>
      <x:c r="F315" s="62" t="b">
        <x:v>1</x:v>
      </x:c>
      <x:c r="G315" s="85" t="n">
        <x:v>0</x:v>
      </x:c>
      <x:c r="H315" s="85" t="n">
        <x:v>0</x:v>
      </x:c>
      <x:c r="I315" s="85" t="n">
        <x:v>106700194.65677272</x:v>
      </x:c>
      <x:c r="J315" s="85" t="n">
        <x:v>76020003.88071582</x:v>
      </x:c>
      <x:c r="K315" s="85" t="n">
        <x:v>0</x:v>
      </x:c>
      <x:c r="L315" s="28" t="n">
        <x:v>20</x:v>
      </x:c>
      <x:c r="M315" s="28" t="n">
        <x:v>5</x:v>
      </x:c>
      <x:c r="N315" s="28" t="n">
        <x:v>1.862645149230957e-9</x:v>
      </x:c>
      <x:c r="O315" s="28" t="n">
        <x:v>2.9802322387695312e-8</x:v>
      </x:c>
      <x:c r="P315" s="28" t="n">
        <x:v>0</x:v>
      </x:c>
      <x:c r="Q315" s="62" t="b">
        <x:v>1</x:v>
      </x:c>
      <x:c r="R315" s="28" t="n">
        <x:v>0</x:v>
      </x:c>
      <x:c r="S315" s="28" t="str">
        <x:v>9690ffd346b7827b</x:v>
      </x:c>
    </x:row>
    <x:row r="316" ht="21" customHeight="1">
      <x:c r="A316" s="60" t="n">
        <x:v>0.61</x:v>
      </x:c>
      <x:c r="B316" s="28" t="str">
        <x:v>front_high</x:v>
      </x:c>
      <x:c r="C316" s="60" t="n">
        <x:v>0.7</x:v>
      </x:c>
      <x:c r="D316" s="60" t="n">
        <x:v>0.7</x:v>
      </x:c>
      <x:c r="E316" s="62" t="b">
        <x:v>1</x:v>
      </x:c>
      <x:c r="F316" s="62" t="b">
        <x:v>0</x:v>
      </x:c>
      <x:c r="G316" s="85" t="n">
        <x:v>761512.9884256064</x:v>
      </x:c>
      <x:c r="H316" s="85" t="n">
        <x:v>2940404.445713233</x:v>
      </x:c>
      <x:c r="I316" s="85" t="n">
        <x:v>114023355.9734363</x:v>
      </x:c>
      <x:c r="J316" s="85" t="n">
        <x:v>87000000.00000001</x:v>
      </x:c>
      <x:c r="K316" s="85" t="n">
        <x:v>0</x:v>
      </x:c>
      <x:c r="L316" s="28" t="n">
        <x:v>45</x:v>
      </x:c>
      <x:c r="M316" s="28" t="n">
        <x:v>36</x:v>
      </x:c>
      <x:c r="N316" s="28" t="n">
        <x:v>1.862645149230957e-9</x:v>
      </x:c>
      <x:c r="O316" s="28" t="n">
        <x:v>2.9802322387695312e-8</x:v>
      </x:c>
      <x:c r="P316" s="28" t="n">
        <x:v>0</x:v>
      </x:c>
      <x:c r="Q316" s="62" t="b">
        <x:v>1</x:v>
      </x:c>
      <x:c r="R316" s="28" t="n">
        <x:v>0</x:v>
      </x:c>
      <x:c r="S316" s="28" t="str">
        <x:v>58bc7ca35fe31e14</x:v>
      </x:c>
    </x:row>
    <x:row r="317" ht="21" customHeight="1">
      <x:c r="A317" s="60" t="n">
        <x:v>0.61</x:v>
      </x:c>
      <x:c r="B317" s="28" t="str">
        <x:v>front_high</x:v>
      </x:c>
      <x:c r="C317" s="60" t="n">
        <x:v>0.75</x:v>
      </x:c>
      <x:c r="D317" s="60" t="n">
        <x:v>0.75</x:v>
      </x:c>
      <x:c r="E317" s="62" t="b">
        <x:v>1</x:v>
      </x:c>
      <x:c r="F317" s="62" t="b">
        <x:v>0</x:v>
      </x:c>
      <x:c r="G317" s="85" t="n">
        <x:v>5627748.139691065</x:v>
      </x:c>
      <x:c r="H317" s="85" t="n">
        <x:v>18748253.74004837</x:v>
      </x:c>
      <x:c r="I317" s="85" t="n">
        <x:v>114212021.46694008</x:v>
      </x:c>
      <x:c r="J317" s="85" t="n">
        <x:v>87000000.00000001</x:v>
      </x:c>
      <x:c r="K317" s="85" t="n">
        <x:v>0</x:v>
      </x:c>
      <x:c r="L317" s="28" t="n">
        <x:v>45</x:v>
      </x:c>
      <x:c r="M317" s="28" t="n">
        <x:v>40</x:v>
      </x:c>
      <x:c r="N317" s="28" t="n">
        <x:v>1.862645149230957e-9</x:v>
      </x:c>
      <x:c r="O317" s="28" t="n">
        <x:v>2.9802322387695312e-8</x:v>
      </x:c>
      <x:c r="P317" s="28" t="n">
        <x:v>0</x:v>
      </x:c>
      <x:c r="Q317" s="62" t="b">
        <x:v>1</x:v>
      </x:c>
      <x:c r="R317" s="28" t="n">
        <x:v>0</x:v>
      </x:c>
      <x:c r="S317" s="28" t="str">
        <x:v>a78523efe59e667e</x:v>
      </x:c>
    </x:row>
    <x:row r="318" ht="21" customHeight="1">
      <x:c r="A318" s="60" t="n">
        <x:v>0.61</x:v>
      </x:c>
      <x:c r="B318" s="28" t="str">
        <x:v>front_high</x:v>
      </x:c>
      <x:c r="C318" s="60" t="n">
        <x:v>0.8</x:v>
      </x:c>
      <x:c r="D318" s="60" t="n">
        <x:v>0.8</x:v>
      </x:c>
      <x:c r="E318" s="62" t="b">
        <x:v>1</x:v>
      </x:c>
      <x:c r="F318" s="62" t="b">
        <x:v>0</x:v>
      </x:c>
      <x:c r="G318" s="85" t="n">
        <x:v>11006957.60845986</x:v>
      </x:c>
      <x:c r="H318" s="85" t="n">
        <x:v>33607923.219157144</x:v>
      </x:c>
      <x:c r="I318" s="85" t="n">
        <x:v>114400686.96044384</x:v>
      </x:c>
      <x:c r="J318" s="85" t="n">
        <x:v>87000000.00000001</x:v>
      </x:c>
      <x:c r="K318" s="85" t="n">
        <x:v>0</x:v>
      </x:c>
      <x:c r="L318" s="28" t="n">
        <x:v>45</x:v>
      </x:c>
      <x:c r="M318" s="28" t="n">
        <x:v>43</x:v>
      </x:c>
      <x:c r="N318" s="28" t="n">
        <x:v>1.862645149230957e-9</x:v>
      </x:c>
      <x:c r="O318" s="28" t="n">
        <x:v>1.4901161193847656e-8</x:v>
      </x:c>
      <x:c r="P318" s="28" t="n">
        <x:v>0</x:v>
      </x:c>
      <x:c r="Q318" s="62" t="b">
        <x:v>1</x:v>
      </x:c>
      <x:c r="R318" s="28" t="n">
        <x:v>0</x:v>
      </x:c>
      <x:c r="S318" s="28" t="str">
        <x:v>62cb0606d7189773</x:v>
      </x:c>
    </x:row>
    <x:row r="319" ht="21" customHeight="1">
      <x:c r="A319" s="60" t="n">
        <x:v>0.61</x:v>
      </x:c>
      <x:c r="B319" s="28" t="str">
        <x:v>front_high</x:v>
      </x:c>
      <x:c r="C319" s="60" t="n">
        <x:v>0.85</x:v>
      </x:c>
      <x:c r="D319" s="60" t="n">
        <x:v>0.85</x:v>
      </x:c>
      <x:c r="E319" s="62" t="b">
        <x:v>1</x:v>
      </x:c>
      <x:c r="F319" s="62" t="b">
        <x:v>0</x:v>
      </x:c>
      <x:c r="G319" s="85" t="n">
        <x:v>15511819.223245563</x:v>
      </x:c>
      <x:c r="H319" s="85" t="n">
        <x:v>46086872.03460992</x:v>
      </x:c>
      <x:c r="I319" s="85" t="n">
        <x:v>115907784.65356268</x:v>
      </x:c>
      <x:c r="J319" s="85" t="n">
        <x:v>87000000.00000001</x:v>
      </x:c>
      <x:c r="K319" s="85" t="n">
        <x:v>0</x:v>
      </x:c>
      <x:c r="L319" s="28" t="n">
        <x:v>46</x:v>
      </x:c>
      <x:c r="M319" s="28" t="n">
        <x:v>44</x:v>
      </x:c>
      <x:c r="N319" s="28" t="n">
        <x:v>1.862645149230957e-9</x:v>
      </x:c>
      <x:c r="O319" s="28" t="n">
        <x:v>1.862645149230957e-9</x:v>
      </x:c>
      <x:c r="P319" s="28" t="n">
        <x:v>0</x:v>
      </x:c>
      <x:c r="Q319" s="62" t="b">
        <x:v>1</x:v>
      </x:c>
      <x:c r="R319" s="28" t="n">
        <x:v>0</x:v>
      </x:c>
      <x:c r="S319" s="28" t="str">
        <x:v>65c55e284ad63486</x:v>
      </x:c>
    </x:row>
    <x:row r="320" ht="21" customHeight="1">
      <x:c r="A320" s="60" t="n">
        <x:v>0.61</x:v>
      </x:c>
      <x:c r="B320" s="28" t="str">
        <x:v>front_high</x:v>
      </x:c>
      <x:c r="C320" s="60" t="n">
        <x:v>0.9</x:v>
      </x:c>
      <x:c r="D320" s="60" t="n">
        <x:v>0.9</x:v>
      </x:c>
      <x:c r="E320" s="62" t="b">
        <x:v>1</x:v>
      </x:c>
      <x:c r="F320" s="62" t="b">
        <x:v>0</x:v>
      </x:c>
      <x:c r="G320" s="85" t="n">
        <x:v>24107697.211427584</x:v>
      </x:c>
      <x:c r="H320" s="85" t="n">
        <x:v>58709985.50320212</x:v>
      </x:c>
      <x:c r="I320" s="85" t="n">
        <x:v>116002632.5865281</x:v>
      </x:c>
      <x:c r="J320" s="85" t="n">
        <x:v>87000000.00000001</x:v>
      </x:c>
      <x:c r="K320" s="85" t="n">
        <x:v>0</x:v>
      </x:c>
      <x:c r="L320" s="28" t="n">
        <x:v>46</x:v>
      </x:c>
      <x:c r="M320" s="28" t="n">
        <x:v>44</x:v>
      </x:c>
      <x:c r="N320" s="28" t="n">
        <x:v>9.313225746154785e-10</x:v>
      </x:c>
      <x:c r="O320" s="28" t="n">
        <x:v>1.4901161193847656e-8</x:v>
      </x:c>
      <x:c r="P320" s="28" t="n">
        <x:v>0</x:v>
      </x:c>
      <x:c r="Q320" s="62" t="b">
        <x:v>1</x:v>
      </x:c>
      <x:c r="R320" s="28" t="n">
        <x:v>0</x:v>
      </x:c>
      <x:c r="S320" s="28" t="str">
        <x:v>b0d4782272e59193</x:v>
      </x:c>
    </x:row>
    <x:row r="321" ht="21" customHeight="1">
      <x:c r="A321" s="60" t="n">
        <x:v>0.61</x:v>
      </x:c>
      <x:c r="B321" s="28" t="str">
        <x:v>front_high</x:v>
      </x:c>
      <x:c r="C321" s="60" t="n">
        <x:v>0.95</x:v>
      </x:c>
      <x:c r="D321" s="60" t="n">
        <x:v>0.9497739906324524</x:v>
      </x:c>
      <x:c r="E321" s="62" t="b">
        <x:v>0</x:v>
      </x:c>
      <x:c r="F321" s="62" t="b">
        <x:v>0</x:v>
      </x:c>
      <x:c r="G321" s="85" t="n">
        <x:v>30273041.121131092</x:v>
      </x:c>
      <x:c r="H321" s="85" t="n">
        <x:v>68151405.68426639</x:v>
      </x:c>
      <x:c r="I321" s="85" t="n">
        <x:v>116097480.5194935</x:v>
      </x:c>
      <x:c r="J321" s="85" t="n">
        <x:v>87000000.00000001</x:v>
      </x:c>
      <x:c r="K321" s="85" t="n">
        <x:v>0</x:v>
      </x:c>
      <x:c r="L321" s="28" t="n">
        <x:v>46</x:v>
      </x:c>
      <x:c r="M321" s="28" t="n">
        <x:v>45</x:v>
      </x:c>
      <x:c r="N321" s="28" t="n">
        <x:v>9.313225746154785e-10</x:v>
      </x:c>
      <x:c r="O321" s="28" t="n">
        <x:v>1.4901161193847656e-8</x:v>
      </x:c>
      <x:c r="P321" s="28" t="n">
        <x:v>0</x:v>
      </x:c>
      <x:c r="Q321" s="62" t="b">
        <x:v>1</x:v>
      </x:c>
      <x:c r="R321" s="28" t="n">
        <x:v>67802.81026428938</x:v>
      </x:c>
      <x:c r="S321" s="28" t="str">
        <x:v>0bfc67187d54a554</x:v>
      </x:c>
    </x:row>
    <x:row r="322" ht="21" customHeight="1">
      <x:c r="A322" s="60" t="n">
        <x:v>0.61</x:v>
      </x:c>
      <x:c r="B322" s="28" t="str">
        <x:v>front_high</x:v>
      </x:c>
      <x:c r="C322" s="60" t="n">
        <x:v>1</x:v>
      </x:c>
      <x:c r="D322" s="60" t="n">
        <x:v>0.9646994850752131</x:v>
      </x:c>
      <x:c r="E322" s="62" t="b">
        <x:v>0</x:v>
      </x:c>
      <x:c r="F322" s="62" t="b">
        <x:v>0</x:v>
      </x:c>
      <x:c r="G322" s="85" t="n">
        <x:v>33758217.10714156</x:v>
      </x:c>
      <x:c r="H322" s="85" t="n">
        <x:v>72934789.7154448</x:v>
      </x:c>
      <x:c r="I322" s="85" t="n">
        <x:v>116192328.4524589</x:v>
      </x:c>
      <x:c r="J322" s="85" t="n">
        <x:v>87000000.00000001</x:v>
      </x:c>
      <x:c r="K322" s="85" t="n">
        <x:v>0</x:v>
      </x:c>
      <x:c r="L322" s="28" t="n">
        <x:v>46</x:v>
      </x:c>
      <x:c r="M322" s="28" t="n">
        <x:v>45</x:v>
      </x:c>
      <x:c r="N322" s="28" t="n">
        <x:v>1.862645149230957e-9</x:v>
      </x:c>
      <x:c r="O322" s="28" t="n">
        <x:v>3.725290298461914e-9</x:v>
      </x:c>
      <x:c r="P322" s="28" t="n">
        <x:v>0</x:v>
      </x:c>
      <x:c r="Q322" s="62" t="b">
        <x:v>1</x:v>
      </x:c>
      <x:c r="R322" s="28" t="n">
        <x:v>10590154.477436066</x:v>
      </x:c>
      <x:c r="S322" s="28" t="str">
        <x:v>07cf2c67a342f4b5</x:v>
      </x:c>
    </x:row>
    <x:row r="323" ht="21" customHeight="1">
      <x:c r="A323" s="60" t="n">
        <x:v>0.61</x:v>
      </x:c>
      <x:c r="B323" s="28" t="str">
        <x:v>middle_flat</x:v>
      </x:c>
      <x:c r="C323" s="60" t="n">
        <x:v>0</x:v>
      </x:c>
      <x:c r="D323" s="60" t="n">
        <x:v>0</x:v>
      </x:c>
      <x:c r="E323" s="62" t="b">
        <x:v>1</x:v>
      </x:c>
      <x:c r="F323" s="62" t="b">
        <x:v>1</x:v>
      </x:c>
      <x:c r="G323" s="85" t="n">
        <x:v>0</x:v>
      </x:c>
      <x:c r="H323" s="85" t="n">
        <x:v>0</x:v>
      </x:c>
      <x:c r="I323" s="85" t="n">
        <x:v>0</x:v>
      </x:c>
      <x:c r="J323" s="85" t="n">
        <x:v>0</x:v>
      </x:c>
      <x:c r="K323" s="85" t="n">
        <x:v>30574982.107534215</x:v>
      </x:c>
      <x:c r="L323" s="28" t="n">
        <x:v>0</x:v>
      </x:c>
      <x:c r="M323" s="28" t="n">
        <x:v>0</x:v>
      </x:c>
      <x:c r="N323" s="28" t="n">
        <x:v>3.725290298461914e-9</x:v>
      </x:c>
      <x:c r="O323" s="28" t="n">
        <x:v>0</x:v>
      </x:c>
      <x:c r="P323" s="28" t="n">
        <x:v>0</x:v>
      </x:c>
      <x:c r="Q323" s="62" t="b">
        <x:v>1</x:v>
      </x:c>
      <x:c r="R323" s="28" t="n">
        <x:v>0</x:v>
      </x:c>
      <x:c r="S323" s="28" t="str">
        <x:v>1722360b2713d71b</x:v>
      </x:c>
    </x:row>
    <x:row r="324" ht="21" customHeight="1">
      <x:c r="A324" s="60" t="n">
        <x:v>0.61</x:v>
      </x:c>
      <x:c r="B324" s="28" t="str">
        <x:v>middle_flat</x:v>
      </x:c>
      <x:c r="C324" s="60" t="n">
        <x:v>0.05</x:v>
      </x:c>
      <x:c r="D324" s="60" t="n">
        <x:v>0.05</x:v>
      </x:c>
      <x:c r="E324" s="62" t="b">
        <x:v>1</x:v>
      </x:c>
      <x:c r="F324" s="62" t="b">
        <x:v>1</x:v>
      </x:c>
      <x:c r="G324" s="85" t="n">
        <x:v>0</x:v>
      </x:c>
      <x:c r="H324" s="85" t="n">
        <x:v>0</x:v>
      </x:c>
      <x:c r="I324" s="85" t="n">
        <x:v>0</x:v>
      </x:c>
      <x:c r="J324" s="85" t="n">
        <x:v>0</x:v>
      </x:c>
      <x:c r="K324" s="85" t="n">
        <x:v>18607364.38787371</x:v>
      </x:c>
      <x:c r="L324" s="28" t="n">
        <x:v>0</x:v>
      </x:c>
      <x:c r="M324" s="28" t="n">
        <x:v>0</x:v>
      </x:c>
      <x:c r="N324" s="28" t="n">
        <x:v>3.725290298461914e-9</x:v>
      </x:c>
      <x:c r="O324" s="28" t="n">
        <x:v>2.9802322387695312e-8</x:v>
      </x:c>
      <x:c r="P324" s="28" t="n">
        <x:v>0</x:v>
      </x:c>
      <x:c r="Q324" s="62" t="b">
        <x:v>1</x:v>
      </x:c>
      <x:c r="R324" s="28" t="n">
        <x:v>0</x:v>
      </x:c>
      <x:c r="S324" s="28" t="str">
        <x:v>c48f3e829e588e8b</x:v>
      </x:c>
    </x:row>
    <x:row r="325" ht="21" customHeight="1">
      <x:c r="A325" s="60" t="n">
        <x:v>0.61</x:v>
      </x:c>
      <x:c r="B325" s="28" t="str">
        <x:v>middle_flat</x:v>
      </x:c>
      <x:c r="C325" s="60" t="n">
        <x:v>0.1</x:v>
      </x:c>
      <x:c r="D325" s="60" t="n">
        <x:v>0.1</x:v>
      </x:c>
      <x:c r="E325" s="62" t="b">
        <x:v>1</x:v>
      </x:c>
      <x:c r="F325" s="62" t="b">
        <x:v>1</x:v>
      </x:c>
      <x:c r="G325" s="85" t="n">
        <x:v>0</x:v>
      </x:c>
      <x:c r="H325" s="85" t="n">
        <x:v>0</x:v>
      </x:c>
      <x:c r="I325" s="85" t="n">
        <x:v>0</x:v>
      </x:c>
      <x:c r="J325" s="85" t="n">
        <x:v>0</x:v>
      </x:c>
      <x:c r="K325" s="85" t="n">
        <x:v>6531979.764908376</x:v>
      </x:c>
      <x:c r="L325" s="28" t="n">
        <x:v>0</x:v>
      </x:c>
      <x:c r="M325" s="28" t="n">
        <x:v>0</x:v>
      </x:c>
      <x:c r="N325" s="28" t="n">
        <x:v>3.725290298461914e-9</x:v>
      </x:c>
      <x:c r="O325" s="28" t="n">
        <x:v>5.960464477539063e-8</x:v>
      </x:c>
      <x:c r="P325" s="28" t="n">
        <x:v>0</x:v>
      </x:c>
      <x:c r="Q325" s="62" t="b">
        <x:v>1</x:v>
      </x:c>
      <x:c r="R325" s="28" t="n">
        <x:v>0</x:v>
      </x:c>
      <x:c r="S325" s="28" t="str">
        <x:v>8af7e25a59777991</x:v>
      </x:c>
    </x:row>
    <x:row r="326" ht="21" customHeight="1">
      <x:c r="A326" s="60" t="n">
        <x:v>0.61</x:v>
      </x:c>
      <x:c r="B326" s="28" t="str">
        <x:v>middle_flat</x:v>
      </x:c>
      <x:c r="C326" s="60" t="n">
        <x:v>0.15</x:v>
      </x:c>
      <x:c r="D326" s="60" t="n">
        <x:v>0.15</x:v>
      </x:c>
      <x:c r="E326" s="62" t="b">
        <x:v>1</x:v>
      </x:c>
      <x:c r="F326" s="62" t="b">
        <x:v>1</x:v>
      </x:c>
      <x:c r="G326" s="85" t="n">
        <x:v>0</x:v>
      </x:c>
      <x:c r="H326" s="85" t="n">
        <x:v>0</x:v>
      </x:c>
      <x:c r="I326" s="85" t="n">
        <x:v>4714473.508543298</x:v>
      </x:c>
      <x:c r="J326" s="85" t="n">
        <x:v>0</x:v>
      </x:c>
      <x:c r="K326" s="85" t="n">
        <x:v>361576.23647768167</x:v>
      </x:c>
      <x:c r="L326" s="28" t="n">
        <x:v>0</x:v>
      </x:c>
      <x:c r="M326" s="28" t="n">
        <x:v>0</x:v>
      </x:c>
      <x:c r="N326" s="28" t="n">
        <x:v>3.725290298461914e-9</x:v>
      </x:c>
      <x:c r="O326" s="28" t="n">
        <x:v>2.9802322387695312e-8</x:v>
      </x:c>
      <x:c r="P326" s="28" t="n">
        <x:v>0</x:v>
      </x:c>
      <x:c r="Q326" s="62" t="b">
        <x:v>1</x:v>
      </x:c>
      <x:c r="R326" s="28" t="n">
        <x:v>0</x:v>
      </x:c>
      <x:c r="S326" s="28" t="str">
        <x:v>12e916edf8d20436</x:v>
      </x:c>
    </x:row>
    <x:row r="327" ht="21" customHeight="1">
      <x:c r="A327" s="60" t="n">
        <x:v>0.61</x:v>
      </x:c>
      <x:c r="B327" s="28" t="str">
        <x:v>middle_flat</x:v>
      </x:c>
      <x:c r="C327" s="60" t="n">
        <x:v>0.2</x:v>
      </x:c>
      <x:c r="D327" s="60" t="n">
        <x:v>0.2</x:v>
      </x:c>
      <x:c r="E327" s="62" t="b">
        <x:v>1</x:v>
      </x:c>
      <x:c r="F327" s="62" t="b">
        <x:v>1</x:v>
      </x:c>
      <x:c r="G327" s="85" t="n">
        <x:v>0</x:v>
      </x:c>
      <x:c r="H327" s="85" t="n">
        <x:v>0</x:v>
      </x:c>
      <x:c r="I327" s="85" t="n">
        <x:v>13067344.44789682</x:v>
      </x:c>
      <x:c r="J327" s="85" t="n">
        <x:v>6318282.052720871</x:v>
      </x:c>
      <x:c r="K327" s="85" t="n">
        <x:v>270522.64316712244</x:v>
      </x:c>
      <x:c r="L327" s="28" t="n">
        <x:v>0</x:v>
      </x:c>
      <x:c r="M327" s="28" t="n">
        <x:v>0</x:v>
      </x:c>
      <x:c r="N327" s="28" t="n">
        <x:v>1.862645149230957e-9</x:v>
      </x:c>
      <x:c r="O327" s="28" t="n">
        <x:v>2.9802322387695312e-8</x:v>
      </x:c>
      <x:c r="P327" s="28" t="n">
        <x:v>0</x:v>
      </x:c>
      <x:c r="Q327" s="62" t="b">
        <x:v>1</x:v>
      </x:c>
      <x:c r="R327" s="28" t="n">
        <x:v>0</x:v>
      </x:c>
      <x:c r="S327" s="28" t="str">
        <x:v>1ef4ed9fb1a67bac</x:v>
      </x:c>
    </x:row>
    <x:row r="328" ht="21" customHeight="1">
      <x:c r="A328" s="60" t="n">
        <x:v>0.61</x:v>
      </x:c>
      <x:c r="B328" s="28" t="str">
        <x:v>middle_flat</x:v>
      </x:c>
      <x:c r="C328" s="60" t="n">
        <x:v>0.25</x:v>
      </x:c>
      <x:c r="D328" s="60" t="n">
        <x:v>0.25</x:v>
      </x:c>
      <x:c r="E328" s="62" t="b">
        <x:v>1</x:v>
      </x:c>
      <x:c r="F328" s="62" t="b">
        <x:v>1</x:v>
      </x:c>
      <x:c r="G328" s="85" t="n">
        <x:v>0</x:v>
      </x:c>
      <x:c r="H328" s="85" t="n">
        <x:v>0</x:v>
      </x:c>
      <x:c r="I328" s="85" t="n">
        <x:v>19609196.874425787</x:v>
      </x:c>
      <x:c r="J328" s="85" t="n">
        <x:v>15397852.565901024</x:v>
      </x:c>
      <x:c r="K328" s="85" t="n">
        <x:v>186719.42895890324</x:v>
      </x:c>
      <x:c r="L328" s="28" t="n">
        <x:v>0</x:v>
      </x:c>
      <x:c r="M328" s="28" t="n">
        <x:v>0</x:v>
      </x:c>
      <x:c r="N328" s="28" t="n">
        <x:v>3.725290298461914e-9</x:v>
      </x:c>
      <x:c r="O328" s="28" t="n">
        <x:v>2.9802322387695312e-8</x:v>
      </x:c>
      <x:c r="P328" s="28" t="n">
        <x:v>0</x:v>
      </x:c>
      <x:c r="Q328" s="62" t="b">
        <x:v>1</x:v>
      </x:c>
      <x:c r="R328" s="28" t="n">
        <x:v>0</x:v>
      </x:c>
      <x:c r="S328" s="28" t="str">
        <x:v>6bef5444cb9f7aa1</x:v>
      </x:c>
    </x:row>
    <x:row r="329" ht="21" customHeight="1">
      <x:c r="A329" s="60" t="n">
        <x:v>0.61</x:v>
      </x:c>
      <x:c r="B329" s="28" t="str">
        <x:v>middle_flat</x:v>
      </x:c>
      <x:c r="C329" s="60" t="n">
        <x:v>0.3</x:v>
      </x:c>
      <x:c r="D329" s="60" t="n">
        <x:v>0.3</x:v>
      </x:c>
      <x:c r="E329" s="62" t="b">
        <x:v>1</x:v>
      </x:c>
      <x:c r="F329" s="62" t="b">
        <x:v>1</x:v>
      </x:c>
      <x:c r="G329" s="85" t="n">
        <x:v>0</x:v>
      </x:c>
      <x:c r="H329" s="85" t="n">
        <x:v>0</x:v>
      </x:c>
      <x:c r="I329" s="85" t="n">
        <x:v>26226908.675626766</x:v>
      </x:c>
      <x:c r="J329" s="85" t="n">
        <x:v>24477423.079081148</x:v>
      </x:c>
      <x:c r="K329" s="85" t="n">
        <x:v>147213.97076164553</x:v>
      </x:c>
      <x:c r="L329" s="28" t="n">
        <x:v>0</x:v>
      </x:c>
      <x:c r="M329" s="28" t="n">
        <x:v>0</x:v>
      </x:c>
      <x:c r="N329" s="28" t="n">
        <x:v>1.862645149230957e-9</x:v>
      </x:c>
      <x:c r="O329" s="28" t="n">
        <x:v>2.9802322387695312e-8</x:v>
      </x:c>
      <x:c r="P329" s="28" t="n">
        <x:v>0</x:v>
      </x:c>
      <x:c r="Q329" s="62" t="b">
        <x:v>1</x:v>
      </x:c>
      <x:c r="R329" s="28" t="n">
        <x:v>0</x:v>
      </x:c>
      <x:c r="S329" s="28" t="str">
        <x:v>989ecf689d479abe</x:v>
      </x:c>
    </x:row>
    <x:row r="330" ht="21" customHeight="1">
      <x:c r="A330" s="60" t="n">
        <x:v>0.61</x:v>
      </x:c>
      <x:c r="B330" s="28" t="str">
        <x:v>middle_flat</x:v>
      </x:c>
      <x:c r="C330" s="60" t="n">
        <x:v>0.35</x:v>
      </x:c>
      <x:c r="D330" s="60" t="n">
        <x:v>0.35</x:v>
      </x:c>
      <x:c r="E330" s="62" t="b">
        <x:v>1</x:v>
      </x:c>
      <x:c r="F330" s="62" t="b">
        <x:v>1</x:v>
      </x:c>
      <x:c r="G330" s="85" t="n">
        <x:v>0</x:v>
      </x:c>
      <x:c r="H330" s="85" t="n">
        <x:v>0</x:v>
      </x:c>
      <x:c r="I330" s="85" t="n">
        <x:v>32869141.25409878</x:v>
      </x:c>
      <x:c r="J330" s="85" t="n">
        <x:v>33556993.59226132</x:v>
      </x:c>
      <x:c r="K330" s="85" t="n">
        <x:v>121686.56155068755</x:v>
      </x:c>
      <x:c r="L330" s="28" t="n">
        <x:v>0</x:v>
      </x:c>
      <x:c r="M330" s="28" t="n">
        <x:v>0</x:v>
      </x:c>
      <x:c r="N330" s="28" t="n">
        <x:v>3.725290298461914e-9</x:v>
      </x:c>
      <x:c r="O330" s="28" t="n">
        <x:v>2.9802322387695312e-8</x:v>
      </x:c>
      <x:c r="P330" s="28" t="n">
        <x:v>0</x:v>
      </x:c>
      <x:c r="Q330" s="62" t="b">
        <x:v>1</x:v>
      </x:c>
      <x:c r="R330" s="28" t="n">
        <x:v>0</x:v>
      </x:c>
      <x:c r="S330" s="28" t="str">
        <x:v>6874e80a243ca0e6</x:v>
      </x:c>
    </x:row>
    <x:row r="331" ht="21" customHeight="1">
      <x:c r="A331" s="60" t="n">
        <x:v>0.61</x:v>
      </x:c>
      <x:c r="B331" s="28" t="str">
        <x:v>middle_flat</x:v>
      </x:c>
      <x:c r="C331" s="60" t="n">
        <x:v>0.4</x:v>
      </x:c>
      <x:c r="D331" s="60" t="n">
        <x:v>0.4</x:v>
      </x:c>
      <x:c r="E331" s="62" t="b">
        <x:v>1</x:v>
      </x:c>
      <x:c r="F331" s="62" t="b">
        <x:v>1</x:v>
      </x:c>
      <x:c r="G331" s="85" t="n">
        <x:v>0</x:v>
      </x:c>
      <x:c r="H331" s="85" t="n">
        <x:v>0</x:v>
      </x:c>
      <x:c r="I331" s="85" t="n">
        <x:v>39502105.45755816</x:v>
      </x:c>
      <x:c r="J331" s="85" t="n">
        <x:v>42636564.10544156</x:v>
      </x:c>
      <x:c r="K331" s="85" t="n">
        <x:v>96159.15233972769</x:v>
      </x:c>
      <x:c r="L331" s="28" t="n">
        <x:v>0</x:v>
      </x:c>
      <x:c r="M331" s="28" t="n">
        <x:v>0</x:v>
      </x:c>
      <x:c r="N331" s="28" t="n">
        <x:v>1.862645149230957e-9</x:v>
      </x:c>
      <x:c r="O331" s="28" t="n">
        <x:v>2.9802322387695312e-8</x:v>
      </x:c>
      <x:c r="P331" s="28" t="n">
        <x:v>0</x:v>
      </x:c>
      <x:c r="Q331" s="62" t="b">
        <x:v>1</x:v>
      </x:c>
      <x:c r="R331" s="28" t="n">
        <x:v>0</x:v>
      </x:c>
      <x:c r="S331" s="28" t="str">
        <x:v>9f9fec6be209b369</x:v>
      </x:c>
    </x:row>
    <x:row r="332" ht="21" customHeight="1">
      <x:c r="A332" s="60" t="n">
        <x:v>0.61</x:v>
      </x:c>
      <x:c r="B332" s="28" t="str">
        <x:v>middle_flat</x:v>
      </x:c>
      <x:c r="C332" s="60" t="n">
        <x:v>0.45</x:v>
      </x:c>
      <x:c r="D332" s="60" t="n">
        <x:v>0.45</x:v>
      </x:c>
      <x:c r="E332" s="62" t="b">
        <x:v>1</x:v>
      </x:c>
      <x:c r="F332" s="62" t="b">
        <x:v>1</x:v>
      </x:c>
      <x:c r="G332" s="85" t="n">
        <x:v>0</x:v>
      </x:c>
      <x:c r="H332" s="85" t="n">
        <x:v>0</x:v>
      </x:c>
      <x:c r="I332" s="85" t="n">
        <x:v>46098197.780019365</x:v>
      </x:c>
      <x:c r="J332" s="85" t="n">
        <x:v>51716134.61862181</x:v>
      </x:c>
      <x:c r="K332" s="85" t="n">
        <x:v>70631.74312877111</x:v>
      </x:c>
      <x:c r="L332" s="28" t="n">
        <x:v>0</x:v>
      </x:c>
      <x:c r="M332" s="28" t="n">
        <x:v>0</x:v>
      </x:c>
      <x:c r="N332" s="28" t="n">
        <x:v>3.725290298461914e-9</x:v>
      </x:c>
      <x:c r="O332" s="28" t="n">
        <x:v>2.9802322387695312e-8</x:v>
      </x:c>
      <x:c r="P332" s="28" t="n">
        <x:v>0</x:v>
      </x:c>
      <x:c r="Q332" s="62" t="b">
        <x:v>1</x:v>
      </x:c>
      <x:c r="R332" s="28" t="n">
        <x:v>0</x:v>
      </x:c>
      <x:c r="S332" s="28" t="str">
        <x:v>9582a77b63bd117a</x:v>
      </x:c>
    </x:row>
    <x:row r="333" ht="21" customHeight="1">
      <x:c r="A333" s="60" t="n">
        <x:v>0.61</x:v>
      </x:c>
      <x:c r="B333" s="28" t="str">
        <x:v>middle_flat</x:v>
      </x:c>
      <x:c r="C333" s="60" t="n">
        <x:v>0.5</x:v>
      </x:c>
      <x:c r="D333" s="60" t="n">
        <x:v>0.5</x:v>
      </x:c>
      <x:c r="E333" s="62" t="b">
        <x:v>1</x:v>
      </x:c>
      <x:c r="F333" s="62" t="b">
        <x:v>1</x:v>
      </x:c>
      <x:c r="G333" s="85" t="n">
        <x:v>0</x:v>
      </x:c>
      <x:c r="H333" s="85" t="n">
        <x:v>0</x:v>
      </x:c>
      <x:c r="I333" s="85" t="n">
        <x:v>54005977.057792835</x:v>
      </x:c>
      <x:c r="J333" s="85" t="n">
        <x:v>57728297.824919574</x:v>
      </x:c>
      <x:c r="K333" s="85" t="n">
        <x:v>45104.333917810785</x:v>
      </x:c>
      <x:c r="L333" s="28" t="n">
        <x:v>5</x:v>
      </x:c>
      <x:c r="M333" s="28" t="n">
        <x:v>0</x:v>
      </x:c>
      <x:c r="N333" s="28" t="n">
        <x:v>3.725290298461914e-9</x:v>
      </x:c>
      <x:c r="O333" s="28" t="n">
        <x:v>1.4901161193847656e-8</x:v>
      </x:c>
      <x:c r="P333" s="28" t="n">
        <x:v>0</x:v>
      </x:c>
      <x:c r="Q333" s="62" t="b">
        <x:v>1</x:v>
      </x:c>
      <x:c r="R333" s="28" t="n">
        <x:v>0</x:v>
      </x:c>
      <x:c r="S333" s="28" t="str">
        <x:v>3dc32d8609b3a375</x:v>
      </x:c>
    </x:row>
    <x:row r="334" ht="21" customHeight="1">
      <x:c r="A334" s="60" t="n">
        <x:v>0.61</x:v>
      </x:c>
      <x:c r="B334" s="28" t="str">
        <x:v>middle_flat</x:v>
      </x:c>
      <x:c r="C334" s="60" t="n">
        <x:v>0.55</x:v>
      </x:c>
      <x:c r="D334" s="60" t="n">
        <x:v>0.55</x:v>
      </x:c>
      <x:c r="E334" s="62" t="b">
        <x:v>1</x:v>
      </x:c>
      <x:c r="F334" s="62" t="b">
        <x:v>1</x:v>
      </x:c>
      <x:c r="G334" s="85" t="n">
        <x:v>0</x:v>
      </x:c>
      <x:c r="H334" s="85" t="n">
        <x:v>0</x:v>
      </x:c>
      <x:c r="I334" s="85" t="n">
        <x:v>61228700.01191528</x:v>
      </x:c>
      <x:c r="J334" s="85" t="n">
        <x:v>65256303.612170294</x:v>
      </x:c>
      <x:c r="K334" s="85" t="n">
        <x:v>19576.924706847203</x:v>
      </x:c>
      <x:c r="L334" s="28" t="n">
        <x:v>9</x:v>
      </x:c>
      <x:c r="M334" s="28" t="n">
        <x:v>0</x:v>
      </x:c>
      <x:c r="N334" s="28" t="n">
        <x:v>1.862645149230957e-9</x:v>
      </x:c>
      <x:c r="O334" s="28" t="n">
        <x:v>2.9802322387695312e-8</x:v>
      </x:c>
      <x:c r="P334" s="28" t="n">
        <x:v>0</x:v>
      </x:c>
      <x:c r="Q334" s="62" t="b">
        <x:v>1</x:v>
      </x:c>
      <x:c r="R334" s="28" t="n">
        <x:v>0</x:v>
      </x:c>
      <x:c r="S334" s="28" t="str">
        <x:v>e65cb707e6c3ff53</x:v>
      </x:c>
    </x:row>
    <x:row r="335" ht="21" customHeight="1">
      <x:c r="A335" s="60" t="n">
        <x:v>0.61</x:v>
      </x:c>
      <x:c r="B335" s="28" t="str">
        <x:v>middle_flat</x:v>
      </x:c>
      <x:c r="C335" s="60" t="n">
        <x:v>0.6</x:v>
      </x:c>
      <x:c r="D335" s="60" t="n">
        <x:v>0.6</x:v>
      </x:c>
      <x:c r="E335" s="62" t="b">
        <x:v>1</x:v>
      </x:c>
      <x:c r="F335" s="62" t="b">
        <x:v>1</x:v>
      </x:c>
      <x:c r="G335" s="85" t="n">
        <x:v>0</x:v>
      </x:c>
      <x:c r="H335" s="85" t="n">
        <x:v>0</x:v>
      </x:c>
      <x:c r="I335" s="85" t="n">
        <x:v>67749633.33358859</x:v>
      </x:c>
      <x:c r="J335" s="85" t="n">
        <x:v>74305141.48486075</x:v>
      </x:c>
      <x:c r="K335" s="85" t="n">
        <x:v>0</x:v>
      </x:c>
      <x:c r="L335" s="28" t="n">
        <x:v>12</x:v>
      </x:c>
      <x:c r="M335" s="28" t="n">
        <x:v>1</x:v>
      </x:c>
      <x:c r="N335" s="28" t="n">
        <x:v>1.862645149230957e-9</x:v>
      </x:c>
      <x:c r="O335" s="28" t="n">
        <x:v>2.9802322387695312e-8</x:v>
      </x:c>
      <x:c r="P335" s="28" t="n">
        <x:v>0</x:v>
      </x:c>
      <x:c r="Q335" s="62" t="b">
        <x:v>1</x:v>
      </x:c>
      <x:c r="R335" s="28" t="n">
        <x:v>0</x:v>
      </x:c>
      <x:c r="S335" s="28" t="str">
        <x:v>9015c70308c95431</x:v>
      </x:c>
    </x:row>
    <x:row r="336" ht="21" customHeight="1">
      <x:c r="A336" s="60" t="n">
        <x:v>0.61</x:v>
      </x:c>
      <x:c r="B336" s="28" t="str">
        <x:v>middle_flat</x:v>
      </x:c>
      <x:c r="C336" s="60" t="n">
        <x:v>0.65</x:v>
      </x:c>
      <x:c r="D336" s="60" t="n">
        <x:v>0.65</x:v>
      </x:c>
      <x:c r="E336" s="62" t="b">
        <x:v>1</x:v>
      </x:c>
      <x:c r="F336" s="62" t="b">
        <x:v>1</x:v>
      </x:c>
      <x:c r="G336" s="85" t="n">
        <x:v>0</x:v>
      </x:c>
      <x:c r="H336" s="85" t="n">
        <x:v>0</x:v>
      </x:c>
      <x:c r="I336" s="85" t="n">
        <x:v>73966091.60113353</x:v>
      </x:c>
      <x:c r="J336" s="85" t="n">
        <x:v>83735369.96654585</x:v>
      </x:c>
      <x:c r="K336" s="85" t="n">
        <x:v>0</x:v>
      </x:c>
      <x:c r="L336" s="28" t="n">
        <x:v>17</x:v>
      </x:c>
      <x:c r="M336" s="28" t="n">
        <x:v>9</x:v>
      </x:c>
      <x:c r="N336" s="28" t="n">
        <x:v>1.862645149230957e-9</x:v>
      </x:c>
      <x:c r="O336" s="28" t="n">
        <x:v>2.9802322387695312e-8</x:v>
      </x:c>
      <x:c r="P336" s="28" t="n">
        <x:v>0</x:v>
      </x:c>
      <x:c r="Q336" s="62" t="b">
        <x:v>1</x:v>
      </x:c>
      <x:c r="R336" s="28" t="n">
        <x:v>0</x:v>
      </x:c>
      <x:c r="S336" s="28" t="str">
        <x:v>ad4dce434b6a9970</x:v>
      </x:c>
    </x:row>
    <x:row r="337" ht="21" customHeight="1">
      <x:c r="A337" s="60" t="n">
        <x:v>0.61</x:v>
      </x:c>
      <x:c r="B337" s="28" t="str">
        <x:v>middle_flat</x:v>
      </x:c>
      <x:c r="C337" s="60" t="n">
        <x:v>0.7</x:v>
      </x:c>
      <x:c r="D337" s="60" t="n">
        <x:v>0.7</x:v>
      </x:c>
      <x:c r="E337" s="62" t="b">
        <x:v>1</x:v>
      </x:c>
      <x:c r="F337" s="62" t="b">
        <x:v>0</x:v>
      </x:c>
      <x:c r="G337" s="85" t="n">
        <x:v>1195023.0131028292</x:v>
      </x:c>
      <x:c r="H337" s="85" t="n">
        <x:v>7784102.043533231</x:v>
      </x:c>
      <x:c r="I337" s="85" t="n">
        <x:v>76579543.04991126</x:v>
      </x:c>
      <x:c r="J337" s="85" t="n">
        <x:v>87000000.00000001</x:v>
      </x:c>
      <x:c r="K337" s="85" t="n">
        <x:v>0</x:v>
      </x:c>
      <x:c r="L337" s="28" t="n">
        <x:v>40</x:v>
      </x:c>
      <x:c r="M337" s="28" t="n">
        <x:v>34</x:v>
      </x:c>
      <x:c r="N337" s="28" t="n">
        <x:v>1.862645149230957e-9</x:v>
      </x:c>
      <x:c r="O337" s="28" t="n">
        <x:v>1.4901161193847656e-8</x:v>
      </x:c>
      <x:c r="P337" s="28" t="n">
        <x:v>0</x:v>
      </x:c>
      <x:c r="Q337" s="62" t="b">
        <x:v>1</x:v>
      </x:c>
      <x:c r="R337" s="28" t="n">
        <x:v>0</x:v>
      </x:c>
      <x:c r="S337" s="28" t="str">
        <x:v>91833cb3b75c7516</x:v>
      </x:c>
    </x:row>
    <x:row r="338" ht="21" customHeight="1">
      <x:c r="A338" s="60" t="n">
        <x:v>0.61</x:v>
      </x:c>
      <x:c r="B338" s="28" t="str">
        <x:v>middle_flat</x:v>
      </x:c>
      <x:c r="C338" s="60" t="n">
        <x:v>0.75</x:v>
      </x:c>
      <x:c r="D338" s="60" t="n">
        <x:v>0.75</x:v>
      </x:c>
      <x:c r="E338" s="62" t="b">
        <x:v>1</x:v>
      </x:c>
      <x:c r="F338" s="62" t="b">
        <x:v>0</x:v>
      </x:c>
      <x:c r="G338" s="85" t="n">
        <x:v>3515210.4519976326</x:v>
      </x:c>
      <x:c r="H338" s="85" t="n">
        <x:v>19985239.990517132</x:v>
      </x:c>
      <x:c r="I338" s="85" t="n">
        <x:v>76878104.251128</x:v>
      </x:c>
      <x:c r="J338" s="85" t="n">
        <x:v>87000000.00000001</x:v>
      </x:c>
      <x:c r="K338" s="85" t="n">
        <x:v>0</x:v>
      </x:c>
      <x:c r="L338" s="28" t="n">
        <x:v>40</x:v>
      </x:c>
      <x:c r="M338" s="28" t="n">
        <x:v>36</x:v>
      </x:c>
      <x:c r="N338" s="28" t="n">
        <x:v>1.862645149230957e-9</x:v>
      </x:c>
      <x:c r="O338" s="28" t="n">
        <x:v>2.9802322387695312e-8</x:v>
      </x:c>
      <x:c r="P338" s="28" t="n">
        <x:v>0</x:v>
      </x:c>
      <x:c r="Q338" s="62" t="b">
        <x:v>1</x:v>
      </x:c>
      <x:c r="R338" s="28" t="n">
        <x:v>0</x:v>
      </x:c>
      <x:c r="S338" s="28" t="str">
        <x:v>1a2053a627e37294</x:v>
      </x:c>
    </x:row>
    <x:row r="339" ht="21" customHeight="1">
      <x:c r="A339" s="60" t="n">
        <x:v>0.61</x:v>
      </x:c>
      <x:c r="B339" s="28" t="str">
        <x:v>middle_flat</x:v>
      </x:c>
      <x:c r="C339" s="60" t="n">
        <x:v>0.8</x:v>
      </x:c>
      <x:c r="D339" s="60" t="n">
        <x:v>0.8</x:v>
      </x:c>
      <x:c r="E339" s="62" t="b">
        <x:v>1</x:v>
      </x:c>
      <x:c r="F339" s="62" t="b">
        <x:v>0</x:v>
      </x:c>
      <x:c r="G339" s="85" t="n">
        <x:v>5725024.249672121</x:v>
      </x:c>
      <x:c r="H339" s="85" t="n">
        <x:v>30612773.2029425</x:v>
      </x:c>
      <x:c r="I339" s="85" t="n">
        <x:v>78163603.2822959</x:v>
      </x:c>
      <x:c r="J339" s="85" t="n">
        <x:v>87000000.00000001</x:v>
      </x:c>
      <x:c r="K339" s="85" t="n">
        <x:v>0</x:v>
      </x:c>
      <x:c r="L339" s="28" t="n">
        <x:v>41</x:v>
      </x:c>
      <x:c r="M339" s="28" t="n">
        <x:v>36</x:v>
      </x:c>
      <x:c r="N339" s="28" t="n">
        <x:v>1.862645149230957e-9</x:v>
      </x:c>
      <x:c r="O339" s="28" t="n">
        <x:v>1.4901161193847656e-8</x:v>
      </x:c>
      <x:c r="P339" s="28" t="n">
        <x:v>0</x:v>
      </x:c>
      <x:c r="Q339" s="62" t="b">
        <x:v>1</x:v>
      </x:c>
      <x:c r="R339" s="28" t="n">
        <x:v>0</x:v>
      </x:c>
      <x:c r="S339" s="28" t="str">
        <x:v>1c5af14e32e62484</x:v>
      </x:c>
    </x:row>
    <x:row r="340" ht="21" customHeight="1">
      <x:c r="A340" s="60" t="n">
        <x:v>0.61</x:v>
      </x:c>
      <x:c r="B340" s="28" t="str">
        <x:v>middle_flat</x:v>
      </x:c>
      <x:c r="C340" s="60" t="n">
        <x:v>0.85</x:v>
      </x:c>
      <x:c r="D340" s="60" t="n">
        <x:v>0.85</x:v>
      </x:c>
      <x:c r="E340" s="62" t="b">
        <x:v>1</x:v>
      </x:c>
      <x:c r="F340" s="62" t="b">
        <x:v>0</x:v>
      </x:c>
      <x:c r="G340" s="85" t="n">
        <x:v>8287329.180141532</x:v>
      </x:c>
      <x:c r="H340" s="85" t="n">
        <x:v>42333390.488080025</x:v>
      </x:c>
      <x:c r="I340" s="85" t="n">
        <x:v>78387060.35541885</x:v>
      </x:c>
      <x:c r="J340" s="85" t="n">
        <x:v>87000000.00000001</x:v>
      </x:c>
      <x:c r="K340" s="85" t="n">
        <x:v>0</x:v>
      </x:c>
      <x:c r="L340" s="28" t="n">
        <x:v>41</x:v>
      </x:c>
      <x:c r="M340" s="28" t="n">
        <x:v>38</x:v>
      </x:c>
      <x:c r="N340" s="28" t="n">
        <x:v>1.862645149230957e-9</x:v>
      </x:c>
      <x:c r="O340" s="28" t="n">
        <x:v>2.9802322387695312e-8</x:v>
      </x:c>
      <x:c r="P340" s="28" t="n">
        <x:v>0</x:v>
      </x:c>
      <x:c r="Q340" s="62" t="b">
        <x:v>1</x:v>
      </x:c>
      <x:c r="R340" s="28" t="n">
        <x:v>0</x:v>
      </x:c>
      <x:c r="S340" s="28" t="str">
        <x:v>66c448e0f2fbe4be</x:v>
      </x:c>
    </x:row>
    <x:row r="341" ht="21" customHeight="1">
      <x:c r="A341" s="60" t="n">
        <x:v>0.61</x:v>
      </x:c>
      <x:c r="B341" s="28" t="str">
        <x:v>middle_flat</x:v>
      </x:c>
      <x:c r="C341" s="60" t="n">
        <x:v>0.9</x:v>
      </x:c>
      <x:c r="D341" s="60" t="n">
        <x:v>0.9</x:v>
      </x:c>
      <x:c r="E341" s="62" t="b">
        <x:v>1</x:v>
      </x:c>
      <x:c r="F341" s="62" t="b">
        <x:v>0</x:v>
      </x:c>
      <x:c r="G341" s="85" t="n">
        <x:v>12327911.004192049</x:v>
      </x:c>
      <x:c r="H341" s="85" t="n">
        <x:v>51852387.847651646</x:v>
      </x:c>
      <x:c r="I341" s="85" t="n">
        <x:v>79536006.69615856</x:v>
      </x:c>
      <x:c r="J341" s="85" t="n">
        <x:v>87000000.00000001</x:v>
      </x:c>
      <x:c r="K341" s="85" t="n">
        <x:v>0</x:v>
      </x:c>
      <x:c r="L341" s="28" t="n">
        <x:v>42</x:v>
      </x:c>
      <x:c r="M341" s="28" t="n">
        <x:v>38</x:v>
      </x:c>
      <x:c r="N341" s="28" t="n">
        <x:v>1.862645149230957e-9</x:v>
      </x:c>
      <x:c r="O341" s="28" t="n">
        <x:v>2.9802322387695312e-8</x:v>
      </x:c>
      <x:c r="P341" s="28" t="n">
        <x:v>0</x:v>
      </x:c>
      <x:c r="Q341" s="62" t="b">
        <x:v>1</x:v>
      </x:c>
      <x:c r="R341" s="28" t="n">
        <x:v>0</x:v>
      </x:c>
      <x:c r="S341" s="28" t="str">
        <x:v>27639fce131f70f5</x:v>
      </x:c>
    </x:row>
    <x:row r="342" ht="21" customHeight="1">
      <x:c r="A342" s="60" t="n">
        <x:v>0.61</x:v>
      </x:c>
      <x:c r="B342" s="28" t="str">
        <x:v>middle_flat</x:v>
      </x:c>
      <x:c r="C342" s="60" t="n">
        <x:v>0.95</x:v>
      </x:c>
      <x:c r="D342" s="60" t="n">
        <x:v>0.9361238209331334</x:v>
      </x:c>
      <x:c r="E342" s="62" t="b">
        <x:v>0</x:v>
      </x:c>
      <x:c r="F342" s="62" t="b">
        <x:v>0</x:v>
      </x:c>
      <x:c r="G342" s="85" t="n">
        <x:v>15287255.836025566</x:v>
      </x:c>
      <x:c r="H342" s="85" t="n">
        <x:v>57879842.95412361</x:v>
      </x:c>
      <x:c r="I342" s="85" t="n">
        <x:v>79702297.66876462</x:v>
      </x:c>
      <x:c r="J342" s="85" t="n">
        <x:v>87000000.00000001</x:v>
      </x:c>
      <x:c r="K342" s="85" t="n">
        <x:v>0</x:v>
      </x:c>
      <x:c r="L342" s="28" t="n">
        <x:v>42</x:v>
      </x:c>
      <x:c r="M342" s="28" t="n">
        <x:v>38</x:v>
      </x:c>
      <x:c r="N342" s="28" t="n">
        <x:v>1.862645149230957e-9</x:v>
      </x:c>
      <x:c r="O342" s="28" t="n">
        <x:v>1.4901161193847656e-8</x:v>
      </x:c>
      <x:c r="P342" s="28" t="n">
        <x:v>0</x:v>
      </x:c>
      <x:c r="Q342" s="62" t="b">
        <x:v>1</x:v>
      </x:c>
      <x:c r="R342" s="28" t="n">
        <x:v>4162853.720059991</x:v>
      </x:c>
      <x:c r="S342" s="28" t="str">
        <x:v>d10823c7c9b1de80</x:v>
      </x:c>
    </x:row>
    <x:row r="343" ht="21" customHeight="1">
      <x:c r="A343" s="60" t="n">
        <x:v>0.61</x:v>
      </x:c>
      <x:c r="B343" s="28" t="str">
        <x:v>middle_flat</x:v>
      </x:c>
      <x:c r="C343" s="60" t="n">
        <x:v>1</x:v>
      </x:c>
      <x:c r="D343" s="60" t="n">
        <x:v>0.9498342654879072</x:v>
      </x:c>
      <x:c r="E343" s="62" t="b">
        <x:v>0</x:v>
      </x:c>
      <x:c r="F343" s="62" t="b">
        <x:v>0</x:v>
      </x:c>
      <x:c r="G343" s="85" t="n">
        <x:v>16482811.687520845</x:v>
      </x:c>
      <x:c r="H343" s="85" t="n">
        <x:v>59891552.84061153</x:v>
      </x:c>
      <x:c r="I343" s="85" t="n">
        <x:v>80933842.55519862</x:v>
      </x:c>
      <x:c r="J343" s="85" t="n">
        <x:v>87000000.00000001</x:v>
      </x:c>
      <x:c r="K343" s="85" t="n">
        <x:v>0</x:v>
      </x:c>
      <x:c r="L343" s="28" t="n">
        <x:v>43</x:v>
      </x:c>
      <x:c r="M343" s="28" t="n">
        <x:v>39</x:v>
      </x:c>
      <x:c r="N343" s="28" t="n">
        <x:v>1.862645149230957e-9</x:v>
      </x:c>
      <x:c r="O343" s="28" t="n">
        <x:v>1.4901161193847656e-8</x:v>
      </x:c>
      <x:c r="P343" s="28" t="n">
        <x:v>0</x:v>
      </x:c>
      <x:c r="Q343" s="62" t="b">
        <x:v>1</x:v>
      </x:c>
      <x:c r="R343" s="28" t="n">
        <x:v>15049720.35362786</x:v>
      </x:c>
      <x:c r="S343" s="28" t="str">
        <x:v>9f4c098cf0f9c7fb</x:v>
      </x:c>
    </x:row>
    <x:row r="344" ht="21" customHeight="1">
      <x:c r="A344" s="60" t="n">
        <x:v>0.61</x:v>
      </x:c>
      <x:c r="B344" s="28" t="str">
        <x:v>middle_low</x:v>
      </x:c>
      <x:c r="C344" s="60" t="n">
        <x:v>0</x:v>
      </x:c>
      <x:c r="D344" s="60" t="n">
        <x:v>0</x:v>
      </x:c>
      <x:c r="E344" s="62" t="b">
        <x:v>1</x:v>
      </x:c>
      <x:c r="F344" s="62" t="b">
        <x:v>1</x:v>
      </x:c>
      <x:c r="G344" s="85" t="n">
        <x:v>0</x:v>
      </x:c>
      <x:c r="H344" s="85" t="n">
        <x:v>0</x:v>
      </x:c>
      <x:c r="I344" s="85" t="n">
        <x:v>0</x:v>
      </x:c>
      <x:c r="J344" s="85" t="n">
        <x:v>0</x:v>
      </x:c>
      <x:c r="K344" s="85" t="n">
        <x:v>26582155.57328764</x:v>
      </x:c>
      <x:c r="L344" s="28" t="n">
        <x:v>0</x:v>
      </x:c>
      <x:c r="M344" s="28" t="n">
        <x:v>0</x:v>
      </x:c>
      <x:c r="N344" s="28" t="n">
        <x:v>4.656612873077393e-10</x:v>
      </x:c>
      <x:c r="O344" s="28" t="n">
        <x:v>0</x:v>
      </x:c>
      <x:c r="P344" s="28" t="n">
        <x:v>0</x:v>
      </x:c>
      <x:c r="Q344" s="62" t="b">
        <x:v>1</x:v>
      </x:c>
      <x:c r="R344" s="28" t="n">
        <x:v>0</x:v>
      </x:c>
      <x:c r="S344" s="28" t="str">
        <x:v>c90e62642e49eb8e</x:v>
      </x:c>
    </x:row>
    <x:row r="345" ht="21" customHeight="1">
      <x:c r="A345" s="60" t="n">
        <x:v>0.61</x:v>
      </x:c>
      <x:c r="B345" s="28" t="str">
        <x:v>middle_low</x:v>
      </x:c>
      <x:c r="C345" s="60" t="n">
        <x:v>0.05</x:v>
      </x:c>
      <x:c r="D345" s="60" t="n">
        <x:v>0.05</x:v>
      </x:c>
      <x:c r="E345" s="62" t="b">
        <x:v>1</x:v>
      </x:c>
      <x:c r="F345" s="62" t="b">
        <x:v>1</x:v>
      </x:c>
      <x:c r="G345" s="85" t="n">
        <x:v>0</x:v>
      </x:c>
      <x:c r="H345" s="85" t="n">
        <x:v>0</x:v>
      </x:c>
      <x:c r="I345" s="85" t="n">
        <x:v>0</x:v>
      </x:c>
      <x:c r="J345" s="85" t="n">
        <x:v>0</x:v>
      </x:c>
      <x:c r="K345" s="85" t="n">
        <x:v>15819557.351647574</x:v>
      </x:c>
      <x:c r="L345" s="28" t="n">
        <x:v>0</x:v>
      </x:c>
      <x:c r="M345" s="28" t="n">
        <x:v>0</x:v>
      </x:c>
      <x:c r="N345" s="28" t="n">
        <x:v>3.725290298461914e-9</x:v>
      </x:c>
      <x:c r="O345" s="28" t="n">
        <x:v>2.9802322387695312e-8</x:v>
      </x:c>
      <x:c r="P345" s="28" t="n">
        <x:v>0</x:v>
      </x:c>
      <x:c r="Q345" s="62" t="b">
        <x:v>1</x:v>
      </x:c>
      <x:c r="R345" s="28" t="n">
        <x:v>0</x:v>
      </x:c>
      <x:c r="S345" s="28" t="str">
        <x:v>2f07d2255861f2ea</x:v>
      </x:c>
    </x:row>
    <x:row r="346" ht="21" customHeight="1">
      <x:c r="A346" s="60" t="n">
        <x:v>0.61</x:v>
      </x:c>
      <x:c r="B346" s="28" t="str">
        <x:v>middle_low</x:v>
      </x:c>
      <x:c r="C346" s="60" t="n">
        <x:v>0.1</x:v>
      </x:c>
      <x:c r="D346" s="60" t="n">
        <x:v>0.1</x:v>
      </x:c>
      <x:c r="E346" s="62" t="b">
        <x:v>1</x:v>
      </x:c>
      <x:c r="F346" s="62" t="b">
        <x:v>1</x:v>
      </x:c>
      <x:c r="G346" s="85" t="n">
        <x:v>0</x:v>
      </x:c>
      <x:c r="H346" s="85" t="n">
        <x:v>0</x:v>
      </x:c>
      <x:c r="I346" s="85" t="n">
        <x:v>0</x:v>
      </x:c>
      <x:c r="J346" s="85" t="n">
        <x:v>0</x:v>
      </x:c>
      <x:c r="K346" s="85" t="n">
        <x:v>4984144.224801133</x:v>
      </x:c>
      <x:c r="L346" s="28" t="n">
        <x:v>0</x:v>
      </x:c>
      <x:c r="M346" s="28" t="n">
        <x:v>0</x:v>
      </x:c>
      <x:c r="N346" s="28" t="n">
        <x:v>1.862645149230957e-9</x:v>
      </x:c>
      <x:c r="O346" s="28" t="n">
        <x:v>5.960464477539063e-8</x:v>
      </x:c>
      <x:c r="P346" s="28" t="n">
        <x:v>0</x:v>
      </x:c>
      <x:c r="Q346" s="62" t="b">
        <x:v>1</x:v>
      </x:c>
      <x:c r="R346" s="28" t="n">
        <x:v>0</x:v>
      </x:c>
      <x:c r="S346" s="28" t="str">
        <x:v>2607c3ba714f4f18</x:v>
      </x:c>
    </x:row>
    <x:row r="347" ht="21" customHeight="1">
      <x:c r="A347" s="60" t="n">
        <x:v>0.61</x:v>
      </x:c>
      <x:c r="B347" s="28" t="str">
        <x:v>middle_low</x:v>
      </x:c>
      <x:c r="C347" s="60" t="n">
        <x:v>0.15</x:v>
      </x:c>
      <x:c r="D347" s="60" t="n">
        <x:v>0.15</x:v>
      </x:c>
      <x:c r="E347" s="62" t="b">
        <x:v>1</x:v>
      </x:c>
      <x:c r="F347" s="62" t="b">
        <x:v>1</x:v>
      </x:c>
      <x:c r="G347" s="85" t="n">
        <x:v>0</x:v>
      </x:c>
      <x:c r="H347" s="85" t="n">
        <x:v>0</x:v>
      </x:c>
      <x:c r="I347" s="85" t="n">
        <x:v>4167015.106477064</x:v>
      </x:c>
      <x:c r="J347" s="85" t="n">
        <x:v>0</x:v>
      </x:c>
      <x:c r="K347" s="85" t="n">
        <x:v>0</x:v>
      </x:c>
      <x:c r="L347" s="28" t="n">
        <x:v>0</x:v>
      </x:c>
      <x:c r="M347" s="28" t="n">
        <x:v>0</x:v>
      </x:c>
      <x:c r="N347" s="28" t="n">
        <x:v>1.862645149230957e-9</x:v>
      </x:c>
      <x:c r="O347" s="28" t="n">
        <x:v>2.9802322387695312e-8</x:v>
      </x:c>
      <x:c r="P347" s="28" t="n">
        <x:v>0</x:v>
      </x:c>
      <x:c r="Q347" s="62" t="b">
        <x:v>1</x:v>
      </x:c>
      <x:c r="R347" s="28" t="n">
        <x:v>0</x:v>
      </x:c>
      <x:c r="S347" s="28" t="str">
        <x:v>41c7d6932eed5aee</x:v>
      </x:c>
    </x:row>
    <x:row r="348" ht="21" customHeight="1">
      <x:c r="A348" s="60" t="n">
        <x:v>0.61</x:v>
      </x:c>
      <x:c r="B348" s="28" t="str">
        <x:v>middle_low</x:v>
      </x:c>
      <x:c r="C348" s="60" t="n">
        <x:v>0.2</x:v>
      </x:c>
      <x:c r="D348" s="60" t="n">
        <x:v>0.2</x:v>
      </x:c>
      <x:c r="E348" s="62" t="b">
        <x:v>1</x:v>
      </x:c>
      <x:c r="F348" s="62" t="b">
        <x:v>1</x:v>
      </x:c>
      <x:c r="G348" s="85" t="n">
        <x:v>0</x:v>
      </x:c>
      <x:c r="H348" s="85" t="n">
        <x:v>0</x:v>
      </x:c>
      <x:c r="I348" s="85" t="n">
        <x:v>10638771.084283587</x:v>
      </x:c>
      <x:c r="J348" s="85" t="n">
        <x:v>6318282.052720871</x:v>
      </x:c>
      <x:c r="K348" s="85" t="n">
        <x:v>0</x:v>
      </x:c>
      <x:c r="L348" s="28" t="n">
        <x:v>0</x:v>
      </x:c>
      <x:c r="M348" s="28" t="n">
        <x:v>0</x:v>
      </x:c>
      <x:c r="N348" s="28" t="n">
        <x:v>1.862645149230957e-9</x:v>
      </x:c>
      <x:c r="O348" s="28" t="n">
        <x:v>2.9802322387695312e-8</x:v>
      </x:c>
      <x:c r="P348" s="28" t="n">
        <x:v>0</x:v>
      </x:c>
      <x:c r="Q348" s="62" t="b">
        <x:v>1</x:v>
      </x:c>
      <x:c r="R348" s="28" t="n">
        <x:v>0</x:v>
      </x:c>
      <x:c r="S348" s="28" t="str">
        <x:v>b09855adcba314f0</x:v>
      </x:c>
    </x:row>
    <x:row r="349" ht="21" customHeight="1">
      <x:c r="A349" s="60" t="n">
        <x:v>0.61</x:v>
      </x:c>
      <x:c r="B349" s="28" t="str">
        <x:v>middle_low</x:v>
      </x:c>
      <x:c r="C349" s="60" t="n">
        <x:v>0.25</x:v>
      </x:c>
      <x:c r="D349" s="60" t="n">
        <x:v>0.25</x:v>
      </x:c>
      <x:c r="E349" s="62" t="b">
        <x:v>1</x:v>
      </x:c>
      <x:c r="F349" s="62" t="b">
        <x:v>1</x:v>
      </x:c>
      <x:c r="G349" s="85" t="n">
        <x:v>0</x:v>
      </x:c>
      <x:c r="H349" s="85" t="n">
        <x:v>0</x:v>
      </x:c>
      <x:c r="I349" s="85" t="n">
        <x:v>14993027.071279122</x:v>
      </x:c>
      <x:c r="J349" s="85" t="n">
        <x:v>15397852.565901024</x:v>
      </x:c>
      <x:c r="K349" s="85" t="n">
        <x:v>0</x:v>
      </x:c>
      <x:c r="L349" s="28" t="n">
        <x:v>0</x:v>
      </x:c>
      <x:c r="M349" s="28" t="n">
        <x:v>0</x:v>
      </x:c>
      <x:c r="N349" s="28" t="n">
        <x:v>9.313225746154785e-10</x:v>
      </x:c>
      <x:c r="O349" s="28" t="n">
        <x:v>2.9802322387695312e-8</x:v>
      </x:c>
      <x:c r="P349" s="28" t="n">
        <x:v>0</x:v>
      </x:c>
      <x:c r="Q349" s="62" t="b">
        <x:v>1</x:v>
      </x:c>
      <x:c r="R349" s="28" t="n">
        <x:v>0</x:v>
      </x:c>
      <x:c r="S349" s="28" t="str">
        <x:v>c451b7c06eebd53e</x:v>
      </x:c>
    </x:row>
    <x:row r="350" ht="21" customHeight="1">
      <x:c r="A350" s="60" t="n">
        <x:v>0.61</x:v>
      </x:c>
      <x:c r="B350" s="28" t="str">
        <x:v>middle_low</x:v>
      </x:c>
      <x:c r="C350" s="60" t="n">
        <x:v>0.3</x:v>
      </x:c>
      <x:c r="D350" s="60" t="n">
        <x:v>0.3</x:v>
      </x:c>
      <x:c r="E350" s="62" t="b">
        <x:v>1</x:v>
      </x:c>
      <x:c r="F350" s="62" t="b">
        <x:v>1</x:v>
      </x:c>
      <x:c r="G350" s="85" t="n">
        <x:v>0</x:v>
      </x:c>
      <x:c r="H350" s="85" t="n">
        <x:v>0</x:v>
      </x:c>
      <x:c r="I350" s="85" t="n">
        <x:v>19347283.058274645</x:v>
      </x:c>
      <x:c r="J350" s="85" t="n">
        <x:v>24477423.079081148</x:v>
      </x:c>
      <x:c r="K350" s="85" t="n">
        <x:v>0</x:v>
      </x:c>
      <x:c r="L350" s="28" t="n">
        <x:v>0</x:v>
      </x:c>
      <x:c r="M350" s="28" t="n">
        <x:v>0</x:v>
      </x:c>
      <x:c r="N350" s="28" t="n">
        <x:v>1.862645149230957e-9</x:v>
      </x:c>
      <x:c r="O350" s="28" t="n">
        <x:v>2.9802322387695312e-8</x:v>
      </x:c>
      <x:c r="P350" s="28" t="n">
        <x:v>0</x:v>
      </x:c>
      <x:c r="Q350" s="62" t="b">
        <x:v>1</x:v>
      </x:c>
      <x:c r="R350" s="28" t="n">
        <x:v>0</x:v>
      </x:c>
      <x:c r="S350" s="28" t="str">
        <x:v>8f0ec8ac458f760b</x:v>
      </x:c>
    </x:row>
    <x:row r="351" ht="21" customHeight="1">
      <x:c r="A351" s="60" t="n">
        <x:v>0.61</x:v>
      </x:c>
      <x:c r="B351" s="28" t="str">
        <x:v>middle_low</x:v>
      </x:c>
      <x:c r="C351" s="60" t="n">
        <x:v>0.35</x:v>
      </x:c>
      <x:c r="D351" s="60" t="n">
        <x:v>0.35</x:v>
      </x:c>
      <x:c r="E351" s="62" t="b">
        <x:v>1</x:v>
      </x:c>
      <x:c r="F351" s="62" t="b">
        <x:v>1</x:v>
      </x:c>
      <x:c r="G351" s="85" t="n">
        <x:v>0</x:v>
      </x:c>
      <x:c r="H351" s="85" t="n">
        <x:v>0</x:v>
      </x:c>
      <x:c r="I351" s="85" t="n">
        <x:v>23708323.77405923</x:v>
      </x:c>
      <x:c r="J351" s="85" t="n">
        <x:v>33556993.59226132</x:v>
      </x:c>
      <x:c r="K351" s="85" t="n">
        <x:v>0</x:v>
      </x:c>
      <x:c r="L351" s="28" t="n">
        <x:v>0</x:v>
      </x:c>
      <x:c r="M351" s="28" t="n">
        <x:v>0</x:v>
      </x:c>
      <x:c r="N351" s="28" t="n">
        <x:v>3.725290298461914e-9</x:v>
      </x:c>
      <x:c r="O351" s="28" t="n">
        <x:v>2.9802322387695312e-8</x:v>
      </x:c>
      <x:c r="P351" s="28" t="n">
        <x:v>0</x:v>
      </x:c>
      <x:c r="Q351" s="62" t="b">
        <x:v>1</x:v>
      </x:c>
      <x:c r="R351" s="28" t="n">
        <x:v>0</x:v>
      </x:c>
      <x:c r="S351" s="28" t="str">
        <x:v>b8d3913998909c01</x:v>
      </x:c>
    </x:row>
    <x:row r="352" ht="21" customHeight="1">
      <x:c r="A352" s="60" t="n">
        <x:v>0.61</x:v>
      </x:c>
      <x:c r="B352" s="28" t="str">
        <x:v>middle_low</x:v>
      </x:c>
      <x:c r="C352" s="60" t="n">
        <x:v>0.4</x:v>
      </x:c>
      <x:c r="D352" s="60" t="n">
        <x:v>0.4</x:v>
      </x:c>
      <x:c r="E352" s="62" t="b">
        <x:v>1</x:v>
      </x:c>
      <x:c r="F352" s="62" t="b">
        <x:v>1</x:v>
      </x:c>
      <x:c r="G352" s="85" t="n">
        <x:v>0</x:v>
      </x:c>
      <x:c r="H352" s="85" t="n">
        <x:v>0</x:v>
      </x:c>
      <x:c r="I352" s="85" t="n">
        <x:v>28086768.731642067</x:v>
      </x:c>
      <x:c r="J352" s="85" t="n">
        <x:v>42636564.10544156</x:v>
      </x:c>
      <x:c r="K352" s="85" t="n">
        <x:v>0</x:v>
      </x:c>
      <x:c r="L352" s="28" t="n">
        <x:v>0</x:v>
      </x:c>
      <x:c r="M352" s="28" t="n">
        <x:v>0</x:v>
      </x:c>
      <x:c r="N352" s="28" t="n">
        <x:v>1.862645149230957e-9</x:v>
      </x:c>
      <x:c r="O352" s="28" t="n">
        <x:v>2.9802322387695312e-8</x:v>
      </x:c>
      <x:c r="P352" s="28" t="n">
        <x:v>0</x:v>
      </x:c>
      <x:c r="Q352" s="62" t="b">
        <x:v>1</x:v>
      </x:c>
      <x:c r="R352" s="28" t="n">
        <x:v>0</x:v>
      </x:c>
      <x:c r="S352" s="28" t="str">
        <x:v>736383389a5e546c</x:v>
      </x:c>
    </x:row>
    <x:row r="353" ht="21" customHeight="1">
      <x:c r="A353" s="60" t="n">
        <x:v>0.61</x:v>
      </x:c>
      <x:c r="B353" s="28" t="str">
        <x:v>middle_low</x:v>
      </x:c>
      <x:c r="C353" s="60" t="n">
        <x:v>0.45</x:v>
      </x:c>
      <x:c r="D353" s="60" t="n">
        <x:v>0.45</x:v>
      </x:c>
      <x:c r="E353" s="62" t="b">
        <x:v>1</x:v>
      </x:c>
      <x:c r="F353" s="62" t="b">
        <x:v>1</x:v>
      </x:c>
      <x:c r="G353" s="85" t="n">
        <x:v>0</x:v>
      </x:c>
      <x:c r="H353" s="85" t="n">
        <x:v>0</x:v>
      </x:c>
      <x:c r="I353" s="85" t="n">
        <x:v>32425857.733114474</x:v>
      </x:c>
      <x:c r="J353" s="85" t="n">
        <x:v>51716134.61862181</x:v>
      </x:c>
      <x:c r="K353" s="85" t="n">
        <x:v>0</x:v>
      </x:c>
      <x:c r="L353" s="28" t="n">
        <x:v>0</x:v>
      </x:c>
      <x:c r="M353" s="28" t="n">
        <x:v>0</x:v>
      </x:c>
      <x:c r="N353" s="28" t="n">
        <x:v>1.862645149230957e-9</x:v>
      </x:c>
      <x:c r="O353" s="28" t="n">
        <x:v>2.9802322387695312e-8</x:v>
      </x:c>
      <x:c r="P353" s="28" t="n">
        <x:v>0</x:v>
      </x:c>
      <x:c r="Q353" s="62" t="b">
        <x:v>1</x:v>
      </x:c>
      <x:c r="R353" s="28" t="n">
        <x:v>0</x:v>
      </x:c>
      <x:c r="S353" s="28" t="str">
        <x:v>be2fc6b56a3eae55</x:v>
      </x:c>
    </x:row>
    <x:row r="354" ht="21" customHeight="1">
      <x:c r="A354" s="60" t="n">
        <x:v>0.61</x:v>
      </x:c>
      <x:c r="B354" s="28" t="str">
        <x:v>middle_low</x:v>
      </x:c>
      <x:c r="C354" s="60" t="n">
        <x:v>0.5</x:v>
      </x:c>
      <x:c r="D354" s="60" t="n">
        <x:v>0.5</x:v>
      </x:c>
      <x:c r="E354" s="62" t="b">
        <x:v>1</x:v>
      </x:c>
      <x:c r="F354" s="62" t="b">
        <x:v>1</x:v>
      </x:c>
      <x:c r="G354" s="85" t="n">
        <x:v>0</x:v>
      </x:c>
      <x:c r="H354" s="85" t="n">
        <x:v>0</x:v>
      </x:c>
      <x:c r="I354" s="85" t="n">
        <x:v>38267837.28663148</x:v>
      </x:c>
      <x:c r="J354" s="85" t="n">
        <x:v>58335090.709120676</x:v>
      </x:c>
      <x:c r="K354" s="85" t="n">
        <x:v>0</x:v>
      </x:c>
      <x:c r="L354" s="28" t="n">
        <x:v>5</x:v>
      </x:c>
      <x:c r="M354" s="28" t="n">
        <x:v>0</x:v>
      </x:c>
      <x:c r="N354" s="28" t="n">
        <x:v>1.862645149230957e-9</x:v>
      </x:c>
      <x:c r="O354" s="28" t="n">
        <x:v>1.4901161193847656e-8</x:v>
      </x:c>
      <x:c r="P354" s="28" t="n">
        <x:v>0</x:v>
      </x:c>
      <x:c r="Q354" s="62" t="b">
        <x:v>1</x:v>
      </x:c>
      <x:c r="R354" s="28" t="n">
        <x:v>0</x:v>
      </x:c>
      <x:c r="S354" s="28" t="str">
        <x:v>bd92feba1d3a08c6</x:v>
      </x:c>
    </x:row>
    <x:row r="355" ht="21" customHeight="1">
      <x:c r="A355" s="60" t="n">
        <x:v>0.61</x:v>
      </x:c>
      <x:c r="B355" s="28" t="str">
        <x:v>middle_low</x:v>
      </x:c>
      <x:c r="C355" s="60" t="n">
        <x:v>0.55</x:v>
      </x:c>
      <x:c r="D355" s="60" t="n">
        <x:v>0.55</x:v>
      </x:c>
      <x:c r="E355" s="62" t="b">
        <x:v>1</x:v>
      </x:c>
      <x:c r="F355" s="62" t="b">
        <x:v>1</x:v>
      </x:c>
      <x:c r="G355" s="85" t="n">
        <x:v>0</x:v>
      </x:c>
      <x:c r="H355" s="85" t="n">
        <x:v>0</x:v>
      </x:c>
      <x:c r="I355" s="85" t="n">
        <x:v>43416553.6667895</x:v>
      </x:c>
      <x:c r="J355" s="85" t="n">
        <x:v>66009430.44927264</x:v>
      </x:c>
      <x:c r="K355" s="85" t="n">
        <x:v>0</x:v>
      </x:c>
      <x:c r="L355" s="28" t="n">
        <x:v>9</x:v>
      </x:c>
      <x:c r="M355" s="28" t="n">
        <x:v>0</x:v>
      </x:c>
      <x:c r="N355" s="28" t="n">
        <x:v>1.862645149230957e-9</x:v>
      </x:c>
      <x:c r="O355" s="28" t="n">
        <x:v>2.9802322387695312e-8</x:v>
      </x:c>
      <x:c r="P355" s="28" t="n">
        <x:v>0</x:v>
      </x:c>
      <x:c r="Q355" s="62" t="b">
        <x:v>1</x:v>
      </x:c>
      <x:c r="R355" s="28" t="n">
        <x:v>0</x:v>
      </x:c>
      <x:c r="S355" s="28" t="str">
        <x:v>eaa6dcd13874e07a</x:v>
      </x:c>
    </x:row>
    <x:row r="356" ht="21" customHeight="1">
      <x:c r="A356" s="60" t="n">
        <x:v>0.61</x:v>
      </x:c>
      <x:c r="B356" s="28" t="str">
        <x:v>middle_low</x:v>
      </x:c>
      <x:c r="C356" s="60" t="n">
        <x:v>0.6</x:v>
      </x:c>
      <x:c r="D356" s="60" t="n">
        <x:v>0.6</x:v>
      </x:c>
      <x:c r="E356" s="62" t="b">
        <x:v>1</x:v>
      </x:c>
      <x:c r="F356" s="62" t="b">
        <x:v>1</x:v>
      </x:c>
      <x:c r="G356" s="85" t="n">
        <x:v>0</x:v>
      </x:c>
      <x:c r="H356" s="85" t="n">
        <x:v>0</x:v>
      </x:c>
      <x:c r="I356" s="85" t="n">
        <x:v>47920559.70171504</x:v>
      </x:c>
      <x:c r="J356" s="85" t="n">
        <x:v>74618078.9979934</x:v>
      </x:c>
      <x:c r="K356" s="85" t="n">
        <x:v>0</x:v>
      </x:c>
      <x:c r="L356" s="28" t="n">
        <x:v>13</x:v>
      </x:c>
      <x:c r="M356" s="28" t="n">
        <x:v>0</x:v>
      </x:c>
      <x:c r="N356" s="28" t="n">
        <x:v>1.862645149230957e-9</x:v>
      </x:c>
      <x:c r="O356" s="28" t="n">
        <x:v>2.9802322387695312e-8</x:v>
      </x:c>
      <x:c r="P356" s="28" t="n">
        <x:v>0</x:v>
      </x:c>
      <x:c r="Q356" s="62" t="b">
        <x:v>1</x:v>
      </x:c>
      <x:c r="R356" s="28" t="n">
        <x:v>0</x:v>
      </x:c>
      <x:c r="S356" s="28" t="str">
        <x:v>068f8400da91c369</x:v>
      </x:c>
    </x:row>
    <x:row r="357" ht="21" customHeight="1">
      <x:c r="A357" s="60" t="n">
        <x:v>0.61</x:v>
      </x:c>
      <x:c r="B357" s="28" t="str">
        <x:v>middle_low</x:v>
      </x:c>
      <x:c r="C357" s="60" t="n">
        <x:v>0.65</x:v>
      </x:c>
      <x:c r="D357" s="60" t="n">
        <x:v>0.65</x:v>
      </x:c>
      <x:c r="E357" s="62" t="b">
        <x:v>1</x:v>
      </x:c>
      <x:c r="F357" s="62" t="b">
        <x:v>1</x:v>
      </x:c>
      <x:c r="G357" s="85" t="n">
        <x:v>0</x:v>
      </x:c>
      <x:c r="H357" s="85" t="n">
        <x:v>0</x:v>
      </x:c>
      <x:c r="I357" s="85" t="n">
        <x:v>52036651.136727214</x:v>
      </x:c>
      <x:c r="J357" s="85" t="n">
        <x:v>83663967.02084993</x:v>
      </x:c>
      <x:c r="K357" s="85" t="n">
        <x:v>0</x:v>
      </x:c>
      <x:c r="L357" s="28" t="n">
        <x:v>17</x:v>
      </x:c>
      <x:c r="M357" s="28" t="n">
        <x:v>0</x:v>
      </x:c>
      <x:c r="N357" s="28" t="n">
        <x:v>1.862645149230957e-9</x:v>
      </x:c>
      <x:c r="O357" s="28" t="n">
        <x:v>2.9802322387695312e-8</x:v>
      </x:c>
      <x:c r="P357" s="28" t="n">
        <x:v>0</x:v>
      </x:c>
      <x:c r="Q357" s="62" t="b">
        <x:v>1</x:v>
      </x:c>
      <x:c r="R357" s="28" t="n">
        <x:v>0</x:v>
      </x:c>
      <x:c r="S357" s="28" t="str">
        <x:v>d7b66630666b5102</x:v>
      </x:c>
    </x:row>
    <x:row r="358" ht="21" customHeight="1">
      <x:c r="A358" s="60" t="n">
        <x:v>0.61</x:v>
      </x:c>
      <x:c r="B358" s="28" t="str">
        <x:v>middle_low</x:v>
      </x:c>
      <x:c r="C358" s="60" t="n">
        <x:v>0.7</x:v>
      </x:c>
      <x:c r="D358" s="60" t="n">
        <x:v>0.7</x:v>
      </x:c>
      <x:c r="E358" s="62" t="b">
        <x:v>1</x:v>
      </x:c>
      <x:c r="F358" s="62" t="b">
        <x:v>0</x:v>
      </x:c>
      <x:c r="G358" s="85" t="n">
        <x:v>426498.16346646514</x:v>
      </x:c>
      <x:c r="H358" s="85" t="n">
        <x:v>6415916.946188507</x:v>
      </x:c>
      <x:c r="I358" s="85" t="n">
        <x:v>53921286.7827373</x:v>
      </x:c>
      <x:c r="J358" s="85" t="n">
        <x:v>87000000.00000001</x:v>
      </x:c>
      <x:c r="K358" s="85" t="n">
        <x:v>0</x:v>
      </x:c>
      <x:c r="L358" s="28" t="n">
        <x:v>40</x:v>
      </x:c>
      <x:c r="M358" s="28" t="n">
        <x:v>30</x:v>
      </x:c>
      <x:c r="N358" s="28" t="n">
        <x:v>1.862645149230957e-9</x:v>
      </x:c>
      <x:c r="O358" s="28" t="n">
        <x:v>1.4901161193847656e-8</x:v>
      </x:c>
      <x:c r="P358" s="28" t="n">
        <x:v>0</x:v>
      </x:c>
      <x:c r="Q358" s="62" t="b">
        <x:v>1</x:v>
      </x:c>
      <x:c r="R358" s="28" t="n">
        <x:v>0</x:v>
      </x:c>
      <x:c r="S358" s="28" t="str">
        <x:v>887dbe249e59254a</x:v>
      </x:c>
    </x:row>
    <x:row r="359" ht="21" customHeight="1">
      <x:c r="A359" s="60" t="n">
        <x:v>0.61</x:v>
      </x:c>
      <x:c r="B359" s="28" t="str">
        <x:v>middle_low</x:v>
      </x:c>
      <x:c r="C359" s="60" t="n">
        <x:v>0.75</x:v>
      </x:c>
      <x:c r="D359" s="60" t="n">
        <x:v>0.75</x:v>
      </x:c>
      <x:c r="E359" s="62" t="b">
        <x:v>1</x:v>
      </x:c>
      <x:c r="F359" s="62" t="b">
        <x:v>0</x:v>
      </x:c>
      <x:c r="G359" s="85" t="n">
        <x:v>1143130.1596363678</x:v>
      </x:c>
      <x:c r="H359" s="85" t="n">
        <x:v>17228951.82808736</x:v>
      </x:c>
      <x:c r="I359" s="85" t="n">
        <x:v>54090748.368001305</x:v>
      </x:c>
      <x:c r="J359" s="85" t="n">
        <x:v>87000000.00000001</x:v>
      </x:c>
      <x:c r="K359" s="85" t="n">
        <x:v>0</x:v>
      </x:c>
      <x:c r="L359" s="28" t="n">
        <x:v>40</x:v>
      </x:c>
      <x:c r="M359" s="28" t="n">
        <x:v>32</x:v>
      </x:c>
      <x:c r="N359" s="28" t="n">
        <x:v>1.862645149230957e-9</x:v>
      </x:c>
      <x:c r="O359" s="28" t="n">
        <x:v>2.9802322387695312e-8</x:v>
      </x:c>
      <x:c r="P359" s="28" t="n">
        <x:v>0</x:v>
      </x:c>
      <x:c r="Q359" s="62" t="b">
        <x:v>1</x:v>
      </x:c>
      <x:c r="R359" s="28" t="n">
        <x:v>0</x:v>
      </x:c>
      <x:c r="S359" s="28" t="str">
        <x:v>47214732f87f6186</x:v>
      </x:c>
    </x:row>
    <x:row r="360" ht="21" customHeight="1">
      <x:c r="A360" s="60" t="n">
        <x:v>0.61</x:v>
      </x:c>
      <x:c r="B360" s="28" t="str">
        <x:v>middle_low</x:v>
      </x:c>
      <x:c r="C360" s="60" t="n">
        <x:v>0.8</x:v>
      </x:c>
      <x:c r="D360" s="60" t="n">
        <x:v>0.8</x:v>
      </x:c>
      <x:c r="E360" s="62" t="b">
        <x:v>1</x:v>
      </x:c>
      <x:c r="F360" s="62" t="b">
        <x:v>0</x:v>
      </x:c>
      <x:c r="G360" s="85" t="n">
        <x:v>2042834.5047622463</x:v>
      </x:c>
      <x:c r="H360" s="85" t="n">
        <x:v>26884155.842050128</x:v>
      </x:c>
      <x:c r="I360" s="85" t="n">
        <x:v>55065930.782328784</x:v>
      </x:c>
      <x:c r="J360" s="85" t="n">
        <x:v>87000000.00000001</x:v>
      </x:c>
      <x:c r="K360" s="85" t="n">
        <x:v>0</x:v>
      </x:c>
      <x:c r="L360" s="28" t="n">
        <x:v>41</x:v>
      </x:c>
      <x:c r="M360" s="28" t="n">
        <x:v>34</x:v>
      </x:c>
      <x:c r="N360" s="28" t="n">
        <x:v>1.862645149230957e-9</x:v>
      </x:c>
      <x:c r="O360" s="28" t="n">
        <x:v>1.4901161193847656e-8</x:v>
      </x:c>
      <x:c r="P360" s="28" t="n">
        <x:v>0</x:v>
      </x:c>
      <x:c r="Q360" s="62" t="b">
        <x:v>1</x:v>
      </x:c>
      <x:c r="R360" s="28" t="n">
        <x:v>0</x:v>
      </x:c>
      <x:c r="S360" s="28" t="str">
        <x:v>f14c12a02d758b8d</x:v>
      </x:c>
    </x:row>
    <x:row r="361" ht="21" customHeight="1">
      <x:c r="A361" s="60" t="n">
        <x:v>0.61</x:v>
      </x:c>
      <x:c r="B361" s="28" t="str">
        <x:v>middle_low</x:v>
      </x:c>
      <x:c r="C361" s="60" t="n">
        <x:v>0.85</x:v>
      </x:c>
      <x:c r="D361" s="60" t="n">
        <x:v>0.85</x:v>
      </x:c>
      <x:c r="E361" s="62" t="b">
        <x:v>1</x:v>
      </x:c>
      <x:c r="F361" s="62" t="b">
        <x:v>0</x:v>
      </x:c>
      <x:c r="G361" s="85" t="n">
        <x:v>2965651.381234288</x:v>
      </x:c>
      <x:c r="H361" s="85" t="n">
        <x:v>37397775.31390772</x:v>
      </x:c>
      <x:c r="I361" s="85" t="n">
        <x:v>55206732.35425514</x:v>
      </x:c>
      <x:c r="J361" s="85" t="n">
        <x:v>87000000.00000001</x:v>
      </x:c>
      <x:c r="K361" s="85" t="n">
        <x:v>0</x:v>
      </x:c>
      <x:c r="L361" s="28" t="n">
        <x:v>41</x:v>
      </x:c>
      <x:c r="M361" s="28" t="n">
        <x:v>34</x:v>
      </x:c>
      <x:c r="N361" s="28" t="n">
        <x:v>1.862645149230957e-9</x:v>
      </x:c>
      <x:c r="O361" s="28" t="n">
        <x:v>2.9802322387695312e-8</x:v>
      </x:c>
      <x:c r="P361" s="28" t="n">
        <x:v>0</x:v>
      </x:c>
      <x:c r="Q361" s="62" t="b">
        <x:v>1</x:v>
      </x:c>
      <x:c r="R361" s="28" t="n">
        <x:v>0</x:v>
      </x:c>
      <x:c r="S361" s="28" t="str">
        <x:v>345f38df766e7969</x:v>
      </x:c>
    </x:row>
    <x:row r="362" ht="21" customHeight="1">
      <x:c r="A362" s="60" t="n">
        <x:v>0.61</x:v>
      </x:c>
      <x:c r="B362" s="28" t="str">
        <x:v>middle_low</x:v>
      </x:c>
      <x:c r="C362" s="60" t="n">
        <x:v>0.9</x:v>
      </x:c>
      <x:c r="D362" s="60" t="n">
        <x:v>0.9</x:v>
      </x:c>
      <x:c r="E362" s="62" t="b">
        <x:v>1</x:v>
      </x:c>
      <x:c r="F362" s="62" t="b">
        <x:v>0</x:v>
      </x:c>
      <x:c r="G362" s="85" t="n">
        <x:v>3985698.3552790955</x:v>
      </x:c>
      <x:c r="H362" s="85" t="n">
        <x:v>46850650.11974435</x:v>
      </x:c>
      <x:c r="I362" s="85" t="n">
        <x:v>56073211.8737928</x:v>
      </x:c>
      <x:c r="J362" s="85" t="n">
        <x:v>87000000.00000001</x:v>
      </x:c>
      <x:c r="K362" s="85" t="n">
        <x:v>0</x:v>
      </x:c>
      <x:c r="L362" s="28" t="n">
        <x:v>42</x:v>
      </x:c>
      <x:c r="M362" s="28" t="n">
        <x:v>36</x:v>
      </x:c>
      <x:c r="N362" s="28" t="n">
        <x:v>1.862645149230957e-9</x:v>
      </x:c>
      <x:c r="O362" s="28" t="n">
        <x:v>2.9802322387695312e-8</x:v>
      </x:c>
      <x:c r="P362" s="28" t="n">
        <x:v>0</x:v>
      </x:c>
      <x:c r="Q362" s="62" t="b">
        <x:v>1</x:v>
      </x:c>
      <x:c r="R362" s="28" t="n">
        <x:v>0</x:v>
      </x:c>
      <x:c r="S362" s="28" t="str">
        <x:v>2e3a71fa9b00dd4e</x:v>
      </x:c>
    </x:row>
    <x:row r="363" ht="21" customHeight="1">
      <x:c r="A363" s="60" t="n">
        <x:v>0.61</x:v>
      </x:c>
      <x:c r="B363" s="28" t="str">
        <x:v>middle_low</x:v>
      </x:c>
      <x:c r="C363" s="60" t="n">
        <x:v>0.95</x:v>
      </x:c>
      <x:c r="D363" s="60" t="n">
        <x:v>0.9361238209331334</x:v>
      </x:c>
      <x:c r="E363" s="62" t="b">
        <x:v>0</x:v>
      </x:c>
      <x:c r="F363" s="62" t="b">
        <x:v>0</x:v>
      </x:c>
      <x:c r="G363" s="85" t="n">
        <x:v>6045301.388720575</x:v>
      </x:c>
      <x:c r="H363" s="85" t="n">
        <x:v>53004756.46503664</x:v>
      </x:c>
      <x:c r="I363" s="85" t="n">
        <x:v>56178168.94874476</x:v>
      </x:c>
      <x:c r="J363" s="85" t="n">
        <x:v>87000000.00000001</x:v>
      </x:c>
      <x:c r="K363" s="85" t="n">
        <x:v>0</x:v>
      </x:c>
      <x:c r="L363" s="28" t="n">
        <x:v>42</x:v>
      </x:c>
      <x:c r="M363" s="28" t="n">
        <x:v>36</x:v>
      </x:c>
      <x:c r="N363" s="28" t="n">
        <x:v>1.862645149230957e-9</x:v>
      </x:c>
      <x:c r="O363" s="28" t="n">
        <x:v>1.4901161193847656e-8</x:v>
      </x:c>
      <x:c r="P363" s="28" t="n">
        <x:v>0</x:v>
      </x:c>
      <x:c r="Q363" s="62" t="b">
        <x:v>1</x:v>
      </x:c>
      <x:c r="R363" s="28" t="n">
        <x:v>4162853.720059991</x:v>
      </x:c>
      <x:c r="S363" s="28" t="str">
        <x:v>0390fd8fdc37bc18</x:v>
      </x:c>
    </x:row>
    <x:row r="364" ht="21" customHeight="1">
      <x:c r="A364" s="60" t="n">
        <x:v>0.61</x:v>
      </x:c>
      <x:c r="B364" s="28" t="str">
        <x:v>middle_low</x:v>
      </x:c>
      <x:c r="C364" s="60" t="n">
        <x:v>1</x:v>
      </x:c>
      <x:c r="D364" s="60" t="n">
        <x:v>0.9498342654879072</x:v>
      </x:c>
      <x:c r="E364" s="62" t="b">
        <x:v>0</x:v>
      </x:c>
      <x:c r="F364" s="62" t="b">
        <x:v>0</x:v>
      </x:c>
      <x:c r="G364" s="85" t="n">
        <x:v>6549026.516759113</x:v>
      </x:c>
      <x:c r="H364" s="85" t="n">
        <x:v>55107422.79588438</x:v>
      </x:c>
      <x:c r="I364" s="85" t="n">
        <x:v>57119277.03184247</x:v>
      </x:c>
      <x:c r="J364" s="85" t="n">
        <x:v>87000000.00000001</x:v>
      </x:c>
      <x:c r="K364" s="85" t="n">
        <x:v>0</x:v>
      </x:c>
      <x:c r="L364" s="28" t="n">
        <x:v>43</x:v>
      </x:c>
      <x:c r="M364" s="28" t="n">
        <x:v>37</x:v>
      </x:c>
      <x:c r="N364" s="28" t="n">
        <x:v>1.862645149230957e-9</x:v>
      </x:c>
      <x:c r="O364" s="28" t="n">
        <x:v>1.4901161193847656e-8</x:v>
      </x:c>
      <x:c r="P364" s="28" t="n">
        <x:v>0</x:v>
      </x:c>
      <x:c r="Q364" s="62" t="b">
        <x:v>1</x:v>
      </x:c>
      <x:c r="R364" s="28" t="n">
        <x:v>15049720.35362786</x:v>
      </x:c>
      <x:c r="S364" s="28" t="str">
        <x:v>75b55030d128207f</x:v>
      </x:c>
    </x:row>
    <x:row r="365" ht="21" customHeight="1">
      <x:c r="A365" s="60" t="n">
        <x:v>0.61</x:v>
      </x:c>
      <x:c r="B365" s="28" t="str">
        <x:v>middle_high</x:v>
      </x:c>
      <x:c r="C365" s="60" t="n">
        <x:v>0</x:v>
      </x:c>
      <x:c r="D365" s="60" t="n">
        <x:v>0</x:v>
      </x:c>
      <x:c r="E365" s="62" t="b">
        <x:v>1</x:v>
      </x:c>
      <x:c r="F365" s="62" t="b">
        <x:v>1</x:v>
      </x:c>
      <x:c r="G365" s="85" t="n">
        <x:v>0</x:v>
      </x:c>
      <x:c r="H365" s="85" t="n">
        <x:v>0</x:v>
      </x:c>
      <x:c r="I365" s="85" t="n">
        <x:v>0</x:v>
      </x:c>
      <x:c r="J365" s="85" t="n">
        <x:v>0</x:v>
      </x:c>
      <x:c r="K365" s="85" t="n">
        <x:v>35392694.84726021</x:v>
      </x:c>
      <x:c r="L365" s="28" t="n">
        <x:v>0</x:v>
      </x:c>
      <x:c r="M365" s="28" t="n">
        <x:v>0</x:v>
      </x:c>
      <x:c r="N365" s="28" t="n">
        <x:v>1.862645149230957e-9</x:v>
      </x:c>
      <x:c r="O365" s="28" t="n">
        <x:v>0</x:v>
      </x:c>
      <x:c r="P365" s="28" t="n">
        <x:v>0</x:v>
      </x:c>
      <x:c r="Q365" s="62" t="b">
        <x:v>1</x:v>
      </x:c>
      <x:c r="R365" s="28" t="n">
        <x:v>0</x:v>
      </x:c>
      <x:c r="S365" s="28" t="str">
        <x:v>429839c29b05d317</x:v>
      </x:c>
    </x:row>
    <x:row r="366" ht="21" customHeight="1">
      <x:c r="A366" s="60" t="n">
        <x:v>0.61</x:v>
      </x:c>
      <x:c r="B366" s="28" t="str">
        <x:v>middle_high</x:v>
      </x:c>
      <x:c r="C366" s="60" t="n">
        <x:v>0.05</x:v>
      </x:c>
      <x:c r="D366" s="60" t="n">
        <x:v>0.05</x:v>
      </x:c>
      <x:c r="E366" s="62" t="b">
        <x:v>1</x:v>
      </x:c>
      <x:c r="F366" s="62" t="b">
        <x:v>1</x:v>
      </x:c>
      <x:c r="G366" s="85" t="n">
        <x:v>0</x:v>
      </x:c>
      <x:c r="H366" s="85" t="n">
        <x:v>0</x:v>
      </x:c>
      <x:c r="I366" s="85" t="n">
        <x:v>0</x:v>
      </x:c>
      <x:c r="J366" s="85" t="n">
        <x:v>0</x:v>
      </x:c>
      <x:c r="K366" s="85" t="n">
        <x:v>21978208.968110427</x:v>
      </x:c>
      <x:c r="L366" s="28" t="n">
        <x:v>0</x:v>
      </x:c>
      <x:c r="M366" s="28" t="n">
        <x:v>0</x:v>
      </x:c>
      <x:c r="N366" s="28" t="n">
        <x:v>3.725290298461914e-9</x:v>
      </x:c>
      <x:c r="O366" s="28" t="n">
        <x:v>2.9802322387695312e-8</x:v>
      </x:c>
      <x:c r="P366" s="28" t="n">
        <x:v>0</x:v>
      </x:c>
      <x:c r="Q366" s="62" t="b">
        <x:v>1</x:v>
      </x:c>
      <x:c r="R366" s="28" t="n">
        <x:v>0</x:v>
      </x:c>
      <x:c r="S366" s="28" t="str">
        <x:v>7ddb9ce3d3f895a6</x:v>
      </x:c>
    </x:row>
    <x:row r="367" ht="21" customHeight="1">
      <x:c r="A367" s="60" t="n">
        <x:v>0.61</x:v>
      </x:c>
      <x:c r="B367" s="28" t="str">
        <x:v>middle_high</x:v>
      </x:c>
      <x:c r="C367" s="60" t="n">
        <x:v>0.1</x:v>
      </x:c>
      <x:c r="D367" s="60" t="n">
        <x:v>0.1</x:v>
      </x:c>
      <x:c r="E367" s="62" t="b">
        <x:v>1</x:v>
      </x:c>
      <x:c r="F367" s="62" t="b">
        <x:v>1</x:v>
      </x:c>
      <x:c r="G367" s="85" t="n">
        <x:v>0</x:v>
      </x:c>
      <x:c r="H367" s="85" t="n">
        <x:v>0</x:v>
      </x:c>
      <x:c r="I367" s="85" t="n">
        <x:v>0</x:v>
      </x:c>
      <x:c r="J367" s="85" t="n">
        <x:v>0</x:v>
      </x:c>
      <x:c r="K367" s="85" t="n">
        <x:v>8414013.7879376</x:v>
      </x:c>
      <x:c r="L367" s="28" t="n">
        <x:v>0</x:v>
      </x:c>
      <x:c r="M367" s="28" t="n">
        <x:v>0</x:v>
      </x:c>
      <x:c r="N367" s="28" t="n">
        <x:v>3.725290298461914e-9</x:v>
      </x:c>
      <x:c r="O367" s="28" t="n">
        <x:v>5.960464477539063e-8</x:v>
      </x:c>
      <x:c r="P367" s="28" t="n">
        <x:v>0</x:v>
      </x:c>
      <x:c r="Q367" s="62" t="b">
        <x:v>1</x:v>
      </x:c>
      <x:c r="R367" s="28" t="n">
        <x:v>0</x:v>
      </x:c>
      <x:c r="S367" s="28" t="str">
        <x:v>1db6bc02e175beb3</x:v>
      </x:c>
    </x:row>
    <x:row r="368" ht="21" customHeight="1">
      <x:c r="A368" s="60" t="n">
        <x:v>0.61</x:v>
      </x:c>
      <x:c r="B368" s="28" t="str">
        <x:v>middle_high</x:v>
      </x:c>
      <x:c r="C368" s="60" t="n">
        <x:v>0.15</x:v>
      </x:c>
      <x:c r="D368" s="60" t="n">
        <x:v>0.15</x:v>
      </x:c>
      <x:c r="E368" s="62" t="b">
        <x:v>1</x:v>
      </x:c>
      <x:c r="F368" s="62" t="b">
        <x:v>1</x:v>
      </x:c>
      <x:c r="G368" s="85" t="n">
        <x:v>0</x:v>
      </x:c>
      <x:c r="H368" s="85" t="n">
        <x:v>0</x:v>
      </x:c>
      <x:c r="I368" s="85" t="n">
        <x:v>5368681.058894555</x:v>
      </x:c>
      <x:c r="J368" s="85" t="n">
        <x:v>0</x:v>
      </x:c>
      <x:c r="K368" s="85" t="n">
        <x:v>1218270.6990349456</x:v>
      </x:c>
      <x:c r="L368" s="28" t="n">
        <x:v>0</x:v>
      </x:c>
      <x:c r="M368" s="28" t="n">
        <x:v>0</x:v>
      </x:c>
      <x:c r="N368" s="28" t="n">
        <x:v>3.725290298461914e-9</x:v>
      </x:c>
      <x:c r="O368" s="28" t="n">
        <x:v>2.9802322387695312e-8</x:v>
      </x:c>
      <x:c r="P368" s="28" t="n">
        <x:v>0</x:v>
      </x:c>
      <x:c r="Q368" s="62" t="b">
        <x:v>1</x:v>
      </x:c>
      <x:c r="R368" s="28" t="n">
        <x:v>0</x:v>
      </x:c>
      <x:c r="S368" s="28" t="str">
        <x:v>58ffc4be450db456</x:v>
      </x:c>
    </x:row>
    <x:row r="369" ht="21" customHeight="1">
      <x:c r="A369" s="60" t="n">
        <x:v>0.61</x:v>
      </x:c>
      <x:c r="B369" s="28" t="str">
        <x:v>middle_high</x:v>
      </x:c>
      <x:c r="C369" s="60" t="n">
        <x:v>0.2</x:v>
      </x:c>
      <x:c r="D369" s="60" t="n">
        <x:v>0.2</x:v>
      </x:c>
      <x:c r="E369" s="62" t="b">
        <x:v>1</x:v>
      </x:c>
      <x:c r="F369" s="62" t="b">
        <x:v>1</x:v>
      </x:c>
      <x:c r="G369" s="85" t="n">
        <x:v>0</x:v>
      </x:c>
      <x:c r="H369" s="85" t="n">
        <x:v>0</x:v>
      </x:c>
      <x:c r="I369" s="85" t="n">
        <x:v>16026740.42103829</x:v>
      </x:c>
      <x:c r="J369" s="85" t="n">
        <x:v>6318282.052720871</x:v>
      </x:c>
      <x:c r="K369" s="85" t="n">
        <x:v>886358.04237244</x:v>
      </x:c>
      <x:c r="L369" s="28" t="n">
        <x:v>0</x:v>
      </x:c>
      <x:c r="M369" s="28" t="n">
        <x:v>0</x:v>
      </x:c>
      <x:c r="N369" s="28" t="n">
        <x:v>3.725290298461914e-9</x:v>
      </x:c>
      <x:c r="O369" s="28" t="n">
        <x:v>2.9802322387695312e-8</x:v>
      </x:c>
      <x:c r="P369" s="28" t="n">
        <x:v>0</x:v>
      </x:c>
      <x:c r="Q369" s="62" t="b">
        <x:v>1</x:v>
      </x:c>
      <x:c r="R369" s="28" t="n">
        <x:v>0</x:v>
      </x:c>
      <x:c r="S369" s="28" t="str">
        <x:v>efb13188cbdfd068</x:v>
      </x:c>
    </x:row>
    <x:row r="370" ht="21" customHeight="1">
      <x:c r="A370" s="60" t="n">
        <x:v>0.61</x:v>
      </x:c>
      <x:c r="B370" s="28" t="str">
        <x:v>middle_high</x:v>
      </x:c>
      <x:c r="C370" s="60" t="n">
        <x:v>0.25</x:v>
      </x:c>
      <x:c r="D370" s="60" t="n">
        <x:v>0.25</x:v>
      </x:c>
      <x:c r="E370" s="62" t="b">
        <x:v>1</x:v>
      </x:c>
      <x:c r="F370" s="62" t="b">
        <x:v>1</x:v>
      </x:c>
      <x:c r="G370" s="85" t="n">
        <x:v>0</x:v>
      </x:c>
      <x:c r="H370" s="85" t="n">
        <x:v>0</x:v>
      </x:c>
      <x:c r="I370" s="85" t="n">
        <x:v>25203128.106043022</x:v>
      </x:c>
      <x:c r="J370" s="85" t="n">
        <x:v>15397852.565901024</x:v>
      </x:c>
      <x:c r="K370" s="85" t="n">
        <x:v>695025.2262191746</x:v>
      </x:c>
      <x:c r="L370" s="28" t="n">
        <x:v>0</x:v>
      </x:c>
      <x:c r="M370" s="28" t="n">
        <x:v>0</x:v>
      </x:c>
      <x:c r="N370" s="28" t="n">
        <x:v>3.725290298461914e-9</x:v>
      </x:c>
      <x:c r="O370" s="28" t="n">
        <x:v>2.9802322387695312e-8</x:v>
      </x:c>
      <x:c r="P370" s="28" t="n">
        <x:v>0</x:v>
      </x:c>
      <x:c r="Q370" s="62" t="b">
        <x:v>1</x:v>
      </x:c>
      <x:c r="R370" s="28" t="n">
        <x:v>0</x:v>
      </x:c>
      <x:c r="S370" s="28" t="str">
        <x:v>34a54eaf3687e871</x:v>
      </x:c>
    </x:row>
    <x:row r="371" ht="21" customHeight="1">
      <x:c r="A371" s="60" t="n">
        <x:v>0.61</x:v>
      </x:c>
      <x:c r="B371" s="28" t="str">
        <x:v>middle_high</x:v>
      </x:c>
      <x:c r="C371" s="60" t="n">
        <x:v>0.3</x:v>
      </x:c>
      <x:c r="D371" s="60" t="n">
        <x:v>0.3</x:v>
      </x:c>
      <x:c r="E371" s="62" t="b">
        <x:v>1</x:v>
      </x:c>
      <x:c r="F371" s="62" t="b">
        <x:v>1</x:v>
      </x:c>
      <x:c r="G371" s="85" t="n">
        <x:v>0</x:v>
      </x:c>
      <x:c r="H371" s="85" t="n">
        <x:v>0</x:v>
      </x:c>
      <x:c r="I371" s="85" t="n">
        <x:v>34465443.546388805</x:v>
      </x:c>
      <x:c r="J371" s="85" t="n">
        <x:v>24477423.079081148</x:v>
      </x:c>
      <x:c r="K371" s="85" t="n">
        <x:v>566903.1714630213</x:v>
      </x:c>
      <x:c r="L371" s="28" t="n">
        <x:v>0</x:v>
      </x:c>
      <x:c r="M371" s="28" t="n">
        <x:v>0</x:v>
      </x:c>
      <x:c r="N371" s="28" t="n">
        <x:v>3.725290298461914e-9</x:v>
      </x:c>
      <x:c r="O371" s="28" t="n">
        <x:v>2.9802322387695312e-8</x:v>
      </x:c>
      <x:c r="P371" s="28" t="n">
        <x:v>0</x:v>
      </x:c>
      <x:c r="Q371" s="62" t="b">
        <x:v>1</x:v>
      </x:c>
      <x:c r="R371" s="28" t="n">
        <x:v>0</x:v>
      </x:c>
      <x:c r="S371" s="28" t="str">
        <x:v>e22119e823706cae</x:v>
      </x:c>
    </x:row>
    <x:row r="372" ht="21" customHeight="1">
      <x:c r="A372" s="60" t="n">
        <x:v>0.61</x:v>
      </x:c>
      <x:c r="B372" s="28" t="str">
        <x:v>middle_high</x:v>
      </x:c>
      <x:c r="C372" s="60" t="n">
        <x:v>0.35</x:v>
      </x:c>
      <x:c r="D372" s="60" t="n">
        <x:v>0.35</x:v>
      </x:c>
      <x:c r="E372" s="62" t="b">
        <x:v>1</x:v>
      </x:c>
      <x:c r="F372" s="62" t="b">
        <x:v>1</x:v>
      </x:c>
      <x:c r="G372" s="85" t="n">
        <x:v>0</x:v>
      </x:c>
      <x:c r="H372" s="85" t="n">
        <x:v>0</x:v>
      </x:c>
      <x:c r="I372" s="85" t="n">
        <x:v>43854070.87272756</x:v>
      </x:c>
      <x:c r="J372" s="85" t="n">
        <x:v>33556993.59226132</x:v>
      </x:c>
      <x:c r="K372" s="85" t="n">
        <x:v>438781.11670683447</x:v>
      </x:c>
      <x:c r="L372" s="28" t="n">
        <x:v>0</x:v>
      </x:c>
      <x:c r="M372" s="28" t="n">
        <x:v>0</x:v>
      </x:c>
      <x:c r="N372" s="28" t="n">
        <x:v>1.862645149230957e-9</x:v>
      </x:c>
      <x:c r="O372" s="28" t="n">
        <x:v>2.9802322387695312e-8</x:v>
      </x:c>
      <x:c r="P372" s="28" t="n">
        <x:v>0</x:v>
      </x:c>
      <x:c r="Q372" s="62" t="b">
        <x:v>1</x:v>
      </x:c>
      <x:c r="R372" s="28" t="n">
        <x:v>0</x:v>
      </x:c>
      <x:c r="S372" s="28" t="str">
        <x:v>e60876fbbe55d992</x:v>
      </x:c>
    </x:row>
    <x:row r="373" ht="21" customHeight="1">
      <x:c r="A373" s="60" t="n">
        <x:v>0.61</x:v>
      </x:c>
      <x:c r="B373" s="28" t="str">
        <x:v>middle_high</x:v>
      </x:c>
      <x:c r="C373" s="60" t="n">
        <x:v>0.4</x:v>
      </x:c>
      <x:c r="D373" s="60" t="n">
        <x:v>0.4</x:v>
      </x:c>
      <x:c r="E373" s="62" t="b">
        <x:v>1</x:v>
      </x:c>
      <x:c r="F373" s="62" t="b">
        <x:v>1</x:v>
      </x:c>
      <x:c r="G373" s="85" t="n">
        <x:v>0</x:v>
      </x:c>
      <x:c r="H373" s="85" t="n">
        <x:v>0</x:v>
      </x:c>
      <x:c r="I373" s="85" t="n">
        <x:v>53233429.82405368</x:v>
      </x:c>
      <x:c r="J373" s="85" t="n">
        <x:v>42636564.10544156</x:v>
      </x:c>
      <x:c r="K373" s="85" t="n">
        <x:v>352828.12549040664</x:v>
      </x:c>
      <x:c r="L373" s="28" t="n">
        <x:v>0</x:v>
      </x:c>
      <x:c r="M373" s="28" t="n">
        <x:v>0</x:v>
      </x:c>
      <x:c r="N373" s="28" t="n">
        <x:v>1.862645149230957e-9</x:v>
      </x:c>
      <x:c r="O373" s="28" t="n">
        <x:v>2.9802322387695312e-8</x:v>
      </x:c>
      <x:c r="P373" s="28" t="n">
        <x:v>0</x:v>
      </x:c>
      <x:c r="Q373" s="62" t="b">
        <x:v>1</x:v>
      </x:c>
      <x:c r="R373" s="28" t="n">
        <x:v>0</x:v>
      </x:c>
      <x:c r="S373" s="28" t="str">
        <x:v>15793b6a4f78554d</x:v>
      </x:c>
    </x:row>
    <x:row r="374" ht="21" customHeight="1">
      <x:c r="A374" s="60" t="n">
        <x:v>0.61</x:v>
      </x:c>
      <x:c r="B374" s="28" t="str">
        <x:v>middle_high</x:v>
      </x:c>
      <x:c r="C374" s="60" t="n">
        <x:v>0.45</x:v>
      </x:c>
      <x:c r="D374" s="60" t="n">
        <x:v>0.45</x:v>
      </x:c>
      <x:c r="E374" s="62" t="b">
        <x:v>1</x:v>
      </x:c>
      <x:c r="F374" s="62" t="b">
        <x:v>1</x:v>
      </x:c>
      <x:c r="G374" s="85" t="n">
        <x:v>0</x:v>
      </x:c>
      <x:c r="H374" s="85" t="n">
        <x:v>0</x:v>
      </x:c>
      <x:c r="I374" s="85" t="n">
        <x:v>62573432.81926931</x:v>
      </x:c>
      <x:c r="J374" s="85" t="n">
        <x:v>51716134.61862181</x:v>
      </x:c>
      <x:c r="K374" s="85" t="n">
        <x:v>314140.53655341745</x:v>
      </x:c>
      <x:c r="L374" s="28" t="n">
        <x:v>0</x:v>
      </x:c>
      <x:c r="M374" s="28" t="n">
        <x:v>0</x:v>
      </x:c>
      <x:c r="N374" s="28" t="n">
        <x:v>3.725290298461914e-9</x:v>
      </x:c>
      <x:c r="O374" s="28" t="n">
        <x:v>2.9802322387695312e-8</x:v>
      </x:c>
      <x:c r="P374" s="28" t="n">
        <x:v>0</x:v>
      </x:c>
      <x:c r="Q374" s="62" t="b">
        <x:v>1</x:v>
      </x:c>
      <x:c r="R374" s="28" t="n">
        <x:v>0</x:v>
      </x:c>
      <x:c r="S374" s="28" t="str">
        <x:v>0db9bf96e0abdd4b</x:v>
      </x:c>
    </x:row>
    <x:row r="375" ht="21" customHeight="1">
      <x:c r="A375" s="60" t="n">
        <x:v>0.61</x:v>
      </x:c>
      <x:c r="B375" s="28" t="str">
        <x:v>middle_high</x:v>
      </x:c>
      <x:c r="C375" s="60" t="n">
        <x:v>0.5</x:v>
      </x:c>
      <x:c r="D375" s="60" t="n">
        <x:v>0.5</x:v>
      </x:c>
      <x:c r="E375" s="62" t="b">
        <x:v>1</x:v>
      </x:c>
      <x:c r="F375" s="62" t="b">
        <x:v>1</x:v>
      </x:c>
      <x:c r="G375" s="85" t="n">
        <x:v>0</x:v>
      </x:c>
      <x:c r="H375" s="85" t="n">
        <x:v>0</x:v>
      </x:c>
      <x:c r="I375" s="85" t="n">
        <x:v>72438971.82409948</x:v>
      </x:c>
      <x:c r="J375" s="85" t="n">
        <x:v>57574272.2044956</x:v>
      </x:c>
      <x:c r="K375" s="85" t="n">
        <x:v>275452.94761643675</x:v>
      </x:c>
      <x:c r="L375" s="28" t="n">
        <x:v>4</x:v>
      </x:c>
      <x:c r="M375" s="28" t="n">
        <x:v>0</x:v>
      </x:c>
      <x:c r="N375" s="28" t="n">
        <x:v>3.725290298461914e-9</x:v>
      </x:c>
      <x:c r="O375" s="28" t="n">
        <x:v>1.4901161193847656e-8</x:v>
      </x:c>
      <x:c r="P375" s="28" t="n">
        <x:v>0</x:v>
      </x:c>
      <x:c r="Q375" s="62" t="b">
        <x:v>1</x:v>
      </x:c>
      <x:c r="R375" s="28" t="n">
        <x:v>0</x:v>
      </x:c>
      <x:c r="S375" s="28" t="str">
        <x:v>f1acf39595a97f18</x:v>
      </x:c>
    </x:row>
    <x:row r="376" ht="21" customHeight="1">
      <x:c r="A376" s="60" t="n">
        <x:v>0.61</x:v>
      </x:c>
      <x:c r="B376" s="28" t="str">
        <x:v>middle_high</x:v>
      </x:c>
      <x:c r="C376" s="60" t="n">
        <x:v>0.55</x:v>
      </x:c>
      <x:c r="D376" s="60" t="n">
        <x:v>0.55</x:v>
      </x:c>
      <x:c r="E376" s="62" t="b">
        <x:v>1</x:v>
      </x:c>
      <x:c r="F376" s="62" t="b">
        <x:v>1</x:v>
      </x:c>
      <x:c r="G376" s="85" t="n">
        <x:v>0</x:v>
      </x:c>
      <x:c r="H376" s="85" t="n">
        <x:v>0</x:v>
      </x:c>
      <x:c r="I376" s="85" t="n">
        <x:v>82188546.99655496</x:v>
      </x:c>
      <x:c r="J376" s="85" t="n">
        <x:v>64276394.65212653</x:v>
      </x:c>
      <x:c r="K376" s="85" t="n">
        <x:v>236765.35867945038</x:v>
      </x:c>
      <x:c r="L376" s="28" t="n">
        <x:v>9</x:v>
      </x:c>
      <x:c r="M376" s="28" t="n">
        <x:v>0</x:v>
      </x:c>
      <x:c r="N376" s="28" t="n">
        <x:v>1.862645149230957e-9</x:v>
      </x:c>
      <x:c r="O376" s="28" t="n">
        <x:v>2.9802322387695312e-8</x:v>
      </x:c>
      <x:c r="P376" s="28" t="n">
        <x:v>0</x:v>
      </x:c>
      <x:c r="Q376" s="62" t="b">
        <x:v>1</x:v>
      </x:c>
      <x:c r="R376" s="28" t="n">
        <x:v>0</x:v>
      </x:c>
      <x:c r="S376" s="28" t="str">
        <x:v>ed3620adb2be677d</x:v>
      </x:c>
    </x:row>
    <x:row r="377" ht="21" customHeight="1">
      <x:c r="A377" s="60" t="n">
        <x:v>0.61</x:v>
      </x:c>
      <x:c r="B377" s="28" t="str">
        <x:v>middle_high</x:v>
      </x:c>
      <x:c r="C377" s="60" t="n">
        <x:v>0.6</x:v>
      </x:c>
      <x:c r="D377" s="60" t="n">
        <x:v>0.6</x:v>
      </x:c>
      <x:c r="E377" s="62" t="b">
        <x:v>1</x:v>
      </x:c>
      <x:c r="F377" s="62" t="b">
        <x:v>1</x:v>
      </x:c>
      <x:c r="G377" s="85" t="n">
        <x:v>0</x:v>
      </x:c>
      <x:c r="H377" s="85" t="n">
        <x:v>0</x:v>
      </x:c>
      <x:c r="I377" s="85" t="n">
        <x:v>91394186.40689649</x:v>
      </x:c>
      <x:c r="J377" s="85" t="n">
        <x:v>73666315.67064533</x:v>
      </x:c>
      <x:c r="K377" s="85" t="n">
        <x:v>198077.76974246406</x:v>
      </x:c>
      <x:c r="L377" s="28" t="n">
        <x:v>12</x:v>
      </x:c>
      <x:c r="M377" s="28" t="n">
        <x:v>7</x:v>
      </x:c>
      <x:c r="N377" s="28" t="n">
        <x:v>1.862645149230957e-9</x:v>
      </x:c>
      <x:c r="O377" s="28" t="n">
        <x:v>2.9802322387695312e-8</x:v>
      </x:c>
      <x:c r="P377" s="28" t="n">
        <x:v>0</x:v>
      </x:c>
      <x:c r="Q377" s="62" t="b">
        <x:v>1</x:v>
      </x:c>
      <x:c r="R377" s="28" t="n">
        <x:v>0</x:v>
      </x:c>
      <x:c r="S377" s="28" t="str">
        <x:v>206898eb5f8e7da5</x:v>
      </x:c>
    </x:row>
    <x:row r="378" ht="21" customHeight="1">
      <x:c r="A378" s="60" t="n">
        <x:v>0.61</x:v>
      </x:c>
      <x:c r="B378" s="28" t="str">
        <x:v>middle_high</x:v>
      </x:c>
      <x:c r="C378" s="60" t="n">
        <x:v>0.65</x:v>
      </x:c>
      <x:c r="D378" s="60" t="n">
        <x:v>0.65</x:v>
      </x:c>
      <x:c r="E378" s="62" t="b">
        <x:v>1</x:v>
      </x:c>
      <x:c r="F378" s="62" t="b">
        <x:v>1</x:v>
      </x:c>
      <x:c r="G378" s="85" t="n">
        <x:v>0</x:v>
      </x:c>
      <x:c r="H378" s="85" t="n">
        <x:v>0</x:v>
      </x:c>
      <x:c r="I378" s="85" t="n">
        <x:v>100256359.63429637</x:v>
      </x:c>
      <x:c r="J378" s="85" t="n">
        <x:v>83745519.78450155</x:v>
      </x:c>
      <x:c r="K378" s="85" t="n">
        <x:v>159390.1808054768</x:v>
      </x:c>
      <x:c r="L378" s="28" t="n">
        <x:v>17</x:v>
      </x:c>
      <x:c r="M378" s="28" t="n">
        <x:v>12</x:v>
      </x:c>
      <x:c r="N378" s="28" t="n">
        <x:v>1.862645149230957e-9</x:v>
      </x:c>
      <x:c r="O378" s="28" t="n">
        <x:v>2.9802322387695312e-8</x:v>
      </x:c>
      <x:c r="P378" s="28" t="n">
        <x:v>0</x:v>
      </x:c>
      <x:c r="Q378" s="62" t="b">
        <x:v>1</x:v>
      </x:c>
      <x:c r="R378" s="28" t="n">
        <x:v>0</x:v>
      </x:c>
      <x:c r="S378" s="28" t="str">
        <x:v>4a97ff5d1cfcee37</x:v>
      </x:c>
    </x:row>
    <x:row r="379" ht="21" customHeight="1">
      <x:c r="A379" s="60" t="n">
        <x:v>0.61</x:v>
      </x:c>
      <x:c r="B379" s="28" t="str">
        <x:v>middle_high</x:v>
      </x:c>
      <x:c r="C379" s="60" t="n">
        <x:v>0.7</x:v>
      </x:c>
      <x:c r="D379" s="60" t="n">
        <x:v>0.7</x:v>
      </x:c>
      <x:c r="E379" s="62" t="b">
        <x:v>1</x:v>
      </x:c>
      <x:c r="F379" s="62" t="b">
        <x:v>0</x:v>
      </x:c>
      <x:c r="G379" s="85" t="n">
        <x:v>2754017.9775720374</x:v>
      </x:c>
      <x:c r="H379" s="85" t="n">
        <x:v>9378495.918570545</x:v>
      </x:c>
      <x:c r="I379" s="85" t="n">
        <x:v>103764016.69774194</x:v>
      </x:c>
      <x:c r="J379" s="85" t="n">
        <x:v>87000000.00000001</x:v>
      </x:c>
      <x:c r="K379" s="85" t="n">
        <x:v>120702.59186849045</x:v>
      </x:c>
      <x:c r="L379" s="28" t="n">
        <x:v>40</x:v>
      </x:c>
      <x:c r="M379" s="28" t="n">
        <x:v>36</x:v>
      </x:c>
      <x:c r="N379" s="28" t="n">
        <x:v>3.725290298461914e-9</x:v>
      </x:c>
      <x:c r="O379" s="28" t="n">
        <x:v>1.4901161193847656e-8</x:v>
      </x:c>
      <x:c r="P379" s="28" t="n">
        <x:v>0</x:v>
      </x:c>
      <x:c r="Q379" s="62" t="b">
        <x:v>1</x:v>
      </x:c>
      <x:c r="R379" s="28" t="n">
        <x:v>0</x:v>
      </x:c>
      <x:c r="S379" s="28" t="str">
        <x:v>3d5222e1fdccbdb7</x:v>
      </x:c>
    </x:row>
    <x:row r="380" ht="21" customHeight="1">
      <x:c r="A380" s="60" t="n">
        <x:v>0.61</x:v>
      </x:c>
      <x:c r="B380" s="28" t="str">
        <x:v>middle_high</x:v>
      </x:c>
      <x:c r="C380" s="60" t="n">
        <x:v>0.75</x:v>
      </x:c>
      <x:c r="D380" s="60" t="n">
        <x:v>0.75</x:v>
      </x:c>
      <x:c r="E380" s="62" t="b">
        <x:v>1</x:v>
      </x:c>
      <x:c r="F380" s="62" t="b">
        <x:v>0</x:v>
      </x:c>
      <x:c r="G380" s="85" t="n">
        <x:v>7304944.316765154</x:v>
      </x:c>
      <x:c r="H380" s="85" t="n">
        <x:v>23482932.57253461</x:v>
      </x:c>
      <x:c r="I380" s="85" t="n">
        <x:v>104217579.44131842</x:v>
      </x:c>
      <x:c r="J380" s="85" t="n">
        <x:v>87000000.00000001</x:v>
      </x:c>
      <x:c r="K380" s="85" t="n">
        <x:v>82015.00293150503</x:v>
      </x:c>
      <x:c r="L380" s="28" t="n">
        <x:v>40</x:v>
      </x:c>
      <x:c r="M380" s="28" t="n">
        <x:v>37</x:v>
      </x:c>
      <x:c r="N380" s="28" t="n">
        <x:v>1.862645149230957e-9</x:v>
      </x:c>
      <x:c r="O380" s="28" t="n">
        <x:v>2.9802322387695312e-8</x:v>
      </x:c>
      <x:c r="P380" s="28" t="n">
        <x:v>0</x:v>
      </x:c>
      <x:c r="Q380" s="62" t="b">
        <x:v>1</x:v>
      </x:c>
      <x:c r="R380" s="28" t="n">
        <x:v>0</x:v>
      </x:c>
      <x:c r="S380" s="28" t="str">
        <x:v>ba1dbb36787e34be</x:v>
      </x:c>
    </x:row>
    <x:row r="381" ht="21" customHeight="1">
      <x:c r="A381" s="60" t="n">
        <x:v>0.61</x:v>
      </x:c>
      <x:c r="B381" s="28" t="str">
        <x:v>middle_high</x:v>
      </x:c>
      <x:c r="C381" s="60" t="n">
        <x:v>0.8</x:v>
      </x:c>
      <x:c r="D381" s="60" t="n">
        <x:v>0.8</x:v>
      </x:c>
      <x:c r="E381" s="62" t="b">
        <x:v>1</x:v>
      </x:c>
      <x:c r="F381" s="62" t="b">
        <x:v>0</x:v>
      </x:c>
      <x:c r="G381" s="85" t="n">
        <x:v>11564572.949774845</x:v>
      </x:c>
      <x:c r="H381" s="85" t="n">
        <x:v>35212409.89514841</x:v>
      </x:c>
      <x:c r="I381" s="85" t="n">
        <x:v>105891823.02289863</x:v>
      </x:c>
      <x:c r="J381" s="85" t="n">
        <x:v>87000000.00000001</x:v>
      </x:c>
      <x:c r="K381" s="85" t="n">
        <x:v>65715.45139725765</x:v>
      </x:c>
      <x:c r="L381" s="28" t="n">
        <x:v>41</x:v>
      </x:c>
      <x:c r="M381" s="28" t="n">
        <x:v>38</x:v>
      </x:c>
      <x:c r="N381" s="28" t="n">
        <x:v>1.862645149230957e-9</x:v>
      </x:c>
      <x:c r="O381" s="28" t="n">
        <x:v>1.4901161193847656e-8</x:v>
      </x:c>
      <x:c r="P381" s="28" t="n">
        <x:v>0</x:v>
      </x:c>
      <x:c r="Q381" s="62" t="b">
        <x:v>1</x:v>
      </x:c>
      <x:c r="R381" s="28" t="n">
        <x:v>0</x:v>
      </x:c>
      <x:c r="S381" s="28" t="str">
        <x:v>5382a6ccb18f152e</x:v>
      </x:c>
    </x:row>
    <x:row r="382" ht="21" customHeight="1">
      <x:c r="A382" s="60" t="n">
        <x:v>0.61</x:v>
      </x:c>
      <x:c r="B382" s="28" t="str">
        <x:v>middle_high</x:v>
      </x:c>
      <x:c r="C382" s="60" t="n">
        <x:v>0.85</x:v>
      </x:c>
      <x:c r="D382" s="60" t="n">
        <x:v>0.85</x:v>
      </x:c>
      <x:c r="E382" s="62" t="b">
        <x:v>1</x:v>
      </x:c>
      <x:c r="F382" s="62" t="b">
        <x:v>0</x:v>
      </x:c>
      <x:c r="G382" s="85" t="n">
        <x:v>16843208.025199965</x:v>
      </x:c>
      <x:c r="H382" s="85" t="n">
        <x:v>48433851.95851193</x:v>
      </x:c>
      <x:c r="I382" s="85" t="n">
        <x:v>106232275.71337089</x:v>
      </x:c>
      <x:c r="J382" s="85" t="n">
        <x:v>87000000.00000001</x:v>
      </x:c>
      <x:c r="K382" s="85" t="n">
        <x:v>52819.40169862824</x:v>
      </x:c>
      <x:c r="L382" s="28" t="n">
        <x:v>41</x:v>
      </x:c>
      <x:c r="M382" s="28" t="n">
        <x:v>39</x:v>
      </x:c>
      <x:c r="N382" s="28" t="n">
        <x:v>1.862645149230957e-9</x:v>
      </x:c>
      <x:c r="O382" s="28" t="n">
        <x:v>2.9802322387695312e-8</x:v>
      </x:c>
      <x:c r="P382" s="28" t="n">
        <x:v>0</x:v>
      </x:c>
      <x:c r="Q382" s="62" t="b">
        <x:v>1</x:v>
      </x:c>
      <x:c r="R382" s="28" t="n">
        <x:v>0</x:v>
      </x:c>
      <x:c r="S382" s="28" t="str">
        <x:v>5f36177ca275564e</x:v>
      </x:c>
    </x:row>
    <x:row r="383" ht="21" customHeight="1">
      <x:c r="A383" s="60" t="n">
        <x:v>0.61</x:v>
      </x:c>
      <x:c r="B383" s="28" t="str">
        <x:v>middle_high</x:v>
      </x:c>
      <x:c r="C383" s="60" t="n">
        <x:v>0.9</x:v>
      </x:c>
      <x:c r="D383" s="60" t="n">
        <x:v>0.9</x:v>
      </x:c>
      <x:c r="E383" s="62" t="b">
        <x:v>1</x:v>
      </x:c>
      <x:c r="F383" s="62" t="b">
        <x:v>0</x:v>
      </x:c>
      <x:c r="G383" s="85" t="n">
        <x:v>24644464.369162846</x:v>
      </x:c>
      <x:c r="H383" s="85" t="n">
        <x:v>56986332.99810315</x:v>
      </x:c>
      <x:c r="I383" s="85" t="n">
        <x:v>107738762.76393773</x:v>
      </x:c>
      <x:c r="J383" s="85" t="n">
        <x:v>87000000.00000001</x:v>
      </x:c>
      <x:c r="K383" s="85" t="n">
        <x:v>39923.351999996026</x:v>
      </x:c>
      <x:c r="L383" s="28" t="n">
        <x:v>42</x:v>
      </x:c>
      <x:c r="M383" s="28" t="n">
        <x:v>39</x:v>
      </x:c>
      <x:c r="N383" s="28" t="n">
        <x:v>1.862645149230957e-9</x:v>
      </x:c>
      <x:c r="O383" s="28" t="n">
        <x:v>2.9802322387695312e-8</x:v>
      </x:c>
      <x:c r="P383" s="28" t="n">
        <x:v>0</x:v>
      </x:c>
      <x:c r="Q383" s="62" t="b">
        <x:v>1</x:v>
      </x:c>
      <x:c r="R383" s="28" t="n">
        <x:v>0</x:v>
      </x:c>
      <x:c r="S383" s="28" t="str">
        <x:v>22bd92a4b347e15a</x:v>
      </x:c>
    </x:row>
    <x:row r="384" ht="21" customHeight="1">
      <x:c r="A384" s="60" t="n">
        <x:v>0.61</x:v>
      </x:c>
      <x:c r="B384" s="28" t="str">
        <x:v>middle_high</x:v>
      </x:c>
      <x:c r="C384" s="60" t="n">
        <x:v>0.95</x:v>
      </x:c>
      <x:c r="D384" s="60" t="n">
        <x:v>0.9361238209331334</x:v>
      </x:c>
      <x:c r="E384" s="62" t="b">
        <x:v>0</x:v>
      </x:c>
      <x:c r="F384" s="62" t="b">
        <x:v>0</x:v>
      </x:c>
      <x:c r="G384" s="85" t="n">
        <x:v>28495302.071327932</x:v>
      </x:c>
      <x:c r="H384" s="85" t="n">
        <x:v>64149316.3434856</x:v>
      </x:c>
      <x:c r="I384" s="85" t="n">
        <x:v>107982143.43392818</x:v>
      </x:c>
      <x:c r="J384" s="85" t="n">
        <x:v>87000000.00000001</x:v>
      </x:c>
      <x:c r="K384" s="85" t="n">
        <x:v>27027.302301362884</x:v>
      </x:c>
      <x:c r="L384" s="28" t="n">
        <x:v>42</x:v>
      </x:c>
      <x:c r="M384" s="28" t="n">
        <x:v>40</x:v>
      </x:c>
      <x:c r="N384" s="28" t="n">
        <x:v>1.862645149230957e-9</x:v>
      </x:c>
      <x:c r="O384" s="28" t="n">
        <x:v>1.4901161193847656e-8</x:v>
      </x:c>
      <x:c r="P384" s="28" t="n">
        <x:v>0</x:v>
      </x:c>
      <x:c r="Q384" s="62" t="b">
        <x:v>1</x:v>
      </x:c>
      <x:c r="R384" s="28" t="n">
        <x:v>4162853.720059991</x:v>
      </x:c>
      <x:c r="S384" s="28" t="str">
        <x:v>b818a5beec20f458</x:v>
      </x:c>
    </x:row>
    <x:row r="385" ht="21" customHeight="1">
      <x:c r="A385" s="60" t="n">
        <x:v>0.61</x:v>
      </x:c>
      <x:c r="B385" s="28" t="str">
        <x:v>middle_high</x:v>
      </x:c>
      <x:c r="C385" s="60" t="n">
        <x:v>1</x:v>
      </x:c>
      <x:c r="D385" s="60" t="n">
        <x:v>0.9498342654879072</x:v>
      </x:c>
      <x:c r="E385" s="62" t="b">
        <x:v>0</x:v>
      </x:c>
      <x:c r="F385" s="62" t="b">
        <x:v>0</x:v>
      </x:c>
      <x:c r="G385" s="85" t="n">
        <x:v>30542812.259064924</x:v>
      </x:c>
      <x:c r="H385" s="85" t="n">
        <x:v>65987892.14380498</x:v>
      </x:c>
      <x:c r="I385" s="85" t="n">
        <x:v>109560780.34081507</x:v>
      </x:c>
      <x:c r="J385" s="85" t="n">
        <x:v>87000000.00000001</x:v>
      </x:c>
      <x:c r="K385" s="85" t="n">
        <x:v>14131.25260274185</x:v>
      </x:c>
      <x:c r="L385" s="28" t="n">
        <x:v>43</x:v>
      </x:c>
      <x:c r="M385" s="28" t="n">
        <x:v>40</x:v>
      </x:c>
      <x:c r="N385" s="28" t="n">
        <x:v>1.862645149230957e-9</x:v>
      </x:c>
      <x:c r="O385" s="28" t="n">
        <x:v>1.4901161193847656e-8</x:v>
      </x:c>
      <x:c r="P385" s="28" t="n">
        <x:v>0</x:v>
      </x:c>
      <x:c r="Q385" s="62" t="b">
        <x:v>1</x:v>
      </x:c>
      <x:c r="R385" s="28" t="n">
        <x:v>15049720.35362786</x:v>
      </x:c>
      <x:c r="S385" s="28" t="str">
        <x:v>fb97fc90026f2c31</x:v>
      </x:c>
    </x:row>
    <x:row r="386" ht="21" customHeight="1">
      <x:c r="A386" s="60" t="n">
        <x:v>0.61</x:v>
      </x:c>
      <x:c r="B386" s="28" t="str">
        <x:v>back_flat</x:v>
      </x:c>
      <x:c r="C386" s="60" t="n">
        <x:v>0</x:v>
      </x:c>
      <x:c r="D386" s="60" t="n">
        <x:v>0</x:v>
      </x:c>
      <x:c r="E386" s="62" t="b">
        <x:v>1</x:v>
      </x:c>
      <x:c r="F386" s="62" t="b">
        <x:v>1</x:v>
      </x:c>
      <x:c r="G386" s="85" t="n">
        <x:v>0</x:v>
      </x:c>
      <x:c r="H386" s="85" t="n">
        <x:v>0</x:v>
      </x:c>
      <x:c r="I386" s="85" t="n">
        <x:v>0</x:v>
      </x:c>
      <x:c r="J386" s="85" t="n">
        <x:v>0</x:v>
      </x:c>
      <x:c r="K386" s="85" t="n">
        <x:v>30574982.107534215</x:v>
      </x:c>
      <x:c r="L386" s="28" t="n">
        <x:v>0</x:v>
      </x:c>
      <x:c r="M386" s="28" t="n">
        <x:v>0</x:v>
      </x:c>
      <x:c r="N386" s="28" t="n">
        <x:v>3.725290298461914e-9</x:v>
      </x:c>
      <x:c r="O386" s="28" t="n">
        <x:v>0</x:v>
      </x:c>
      <x:c r="P386" s="28" t="n">
        <x:v>0</x:v>
      </x:c>
      <x:c r="Q386" s="62" t="b">
        <x:v>1</x:v>
      </x:c>
      <x:c r="R386" s="28" t="n">
        <x:v>0</x:v>
      </x:c>
      <x:c r="S386" s="28" t="str">
        <x:v>58219c1124d3eef7</x:v>
      </x:c>
    </x:row>
    <x:row r="387" ht="21" customHeight="1">
      <x:c r="A387" s="60" t="n">
        <x:v>0.61</x:v>
      </x:c>
      <x:c r="B387" s="28" t="str">
        <x:v>back_flat</x:v>
      </x:c>
      <x:c r="C387" s="60" t="n">
        <x:v>0.05</x:v>
      </x:c>
      <x:c r="D387" s="60" t="n">
        <x:v>0.05</x:v>
      </x:c>
      <x:c r="E387" s="62" t="b">
        <x:v>1</x:v>
      </x:c>
      <x:c r="F387" s="62" t="b">
        <x:v>1</x:v>
      </x:c>
      <x:c r="G387" s="85" t="n">
        <x:v>0</x:v>
      </x:c>
      <x:c r="H387" s="85" t="n">
        <x:v>0</x:v>
      </x:c>
      <x:c r="I387" s="85" t="n">
        <x:v>0</x:v>
      </x:c>
      <x:c r="J387" s="85" t="n">
        <x:v>0</x:v>
      </x:c>
      <x:c r="K387" s="85" t="n">
        <x:v>18800758.828138992</x:v>
      </x:c>
      <x:c r="L387" s="28" t="n">
        <x:v>0</x:v>
      </x:c>
      <x:c r="M387" s="28" t="n">
        <x:v>0</x:v>
      </x:c>
      <x:c r="N387" s="28" t="n">
        <x:v>3.725290298461914e-9</x:v>
      </x:c>
      <x:c r="O387" s="28" t="n">
        <x:v>5.960464477539063e-8</x:v>
      </x:c>
      <x:c r="P387" s="28" t="n">
        <x:v>0</x:v>
      </x:c>
      <x:c r="Q387" s="62" t="b">
        <x:v>1</x:v>
      </x:c>
      <x:c r="R387" s="28" t="n">
        <x:v>0</x:v>
      </x:c>
      <x:c r="S387" s="28" t="str">
        <x:v>a2254046f821b99f</x:v>
      </x:c>
    </x:row>
    <x:row r="388" ht="21" customHeight="1">
      <x:c r="A388" s="60" t="n">
        <x:v>0.61</x:v>
      </x:c>
      <x:c r="B388" s="28" t="str">
        <x:v>back_flat</x:v>
      </x:c>
      <x:c r="C388" s="60" t="n">
        <x:v>0.1</x:v>
      </x:c>
      <x:c r="D388" s="60" t="n">
        <x:v>0.1</x:v>
      </x:c>
      <x:c r="E388" s="62" t="b">
        <x:v>1</x:v>
      </x:c>
      <x:c r="F388" s="62" t="b">
        <x:v>1</x:v>
      </x:c>
      <x:c r="G388" s="85" t="n">
        <x:v>0</x:v>
      </x:c>
      <x:c r="H388" s="85" t="n">
        <x:v>0</x:v>
      </x:c>
      <x:c r="I388" s="85" t="n">
        <x:v>0</x:v>
      </x:c>
      <x:c r="J388" s="85" t="n">
        <x:v>0</x:v>
      </x:c>
      <x:c r="K388" s="85" t="n">
        <x:v>6918995.171668113</x:v>
      </x:c>
      <x:c r="L388" s="28" t="n">
        <x:v>0</x:v>
      </x:c>
      <x:c r="M388" s="28" t="n">
        <x:v>0</x:v>
      </x:c>
      <x:c r="N388" s="28" t="n">
        <x:v>1.862645149230957e-9</x:v>
      </x:c>
      <x:c r="O388" s="28" t="n">
        <x:v>5.960464477539063e-8</x:v>
      </x:c>
      <x:c r="P388" s="28" t="n">
        <x:v>0</x:v>
      </x:c>
      <x:c r="Q388" s="62" t="b">
        <x:v>1</x:v>
      </x:c>
      <x:c r="R388" s="28" t="n">
        <x:v>0</x:v>
      </x:c>
      <x:c r="S388" s="28" t="str">
        <x:v>e2c7852f048e5921</x:v>
      </x:c>
    </x:row>
    <x:row r="389" ht="21" customHeight="1">
      <x:c r="A389" s="60" t="n">
        <x:v>0.61</x:v>
      </x:c>
      <x:c r="B389" s="28" t="str">
        <x:v>back_flat</x:v>
      </x:c>
      <x:c r="C389" s="60" t="n">
        <x:v>0.15</x:v>
      </x:c>
      <x:c r="D389" s="60" t="n">
        <x:v>0.15</x:v>
      </x:c>
      <x:c r="E389" s="62" t="b">
        <x:v>1</x:v>
      </x:c>
      <x:c r="F389" s="62" t="b">
        <x:v>1</x:v>
      </x:c>
      <x:c r="G389" s="85" t="n">
        <x:v>0</x:v>
      </x:c>
      <x:c r="H389" s="85" t="n">
        <x:v>0</x:v>
      </x:c>
      <x:c r="I389" s="85" t="n">
        <x:v>4382409.468651752</x:v>
      </x:c>
      <x:c r="J389" s="85" t="n">
        <x:v>0</x:v>
      </x:c>
      <x:c r="K389" s="85" t="n">
        <x:v>494522.0500414006</x:v>
      </x:c>
      <x:c r="L389" s="28" t="n">
        <x:v>0</x:v>
      </x:c>
      <x:c r="M389" s="28" t="n">
        <x:v>0</x:v>
      </x:c>
      <x:c r="N389" s="28" t="n">
        <x:v>3.725290298461914e-9</x:v>
      </x:c>
      <x:c r="O389" s="28" t="n">
        <x:v>5.960464477539063e-8</x:v>
      </x:c>
      <x:c r="P389" s="28" t="n">
        <x:v>0</x:v>
      </x:c>
      <x:c r="Q389" s="62" t="b">
        <x:v>1</x:v>
      </x:c>
      <x:c r="R389" s="28" t="n">
        <x:v>0</x:v>
      </x:c>
      <x:c r="S389" s="28" t="str">
        <x:v>956558f43768533d</x:v>
      </x:c>
    </x:row>
    <x:row r="390" ht="21" customHeight="1">
      <x:c r="A390" s="60" t="n">
        <x:v>0.61</x:v>
      </x:c>
      <x:c r="B390" s="28" t="str">
        <x:v>back_flat</x:v>
      </x:c>
      <x:c r="C390" s="60" t="n">
        <x:v>0.2</x:v>
      </x:c>
      <x:c r="D390" s="60" t="n">
        <x:v>0.2</x:v>
      </x:c>
      <x:c r="E390" s="62" t="b">
        <x:v>1</x:v>
      </x:c>
      <x:c r="F390" s="62" t="b">
        <x:v>1</x:v>
      </x:c>
      <x:c r="G390" s="85" t="n">
        <x:v>0</x:v>
      </x:c>
      <x:c r="H390" s="85" t="n">
        <x:v>0</x:v>
      </x:c>
      <x:c r="I390" s="85" t="n">
        <x:v>12532180.736714613</x:v>
      </x:c>
      <x:c r="J390" s="85" t="n">
        <x:v>6341080.834812444</x:v>
      </x:c>
      <x:c r="K390" s="85" t="n">
        <x:v>356771.5749410375</x:v>
      </x:c>
      <x:c r="L390" s="28" t="n">
        <x:v>0</x:v>
      </x:c>
      <x:c r="M390" s="28" t="n">
        <x:v>0</x:v>
      </x:c>
      <x:c r="N390" s="28" t="n">
        <x:v>1.862645149230957e-9</x:v>
      </x:c>
      <x:c r="O390" s="28" t="n">
        <x:v>2.9802322387695312e-8</x:v>
      </x:c>
      <x:c r="P390" s="28" t="n">
        <x:v>0</x:v>
      </x:c>
      <x:c r="Q390" s="62" t="b">
        <x:v>1</x:v>
      </x:c>
      <x:c r="R390" s="28" t="n">
        <x:v>0</x:v>
      </x:c>
      <x:c r="S390" s="28" t="str">
        <x:v>9b51efdb968aa5fa</x:v>
      </x:c>
    </x:row>
    <x:row r="391" ht="21" customHeight="1">
      <x:c r="A391" s="60" t="n">
        <x:v>0.61</x:v>
      </x:c>
      <x:c r="B391" s="28" t="str">
        <x:v>back_flat</x:v>
      </x:c>
      <x:c r="C391" s="60" t="n">
        <x:v>0.25</x:v>
      </x:c>
      <x:c r="D391" s="60" t="n">
        <x:v>0.25</x:v>
      </x:c>
      <x:c r="E391" s="62" t="b">
        <x:v>1</x:v>
      </x:c>
      <x:c r="F391" s="62" t="b">
        <x:v>1</x:v>
      </x:c>
      <x:c r="G391" s="85" t="n">
        <x:v>0</x:v>
      </x:c>
      <x:c r="H391" s="85" t="n">
        <x:v>0</x:v>
      </x:c>
      <x:c r="I391" s="85" t="n">
        <x:v>18809299.721363183</x:v>
      </x:c>
      <x:c r="J391" s="85" t="n">
        <x:v>15426351.043515662</x:v>
      </x:c>
      <x:c r="K391" s="85" t="n">
        <x:v>291473.44671917905</x:v>
      </x:c>
      <x:c r="L391" s="28" t="n">
        <x:v>0</x:v>
      </x:c>
      <x:c r="M391" s="28" t="n">
        <x:v>0</x:v>
      </x:c>
      <x:c r="N391" s="28" t="n">
        <x:v>3.725290298461914e-9</x:v>
      </x:c>
      <x:c r="O391" s="28" t="n">
        <x:v>2.9802322387695312e-8</x:v>
      </x:c>
      <x:c r="P391" s="28" t="n">
        <x:v>0</x:v>
      </x:c>
      <x:c r="Q391" s="62" t="b">
        <x:v>1</x:v>
      </x:c>
      <x:c r="R391" s="28" t="n">
        <x:v>0</x:v>
      </x:c>
      <x:c r="S391" s="28" t="str">
        <x:v>3ce058737f191f43</x:v>
      </x:c>
    </x:row>
    <x:row r="392" ht="21" customHeight="1">
      <x:c r="A392" s="60" t="n">
        <x:v>0.61</x:v>
      </x:c>
      <x:c r="B392" s="28" t="str">
        <x:v>back_flat</x:v>
      </x:c>
      <x:c r="C392" s="60" t="n">
        <x:v>0.3</x:v>
      </x:c>
      <x:c r="D392" s="60" t="n">
        <x:v>0.3</x:v>
      </x:c>
      <x:c r="E392" s="62" t="b">
        <x:v>1</x:v>
      </x:c>
      <x:c r="F392" s="62" t="b">
        <x:v>1</x:v>
      </x:c>
      <x:c r="G392" s="85" t="n">
        <x:v>0</x:v>
      </x:c>
      <x:c r="H392" s="85" t="n">
        <x:v>0</x:v>
      </x:c>
      <x:c r="I392" s="85" t="n">
        <x:v>25191172.71727959</x:v>
      </x:c>
      <x:c r="J392" s="85" t="n">
        <x:v>24511621.252218716</x:v>
      </x:c>
      <x:c r="K392" s="85" t="n">
        <x:v>228621.03606301517</x:v>
      </x:c>
      <x:c r="L392" s="28" t="n">
        <x:v>0</x:v>
      </x:c>
      <x:c r="M392" s="28" t="n">
        <x:v>0</x:v>
      </x:c>
      <x:c r="N392" s="28" t="n">
        <x:v>1.862645149230957e-9</x:v>
      </x:c>
      <x:c r="O392" s="28" t="n">
        <x:v>2.9802322387695312e-8</x:v>
      </x:c>
      <x:c r="P392" s="28" t="n">
        <x:v>0</x:v>
      </x:c>
      <x:c r="Q392" s="62" t="b">
        <x:v>1</x:v>
      </x:c>
      <x:c r="R392" s="28" t="n">
        <x:v>0</x:v>
      </x:c>
      <x:c r="S392" s="28" t="str">
        <x:v>9a68bc2256bacb39</x:v>
      </x:c>
    </x:row>
    <x:row r="393" ht="21" customHeight="1">
      <x:c r="A393" s="60" t="n">
        <x:v>0.61</x:v>
      </x:c>
      <x:c r="B393" s="28" t="str">
        <x:v>back_flat</x:v>
      </x:c>
      <x:c r="C393" s="60" t="n">
        <x:v>0.35</x:v>
      </x:c>
      <x:c r="D393" s="60" t="n">
        <x:v>0.35</x:v>
      </x:c>
      <x:c r="E393" s="62" t="b">
        <x:v>1</x:v>
      </x:c>
      <x:c r="F393" s="62" t="b">
        <x:v>1</x:v>
      </x:c>
      <x:c r="G393" s="85" t="n">
        <x:v>0</x:v>
      </x:c>
      <x:c r="H393" s="85" t="n">
        <x:v>0</x:v>
      </x:c>
      <x:c r="I393" s="85" t="n">
        <x:v>31582101.757456053</x:v>
      </x:c>
      <x:c r="J393" s="85" t="n">
        <x:v>33596891.460921794</x:v>
      </x:c>
      <x:c r="K393" s="85" t="n">
        <x:v>166359.52766986575</x:v>
      </x:c>
      <x:c r="L393" s="28" t="n">
        <x:v>0</x:v>
      </x:c>
      <x:c r="M393" s="28" t="n">
        <x:v>0</x:v>
      </x:c>
      <x:c r="N393" s="28" t="n">
        <x:v>3.725290298461914e-9</x:v>
      </x:c>
      <x:c r="O393" s="28" t="n">
        <x:v>2.9802322387695312e-8</x:v>
      </x:c>
      <x:c r="P393" s="28" t="n">
        <x:v>0</x:v>
      </x:c>
      <x:c r="Q393" s="62" t="b">
        <x:v>1</x:v>
      </x:c>
      <x:c r="R393" s="28" t="n">
        <x:v>0</x:v>
      </x:c>
      <x:c r="S393" s="28" t="str">
        <x:v>754eaed1395c7042</x:v>
      </x:c>
    </x:row>
    <x:row r="394" ht="21" customHeight="1">
      <x:c r="A394" s="60" t="n">
        <x:v>0.61</x:v>
      </x:c>
      <x:c r="B394" s="28" t="str">
        <x:v>back_flat</x:v>
      </x:c>
      <x:c r="C394" s="60" t="n">
        <x:v>0.4</x:v>
      </x:c>
      <x:c r="D394" s="60" t="n">
        <x:v>0.4</x:v>
      </x:c>
      <x:c r="E394" s="62" t="b">
        <x:v>1</x:v>
      </x:c>
      <x:c r="F394" s="62" t="b">
        <x:v>1</x:v>
      </x:c>
      <x:c r="G394" s="85" t="n">
        <x:v>0</x:v>
      </x:c>
      <x:c r="H394" s="85" t="n">
        <x:v>0</x:v>
      </x:c>
      <x:c r="I394" s="85" t="n">
        <x:v>38040471.55069346</x:v>
      </x:c>
      <x:c r="J394" s="85" t="n">
        <x:v>42682161.66962496</x:v>
      </x:c>
      <x:c r="K394" s="85" t="n">
        <x:v>147213.97076164553</x:v>
      </x:c>
      <x:c r="L394" s="28" t="n">
        <x:v>0</x:v>
      </x:c>
      <x:c r="M394" s="28" t="n">
        <x:v>0</x:v>
      </x:c>
      <x:c r="N394" s="28" t="n">
        <x:v>1.862645149230957e-9</x:v>
      </x:c>
      <x:c r="O394" s="28" t="n">
        <x:v>2.9802322387695312e-8</x:v>
      </x:c>
      <x:c r="P394" s="28" t="n">
        <x:v>0</x:v>
      </x:c>
      <x:c r="Q394" s="62" t="b">
        <x:v>1</x:v>
      </x:c>
      <x:c r="R394" s="28" t="n">
        <x:v>0</x:v>
      </x:c>
      <x:c r="S394" s="28" t="str">
        <x:v>c9d54146aa73253a</x:v>
      </x:c>
    </x:row>
    <x:row r="395" ht="21" customHeight="1">
      <x:c r="A395" s="60" t="n">
        <x:v>0.61</x:v>
      </x:c>
      <x:c r="B395" s="28" t="str">
        <x:v>back_flat</x:v>
      </x:c>
      <x:c r="C395" s="60" t="n">
        <x:v>0.45</x:v>
      </x:c>
      <x:c r="D395" s="60" t="n">
        <x:v>0.45</x:v>
      </x:c>
      <x:c r="E395" s="62" t="b">
        <x:v>1</x:v>
      </x:c>
      <x:c r="F395" s="62" t="b">
        <x:v>1</x:v>
      </x:c>
      <x:c r="G395" s="85" t="n">
        <x:v>0</x:v>
      </x:c>
      <x:c r="H395" s="85" t="n">
        <x:v>0</x:v>
      </x:c>
      <x:c r="I395" s="85" t="n">
        <x:v>44456637.47625385</x:v>
      </x:c>
      <x:c r="J395" s="85" t="n">
        <x:v>51767431.87832807</x:v>
      </x:c>
      <x:c r="K395" s="85" t="n">
        <x:v>128068.41385342064</x:v>
      </x:c>
      <x:c r="L395" s="28" t="n">
        <x:v>0</x:v>
      </x:c>
      <x:c r="M395" s="28" t="n">
        <x:v>0</x:v>
      </x:c>
      <x:c r="N395" s="28" t="n">
        <x:v>3.725290298461914e-9</x:v>
      </x:c>
      <x:c r="O395" s="28" t="n">
        <x:v>1.4901161193847656e-8</x:v>
      </x:c>
      <x:c r="P395" s="28" t="n">
        <x:v>0</x:v>
      </x:c>
      <x:c r="Q395" s="62" t="b">
        <x:v>1</x:v>
      </x:c>
      <x:c r="R395" s="28" t="n">
        <x:v>0</x:v>
      </x:c>
      <x:c r="S395" s="28" t="str">
        <x:v>cc6469c0ffa3a72c</x:v>
      </x:c>
    </x:row>
    <x:row r="396" ht="21" customHeight="1">
      <x:c r="A396" s="60" t="n">
        <x:v>0.61</x:v>
      </x:c>
      <x:c r="B396" s="28" t="str">
        <x:v>back_flat</x:v>
      </x:c>
      <x:c r="C396" s="60" t="n">
        <x:v>0.5</x:v>
      </x:c>
      <x:c r="D396" s="60" t="n">
        <x:v>0.5</x:v>
      </x:c>
      <x:c r="E396" s="62" t="b">
        <x:v>1</x:v>
      </x:c>
      <x:c r="F396" s="62" t="b">
        <x:v>1</x:v>
      </x:c>
      <x:c r="G396" s="85" t="n">
        <x:v>0</x:v>
      </x:c>
      <x:c r="H396" s="85" t="n">
        <x:v>0</x:v>
      </x:c>
      <x:c r="I396" s="85" t="n">
        <x:v>51362592.38369242</x:v>
      </x:c>
      <x:c r="J396" s="85" t="n">
        <x:v>59735234.58672763</x:v>
      </x:c>
      <x:c r="K396" s="85" t="n">
        <x:v>108922.85694520645</x:v>
      </x:c>
      <x:c r="L396" s="28" t="n">
        <x:v>3</x:v>
      </x:c>
      <x:c r="M396" s="28" t="n">
        <x:v>0</x:v>
      </x:c>
      <x:c r="N396" s="28" t="n">
        <x:v>3.725290298461914e-9</x:v>
      </x:c>
      <x:c r="O396" s="28" t="n">
        <x:v>2.9802322387695312e-8</x:v>
      </x:c>
      <x:c r="P396" s="28" t="n">
        <x:v>0</x:v>
      </x:c>
      <x:c r="Q396" s="62" t="b">
        <x:v>1</x:v>
      </x:c>
      <x:c r="R396" s="28" t="n">
        <x:v>0</x:v>
      </x:c>
      <x:c r="S396" s="28" t="str">
        <x:v>f9aed43fe5e893dd</x:v>
      </x:c>
    </x:row>
    <x:row r="397" ht="21" customHeight="1">
      <x:c r="A397" s="60" t="n">
        <x:v>0.61</x:v>
      </x:c>
      <x:c r="B397" s="28" t="str">
        <x:v>back_flat</x:v>
      </x:c>
      <x:c r="C397" s="60" t="n">
        <x:v>0.55</x:v>
      </x:c>
      <x:c r="D397" s="60" t="n">
        <x:v>0.55</x:v>
      </x:c>
      <x:c r="E397" s="62" t="b">
        <x:v>1</x:v>
      </x:c>
      <x:c r="F397" s="62" t="b">
        <x:v>1</x:v>
      </x:c>
      <x:c r="G397" s="85" t="n">
        <x:v>0</x:v>
      </x:c>
      <x:c r="H397" s="85" t="n">
        <x:v>0</x:v>
      </x:c>
      <x:c r="I397" s="85" t="n">
        <x:v>58515815.29357736</x:v>
      </x:c>
      <x:c r="J397" s="85" t="n">
        <x:v>66965223.58145141</x:v>
      </x:c>
      <x:c r="K397" s="85" t="n">
        <x:v>89777.30003698249</x:v>
      </x:c>
      <x:c r="L397" s="28" t="n">
        <x:v>8</x:v>
      </x:c>
      <x:c r="M397" s="28" t="n">
        <x:v>1</x:v>
      </x:c>
      <x:c r="N397" s="28" t="n">
        <x:v>1.862645149230957e-9</x:v>
      </x:c>
      <x:c r="O397" s="28" t="n">
        <x:v>2.9802322387695312e-8</x:v>
      </x:c>
      <x:c r="P397" s="28" t="n">
        <x:v>0</x:v>
      </x:c>
      <x:c r="Q397" s="62" t="b">
        <x:v>1</x:v>
      </x:c>
      <x:c r="R397" s="28" t="n">
        <x:v>0</x:v>
      </x:c>
      <x:c r="S397" s="28" t="str">
        <x:v>738f230249d455ef</x:v>
      </x:c>
    </x:row>
    <x:row r="398" ht="21" customHeight="1">
      <x:c r="A398" s="60" t="n">
        <x:v>0.61</x:v>
      </x:c>
      <x:c r="B398" s="28" t="str">
        <x:v>back_flat</x:v>
      </x:c>
      <x:c r="C398" s="60" t="n">
        <x:v>0.6</x:v>
      </x:c>
      <x:c r="D398" s="60" t="n">
        <x:v>0.6</x:v>
      </x:c>
      <x:c r="E398" s="62" t="b">
        <x:v>1</x:v>
      </x:c>
      <x:c r="F398" s="62" t="b">
        <x:v>1</x:v>
      </x:c>
      <x:c r="G398" s="85" t="n">
        <x:v>0</x:v>
      </x:c>
      <x:c r="H398" s="85" t="n">
        <x:v>0</x:v>
      </x:c>
      <x:c r="I398" s="85" t="n">
        <x:v>64697102.36666822</x:v>
      </x:c>
      <x:c r="J398" s="85" t="n">
        <x:v>76193735.62337668</x:v>
      </x:c>
      <x:c r="K398" s="85" t="n">
        <x:v>70631.74312877111</x:v>
      </x:c>
      <x:c r="L398" s="28" t="n">
        <x:v>10</x:v>
      </x:c>
      <x:c r="M398" s="28" t="n">
        <x:v>5</x:v>
      </x:c>
      <x:c r="N398" s="28" t="n">
        <x:v>1.862645149230957e-9</x:v>
      </x:c>
      <x:c r="O398" s="28" t="n">
        <x:v>2.9802322387695312e-8</x:v>
      </x:c>
      <x:c r="P398" s="28" t="n">
        <x:v>0</x:v>
      </x:c>
      <x:c r="Q398" s="62" t="b">
        <x:v>1</x:v>
      </x:c>
      <x:c r="R398" s="28" t="n">
        <x:v>0</x:v>
      </x:c>
      <x:c r="S398" s="28" t="str">
        <x:v>c540c1f3a9fff5f4</x:v>
      </x:c>
    </x:row>
    <x:row r="399" ht="21" customHeight="1">
      <x:c r="A399" s="60" t="n">
        <x:v>0.61</x:v>
      </x:c>
      <x:c r="B399" s="28" t="str">
        <x:v>back_flat</x:v>
      </x:c>
      <x:c r="C399" s="60" t="n">
        <x:v>0.65</x:v>
      </x:c>
      <x:c r="D399" s="60" t="n">
        <x:v>0.65</x:v>
      </x:c>
      <x:c r="E399" s="62" t="b">
        <x:v>1</x:v>
      </x:c>
      <x:c r="F399" s="62" t="b">
        <x:v>1</x:v>
      </x:c>
      <x:c r="G399" s="85" t="n">
        <x:v>0</x:v>
      </x:c>
      <x:c r="H399" s="85" t="n">
        <x:v>0</x:v>
      </x:c>
      <x:c r="I399" s="85" t="n">
        <x:v>71124748.89578183</x:v>
      </x:c>
      <x:c r="J399" s="85" t="n">
        <x:v>84627391.53893048</x:v>
      </x:c>
      <x:c r="K399" s="85" t="n">
        <x:v>51486.186220546675</x:v>
      </x:c>
      <x:c r="L399" s="28" t="n">
        <x:v>16</x:v>
      </x:c>
      <x:c r="M399" s="28" t="n">
        <x:v>7</x:v>
      </x:c>
      <x:c r="N399" s="28" t="n">
        <x:v>1.862645149230957e-9</x:v>
      </x:c>
      <x:c r="O399" s="28" t="n">
        <x:v>1.4901161193847656e-8</x:v>
      </x:c>
      <x:c r="P399" s="28" t="n">
        <x:v>0</x:v>
      </x:c>
      <x:c r="Q399" s="62" t="b">
        <x:v>1</x:v>
      </x:c>
      <x:c r="R399" s="28" t="n">
        <x:v>0</x:v>
      </x:c>
      <x:c r="S399" s="28" t="str">
        <x:v>879edddea875cd3a</x:v>
      </x:c>
    </x:row>
    <x:row r="400" ht="21" customHeight="1">
      <x:c r="A400" s="60" t="n">
        <x:v>0.61</x:v>
      </x:c>
      <x:c r="B400" s="28" t="str">
        <x:v>back_flat</x:v>
      </x:c>
      <x:c r="C400" s="60" t="n">
        <x:v>0.7</x:v>
      </x:c>
      <x:c r="D400" s="60" t="n">
        <x:v>0.7</x:v>
      </x:c>
      <x:c r="E400" s="62" t="b">
        <x:v>1</x:v>
      </x:c>
      <x:c r="F400" s="62" t="b">
        <x:v>0</x:v>
      </x:c>
      <x:c r="G400" s="85" t="n">
        <x:v>1505129.3714024974</x:v>
      </x:c>
      <x:c r="H400" s="85" t="n">
        <x:v>9627968.751532234</x:v>
      </x:c>
      <x:c r="I400" s="85" t="n">
        <x:v>72523238.08890444</x:v>
      </x:c>
      <x:c r="J400" s="85" t="n">
        <x:v>87000000.00000001</x:v>
      </x:c>
      <x:c r="K400" s="85" t="n">
        <x:v>32340.629312329227</x:v>
      </x:c>
      <x:c r="L400" s="28" t="n">
        <x:v>37</x:v>
      </x:c>
      <x:c r="M400" s="28" t="n">
        <x:v>32</x:v>
      </x:c>
      <x:c r="N400" s="28" t="n">
        <x:v>1.862645149230957e-9</x:v>
      </x:c>
      <x:c r="O400" s="28" t="n">
        <x:v>2.9802322387695312e-8</x:v>
      </x:c>
      <x:c r="P400" s="28" t="n">
        <x:v>0</x:v>
      </x:c>
      <x:c r="Q400" s="62" t="b">
        <x:v>1</x:v>
      </x:c>
      <x:c r="R400" s="28" t="n">
        <x:v>0</x:v>
      </x:c>
      <x:c r="S400" s="28" t="str">
        <x:v>27ed252b8174f5d6</x:v>
      </x:c>
    </x:row>
    <x:row r="401" ht="21" customHeight="1">
      <x:c r="A401" s="60" t="n">
        <x:v>0.61</x:v>
      </x:c>
      <x:c r="B401" s="28" t="str">
        <x:v>back_flat</x:v>
      </x:c>
      <x:c r="C401" s="60" t="n">
        <x:v>0.75</x:v>
      </x:c>
      <x:c r="D401" s="60" t="n">
        <x:v>0.75</x:v>
      </x:c>
      <x:c r="E401" s="62" t="b">
        <x:v>1</x:v>
      </x:c>
      <x:c r="F401" s="62" t="b">
        <x:v>0</x:v>
      </x:c>
      <x:c r="G401" s="85" t="n">
        <x:v>3592132.8983936124</x:v>
      </x:c>
      <x:c r="H401" s="85" t="n">
        <x:v>20265523.032617155</x:v>
      </x:c>
      <x:c r="I401" s="85" t="n">
        <x:v>73771876.3327679</x:v>
      </x:c>
      <x:c r="J401" s="85" t="n">
        <x:v>87000000.00000001</x:v>
      </x:c>
      <x:c r="K401" s="85" t="n">
        <x:v>13195.07240411271</x:v>
      </x:c>
      <x:c r="L401" s="28" t="n">
        <x:v>38</x:v>
      </x:c>
      <x:c r="M401" s="28" t="n">
        <x:v>34</x:v>
      </x:c>
      <x:c r="N401" s="28" t="n">
        <x:v>1.862645149230957e-9</x:v>
      </x:c>
      <x:c r="O401" s="28" t="n">
        <x:v>2.9802322387695312e-8</x:v>
      </x:c>
      <x:c r="P401" s="28" t="n">
        <x:v>0</x:v>
      </x:c>
      <x:c r="Q401" s="62" t="b">
        <x:v>1</x:v>
      </x:c>
      <x:c r="R401" s="28" t="n">
        <x:v>0</x:v>
      </x:c>
      <x:c r="S401" s="28" t="str">
        <x:v>a58e4c4a09487344</x:v>
      </x:c>
    </x:row>
    <x:row r="402" ht="21" customHeight="1">
      <x:c r="A402" s="60" t="n">
        <x:v>0.61</x:v>
      </x:c>
      <x:c r="B402" s="28" t="str">
        <x:v>back_flat</x:v>
      </x:c>
      <x:c r="C402" s="60" t="n">
        <x:v>0.8</x:v>
      </x:c>
      <x:c r="D402" s="60" t="n">
        <x:v>0.8</x:v>
      </x:c>
      <x:c r="E402" s="62" t="b">
        <x:v>1</x:v>
      </x:c>
      <x:c r="F402" s="62" t="b">
        <x:v>0</x:v>
      </x:c>
      <x:c r="G402" s="85" t="n">
        <x:v>5882627.290550085</x:v>
      </x:c>
      <x:c r="H402" s="85" t="n">
        <x:v>30527041.934783816</x:v>
      </x:c>
      <x:c r="I402" s="85" t="n">
        <x:v>75071330.91413611</x:v>
      </x:c>
      <x:c r="J402" s="85" t="n">
        <x:v>87000000.00000001</x:v>
      </x:c>
      <x:c r="K402" s="85" t="n">
        <x:v>0</x:v>
      </x:c>
      <x:c r="L402" s="28" t="n">
        <x:v>39</x:v>
      </x:c>
      <x:c r="M402" s="28" t="n">
        <x:v>34</x:v>
      </x:c>
      <x:c r="N402" s="28" t="n">
        <x:v>1.862645149230957e-9</x:v>
      </x:c>
      <x:c r="O402" s="28" t="n">
        <x:v>1.4901161193847656e-8</x:v>
      </x:c>
      <x:c r="P402" s="28" t="n">
        <x:v>0</x:v>
      </x:c>
      <x:c r="Q402" s="62" t="b">
        <x:v>1</x:v>
      </x:c>
      <x:c r="R402" s="28" t="n">
        <x:v>0</x:v>
      </x:c>
      <x:c r="S402" s="28" t="str">
        <x:v>977b32d532cae130</x:v>
      </x:c>
    </x:row>
    <x:row r="403" ht="21" customHeight="1">
      <x:c r="A403" s="60" t="n">
        <x:v>0.61</x:v>
      </x:c>
      <x:c r="B403" s="28" t="str">
        <x:v>back_flat</x:v>
      </x:c>
      <x:c r="C403" s="60" t="n">
        <x:v>0.85</x:v>
      </x:c>
      <x:c r="D403" s="60" t="n">
        <x:v>0.85</x:v>
      </x:c>
      <x:c r="E403" s="62" t="b">
        <x:v>1</x:v>
      </x:c>
      <x:c r="F403" s="62" t="b">
        <x:v>0</x:v>
      </x:c>
      <x:c r="G403" s="85" t="n">
        <x:v>8546966.632641941</x:v>
      </x:c>
      <x:c r="H403" s="85" t="n">
        <x:v>41704414.14960047</x:v>
      </x:c>
      <x:c r="I403" s="85" t="n">
        <x:v>75362825.76459153</x:v>
      </x:c>
      <x:c r="J403" s="85" t="n">
        <x:v>87000000.00000001</x:v>
      </x:c>
      <x:c r="K403" s="85" t="n">
        <x:v>0</x:v>
      </x:c>
      <x:c r="L403" s="28" t="n">
        <x:v>39</x:v>
      </x:c>
      <x:c r="M403" s="28" t="n">
        <x:v>35</x:v>
      </x:c>
      <x:c r="N403" s="28" t="n">
        <x:v>1.862645149230957e-9</x:v>
      </x:c>
      <x:c r="O403" s="28" t="n">
        <x:v>2.9802322387695312e-8</x:v>
      </x:c>
      <x:c r="P403" s="28" t="n">
        <x:v>0</x:v>
      </x:c>
      <x:c r="Q403" s="62" t="b">
        <x:v>1</x:v>
      </x:c>
      <x:c r="R403" s="28" t="n">
        <x:v>0</x:v>
      </x:c>
      <x:c r="S403" s="28" t="str">
        <x:v>cdfe4c5816588c8b</x:v>
      </x:c>
    </x:row>
    <x:row r="404" ht="21" customHeight="1">
      <x:c r="A404" s="60" t="n">
        <x:v>0.61</x:v>
      </x:c>
      <x:c r="B404" s="28" t="str">
        <x:v>back_flat</x:v>
      </x:c>
      <x:c r="C404" s="60" t="n">
        <x:v>0.9</x:v>
      </x:c>
      <x:c r="D404" s="60" t="n">
        <x:v>0.8948658400492392</x:v>
      </x:c>
      <x:c r="E404" s="62" t="b">
        <x:v>0</x:v>
      </x:c>
      <x:c r="F404" s="62" t="b">
        <x:v>0</x:v>
      </x:c>
      <x:c r="G404" s="85" t="n">
        <x:v>12657950.386809524</x:v>
      </x:c>
      <x:c r="H404" s="85" t="n">
        <x:v>47924898.253033854</x:v>
      </x:c>
      <x:c r="I404" s="85" t="n">
        <x:v>76502199.98086232</x:v>
      </x:c>
      <x:c r="J404" s="85" t="n">
        <x:v>87000000.00000001</x:v>
      </x:c>
      <x:c r="K404" s="85" t="n">
        <x:v>0</x:v>
      </x:c>
      <x:c r="L404" s="28" t="n">
        <x:v>40</x:v>
      </x:c>
      <x:c r="M404" s="28" t="n">
        <x:v>36</x:v>
      </x:c>
      <x:c r="N404" s="28" t="n">
        <x:v>1.862645149230957e-9</x:v>
      </x:c>
      <x:c r="O404" s="28" t="n">
        <x:v>2.9802322387695312e-8</x:v>
      </x:c>
      <x:c r="P404" s="28" t="n">
        <x:v>0</x:v>
      </x:c>
      <x:c r="Q404" s="62" t="b">
        <x:v>1</x:v>
      </x:c>
      <x:c r="R404" s="28" t="n">
        <x:v>1540247.9852282405</x:v>
      </x:c>
      <x:c r="S404" s="28" t="str">
        <x:v>c9a5848972f3be05</x:v>
      </x:c>
    </x:row>
    <x:row r="405" ht="21" customHeight="1">
      <x:c r="A405" s="60" t="n">
        <x:v>0.61</x:v>
      </x:c>
      <x:c r="B405" s="28" t="str">
        <x:v>back_flat</x:v>
      </x:c>
      <x:c r="C405" s="60" t="n">
        <x:v>0.95</x:v>
      </x:c>
      <x:c r="D405" s="60" t="n">
        <x:v>0.9083032015334562</x:v>
      </x:c>
      <x:c r="E405" s="62" t="b">
        <x:v>0</x:v>
      </x:c>
      <x:c r="F405" s="62" t="b">
        <x:v>0</x:v>
      </x:c>
      <x:c r="G405" s="85" t="n">
        <x:v>13622853.45845602</x:v>
      </x:c>
      <x:c r="H405" s="85" t="n">
        <x:v>51578165.971707046</x:v>
      </x:c>
      <x:c r="I405" s="85" t="n">
        <x:v>76730117.41130596</x:v>
      </x:c>
      <x:c r="J405" s="85" t="n">
        <x:v>87000000.00000001</x:v>
      </x:c>
      <x:c r="K405" s="85" t="n">
        <x:v>0</x:v>
      </x:c>
      <x:c r="L405" s="28" t="n">
        <x:v>40</x:v>
      </x:c>
      <x:c r="M405" s="28" t="n">
        <x:v>36</x:v>
      </x:c>
      <x:c r="N405" s="28" t="n">
        <x:v>1.862645149230957e-9</x:v>
      </x:c>
      <x:c r="O405" s="28" t="n">
        <x:v>2.9802322387695312e-8</x:v>
      </x:c>
      <x:c r="P405" s="28" t="n">
        <x:v>0</x:v>
      </x:c>
      <x:c r="Q405" s="62" t="b">
        <x:v>1</x:v>
      </x:c>
      <x:c r="R405" s="28" t="n">
        <x:v>12509039.539963126</x:v>
      </x:c>
      <x:c r="S405" s="28" t="str">
        <x:v>ac4d658563238ff8</x:v>
      </x:c>
    </x:row>
    <x:row r="406" ht="21" customHeight="1">
      <x:c r="A406" s="60" t="n">
        <x:v>0.61</x:v>
      </x:c>
      <x:c r="B406" s="28" t="str">
        <x:v>back_flat</x:v>
      </x:c>
      <x:c r="C406" s="60" t="n">
        <x:v>1</x:v>
      </x:c>
      <x:c r="D406" s="60" t="n">
        <x:v>0.920601109498915</x:v>
      </x:c>
      <x:c r="E406" s="62" t="b">
        <x:v>0</x:v>
      </x:c>
      <x:c r="F406" s="62" t="b">
        <x:v>0</x:v>
      </x:c>
      <x:c r="G406" s="85" t="n">
        <x:v>14623242.089977793</x:v>
      </x:c>
      <x:c r="H406" s="85" t="n">
        <x:v>53134664.94287715</x:v>
      </x:c>
      <x:c r="I406" s="85" t="n">
        <x:v>77987944.44878083</x:v>
      </x:c>
      <x:c r="J406" s="85" t="n">
        <x:v>87000000.00000001</x:v>
      </x:c>
      <x:c r="K406" s="85" t="n">
        <x:v>0</x:v>
      </x:c>
      <x:c r="L406" s="28" t="n">
        <x:v>41</x:v>
      </x:c>
      <x:c r="M406" s="28" t="n">
        <x:v>37</x:v>
      </x:c>
      <x:c r="N406" s="28" t="n">
        <x:v>1.862645149230957e-9</x:v>
      </x:c>
      <x:c r="O406" s="28" t="n">
        <x:v>2.9802322387695312e-8</x:v>
      </x:c>
      <x:c r="P406" s="28" t="n">
        <x:v>0</x:v>
      </x:c>
      <x:c r="Q406" s="62" t="b">
        <x:v>1</x:v>
      </x:c>
      <x:c r="R406" s="28" t="n">
        <x:v>23819667.150325477</x:v>
      </x:c>
      <x:c r="S406" s="28" t="str">
        <x:v>955c5024882cab79</x:v>
      </x:c>
    </x:row>
    <x:row r="407" ht="21" customHeight="1">
      <x:c r="A407" s="60" t="n">
        <x:v>0.61</x:v>
      </x:c>
      <x:c r="B407" s="28" t="str">
        <x:v>back_low</x:v>
      </x:c>
      <x:c r="C407" s="60" t="n">
        <x:v>0</x:v>
      </x:c>
      <x:c r="D407" s="60" t="n">
        <x:v>0</x:v>
      </x:c>
      <x:c r="E407" s="62" t="b">
        <x:v>1</x:v>
      </x:c>
      <x:c r="F407" s="62" t="b">
        <x:v>1</x:v>
      </x:c>
      <x:c r="G407" s="85" t="n">
        <x:v>0</x:v>
      </x:c>
      <x:c r="H407" s="85" t="n">
        <x:v>0</x:v>
      </x:c>
      <x:c r="I407" s="85" t="n">
        <x:v>0</x:v>
      </x:c>
      <x:c r="J407" s="85" t="n">
        <x:v>0</x:v>
      </x:c>
      <x:c r="K407" s="85" t="n">
        <x:v>26582155.57328764</x:v>
      </x:c>
      <x:c r="L407" s="28" t="n">
        <x:v>0</x:v>
      </x:c>
      <x:c r="M407" s="28" t="n">
        <x:v>0</x:v>
      </x:c>
      <x:c r="N407" s="28" t="n">
        <x:v>4.656612873077393e-10</x:v>
      </x:c>
      <x:c r="O407" s="28" t="n">
        <x:v>0</x:v>
      </x:c>
      <x:c r="P407" s="28" t="n">
        <x:v>0</x:v>
      </x:c>
      <x:c r="Q407" s="62" t="b">
        <x:v>1</x:v>
      </x:c>
      <x:c r="R407" s="28" t="n">
        <x:v>0</x:v>
      </x:c>
      <x:c r="S407" s="28" t="str">
        <x:v>0665606b451aec52</x:v>
      </x:c>
    </x:row>
    <x:row r="408" ht="21" customHeight="1">
      <x:c r="A408" s="60" t="n">
        <x:v>0.61</x:v>
      </x:c>
      <x:c r="B408" s="28" t="str">
        <x:v>back_low</x:v>
      </x:c>
      <x:c r="C408" s="60" t="n">
        <x:v>0.05</x:v>
      </x:c>
      <x:c r="D408" s="60" t="n">
        <x:v>0.05</x:v>
      </x:c>
      <x:c r="E408" s="62" t="b">
        <x:v>1</x:v>
      </x:c>
      <x:c r="F408" s="62" t="b">
        <x:v>1</x:v>
      </x:c>
      <x:c r="G408" s="85" t="n">
        <x:v>0</x:v>
      </x:c>
      <x:c r="H408" s="85" t="n">
        <x:v>0</x:v>
      </x:c>
      <x:c r="I408" s="85" t="n">
        <x:v>0</x:v>
      </x:c>
      <x:c r="J408" s="85" t="n">
        <x:v>0</x:v>
      </x:c>
      <x:c r="K408" s="85" t="n">
        <x:v>15929749.023098713</x:v>
      </x:c>
      <x:c r="L408" s="28" t="n">
        <x:v>0</x:v>
      </x:c>
      <x:c r="M408" s="28" t="n">
        <x:v>0</x:v>
      </x:c>
      <x:c r="N408" s="28" t="n">
        <x:v>3.725290298461914e-9</x:v>
      </x:c>
      <x:c r="O408" s="28" t="n">
        <x:v>5.960464477539063e-8</x:v>
      </x:c>
      <x:c r="P408" s="28" t="n">
        <x:v>0</x:v>
      </x:c>
      <x:c r="Q408" s="62" t="b">
        <x:v>1</x:v>
      </x:c>
      <x:c r="R408" s="28" t="n">
        <x:v>0</x:v>
      </x:c>
      <x:c r="S408" s="28" t="str">
        <x:v>37cf5634205eca89</x:v>
      </x:c>
    </x:row>
    <x:row r="409" ht="21" customHeight="1">
      <x:c r="A409" s="60" t="n">
        <x:v>0.61</x:v>
      </x:c>
      <x:c r="B409" s="28" t="str">
        <x:v>back_low</x:v>
      </x:c>
      <x:c r="C409" s="60" t="n">
        <x:v>0.1</x:v>
      </x:c>
      <x:c r="D409" s="60" t="n">
        <x:v>0.1</x:v>
      </x:c>
      <x:c r="E409" s="62" t="b">
        <x:v>1</x:v>
      </x:c>
      <x:c r="F409" s="62" t="b">
        <x:v>1</x:v>
      </x:c>
      <x:c r="G409" s="85" t="n">
        <x:v>0</x:v>
      </x:c>
      <x:c r="H409" s="85" t="n">
        <x:v>0</x:v>
      </x:c>
      <x:c r="I409" s="85" t="n">
        <x:v>0</x:v>
      </x:c>
      <x:c r="J409" s="85" t="n">
        <x:v>0</x:v>
      </x:c>
      <x:c r="K409" s="85" t="n">
        <x:v>5204281.959882481</x:v>
      </x:c>
      <x:c r="L409" s="28" t="n">
        <x:v>0</x:v>
      </x:c>
      <x:c r="M409" s="28" t="n">
        <x:v>0</x:v>
      </x:c>
      <x:c r="N409" s="28" t="n">
        <x:v>1.862645149230957e-9</x:v>
      </x:c>
      <x:c r="O409" s="28" t="n">
        <x:v>5.960464477539063e-8</x:v>
      </x:c>
      <x:c r="P409" s="28" t="n">
        <x:v>0</x:v>
      </x:c>
      <x:c r="Q409" s="62" t="b">
        <x:v>1</x:v>
      </x:c>
      <x:c r="R409" s="28" t="n">
        <x:v>0</x:v>
      </x:c>
      <x:c r="S409" s="28" t="str">
        <x:v>063b9c82a9edfef0</x:v>
      </x:c>
    </x:row>
    <x:row r="410" ht="21" customHeight="1">
      <x:c r="A410" s="60" t="n">
        <x:v>0.61</x:v>
      </x:c>
      <x:c r="B410" s="28" t="str">
        <x:v>back_low</x:v>
      </x:c>
      <x:c r="C410" s="60" t="n">
        <x:v>0.15</x:v>
      </x:c>
      <x:c r="D410" s="60" t="n">
        <x:v>0.15</x:v>
      </x:c>
      <x:c r="E410" s="62" t="b">
        <x:v>1</x:v>
      </x:c>
      <x:c r="F410" s="62" t="b">
        <x:v>1</x:v>
      </x:c>
      <x:c r="G410" s="85" t="n">
        <x:v>0</x:v>
      </x:c>
      <x:c r="H410" s="85" t="n">
        <x:v>0</x:v>
      </x:c>
      <x:c r="I410" s="85" t="n">
        <x:v>3935505.276736128</x:v>
      </x:c>
      <x:c r="J410" s="85" t="n">
        <x:v>0</x:v>
      </x:c>
      <x:c r="K410" s="85" t="n">
        <x:v>0</x:v>
      </x:c>
      <x:c r="L410" s="28" t="n">
        <x:v>0</x:v>
      </x:c>
      <x:c r="M410" s="28" t="n">
        <x:v>0</x:v>
      </x:c>
      <x:c r="N410" s="28" t="n">
        <x:v>1.862645149230957e-9</x:v>
      </x:c>
      <x:c r="O410" s="28" t="n">
        <x:v>5.960464477539063e-8</x:v>
      </x:c>
      <x:c r="P410" s="28" t="n">
        <x:v>0</x:v>
      </x:c>
      <x:c r="Q410" s="62" t="b">
        <x:v>1</x:v>
      </x:c>
      <x:c r="R410" s="28" t="n">
        <x:v>0</x:v>
      </x:c>
      <x:c r="S410" s="28" t="str">
        <x:v>40627e429b94c169</x:v>
      </x:c>
    </x:row>
    <x:row r="411" ht="21" customHeight="1">
      <x:c r="A411" s="60" t="n">
        <x:v>0.61</x:v>
      </x:c>
      <x:c r="B411" s="28" t="str">
        <x:v>back_low</x:v>
      </x:c>
      <x:c r="C411" s="60" t="n">
        <x:v>0.2</x:v>
      </x:c>
      <x:c r="D411" s="60" t="n">
        <x:v>0.2</x:v>
      </x:c>
      <x:c r="E411" s="62" t="b">
        <x:v>1</x:v>
      </x:c>
      <x:c r="F411" s="62" t="b">
        <x:v>1</x:v>
      </x:c>
      <x:c r="G411" s="85" t="n">
        <x:v>0</x:v>
      </x:c>
      <x:c r="H411" s="85" t="n">
        <x:v>0</x:v>
      </x:c>
      <x:c r="I411" s="85" t="n">
        <x:v>10251017.788127843</x:v>
      </x:c>
      <x:c r="J411" s="85" t="n">
        <x:v>6341080.834812444</x:v>
      </x:c>
      <x:c r="K411" s="85" t="n">
        <x:v>0</x:v>
      </x:c>
      <x:c r="L411" s="28" t="n">
        <x:v>0</x:v>
      </x:c>
      <x:c r="M411" s="28" t="n">
        <x:v>0</x:v>
      </x:c>
      <x:c r="N411" s="28" t="n">
        <x:v>1.862645149230957e-9</x:v>
      </x:c>
      <x:c r="O411" s="28" t="n">
        <x:v>2.9802322387695312e-8</x:v>
      </x:c>
      <x:c r="P411" s="28" t="n">
        <x:v>0</x:v>
      </x:c>
      <x:c r="Q411" s="62" t="b">
        <x:v>1</x:v>
      </x:c>
      <x:c r="R411" s="28" t="n">
        <x:v>0</x:v>
      </x:c>
      <x:c r="S411" s="28" t="str">
        <x:v>c3e62e546f641608</x:v>
      </x:c>
    </x:row>
    <x:row r="412" ht="21" customHeight="1">
      <x:c r="A412" s="60" t="n">
        <x:v>0.61</x:v>
      </x:c>
      <x:c r="B412" s="28" t="str">
        <x:v>back_low</x:v>
      </x:c>
      <x:c r="C412" s="60" t="n">
        <x:v>0.25</x:v>
      </x:c>
      <x:c r="D412" s="60" t="n">
        <x:v>0.25</x:v>
      </x:c>
      <x:c r="E412" s="62" t="b">
        <x:v>1</x:v>
      </x:c>
      <x:c r="F412" s="62" t="b">
        <x:v>1</x:v>
      </x:c>
      <x:c r="G412" s="85" t="n">
        <x:v>0</x:v>
      </x:c>
      <x:c r="H412" s="85" t="n">
        <x:v>0</x:v>
      </x:c>
      <x:c r="I412" s="85" t="n">
        <x:v>14452099.25861875</x:v>
      </x:c>
      <x:c r="J412" s="85" t="n">
        <x:v>15426351.043515662</x:v>
      </x:c>
      <x:c r="K412" s="85" t="n">
        <x:v>0</x:v>
      </x:c>
      <x:c r="L412" s="28" t="n">
        <x:v>0</x:v>
      </x:c>
      <x:c r="M412" s="28" t="n">
        <x:v>0</x:v>
      </x:c>
      <x:c r="N412" s="28" t="n">
        <x:v>9.313225746154785e-10</x:v>
      </x:c>
      <x:c r="O412" s="28" t="n">
        <x:v>2.9802322387695312e-8</x:v>
      </x:c>
      <x:c r="P412" s="28" t="n">
        <x:v>0</x:v>
      </x:c>
      <x:c r="Q412" s="62" t="b">
        <x:v>1</x:v>
      </x:c>
      <x:c r="R412" s="28" t="n">
        <x:v>0</x:v>
      </x:c>
      <x:c r="S412" s="28" t="str">
        <x:v>d9f04f5f6cab0813</x:v>
      </x:c>
    </x:row>
    <x:row r="413" ht="21" customHeight="1">
      <x:c r="A413" s="60" t="n">
        <x:v>0.61</x:v>
      </x:c>
      <x:c r="B413" s="28" t="str">
        <x:v>back_low</x:v>
      </x:c>
      <x:c r="C413" s="60" t="n">
        <x:v>0.3</x:v>
      </x:c>
      <x:c r="D413" s="60" t="n">
        <x:v>0.3</x:v>
      </x:c>
      <x:c r="E413" s="62" t="b">
        <x:v>1</x:v>
      </x:c>
      <x:c r="F413" s="62" t="b">
        <x:v>1</x:v>
      </x:c>
      <x:c r="G413" s="85" t="n">
        <x:v>0</x:v>
      </x:c>
      <x:c r="H413" s="85" t="n">
        <x:v>0</x:v>
      </x:c>
      <x:c r="I413" s="85" t="n">
        <x:v>18687603.809602156</x:v>
      </x:c>
      <x:c r="J413" s="85" t="n">
        <x:v>24511621.252218716</x:v>
      </x:c>
      <x:c r="K413" s="85" t="n">
        <x:v>0</x:v>
      </x:c>
      <x:c r="L413" s="28" t="n">
        <x:v>0</x:v>
      </x:c>
      <x:c r="M413" s="28" t="n">
        <x:v>0</x:v>
      </x:c>
      <x:c r="N413" s="28" t="n">
        <x:v>1.862645149230957e-9</x:v>
      </x:c>
      <x:c r="O413" s="28" t="n">
        <x:v>2.9802322387695312e-8</x:v>
      </x:c>
      <x:c r="P413" s="28" t="n">
        <x:v>0</x:v>
      </x:c>
      <x:c r="Q413" s="62" t="b">
        <x:v>1</x:v>
      </x:c>
      <x:c r="R413" s="28" t="n">
        <x:v>0</x:v>
      </x:c>
      <x:c r="S413" s="28" t="str">
        <x:v>c5a63f086fe4e661</x:v>
      </x:c>
    </x:row>
    <x:row r="414" ht="21" customHeight="1">
      <x:c r="A414" s="60" t="n">
        <x:v>0.61</x:v>
      </x:c>
      <x:c r="B414" s="28" t="str">
        <x:v>back_low</x:v>
      </x:c>
      <x:c r="C414" s="60" t="n">
        <x:v>0.35</x:v>
      </x:c>
      <x:c r="D414" s="60" t="n">
        <x:v>0.35</x:v>
      </x:c>
      <x:c r="E414" s="62" t="b">
        <x:v>1</x:v>
      </x:c>
      <x:c r="F414" s="62" t="b">
        <x:v>1</x:v>
      </x:c>
      <x:c r="G414" s="85" t="n">
        <x:v>0</x:v>
      </x:c>
      <x:c r="H414" s="85" t="n">
        <x:v>0</x:v>
      </x:c>
      <x:c r="I414" s="85" t="n">
        <x:v>22931913.255152255</x:v>
      </x:c>
      <x:c r="J414" s="85" t="n">
        <x:v>33596891.460921794</x:v>
      </x:c>
      <x:c r="K414" s="85" t="n">
        <x:v>0</x:v>
      </x:c>
      <x:c r="L414" s="28" t="n">
        <x:v>0</x:v>
      </x:c>
      <x:c r="M414" s="28" t="n">
        <x:v>0</x:v>
      </x:c>
      <x:c r="N414" s="28" t="n">
        <x:v>1.862645149230957e-9</x:v>
      </x:c>
      <x:c r="O414" s="28" t="n">
        <x:v>2.9802322387695312e-8</x:v>
      </x:c>
      <x:c r="P414" s="28" t="n">
        <x:v>0</x:v>
      </x:c>
      <x:c r="Q414" s="62" t="b">
        <x:v>1</x:v>
      </x:c>
      <x:c r="R414" s="28" t="n">
        <x:v>0</x:v>
      </x:c>
      <x:c r="S414" s="28" t="str">
        <x:v>2ef4b33cad6d213c</x:v>
      </x:c>
    </x:row>
    <x:row r="415" ht="21" customHeight="1">
      <x:c r="A415" s="60" t="n">
        <x:v>0.61</x:v>
      </x:c>
      <x:c r="B415" s="28" t="str">
        <x:v>back_low</x:v>
      </x:c>
      <x:c r="C415" s="60" t="n">
        <x:v>0.4</x:v>
      </x:c>
      <x:c r="D415" s="60" t="n">
        <x:v>0.4</x:v>
      </x:c>
      <x:c r="E415" s="62" t="b">
        <x:v>1</x:v>
      </x:c>
      <x:c r="F415" s="62" t="b">
        <x:v>1</x:v>
      </x:c>
      <x:c r="G415" s="85" t="n">
        <x:v>0</x:v>
      </x:c>
      <x:c r="H415" s="85" t="n">
        <x:v>0</x:v>
      </x:c>
      <x:c r="I415" s="85" t="n">
        <x:v>27176222.70070241</x:v>
      </x:c>
      <x:c r="J415" s="85" t="n">
        <x:v>42682161.66962496</x:v>
      </x:c>
      <x:c r="K415" s="85" t="n">
        <x:v>0</x:v>
      </x:c>
      <x:c r="L415" s="28" t="n">
        <x:v>0</x:v>
      </x:c>
      <x:c r="M415" s="28" t="n">
        <x:v>0</x:v>
      </x:c>
      <x:c r="N415" s="28" t="n">
        <x:v>3.725290298461914e-9</x:v>
      </x:c>
      <x:c r="O415" s="28" t="n">
        <x:v>2.9802322387695312e-8</x:v>
      </x:c>
      <x:c r="P415" s="28" t="n">
        <x:v>0</x:v>
      </x:c>
      <x:c r="Q415" s="62" t="b">
        <x:v>1</x:v>
      </x:c>
      <x:c r="R415" s="28" t="n">
        <x:v>0</x:v>
      </x:c>
      <x:c r="S415" s="28" t="str">
        <x:v>480f7ea7017996d5</x:v>
      </x:c>
    </x:row>
    <x:row r="416" ht="21" customHeight="1">
      <x:c r="A416" s="60" t="n">
        <x:v>0.61</x:v>
      </x:c>
      <x:c r="B416" s="28" t="str">
        <x:v>back_low</x:v>
      </x:c>
      <x:c r="C416" s="60" t="n">
        <x:v>0.45</x:v>
      </x:c>
      <x:c r="D416" s="60" t="n">
        <x:v>0.45</x:v>
      </x:c>
      <x:c r="E416" s="62" t="b">
        <x:v>1</x:v>
      </x:c>
      <x:c r="F416" s="62" t="b">
        <x:v>1</x:v>
      </x:c>
      <x:c r="G416" s="85" t="n">
        <x:v>0</x:v>
      </x:c>
      <x:c r="H416" s="85" t="n">
        <x:v>0</x:v>
      </x:c>
      <x:c r="I416" s="85" t="n">
        <x:v>31378328.27857555</x:v>
      </x:c>
      <x:c r="J416" s="85" t="n">
        <x:v>51767431.87832807</x:v>
      </x:c>
      <x:c r="K416" s="85" t="n">
        <x:v>0</x:v>
      </x:c>
      <x:c r="L416" s="28" t="n">
        <x:v>0</x:v>
      </x:c>
      <x:c r="M416" s="28" t="n">
        <x:v>0</x:v>
      </x:c>
      <x:c r="N416" s="28" t="n">
        <x:v>3.725290298461914e-9</x:v>
      </x:c>
      <x:c r="O416" s="28" t="n">
        <x:v>1.4901161193847656e-8</x:v>
      </x:c>
      <x:c r="P416" s="28" t="n">
        <x:v>0</x:v>
      </x:c>
      <x:c r="Q416" s="62" t="b">
        <x:v>1</x:v>
      </x:c>
      <x:c r="R416" s="28" t="n">
        <x:v>0</x:v>
      </x:c>
      <x:c r="S416" s="28" t="str">
        <x:v>3e262f3515296095</x:v>
      </x:c>
    </x:row>
    <x:row r="417" ht="21" customHeight="1">
      <x:c r="A417" s="60" t="n">
        <x:v>0.61</x:v>
      </x:c>
      <x:c r="B417" s="28" t="str">
        <x:v>back_low</x:v>
      </x:c>
      <x:c r="C417" s="60" t="n">
        <x:v>0.5</x:v>
      </x:c>
      <x:c r="D417" s="60" t="n">
        <x:v>0.5</x:v>
      </x:c>
      <x:c r="E417" s="62" t="b">
        <x:v>1</x:v>
      </x:c>
      <x:c r="F417" s="62" t="b">
        <x:v>1</x:v>
      </x:c>
      <x:c r="G417" s="85" t="n">
        <x:v>0</x:v>
      </x:c>
      <x:c r="H417" s="85" t="n">
        <x:v>0</x:v>
      </x:c>
      <x:c r="I417" s="85" t="n">
        <x:v>36203638.109457046</x:v>
      </x:c>
      <x:c r="J417" s="85" t="n">
        <x:v>59886206.54426456</x:v>
      </x:c>
      <x:c r="K417" s="85" t="n">
        <x:v>0</x:v>
      </x:c>
      <x:c r="L417" s="28" t="n">
        <x:v>3</x:v>
      </x:c>
      <x:c r="M417" s="28" t="n">
        <x:v>0</x:v>
      </x:c>
      <x:c r="N417" s="28" t="n">
        <x:v>3.725290298461914e-9</x:v>
      </x:c>
      <x:c r="O417" s="28" t="n">
        <x:v>2.9802322387695312e-8</x:v>
      </x:c>
      <x:c r="P417" s="28" t="n">
        <x:v>0</x:v>
      </x:c>
      <x:c r="Q417" s="62" t="b">
        <x:v>1</x:v>
      </x:c>
      <x:c r="R417" s="28" t="n">
        <x:v>0</x:v>
      </x:c>
      <x:c r="S417" s="28" t="str">
        <x:v>fc59bf5ff8e7eea1</x:v>
      </x:c>
    </x:row>
    <x:row r="418" ht="21" customHeight="1">
      <x:c r="A418" s="60" t="n">
        <x:v>0.61</x:v>
      </x:c>
      <x:c r="B418" s="28" t="str">
        <x:v>back_low</x:v>
      </x:c>
      <x:c r="C418" s="60" t="n">
        <x:v>0.55</x:v>
      </x:c>
      <x:c r="D418" s="60" t="n">
        <x:v>0.55</x:v>
      </x:c>
      <x:c r="E418" s="62" t="b">
        <x:v>1</x:v>
      </x:c>
      <x:c r="F418" s="62" t="b">
        <x:v>1</x:v>
      </x:c>
      <x:c r="G418" s="85" t="n">
        <x:v>0</x:v>
      </x:c>
      <x:c r="H418" s="85" t="n">
        <x:v>0</x:v>
      </x:c>
      <x:c r="I418" s="85" t="n">
        <x:v>41383249.101308435</x:v>
      </x:c>
      <x:c r="J418" s="85" t="n">
        <x:v>67358067.82269527</x:v>
      </x:c>
      <x:c r="K418" s="85" t="n">
        <x:v>0</x:v>
      </x:c>
      <x:c r="L418" s="28" t="n">
        <x:v>8</x:v>
      </x:c>
      <x:c r="M418" s="28" t="n">
        <x:v>0</x:v>
      </x:c>
      <x:c r="N418" s="28" t="n">
        <x:v>1.862645149230957e-9</x:v>
      </x:c>
      <x:c r="O418" s="28" t="n">
        <x:v>2.9802322387695312e-8</x:v>
      </x:c>
      <x:c r="P418" s="28" t="n">
        <x:v>0</x:v>
      </x:c>
      <x:c r="Q418" s="62" t="b">
        <x:v>1</x:v>
      </x:c>
      <x:c r="R418" s="28" t="n">
        <x:v>0</x:v>
      </x:c>
      <x:c r="S418" s="28" t="str">
        <x:v>0891f155441098a7</x:v>
      </x:c>
    </x:row>
    <x:row r="419" ht="21" customHeight="1">
      <x:c r="A419" s="60" t="n">
        <x:v>0.61</x:v>
      </x:c>
      <x:c r="B419" s="28" t="str">
        <x:v>back_low</x:v>
      </x:c>
      <x:c r="C419" s="60" t="n">
        <x:v>0.6</x:v>
      </x:c>
      <x:c r="D419" s="60" t="n">
        <x:v>0.6</x:v>
      </x:c>
      <x:c r="E419" s="62" t="b">
        <x:v>1</x:v>
      </x:c>
      <x:c r="F419" s="62" t="b">
        <x:v>1</x:v>
      </x:c>
      <x:c r="G419" s="85" t="n">
        <x:v>0</x:v>
      </x:c>
      <x:c r="H419" s="85" t="n">
        <x:v>0</x:v>
      </x:c>
      <x:c r="I419" s="85" t="n">
        <x:v>45562623.98335719</x:v>
      </x:c>
      <x:c r="J419" s="85" t="n">
        <x:v>76281461.35992001</x:v>
      </x:c>
      <x:c r="K419" s="85" t="n">
        <x:v>0</x:v>
      </x:c>
      <x:c r="L419" s="28" t="n">
        <x:v>10</x:v>
      </x:c>
      <x:c r="M419" s="28" t="n">
        <x:v>0</x:v>
      </x:c>
      <x:c r="N419" s="28" t="n">
        <x:v>1.862645149230957e-9</x:v>
      </x:c>
      <x:c r="O419" s="28" t="n">
        <x:v>2.9802322387695312e-8</x:v>
      </x:c>
      <x:c r="P419" s="28" t="n">
        <x:v>0</x:v>
      </x:c>
      <x:c r="Q419" s="62" t="b">
        <x:v>1</x:v>
      </x:c>
      <x:c r="R419" s="28" t="n">
        <x:v>0</x:v>
      </x:c>
      <x:c r="S419" s="28" t="str">
        <x:v>594abb91a4581f03</x:v>
      </x:c>
    </x:row>
    <x:row r="420" ht="21" customHeight="1">
      <x:c r="A420" s="60" t="n">
        <x:v>0.61</x:v>
      </x:c>
      <x:c r="B420" s="28" t="str">
        <x:v>back_low</x:v>
      </x:c>
      <x:c r="C420" s="60" t="n">
        <x:v>0.65</x:v>
      </x:c>
      <x:c r="D420" s="60" t="n">
        <x:v>0.65</x:v>
      </x:c>
      <x:c r="E420" s="62" t="b">
        <x:v>1</x:v>
      </x:c>
      <x:c r="F420" s="62" t="b">
        <x:v>1</x:v>
      </x:c>
      <x:c r="G420" s="85" t="n">
        <x:v>0</x:v>
      </x:c>
      <x:c r="H420" s="85" t="n">
        <x:v>0</x:v>
      </x:c>
      <x:c r="I420" s="85" t="n">
        <x:v>50069214.521426916</x:v>
      </x:c>
      <x:c r="J420" s="85" t="n">
        <x:v>84530148.65061888</x:v>
      </x:c>
      <x:c r="K420" s="85" t="n">
        <x:v>0</x:v>
      </x:c>
      <x:c r="L420" s="28" t="n">
        <x:v>16</x:v>
      </x:c>
      <x:c r="M420" s="28" t="n">
        <x:v>2</x:v>
      </x:c>
      <x:c r="N420" s="28" t="n">
        <x:v>1.862645149230957e-9</x:v>
      </x:c>
      <x:c r="O420" s="28" t="n">
        <x:v>1.4901161193847656e-8</x:v>
      </x:c>
      <x:c r="P420" s="28" t="n">
        <x:v>0</x:v>
      </x:c>
      <x:c r="Q420" s="62" t="b">
        <x:v>1</x:v>
      </x:c>
      <x:c r="R420" s="28" t="n">
        <x:v>0</x:v>
      </x:c>
      <x:c r="S420" s="28" t="str">
        <x:v>bf40fc1b132803cc</x:v>
      </x:c>
    </x:row>
    <x:row r="421" ht="21" customHeight="1">
      <x:c r="A421" s="60" t="n">
        <x:v>0.61</x:v>
      </x:c>
      <x:c r="B421" s="28" t="str">
        <x:v>back_low</x:v>
      </x:c>
      <x:c r="C421" s="60" t="n">
        <x:v>0.7</x:v>
      </x:c>
      <x:c r="D421" s="60" t="n">
        <x:v>0.7</x:v>
      </x:c>
      <x:c r="E421" s="62" t="b">
        <x:v>1</x:v>
      </x:c>
      <x:c r="F421" s="62" t="b">
        <x:v>0</x:v>
      </x:c>
      <x:c r="G421" s="85" t="n">
        <x:v>529856.4482105873</x:v>
      </x:c>
      <x:c r="H421" s="85" t="n">
        <x:v>7977096.856737036</x:v>
      </x:c>
      <x:c r="I421" s="85" t="n">
        <x:v>51021742.058055356</x:v>
      </x:c>
      <x:c r="J421" s="85" t="n">
        <x:v>87000000.00000001</x:v>
      </x:c>
      <x:c r="K421" s="85" t="n">
        <x:v>0</x:v>
      </x:c>
      <x:c r="L421" s="28" t="n">
        <x:v>37</x:v>
      </x:c>
      <x:c r="M421" s="28" t="n">
        <x:v>30</x:v>
      </x:c>
      <x:c r="N421" s="28" t="n">
        <x:v>1.862645149230957e-9</x:v>
      </x:c>
      <x:c r="O421" s="28" t="n">
        <x:v>2.9802322387695312e-8</x:v>
      </x:c>
      <x:c r="P421" s="28" t="n">
        <x:v>0</x:v>
      </x:c>
      <x:c r="Q421" s="62" t="b">
        <x:v>1</x:v>
      </x:c>
      <x:c r="R421" s="28" t="n">
        <x:v>0</x:v>
      </x:c>
      <x:c r="S421" s="28" t="str">
        <x:v>076352e696f5bc91</x:v>
      </x:c>
    </x:row>
    <x:row r="422" ht="21" customHeight="1">
      <x:c r="A422" s="60" t="n">
        <x:v>0.61</x:v>
      </x:c>
      <x:c r="B422" s="28" t="str">
        <x:v>back_low</x:v>
      </x:c>
      <x:c r="C422" s="60" t="n">
        <x:v>0.75</x:v>
      </x:c>
      <x:c r="D422" s="60" t="n">
        <x:v>0.75</x:v>
      </x:c>
      <x:c r="E422" s="62" t="b">
        <x:v>1</x:v>
      </x:c>
      <x:c r="F422" s="62" t="b">
        <x:v>0</x:v>
      </x:c>
      <x:c r="G422" s="85" t="n">
        <x:v>1256448.1472768562</x:v>
      </x:c>
      <x:c r="H422" s="85" t="n">
        <x:v>17809578.923363373</x:v>
      </x:c>
      <x:c r="I422" s="85" t="n">
        <x:v>51915272.009895824</x:v>
      </x:c>
      <x:c r="J422" s="85" t="n">
        <x:v>87000000.00000001</x:v>
      </x:c>
      <x:c r="K422" s="85" t="n">
        <x:v>0</x:v>
      </x:c>
      <x:c r="L422" s="28" t="n">
        <x:v>38</x:v>
      </x:c>
      <x:c r="M422" s="28" t="n">
        <x:v>31</x:v>
      </x:c>
      <x:c r="N422" s="28" t="n">
        <x:v>1.862645149230957e-9</x:v>
      </x:c>
      <x:c r="O422" s="28" t="n">
        <x:v>2.9802322387695312e-8</x:v>
      </x:c>
      <x:c r="P422" s="28" t="n">
        <x:v>0</x:v>
      </x:c>
      <x:c r="Q422" s="62" t="b">
        <x:v>1</x:v>
      </x:c>
      <x:c r="R422" s="28" t="n">
        <x:v>0</x:v>
      </x:c>
      <x:c r="S422" s="28" t="str">
        <x:v>12d6610bdf080bf4</x:v>
      </x:c>
    </x:row>
    <x:row r="423" ht="21" customHeight="1">
      <x:c r="A423" s="60" t="n">
        <x:v>0.61</x:v>
      </x:c>
      <x:c r="B423" s="28" t="str">
        <x:v>back_low</x:v>
      </x:c>
      <x:c r="C423" s="60" t="n">
        <x:v>0.8</x:v>
      </x:c>
      <x:c r="D423" s="60" t="n">
        <x:v>0.8</x:v>
      </x:c>
      <x:c r="E423" s="62" t="b">
        <x:v>1</x:v>
      </x:c>
      <x:c r="F423" s="62" t="b">
        <x:v>0</x:v>
      </x:c>
      <x:c r="G423" s="85" t="n">
        <x:v>2081076.1687836251</x:v>
      </x:c>
      <x:c r="H423" s="85" t="n">
        <x:v>27321413.290420115</x:v>
      </x:c>
      <x:c r="I423" s="85" t="n">
        <x:v>52873979.46808681</x:v>
      </x:c>
      <x:c r="J423" s="85" t="n">
        <x:v>87000000.00000001</x:v>
      </x:c>
      <x:c r="K423" s="85" t="n">
        <x:v>0</x:v>
      </x:c>
      <x:c r="L423" s="28" t="n">
        <x:v>39</x:v>
      </x:c>
      <x:c r="M423" s="28" t="n">
        <x:v>32</x:v>
      </x:c>
      <x:c r="N423" s="28" t="n">
        <x:v>1.862645149230957e-9</x:v>
      </x:c>
      <x:c r="O423" s="28" t="n">
        <x:v>1.4901161193847656e-8</x:v>
      </x:c>
      <x:c r="P423" s="28" t="n">
        <x:v>0</x:v>
      </x:c>
      <x:c r="Q423" s="62" t="b">
        <x:v>1</x:v>
      </x:c>
      <x:c r="R423" s="28" t="n">
        <x:v>0</x:v>
      </x:c>
      <x:c r="S423" s="28" t="str">
        <x:v>11fbc49eca992caa</x:v>
      </x:c>
    </x:row>
    <x:row r="424" ht="21" customHeight="1">
      <x:c r="A424" s="60" t="n">
        <x:v>0.61</x:v>
      </x:c>
      <x:c r="B424" s="28" t="str">
        <x:v>back_low</x:v>
      </x:c>
      <x:c r="C424" s="60" t="n">
        <x:v>0.85</x:v>
      </x:c>
      <x:c r="D424" s="60" t="n">
        <x:v>0.85</x:v>
      </x:c>
      <x:c r="E424" s="62" t="b">
        <x:v>1</x:v>
      </x:c>
      <x:c r="F424" s="62" t="b">
        <x:v>0</x:v>
      </x:c>
      <x:c r="G424" s="85" t="n">
        <x:v>3154831.718715032</x:v>
      </x:c>
      <x:c r="H424" s="85" t="n">
        <x:v>37527269.901725</x:v>
      </x:c>
      <x:c r="I424" s="85" t="n">
        <x:v>53039380.42679428</x:v>
      </x:c>
      <x:c r="J424" s="85" t="n">
        <x:v>87000000.00000001</x:v>
      </x:c>
      <x:c r="K424" s="85" t="n">
        <x:v>0</x:v>
      </x:c>
      <x:c r="L424" s="28" t="n">
        <x:v>39</x:v>
      </x:c>
      <x:c r="M424" s="28" t="n">
        <x:v>32</x:v>
      </x:c>
      <x:c r="N424" s="28" t="n">
        <x:v>1.862645149230957e-9</x:v>
      </x:c>
      <x:c r="O424" s="28" t="n">
        <x:v>2.9802322387695312e-8</x:v>
      </x:c>
      <x:c r="P424" s="28" t="n">
        <x:v>0</x:v>
      </x:c>
      <x:c r="Q424" s="62" t="b">
        <x:v>1</x:v>
      </x:c>
      <x:c r="R424" s="28" t="n">
        <x:v>0</x:v>
      </x:c>
      <x:c r="S424" s="28" t="str">
        <x:v>c2d17a21614d6c24</x:v>
      </x:c>
    </x:row>
    <x:row r="425" ht="21" customHeight="1">
      <x:c r="A425" s="60" t="n">
        <x:v>0.61</x:v>
      </x:c>
      <x:c r="B425" s="28" t="str">
        <x:v>back_low</x:v>
      </x:c>
      <x:c r="C425" s="60" t="n">
        <x:v>0.9</x:v>
      </x:c>
      <x:c r="D425" s="60" t="n">
        <x:v>0.8948658400492392</x:v>
      </x:c>
      <x:c r="E425" s="62" t="b">
        <x:v>0</x:v>
      </x:c>
      <x:c r="F425" s="62" t="b">
        <x:v>0</x:v>
      </x:c>
      <x:c r="G425" s="85" t="n">
        <x:v>5088872.76318022</x:v>
      </x:c>
      <x:c r="H425" s="85" t="n">
        <x:v>44618860.85567225</x:v>
      </x:c>
      <x:c r="I425" s="85" t="n">
        <x:v>53877313.24957738</x:v>
      </x:c>
      <x:c r="J425" s="85" t="n">
        <x:v>87000000.00000001</x:v>
      </x:c>
      <x:c r="K425" s="85" t="n">
        <x:v>0</x:v>
      </x:c>
      <x:c r="L425" s="28" t="n">
        <x:v>40</x:v>
      </x:c>
      <x:c r="M425" s="28" t="n">
        <x:v>34</x:v>
      </x:c>
      <x:c r="N425" s="28" t="n">
        <x:v>1.862645149230957e-9</x:v>
      </x:c>
      <x:c r="O425" s="28" t="n">
        <x:v>2.9802322387695312e-8</x:v>
      </x:c>
      <x:c r="P425" s="28" t="n">
        <x:v>0</x:v>
      </x:c>
      <x:c r="Q425" s="62" t="b">
        <x:v>1</x:v>
      </x:c>
      <x:c r="R425" s="28" t="n">
        <x:v>1540247.9852282405</x:v>
      </x:c>
      <x:c r="S425" s="28" t="str">
        <x:v>c2ece49933fb2849</x:v>
      </x:c>
    </x:row>
    <x:row r="426" ht="21" customHeight="1">
      <x:c r="A426" s="60" t="n">
        <x:v>0.61</x:v>
      </x:c>
      <x:c r="B426" s="28" t="str">
        <x:v>back_low</x:v>
      </x:c>
      <x:c r="C426" s="60" t="n">
        <x:v>0.95</x:v>
      </x:c>
      <x:c r="D426" s="60" t="n">
        <x:v>0.9083032015334562</x:v>
      </x:c>
      <x:c r="E426" s="62" t="b">
        <x:v>0</x:v>
      </x:c>
      <x:c r="F426" s="62" t="b">
        <x:v>0</x:v>
      </x:c>
      <x:c r="G426" s="85" t="n">
        <x:v>5441971.4322516695</x:v>
      </x:c>
      <x:c r="H426" s="85" t="n">
        <x:v>47714803.9292767</x:v>
      </x:c>
      <x:c r="I426" s="85" t="n">
        <x:v>54006673.73071828</x:v>
      </x:c>
      <x:c r="J426" s="85" t="n">
        <x:v>87000000.00000001</x:v>
      </x:c>
      <x:c r="K426" s="85" t="n">
        <x:v>0</x:v>
      </x:c>
      <x:c r="L426" s="28" t="n">
        <x:v>40</x:v>
      </x:c>
      <x:c r="M426" s="28" t="n">
        <x:v>34</x:v>
      </x:c>
      <x:c r="N426" s="28" t="n">
        <x:v>1.862645149230957e-9</x:v>
      </x:c>
      <x:c r="O426" s="28" t="n">
        <x:v>2.9802322387695312e-8</x:v>
      </x:c>
      <x:c r="P426" s="28" t="n">
        <x:v>0</x:v>
      </x:c>
      <x:c r="Q426" s="62" t="b">
        <x:v>1</x:v>
      </x:c>
      <x:c r="R426" s="28" t="n">
        <x:v>12509039.539963126</x:v>
      </x:c>
      <x:c r="S426" s="28" t="str">
        <x:v>90f18e6229469ab0</x:v>
      </x:c>
    </x:row>
    <x:row r="427" ht="21" customHeight="1">
      <x:c r="A427" s="60" t="n">
        <x:v>0.61</x:v>
      </x:c>
      <x:c r="B427" s="28" t="str">
        <x:v>back_low</x:v>
      </x:c>
      <x:c r="C427" s="60" t="n">
        <x:v>1</x:v>
      </x:c>
      <x:c r="D427" s="60" t="n">
        <x:v>0.920601109498915</x:v>
      </x:c>
      <x:c r="E427" s="62" t="b">
        <x:v>0</x:v>
      </x:c>
      <x:c r="F427" s="62" t="b">
        <x:v>0</x:v>
      </x:c>
      <x:c r="G427" s="85" t="n">
        <x:v>5875859.401501807</x:v>
      </x:c>
      <x:c r="H427" s="85" t="n">
        <x:v>49442992.404918715</x:v>
      </x:c>
      <x:c r="I427" s="85" t="n">
        <x:v>54954038.72672603</x:v>
      </x:c>
      <x:c r="J427" s="85" t="n">
        <x:v>87000000.00000001</x:v>
      </x:c>
      <x:c r="K427" s="85" t="n">
        <x:v>0</x:v>
      </x:c>
      <x:c r="L427" s="28" t="n">
        <x:v>41</x:v>
      </x:c>
      <x:c r="M427" s="28" t="n">
        <x:v>34</x:v>
      </x:c>
      <x:c r="N427" s="28" t="n">
        <x:v>1.862645149230957e-9</x:v>
      </x:c>
      <x:c r="O427" s="28" t="n">
        <x:v>2.9802322387695312e-8</x:v>
      </x:c>
      <x:c r="P427" s="28" t="n">
        <x:v>0</x:v>
      </x:c>
      <x:c r="Q427" s="62" t="b">
        <x:v>1</x:v>
      </x:c>
      <x:c r="R427" s="28" t="n">
        <x:v>23819667.150325477</x:v>
      </x:c>
      <x:c r="S427" s="28" t="str">
        <x:v>0fda72496f16480a</x:v>
      </x:c>
    </x:row>
    <x:row r="428" ht="21" customHeight="1">
      <x:c r="A428" s="60" t="n">
        <x:v>0.61</x:v>
      </x:c>
      <x:c r="B428" s="28" t="str">
        <x:v>back_high</x:v>
      </x:c>
      <x:c r="C428" s="60" t="n">
        <x:v>0</x:v>
      </x:c>
      <x:c r="D428" s="60" t="n">
        <x:v>0</x:v>
      </x:c>
      <x:c r="E428" s="62" t="b">
        <x:v>1</x:v>
      </x:c>
      <x:c r="F428" s="62" t="b">
        <x:v>1</x:v>
      </x:c>
      <x:c r="G428" s="85" t="n">
        <x:v>0</x:v>
      </x:c>
      <x:c r="H428" s="85" t="n">
        <x:v>0</x:v>
      </x:c>
      <x:c r="I428" s="85" t="n">
        <x:v>0</x:v>
      </x:c>
      <x:c r="J428" s="85" t="n">
        <x:v>0</x:v>
      </x:c>
      <x:c r="K428" s="85" t="n">
        <x:v>35392694.84726021</x:v>
      </x:c>
      <x:c r="L428" s="28" t="n">
        <x:v>0</x:v>
      </x:c>
      <x:c r="M428" s="28" t="n">
        <x:v>0</x:v>
      </x:c>
      <x:c r="N428" s="28" t="n">
        <x:v>1.862645149230957e-9</x:v>
      </x:c>
      <x:c r="O428" s="28" t="n">
        <x:v>0</x:v>
      </x:c>
      <x:c r="P428" s="28" t="n">
        <x:v>0</x:v>
      </x:c>
      <x:c r="Q428" s="62" t="b">
        <x:v>1</x:v>
      </x:c>
      <x:c r="R428" s="28" t="n">
        <x:v>0</x:v>
      </x:c>
      <x:c r="S428" s="28" t="str">
        <x:v>420889b2946810c3</x:v>
      </x:c>
    </x:row>
    <x:row r="429" ht="21" customHeight="1">
      <x:c r="A429" s="60" t="n">
        <x:v>0.61</x:v>
      </x:c>
      <x:c r="B429" s="28" t="str">
        <x:v>back_high</x:v>
      </x:c>
      <x:c r="C429" s="60" t="n">
        <x:v>0.05</x:v>
      </x:c>
      <x:c r="D429" s="60" t="n">
        <x:v>0.05</x:v>
      </x:c>
      <x:c r="E429" s="62" t="b">
        <x:v>1</x:v>
      </x:c>
      <x:c r="F429" s="62" t="b">
        <x:v>1</x:v>
      </x:c>
      <x:c r="G429" s="85" t="n">
        <x:v>0</x:v>
      </x:c>
      <x:c r="H429" s="85" t="n">
        <x:v>0</x:v>
      </x:c>
      <x:c r="I429" s="85" t="n">
        <x:v>0</x:v>
      </x:c>
      <x:c r="J429" s="85" t="n">
        <x:v>0</x:v>
      </x:c>
      <x:c r="K429" s="85" t="n">
        <x:v>22271514.468153503</x:v>
      </x:c>
      <x:c r="L429" s="28" t="n">
        <x:v>0</x:v>
      </x:c>
      <x:c r="M429" s="28" t="n">
        <x:v>0</x:v>
      </x:c>
      <x:c r="N429" s="28" t="n">
        <x:v>3.725290298461914e-9</x:v>
      </x:c>
      <x:c r="O429" s="28" t="n">
        <x:v>5.960464477539063e-8</x:v>
      </x:c>
      <x:c r="P429" s="28" t="n">
        <x:v>0</x:v>
      </x:c>
      <x:c r="Q429" s="62" t="b">
        <x:v>1</x:v>
      </x:c>
      <x:c r="R429" s="28" t="n">
        <x:v>0</x:v>
      </x:c>
      <x:c r="S429" s="28" t="str">
        <x:v>b47ff385f5c5e111</x:v>
      </x:c>
    </x:row>
    <x:row r="430" ht="21" customHeight="1">
      <x:c r="A430" s="60" t="n">
        <x:v>0.61</x:v>
      </x:c>
      <x:c r="B430" s="28" t="str">
        <x:v>back_high</x:v>
      </x:c>
      <x:c r="C430" s="60" t="n">
        <x:v>0.1</x:v>
      </x:c>
      <x:c r="D430" s="60" t="n">
        <x:v>0.1</x:v>
      </x:c>
      <x:c r="E430" s="62" t="b">
        <x:v>1</x:v>
      </x:c>
      <x:c r="F430" s="62" t="b">
        <x:v>1</x:v>
      </x:c>
      <x:c r="G430" s="85" t="n">
        <x:v>0</x:v>
      </x:c>
      <x:c r="H430" s="85" t="n">
        <x:v>0</x:v>
      </x:c>
      <x:c r="I430" s="85" t="n">
        <x:v>0</x:v>
      </x:c>
      <x:c r="J430" s="85" t="n">
        <x:v>0</x:v>
      </x:c>
      <x:c r="K430" s="85" t="n">
        <x:v>9001417.87511302</x:v>
      </x:c>
      <x:c r="L430" s="28" t="n">
        <x:v>0</x:v>
      </x:c>
      <x:c r="M430" s="28" t="n">
        <x:v>0</x:v>
      </x:c>
      <x:c r="N430" s="28" t="n">
        <x:v>3.725290298461914e-9</x:v>
      </x:c>
      <x:c r="O430" s="28" t="n">
        <x:v>5.960464477539063e-8</x:v>
      </x:c>
      <x:c r="P430" s="28" t="n">
        <x:v>0</x:v>
      </x:c>
      <x:c r="Q430" s="62" t="b">
        <x:v>1</x:v>
      </x:c>
      <x:c r="R430" s="28" t="n">
        <x:v>0</x:v>
      </x:c>
      <x:c r="S430" s="28" t="str">
        <x:v>5131e76a36de9138</x:v>
      </x:c>
    </x:row>
    <x:row r="431" ht="21" customHeight="1">
      <x:c r="A431" s="60" t="n">
        <x:v>0.61</x:v>
      </x:c>
      <x:c r="B431" s="28" t="str">
        <x:v>back_high</x:v>
      </x:c>
      <x:c r="C431" s="60" t="n">
        <x:v>0.15</x:v>
      </x:c>
      <x:c r="D431" s="60" t="n">
        <x:v>0.15</x:v>
      </x:c>
      <x:c r="E431" s="62" t="b">
        <x:v>1</x:v>
      </x:c>
      <x:c r="F431" s="62" t="b">
        <x:v>1</x:v>
      </x:c>
      <x:c r="G431" s="85" t="n">
        <x:v>0</x:v>
      </x:c>
      <x:c r="H431" s="85" t="n">
        <x:v>0</x:v>
      </x:c>
      <x:c r="I431" s="85" t="n">
        <x:v>4977237.149519489</x:v>
      </x:c>
      <x:c r="J431" s="85" t="n">
        <x:v>0</x:v>
      </x:c>
      <x:c r="K431" s="85" t="n">
        <x:v>1564397.9210682455</x:v>
      </x:c>
      <x:c r="L431" s="28" t="n">
        <x:v>0</x:v>
      </x:c>
      <x:c r="M431" s="28" t="n">
        <x:v>0</x:v>
      </x:c>
      <x:c r="N431" s="28" t="n">
        <x:v>3.725290298461914e-9</x:v>
      </x:c>
      <x:c r="O431" s="28" t="n">
        <x:v>5.960464477539063e-8</x:v>
      </x:c>
      <x:c r="P431" s="28" t="n">
        <x:v>0</x:v>
      </x:c>
      <x:c r="Q431" s="62" t="b">
        <x:v>1</x:v>
      </x:c>
      <x:c r="R431" s="28" t="n">
        <x:v>0</x:v>
      </x:c>
      <x:c r="S431" s="28" t="str">
        <x:v>4dcf10fbd3a91e72</x:v>
      </x:c>
    </x:row>
    <x:row r="432" ht="21" customHeight="1">
      <x:c r="A432" s="60" t="n">
        <x:v>0.61</x:v>
      </x:c>
      <x:c r="B432" s="28" t="str">
        <x:v>back_high</x:v>
      </x:c>
      <x:c r="C432" s="60" t="n">
        <x:v>0.2</x:v>
      </x:c>
      <x:c r="D432" s="60" t="n">
        <x:v>0.2</x:v>
      </x:c>
      <x:c r="E432" s="62" t="b">
        <x:v>1</x:v>
      </x:c>
      <x:c r="F432" s="62" t="b">
        <x:v>1</x:v>
      </x:c>
      <x:c r="G432" s="85" t="n">
        <x:v>0</x:v>
      </x:c>
      <x:c r="H432" s="85" t="n">
        <x:v>0</x:v>
      </x:c>
      <x:c r="I432" s="85" t="n">
        <x:v>15274931.34351743</x:v>
      </x:c>
      <x:c r="J432" s="85" t="n">
        <x:v>6341080.834812444</x:v>
      </x:c>
      <x:c r="K432" s="85" t="n">
        <x:v>1194220.4696435104</x:v>
      </x:c>
      <x:c r="L432" s="28" t="n">
        <x:v>0</x:v>
      </x:c>
      <x:c r="M432" s="28" t="n">
        <x:v>0</x:v>
      </x:c>
      <x:c r="N432" s="28" t="n">
        <x:v>1.862645149230957e-9</x:v>
      </x:c>
      <x:c r="O432" s="28" t="n">
        <x:v>2.9802322387695312e-8</x:v>
      </x:c>
      <x:c r="P432" s="28" t="n">
        <x:v>0</x:v>
      </x:c>
      <x:c r="Q432" s="62" t="b">
        <x:v>1</x:v>
      </x:c>
      <x:c r="R432" s="28" t="n">
        <x:v>0</x:v>
      </x:c>
      <x:c r="S432" s="28" t="str">
        <x:v>e639e94925820197</x:v>
      </x:c>
    </x:row>
    <x:row r="433" ht="21" customHeight="1">
      <x:c r="A433" s="60" t="n">
        <x:v>0.61</x:v>
      </x:c>
      <x:c r="B433" s="28" t="str">
        <x:v>back_high</x:v>
      </x:c>
      <x:c r="C433" s="60" t="n">
        <x:v>0.25</x:v>
      </x:c>
      <x:c r="D433" s="60" t="n">
        <x:v>0.25</x:v>
      </x:c>
      <x:c r="E433" s="62" t="b">
        <x:v>1</x:v>
      </x:c>
      <x:c r="F433" s="62" t="b">
        <x:v>1</x:v>
      </x:c>
      <x:c r="G433" s="85" t="n">
        <x:v>0</x:v>
      </x:c>
      <x:c r="H433" s="85" t="n">
        <x:v>0</x:v>
      </x:c>
      <x:c r="I433" s="85" t="n">
        <x:v>24112612.36929417</x:v>
      </x:c>
      <x:c r="J433" s="85" t="n">
        <x:v>15426351.043515662</x:v>
      </x:c>
      <x:c r="K433" s="85" t="n">
        <x:v>946960.556681772</x:v>
      </x:c>
      <x:c r="L433" s="28" t="n">
        <x:v>0</x:v>
      </x:c>
      <x:c r="M433" s="28" t="n">
        <x:v>0</x:v>
      </x:c>
      <x:c r="N433" s="28" t="n">
        <x:v>3.725290298461914e-9</x:v>
      </x:c>
      <x:c r="O433" s="28" t="n">
        <x:v>2.9802322387695312e-8</x:v>
      </x:c>
      <x:c r="P433" s="28" t="n">
        <x:v>0</x:v>
      </x:c>
      <x:c r="Q433" s="62" t="b">
        <x:v>1</x:v>
      </x:c>
      <x:c r="R433" s="28" t="n">
        <x:v>0</x:v>
      </x:c>
      <x:c r="S433" s="28" t="str">
        <x:v>3b1928f969a30c67</x:v>
      </x:c>
    </x:row>
    <x:row r="434" ht="21" customHeight="1">
      <x:c r="A434" s="60" t="n">
        <x:v>0.61</x:v>
      </x:c>
      <x:c r="B434" s="28" t="str">
        <x:v>back_high</x:v>
      </x:c>
      <x:c r="C434" s="60" t="n">
        <x:v>0.3</x:v>
      </x:c>
      <x:c r="D434" s="60" t="n">
        <x:v>0.3</x:v>
      </x:c>
      <x:c r="E434" s="62" t="b">
        <x:v>1</x:v>
      </x:c>
      <x:c r="F434" s="62" t="b">
        <x:v>1</x:v>
      </x:c>
      <x:c r="G434" s="85" t="n">
        <x:v>0</x:v>
      </x:c>
      <x:c r="H434" s="85" t="n">
        <x:v>0</x:v>
      </x:c>
      <x:c r="I434" s="85" t="n">
        <x:v>33021429.19848661</x:v>
      </x:c>
      <x:c r="J434" s="85" t="n">
        <x:v>24511621.252218716</x:v>
      </x:c>
      <x:c r="K434" s="85" t="n">
        <x:v>759086.253597263</x:v>
      </x:c>
      <x:c r="L434" s="28" t="n">
        <x:v>0</x:v>
      </x:c>
      <x:c r="M434" s="28" t="n">
        <x:v>0</x:v>
      </x:c>
      <x:c r="N434" s="28" t="n">
        <x:v>3.725290298461914e-9</x:v>
      </x:c>
      <x:c r="O434" s="28" t="n">
        <x:v>2.9802322387695312e-8</x:v>
      </x:c>
      <x:c r="P434" s="28" t="n">
        <x:v>0</x:v>
      </x:c>
      <x:c r="Q434" s="62" t="b">
        <x:v>1</x:v>
      </x:c>
      <x:c r="R434" s="28" t="n">
        <x:v>0</x:v>
      </x:c>
      <x:c r="S434" s="28" t="str">
        <x:v>51fa3404a371a247</x:v>
      </x:c>
    </x:row>
    <x:row r="435" ht="21" customHeight="1">
      <x:c r="A435" s="60" t="n">
        <x:v>0.61</x:v>
      </x:c>
      <x:c r="B435" s="28" t="str">
        <x:v>back_high</x:v>
      </x:c>
      <x:c r="C435" s="60" t="n">
        <x:v>0.35</x:v>
      </x:c>
      <x:c r="D435" s="60" t="n">
        <x:v>0.35</x:v>
      </x:c>
      <x:c r="E435" s="62" t="b">
        <x:v>1</x:v>
      </x:c>
      <x:c r="F435" s="62" t="b">
        <x:v>1</x:v>
      </x:c>
      <x:c r="G435" s="85" t="n">
        <x:v>0</x:v>
      </x:c>
      <x:c r="H435" s="85" t="n">
        <x:v>0</x:v>
      </x:c>
      <x:c r="I435" s="85" t="n">
        <x:v>42020992.18784626</x:v>
      </x:c>
      <x:c r="J435" s="85" t="n">
        <x:v>33596891.460921794</x:v>
      </x:c>
      <x:c r="K435" s="85" t="n">
        <x:v>662994.71253013</x:v>
      </x:c>
      <x:c r="L435" s="28" t="n">
        <x:v>0</x:v>
      </x:c>
      <x:c r="M435" s="28" t="n">
        <x:v>0</x:v>
      </x:c>
      <x:c r="N435" s="28" t="n">
        <x:v>1.862645149230957e-9</x:v>
      </x:c>
      <x:c r="O435" s="28" t="n">
        <x:v>2.9802322387695312e-8</x:v>
      </x:c>
      <x:c r="P435" s="28" t="n">
        <x:v>0</x:v>
      </x:c>
      <x:c r="Q435" s="62" t="b">
        <x:v>1</x:v>
      </x:c>
      <x:c r="R435" s="28" t="n">
        <x:v>0</x:v>
      </x:c>
      <x:c r="S435" s="28" t="str">
        <x:v>59b6c376ec4a5414</x:v>
      </x:c>
    </x:row>
    <x:row r="436" ht="21" customHeight="1">
      <x:c r="A436" s="60" t="n">
        <x:v>0.61</x:v>
      </x:c>
      <x:c r="B436" s="28" t="str">
        <x:v>back_high</x:v>
      </x:c>
      <x:c r="C436" s="60" t="n">
        <x:v>0.4</x:v>
      </x:c>
      <x:c r="D436" s="60" t="n">
        <x:v>0.4</x:v>
      </x:c>
      <x:c r="E436" s="62" t="b">
        <x:v>1</x:v>
      </x:c>
      <x:c r="F436" s="62" t="b">
        <x:v>1</x:v>
      </x:c>
      <x:c r="G436" s="85" t="n">
        <x:v>0</x:v>
      </x:c>
      <x:c r="H436" s="85" t="n">
        <x:v>0</x:v>
      </x:c>
      <x:c r="I436" s="85" t="n">
        <x:v>51061701.92674518</x:v>
      </x:c>
      <x:c r="J436" s="85" t="n">
        <x:v>42682161.66962496</x:v>
      </x:c>
      <x:c r="K436" s="85" t="n">
        <x:v>566903.1714630213</x:v>
      </x:c>
      <x:c r="L436" s="28" t="n">
        <x:v>0</x:v>
      </x:c>
      <x:c r="M436" s="28" t="n">
        <x:v>0</x:v>
      </x:c>
      <x:c r="N436" s="28" t="n">
        <x:v>3.725290298461914e-9</x:v>
      </x:c>
      <x:c r="O436" s="28" t="n">
        <x:v>2.9802322387695312e-8</x:v>
      </x:c>
      <x:c r="P436" s="28" t="n">
        <x:v>0</x:v>
      </x:c>
      <x:c r="Q436" s="62" t="b">
        <x:v>1</x:v>
      </x:c>
      <x:c r="R436" s="28" t="n">
        <x:v>0</x:v>
      </x:c>
      <x:c r="S436" s="28" t="str">
        <x:v>d82a7e2248b2dc55</x:v>
      </x:c>
    </x:row>
    <x:row r="437" ht="21" customHeight="1">
      <x:c r="A437" s="60" t="n">
        <x:v>0.61</x:v>
      </x:c>
      <x:c r="B437" s="28" t="str">
        <x:v>back_high</x:v>
      </x:c>
      <x:c r="C437" s="60" t="n">
        <x:v>0.45</x:v>
      </x:c>
      <x:c r="D437" s="60" t="n">
        <x:v>0.45</x:v>
      </x:c>
      <x:c r="E437" s="62" t="b">
        <x:v>1</x:v>
      </x:c>
      <x:c r="F437" s="62" t="b">
        <x:v>1</x:v>
      </x:c>
      <x:c r="G437" s="85" t="n">
        <x:v>0</x:v>
      </x:c>
      <x:c r="H437" s="85" t="n">
        <x:v>0</x:v>
      </x:c>
      <x:c r="I437" s="85" t="n">
        <x:v>60135500.851366825</x:v>
      </x:c>
      <x:c r="J437" s="85" t="n">
        <x:v>51767431.87832807</x:v>
      </x:c>
      <x:c r="K437" s="85" t="n">
        <x:v>470811.63039587997</x:v>
      </x:c>
      <x:c r="L437" s="28" t="n">
        <x:v>0</x:v>
      </x:c>
      <x:c r="M437" s="28" t="n">
        <x:v>0</x:v>
      </x:c>
      <x:c r="N437" s="28" t="n">
        <x:v>3.725290298461914e-9</x:v>
      </x:c>
      <x:c r="O437" s="28" t="n">
        <x:v>1.4901161193847656e-8</x:v>
      </x:c>
      <x:c r="P437" s="28" t="n">
        <x:v>0</x:v>
      </x:c>
      <x:c r="Q437" s="62" t="b">
        <x:v>1</x:v>
      </x:c>
      <x:c r="R437" s="28" t="n">
        <x:v>0</x:v>
      </x:c>
      <x:c r="S437" s="28" t="str">
        <x:v>eeb31edffd94e1b0</x:v>
      </x:c>
    </x:row>
    <x:row r="438" ht="21" customHeight="1">
      <x:c r="A438" s="60" t="n">
        <x:v>0.61</x:v>
      </x:c>
      <x:c r="B438" s="28" t="str">
        <x:v>back_high</x:v>
      </x:c>
      <x:c r="C438" s="60" t="n">
        <x:v>0.5</x:v>
      </x:c>
      <x:c r="D438" s="60" t="n">
        <x:v>0.5</x:v>
      </x:c>
      <x:c r="E438" s="62" t="b">
        <x:v>1</x:v>
      </x:c>
      <x:c r="F438" s="62" t="b">
        <x:v>1</x:v>
      </x:c>
      <x:c r="G438" s="85" t="n">
        <x:v>0</x:v>
      </x:c>
      <x:c r="H438" s="85" t="n">
        <x:v>0</x:v>
      </x:c>
      <x:c r="I438" s="85" t="n">
        <x:v>69495094.7474533</x:v>
      </x:c>
      <x:c r="J438" s="85" t="n">
        <x:v>59548885.62588843</x:v>
      </x:c>
      <x:c r="K438" s="85" t="n">
        <x:v>374720.08932875446</x:v>
      </x:c>
      <x:c r="L438" s="28" t="n">
        <x:v>3</x:v>
      </x:c>
      <x:c r="M438" s="28" t="n">
        <x:v>1</x:v>
      </x:c>
      <x:c r="N438" s="28" t="n">
        <x:v>3.725290298461914e-9</x:v>
      </x:c>
      <x:c r="O438" s="28" t="n">
        <x:v>2.9802322387695312e-8</x:v>
      </x:c>
      <x:c r="P438" s="28" t="n">
        <x:v>0</x:v>
      </x:c>
      <x:c r="Q438" s="62" t="b">
        <x:v>1</x:v>
      </x:c>
      <x:c r="R438" s="28" t="n">
        <x:v>0</x:v>
      </x:c>
      <x:c r="S438" s="28" t="str">
        <x:v>da39c9e50adcdced</x:v>
      </x:c>
    </x:row>
    <x:row r="439" ht="21" customHeight="1">
      <x:c r="A439" s="60" t="n">
        <x:v>0.61</x:v>
      </x:c>
      <x:c r="B439" s="28" t="str">
        <x:v>back_high</x:v>
      </x:c>
      <x:c r="C439" s="60" t="n">
        <x:v>0.55</x:v>
      </x:c>
      <x:c r="D439" s="60" t="n">
        <x:v>0.55</x:v>
      </x:c>
      <x:c r="E439" s="62" t="b">
        <x:v>1</x:v>
      </x:c>
      <x:c r="F439" s="62" t="b">
        <x:v>1</x:v>
      </x:c>
      <x:c r="G439" s="85" t="n">
        <x:v>0</x:v>
      </x:c>
      <x:c r="H439" s="85" t="n">
        <x:v>0</x:v>
      </x:c>
      <x:c r="I439" s="85" t="n">
        <x:v>78923723.8618379</x:v>
      </x:c>
      <x:c r="J439" s="85" t="n">
        <x:v>66449492.01362028</x:v>
      </x:c>
      <x:c r="K439" s="85" t="n">
        <x:v>343156.2282561584</x:v>
      </x:c>
      <x:c r="L439" s="28" t="n">
        <x:v>8</x:v>
      </x:c>
      <x:c r="M439" s="28" t="n">
        <x:v>3</x:v>
      </x:c>
      <x:c r="N439" s="28" t="n">
        <x:v>3.725290298461914e-9</x:v>
      </x:c>
      <x:c r="O439" s="28" t="n">
        <x:v>2.9802322387695312e-8</x:v>
      </x:c>
      <x:c r="P439" s="28" t="n">
        <x:v>0</x:v>
      </x:c>
      <x:c r="Q439" s="62" t="b">
        <x:v>1</x:v>
      </x:c>
      <x:c r="R439" s="28" t="n">
        <x:v>0</x:v>
      </x:c>
      <x:c r="S439" s="28" t="str">
        <x:v>bcade7af65b1b6e7</x:v>
      </x:c>
    </x:row>
    <x:row r="440" ht="21" customHeight="1">
      <x:c r="A440" s="60" t="n">
        <x:v>0.61</x:v>
      </x:c>
      <x:c r="B440" s="28" t="str">
        <x:v>back_high</x:v>
      </x:c>
      <x:c r="C440" s="60" t="n">
        <x:v>0.6</x:v>
      </x:c>
      <x:c r="D440" s="60" t="n">
        <x:v>0.6</x:v>
      </x:c>
      <x:c r="E440" s="62" t="b">
        <x:v>1</x:v>
      </x:c>
      <x:c r="F440" s="62" t="b">
        <x:v>1</x:v>
      </x:c>
      <x:c r="G440" s="85" t="n">
        <x:v>0</x:v>
      </x:c>
      <x:c r="H440" s="85" t="n">
        <x:v>0</x:v>
      </x:c>
      <x:c r="I440" s="85" t="n">
        <x:v>87667480.42627983</x:v>
      </x:c>
      <x:c r="J440" s="85" t="n">
        <x:v>76044030.15016764</x:v>
      </x:c>
      <x:c r="K440" s="85" t="n">
        <x:v>314140.53655341745</x:v>
      </x:c>
      <x:c r="L440" s="28" t="n">
        <x:v>10</x:v>
      </x:c>
      <x:c r="M440" s="28" t="n">
        <x:v>6</x:v>
      </x:c>
      <x:c r="N440" s="28" t="n">
        <x:v>1.862645149230957e-9</x:v>
      </x:c>
      <x:c r="O440" s="28" t="n">
        <x:v>2.9802322387695312e-8</x:v>
      </x:c>
      <x:c r="P440" s="28" t="n">
        <x:v>0</x:v>
      </x:c>
      <x:c r="Q440" s="62" t="b">
        <x:v>1</x:v>
      </x:c>
      <x:c r="R440" s="28" t="n">
        <x:v>0</x:v>
      </x:c>
      <x:c r="S440" s="28" t="str">
        <x:v>9f029ff363164419</x:v>
      </x:c>
    </x:row>
    <x:row r="441" ht="21" customHeight="1">
      <x:c r="A441" s="60" t="n">
        <x:v>0.61</x:v>
      </x:c>
      <x:c r="B441" s="28" t="str">
        <x:v>back_high</x:v>
      </x:c>
      <x:c r="C441" s="60" t="n">
        <x:v>0.65</x:v>
      </x:c>
      <x:c r="D441" s="60" t="n">
        <x:v>0.65</x:v>
      </x:c>
      <x:c r="E441" s="62" t="b">
        <x:v>1</x:v>
      </x:c>
      <x:c r="F441" s="62" t="b">
        <x:v>1</x:v>
      </x:c>
      <x:c r="G441" s="85" t="n">
        <x:v>0</x:v>
      </x:c>
      <x:c r="H441" s="85" t="n">
        <x:v>0</x:v>
      </x:c>
      <x:c r="I441" s="85" t="n">
        <x:v>96402728.14249769</x:v>
      </x:c>
      <x:c r="J441" s="85" t="n">
        <x:v>84637635.83594349</x:v>
      </x:c>
      <x:c r="K441" s="85" t="n">
        <x:v>285124.84485068684</x:v>
      </x:c>
      <x:c r="L441" s="28" t="n">
        <x:v>16</x:v>
      </x:c>
      <x:c r="M441" s="28" t="n">
        <x:v>10</x:v>
      </x:c>
      <x:c r="N441" s="28" t="n">
        <x:v>1.862645149230957e-9</x:v>
      </x:c>
      <x:c r="O441" s="28" t="n">
        <x:v>1.4901161193847656e-8</x:v>
      </x:c>
      <x:c r="P441" s="28" t="n">
        <x:v>0</x:v>
      </x:c>
      <x:c r="Q441" s="62" t="b">
        <x:v>1</x:v>
      </x:c>
      <x:c r="R441" s="28" t="n">
        <x:v>0</x:v>
      </x:c>
      <x:c r="S441" s="28" t="str">
        <x:v>08a0cc9eeb37793a</x:v>
      </x:c>
    </x:row>
    <x:row r="442" ht="21" customHeight="1">
      <x:c r="A442" s="60" t="n">
        <x:v>0.61</x:v>
      </x:c>
      <x:c r="B442" s="28" t="str">
        <x:v>back_high</x:v>
      </x:c>
      <x:c r="C442" s="60" t="n">
        <x:v>0.7</x:v>
      </x:c>
      <x:c r="D442" s="60" t="n">
        <x:v>0.7</x:v>
      </x:c>
      <x:c r="E442" s="62" t="b">
        <x:v>1</x:v>
      </x:c>
      <x:c r="F442" s="62" t="b">
        <x:v>0</x:v>
      </x:c>
      <x:c r="G442" s="85" t="n">
        <x:v>3387949.3991339756</x:v>
      </x:c>
      <x:c r="H442" s="85" t="n">
        <x:v>11465045.667868337</x:v>
      </x:c>
      <x:c r="I442" s="85" t="n">
        <x:v>98316999.99870428</x:v>
      </x:c>
      <x:c r="J442" s="85" t="n">
        <x:v>87000000.00000001</x:v>
      </x:c>
      <x:c r="K442" s="85" t="n">
        <x:v>256109.15314794495</x:v>
      </x:c>
      <x:c r="L442" s="28" t="n">
        <x:v>37</x:v>
      </x:c>
      <x:c r="M442" s="28" t="n">
        <x:v>34</x:v>
      </x:c>
      <x:c r="N442" s="28" t="n">
        <x:v>1.862645149230957e-9</x:v>
      </x:c>
      <x:c r="O442" s="28" t="n">
        <x:v>2.9802322387695312e-8</x:v>
      </x:c>
      <x:c r="P442" s="28" t="n">
        <x:v>0</x:v>
      </x:c>
      <x:c r="Q442" s="62" t="b">
        <x:v>1</x:v>
      </x:c>
      <x:c r="R442" s="28" t="n">
        <x:v>0</x:v>
      </x:c>
      <x:c r="S442" s="28" t="str">
        <x:v>066e01a19a7bea2a</x:v>
      </x:c>
    </x:row>
    <x:row r="443" ht="21" customHeight="1">
      <x:c r="A443" s="60" t="n">
        <x:v>0.61</x:v>
      </x:c>
      <x:c r="B443" s="28" t="str">
        <x:v>back_high</x:v>
      </x:c>
      <x:c r="C443" s="60" t="n">
        <x:v>0.75</x:v>
      </x:c>
      <x:c r="D443" s="60" t="n">
        <x:v>0.75</x:v>
      </x:c>
      <x:c r="E443" s="62" t="b">
        <x:v>1</x:v>
      </x:c>
      <x:c r="F443" s="62" t="b">
        <x:v>0</x:v>
      </x:c>
      <x:c r="G443" s="85" t="n">
        <x:v>7379130.906046394</x:v>
      </x:c>
      <x:c r="H443" s="85" t="n">
        <x:v>23217992.938843675</x:v>
      </x:c>
      <x:c r="I443" s="85" t="n">
        <x:v>99992613.60631147</x:v>
      </x:c>
      <x:c r="J443" s="85" t="n">
        <x:v>87000000.00000001</x:v>
      </x:c>
      <x:c r="K443" s="85" t="n">
        <x:v>227093.4614451938</x:v>
      </x:c>
      <x:c r="L443" s="28" t="n">
        <x:v>38</x:v>
      </x:c>
      <x:c r="M443" s="28" t="n">
        <x:v>34</x:v>
      </x:c>
      <x:c r="N443" s="28" t="n">
        <x:v>1.862645149230957e-9</x:v>
      </x:c>
      <x:c r="O443" s="28" t="n">
        <x:v>2.9802322387695312e-8</x:v>
      </x:c>
      <x:c r="P443" s="28" t="n">
        <x:v>0</x:v>
      </x:c>
      <x:c r="Q443" s="62" t="b">
        <x:v>1</x:v>
      </x:c>
      <x:c r="R443" s="28" t="n">
        <x:v>0</x:v>
      </x:c>
      <x:c r="S443" s="28" t="str">
        <x:v>5a863052861d5e26</x:v>
      </x:c>
    </x:row>
    <x:row r="444" ht="21" customHeight="1">
      <x:c r="A444" s="60" t="n">
        <x:v>0.61</x:v>
      </x:c>
      <x:c r="B444" s="28" t="str">
        <x:v>back_high</x:v>
      </x:c>
      <x:c r="C444" s="60" t="n">
        <x:v>0.8</x:v>
      </x:c>
      <x:c r="D444" s="60" t="n">
        <x:v>0.8</x:v>
      </x:c>
      <x:c r="E444" s="62" t="b">
        <x:v>1</x:v>
      </x:c>
      <x:c r="F444" s="62" t="b">
        <x:v>0</x:v>
      </x:c>
      <x:c r="G444" s="85" t="n">
        <x:v>11383915.743903732</x:v>
      </x:c>
      <x:c r="H444" s="85" t="n">
        <x:v>34533169.88195949</x:v>
      </x:c>
      <x:c r="I444" s="85" t="n">
        <x:v>101701800.06953774</x:v>
      </x:c>
      <x:c r="J444" s="85" t="n">
        <x:v>87000000.00000001</x:v>
      </x:c>
      <x:c r="K444" s="85" t="n">
        <x:v>198077.76974246406</x:v>
      </x:c>
      <x:c r="L444" s="28" t="n">
        <x:v>39</x:v>
      </x:c>
      <x:c r="M444" s="28" t="n">
        <x:v>36</x:v>
      </x:c>
      <x:c r="N444" s="28" t="n">
        <x:v>1.862645149230957e-9</x:v>
      </x:c>
      <x:c r="O444" s="28" t="n">
        <x:v>1.4901161193847656e-8</x:v>
      </x:c>
      <x:c r="P444" s="28" t="n">
        <x:v>0</x:v>
      </x:c>
      <x:c r="Q444" s="62" t="b">
        <x:v>1</x:v>
      </x:c>
      <x:c r="R444" s="28" t="n">
        <x:v>0</x:v>
      </x:c>
      <x:c r="S444" s="28" t="str">
        <x:v>f60a9352663ecd91</x:v>
      </x:c>
    </x:row>
    <x:row r="445" ht="21" customHeight="1">
      <x:c r="A445" s="60" t="n">
        <x:v>0.61</x:v>
      </x:c>
      <x:c r="B445" s="28" t="str">
        <x:v>back_high</x:v>
      </x:c>
      <x:c r="C445" s="60" t="n">
        <x:v>0.85</x:v>
      </x:c>
      <x:c r="D445" s="60" t="n">
        <x:v>0.85</x:v>
      </x:c>
      <x:c r="E445" s="62" t="b">
        <x:v>1</x:v>
      </x:c>
      <x:c r="F445" s="62" t="b">
        <x:v>0</x:v>
      </x:c>
      <x:c r="G445" s="85" t="n">
        <x:v>18401349.567071695</x:v>
      </x:c>
      <x:c r="H445" s="85" t="n">
        <x:v>46169272.17085299</x:v>
      </x:c>
      <x:c r="I445" s="85" t="n">
        <x:v>102144689.23878112</x:v>
      </x:c>
      <x:c r="J445" s="85" t="n">
        <x:v>87000000.00000001</x:v>
      </x:c>
      <x:c r="K445" s="85" t="n">
        <x:v>169062.0780397371</x:v>
      </x:c>
      <x:c r="L445" s="28" t="n">
        <x:v>39</x:v>
      </x:c>
      <x:c r="M445" s="28" t="n">
        <x:v>36</x:v>
      </x:c>
      <x:c r="N445" s="28" t="n">
        <x:v>1.862645149230957e-9</x:v>
      </x:c>
      <x:c r="O445" s="28" t="n">
        <x:v>2.9802322387695312e-8</x:v>
      </x:c>
      <x:c r="P445" s="28" t="n">
        <x:v>0</x:v>
      </x:c>
      <x:c r="Q445" s="62" t="b">
        <x:v>1</x:v>
      </x:c>
      <x:c r="R445" s="28" t="n">
        <x:v>0</x:v>
      </x:c>
      <x:c r="S445" s="28" t="str">
        <x:v>d3fbeba1289fbce9</x:v>
      </x:c>
    </x:row>
    <x:row r="446" ht="21" customHeight="1">
      <x:c r="A446" s="60" t="n">
        <x:v>0.61</x:v>
      </x:c>
      <x:c r="B446" s="28" t="str">
        <x:v>back_high</x:v>
      </x:c>
      <x:c r="C446" s="60" t="n">
        <x:v>0.9</x:v>
      </x:c>
      <x:c r="D446" s="60" t="n">
        <x:v>0.8948658400492392</x:v>
      </x:c>
      <x:c r="E446" s="62" t="b">
        <x:v>0</x:v>
      </x:c>
      <x:c r="F446" s="62" t="b">
        <x:v>0</x:v>
      </x:c>
      <x:c r="G446" s="85" t="n">
        <x:v>23122182.728709187</x:v>
      </x:c>
      <x:c r="H446" s="85" t="n">
        <x:v>52053219.534328714</x:v>
      </x:c>
      <x:c r="I446" s="85" t="n">
        <x:v>103646607.70239325</x:v>
      </x:c>
      <x:c r="J446" s="85" t="n">
        <x:v>87000000.00000001</x:v>
      </x:c>
      <x:c r="K446" s="85" t="n">
        <x:v>140046.38633698405</x:v>
      </x:c>
      <x:c r="L446" s="28" t="n">
        <x:v>40</x:v>
      </x:c>
      <x:c r="M446" s="28" t="n">
        <x:v>37</x:v>
      </x:c>
      <x:c r="N446" s="28" t="n">
        <x:v>1.862645149230957e-9</x:v>
      </x:c>
      <x:c r="O446" s="28" t="n">
        <x:v>2.9802322387695312e-8</x:v>
      </x:c>
      <x:c r="P446" s="28" t="n">
        <x:v>0</x:v>
      </x:c>
      <x:c r="Q446" s="62" t="b">
        <x:v>1</x:v>
      </x:c>
      <x:c r="R446" s="28" t="n">
        <x:v>1540247.9852282405</x:v>
      </x:c>
      <x:c r="S446" s="28" t="str">
        <x:v>ee3ecbb2df564dd8</x:v>
      </x:c>
    </x:row>
    <x:row r="447" ht="21" customHeight="1">
      <x:c r="A447" s="60" t="n">
        <x:v>0.61</x:v>
      </x:c>
      <x:c r="B447" s="28" t="str">
        <x:v>back_high</x:v>
      </x:c>
      <x:c r="C447" s="60" t="n">
        <x:v>0.95</x:v>
      </x:c>
      <x:c r="D447" s="60" t="n">
        <x:v>0.9083032015334562</x:v>
      </x:c>
      <x:c r="E447" s="62" t="b">
        <x:v>0</x:v>
      </x:c>
      <x:c r="F447" s="62" t="b">
        <x:v>0</x:v>
      </x:c>
      <x:c r="G447" s="85" t="n">
        <x:v>25081693.72660782</x:v>
      </x:c>
      <x:c r="H447" s="85" t="n">
        <x:v>56464518.30098469</x:v>
      </x:c>
      <x:c r="I447" s="85" t="n">
        <x:v>103992856.00321117</x:v>
      </x:c>
      <x:c r="J447" s="85" t="n">
        <x:v>87000000.00000001</x:v>
      </x:c>
      <x:c r="K447" s="85" t="n">
        <x:v>111030.6946342441</x:v>
      </x:c>
      <x:c r="L447" s="28" t="n">
        <x:v>40</x:v>
      </x:c>
      <x:c r="M447" s="28" t="n">
        <x:v>38</x:v>
      </x:c>
      <x:c r="N447" s="28" t="n">
        <x:v>1.862645149230957e-9</x:v>
      </x:c>
      <x:c r="O447" s="28" t="n">
        <x:v>2.9802322387695312e-8</x:v>
      </x:c>
      <x:c r="P447" s="28" t="n">
        <x:v>0</x:v>
      </x:c>
      <x:c r="Q447" s="62" t="b">
        <x:v>1</x:v>
      </x:c>
      <x:c r="R447" s="28" t="n">
        <x:v>12509039.539963126</x:v>
      </x:c>
      <x:c r="S447" s="28" t="str">
        <x:v>945fa29502be613d</x:v>
      </x:c>
    </x:row>
    <x:row r="448" ht="21" customHeight="1">
      <x:c r="A448" s="60" t="n">
        <x:v>0.61</x:v>
      </x:c>
      <x:c r="B448" s="28" t="str">
        <x:v>back_high</x:v>
      </x:c>
      <x:c r="C448" s="60" t="n">
        <x:v>1</x:v>
      </x:c>
      <x:c r="D448" s="60" t="n">
        <x:v>0.920601109498915</x:v>
      </x:c>
      <x:c r="E448" s="62" t="b">
        <x:v>0</x:v>
      </x:c>
      <x:c r="F448" s="62" t="b">
        <x:v>0</x:v>
      </x:c>
      <x:c r="G448" s="85" t="n">
        <x:v>26731474.517432105</x:v>
      </x:c>
      <x:c r="H448" s="85" t="n">
        <x:v>57753478.70193747</x:v>
      </x:c>
      <x:c r="I448" s="85" t="n">
        <x:v>105624070.70439726</x:v>
      </x:c>
      <x:c r="J448" s="85" t="n">
        <x:v>87000000.00000001</x:v>
      </x:c>
      <x:c r="K448" s="85" t="n">
        <x:v>82015.00293150503</x:v>
      </x:c>
      <x:c r="L448" s="28" t="n">
        <x:v>41</x:v>
      </x:c>
      <x:c r="M448" s="28" t="n">
        <x:v>38</x:v>
      </x:c>
      <x:c r="N448" s="28" t="n">
        <x:v>1.862645149230957e-9</x:v>
      </x:c>
      <x:c r="O448" s="28" t="n">
        <x:v>2.9802322387695312e-8</x:v>
      </x:c>
      <x:c r="P448" s="28" t="n">
        <x:v>0</x:v>
      </x:c>
      <x:c r="Q448" s="62" t="b">
        <x:v>1</x:v>
      </x:c>
      <x:c r="R448" s="28" t="n">
        <x:v>23819667.150325477</x:v>
      </x:c>
      <x:c r="S448" s="28" t="str">
        <x:v>40a21965d4fd7395</x:v>
      </x:c>
    </x:row>
    <x:row r="449" ht="21" customHeight="1">
      <x:c r="A449" s="60" t="n">
        <x:v>0.61</x:v>
      </x:c>
      <x:c r="B449" s="28" t="str">
        <x:v>level_flat</x:v>
      </x:c>
      <x:c r="C449" s="60" t="n">
        <x:v>0</x:v>
      </x:c>
      <x:c r="D449" s="60" t="n">
        <x:v>0</x:v>
      </x:c>
      <x:c r="E449" s="62" t="b">
        <x:v>1</x:v>
      </x:c>
      <x:c r="F449" s="62" t="b">
        <x:v>1</x:v>
      </x:c>
      <x:c r="G449" s="85" t="n">
        <x:v>0</x:v>
      </x:c>
      <x:c r="H449" s="85" t="n">
        <x:v>0</x:v>
      </x:c>
      <x:c r="I449" s="85" t="n">
        <x:v>0</x:v>
      </x:c>
      <x:c r="J449" s="85" t="n">
        <x:v>0</x:v>
      </x:c>
      <x:c r="K449" s="85" t="n">
        <x:v>30574982.107534215</x:v>
      </x:c>
      <x:c r="L449" s="28" t="n">
        <x:v>0</x:v>
      </x:c>
      <x:c r="M449" s="28" t="n">
        <x:v>0</x:v>
      </x:c>
      <x:c r="N449" s="28" t="n">
        <x:v>3.725290298461914e-9</x:v>
      </x:c>
      <x:c r="O449" s="28" t="n">
        <x:v>0</x:v>
      </x:c>
      <x:c r="P449" s="28" t="n">
        <x:v>0</x:v>
      </x:c>
      <x:c r="Q449" s="62" t="b">
        <x:v>1</x:v>
      </x:c>
      <x:c r="R449" s="28" t="n">
        <x:v>0</x:v>
      </x:c>
      <x:c r="S449" s="28" t="str">
        <x:v>ad2a89e020c5b2df</x:v>
      </x:c>
    </x:row>
    <x:row r="450" ht="21" customHeight="1">
      <x:c r="A450" s="60" t="n">
        <x:v>0.61</x:v>
      </x:c>
      <x:c r="B450" s="28" t="str">
        <x:v>level_flat</x:v>
      </x:c>
      <x:c r="C450" s="60" t="n">
        <x:v>0.05</x:v>
      </x:c>
      <x:c r="D450" s="60" t="n">
        <x:v>0.05</x:v>
      </x:c>
      <x:c r="E450" s="62" t="b">
        <x:v>1</x:v>
      </x:c>
      <x:c r="F450" s="62" t="b">
        <x:v>1</x:v>
      </x:c>
      <x:c r="G450" s="85" t="n">
        <x:v>0</x:v>
      </x:c>
      <x:c r="H450" s="85" t="n">
        <x:v>0</x:v>
      </x:c>
      <x:c r="I450" s="85" t="n">
        <x:v>0</x:v>
      </x:c>
      <x:c r="J450" s="85" t="n">
        <x:v>0</x:v>
      </x:c>
      <x:c r="K450" s="85" t="n">
        <x:v>18641204.369372472</x:v>
      </x:c>
      <x:c r="L450" s="28" t="n">
        <x:v>0</x:v>
      </x:c>
      <x:c r="M450" s="28" t="n">
        <x:v>0</x:v>
      </x:c>
      <x:c r="N450" s="28" t="n">
        <x:v>1.862645149230957e-9</x:v>
      </x:c>
      <x:c r="O450" s="28" t="n">
        <x:v>2.9802322387695312e-8</x:v>
      </x:c>
      <x:c r="P450" s="28" t="n">
        <x:v>0</x:v>
      </x:c>
      <x:c r="Q450" s="62" t="b">
        <x:v>1</x:v>
      </x:c>
      <x:c r="R450" s="28" t="n">
        <x:v>0</x:v>
      </x:c>
      <x:c r="S450" s="28" t="str">
        <x:v>8d537f211138973f</x:v>
      </x:c>
    </x:row>
    <x:row r="451" ht="21" customHeight="1">
      <x:c r="A451" s="60" t="n">
        <x:v>0.61</x:v>
      </x:c>
      <x:c r="B451" s="28" t="str">
        <x:v>level_flat</x:v>
      </x:c>
      <x:c r="C451" s="60" t="n">
        <x:v>0.1</x:v>
      </x:c>
      <x:c r="D451" s="60" t="n">
        <x:v>0.1</x:v>
      </x:c>
      <x:c r="E451" s="62" t="b">
        <x:v>1</x:v>
      </x:c>
      <x:c r="F451" s="62" t="b">
        <x:v>1</x:v>
      </x:c>
      <x:c r="G451" s="85" t="n">
        <x:v>0</x:v>
      </x:c>
      <x:c r="H451" s="85" t="n">
        <x:v>0</x:v>
      </x:c>
      <x:c r="I451" s="85" t="n">
        <x:v>0</x:v>
      </x:c>
      <x:c r="J451" s="85" t="n">
        <x:v>0</x:v>
      </x:c>
      <x:c r="K451" s="85" t="n">
        <x:v>6600078.355647054</x:v>
      </x:c>
      <x:c r="L451" s="28" t="n">
        <x:v>0</x:v>
      </x:c>
      <x:c r="M451" s="28" t="n">
        <x:v>0</x:v>
      </x:c>
      <x:c r="N451" s="28" t="n">
        <x:v>3.725290298461914e-9</x:v>
      </x:c>
      <x:c r="O451" s="28" t="n">
        <x:v>5.960464477539063e-8</x:v>
      </x:c>
      <x:c r="P451" s="28" t="n">
        <x:v>0</x:v>
      </x:c>
      <x:c r="Q451" s="62" t="b">
        <x:v>1</x:v>
      </x:c>
      <x:c r="R451" s="28" t="n">
        <x:v>0</x:v>
      </x:c>
      <x:c r="S451" s="28" t="str">
        <x:v>b0548f23e4d3342f</x:v>
      </x:c>
    </x:row>
    <x:row r="452" ht="21" customHeight="1">
      <x:c r="A452" s="60" t="n">
        <x:v>0.61</x:v>
      </x:c>
      <x:c r="B452" s="28" t="str">
        <x:v>level_flat</x:v>
      </x:c>
      <x:c r="C452" s="60" t="n">
        <x:v>0.15</x:v>
      </x:c>
      <x:c r="D452" s="60" t="n">
        <x:v>0.15</x:v>
      </x:c>
      <x:c r="E452" s="62" t="b">
        <x:v>1</x:v>
      </x:c>
      <x:c r="F452" s="62" t="b">
        <x:v>1</x:v>
      </x:c>
      <x:c r="G452" s="85" t="n">
        <x:v>0</x:v>
      </x:c>
      <x:c r="H452" s="85" t="n">
        <x:v>0</x:v>
      </x:c>
      <x:c r="I452" s="85" t="n">
        <x:v>4505200.7493900955</x:v>
      </x:c>
      <x:c r="J452" s="85" t="n">
        <x:v>0</x:v>
      </x:c>
      <x:c r="K452" s="85" t="n">
        <x:v>291473.44671917905</x:v>
      </x:c>
      <x:c r="L452" s="28" t="n">
        <x:v>0</x:v>
      </x:c>
      <x:c r="M452" s="28" t="n">
        <x:v>0</x:v>
      </x:c>
      <x:c r="N452" s="28" t="n">
        <x:v>1.862645149230957e-9</x:v>
      </x:c>
      <x:c r="O452" s="28" t="n">
        <x:v>2.9802322387695312e-8</x:v>
      </x:c>
      <x:c r="P452" s="28" t="n">
        <x:v>0</x:v>
      </x:c>
      <x:c r="Q452" s="62" t="b">
        <x:v>1</x:v>
      </x:c>
      <x:c r="R452" s="28" t="n">
        <x:v>0</x:v>
      </x:c>
      <x:c r="S452" s="28" t="str">
        <x:v>a2fbbdf7c0aa12df</x:v>
      </x:c>
    </x:row>
    <x:row r="453" ht="21" customHeight="1">
      <x:c r="A453" s="60" t="n">
        <x:v>0.61</x:v>
      </x:c>
      <x:c r="B453" s="28" t="str">
        <x:v>level_flat</x:v>
      </x:c>
      <x:c r="C453" s="60" t="n">
        <x:v>0.2</x:v>
      </x:c>
      <x:c r="D453" s="60" t="n">
        <x:v>0.2</x:v>
      </x:c>
      <x:c r="E453" s="62" t="b">
        <x:v>1</x:v>
      </x:c>
      <x:c r="F453" s="62" t="b">
        <x:v>1</x:v>
      </x:c>
      <x:c r="G453" s="85" t="n">
        <x:v>0</x:v>
      </x:c>
      <x:c r="H453" s="85" t="n">
        <x:v>0</x:v>
      </x:c>
      <x:c r="I453" s="85" t="n">
        <x:v>12793436.519802267</x:v>
      </x:c>
      <x:c r="J453" s="85" t="n">
        <x:v>6323003.2725342475</x:v>
      </x:c>
      <x:c r="K453" s="85" t="n">
        <x:v>186719.42895890324</x:v>
      </x:c>
      <x:c r="L453" s="28" t="n">
        <x:v>0</x:v>
      </x:c>
      <x:c r="M453" s="28" t="n">
        <x:v>0</x:v>
      </x:c>
      <x:c r="N453" s="28" t="n">
        <x:v>0</x:v>
      </x:c>
      <x:c r="O453" s="28" t="n">
        <x:v>2.9802322387695312e-8</x:v>
      </x:c>
      <x:c r="P453" s="28" t="n">
        <x:v>0</x:v>
      </x:c>
      <x:c r="Q453" s="62" t="b">
        <x:v>1</x:v>
      </x:c>
      <x:c r="R453" s="28" t="n">
        <x:v>0</x:v>
      </x:c>
      <x:c r="S453" s="28" t="str">
        <x:v>6a67c96cee50bea3</x:v>
      </x:c>
    </x:row>
    <x:row r="454" ht="21" customHeight="1">
      <x:c r="A454" s="60" t="n">
        <x:v>0.61</x:v>
      </x:c>
      <x:c r="B454" s="28" t="str">
        <x:v>level_flat</x:v>
      </x:c>
      <x:c r="C454" s="60" t="n">
        <x:v>0.25</x:v>
      </x:c>
      <x:c r="D454" s="60" t="n">
        <x:v>0.25</x:v>
      </x:c>
      <x:c r="E454" s="62" t="b">
        <x:v>1</x:v>
      </x:c>
      <x:c r="F454" s="62" t="b">
        <x:v>1</x:v>
      </x:c>
      <x:c r="G454" s="85" t="n">
        <x:v>0</x:v>
      </x:c>
      <x:c r="H454" s="85" t="n">
        <x:v>0</x:v>
      </x:c>
      <x:c r="I454" s="85" t="n">
        <x:v>19297084.84742132</x:v>
      </x:c>
      <x:c r="J454" s="85" t="n">
        <x:v>15403754.090667764</x:v>
      </x:c>
      <x:c r="K454" s="85" t="n">
        <x:v>140832.11845890127</x:v>
      </x:c>
      <x:c r="L454" s="28" t="n">
        <x:v>0</x:v>
      </x:c>
      <x:c r="M454" s="28" t="n">
        <x:v>0</x:v>
      </x:c>
      <x:c r="N454" s="28" t="n">
        <x:v>3.725290298461914e-9</x:v>
      </x:c>
      <x:c r="O454" s="28" t="n">
        <x:v>2.9802322387695312e-8</x:v>
      </x:c>
      <x:c r="P454" s="28" t="n">
        <x:v>0</x:v>
      </x:c>
      <x:c r="Q454" s="62" t="b">
        <x:v>1</x:v>
      </x:c>
      <x:c r="R454" s="28" t="n">
        <x:v>0</x:v>
      </x:c>
      <x:c r="S454" s="28" t="str">
        <x:v>583e9f3c9d3bb409</x:v>
      </x:c>
    </x:row>
    <x:row r="455" ht="21" customHeight="1">
      <x:c r="A455" s="60" t="n">
        <x:v>0.61</x:v>
      </x:c>
      <x:c r="B455" s="28" t="str">
        <x:v>level_flat</x:v>
      </x:c>
      <x:c r="C455" s="60" t="n">
        <x:v>0.3</x:v>
      </x:c>
      <x:c r="D455" s="60" t="n">
        <x:v>0.3</x:v>
      </x:c>
      <x:c r="E455" s="62" t="b">
        <x:v>1</x:v>
      </x:c>
      <x:c r="F455" s="62" t="b">
        <x:v>1</x:v>
      </x:c>
      <x:c r="G455" s="85" t="n">
        <x:v>0</x:v>
      </x:c>
      <x:c r="H455" s="85" t="n">
        <x:v>0</x:v>
      </x:c>
      <x:c r="I455" s="85" t="n">
        <x:v>25881799.175946586</x:v>
      </x:c>
      <x:c r="J455" s="85" t="n">
        <x:v>24484504.908801205</x:v>
      </x:c>
      <x:c r="K455" s="85" t="n">
        <x:v>108922.85694520645</x:v>
      </x:c>
      <x:c r="L455" s="28" t="n">
        <x:v>0</x:v>
      </x:c>
      <x:c r="M455" s="28" t="n">
        <x:v>0</x:v>
      </x:c>
      <x:c r="N455" s="28" t="n">
        <x:v>3.725290298461914e-9</x:v>
      </x:c>
      <x:c r="O455" s="28" t="n">
        <x:v>7.450580596923828e-9</x:v>
      </x:c>
      <x:c r="P455" s="28" t="n">
        <x:v>0</x:v>
      </x:c>
      <x:c r="Q455" s="62" t="b">
        <x:v>1</x:v>
      </x:c>
      <x:c r="R455" s="28" t="n">
        <x:v>0</x:v>
      </x:c>
      <x:c r="S455" s="28" t="str">
        <x:v>2d876297c56b9453</x:v>
      </x:c>
    </x:row>
    <x:row r="456" ht="21" customHeight="1">
      <x:c r="A456" s="60" t="n">
        <x:v>0.61</x:v>
      </x:c>
      <x:c r="B456" s="28" t="str">
        <x:v>level_flat</x:v>
      </x:c>
      <x:c r="C456" s="60" t="n">
        <x:v>0.35</x:v>
      </x:c>
      <x:c r="D456" s="60" t="n">
        <x:v>0.35</x:v>
      </x:c>
      <x:c r="E456" s="62" t="b">
        <x:v>1</x:v>
      </x:c>
      <x:c r="F456" s="62" t="b">
        <x:v>1</x:v>
      </x:c>
      <x:c r="G456" s="85" t="n">
        <x:v>0</x:v>
      </x:c>
      <x:c r="H456" s="85" t="n">
        <x:v>0</x:v>
      </x:c>
      <x:c r="I456" s="85" t="n">
        <x:v>32466513.504471917</x:v>
      </x:c>
      <x:c r="J456" s="85" t="n">
        <x:v>33565255.72693476</x:v>
      </x:c>
      <x:c r="K456" s="85" t="n">
        <x:v>77013.59543150465</x:v>
      </x:c>
      <x:c r="L456" s="28" t="n">
        <x:v>0</x:v>
      </x:c>
      <x:c r="M456" s="28" t="n">
        <x:v>0</x:v>
      </x:c>
      <x:c r="N456" s="28" t="n">
        <x:v>3.725290298461914e-9</x:v>
      </x:c>
      <x:c r="O456" s="28" t="n">
        <x:v>2.9802322387695312e-8</x:v>
      </x:c>
      <x:c r="P456" s="28" t="n">
        <x:v>0</x:v>
      </x:c>
      <x:c r="Q456" s="62" t="b">
        <x:v>1</x:v>
      </x:c>
      <x:c r="R456" s="28" t="n">
        <x:v>0</x:v>
      </x:c>
      <x:c r="S456" s="28" t="str">
        <x:v>a9e1419a2a3f86c0</x:v>
      </x:c>
    </x:row>
    <x:row r="457" ht="21" customHeight="1">
      <x:c r="A457" s="60" t="n">
        <x:v>0.61</x:v>
      </x:c>
      <x:c r="B457" s="28" t="str">
        <x:v>level_flat</x:v>
      </x:c>
      <x:c r="C457" s="60" t="n">
        <x:v>0.4</x:v>
      </x:c>
      <x:c r="D457" s="60" t="n">
        <x:v>0.4</x:v>
      </x:c>
      <x:c r="E457" s="62" t="b">
        <x:v>1</x:v>
      </x:c>
      <x:c r="F457" s="62" t="b">
        <x:v>1</x:v>
      </x:c>
      <x:c r="G457" s="85" t="n">
        <x:v>0</x:v>
      </x:c>
      <x:c r="H457" s="85" t="n">
        <x:v>0</x:v>
      </x:c>
      <x:c r="I457" s="85" t="n">
        <x:v>39111117.84796232</x:v>
      </x:c>
      <x:c r="J457" s="85" t="n">
        <x:v>42646006.54506833</x:v>
      </x:c>
      <x:c r="K457" s="85" t="n">
        <x:v>45104.333917810785</x:v>
      </x:c>
      <x:c r="L457" s="28" t="n">
        <x:v>0</x:v>
      </x:c>
      <x:c r="M457" s="28" t="n">
        <x:v>0</x:v>
      </x:c>
      <x:c r="N457" s="28" t="n">
        <x:v>3.725290298461914e-9</x:v>
      </x:c>
      <x:c r="O457" s="28" t="n">
        <x:v>2.9802322387695312e-8</x:v>
      </x:c>
      <x:c r="P457" s="28" t="n">
        <x:v>0</x:v>
      </x:c>
      <x:c r="Q457" s="62" t="b">
        <x:v>1</x:v>
      </x:c>
      <x:c r="R457" s="28" t="n">
        <x:v>0</x:v>
      </x:c>
      <x:c r="S457" s="28" t="str">
        <x:v>ee3c64d4fe026be2</x:v>
      </x:c>
    </x:row>
    <x:row r="458" ht="21" customHeight="1">
      <x:c r="A458" s="60" t="n">
        <x:v>0.61</x:v>
      </x:c>
      <x:c r="B458" s="28" t="str">
        <x:v>level_flat</x:v>
      </x:c>
      <x:c r="C458" s="60" t="n">
        <x:v>0.45</x:v>
      </x:c>
      <x:c r="D458" s="60" t="n">
        <x:v>0.45</x:v>
      </x:c>
      <x:c r="E458" s="62" t="b">
        <x:v>1</x:v>
      </x:c>
      <x:c r="F458" s="62" t="b">
        <x:v>1</x:v>
      </x:c>
      <x:c r="G458" s="85" t="n">
        <x:v>0</x:v>
      </x:c>
      <x:c r="H458" s="85" t="n">
        <x:v>0</x:v>
      </x:c>
      <x:c r="I458" s="85" t="n">
        <x:v>45722378.44274186</x:v>
      </x:c>
      <x:c r="J458" s="85" t="n">
        <x:v>51726757.363201916</x:v>
      </x:c>
      <x:c r="K458" s="85" t="n">
        <x:v>13195.07240411271</x:v>
      </x:c>
      <x:c r="L458" s="28" t="n">
        <x:v>0</x:v>
      </x:c>
      <x:c r="M458" s="28" t="n">
        <x:v>0</x:v>
      </x:c>
      <x:c r="N458" s="28" t="n">
        <x:v>1.862645149230957e-9</x:v>
      </x:c>
      <x:c r="O458" s="28" t="n">
        <x:v>2.9802322387695312e-8</x:v>
      </x:c>
      <x:c r="P458" s="28" t="n">
        <x:v>0</x:v>
      </x:c>
      <x:c r="Q458" s="62" t="b">
        <x:v>1</x:v>
      </x:c>
      <x:c r="R458" s="28" t="n">
        <x:v>0</x:v>
      </x:c>
      <x:c r="S458" s="28" t="str">
        <x:v>ba633171f949dc1e</x:v>
      </x:c>
    </x:row>
    <x:row r="459" ht="21" customHeight="1">
      <x:c r="A459" s="60" t="n">
        <x:v>0.61</x:v>
      </x:c>
      <x:c r="B459" s="28" t="str">
        <x:v>level_flat</x:v>
      </x:c>
      <x:c r="C459" s="60" t="n">
        <x:v>0.5</x:v>
      </x:c>
      <x:c r="D459" s="60" t="n">
        <x:v>0.5</x:v>
      </x:c>
      <x:c r="E459" s="62" t="b">
        <x:v>1</x:v>
      </x:c>
      <x:c r="F459" s="62" t="b">
        <x:v>1</x:v>
      </x:c>
      <x:c r="G459" s="85" t="n">
        <x:v>0</x:v>
      </x:c>
      <x:c r="H459" s="85" t="n">
        <x:v>0</x:v>
      </x:c>
      <x:c r="I459" s="85" t="n">
        <x:v>52860940.00712798</x:v>
      </x:c>
      <x:c r="J459" s="85" t="n">
        <x:v>59617204.90302262</x:v>
      </x:c>
      <x:c r="K459" s="85" t="n">
        <x:v>0</x:v>
      </x:c>
      <x:c r="L459" s="28" t="n">
        <x:v>3</x:v>
      </x:c>
      <x:c r="M459" s="28" t="n">
        <x:v>0</x:v>
      </x:c>
      <x:c r="N459" s="28" t="n">
        <x:v>1.862645149230957e-9</x:v>
      </x:c>
      <x:c r="O459" s="28" t="n">
        <x:v>1.4901161193847656e-8</x:v>
      </x:c>
      <x:c r="P459" s="28" t="n">
        <x:v>0</x:v>
      </x:c>
      <x:c r="Q459" s="62" t="b">
        <x:v>1</x:v>
      </x:c>
      <x:c r="R459" s="28" t="n">
        <x:v>0</x:v>
      </x:c>
      <x:c r="S459" s="28" t="str">
        <x:v>69de388add77a64b</x:v>
      </x:c>
    </x:row>
    <x:row r="460" ht="21" customHeight="1">
      <x:c r="A460" s="60" t="n">
        <x:v>0.61</x:v>
      </x:c>
      <x:c r="B460" s="28" t="str">
        <x:v>level_flat</x:v>
      </x:c>
      <x:c r="C460" s="60" t="n">
        <x:v>0.55</x:v>
      </x:c>
      <x:c r="D460" s="60" t="n">
        <x:v>0.55</x:v>
      </x:c>
      <x:c r="E460" s="62" t="b">
        <x:v>1</x:v>
      </x:c>
      <x:c r="F460" s="62" t="b">
        <x:v>1</x:v>
      </x:c>
      <x:c r="G460" s="85" t="n">
        <x:v>0</x:v>
      </x:c>
      <x:c r="H460" s="85" t="n">
        <x:v>0</x:v>
      </x:c>
      <x:c r="I460" s="85" t="n">
        <x:v>60414258.735527836</x:v>
      </x:c>
      <x:c r="J460" s="85" t="n">
        <x:v>66286118.12660916</x:v>
      </x:c>
      <x:c r="K460" s="85" t="n">
        <x:v>0</x:v>
      </x:c>
      <x:c r="L460" s="28" t="n">
        <x:v>8</x:v>
      </x:c>
      <x:c r="M460" s="28" t="n">
        <x:v>0</x:v>
      </x:c>
      <x:c r="N460" s="28" t="n">
        <x:v>1.862645149230957e-9</x:v>
      </x:c>
      <x:c r="O460" s="28" t="n">
        <x:v>2.9802322387695312e-8</x:v>
      </x:c>
      <x:c r="P460" s="28" t="n">
        <x:v>0</x:v>
      </x:c>
      <x:c r="Q460" s="62" t="b">
        <x:v>1</x:v>
      </x:c>
      <x:c r="R460" s="28" t="n">
        <x:v>0</x:v>
      </x:c>
      <x:c r="S460" s="28" t="str">
        <x:v>d408dce4b0fe6b87</x:v>
      </x:c>
    </x:row>
    <x:row r="461" ht="21" customHeight="1">
      <x:c r="A461" s="60" t="n">
        <x:v>0.61</x:v>
      </x:c>
      <x:c r="B461" s="28" t="str">
        <x:v>level_flat</x:v>
      </x:c>
      <x:c r="C461" s="60" t="n">
        <x:v>0.6</x:v>
      </x:c>
      <x:c r="D461" s="60" t="n">
        <x:v>0.6</x:v>
      </x:c>
      <x:c r="E461" s="62" t="b">
        <x:v>1</x:v>
      </x:c>
      <x:c r="F461" s="62" t="b">
        <x:v>1</x:v>
      </x:c>
      <x:c r="G461" s="85" t="n">
        <x:v>0</x:v>
      </x:c>
      <x:c r="H461" s="85" t="n">
        <x:v>0</x:v>
      </x:c>
      <x:c r="I461" s="85" t="n">
        <x:v>67272456.17362626</x:v>
      </x:c>
      <x:c r="J461" s="85" t="n">
        <x:v>74383809.42659493</x:v>
      </x:c>
      <x:c r="K461" s="85" t="n">
        <x:v>0</x:v>
      </x:c>
      <x:c r="L461" s="28" t="n">
        <x:v>12</x:v>
      </x:c>
      <x:c r="M461" s="28" t="n">
        <x:v>3</x:v>
      </x:c>
      <x:c r="N461" s="28" t="n">
        <x:v>1.862645149230957e-9</x:v>
      </x:c>
      <x:c r="O461" s="28" t="n">
        <x:v>2.9802322387695312e-8</x:v>
      </x:c>
      <x:c r="P461" s="28" t="n">
        <x:v>0</x:v>
      </x:c>
      <x:c r="Q461" s="62" t="b">
        <x:v>1</x:v>
      </x:c>
      <x:c r="R461" s="28" t="n">
        <x:v>0</x:v>
      </x:c>
      <x:c r="S461" s="28" t="str">
        <x:v>650c97b1a984c92f</x:v>
      </x:c>
    </x:row>
    <x:row r="462" ht="21" customHeight="1">
      <x:c r="A462" s="60" t="n">
        <x:v>0.61</x:v>
      </x:c>
      <x:c r="B462" s="28" t="str">
        <x:v>level_flat</x:v>
      </x:c>
      <x:c r="C462" s="60" t="n">
        <x:v>0.65</x:v>
      </x:c>
      <x:c r="D462" s="60" t="n">
        <x:v>0.65</x:v>
      </x:c>
      <x:c r="E462" s="62" t="b">
        <x:v>1</x:v>
      </x:c>
      <x:c r="F462" s="62" t="b">
        <x:v>1</x:v>
      </x:c>
      <x:c r="G462" s="85" t="n">
        <x:v>0</x:v>
      </x:c>
      <x:c r="H462" s="85" t="n">
        <x:v>0</x:v>
      </x:c>
      <x:c r="I462" s="85" t="n">
        <x:v>73382841.62588224</x:v>
      </x:c>
      <x:c r="J462" s="85" t="n">
        <x:v>83948250.89803311</x:v>
      </x:c>
      <x:c r="K462" s="85" t="n">
        <x:v>0</x:v>
      </x:c>
      <x:c r="L462" s="28" t="n">
        <x:v>16</x:v>
      </x:c>
      <x:c r="M462" s="28" t="n">
        <x:v>7</x:v>
      </x:c>
      <x:c r="N462" s="28" t="n">
        <x:v>1.862645149230957e-9</x:v>
      </x:c>
      <x:c r="O462" s="28" t="n">
        <x:v>2.9802322387695312e-8</x:v>
      </x:c>
      <x:c r="P462" s="28" t="n">
        <x:v>0</x:v>
      </x:c>
      <x:c r="Q462" s="62" t="b">
        <x:v>1</x:v>
      </x:c>
      <x:c r="R462" s="28" t="n">
        <x:v>0</x:v>
      </x:c>
      <x:c r="S462" s="28" t="str">
        <x:v>cb8bfed1ca96d25b</x:v>
      </x:c>
    </x:row>
    <x:row r="463" ht="21" customHeight="1">
      <x:c r="A463" s="60" t="n">
        <x:v>0.61</x:v>
      </x:c>
      <x:c r="B463" s="28" t="str">
        <x:v>level_flat</x:v>
      </x:c>
      <x:c r="C463" s="60" t="n">
        <x:v>0.7</x:v>
      </x:c>
      <x:c r="D463" s="60" t="n">
        <x:v>0.7</x:v>
      </x:c>
      <x:c r="E463" s="62" t="b">
        <x:v>1</x:v>
      </x:c>
      <x:c r="F463" s="62" t="b">
        <x:v>0</x:v>
      </x:c>
      <x:c r="G463" s="85" t="n">
        <x:v>1194092.6871291795</x:v>
      </x:c>
      <x:c r="H463" s="85" t="n">
        <x:v>7779697.033271331</x:v>
      </x:c>
      <x:c r="I463" s="85" t="n">
        <x:v>76060934.59144163</x:v>
      </x:c>
      <x:c r="J463" s="85" t="n">
        <x:v>87000000.00000001</x:v>
      </x:c>
      <x:c r="K463" s="85" t="n">
        <x:v>0</x:v>
      </x:c>
      <x:c r="L463" s="28" t="n">
        <x:v>39</x:v>
      </x:c>
      <x:c r="M463" s="28" t="n">
        <x:v>32</x:v>
      </x:c>
      <x:c r="N463" s="28" t="n">
        <x:v>1.862645149230957e-9</x:v>
      </x:c>
      <x:c r="O463" s="28" t="n">
        <x:v>2.9802322387695312e-8</x:v>
      </x:c>
      <x:c r="P463" s="28" t="n">
        <x:v>0</x:v>
      </x:c>
      <x:c r="Q463" s="62" t="b">
        <x:v>1</x:v>
      </x:c>
      <x:c r="R463" s="28" t="n">
        <x:v>0</x:v>
      </x:c>
      <x:c r="S463" s="28" t="str">
        <x:v>654f2b53c0432511</x:v>
      </x:c>
    </x:row>
    <x:row r="464" ht="21" customHeight="1">
      <x:c r="A464" s="60" t="n">
        <x:v>0.61</x:v>
      </x:c>
      <x:c r="B464" s="28" t="str">
        <x:v>level_flat</x:v>
      </x:c>
      <x:c r="C464" s="60" t="n">
        <x:v>0.75</x:v>
      </x:c>
      <x:c r="D464" s="60" t="n">
        <x:v>0.75</x:v>
      </x:c>
      <x:c r="E464" s="62" t="b">
        <x:v>1</x:v>
      </x:c>
      <x:c r="F464" s="62" t="b">
        <x:v>0</x:v>
      </x:c>
      <x:c r="G464" s="85" t="n">
        <x:v>3288210.5475708856</x:v>
      </x:c>
      <x:c r="H464" s="85" t="n">
        <x:v>18694033.7839247</x:v>
      </x:c>
      <x:c r="I464" s="85" t="n">
        <x:v>77300514.30326577</x:v>
      </x:c>
      <x:c r="J464" s="85" t="n">
        <x:v>87000000.00000001</x:v>
      </x:c>
      <x:c r="K464" s="85" t="n">
        <x:v>0</x:v>
      </x:c>
      <x:c r="L464" s="28" t="n">
        <x:v>40</x:v>
      </x:c>
      <x:c r="M464" s="28" t="n">
        <x:v>34</x:v>
      </x:c>
      <x:c r="N464" s="28" t="n">
        <x:v>1.862645149230957e-9</x:v>
      </x:c>
      <x:c r="O464" s="28" t="n">
        <x:v>2.9802322387695312e-8</x:v>
      </x:c>
      <x:c r="P464" s="28" t="n">
        <x:v>0</x:v>
      </x:c>
      <x:c r="Q464" s="62" t="b">
        <x:v>1</x:v>
      </x:c>
      <x:c r="R464" s="28" t="n">
        <x:v>0</x:v>
      </x:c>
      <x:c r="S464" s="28" t="str">
        <x:v>05a4f77a8a91e2e4</x:v>
      </x:c>
    </x:row>
    <x:row r="465" ht="21" customHeight="1">
      <x:c r="A465" s="60" t="n">
        <x:v>0.61</x:v>
      </x:c>
      <x:c r="B465" s="28" t="str">
        <x:v>level_flat</x:v>
      </x:c>
      <x:c r="C465" s="60" t="n">
        <x:v>0.8</x:v>
      </x:c>
      <x:c r="D465" s="60" t="n">
        <x:v>0.8</x:v>
      </x:c>
      <x:c r="E465" s="62" t="b">
        <x:v>1</x:v>
      </x:c>
      <x:c r="F465" s="62" t="b">
        <x:v>0</x:v>
      </x:c>
      <x:c r="G465" s="85" t="n">
        <x:v>5518999.33099122</x:v>
      </x:c>
      <x:c r="H465" s="85" t="n">
        <x:v>29200548.59757547</x:v>
      </x:c>
      <x:c r="I465" s="85" t="n">
        <x:v>78635025.65517808</x:v>
      </x:c>
      <x:c r="J465" s="85" t="n">
        <x:v>87000000.00000001</x:v>
      </x:c>
      <x:c r="K465" s="85" t="n">
        <x:v>0</x:v>
      </x:c>
      <x:c r="L465" s="28" t="n">
        <x:v>41</x:v>
      </x:c>
      <x:c r="M465" s="28" t="n">
        <x:v>35</x:v>
      </x:c>
      <x:c r="N465" s="28" t="n">
        <x:v>1.862645149230957e-9</x:v>
      </x:c>
      <x:c r="O465" s="28" t="n">
        <x:v>2.9802322387695312e-8</x:v>
      </x:c>
      <x:c r="P465" s="28" t="n">
        <x:v>0</x:v>
      </x:c>
      <x:c r="Q465" s="62" t="b">
        <x:v>1</x:v>
      </x:c>
      <x:c r="R465" s="28" t="n">
        <x:v>0</x:v>
      </x:c>
      <x:c r="S465" s="28" t="str">
        <x:v>46ee72b151d57e87</x:v>
      </x:c>
    </x:row>
    <x:row r="466" ht="21" customHeight="1">
      <x:c r="A466" s="60" t="n">
        <x:v>0.61</x:v>
      </x:c>
      <x:c r="B466" s="28" t="str">
        <x:v>level_flat</x:v>
      </x:c>
      <x:c r="C466" s="60" t="n">
        <x:v>0.85</x:v>
      </x:c>
      <x:c r="D466" s="60" t="n">
        <x:v>0.85</x:v>
      </x:c>
      <x:c r="E466" s="62" t="b">
        <x:v>1</x:v>
      </x:c>
      <x:c r="F466" s="62" t="b">
        <x:v>0</x:v>
      </x:c>
      <x:c r="G466" s="85" t="n">
        <x:v>7771171.863230931</x:v>
      </x:c>
      <x:c r="H466" s="85" t="n">
        <x:v>39608166.46751797</x:v>
      </x:c>
      <x:c r="I466" s="85" t="n">
        <x:v>79860231.40841535</x:v>
      </x:c>
      <x:c r="J466" s="85" t="n">
        <x:v>87000000.00000001</x:v>
      </x:c>
      <x:c r="K466" s="85" t="n">
        <x:v>0</x:v>
      </x:c>
      <x:c r="L466" s="28" t="n">
        <x:v>42</x:v>
      </x:c>
      <x:c r="M466" s="28" t="n">
        <x:v>36</x:v>
      </x:c>
      <x:c r="N466" s="28" t="n">
        <x:v>1.862645149230957e-9</x:v>
      </x:c>
      <x:c r="O466" s="28" t="n">
        <x:v>2.9802322387695312e-8</x:v>
      </x:c>
      <x:c r="P466" s="28" t="n">
        <x:v>0</x:v>
      </x:c>
      <x:c r="Q466" s="62" t="b">
        <x:v>1</x:v>
      </x:c>
      <x:c r="R466" s="28" t="n">
        <x:v>0</x:v>
      </x:c>
      <x:c r="S466" s="28" t="str">
        <x:v>f68c4abf487a4e5d</x:v>
      </x:c>
    </x:row>
    <x:row r="467" ht="21" customHeight="1">
      <x:c r="A467" s="60" t="n">
        <x:v>0.61</x:v>
      </x:c>
      <x:c r="B467" s="28" t="str">
        <x:v>level_flat</x:v>
      </x:c>
      <x:c r="C467" s="60" t="n">
        <x:v>0.9</x:v>
      </x:c>
      <x:c r="D467" s="60" t="n">
        <x:v>0.9</x:v>
      </x:c>
      <x:c r="E467" s="62" t="b">
        <x:v>1</x:v>
      </x:c>
      <x:c r="F467" s="62" t="b">
        <x:v>0</x:v>
      </x:c>
      <x:c r="G467" s="85" t="n">
        <x:v>12692880.555415995</x:v>
      </x:c>
      <x:c r="H467" s="85" t="n">
        <x:v>48960371.803311385</x:v>
      </x:c>
      <x:c r="I467" s="85" t="n">
        <x:v>80067345.62478466</x:v>
      </x:c>
      <x:c r="J467" s="85" t="n">
        <x:v>87000000.00000001</x:v>
      </x:c>
      <x:c r="K467" s="85" t="n">
        <x:v>0</x:v>
      </x:c>
      <x:c r="L467" s="28" t="n">
        <x:v>42</x:v>
      </x:c>
      <x:c r="M467" s="28" t="n">
        <x:v>36</x:v>
      </x:c>
      <x:c r="N467" s="28" t="n">
        <x:v>1.862645149230957e-9</x:v>
      </x:c>
      <x:c r="O467" s="28" t="n">
        <x:v>7.450580596923828e-9</x:v>
      </x:c>
      <x:c r="P467" s="28" t="n">
        <x:v>0</x:v>
      </x:c>
      <x:c r="Q467" s="62" t="b">
        <x:v>1</x:v>
      </x:c>
      <x:c r="R467" s="28" t="n">
        <x:v>0</x:v>
      </x:c>
      <x:c r="S467" s="28" t="str">
        <x:v>d25a6aac353ebe56</x:v>
      </x:c>
    </x:row>
    <x:row r="468" ht="21" customHeight="1">
      <x:c r="A468" s="60" t="n">
        <x:v>0.61</x:v>
      </x:c>
      <x:c r="B468" s="28" t="str">
        <x:v>level_flat</x:v>
      </x:c>
      <x:c r="C468" s="60" t="n">
        <x:v>0.95</x:v>
      </x:c>
      <x:c r="D468" s="60" t="n">
        <x:v>0.9219114501462435</x:v>
      </x:c>
      <x:c r="E468" s="62" t="b">
        <x:v>0</x:v>
      </x:c>
      <x:c r="F468" s="62" t="b">
        <x:v>0</x:v>
      </x:c>
      <x:c r="G468" s="85" t="n">
        <x:v>13828313.482394064</x:v>
      </x:c>
      <x:c r="H468" s="85" t="n">
        <x:v>52356068.43153638</x:v>
      </x:c>
      <x:c r="I468" s="85" t="n">
        <x:v>81299679.97652054</x:v>
      </x:c>
      <x:c r="J468" s="85" t="n">
        <x:v>87000000.00000001</x:v>
      </x:c>
      <x:c r="K468" s="85" t="n">
        <x:v>0</x:v>
      </x:c>
      <x:c r="L468" s="28" t="n">
        <x:v>43</x:v>
      </x:c>
      <x:c r="M468" s="28" t="n">
        <x:v>38</x:v>
      </x:c>
      <x:c r="N468" s="28" t="n">
        <x:v>1.862645149230957e-9</x:v>
      </x:c>
      <x:c r="O468" s="28" t="n">
        <x:v>1.4901161193847656e-8</x:v>
      </x:c>
      <x:c r="P468" s="28" t="n">
        <x:v>0</x:v>
      </x:c>
      <x:c r="Q468" s="62" t="b">
        <x:v>1</x:v>
      </x:c>
      <x:c r="R468" s="28" t="n">
        <x:v>8426564.956126928</x:v>
      </x:c>
      <x:c r="S468" s="28" t="str">
        <x:v>c63dadb18a040d81</x:v>
      </x:c>
    </x:row>
    <x:row r="469" ht="21" customHeight="1">
      <x:c r="A469" s="60" t="n">
        <x:v>0.61</x:v>
      </x:c>
      <x:c r="B469" s="28" t="str">
        <x:v>level_flat</x:v>
      </x:c>
      <x:c r="C469" s="60" t="n">
        <x:v>1</x:v>
      </x:c>
      <x:c r="D469" s="60" t="n">
        <x:v>0.9350574964161632</x:v>
      </x:c>
      <x:c r="E469" s="62" t="b">
        <x:v>0</x:v>
      </x:c>
      <x:c r="F469" s="62" t="b">
        <x:v>0</x:v>
      </x:c>
      <x:c r="G469" s="85" t="n">
        <x:v>15299839.60504236</x:v>
      </x:c>
      <x:c r="H469" s="85" t="n">
        <x:v>55593133.59455724</x:v>
      </x:c>
      <x:c r="I469" s="85" t="n">
        <x:v>81457319.18465753</x:v>
      </x:c>
      <x:c r="J469" s="85" t="n">
        <x:v>87000000.00000001</x:v>
      </x:c>
      <x:c r="K469" s="85" t="n">
        <x:v>0</x:v>
      </x:c>
      <x:c r="L469" s="28" t="n">
        <x:v>43</x:v>
      </x:c>
      <x:c r="M469" s="28" t="n">
        <x:v>38</x:v>
      </x:c>
      <x:c r="N469" s="28" t="n">
        <x:v>1.862645149230957e-9</x:v>
      </x:c>
      <x:c r="O469" s="28" t="n">
        <x:v>7.450580596923828e-9</x:v>
      </x:c>
      <x:c r="P469" s="28" t="n">
        <x:v>0</x:v>
      </x:c>
      <x:c r="Q469" s="62" t="b">
        <x:v>1</x:v>
      </x:c>
      <x:c r="R469" s="28" t="n">
        <x:v>19482751.075151026</x:v>
      </x:c>
      <x:c r="S469" s="28" t="str">
        <x:v>c75eb8520da2bdf3</x:v>
      </x:c>
    </x:row>
    <x:row r="470" ht="21" customHeight="1">
      <x:c r="A470" s="60" t="n">
        <x:v>0.61</x:v>
      </x:c>
      <x:c r="B470" s="28" t="str">
        <x:v>level_low</x:v>
      </x:c>
      <x:c r="C470" s="60" t="n">
        <x:v>0</x:v>
      </x:c>
      <x:c r="D470" s="60" t="n">
        <x:v>0</x:v>
      </x:c>
      <x:c r="E470" s="62" t="b">
        <x:v>1</x:v>
      </x:c>
      <x:c r="F470" s="62" t="b">
        <x:v>1</x:v>
      </x:c>
      <x:c r="G470" s="85" t="n">
        <x:v>0</x:v>
      </x:c>
      <x:c r="H470" s="85" t="n">
        <x:v>0</x:v>
      </x:c>
      <x:c r="I470" s="85" t="n">
        <x:v>0</x:v>
      </x:c>
      <x:c r="J470" s="85" t="n">
        <x:v>0</x:v>
      </x:c>
      <x:c r="K470" s="85" t="n">
        <x:v>26582155.57328764</x:v>
      </x:c>
      <x:c r="L470" s="28" t="n">
        <x:v>0</x:v>
      </x:c>
      <x:c r="M470" s="28" t="n">
        <x:v>0</x:v>
      </x:c>
      <x:c r="N470" s="28" t="n">
        <x:v>4.656612873077393e-10</x:v>
      </x:c>
      <x:c r="O470" s="28" t="n">
        <x:v>0</x:v>
      </x:c>
      <x:c r="P470" s="28" t="n">
        <x:v>0</x:v>
      </x:c>
      <x:c r="Q470" s="62" t="b">
        <x:v>1</x:v>
      </x:c>
      <x:c r="R470" s="28" t="n">
        <x:v>0</x:v>
      </x:c>
      <x:c r="S470" s="28" t="str">
        <x:v>ca9aadc73d447928</x:v>
      </x:c>
    </x:row>
    <x:row r="471" ht="21" customHeight="1">
      <x:c r="A471" s="60" t="n">
        <x:v>0.61</x:v>
      </x:c>
      <x:c r="B471" s="28" t="str">
        <x:v>level_low</x:v>
      </x:c>
      <x:c r="C471" s="60" t="n">
        <x:v>0.05</x:v>
      </x:c>
      <x:c r="D471" s="60" t="n">
        <x:v>0.05</x:v>
      </x:c>
      <x:c r="E471" s="62" t="b">
        <x:v>1</x:v>
      </x:c>
      <x:c r="F471" s="62" t="b">
        <x:v>1</x:v>
      </x:c>
      <x:c r="G471" s="85" t="n">
        <x:v>0</x:v>
      </x:c>
      <x:c r="H471" s="85" t="n">
        <x:v>0</x:v>
      </x:c>
      <x:c r="I471" s="85" t="n">
        <x:v>0</x:v>
      </x:c>
      <x:c r="J471" s="85" t="n">
        <x:v>0</x:v>
      </x:c>
      <x:c r="K471" s="85" t="n">
        <x:v>15838023.158588758</x:v>
      </x:c>
      <x:c r="L471" s="28" t="n">
        <x:v>0</x:v>
      </x:c>
      <x:c r="M471" s="28" t="n">
        <x:v>0</x:v>
      </x:c>
      <x:c r="N471" s="28" t="n">
        <x:v>3.725290298461914e-9</x:v>
      </x:c>
      <x:c r="O471" s="28" t="n">
        <x:v>2.9802322387695312e-8</x:v>
      </x:c>
      <x:c r="P471" s="28" t="n">
        <x:v>0</x:v>
      </x:c>
      <x:c r="Q471" s="62" t="b">
        <x:v>1</x:v>
      </x:c>
      <x:c r="R471" s="28" t="n">
        <x:v>0</x:v>
      </x:c>
      <x:c r="S471" s="28" t="str">
        <x:v>a590f1d57727b27c</x:v>
      </x:c>
    </x:row>
    <x:row r="472" ht="21" customHeight="1">
      <x:c r="A472" s="60" t="n">
        <x:v>0.61</x:v>
      </x:c>
      <x:c r="B472" s="28" t="str">
        <x:v>level_low</x:v>
      </x:c>
      <x:c r="C472" s="60" t="n">
        <x:v>0.1</x:v>
      </x:c>
      <x:c r="D472" s="60" t="n">
        <x:v>0.1</x:v>
      </x:c>
      <x:c r="E472" s="62" t="b">
        <x:v>1</x:v>
      </x:c>
      <x:c r="F472" s="62" t="b">
        <x:v>1</x:v>
      </x:c>
      <x:c r="G472" s="85" t="n">
        <x:v>0</x:v>
      </x:c>
      <x:c r="H472" s="85" t="n">
        <x:v>0</x:v>
      </x:c>
      <x:c r="I472" s="85" t="n">
        <x:v>0</x:v>
      </x:c>
      <x:c r="J472" s="85" t="n">
        <x:v>0</x:v>
      </x:c>
      <x:c r="K472" s="85" t="n">
        <x:v>5021231.926865897</x:v>
      </x:c>
      <x:c r="L472" s="28" t="n">
        <x:v>0</x:v>
      </x:c>
      <x:c r="M472" s="28" t="n">
        <x:v>0</x:v>
      </x:c>
      <x:c r="N472" s="28" t="n">
        <x:v>3.725290298461914e-9</x:v>
      </x:c>
      <x:c r="O472" s="28" t="n">
        <x:v>5.960464477539063e-8</x:v>
      </x:c>
      <x:c r="P472" s="28" t="n">
        <x:v>0</x:v>
      </x:c>
      <x:c r="Q472" s="62" t="b">
        <x:v>1</x:v>
      </x:c>
      <x:c r="R472" s="28" t="n">
        <x:v>0</x:v>
      </x:c>
      <x:c r="S472" s="28" t="str">
        <x:v>613f08b08290d0ff</x:v>
      </x:c>
    </x:row>
    <x:row r="473" ht="21" customHeight="1">
      <x:c r="A473" s="60" t="n">
        <x:v>0.61</x:v>
      </x:c>
      <x:c r="B473" s="28" t="str">
        <x:v>level_low</x:v>
      </x:c>
      <x:c r="C473" s="60" t="n">
        <x:v>0.15</x:v>
      </x:c>
      <x:c r="D473" s="60" t="n">
        <x:v>0.15</x:v>
      </x:c>
      <x:c r="E473" s="62" t="b">
        <x:v>1</x:v>
      </x:c>
      <x:c r="F473" s="62" t="b">
        <x:v>1</x:v>
      </x:c>
      <x:c r="G473" s="85" t="n">
        <x:v>0</x:v>
      </x:c>
      <x:c r="H473" s="85" t="n">
        <x:v>0</x:v>
      </x:c>
      <x:c r="I473" s="85" t="n">
        <x:v>4053650.971597939</x:v>
      </x:c>
      <x:c r="J473" s="85" t="n">
        <x:v>0</x:v>
      </x:c>
      <x:c r="K473" s="85" t="n">
        <x:v>0</x:v>
      </x:c>
      <x:c r="L473" s="28" t="n">
        <x:v>0</x:v>
      </x:c>
      <x:c r="M473" s="28" t="n">
        <x:v>0</x:v>
      </x:c>
      <x:c r="N473" s="28" t="n">
        <x:v>1.862645149230957e-9</x:v>
      </x:c>
      <x:c r="O473" s="28" t="n">
        <x:v>2.9802322387695312e-8</x:v>
      </x:c>
      <x:c r="P473" s="28" t="n">
        <x:v>0</x:v>
      </x:c>
      <x:c r="Q473" s="62" t="b">
        <x:v>1</x:v>
      </x:c>
      <x:c r="R473" s="28" t="n">
        <x:v>0</x:v>
      </x:c>
      <x:c r="S473" s="28" t="str">
        <x:v>ef3a6a507b4efe58</x:v>
      </x:c>
    </x:row>
    <x:row r="474" ht="21" customHeight="1">
      <x:c r="A474" s="60" t="n">
        <x:v>0.61</x:v>
      </x:c>
      <x:c r="B474" s="28" t="str">
        <x:v>level_low</x:v>
      </x:c>
      <x:c r="C474" s="60" t="n">
        <x:v>0.2</x:v>
      </x:c>
      <x:c r="D474" s="60" t="n">
        <x:v>0.2</x:v>
      </x:c>
      <x:c r="E474" s="62" t="b">
        <x:v>1</x:v>
      </x:c>
      <x:c r="F474" s="62" t="b">
        <x:v>1</x:v>
      </x:c>
      <x:c r="G474" s="85" t="n">
        <x:v>0</x:v>
      </x:c>
      <x:c r="H474" s="85" t="n">
        <x:v>0</x:v>
      </x:c>
      <x:c r="I474" s="85" t="n">
        <x:v>10507856.547548201</x:v>
      </x:c>
      <x:c r="J474" s="85" t="n">
        <x:v>6323003.2725342475</x:v>
      </x:c>
      <x:c r="K474" s="85" t="n">
        <x:v>0</x:v>
      </x:c>
      <x:c r="L474" s="28" t="n">
        <x:v>0</x:v>
      </x:c>
      <x:c r="M474" s="28" t="n">
        <x:v>0</x:v>
      </x:c>
      <x:c r="N474" s="28" t="n">
        <x:v>3.725290298461914e-9</x:v>
      </x:c>
      <x:c r="O474" s="28" t="n">
        <x:v>2.9802322387695312e-8</x:v>
      </x:c>
      <x:c r="P474" s="28" t="n">
        <x:v>0</x:v>
      </x:c>
      <x:c r="Q474" s="62" t="b">
        <x:v>1</x:v>
      </x:c>
      <x:c r="R474" s="28" t="n">
        <x:v>0</x:v>
      </x:c>
      <x:c r="S474" s="28" t="str">
        <x:v>782c74dc70cc39df</x:v>
      </x:c>
    </x:row>
    <x:row r="475" ht="21" customHeight="1">
      <x:c r="A475" s="60" t="n">
        <x:v>0.61</x:v>
      </x:c>
      <x:c r="B475" s="28" t="str">
        <x:v>level_low</x:v>
      </x:c>
      <x:c r="C475" s="60" t="n">
        <x:v>0.25</x:v>
      </x:c>
      <x:c r="D475" s="60" t="n">
        <x:v>0.25</x:v>
      </x:c>
      <x:c r="E475" s="62" t="b">
        <x:v>1</x:v>
      </x:c>
      <x:c r="F475" s="62" t="b">
        <x:v>1</x:v>
      </x:c>
      <x:c r="G475" s="85" t="n">
        <x:v>0</x:v>
      </x:c>
      <x:c r="H475" s="85" t="n">
        <x:v>0</x:v>
      </x:c>
      <x:c r="I475" s="85" t="n">
        <x:v>14829383.900359884</x:v>
      </x:c>
      <x:c r="J475" s="85" t="n">
        <x:v>15403754.090667764</x:v>
      </x:c>
      <x:c r="K475" s="85" t="n">
        <x:v>0</x:v>
      </x:c>
      <x:c r="L475" s="28" t="n">
        <x:v>0</x:v>
      </x:c>
      <x:c r="M475" s="28" t="n">
        <x:v>0</x:v>
      </x:c>
      <x:c r="N475" s="28" t="n">
        <x:v>1.862645149230957e-9</x:v>
      </x:c>
      <x:c r="O475" s="28" t="n">
        <x:v>2.9802322387695312e-8</x:v>
      </x:c>
      <x:c r="P475" s="28" t="n">
        <x:v>0</x:v>
      </x:c>
      <x:c r="Q475" s="62" t="b">
        <x:v>1</x:v>
      </x:c>
      <x:c r="R475" s="28" t="n">
        <x:v>0</x:v>
      </x:c>
      <x:c r="S475" s="28" t="str">
        <x:v>b8027e46710026b5</x:v>
      </x:c>
    </x:row>
    <x:row r="476" ht="21" customHeight="1">
      <x:c r="A476" s="60" t="n">
        <x:v>0.61</x:v>
      </x:c>
      <x:c r="B476" s="28" t="str">
        <x:v>level_low</x:v>
      </x:c>
      <x:c r="C476" s="60" t="n">
        <x:v>0.3</x:v>
      </x:c>
      <x:c r="D476" s="60" t="n">
        <x:v>0.3</x:v>
      </x:c>
      <x:c r="E476" s="62" t="b">
        <x:v>1</x:v>
      </x:c>
      <x:c r="F476" s="62" t="b">
        <x:v>1</x:v>
      </x:c>
      <x:c r="G476" s="85" t="n">
        <x:v>0</x:v>
      </x:c>
      <x:c r="H476" s="85" t="n">
        <x:v>0</x:v>
      </x:c>
      <x:c r="I476" s="85" t="n">
        <x:v>19174424.65476058</x:v>
      </x:c>
      <x:c r="J476" s="85" t="n">
        <x:v>24484504.908801205</x:v>
      </x:c>
      <x:c r="K476" s="85" t="n">
        <x:v>0</x:v>
      </x:c>
      <x:c r="L476" s="28" t="n">
        <x:v>0</x:v>
      </x:c>
      <x:c r="M476" s="28" t="n">
        <x:v>0</x:v>
      </x:c>
      <x:c r="N476" s="28" t="n">
        <x:v>3.725290298461914e-9</x:v>
      </x:c>
      <x:c r="O476" s="28" t="n">
        <x:v>7.450580596923828e-9</x:v>
      </x:c>
      <x:c r="P476" s="28" t="n">
        <x:v>0</x:v>
      </x:c>
      <x:c r="Q476" s="62" t="b">
        <x:v>1</x:v>
      </x:c>
      <x:c r="R476" s="28" t="n">
        <x:v>0</x:v>
      </x:c>
      <x:c r="S476" s="28" t="str">
        <x:v>07155c5df0d8cc2a</x:v>
      </x:c>
    </x:row>
    <x:row r="477" ht="21" customHeight="1">
      <x:c r="A477" s="60" t="n">
        <x:v>0.61</x:v>
      </x:c>
      <x:c r="B477" s="28" t="str">
        <x:v>level_low</x:v>
      </x:c>
      <x:c r="C477" s="60" t="n">
        <x:v>0.35</x:v>
      </x:c>
      <x:c r="D477" s="60" t="n">
        <x:v>0.35</x:v>
      </x:c>
      <x:c r="E477" s="62" t="b">
        <x:v>1</x:v>
      </x:c>
      <x:c r="F477" s="62" t="b">
        <x:v>1</x:v>
      </x:c>
      <x:c r="G477" s="85" t="n">
        <x:v>0</x:v>
      </x:c>
      <x:c r="H477" s="85" t="n">
        <x:v>0</x:v>
      </x:c>
      <x:c r="I477" s="85" t="n">
        <x:v>23537773.689572316</x:v>
      </x:c>
      <x:c r="J477" s="85" t="n">
        <x:v>33565255.72693476</x:v>
      </x:c>
      <x:c r="K477" s="85" t="n">
        <x:v>0</x:v>
      </x:c>
      <x:c r="L477" s="28" t="n">
        <x:v>0</x:v>
      </x:c>
      <x:c r="M477" s="28" t="n">
        <x:v>0</x:v>
      </x:c>
      <x:c r="N477" s="28" t="n">
        <x:v>9.313225746154785e-10</x:v>
      </x:c>
      <x:c r="O477" s="28" t="n">
        <x:v>2.9802322387695312e-8</x:v>
      </x:c>
      <x:c r="P477" s="28" t="n">
        <x:v>0</x:v>
      </x:c>
      <x:c r="Q477" s="62" t="b">
        <x:v>1</x:v>
      </x:c>
      <x:c r="R477" s="28" t="n">
        <x:v>0</x:v>
      </x:c>
      <x:c r="S477" s="28" t="str">
        <x:v>ca87702335f8f222</x:v>
      </x:c>
    </x:row>
    <x:row r="478" ht="21" customHeight="1">
      <x:c r="A478" s="60" t="n">
        <x:v>0.61</x:v>
      </x:c>
      <x:c r="B478" s="28" t="str">
        <x:v>level_low</x:v>
      </x:c>
      <x:c r="C478" s="60" t="n">
        <x:v>0.4</x:v>
      </x:c>
      <x:c r="D478" s="60" t="n">
        <x:v>0.4</x:v>
      </x:c>
      <x:c r="E478" s="62" t="b">
        <x:v>1</x:v>
      </x:c>
      <x:c r="F478" s="62" t="b">
        <x:v>1</x:v>
      </x:c>
      <x:c r="G478" s="85" t="n">
        <x:v>0</x:v>
      </x:c>
      <x:c r="H478" s="85" t="n">
        <x:v>0</x:v>
      </x:c>
      <x:c r="I478" s="85" t="n">
        <x:v>27899118.61266408</x:v>
      </x:c>
      <x:c r="J478" s="85" t="n">
        <x:v>42646006.54506833</x:v>
      </x:c>
      <x:c r="K478" s="85" t="n">
        <x:v>0</x:v>
      </x:c>
      <x:c r="L478" s="28" t="n">
        <x:v>0</x:v>
      </x:c>
      <x:c r="M478" s="28" t="n">
        <x:v>0</x:v>
      </x:c>
      <x:c r="N478" s="28" t="n">
        <x:v>3.725290298461914e-9</x:v>
      </x:c>
      <x:c r="O478" s="28" t="n">
        <x:v>2.9802322387695312e-8</x:v>
      </x:c>
      <x:c r="P478" s="28" t="n">
        <x:v>0</x:v>
      </x:c>
      <x:c r="Q478" s="62" t="b">
        <x:v>1</x:v>
      </x:c>
      <x:c r="R478" s="28" t="n">
        <x:v>0</x:v>
      </x:c>
      <x:c r="S478" s="28" t="str">
        <x:v>024c834310b16154</x:v>
      </x:c>
    </x:row>
    <x:row r="479" ht="21" customHeight="1">
      <x:c r="A479" s="60" t="n">
        <x:v>0.61</x:v>
      </x:c>
      <x:c r="B479" s="28" t="str">
        <x:v>level_low</x:v>
      </x:c>
      <x:c r="C479" s="60" t="n">
        <x:v>0.45</x:v>
      </x:c>
      <x:c r="D479" s="60" t="n">
        <x:v>0.45</x:v>
      </x:c>
      <x:c r="E479" s="62" t="b">
        <x:v>1</x:v>
      </x:c>
      <x:c r="F479" s="62" t="b">
        <x:v>1</x:v>
      </x:c>
      <x:c r="G479" s="85" t="n">
        <x:v>0</x:v>
      </x:c>
      <x:c r="H479" s="85" t="n">
        <x:v>0</x:v>
      </x:c>
      <x:c r="I479" s="85" t="n">
        <x:v>32214751.34926425</x:v>
      </x:c>
      <x:c r="J479" s="85" t="n">
        <x:v>51726757.363201916</x:v>
      </x:c>
      <x:c r="K479" s="85" t="n">
        <x:v>0</x:v>
      </x:c>
      <x:c r="L479" s="28" t="n">
        <x:v>0</x:v>
      </x:c>
      <x:c r="M479" s="28" t="n">
        <x:v>0</x:v>
      </x:c>
      <x:c r="N479" s="28" t="n">
        <x:v>1.862645149230957e-9</x:v>
      </x:c>
      <x:c r="O479" s="28" t="n">
        <x:v>2.9802322387695312e-8</x:v>
      </x:c>
      <x:c r="P479" s="28" t="n">
        <x:v>0</x:v>
      </x:c>
      <x:c r="Q479" s="62" t="b">
        <x:v>1</x:v>
      </x:c>
      <x:c r="R479" s="28" t="n">
        <x:v>0</x:v>
      </x:c>
      <x:c r="S479" s="28" t="str">
        <x:v>305821c493cb0bc8</x:v>
      </x:c>
    </x:row>
    <x:row r="480" ht="21" customHeight="1">
      <x:c r="A480" s="60" t="n">
        <x:v>0.61</x:v>
      </x:c>
      <x:c r="B480" s="28" t="str">
        <x:v>level_low</x:v>
      </x:c>
      <x:c r="C480" s="60" t="n">
        <x:v>0.5</x:v>
      </x:c>
      <x:c r="D480" s="60" t="n">
        <x:v>0.5</x:v>
      </x:c>
      <x:c r="E480" s="62" t="b">
        <x:v>1</x:v>
      </x:c>
      <x:c r="F480" s="62" t="b">
        <x:v>1</x:v>
      </x:c>
      <x:c r="G480" s="85" t="n">
        <x:v>0</x:v>
      </x:c>
      <x:c r="H480" s="85" t="n">
        <x:v>0</x:v>
      </x:c>
      <x:c r="I480" s="85" t="n">
        <x:v>37156894.549506</x:v>
      </x:c>
      <x:c r="J480" s="85" t="n">
        <x:v>59805781.898316056</x:v>
      </x:c>
      <x:c r="K480" s="85" t="n">
        <x:v>0</x:v>
      </x:c>
      <x:c r="L480" s="28" t="n">
        <x:v>3</x:v>
      </x:c>
      <x:c r="M480" s="28" t="n">
        <x:v>0</x:v>
      </x:c>
      <x:c r="N480" s="28" t="n">
        <x:v>9.313225746154785e-10</x:v>
      </x:c>
      <x:c r="O480" s="28" t="n">
        <x:v>1.4901161193847656e-8</x:v>
      </x:c>
      <x:c r="P480" s="28" t="n">
        <x:v>0</x:v>
      </x:c>
      <x:c r="Q480" s="62" t="b">
        <x:v>1</x:v>
      </x:c>
      <x:c r="R480" s="28" t="n">
        <x:v>0</x:v>
      </x:c>
      <x:c r="S480" s="28" t="str">
        <x:v>325c98ae16a4901e</x:v>
      </x:c>
    </x:row>
    <x:row r="481" ht="21" customHeight="1">
      <x:c r="A481" s="60" t="n">
        <x:v>0.61</x:v>
      </x:c>
      <x:c r="B481" s="28" t="str">
        <x:v>level_low</x:v>
      </x:c>
      <x:c r="C481" s="60" t="n">
        <x:v>0.55</x:v>
      </x:c>
      <x:c r="D481" s="60" t="n">
        <x:v>0.55</x:v>
      </x:c>
      <x:c r="E481" s="62" t="b">
        <x:v>1</x:v>
      </x:c>
      <x:c r="F481" s="62" t="b">
        <x:v>1</x:v>
      </x:c>
      <x:c r="G481" s="85" t="n">
        <x:v>0</x:v>
      </x:c>
      <x:c r="H481" s="85" t="n">
        <x:v>0</x:v>
      </x:c>
      <x:c r="I481" s="85" t="n">
        <x:v>42658976.05289262</x:v>
      </x:c>
      <x:c r="J481" s="85" t="n">
        <x:v>66876544.280521564</x:v>
      </x:c>
      <x:c r="K481" s="85" t="n">
        <x:v>0</x:v>
      </x:c>
      <x:c r="L481" s="28" t="n">
        <x:v>8</x:v>
      </x:c>
      <x:c r="M481" s="28" t="n">
        <x:v>0</x:v>
      </x:c>
      <x:c r="N481" s="28" t="n">
        <x:v>1.862645149230957e-9</x:v>
      </x:c>
      <x:c r="O481" s="28" t="n">
        <x:v>2.9802322387695312e-8</x:v>
      </x:c>
      <x:c r="P481" s="28" t="n">
        <x:v>0</x:v>
      </x:c>
      <x:c r="Q481" s="62" t="b">
        <x:v>1</x:v>
      </x:c>
      <x:c r="R481" s="28" t="n">
        <x:v>0</x:v>
      </x:c>
      <x:c r="S481" s="28" t="str">
        <x:v>c07598da4c2cea17</x:v>
      </x:c>
    </x:row>
    <x:row r="482" ht="21" customHeight="1">
      <x:c r="A482" s="60" t="n">
        <x:v>0.61</x:v>
      </x:c>
      <x:c r="B482" s="28" t="str">
        <x:v>level_low</x:v>
      </x:c>
      <x:c r="C482" s="60" t="n">
        <x:v>0.6</x:v>
      </x:c>
      <x:c r="D482" s="60" t="n">
        <x:v>0.6</x:v>
      </x:c>
      <x:c r="E482" s="62" t="b">
        <x:v>1</x:v>
      </x:c>
      <x:c r="F482" s="62" t="b">
        <x:v>1</x:v>
      </x:c>
      <x:c r="G482" s="85" t="n">
        <x:v>0</x:v>
      </x:c>
      <x:c r="H482" s="85" t="n">
        <x:v>0</x:v>
      </x:c>
      <x:c r="I482" s="85" t="n">
        <x:v>47468298.33882818</x:v>
      </x:c>
      <x:c r="J482" s="85" t="n">
        <x:v>74944258.37926115</x:v>
      </x:c>
      <x:c r="K482" s="85" t="n">
        <x:v>0</x:v>
      </x:c>
      <x:c r="L482" s="28" t="n">
        <x:v>12</x:v>
      </x:c>
      <x:c r="M482" s="28" t="n">
        <x:v>0</x:v>
      </x:c>
      <x:c r="N482" s="28" t="n">
        <x:v>1.862645149230957e-9</x:v>
      </x:c>
      <x:c r="O482" s="28" t="n">
        <x:v>2.9802322387695312e-8</x:v>
      </x:c>
      <x:c r="P482" s="28" t="n">
        <x:v>0</x:v>
      </x:c>
      <x:c r="Q482" s="62" t="b">
        <x:v>1</x:v>
      </x:c>
      <x:c r="R482" s="28" t="n">
        <x:v>0</x:v>
      </x:c>
      <x:c r="S482" s="28" t="str">
        <x:v>f2ea86aa15ae2752</x:v>
      </x:c>
    </x:row>
    <x:row r="483" ht="21" customHeight="1">
      <x:c r="A483" s="60" t="n">
        <x:v>0.61</x:v>
      </x:c>
      <x:c r="B483" s="28" t="str">
        <x:v>level_low</x:v>
      </x:c>
      <x:c r="C483" s="60" t="n">
        <x:v>0.65</x:v>
      </x:c>
      <x:c r="D483" s="60" t="n">
        <x:v>0.65</x:v>
      </x:c>
      <x:c r="E483" s="62" t="b">
        <x:v>1</x:v>
      </x:c>
      <x:c r="F483" s="62" t="b">
        <x:v>1</x:v>
      </x:c>
      <x:c r="G483" s="85" t="n">
        <x:v>0</x:v>
      </x:c>
      <x:c r="H483" s="85" t="n">
        <x:v>0</x:v>
      </x:c>
      <x:c r="I483" s="85" t="n">
        <x:v>51563102.52861685</x:v>
      </x:c>
      <x:c r="J483" s="85" t="n">
        <x:v>84017505.22559974</x:v>
      </x:c>
      <x:c r="K483" s="85" t="n">
        <x:v>0</x:v>
      </x:c>
      <x:c r="L483" s="28" t="n">
        <x:v>16</x:v>
      </x:c>
      <x:c r="M483" s="28" t="n">
        <x:v>2</x:v>
      </x:c>
      <x:c r="N483" s="28" t="n">
        <x:v>1.862645149230957e-9</x:v>
      </x:c>
      <x:c r="O483" s="28" t="n">
        <x:v>2.9802322387695312e-8</x:v>
      </x:c>
      <x:c r="P483" s="28" t="n">
        <x:v>0</x:v>
      </x:c>
      <x:c r="Q483" s="62" t="b">
        <x:v>1</x:v>
      </x:c>
      <x:c r="R483" s="28" t="n">
        <x:v>0</x:v>
      </x:c>
      <x:c r="S483" s="28" t="str">
        <x:v>c33fca6b50e370f9</x:v>
      </x:c>
    </x:row>
    <x:row r="484" ht="21" customHeight="1">
      <x:c r="A484" s="60" t="n">
        <x:v>0.61</x:v>
      </x:c>
      <x:c r="B484" s="28" t="str">
        <x:v>level_low</x:v>
      </x:c>
      <x:c r="C484" s="60" t="n">
        <x:v>0.7</x:v>
      </x:c>
      <x:c r="D484" s="60" t="n">
        <x:v>0.7</x:v>
      </x:c>
      <x:c r="E484" s="62" t="b">
        <x:v>1</x:v>
      </x:c>
      <x:c r="F484" s="62" t="b">
        <x:v>0</x:v>
      </x:c>
      <x:c r="G484" s="85" t="n">
        <x:v>441491.13441471715</x:v>
      </x:c>
      <x:c r="H484" s="85" t="n">
        <x:v>6643175.224967484</x:v>
      </x:c>
      <x:c r="I484" s="85" t="n">
        <x:v>53475779.01134576</x:v>
      </x:c>
      <x:c r="J484" s="85" t="n">
        <x:v>87000000.00000001</x:v>
      </x:c>
      <x:c r="K484" s="85" t="n">
        <x:v>0</x:v>
      </x:c>
      <x:c r="L484" s="28" t="n">
        <x:v>39</x:v>
      </x:c>
      <x:c r="M484" s="28" t="n">
        <x:v>30</x:v>
      </x:c>
      <x:c r="N484" s="28" t="n">
        <x:v>1.862645149230957e-9</x:v>
      </x:c>
      <x:c r="O484" s="28" t="n">
        <x:v>2.9802322387695312e-8</x:v>
      </x:c>
      <x:c r="P484" s="28" t="n">
        <x:v>0</x:v>
      </x:c>
      <x:c r="Q484" s="62" t="b">
        <x:v>1</x:v>
      </x:c>
      <x:c r="R484" s="28" t="n">
        <x:v>0</x:v>
      </x:c>
      <x:c r="S484" s="28" t="str">
        <x:v>2d5cb1c50528af0d</x:v>
      </x:c>
    </x:row>
    <x:row r="485" ht="21" customHeight="1">
      <x:c r="A485" s="60" t="n">
        <x:v>0.61</x:v>
      </x:c>
      <x:c r="B485" s="28" t="str">
        <x:v>level_low</x:v>
      </x:c>
      <x:c r="C485" s="60" t="n">
        <x:v>0.75</x:v>
      </x:c>
      <x:c r="D485" s="60" t="n">
        <x:v>0.75</x:v>
      </x:c>
      <x:c r="E485" s="62" t="b">
        <x:v>1</x:v>
      </x:c>
      <x:c r="F485" s="62" t="b">
        <x:v>0</x:v>
      </x:c>
      <x:c r="G485" s="85" t="n">
        <x:v>1102365.3025851487</x:v>
      </x:c>
      <x:c r="H485" s="85" t="n">
        <x:v>16615267.183583459</x:v>
      </x:c>
      <x:c r="I485" s="85" t="n">
        <x:v>54383589.39621097</x:v>
      </x:c>
      <x:c r="J485" s="85" t="n">
        <x:v>87000000.00000001</x:v>
      </x:c>
      <x:c r="K485" s="85" t="n">
        <x:v>0</x:v>
      </x:c>
      <x:c r="L485" s="28" t="n">
        <x:v>40</x:v>
      </x:c>
      <x:c r="M485" s="28" t="n">
        <x:v>31</x:v>
      </x:c>
      <x:c r="N485" s="28" t="n">
        <x:v>1.862645149230957e-9</x:v>
      </x:c>
      <x:c r="O485" s="28" t="n">
        <x:v>2.9802322387695312e-8</x:v>
      </x:c>
      <x:c r="P485" s="28" t="n">
        <x:v>0</x:v>
      </x:c>
      <x:c r="Q485" s="62" t="b">
        <x:v>1</x:v>
      </x:c>
      <x:c r="R485" s="28" t="n">
        <x:v>0</x:v>
      </x:c>
      <x:c r="S485" s="28" t="str">
        <x:v>af0d4c303b4c2512</x:v>
      </x:c>
    </x:row>
    <x:row r="486" ht="21" customHeight="1">
      <x:c r="A486" s="60" t="n">
        <x:v>0.61</x:v>
      </x:c>
      <x:c r="B486" s="28" t="str">
        <x:v>level_low</x:v>
      </x:c>
      <x:c r="C486" s="60" t="n">
        <x:v>0.8</x:v>
      </x:c>
      <x:c r="D486" s="60" t="n">
        <x:v>0.8</x:v>
      </x:c>
      <x:c r="E486" s="62" t="b">
        <x:v>1</x:v>
      </x:c>
      <x:c r="F486" s="62" t="b">
        <x:v>0</x:v>
      </x:c>
      <x:c r="G486" s="85" t="n">
        <x:v>1991984.457479933</x:v>
      </x:c>
      <x:c r="H486" s="85" t="n">
        <x:v>26212503.185786273</x:v>
      </x:c>
      <x:c r="I486" s="85" t="n">
        <x:v>55376607.6069589</x:v>
      </x:c>
      <x:c r="J486" s="85" t="n">
        <x:v>87000000.00000001</x:v>
      </x:c>
      <x:c r="K486" s="85" t="n">
        <x:v>0</x:v>
      </x:c>
      <x:c r="L486" s="28" t="n">
        <x:v>41</x:v>
      </x:c>
      <x:c r="M486" s="28" t="n">
        <x:v>32</x:v>
      </x:c>
      <x:c r="N486" s="28" t="n">
        <x:v>1.862645149230957e-9</x:v>
      </x:c>
      <x:c r="O486" s="28" t="n">
        <x:v>2.9802322387695312e-8</x:v>
      </x:c>
      <x:c r="P486" s="28" t="n">
        <x:v>0</x:v>
      </x:c>
      <x:c r="Q486" s="62" t="b">
        <x:v>1</x:v>
      </x:c>
      <x:c r="R486" s="28" t="n">
        <x:v>0</x:v>
      </x:c>
      <x:c r="S486" s="28" t="str">
        <x:v>a3047853ebf6b5bb</x:v>
      </x:c>
    </x:row>
    <x:row r="487" ht="21" customHeight="1">
      <x:c r="A487" s="60" t="n">
        <x:v>0.61</x:v>
      </x:c>
      <x:c r="B487" s="28" t="str">
        <x:v>level_low</x:v>
      </x:c>
      <x:c r="C487" s="60" t="n">
        <x:v>0.85</x:v>
      </x:c>
      <x:c r="D487" s="60" t="n">
        <x:v>0.85</x:v>
      </x:c>
      <x:c r="E487" s="62" t="b">
        <x:v>1</x:v>
      </x:c>
      <x:c r="F487" s="62" t="b">
        <x:v>0</x:v>
      </x:c>
      <x:c r="G487" s="85" t="n">
        <x:v>2914770.408073142</x:v>
      </x:c>
      <x:c r="H487" s="85" t="n">
        <x:v>35796700.93930393</x:v>
      </x:c>
      <x:c r="I487" s="85" t="n">
        <x:v>56276286.509004384</x:v>
      </x:c>
      <x:c r="J487" s="85" t="n">
        <x:v>87000000.00000001</x:v>
      </x:c>
      <x:c r="K487" s="85" t="n">
        <x:v>0</x:v>
      </x:c>
      <x:c r="L487" s="28" t="n">
        <x:v>42</x:v>
      </x:c>
      <x:c r="M487" s="28" t="n">
        <x:v>33</x:v>
      </x:c>
      <x:c r="N487" s="28" t="n">
        <x:v>9.313225746154785e-10</x:v>
      </x:c>
      <x:c r="O487" s="28" t="n">
        <x:v>2.9802322387695312e-8</x:v>
      </x:c>
      <x:c r="P487" s="28" t="n">
        <x:v>0</x:v>
      </x:c>
      <x:c r="Q487" s="62" t="b">
        <x:v>1</x:v>
      </x:c>
      <x:c r="R487" s="28" t="n">
        <x:v>0</x:v>
      </x:c>
      <x:c r="S487" s="28" t="str">
        <x:v>eba3160614f67c4d</x:v>
      </x:c>
    </x:row>
    <x:row r="488" ht="21" customHeight="1">
      <x:c r="A488" s="60" t="n">
        <x:v>0.61</x:v>
      </x:c>
      <x:c r="B488" s="28" t="str">
        <x:v>level_low</x:v>
      </x:c>
      <x:c r="C488" s="60" t="n">
        <x:v>0.9</x:v>
      </x:c>
      <x:c r="D488" s="60" t="n">
        <x:v>0.9</x:v>
      </x:c>
      <x:c r="E488" s="62" t="b">
        <x:v>1</x:v>
      </x:c>
      <x:c r="F488" s="62" t="b">
        <x:v>0</x:v>
      </x:c>
      <x:c r="G488" s="85" t="n">
        <x:v>4743259.267197916</x:v>
      </x:c>
      <x:c r="H488" s="85" t="n">
        <x:v>45641896.509228565</x:v>
      </x:c>
      <x:c r="I488" s="85" t="n">
        <x:v>56399363.09631891</x:v>
      </x:c>
      <x:c r="J488" s="85" t="n">
        <x:v>87000000.00000001</x:v>
      </x:c>
      <x:c r="K488" s="85" t="n">
        <x:v>0</x:v>
      </x:c>
      <x:c r="L488" s="28" t="n">
        <x:v>42</x:v>
      </x:c>
      <x:c r="M488" s="28" t="n">
        <x:v>34</x:v>
      </x:c>
      <x:c r="N488" s="28" t="n">
        <x:v>1.862645149230957e-9</x:v>
      </x:c>
      <x:c r="O488" s="28" t="n">
        <x:v>7.450580596923828e-9</x:v>
      </x:c>
      <x:c r="P488" s="28" t="n">
        <x:v>0</x:v>
      </x:c>
      <x:c r="Q488" s="62" t="b">
        <x:v>1</x:v>
      </x:c>
      <x:c r="R488" s="28" t="n">
        <x:v>0</x:v>
      </x:c>
      <x:c r="S488" s="28" t="str">
        <x:v>1f6df8ddb6730f1c</x:v>
      </x:c>
    </x:row>
    <x:row r="489" ht="21" customHeight="1">
      <x:c r="A489" s="60" t="n">
        <x:v>0.61</x:v>
      </x:c>
      <x:c r="B489" s="28" t="str">
        <x:v>level_low</x:v>
      </x:c>
      <x:c r="C489" s="60" t="n">
        <x:v>0.95</x:v>
      </x:c>
      <x:c r="D489" s="60" t="n">
        <x:v>0.9219114501462435</x:v>
      </x:c>
      <x:c r="E489" s="62" t="b">
        <x:v>0</x:v>
      </x:c>
      <x:c r="F489" s="62" t="b">
        <x:v>0</x:v>
      </x:c>
      <x:c r="G489" s="85" t="n">
        <x:v>5550897.362823152</x:v>
      </x:c>
      <x:c r="H489" s="85" t="n">
        <x:v>48669858.45036996</x:v>
      </x:c>
      <x:c r="I489" s="85" t="n">
        <x:v>57342045.205561645</x:v>
      </x:c>
      <x:c r="J489" s="85" t="n">
        <x:v>87000000.00000001</x:v>
      </x:c>
      <x:c r="K489" s="85" t="n">
        <x:v>0</x:v>
      </x:c>
      <x:c r="L489" s="28" t="n">
        <x:v>43</x:v>
      </x:c>
      <x:c r="M489" s="28" t="n">
        <x:v>34</x:v>
      </x:c>
      <x:c r="N489" s="28" t="n">
        <x:v>1.862645149230957e-9</x:v>
      </x:c>
      <x:c r="O489" s="28" t="n">
        <x:v>1.4901161193847656e-8</x:v>
      </x:c>
      <x:c r="P489" s="28" t="n">
        <x:v>0</x:v>
      </x:c>
      <x:c r="Q489" s="62" t="b">
        <x:v>1</x:v>
      </x:c>
      <x:c r="R489" s="28" t="n">
        <x:v>8426564.956126928</x:v>
      </x:c>
      <x:c r="S489" s="28" t="str">
        <x:v>ac68128e989474eb</x:v>
      </x:c>
    </x:row>
    <x:row r="490" ht="21" customHeight="1">
      <x:c r="A490" s="60" t="n">
        <x:v>0.61</x:v>
      </x:c>
      <x:c r="B490" s="28" t="str">
        <x:v>level_low</x:v>
      </x:c>
      <x:c r="C490" s="60" t="n">
        <x:v>1</x:v>
      </x:c>
      <x:c r="D490" s="60" t="n">
        <x:v>0.9350574964161632</x:v>
      </x:c>
      <x:c r="E490" s="62" t="b">
        <x:v>0</x:v>
      </x:c>
      <x:c r="F490" s="62" t="b">
        <x:v>0</x:v>
      </x:c>
      <x:c r="G490" s="85" t="n">
        <x:v>6131763.628599111</x:v>
      </x:c>
      <x:c r="H490" s="85" t="n">
        <x:v>51596323.49951992</x:v>
      </x:c>
      <x:c r="I490" s="85" t="n">
        <x:v>57430794.9230137</x:v>
      </x:c>
      <x:c r="J490" s="85" t="n">
        <x:v>87000000.00000001</x:v>
      </x:c>
      <x:c r="K490" s="85" t="n">
        <x:v>0</x:v>
      </x:c>
      <x:c r="L490" s="28" t="n">
        <x:v>43</x:v>
      </x:c>
      <x:c r="M490" s="28" t="n">
        <x:v>36</x:v>
      </x:c>
      <x:c r="N490" s="28" t="n">
        <x:v>0</x:v>
      </x:c>
      <x:c r="O490" s="28" t="n">
        <x:v>7.450580596923828e-9</x:v>
      </x:c>
      <x:c r="P490" s="28" t="n">
        <x:v>0</x:v>
      </x:c>
      <x:c r="Q490" s="62" t="b">
        <x:v>1</x:v>
      </x:c>
      <x:c r="R490" s="28" t="n">
        <x:v>19482751.075151026</x:v>
      </x:c>
      <x:c r="S490" s="28" t="str">
        <x:v>42080ac4642f5772</x:v>
      </x:c>
    </x:row>
    <x:row r="491" ht="21" customHeight="1">
      <x:c r="A491" s="60" t="n">
        <x:v>0.61</x:v>
      </x:c>
      <x:c r="B491" s="28" t="str">
        <x:v>level_high</x:v>
      </x:c>
      <x:c r="C491" s="60" t="n">
        <x:v>0</x:v>
      </x:c>
      <x:c r="D491" s="60" t="n">
        <x:v>0</x:v>
      </x:c>
      <x:c r="E491" s="62" t="b">
        <x:v>1</x:v>
      </x:c>
      <x:c r="F491" s="62" t="b">
        <x:v>1</x:v>
      </x:c>
      <x:c r="G491" s="85" t="n">
        <x:v>0</x:v>
      </x:c>
      <x:c r="H491" s="85" t="n">
        <x:v>0</x:v>
      </x:c>
      <x:c r="I491" s="85" t="n">
        <x:v>0</x:v>
      </x:c>
      <x:c r="J491" s="85" t="n">
        <x:v>0</x:v>
      </x:c>
      <x:c r="K491" s="85" t="n">
        <x:v>35392694.84726021</x:v>
      </x:c>
      <x:c r="L491" s="28" t="n">
        <x:v>0</x:v>
      </x:c>
      <x:c r="M491" s="28" t="n">
        <x:v>0</x:v>
      </x:c>
      <x:c r="N491" s="28" t="n">
        <x:v>1.862645149230957e-9</x:v>
      </x:c>
      <x:c r="O491" s="28" t="n">
        <x:v>0</x:v>
      </x:c>
      <x:c r="P491" s="28" t="n">
        <x:v>0</x:v>
      </x:c>
      <x:c r="Q491" s="62" t="b">
        <x:v>1</x:v>
      </x:c>
      <x:c r="R491" s="28" t="n">
        <x:v>0</x:v>
      </x:c>
      <x:c r="S491" s="28" t="str">
        <x:v>a824b50cdfaa5011</x:v>
      </x:c>
    </x:row>
    <x:row r="492" ht="21" customHeight="1">
      <x:c r="A492" s="60" t="n">
        <x:v>0.61</x:v>
      </x:c>
      <x:c r="B492" s="28" t="str">
        <x:v>level_high</x:v>
      </x:c>
      <x:c r="C492" s="60" t="n">
        <x:v>0.05</x:v>
      </x:c>
      <x:c r="D492" s="60" t="n">
        <x:v>0.05</x:v>
      </x:c>
      <x:c r="E492" s="62" t="b">
        <x:v>1</x:v>
      </x:c>
      <x:c r="F492" s="62" t="b">
        <x:v>1</x:v>
      </x:c>
      <x:c r="G492" s="85" t="n">
        <x:v>0</x:v>
      </x:c>
      <x:c r="H492" s="85" t="n">
        <x:v>0</x:v>
      </x:c>
      <x:c r="I492" s="85" t="n">
        <x:v>0</x:v>
      </x:c>
      <x:c r="J492" s="85" t="n">
        <x:v>0</x:v>
      </x:c>
      <x:c r="K492" s="85" t="n">
        <x:v>22030506.217563044</x:v>
      </x:c>
      <x:c r="L492" s="28" t="n">
        <x:v>0</x:v>
      </x:c>
      <x:c r="M492" s="28" t="n">
        <x:v>0</x:v>
      </x:c>
      <x:c r="N492" s="28" t="n">
        <x:v>1.862645149230957e-9</x:v>
      </x:c>
      <x:c r="O492" s="28" t="n">
        <x:v>2.9802322387695312e-8</x:v>
      </x:c>
      <x:c r="P492" s="28" t="n">
        <x:v>0</x:v>
      </x:c>
      <x:c r="Q492" s="62" t="b">
        <x:v>1</x:v>
      </x:c>
      <x:c r="R492" s="28" t="n">
        <x:v>0</x:v>
      </x:c>
      <x:c r="S492" s="28" t="str">
        <x:v>0872b493520503ac</x:v>
      </x:c>
    </x:row>
    <x:row r="493" ht="21" customHeight="1">
      <x:c r="A493" s="60" t="n">
        <x:v>0.61</x:v>
      </x:c>
      <x:c r="B493" s="28" t="str">
        <x:v>level_high</x:v>
      </x:c>
      <x:c r="C493" s="60" t="n">
        <x:v>0.1</x:v>
      </x:c>
      <x:c r="D493" s="60" t="n">
        <x:v>0.1</x:v>
      </x:c>
      <x:c r="E493" s="62" t="b">
        <x:v>1</x:v>
      </x:c>
      <x:c r="F493" s="62" t="b">
        <x:v>1</x:v>
      </x:c>
      <x:c r="G493" s="85" t="n">
        <x:v>0</x:v>
      </x:c>
      <x:c r="H493" s="85" t="n">
        <x:v>0</x:v>
      </x:c>
      <x:c r="I493" s="85" t="n">
        <x:v>0</x:v>
      </x:c>
      <x:c r="J493" s="85" t="n">
        <x:v>0</x:v>
      </x:c>
      <x:c r="K493" s="85" t="n">
        <x:v>8519341.96205453</x:v>
      </x:c>
      <x:c r="L493" s="28" t="n">
        <x:v>0</x:v>
      </x:c>
      <x:c r="M493" s="28" t="n">
        <x:v>0</x:v>
      </x:c>
      <x:c r="N493" s="28" t="n">
        <x:v>3.725290298461914e-9</x:v>
      </x:c>
      <x:c r="O493" s="28" t="n">
        <x:v>5.960464477539063e-8</x:v>
      </x:c>
      <x:c r="P493" s="28" t="n">
        <x:v>0</x:v>
      </x:c>
      <x:c r="Q493" s="62" t="b">
        <x:v>1</x:v>
      </x:c>
      <x:c r="R493" s="28" t="n">
        <x:v>0</x:v>
      </x:c>
      <x:c r="S493" s="28" t="str">
        <x:v>3bda1cd8d44e1597</x:v>
      </x:c>
    </x:row>
    <x:row r="494" ht="21" customHeight="1">
      <x:c r="A494" s="60" t="n">
        <x:v>0.61</x:v>
      </x:c>
      <x:c r="B494" s="28" t="str">
        <x:v>level_high</x:v>
      </x:c>
      <x:c r="C494" s="60" t="n">
        <x:v>0.15</x:v>
      </x:c>
      <x:c r="D494" s="60" t="n">
        <x:v>0.15</x:v>
      </x:c>
      <x:c r="E494" s="62" t="b">
        <x:v>1</x:v>
      </x:c>
      <x:c r="F494" s="62" t="b">
        <x:v>1</x:v>
      </x:c>
      <x:c r="G494" s="85" t="n">
        <x:v>0</x:v>
      </x:c>
      <x:c r="H494" s="85" t="n">
        <x:v>0</x:v>
      </x:c>
      <x:c r="I494" s="85" t="n">
        <x:v>5093302.543318014</x:v>
      </x:c>
      <x:c r="J494" s="85" t="n">
        <x:v>0</x:v>
      </x:c>
      <x:c r="K494" s="85" t="n">
        <x:v>1064545.3121331332</x:v>
      </x:c>
      <x:c r="L494" s="28" t="n">
        <x:v>0</x:v>
      </x:c>
      <x:c r="M494" s="28" t="n">
        <x:v>0</x:v>
      </x:c>
      <x:c r="N494" s="28" t="n">
        <x:v>3.725290298461914e-9</x:v>
      </x:c>
      <x:c r="O494" s="28" t="n">
        <x:v>2.9802322387695312e-8</x:v>
      </x:c>
      <x:c r="P494" s="28" t="n">
        <x:v>0</x:v>
      </x:c>
      <x:c r="Q494" s="62" t="b">
        <x:v>1</x:v>
      </x:c>
      <x:c r="R494" s="28" t="n">
        <x:v>0</x:v>
      </x:c>
      <x:c r="S494" s="28" t="str">
        <x:v>9b5008ec7651c13a</x:v>
      </x:c>
    </x:row>
    <x:row r="495" ht="21" customHeight="1">
      <x:c r="A495" s="60" t="n">
        <x:v>0.61</x:v>
      </x:c>
      <x:c r="B495" s="28" t="str">
        <x:v>level_high</x:v>
      </x:c>
      <x:c r="C495" s="60" t="n">
        <x:v>0.2</x:v>
      </x:c>
      <x:c r="D495" s="60" t="n">
        <x:v>0.2</x:v>
      </x:c>
      <x:c r="E495" s="62" t="b">
        <x:v>1</x:v>
      </x:c>
      <x:c r="F495" s="62" t="b">
        <x:v>1</x:v>
      </x:c>
      <x:c r="G495" s="85" t="n">
        <x:v>0</x:v>
      </x:c>
      <x:c r="H495" s="85" t="n">
        <x:v>0</x:v>
      </x:c>
      <x:c r="I495" s="85" t="n">
        <x:v>15598186.289690355</x:v>
      </x:c>
      <x:c r="J495" s="85" t="n">
        <x:v>6323003.2725342475</x:v>
      </x:c>
      <x:c r="K495" s="85" t="n">
        <x:v>695025.2262191746</x:v>
      </x:c>
      <x:c r="L495" s="28" t="n">
        <x:v>0</x:v>
      </x:c>
      <x:c r="M495" s="28" t="n">
        <x:v>0</x:v>
      </x:c>
      <x:c r="N495" s="28" t="n">
        <x:v>1.862645149230957e-9</x:v>
      </x:c>
      <x:c r="O495" s="28" t="n">
        <x:v>2.9802322387695312e-8</x:v>
      </x:c>
      <x:c r="P495" s="28" t="n">
        <x:v>0</x:v>
      </x:c>
      <x:c r="Q495" s="62" t="b">
        <x:v>1</x:v>
      </x:c>
      <x:c r="R495" s="28" t="n">
        <x:v>0</x:v>
      </x:c>
      <x:c r="S495" s="28" t="str">
        <x:v>f9add68a0bfb42a7</x:v>
      </x:c>
    </x:row>
    <x:row r="496" ht="21" customHeight="1">
      <x:c r="A496" s="60" t="n">
        <x:v>0.61</x:v>
      </x:c>
      <x:c r="B496" s="28" t="str">
        <x:v>level_high</x:v>
      </x:c>
      <x:c r="C496" s="60" t="n">
        <x:v>0.25</x:v>
      </x:c>
      <x:c r="D496" s="60" t="n">
        <x:v>0.25</x:v>
      </x:c>
      <x:c r="E496" s="62" t="b">
        <x:v>1</x:v>
      </x:c>
      <x:c r="F496" s="62" t="b">
        <x:v>1</x:v>
      </x:c>
      <x:c r="G496" s="85" t="n">
        <x:v>0</x:v>
      </x:c>
      <x:c r="H496" s="85" t="n">
        <x:v>0</x:v>
      </x:c>
      <x:c r="I496" s="85" t="n">
        <x:v>24682514.210886903</x:v>
      </x:c>
      <x:c r="J496" s="85" t="n">
        <x:v>15403754.090667764</x:v>
      </x:c>
      <x:c r="K496" s="85" t="n">
        <x:v>534872.657773972</x:v>
      </x:c>
      <x:c r="L496" s="28" t="n">
        <x:v>0</x:v>
      </x:c>
      <x:c r="M496" s="28" t="n">
        <x:v>0</x:v>
      </x:c>
      <x:c r="N496" s="28" t="n">
        <x:v>3.725290298461914e-9</x:v>
      </x:c>
      <x:c r="O496" s="28" t="n">
        <x:v>2.9802322387695312e-8</x:v>
      </x:c>
      <x:c r="P496" s="28" t="n">
        <x:v>0</x:v>
      </x:c>
      <x:c r="Q496" s="62" t="b">
        <x:v>1</x:v>
      </x:c>
      <x:c r="R496" s="28" t="n">
        <x:v>0</x:v>
      </x:c>
      <x:c r="S496" s="28" t="str">
        <x:v>6b13e90b8d0cd655</x:v>
      </x:c>
    </x:row>
    <x:row r="497" ht="21" customHeight="1">
      <x:c r="A497" s="60" t="n">
        <x:v>0.61</x:v>
      </x:c>
      <x:c r="B497" s="28" t="str">
        <x:v>level_high</x:v>
      </x:c>
      <x:c r="C497" s="60" t="n">
        <x:v>0.3</x:v>
      </x:c>
      <x:c r="D497" s="60" t="n">
        <x:v>0.3</x:v>
      </x:c>
      <x:c r="E497" s="62" t="b">
        <x:v>1</x:v>
      </x:c>
      <x:c r="F497" s="62" t="b">
        <x:v>1</x:v>
      </x:c>
      <x:c r="G497" s="85" t="n">
        <x:v>0</x:v>
      </x:c>
      <x:c r="H497" s="85" t="n">
        <x:v>0</x:v>
      </x:c>
      <x:c r="I497" s="85" t="n">
        <x:v>33941766.37665268</x:v>
      </x:c>
      <x:c r="J497" s="85" t="n">
        <x:v>24484504.908801205</x:v>
      </x:c>
      <x:c r="K497" s="85" t="n">
        <x:v>374720.08932875446</x:v>
      </x:c>
      <x:c r="L497" s="28" t="n">
        <x:v>0</x:v>
      </x:c>
      <x:c r="M497" s="28" t="n">
        <x:v>0</x:v>
      </x:c>
      <x:c r="N497" s="28" t="n">
        <x:v>1.862645149230957e-9</x:v>
      </x:c>
      <x:c r="O497" s="28" t="n">
        <x:v>7.450580596923828e-9</x:v>
      </x:c>
      <x:c r="P497" s="28" t="n">
        <x:v>0</x:v>
      </x:c>
      <x:c r="Q497" s="62" t="b">
        <x:v>1</x:v>
      </x:c>
      <x:c r="R497" s="28" t="n">
        <x:v>0</x:v>
      </x:c>
      <x:c r="S497" s="28" t="str">
        <x:v>76966b1922354308</x:v>
      </x:c>
    </x:row>
    <x:row r="498" ht="21" customHeight="1">
      <x:c r="A498" s="60" t="n">
        <x:v>0.61</x:v>
      </x:c>
      <x:c r="B498" s="28" t="str">
        <x:v>level_high</x:v>
      </x:c>
      <x:c r="C498" s="60" t="n">
        <x:v>0.35</x:v>
      </x:c>
      <x:c r="D498" s="60" t="n">
        <x:v>0.35</x:v>
      </x:c>
      <x:c r="E498" s="62" t="b">
        <x:v>1</x:v>
      </x:c>
      <x:c r="F498" s="62" t="b">
        <x:v>1</x:v>
      </x:c>
      <x:c r="G498" s="85" t="n">
        <x:v>0</x:v>
      </x:c>
      <x:c r="H498" s="85" t="n">
        <x:v>0</x:v>
      </x:c>
      <x:c r="I498" s="85" t="n">
        <x:v>43243114.17470211</x:v>
      </x:c>
      <x:c r="J498" s="85" t="n">
        <x:v>33565255.72693476</x:v>
      </x:c>
      <x:c r="K498" s="85" t="n">
        <x:v>323812.43378765916</x:v>
      </x:c>
      <x:c r="L498" s="28" t="n">
        <x:v>0</x:v>
      </x:c>
      <x:c r="M498" s="28" t="n">
        <x:v>0</x:v>
      </x:c>
      <x:c r="N498" s="28" t="n">
        <x:v>1.862645149230957e-9</x:v>
      </x:c>
      <x:c r="O498" s="28" t="n">
        <x:v>2.9802322387695312e-8</x:v>
      </x:c>
      <x:c r="P498" s="28" t="n">
        <x:v>0</x:v>
      </x:c>
      <x:c r="Q498" s="62" t="b">
        <x:v>1</x:v>
      </x:c>
      <x:c r="R498" s="28" t="n">
        <x:v>0</x:v>
      </x:c>
      <x:c r="S498" s="28" t="str">
        <x:v>71c0798ae5ef03a1</x:v>
      </x:c>
    </x:row>
    <x:row r="499" ht="21" customHeight="1">
      <x:c r="A499" s="60" t="n">
        <x:v>0.61</x:v>
      </x:c>
      <x:c r="B499" s="28" t="str">
        <x:v>level_high</x:v>
      </x:c>
      <x:c r="C499" s="60" t="n">
        <x:v>0.4</x:v>
      </x:c>
      <x:c r="D499" s="60" t="n">
        <x:v>0.4</x:v>
      </x:c>
      <x:c r="E499" s="62" t="b">
        <x:v>1</x:v>
      </x:c>
      <x:c r="F499" s="62" t="b">
        <x:v>1</x:v>
      </x:c>
      <x:c r="G499" s="85" t="n">
        <x:v>0</x:v>
      </x:c>
      <x:c r="H499" s="85" t="n">
        <x:v>0</x:v>
      </x:c>
      <x:c r="I499" s="85" t="n">
        <x:v>52554618.96042892</x:v>
      </x:c>
      <x:c r="J499" s="85" t="n">
        <x:v>42646006.54506833</x:v>
      </x:c>
      <x:c r="K499" s="85" t="n">
        <x:v>275452.94761643675</x:v>
      </x:c>
      <x:c r="L499" s="28" t="n">
        <x:v>0</x:v>
      </x:c>
      <x:c r="M499" s="28" t="n">
        <x:v>0</x:v>
      </x:c>
      <x:c r="N499" s="28" t="n">
        <x:v>1.862645149230957e-9</x:v>
      </x:c>
      <x:c r="O499" s="28" t="n">
        <x:v>2.9802322387695312e-8</x:v>
      </x:c>
      <x:c r="P499" s="28" t="n">
        <x:v>0</x:v>
      </x:c>
      <x:c r="Q499" s="62" t="b">
        <x:v>1</x:v>
      </x:c>
      <x:c r="R499" s="28" t="n">
        <x:v>0</x:v>
      </x:c>
      <x:c r="S499" s="28" t="str">
        <x:v>bb7f493e6a9d3f2d</x:v>
      </x:c>
    </x:row>
    <x:row r="500" ht="21" customHeight="1">
      <x:c r="A500" s="60" t="n">
        <x:v>0.61</x:v>
      </x:c>
      <x:c r="B500" s="28" t="str">
        <x:v>level_high</x:v>
      </x:c>
      <x:c r="C500" s="60" t="n">
        <x:v>0.45</x:v>
      </x:c>
      <x:c r="D500" s="60" t="n">
        <x:v>0.45</x:v>
      </x:c>
      <x:c r="E500" s="62" t="b">
        <x:v>1</x:v>
      </x:c>
      <x:c r="F500" s="62" t="b">
        <x:v>1</x:v>
      </x:c>
      <x:c r="G500" s="85" t="n">
        <x:v>0</x:v>
      </x:c>
      <x:c r="H500" s="85" t="n">
        <x:v>0</x:v>
      </x:c>
      <x:c r="I500" s="85" t="n">
        <x:v>61914831.39722569</x:v>
      </x:c>
      <x:c r="J500" s="85" t="n">
        <x:v>51726757.363201916</x:v>
      </x:c>
      <x:c r="K500" s="85" t="n">
        <x:v>227093.4614451938</x:v>
      </x:c>
      <x:c r="L500" s="28" t="n">
        <x:v>0</x:v>
      </x:c>
      <x:c r="M500" s="28" t="n">
        <x:v>0</x:v>
      </x:c>
      <x:c r="N500" s="28" t="n">
        <x:v>1.862645149230957e-9</x:v>
      </x:c>
      <x:c r="O500" s="28" t="n">
        <x:v>2.9802322387695312e-8</x:v>
      </x:c>
      <x:c r="P500" s="28" t="n">
        <x:v>0</x:v>
      </x:c>
      <x:c r="Q500" s="62" t="b">
        <x:v>1</x:v>
      </x:c>
      <x:c r="R500" s="28" t="n">
        <x:v>0</x:v>
      </x:c>
      <x:c r="S500" s="28" t="str">
        <x:v>0bdbc47c61633d62</x:v>
      </x:c>
    </x:row>
    <x:row r="501" ht="21" customHeight="1">
      <x:c r="A501" s="60" t="n">
        <x:v>0.61</x:v>
      </x:c>
      <x:c r="B501" s="28" t="str">
        <x:v>level_high</x:v>
      </x:c>
      <x:c r="C501" s="60" t="n">
        <x:v>0.5</x:v>
      </x:c>
      <x:c r="D501" s="60" t="n">
        <x:v>0.5</x:v>
      </x:c>
      <x:c r="E501" s="62" t="b">
        <x:v>1</x:v>
      </x:c>
      <x:c r="F501" s="62" t="b">
        <x:v>1</x:v>
      </x:c>
      <x:c r="G501" s="85" t="n">
        <x:v>0</x:v>
      </x:c>
      <x:c r="H501" s="85" t="n">
        <x:v>0</x:v>
      </x:c>
      <x:c r="I501" s="85" t="n">
        <x:v>71600126.02201834</x:v>
      </x:c>
      <x:c r="J501" s="85" t="n">
        <x:v>59385373.86632542</x:v>
      </x:c>
      <x:c r="K501" s="85" t="n">
        <x:v>178733.97527397505</x:v>
      </x:c>
      <x:c r="L501" s="28" t="n">
        <x:v>3</x:v>
      </x:c>
      <x:c r="M501" s="28" t="n">
        <x:v>0</x:v>
      </x:c>
      <x:c r="N501" s="28" t="n">
        <x:v>3.725290298461914e-9</x:v>
      </x:c>
      <x:c r="O501" s="28" t="n">
        <x:v>1.4901161193847656e-8</x:v>
      </x:c>
      <x:c r="P501" s="28" t="n">
        <x:v>0</x:v>
      </x:c>
      <x:c r="Q501" s="62" t="b">
        <x:v>1</x:v>
      </x:c>
      <x:c r="R501" s="28" t="n">
        <x:v>0</x:v>
      </x:c>
      <x:c r="S501" s="28" t="str">
        <x:v>d3c244b0f7af6862</x:v>
      </x:c>
    </x:row>
    <x:row r="502" ht="21" customHeight="1">
      <x:c r="A502" s="60" t="n">
        <x:v>0.61</x:v>
      </x:c>
      <x:c r="B502" s="28" t="str">
        <x:v>level_high</x:v>
      </x:c>
      <x:c r="C502" s="60" t="n">
        <x:v>0.55</x:v>
      </x:c>
      <x:c r="D502" s="60" t="n">
        <x:v>0.55</x:v>
      </x:c>
      <x:c r="E502" s="62" t="b">
        <x:v>1</x:v>
      </x:c>
      <x:c r="F502" s="62" t="b">
        <x:v>1</x:v>
      </x:c>
      <x:c r="G502" s="85" t="n">
        <x:v>0</x:v>
      </x:c>
      <x:c r="H502" s="85" t="n">
        <x:v>0</x:v>
      </x:c>
      <x:c r="I502" s="85" t="n">
        <x:v>81404837.15489808</x:v>
      </x:c>
      <x:c r="J502" s="85" t="n">
        <x:v>65520052.621652454</x:v>
      </x:c>
      <x:c r="K502" s="85" t="n">
        <x:v>130374.48910273865</x:v>
      </x:c>
      <x:c r="L502" s="28" t="n">
        <x:v>8</x:v>
      </x:c>
      <x:c r="M502" s="28" t="n">
        <x:v>1</x:v>
      </x:c>
      <x:c r="N502" s="28" t="n">
        <x:v>1.862645149230957e-9</x:v>
      </x:c>
      <x:c r="O502" s="28" t="n">
        <x:v>2.9802322387695312e-8</x:v>
      </x:c>
      <x:c r="P502" s="28" t="n">
        <x:v>0</x:v>
      </x:c>
      <x:c r="Q502" s="62" t="b">
        <x:v>1</x:v>
      </x:c>
      <x:c r="R502" s="28" t="n">
        <x:v>0</x:v>
      </x:c>
      <x:c r="S502" s="28" t="str">
        <x:v>ad7b2493ba81f98d</x:v>
      </x:c>
    </x:row>
    <x:row r="503" ht="21" customHeight="1">
      <x:c r="A503" s="60" t="n">
        <x:v>0.61</x:v>
      </x:c>
      <x:c r="B503" s="28" t="str">
        <x:v>level_high</x:v>
      </x:c>
      <x:c r="C503" s="60" t="n">
        <x:v>0.6</x:v>
      </x:c>
      <x:c r="D503" s="60" t="n">
        <x:v>0.6</x:v>
      </x:c>
      <x:c r="E503" s="62" t="b">
        <x:v>1</x:v>
      </x:c>
      <x:c r="F503" s="62" t="b">
        <x:v>1</x:v>
      </x:c>
      <x:c r="G503" s="85" t="n">
        <x:v>0</x:v>
      </x:c>
      <x:c r="H503" s="85" t="n">
        <x:v>0</x:v>
      </x:c>
      <x:c r="I503" s="85" t="n">
        <x:v>90715929.55036744</x:v>
      </x:c>
      <x:c r="J503" s="85" t="n">
        <x:v>73598701.17164983</x:v>
      </x:c>
      <x:c r="K503" s="85" t="n">
        <x:v>82015.00293150503</x:v>
      </x:c>
      <x:c r="L503" s="28" t="n">
        <x:v>12</x:v>
      </x:c>
      <x:c r="M503" s="28" t="n">
        <x:v>5</x:v>
      </x:c>
      <x:c r="N503" s="28" t="n">
        <x:v>1.862645149230957e-9</x:v>
      </x:c>
      <x:c r="O503" s="28" t="n">
        <x:v>2.9802322387695312e-8</x:v>
      </x:c>
      <x:c r="P503" s="28" t="n">
        <x:v>0</x:v>
      </x:c>
      <x:c r="Q503" s="62" t="b">
        <x:v>1</x:v>
      </x:c>
      <x:c r="R503" s="28" t="n">
        <x:v>0</x:v>
      </x:c>
      <x:c r="S503" s="28" t="str">
        <x:v>6e0c1f3fe629818f</x:v>
      </x:c>
    </x:row>
    <x:row r="504" ht="21" customHeight="1">
      <x:c r="A504" s="60" t="n">
        <x:v>0.61</x:v>
      </x:c>
      <x:c r="B504" s="28" t="str">
        <x:v>level_high</x:v>
      </x:c>
      <x:c r="C504" s="60" t="n">
        <x:v>0.65</x:v>
      </x:c>
      <x:c r="D504" s="60" t="n">
        <x:v>0.65</x:v>
      </x:c>
      <x:c r="E504" s="62" t="b">
        <x:v>1</x:v>
      </x:c>
      <x:c r="F504" s="62" t="b">
        <x:v>1</x:v>
      </x:c>
      <x:c r="G504" s="85" t="n">
        <x:v>0</x:v>
      </x:c>
      <x:c r="H504" s="85" t="n">
        <x:v>0</x:v>
      </x:c>
      <x:c r="I504" s="85" t="n">
        <x:v>99491399.00558463</x:v>
      </x:c>
      <x:c r="J504" s="85" t="n">
        <x:v>83758746.33441523</x:v>
      </x:c>
      <x:c r="K504" s="85" t="n">
        <x:v>62491.43897260519</x:v>
      </x:c>
      <x:c r="L504" s="28" t="n">
        <x:v>16</x:v>
      </x:c>
      <x:c r="M504" s="28" t="n">
        <x:v>9</x:v>
      </x:c>
      <x:c r="N504" s="28" t="n">
        <x:v>1.862645149230957e-9</x:v>
      </x:c>
      <x:c r="O504" s="28" t="n">
        <x:v>2.9802322387695312e-8</x:v>
      </x:c>
      <x:c r="P504" s="28" t="n">
        <x:v>0</x:v>
      </x:c>
      <x:c r="Q504" s="62" t="b">
        <x:v>1</x:v>
      </x:c>
      <x:c r="R504" s="28" t="n">
        <x:v>0</x:v>
      </x:c>
      <x:c r="S504" s="28" t="str">
        <x:v>ab33e0e418a6cb35</x:v>
      </x:c>
    </x:row>
    <x:row r="505" ht="21" customHeight="1">
      <x:c r="A505" s="60" t="n">
        <x:v>0.61</x:v>
      </x:c>
      <x:c r="B505" s="28" t="str">
        <x:v>level_high</x:v>
      </x:c>
      <x:c r="C505" s="60" t="n">
        <x:v>0.7</x:v>
      </x:c>
      <x:c r="D505" s="60" t="n">
        <x:v>0.7</x:v>
      </x:c>
      <x:c r="E505" s="62" t="b">
        <x:v>1</x:v>
      </x:c>
      <x:c r="F505" s="62" t="b">
        <x:v>0</x:v>
      </x:c>
      <x:c r="G505" s="85" t="n">
        <x:v>2651478.2657397357</x:v>
      </x:c>
      <x:c r="H505" s="85" t="n">
        <x:v>8998831.701902758</x:v>
      </x:c>
      <x:c r="I505" s="85" t="n">
        <x:v>103199216.47430192</x:v>
      </x:c>
      <x:c r="J505" s="85" t="n">
        <x:v>87000000.00000001</x:v>
      </x:c>
      <x:c r="K505" s="85" t="n">
        <x:v>46371.376849314925</x:v>
      </x:c>
      <x:c r="L505" s="28" t="n">
        <x:v>39</x:v>
      </x:c>
      <x:c r="M505" s="28" t="n">
        <x:v>34</x:v>
      </x:c>
      <x:c r="N505" s="28" t="n">
        <x:v>1.862645149230957e-9</x:v>
      </x:c>
      <x:c r="O505" s="28" t="n">
        <x:v>2.9802322387695312e-8</x:v>
      </x:c>
      <x:c r="P505" s="28" t="n">
        <x:v>0</x:v>
      </x:c>
      <x:c r="Q505" s="62" t="b">
        <x:v>1</x:v>
      </x:c>
      <x:c r="R505" s="28" t="n">
        <x:v>0</x:v>
      </x:c>
      <x:c r="S505" s="28" t="str">
        <x:v>bfcb17fe950d1885</x:v>
      </x:c>
    </x:row>
    <x:row r="506" ht="21" customHeight="1">
      <x:c r="A506" s="60" t="n">
        <x:v>0.61</x:v>
      </x:c>
      <x:c r="B506" s="28" t="str">
        <x:v>level_high</x:v>
      </x:c>
      <x:c r="C506" s="60" t="n">
        <x:v>0.75</x:v>
      </x:c>
      <x:c r="D506" s="60" t="n">
        <x:v>0.75</x:v>
      </x:c>
      <x:c r="E506" s="62" t="b">
        <x:v>1</x:v>
      </x:c>
      <x:c r="F506" s="62" t="b">
        <x:v>0</x:v>
      </x:c>
      <x:c r="G506" s="85" t="n">
        <x:v>6587543.673612603</x:v>
      </x:c>
      <x:c r="H506" s="85" t="n">
        <x:v>21202817.428264204</x:v>
      </x:c>
      <x:c r="I506" s="85" t="n">
        <x:v>104855097.18101233</x:v>
      </x:c>
      <x:c r="J506" s="85" t="n">
        <x:v>87000000.00000001</x:v>
      </x:c>
      <x:c r="K506" s="85" t="n">
        <x:v>30251.314726025594</x:v>
      </x:c>
      <x:c r="L506" s="28" t="n">
        <x:v>40</x:v>
      </x:c>
      <x:c r="M506" s="28" t="n">
        <x:v>36</x:v>
      </x:c>
      <x:c r="N506" s="28" t="n">
        <x:v>1.862645149230957e-9</x:v>
      </x:c>
      <x:c r="O506" s="28" t="n">
        <x:v>2.9802322387695312e-8</x:v>
      </x:c>
      <x:c r="P506" s="28" t="n">
        <x:v>0</x:v>
      </x:c>
      <x:c r="Q506" s="62" t="b">
        <x:v>1</x:v>
      </x:c>
      <x:c r="R506" s="28" t="n">
        <x:v>0</x:v>
      </x:c>
      <x:c r="S506" s="28" t="str">
        <x:v>de9ad93b97404e64</x:v>
      </x:c>
    </x:row>
    <x:row r="507" ht="21" customHeight="1">
      <x:c r="A507" s="60" t="n">
        <x:v>0.61</x:v>
      </x:c>
      <x:c r="B507" s="28" t="str">
        <x:v>level_high</x:v>
      </x:c>
      <x:c r="C507" s="60" t="n">
        <x:v>0.8</x:v>
      </x:c>
      <x:c r="D507" s="60" t="n">
        <x:v>0.8</x:v>
      </x:c>
      <x:c r="E507" s="62" t="b">
        <x:v>1</x:v>
      </x:c>
      <x:c r="F507" s="62" t="b">
        <x:v>0</x:v>
      </x:c>
      <x:c r="G507" s="85" t="n">
        <x:v>10775253.751179969</x:v>
      </x:c>
      <x:c r="H507" s="85" t="n">
        <x:v>32775415.66122503</x:v>
      </x:c>
      <x:c r="I507" s="85" t="n">
        <x:v>106592947.06449315</x:v>
      </x:c>
      <x:c r="J507" s="85" t="n">
        <x:v>87000000.00000001</x:v>
      </x:c>
      <x:c r="K507" s="85" t="n">
        <x:v>14131.25260274185</x:v>
      </x:c>
      <x:c r="L507" s="28" t="n">
        <x:v>41</x:v>
      </x:c>
      <x:c r="M507" s="28" t="n">
        <x:v>36</x:v>
      </x:c>
      <x:c r="N507" s="28" t="n">
        <x:v>1.862645149230957e-9</x:v>
      </x:c>
      <x:c r="O507" s="28" t="n">
        <x:v>2.9802322387695312e-8</x:v>
      </x:c>
      <x:c r="P507" s="28" t="n">
        <x:v>0</x:v>
      </x:c>
      <x:c r="Q507" s="62" t="b">
        <x:v>1</x:v>
      </x:c>
      <x:c r="R507" s="28" t="n">
        <x:v>0</x:v>
      </x:c>
      <x:c r="S507" s="28" t="str">
        <x:v>a3d71330498bcfa2</x:v>
      </x:c>
    </x:row>
    <x:row r="508" ht="21" customHeight="1">
      <x:c r="A508" s="60" t="n">
        <x:v>0.61</x:v>
      </x:c>
      <x:c r="B508" s="28" t="str">
        <x:v>level_high</x:v>
      </x:c>
      <x:c r="C508" s="60" t="n">
        <x:v>0.85</x:v>
      </x:c>
      <x:c r="D508" s="60" t="n">
        <x:v>0.85</x:v>
      </x:c>
      <x:c r="E508" s="62" t="b">
        <x:v>1</x:v>
      </x:c>
      <x:c r="F508" s="62" t="b">
        <x:v>0</x:v>
      </x:c>
      <x:c r="G508" s="85" t="n">
        <x:v>15600390.20307104</x:v>
      </x:c>
      <x:c r="H508" s="85" t="n">
        <x:v>43878327.96675058</x:v>
      </x:c>
      <x:c r="I508" s="85" t="n">
        <x:v>108217004.37250303</x:v>
      </x:c>
      <x:c r="J508" s="85" t="n">
        <x:v>87000000.00000001</x:v>
      </x:c>
      <x:c r="K508" s="85" t="n">
        <x:v>0</x:v>
      </x:c>
      <x:c r="L508" s="28" t="n">
        <x:v>42</x:v>
      </x:c>
      <x:c r="M508" s="28" t="n">
        <x:v>37</x:v>
      </x:c>
      <x:c r="N508" s="28" t="n">
        <x:v>1.862645149230957e-9</x:v>
      </x:c>
      <x:c r="O508" s="28" t="n">
        <x:v>2.9802322387695312e-8</x:v>
      </x:c>
      <x:c r="P508" s="28" t="n">
        <x:v>0</x:v>
      </x:c>
      <x:c r="Q508" s="62" t="b">
        <x:v>1</x:v>
      </x:c>
      <x:c r="R508" s="28" t="n">
        <x:v>0</x:v>
      </x:c>
      <x:c r="S508" s="28" t="str">
        <x:v>273d6e77767d87fa</x:v>
      </x:c>
    </x:row>
    <x:row r="509" ht="21" customHeight="1">
      <x:c r="A509" s="60" t="n">
        <x:v>0.61</x:v>
      </x:c>
      <x:c r="B509" s="28" t="str">
        <x:v>level_high</x:v>
      </x:c>
      <x:c r="C509" s="60" t="n">
        <x:v>0.9</x:v>
      </x:c>
      <x:c r="D509" s="60" t="n">
        <x:v>0.9</x:v>
      </x:c>
      <x:c r="E509" s="62" t="b">
        <x:v>1</x:v>
      </x:c>
      <x:c r="F509" s="62" t="b">
        <x:v>0</x:v>
      </x:c>
      <x:c r="G509" s="85" t="n">
        <x:v>23329203.615981184</x:v>
      </x:c>
      <x:c r="H509" s="85" t="n">
        <x:v>53069836.6598678</x:v>
      </x:c>
      <x:c r="I509" s="85" t="n">
        <x:v>108532390.37483397</x:v>
      </x:c>
      <x:c r="J509" s="85" t="n">
        <x:v>87000000.00000001</x:v>
      </x:c>
      <x:c r="K509" s="85" t="n">
        <x:v>0</x:v>
      </x:c>
      <x:c r="L509" s="28" t="n">
        <x:v>42</x:v>
      </x:c>
      <x:c r="M509" s="28" t="n">
        <x:v>38</x:v>
      </x:c>
      <x:c r="N509" s="28" t="n">
        <x:v>3.725290298461914e-9</x:v>
      </x:c>
      <x:c r="O509" s="28" t="n">
        <x:v>7.450580596923828e-9</x:v>
      </x:c>
      <x:c r="P509" s="28" t="n">
        <x:v>0</x:v>
      </x:c>
      <x:c r="Q509" s="62" t="b">
        <x:v>1</x:v>
      </x:c>
      <x:c r="R509" s="28" t="n">
        <x:v>0</x:v>
      </x:c>
      <x:c r="S509" s="28" t="str">
        <x:v>5234273385cfedfd</x:v>
      </x:c>
    </x:row>
    <x:row r="510" ht="21" customHeight="1">
      <x:c r="A510" s="60" t="n">
        <x:v>0.61</x:v>
      </x:c>
      <x:c r="B510" s="28" t="str">
        <x:v>level_high</x:v>
      </x:c>
      <x:c r="C510" s="60" t="n">
        <x:v>0.95</x:v>
      </x:c>
      <x:c r="D510" s="60" t="n">
        <x:v>0.9219114501462435</x:v>
      </x:c>
      <x:c r="E510" s="62" t="b">
        <x:v>0</x:v>
      </x:c>
      <x:c r="F510" s="62" t="b">
        <x:v>0</x:v>
      </x:c>
      <x:c r="G510" s="85" t="n">
        <x:v>25299881.81994068</x:v>
      </x:c>
      <x:c r="H510" s="85" t="n">
        <x:v>56955708.637783244</x:v>
      </x:c>
      <x:c r="I510" s="85" t="n">
        <x:v>110120512.68953425</x:v>
      </x:c>
      <x:c r="J510" s="85" t="n">
        <x:v>87000000.00000001</x:v>
      </x:c>
      <x:c r="K510" s="85" t="n">
        <x:v>0</x:v>
      </x:c>
      <x:c r="L510" s="28" t="n">
        <x:v>43</x:v>
      </x:c>
      <x:c r="M510" s="28" t="n">
        <x:v>39</x:v>
      </x:c>
      <x:c r="N510" s="28" t="n">
        <x:v>1.862645149230957e-9</x:v>
      </x:c>
      <x:c r="O510" s="28" t="n">
        <x:v>1.4901161193847656e-8</x:v>
      </x:c>
      <x:c r="P510" s="28" t="n">
        <x:v>0</x:v>
      </x:c>
      <x:c r="Q510" s="62" t="b">
        <x:v>1</x:v>
      </x:c>
      <x:c r="R510" s="28" t="n">
        <x:v>8426564.956126928</x:v>
      </x:c>
      <x:c r="S510" s="28" t="str">
        <x:v>5b9ff8cf6aa1df24</x:v>
      </x:c>
    </x:row>
    <x:row r="511" ht="21" customHeight="1">
      <x:c r="A511" s="60" t="n">
        <x:v>0.61</x:v>
      </x:c>
      <x:c r="B511" s="28" t="str">
        <x:v>level_high</x:v>
      </x:c>
      <x:c r="C511" s="60" t="n">
        <x:v>1</x:v>
      </x:c>
      <x:c r="D511" s="60" t="n">
        <x:v>0.9350574964161632</x:v>
      </x:c>
      <x:c r="E511" s="62" t="b">
        <x:v>0</x:v>
      </x:c>
      <x:c r="F511" s="62" t="b">
        <x:v>0</x:v>
      </x:c>
      <x:c r="G511" s="85" t="n">
        <x:v>28058487.94466734</x:v>
      </x:c>
      <x:c r="H511" s="85" t="n">
        <x:v>60620497.56604975</x:v>
      </x:c>
      <x:c r="I511" s="85" t="n">
        <x:v>110345121.54493152</x:v>
      </x:c>
      <x:c r="J511" s="85" t="n">
        <x:v>87000000.00000001</x:v>
      </x:c>
      <x:c r="K511" s="85" t="n">
        <x:v>0</x:v>
      </x:c>
      <x:c r="L511" s="28" t="n">
        <x:v>43</x:v>
      </x:c>
      <x:c r="M511" s="28" t="n">
        <x:v>40</x:v>
      </x:c>
      <x:c r="N511" s="28" t="n">
        <x:v>9.313225746154785e-10</x:v>
      </x:c>
      <x:c r="O511" s="28" t="n">
        <x:v>7.450580596923828e-9</x:v>
      </x:c>
      <x:c r="P511" s="28" t="n">
        <x:v>0</x:v>
      </x:c>
      <x:c r="Q511" s="62" t="b">
        <x:v>1</x:v>
      </x:c>
      <x:c r="R511" s="28" t="n">
        <x:v>19482751.075151026</x:v>
      </x:c>
      <x:c r="S511" s="28" t="str">
        <x:v>d7ef2964ffc08c8c</x:v>
      </x:c>
    </x:row>
    <x:row r="512" ht="21" customHeight="1">
      <x:c r="A512" s="60" t="n">
        <x:v>0.62</x:v>
      </x:c>
      <x:c r="B512" s="28" t="str">
        <x:v>front_flat</x:v>
      </x:c>
      <x:c r="C512" s="60" t="n">
        <x:v>0</x:v>
      </x:c>
      <x:c r="D512" s="60" t="n">
        <x:v>0</x:v>
      </x:c>
      <x:c r="E512" s="62" t="b">
        <x:v>1</x:v>
      </x:c>
      <x:c r="F512" s="62" t="b">
        <x:v>1</x:v>
      </x:c>
      <x:c r="G512" s="85" t="n">
        <x:v>0</x:v>
      </x:c>
      <x:c r="H512" s="85" t="n">
        <x:v>0</x:v>
      </x:c>
      <x:c r="I512" s="85" t="n">
        <x:v>0</x:v>
      </x:c>
      <x:c r="J512" s="85" t="n">
        <x:v>0</x:v>
      </x:c>
      <x:c r="K512" s="85" t="n">
        <x:v>31282653.340410925</x:v>
      </x:c>
      <x:c r="L512" s="28" t="n">
        <x:v>0</x:v>
      </x:c>
      <x:c r="M512" s="28" t="n">
        <x:v>0</x:v>
      </x:c>
      <x:c r="N512" s="28" t="n">
        <x:v>3.725290298461914e-9</x:v>
      </x:c>
      <x:c r="O512" s="28" t="n">
        <x:v>0</x:v>
      </x:c>
      <x:c r="P512" s="28" t="n">
        <x:v>0</x:v>
      </x:c>
      <x:c r="Q512" s="62" t="b">
        <x:v>1</x:v>
      </x:c>
      <x:c r="R512" s="28" t="n">
        <x:v>0</x:v>
      </x:c>
      <x:c r="S512" s="28" t="str">
        <x:v>145d8ba1127806ae</x:v>
      </x:c>
    </x:row>
    <x:row r="513" ht="21" customHeight="1">
      <x:c r="A513" s="60" t="n">
        <x:v>0.62</x:v>
      </x:c>
      <x:c r="B513" s="28" t="str">
        <x:v>front_flat</x:v>
      </x:c>
      <x:c r="C513" s="60" t="n">
        <x:v>0.05</x:v>
      </x:c>
      <x:c r="D513" s="60" t="n">
        <x:v>0.05</x:v>
      </x:c>
      <x:c r="E513" s="62" t="b">
        <x:v>1</x:v>
      </x:c>
      <x:c r="F513" s="62" t="b">
        <x:v>1</x:v>
      </x:c>
      <x:c r="G513" s="85" t="n">
        <x:v>0</x:v>
      </x:c>
      <x:c r="H513" s="85" t="n">
        <x:v>0</x:v>
      </x:c>
      <x:c r="I513" s="85" t="n">
        <x:v>0</x:v>
      </x:c>
      <x:c r="J513" s="85" t="n">
        <x:v>0</x:v>
      </x:c>
      <x:c r="K513" s="85" t="n">
        <x:v>19012470.498897795</x:v>
      </x:c>
      <x:c r="L513" s="28" t="n">
        <x:v>0</x:v>
      </x:c>
      <x:c r="M513" s="28" t="n">
        <x:v>0</x:v>
      </x:c>
      <x:c r="N513" s="28" t="n">
        <x:v>3.725290298461914e-9</x:v>
      </x:c>
      <x:c r="O513" s="28" t="n">
        <x:v>5.960464477539063e-8</x:v>
      </x:c>
      <x:c r="P513" s="28" t="n">
        <x:v>0</x:v>
      </x:c>
      <x:c r="Q513" s="62" t="b">
        <x:v>1</x:v>
      </x:c>
      <x:c r="R513" s="28" t="n">
        <x:v>0</x:v>
      </x:c>
      <x:c r="S513" s="28" t="str">
        <x:v>944d662097e827e6</x:v>
      </x:c>
    </x:row>
    <x:row r="514" ht="21" customHeight="1">
      <x:c r="A514" s="60" t="n">
        <x:v>0.62</x:v>
      </x:c>
      <x:c r="B514" s="28" t="str">
        <x:v>front_flat</x:v>
      </x:c>
      <x:c r="C514" s="60" t="n">
        <x:v>0.1</x:v>
      </x:c>
      <x:c r="D514" s="60" t="n">
        <x:v>0.1</x:v>
      </x:c>
      <x:c r="E514" s="62" t="b">
        <x:v>1</x:v>
      </x:c>
      <x:c r="F514" s="62" t="b">
        <x:v>1</x:v>
      </x:c>
      <x:c r="G514" s="85" t="n">
        <x:v>0</x:v>
      </x:c>
      <x:c r="H514" s="85" t="n">
        <x:v>0</x:v>
      </x:c>
      <x:c r="I514" s="85" t="n">
        <x:v>0</x:v>
      </x:c>
      <x:c r="J514" s="85" t="n">
        <x:v>0</x:v>
      </x:c>
      <x:c r="K514" s="85" t="n">
        <x:v>6648580.855763017</x:v>
      </x:c>
      <x:c r="L514" s="28" t="n">
        <x:v>0</x:v>
      </x:c>
      <x:c r="M514" s="28" t="n">
        <x:v>0</x:v>
      </x:c>
      <x:c r="N514" s="28" t="n">
        <x:v>3.725290298461914e-9</x:v>
      </x:c>
      <x:c r="O514" s="28" t="n">
        <x:v>5.960464477539063e-8</x:v>
      </x:c>
      <x:c r="P514" s="28" t="n">
        <x:v>0</x:v>
      </x:c>
      <x:c r="Q514" s="62" t="b">
        <x:v>1</x:v>
      </x:c>
      <x:c r="R514" s="28" t="n">
        <x:v>0</x:v>
      </x:c>
      <x:c r="S514" s="28" t="str">
        <x:v>6288b164ea1dd7e8</x:v>
      </x:c>
    </x:row>
    <x:row r="515" ht="21" customHeight="1">
      <x:c r="A515" s="60" t="n">
        <x:v>0.62</x:v>
      </x:c>
      <x:c r="B515" s="28" t="str">
        <x:v>front_flat</x:v>
      </x:c>
      <x:c r="C515" s="60" t="n">
        <x:v>0.15</x:v>
      </x:c>
      <x:c r="D515" s="60" t="n">
        <x:v>0.15</x:v>
      </x:c>
      <x:c r="E515" s="62" t="b">
        <x:v>1</x:v>
      </x:c>
      <x:c r="F515" s="62" t="b">
        <x:v>1</x:v>
      </x:c>
      <x:c r="G515" s="85" t="n">
        <x:v>0</x:v>
      </x:c>
      <x:c r="H515" s="85" t="n">
        <x:v>0</x:v>
      </x:c>
      <x:c r="I515" s="85" t="n">
        <x:v>4379786.19614721</x:v>
      </x:c>
      <x:c r="J515" s="85" t="n">
        <x:v>0</x:v>
      </x:c>
      <x:c r="K515" s="85" t="n">
        <x:v>174703.76672020621</x:v>
      </x:c>
      <x:c r="L515" s="28" t="n">
        <x:v>0</x:v>
      </x:c>
      <x:c r="M515" s="28" t="n">
        <x:v>0</x:v>
      </x:c>
      <x:c r="N515" s="28" t="n">
        <x:v>3.725290298461914e-9</x:v>
      </x:c>
      <x:c r="O515" s="28" t="n">
        <x:v>2.9802322387695312e-8</x:v>
      </x:c>
      <x:c r="P515" s="28" t="n">
        <x:v>0</x:v>
      </x:c>
      <x:c r="Q515" s="62" t="b">
        <x:v>1</x:v>
      </x:c>
      <x:c r="R515" s="28" t="n">
        <x:v>0</x:v>
      </x:c>
      <x:c r="S515" s="28" t="str">
        <x:v>8bfa121665396f97</x:v>
      </x:c>
    </x:row>
    <x:row r="516" ht="21" customHeight="1">
      <x:c r="A516" s="60" t="n">
        <x:v>0.62</x:v>
      </x:c>
      <x:c r="B516" s="28" t="str">
        <x:v>front_flat</x:v>
      </x:c>
      <x:c r="C516" s="60" t="n">
        <x:v>0.2</x:v>
      </x:c>
      <x:c r="D516" s="60" t="n">
        <x:v>0.2</x:v>
      </x:c>
      <x:c r="E516" s="62" t="b">
        <x:v>1</x:v>
      </x:c>
      <x:c r="F516" s="62" t="b">
        <x:v>1</x:v>
      </x:c>
      <x:c r="G516" s="85" t="n">
        <x:v>0</x:v>
      </x:c>
      <x:c r="H516" s="85" t="n">
        <x:v>0</x:v>
      </x:c>
      <x:c r="I516" s="85" t="n">
        <x:v>13154084.296082143</x:v>
      </x:c>
      <x:c r="J516" s="85" t="n">
        <x:v>6284479.4973746715</x:v>
      </x:c>
      <x:c r="K516" s="85" t="n">
        <x:v>112480.70676849196</x:v>
      </x:c>
      <x:c r="L516" s="28" t="n">
        <x:v>0</x:v>
      </x:c>
      <x:c r="M516" s="28" t="n">
        <x:v>0</x:v>
      </x:c>
      <x:c r="N516" s="28" t="n">
        <x:v>3.725290298461914e-9</x:v>
      </x:c>
      <x:c r="O516" s="28" t="n">
        <x:v>2.9802322387695312e-8</x:v>
      </x:c>
      <x:c r="P516" s="28" t="n">
        <x:v>0</x:v>
      </x:c>
      <x:c r="Q516" s="62" t="b">
        <x:v>1</x:v>
      </x:c>
      <x:c r="R516" s="28" t="n">
        <x:v>0</x:v>
      </x:c>
      <x:c r="S516" s="28" t="str">
        <x:v>500e82cee7da3eb6</x:v>
      </x:c>
    </x:row>
    <x:row r="517" ht="21" customHeight="1">
      <x:c r="A517" s="60" t="n">
        <x:v>0.62</x:v>
      </x:c>
      <x:c r="B517" s="28" t="str">
        <x:v>front_flat</x:v>
      </x:c>
      <x:c r="C517" s="60" t="n">
        <x:v>0.25</x:v>
      </x:c>
      <x:c r="D517" s="60" t="n">
        <x:v>0.25</x:v>
      </x:c>
      <x:c r="E517" s="62" t="b">
        <x:v>1</x:v>
      </x:c>
      <x:c r="F517" s="62" t="b">
        <x:v>1</x:v>
      </x:c>
      <x:c r="G517" s="85" t="n">
        <x:v>0</x:v>
      </x:c>
      <x:c r="H517" s="85" t="n">
        <x:v>0</x:v>
      </x:c>
      <x:c r="I517" s="85" t="n">
        <x:v>20132993.697102584</x:v>
      </x:c>
      <x:c r="J517" s="85" t="n">
        <x:v>15355599.371718263</x:v>
      </x:c>
      <x:c r="K517" s="85" t="n">
        <x:v>50257.646816777706</x:v>
      </x:c>
      <x:c r="L517" s="28" t="n">
        <x:v>0</x:v>
      </x:c>
      <x:c r="M517" s="28" t="n">
        <x:v>0</x:v>
      </x:c>
      <x:c r="N517" s="28" t="n">
        <x:v>1.862645149230957e-9</x:v>
      </x:c>
      <x:c r="O517" s="28" t="n">
        <x:v>1.4901161193847656e-8</x:v>
      </x:c>
      <x:c r="P517" s="28" t="n">
        <x:v>0</x:v>
      </x:c>
      <x:c r="Q517" s="62" t="b">
        <x:v>1</x:v>
      </x:c>
      <x:c r="R517" s="28" t="n">
        <x:v>0</x:v>
      </x:c>
      <x:c r="S517" s="28" t="str">
        <x:v>066d6b587959a334</x:v>
      </x:c>
    </x:row>
    <x:row r="518" ht="21" customHeight="1">
      <x:c r="A518" s="60" t="n">
        <x:v>0.62</x:v>
      </x:c>
      <x:c r="B518" s="28" t="str">
        <x:v>front_flat</x:v>
      </x:c>
      <x:c r="C518" s="60" t="n">
        <x:v>0.3</x:v>
      </x:c>
      <x:c r="D518" s="60" t="n">
        <x:v>0.3</x:v>
      </x:c>
      <x:c r="E518" s="62" t="b">
        <x:v>1</x:v>
      </x:c>
      <x:c r="F518" s="62" t="b">
        <x:v>1</x:v>
      </x:c>
      <x:c r="G518" s="85" t="n">
        <x:v>0</x:v>
      </x:c>
      <x:c r="H518" s="85" t="n">
        <x:v>0</x:v>
      </x:c>
      <x:c r="I518" s="85" t="n">
        <x:v>27126866.963783376</x:v>
      </x:c>
      <x:c r="J518" s="85" t="n">
        <x:v>24426719.246061895</x:v>
      </x:c>
      <x:c r="K518" s="85" t="n">
        <x:v>0</x:v>
      </x:c>
      <x:c r="L518" s="28" t="n">
        <x:v>0</x:v>
      </x:c>
      <x:c r="M518" s="28" t="n">
        <x:v>0</x:v>
      </x:c>
      <x:c r="N518" s="28" t="n">
        <x:v>1.862645149230957e-9</x:v>
      </x:c>
      <x:c r="O518" s="28" t="n">
        <x:v>2.9802322387695312e-8</x:v>
      </x:c>
      <x:c r="P518" s="28" t="n">
        <x:v>0</x:v>
      </x:c>
      <x:c r="Q518" s="62" t="b">
        <x:v>1</x:v>
      </x:c>
      <x:c r="R518" s="28" t="n">
        <x:v>0</x:v>
      </x:c>
      <x:c r="S518" s="28" t="str">
        <x:v>dc49b8aa955a9976</x:v>
      </x:c>
    </x:row>
    <x:row r="519" ht="21" customHeight="1">
      <x:c r="A519" s="60" t="n">
        <x:v>0.62</x:v>
      </x:c>
      <x:c r="B519" s="28" t="str">
        <x:v>front_flat</x:v>
      </x:c>
      <x:c r="C519" s="60" t="n">
        <x:v>0.35</x:v>
      </x:c>
      <x:c r="D519" s="60" t="n">
        <x:v>0.35</x:v>
      </x:c>
      <x:c r="E519" s="62" t="b">
        <x:v>1</x:v>
      </x:c>
      <x:c r="F519" s="62" t="b">
        <x:v>1</x:v>
      </x:c>
      <x:c r="G519" s="85" t="n">
        <x:v>0</x:v>
      </x:c>
      <x:c r="H519" s="85" t="n">
        <x:v>0</x:v>
      </x:c>
      <x:c r="I519" s="85" t="n">
        <x:v>34120740.2304642</x:v>
      </x:c>
      <x:c r="J519" s="85" t="n">
        <x:v>33497839.120405573</x:v>
      </x:c>
      <x:c r="K519" s="85" t="n">
        <x:v>0</x:v>
      </x:c>
      <x:c r="L519" s="28" t="n">
        <x:v>0</x:v>
      </x:c>
      <x:c r="M519" s="28" t="n">
        <x:v>0</x:v>
      </x:c>
      <x:c r="N519" s="28" t="n">
        <x:v>3.725290298461914e-9</x:v>
      </x:c>
      <x:c r="O519" s="28" t="n">
        <x:v>7.450580596923828e-9</x:v>
      </x:c>
      <x:c r="P519" s="28" t="n">
        <x:v>0</x:v>
      </x:c>
      <x:c r="Q519" s="62" t="b">
        <x:v>1</x:v>
      </x:c>
      <x:c r="R519" s="28" t="n">
        <x:v>0</x:v>
      </x:c>
      <x:c r="S519" s="28" t="str">
        <x:v>3bbef4adfcf9b7d2</x:v>
      </x:c>
    </x:row>
    <x:row r="520" ht="21" customHeight="1">
      <x:c r="A520" s="60" t="n">
        <x:v>0.62</x:v>
      </x:c>
      <x:c r="B520" s="28" t="str">
        <x:v>front_flat</x:v>
      </x:c>
      <x:c r="C520" s="60" t="n">
        <x:v>0.4</x:v>
      </x:c>
      <x:c r="D520" s="60" t="n">
        <x:v>0.4</x:v>
      </x:c>
      <x:c r="E520" s="62" t="b">
        <x:v>1</x:v>
      </x:c>
      <x:c r="F520" s="62" t="b">
        <x:v>1</x:v>
      </x:c>
      <x:c r="G520" s="85" t="n">
        <x:v>0</x:v>
      </x:c>
      <x:c r="H520" s="85" t="n">
        <x:v>0</x:v>
      </x:c>
      <x:c r="I520" s="85" t="n">
        <x:v>41068631.222170115</x:v>
      </x:c>
      <x:c r="J520" s="85" t="n">
        <x:v>42568958.994749255</x:v>
      </x:c>
      <x:c r="K520" s="85" t="n">
        <x:v>0</x:v>
      </x:c>
      <x:c r="L520" s="28" t="n">
        <x:v>0</x:v>
      </x:c>
      <x:c r="M520" s="28" t="n">
        <x:v>0</x:v>
      </x:c>
      <x:c r="N520" s="28" t="n">
        <x:v>3.725290298461914e-9</x:v>
      </x:c>
      <x:c r="O520" s="28" t="n">
        <x:v>2.9802322387695312e-8</x:v>
      </x:c>
      <x:c r="P520" s="28" t="n">
        <x:v>0</x:v>
      </x:c>
      <x:c r="Q520" s="62" t="b">
        <x:v>1</x:v>
      </x:c>
      <x:c r="R520" s="28" t="n">
        <x:v>0</x:v>
      </x:c>
      <x:c r="S520" s="28" t="str">
        <x:v>6d9c8c652f3f3f7b</x:v>
      </x:c>
    </x:row>
    <x:row r="521" ht="21" customHeight="1">
      <x:c r="A521" s="60" t="n">
        <x:v>0.62</x:v>
      </x:c>
      <x:c r="B521" s="28" t="str">
        <x:v>front_flat</x:v>
      </x:c>
      <x:c r="C521" s="60" t="n">
        <x:v>0.45</x:v>
      </x:c>
      <x:c r="D521" s="60" t="n">
        <x:v>0.45</x:v>
      </x:c>
      <x:c r="E521" s="62" t="b">
        <x:v>1</x:v>
      </x:c>
      <x:c r="F521" s="62" t="b">
        <x:v>1</x:v>
      </x:c>
      <x:c r="G521" s="85" t="n">
        <x:v>0</x:v>
      </x:c>
      <x:c r="H521" s="85" t="n">
        <x:v>0</x:v>
      </x:c>
      <x:c r="I521" s="85" t="n">
        <x:v>48039472.036315024</x:v>
      </x:c>
      <x:c r="J521" s="85" t="n">
        <x:v>51640078.8690929</x:v>
      </x:c>
      <x:c r="K521" s="85" t="n">
        <x:v>0</x:v>
      </x:c>
      <x:c r="L521" s="28" t="n">
        <x:v>0</x:v>
      </x:c>
      <x:c r="M521" s="28" t="n">
        <x:v>0</x:v>
      </x:c>
      <x:c r="N521" s="28" t="n">
        <x:v>1.862645149230957e-9</x:v>
      </x:c>
      <x:c r="O521" s="28" t="n">
        <x:v>2.9802322387695312e-8</x:v>
      </x:c>
      <x:c r="P521" s="28" t="n">
        <x:v>0</x:v>
      </x:c>
      <x:c r="Q521" s="62" t="b">
        <x:v>1</x:v>
      </x:c>
      <x:c r="R521" s="28" t="n">
        <x:v>0</x:v>
      </x:c>
      <x:c r="S521" s="28" t="str">
        <x:v>42e7a00b804e8689</x:v>
      </x:c>
    </x:row>
    <x:row r="522" ht="21" customHeight="1">
      <x:c r="A522" s="60" t="n">
        <x:v>0.62</x:v>
      </x:c>
      <x:c r="B522" s="28" t="str">
        <x:v>front_flat</x:v>
      </x:c>
      <x:c r="C522" s="60" t="n">
        <x:v>0.5</x:v>
      </x:c>
      <x:c r="D522" s="60" t="n">
        <x:v>0.5</x:v>
      </x:c>
      <x:c r="E522" s="62" t="b">
        <x:v>1</x:v>
      </x:c>
      <x:c r="F522" s="62" t="b">
        <x:v>1</x:v>
      </x:c>
      <x:c r="G522" s="85" t="n">
        <x:v>0</x:v>
      </x:c>
      <x:c r="H522" s="85" t="n">
        <x:v>0</x:v>
      </x:c>
      <x:c r="I522" s="85" t="n">
        <x:v>56457953.047834136</x:v>
      </x:c>
      <x:c r="J522" s="85" t="n">
        <x:v>56877209.38372817</x:v>
      </x:c>
      <x:c r="K522" s="85" t="n">
        <x:v>0</x:v>
      </x:c>
      <x:c r="L522" s="28" t="n">
        <x:v>5</x:v>
      </x:c>
      <x:c r="M522" s="28" t="n">
        <x:v>0</x:v>
      </x:c>
      <x:c r="N522" s="28" t="n">
        <x:v>1.862645149230957e-9</x:v>
      </x:c>
      <x:c r="O522" s="28" t="n">
        <x:v>2.9802322387695312e-8</x:v>
      </x:c>
      <x:c r="P522" s="28" t="n">
        <x:v>0</x:v>
      </x:c>
      <x:c r="Q522" s="62" t="b">
        <x:v>1</x:v>
      </x:c>
      <x:c r="R522" s="28" t="n">
        <x:v>0</x:v>
      </x:c>
      <x:c r="S522" s="28" t="str">
        <x:v>0848fdce45e196a5</x:v>
      </x:c>
    </x:row>
    <x:row r="523" ht="21" customHeight="1">
      <x:c r="A523" s="60" t="n">
        <x:v>0.62</x:v>
      </x:c>
      <x:c r="B523" s="28" t="str">
        <x:v>front_flat</x:v>
      </x:c>
      <x:c r="C523" s="60" t="n">
        <x:v>0.55</x:v>
      </x:c>
      <x:c r="D523" s="60" t="n">
        <x:v>0.55</x:v>
      </x:c>
      <x:c r="E523" s="62" t="b">
        <x:v>1</x:v>
      </x:c>
      <x:c r="F523" s="62" t="b">
        <x:v>1</x:v>
      </x:c>
      <x:c r="G523" s="85" t="n">
        <x:v>0</x:v>
      </x:c>
      <x:c r="H523" s="85" t="n">
        <x:v>0</x:v>
      </x:c>
      <x:c r="I523" s="85" t="n">
        <x:v>65440524.0977378</x:v>
      </x:c>
      <x:c r="J523" s="85" t="n">
        <x:v>60152031.03518572</x:v>
      </x:c>
      <x:c r="K523" s="85" t="n">
        <x:v>0</x:v>
      </x:c>
      <x:c r="L523" s="28" t="n">
        <x:v>13</x:v>
      </x:c>
      <x:c r="M523" s="28" t="n">
        <x:v>0</x:v>
      </x:c>
      <x:c r="N523" s="28" t="n">
        <x:v>1.862645149230957e-9</x:v>
      </x:c>
      <x:c r="O523" s="28" t="n">
        <x:v>2.9802322387695312e-8</x:v>
      </x:c>
      <x:c r="P523" s="28" t="n">
        <x:v>0</x:v>
      </x:c>
      <x:c r="Q523" s="62" t="b">
        <x:v>1</x:v>
      </x:c>
      <x:c r="R523" s="28" t="n">
        <x:v>0</x:v>
      </x:c>
      <x:c r="S523" s="28" t="str">
        <x:v>26e78c83807c686b</x:v>
      </x:c>
    </x:row>
    <x:row r="524" ht="21" customHeight="1">
      <x:c r="A524" s="60" t="n">
        <x:v>0.62</x:v>
      </x:c>
      <x:c r="B524" s="28" t="str">
        <x:v>front_flat</x:v>
      </x:c>
      <x:c r="C524" s="60" t="n">
        <x:v>0.6</x:v>
      </x:c>
      <x:c r="D524" s="60" t="n">
        <x:v>0.6</x:v>
      </x:c>
      <x:c r="E524" s="62" t="b">
        <x:v>1</x:v>
      </x:c>
      <x:c r="F524" s="62" t="b">
        <x:v>1</x:v>
      </x:c>
      <x:c r="G524" s="85" t="n">
        <x:v>0</x:v>
      </x:c>
      <x:c r="H524" s="85" t="n">
        <x:v>0</x:v>
      </x:c>
      <x:c r="I524" s="85" t="n">
        <x:v>72798394.72510655</x:v>
      </x:c>
      <x:c r="J524" s="85" t="n">
        <x:v>67742922.34751889</x:v>
      </x:c>
      <x:c r="K524" s="85" t="n">
        <x:v>0</x:v>
      </x:c>
      <x:c r="L524" s="28" t="n">
        <x:v>18</x:v>
      </x:c>
      <x:c r="M524" s="28" t="n">
        <x:v>0</x:v>
      </x:c>
      <x:c r="N524" s="28" t="n">
        <x:v>1.862645149230957e-9</x:v>
      </x:c>
      <x:c r="O524" s="28" t="n">
        <x:v>2.9802322387695312e-8</x:v>
      </x:c>
      <x:c r="P524" s="28" t="n">
        <x:v>0</x:v>
      </x:c>
      <x:c r="Q524" s="62" t="b">
        <x:v>1</x:v>
      </x:c>
      <x:c r="R524" s="28" t="n">
        <x:v>0</x:v>
      </x:c>
      <x:c r="S524" s="28" t="str">
        <x:v>31b1d93b7b47d52d</x:v>
      </x:c>
    </x:row>
    <x:row r="525" ht="21" customHeight="1">
      <x:c r="A525" s="60" t="n">
        <x:v>0.62</x:v>
      </x:c>
      <x:c r="B525" s="28" t="str">
        <x:v>front_flat</x:v>
      </x:c>
      <x:c r="C525" s="60" t="n">
        <x:v>0.65</x:v>
      </x:c>
      <x:c r="D525" s="60" t="n">
        <x:v>0.65</x:v>
      </x:c>
      <x:c r="E525" s="62" t="b">
        <x:v>1</x:v>
      </x:c>
      <x:c r="F525" s="62" t="b">
        <x:v>1</x:v>
      </x:c>
      <x:c r="G525" s="85" t="n">
        <x:v>0</x:v>
      </x:c>
      <x:c r="H525" s="85" t="n">
        <x:v>0</x:v>
      </x:c>
      <x:c r="I525" s="85" t="n">
        <x:v>78814977.20909007</x:v>
      </x:c>
      <x:c r="J525" s="85" t="n">
        <x:v>78832274.40597616</x:v>
      </x:c>
      <x:c r="K525" s="85" t="n">
        <x:v>0</x:v>
      </x:c>
      <x:c r="L525" s="28" t="n">
        <x:v>21</x:v>
      </x:c>
      <x:c r="M525" s="28" t="n">
        <x:v>6</x:v>
      </x:c>
      <x:c r="N525" s="28" t="n">
        <x:v>1.862645149230957e-9</x:v>
      </x:c>
      <x:c r="O525" s="28" t="n">
        <x:v>2.9802322387695312e-8</x:v>
      </x:c>
      <x:c r="P525" s="28" t="n">
        <x:v>0</x:v>
      </x:c>
      <x:c r="Q525" s="62" t="b">
        <x:v>1</x:v>
      </x:c>
      <x:c r="R525" s="28" t="n">
        <x:v>0</x:v>
      </x:c>
      <x:c r="S525" s="28" t="str">
        <x:v>41b8821fe6ed9f4c</x:v>
      </x:c>
    </x:row>
    <x:row r="526" ht="21" customHeight="1">
      <x:c r="A526" s="60" t="n">
        <x:v>0.62</x:v>
      </x:c>
      <x:c r="B526" s="28" t="str">
        <x:v>front_flat</x:v>
      </x:c>
      <x:c r="C526" s="60" t="n">
        <x:v>0.7</x:v>
      </x:c>
      <x:c r="D526" s="60" t="n">
        <x:v>0.7</x:v>
      </x:c>
      <x:c r="E526" s="62" t="b">
        <x:v>1</x:v>
      </x:c>
      <x:c r="F526" s="62" t="b">
        <x:v>0</x:v>
      </x:c>
      <x:c r="G526" s="85" t="n">
        <x:v>1145187.4593365977</x:v>
      </x:c>
      <x:c r="H526" s="85" t="n">
        <x:v>7456798.021003768</x:v>
      </x:c>
      <x:c r="I526" s="85" t="n">
        <x:v>81311812.43946373</x:v>
      </x:c>
      <x:c r="J526" s="85" t="n">
        <x:v>84000000.00000001</x:v>
      </x:c>
      <x:c r="K526" s="85" t="n">
        <x:v>0</x:v>
      </x:c>
      <x:c r="L526" s="28" t="n">
        <x:v>45</x:v>
      </x:c>
      <x:c r="M526" s="28" t="n">
        <x:v>34</x:v>
      </x:c>
      <x:c r="N526" s="28" t="n">
        <x:v>1.862645149230957e-9</x:v>
      </x:c>
      <x:c r="O526" s="28" t="n">
        <x:v>2.9802322387695312e-8</x:v>
      </x:c>
      <x:c r="P526" s="28" t="n">
        <x:v>0</x:v>
      </x:c>
      <x:c r="Q526" s="62" t="b">
        <x:v>1</x:v>
      </x:c>
      <x:c r="R526" s="28" t="n">
        <x:v>0</x:v>
      </x:c>
      <x:c r="S526" s="28" t="str">
        <x:v>84abcaac8fa87b81</x:v>
      </x:c>
    </x:row>
    <x:row r="527" ht="21" customHeight="1">
      <x:c r="A527" s="60" t="n">
        <x:v>0.62</x:v>
      </x:c>
      <x:c r="B527" s="28" t="str">
        <x:v>front_flat</x:v>
      </x:c>
      <x:c r="C527" s="60" t="n">
        <x:v>0.75</x:v>
      </x:c>
      <x:c r="D527" s="60" t="n">
        <x:v>0.75</x:v>
      </x:c>
      <x:c r="E527" s="62" t="b">
        <x:v>1</x:v>
      </x:c>
      <x:c r="F527" s="62" t="b">
        <x:v>0</x:v>
      </x:c>
      <x:c r="G527" s="85" t="n">
        <x:v>3587449.2343467856</x:v>
      </x:c>
      <x:c r="H527" s="85" t="n">
        <x:v>20397631.857748296</x:v>
      </x:c>
      <x:c r="I527" s="85" t="n">
        <x:v>81435850.32241957</x:v>
      </x:c>
      <x:c r="J527" s="85" t="n">
        <x:v>84000000.00000001</x:v>
      </x:c>
      <x:c r="K527" s="85" t="n">
        <x:v>0</x:v>
      </x:c>
      <x:c r="L527" s="28" t="n">
        <x:v>45</x:v>
      </x:c>
      <x:c r="M527" s="28" t="n">
        <x:v>37</x:v>
      </x:c>
      <x:c r="N527" s="28" t="n">
        <x:v>1.862645149230957e-9</x:v>
      </x:c>
      <x:c r="O527" s="28" t="n">
        <x:v>2.9802322387695312e-8</x:v>
      </x:c>
      <x:c r="P527" s="28" t="n">
        <x:v>0</x:v>
      </x:c>
      <x:c r="Q527" s="62" t="b">
        <x:v>1</x:v>
      </x:c>
      <x:c r="R527" s="28" t="n">
        <x:v>0</x:v>
      </x:c>
      <x:c r="S527" s="28" t="str">
        <x:v>fcf3afe3afa166db</x:v>
      </x:c>
    </x:row>
    <x:row r="528" ht="21" customHeight="1">
      <x:c r="A528" s="60" t="n">
        <x:v>0.62</x:v>
      </x:c>
      <x:c r="B528" s="28" t="str">
        <x:v>front_flat</x:v>
      </x:c>
      <x:c r="C528" s="60" t="n">
        <x:v>0.8</x:v>
      </x:c>
      <x:c r="D528" s="60" t="n">
        <x:v>0.8</x:v>
      </x:c>
      <x:c r="E528" s="62" t="b">
        <x:v>1</x:v>
      </x:c>
      <x:c r="F528" s="62" t="b">
        <x:v>0</x:v>
      </x:c>
      <x:c r="G528" s="85" t="n">
        <x:v>5844656.300159916</x:v>
      </x:c>
      <x:c r="H528" s="85" t="n">
        <x:v>31595465.736264616</x:v>
      </x:c>
      <x:c r="I528" s="85" t="n">
        <x:v>82617823.68388498</x:v>
      </x:c>
      <x:c r="J528" s="85" t="n">
        <x:v>84000000.00000001</x:v>
      </x:c>
      <x:c r="K528" s="85" t="n">
        <x:v>0</x:v>
      </x:c>
      <x:c r="L528" s="28" t="n">
        <x:v>46</x:v>
      </x:c>
      <x:c r="M528" s="28" t="n">
        <x:v>38</x:v>
      </x:c>
      <x:c r="N528" s="28" t="n">
        <x:v>9.313225746154785e-10</x:v>
      </x:c>
      <x:c r="O528" s="28" t="n">
        <x:v>1.4901161193847656e-8</x:v>
      </x:c>
      <x:c r="P528" s="28" t="n">
        <x:v>0</x:v>
      </x:c>
      <x:c r="Q528" s="62" t="b">
        <x:v>1</x:v>
      </x:c>
      <x:c r="R528" s="28" t="n">
        <x:v>0</x:v>
      </x:c>
      <x:c r="S528" s="28" t="str">
        <x:v>408a8daca3195150</x:v>
      </x:c>
    </x:row>
    <x:row r="529" ht="21" customHeight="1">
      <x:c r="A529" s="60" t="n">
        <x:v>0.62</x:v>
      </x:c>
      <x:c r="B529" s="28" t="str">
        <x:v>front_flat</x:v>
      </x:c>
      <x:c r="C529" s="60" t="n">
        <x:v>0.85</x:v>
      </x:c>
      <x:c r="D529" s="60" t="n">
        <x:v>0.85</x:v>
      </x:c>
      <x:c r="E529" s="62" t="b">
        <x:v>1</x:v>
      </x:c>
      <x:c r="F529" s="62" t="b">
        <x:v>0</x:v>
      </x:c>
      <x:c r="G529" s="85" t="n">
        <x:v>8592408.529890504</x:v>
      </x:c>
      <x:c r="H529" s="85" t="n">
        <x:v>43989345.25229003</x:v>
      </x:c>
      <x:c r="I529" s="85" t="n">
        <x:v>82680593.6787682</x:v>
      </x:c>
      <x:c r="J529" s="85" t="n">
        <x:v>84000000.00000001</x:v>
      </x:c>
      <x:c r="K529" s="85" t="n">
        <x:v>0</x:v>
      </x:c>
      <x:c r="L529" s="28" t="n">
        <x:v>46</x:v>
      </x:c>
      <x:c r="M529" s="28" t="n">
        <x:v>42</x:v>
      </x:c>
      <x:c r="N529" s="28" t="n">
        <x:v>1.862645149230957e-9</x:v>
      </x:c>
      <x:c r="O529" s="28" t="n">
        <x:v>1.862645149230957e-9</x:v>
      </x:c>
      <x:c r="P529" s="28" t="n">
        <x:v>0</x:v>
      </x:c>
      <x:c r="Q529" s="62" t="b">
        <x:v>1</x:v>
      </x:c>
      <x:c r="R529" s="28" t="n">
        <x:v>0</x:v>
      </x:c>
      <x:c r="S529" s="28" t="str">
        <x:v>7786f69a8ab09f56</x:v>
      </x:c>
    </x:row>
    <x:row r="530" ht="21" customHeight="1">
      <x:c r="A530" s="60" t="n">
        <x:v>0.62</x:v>
      </x:c>
      <x:c r="B530" s="28" t="str">
        <x:v>front_flat</x:v>
      </x:c>
      <x:c r="C530" s="60" t="n">
        <x:v>0.9</x:v>
      </x:c>
      <x:c r="D530" s="60" t="n">
        <x:v>0.9</x:v>
      </x:c>
      <x:c r="E530" s="62" t="b">
        <x:v>1</x:v>
      </x:c>
      <x:c r="F530" s="62" t="b">
        <x:v>0</x:v>
      </x:c>
      <x:c r="G530" s="85" t="n">
        <x:v>11799461.505955976</x:v>
      </x:c>
      <x:c r="H530" s="85" t="n">
        <x:v>55924720.50372534</x:v>
      </x:c>
      <x:c r="I530" s="85" t="n">
        <x:v>82743363.67365143</x:v>
      </x:c>
      <x:c r="J530" s="85" t="n">
        <x:v>84000000.00000001</x:v>
      </x:c>
      <x:c r="K530" s="85" t="n">
        <x:v>0</x:v>
      </x:c>
      <x:c r="L530" s="28" t="n">
        <x:v>46</x:v>
      </x:c>
      <x:c r="M530" s="28" t="n">
        <x:v>44</x:v>
      </x:c>
      <x:c r="N530" s="28" t="n">
        <x:v>9.313225746154785e-10</x:v>
      </x:c>
      <x:c r="O530" s="28" t="n">
        <x:v>1.4901161193847656e-8</x:v>
      </x:c>
      <x:c r="P530" s="28" t="n">
        <x:v>0</x:v>
      </x:c>
      <x:c r="Q530" s="62" t="b">
        <x:v>1</x:v>
      </x:c>
      <x:c r="R530" s="28" t="n">
        <x:v>0</x:v>
      </x:c>
      <x:c r="S530" s="28" t="str">
        <x:v>7368ce89330d854a</x:v>
      </x:c>
    </x:row>
    <x:row r="531" ht="21" customHeight="1">
      <x:c r="A531" s="60" t="n">
        <x:v>0.62</x:v>
      </x:c>
      <x:c r="B531" s="28" t="str">
        <x:v>front_flat</x:v>
      </x:c>
      <x:c r="C531" s="60" t="n">
        <x:v>0.95</x:v>
      </x:c>
      <x:c r="D531" s="60" t="n">
        <x:v>0.9497739906324524</x:v>
      </x:c>
      <x:c r="E531" s="62" t="b">
        <x:v>0</x:v>
      </x:c>
      <x:c r="F531" s="62" t="b">
        <x:v>0</x:v>
      </x:c>
      <x:c r="G531" s="85" t="n">
        <x:v>17002840.5222291</x:v>
      </x:c>
      <x:c r="H531" s="85" t="n">
        <x:v>64375303.83193251</x:v>
      </x:c>
      <x:c r="I531" s="85" t="n">
        <x:v>82806133.66853464</x:v>
      </x:c>
      <x:c r="J531" s="85" t="n">
        <x:v>84000000.00000001</x:v>
      </x:c>
      <x:c r="K531" s="85" t="n">
        <x:v>0</x:v>
      </x:c>
      <x:c r="L531" s="28" t="n">
        <x:v>46</x:v>
      </x:c>
      <x:c r="M531" s="28" t="n">
        <x:v>44</x:v>
      </x:c>
      <x:c r="N531" s="28" t="n">
        <x:v>0</x:v>
      </x:c>
      <x:c r="O531" s="28" t="n">
        <x:v>1.4901161193847656e-8</x:v>
      </x:c>
      <x:c r="P531" s="28" t="n">
        <x:v>0</x:v>
      </x:c>
      <x:c r="Q531" s="62" t="b">
        <x:v>1</x:v>
      </x:c>
      <x:c r="R531" s="28" t="n">
        <x:v>67802.81026428938</x:v>
      </x:c>
      <x:c r="S531" s="28" t="str">
        <x:v>4556800c72416ac5</x:v>
      </x:c>
    </x:row>
    <x:row r="532" ht="21" customHeight="1">
      <x:c r="A532" s="60" t="n">
        <x:v>0.62</x:v>
      </x:c>
      <x:c r="B532" s="28" t="str">
        <x:v>front_flat</x:v>
      </x:c>
      <x:c r="C532" s="60" t="n">
        <x:v>1</x:v>
      </x:c>
      <x:c r="D532" s="60" t="n">
        <x:v>0.9646994850752131</x:v>
      </x:c>
      <x:c r="E532" s="62" t="b">
        <x:v>0</x:v>
      </x:c>
      <x:c r="F532" s="62" t="b">
        <x:v>0</x:v>
      </x:c>
      <x:c r="G532" s="85" t="n">
        <x:v>18822368.76540888</x:v>
      </x:c>
      <x:c r="H532" s="85" t="n">
        <x:v>68392511.84022461</x:v>
      </x:c>
      <x:c r="I532" s="85" t="n">
        <x:v>82868903.66341786</x:v>
      </x:c>
      <x:c r="J532" s="85" t="n">
        <x:v>84000000.00000001</x:v>
      </x:c>
      <x:c r="K532" s="85" t="n">
        <x:v>0</x:v>
      </x:c>
      <x:c r="L532" s="28" t="n">
        <x:v>46</x:v>
      </x:c>
      <x:c r="M532" s="28" t="n">
        <x:v>44</x:v>
      </x:c>
      <x:c r="N532" s="28" t="n">
        <x:v>1.862645149230957e-9</x:v>
      </x:c>
      <x:c r="O532" s="28" t="n">
        <x:v>3.725290298461914e-9</x:v>
      </x:c>
      <x:c r="P532" s="28" t="n">
        <x:v>0</x:v>
      </x:c>
      <x:c r="Q532" s="62" t="b">
        <x:v>1</x:v>
      </x:c>
      <x:c r="R532" s="28" t="n">
        <x:v>10590154.477436066</x:v>
      </x:c>
      <x:c r="S532" s="28" t="str">
        <x:v>99b8b9733d137af3</x:v>
      </x:c>
    </x:row>
    <x:row r="533" ht="21" customHeight="1">
      <x:c r="A533" s="60" t="n">
        <x:v>0.62</x:v>
      </x:c>
      <x:c r="B533" s="28" t="str">
        <x:v>front_low</x:v>
      </x:c>
      <x:c r="C533" s="60" t="n">
        <x:v>0</x:v>
      </x:c>
      <x:c r="D533" s="60" t="n">
        <x:v>0</x:v>
      </x:c>
      <x:c r="E533" s="62" t="b">
        <x:v>1</x:v>
      </x:c>
      <x:c r="F533" s="62" t="b">
        <x:v>1</x:v>
      </x:c>
      <x:c r="G533" s="85" t="n">
        <x:v>0</x:v>
      </x:c>
      <x:c r="H533" s="85" t="n">
        <x:v>0</x:v>
      </x:c>
      <x:c r="I533" s="85" t="n">
        <x:v>0</x:v>
      </x:c>
      <x:c r="J533" s="85" t="n">
        <x:v>0</x:v>
      </x:c>
      <x:c r="K533" s="85" t="n">
        <x:v>27289826.80616435</x:v>
      </x:c>
      <x:c r="L533" s="28" t="n">
        <x:v>0</x:v>
      </x:c>
      <x:c r="M533" s="28" t="n">
        <x:v>0</x:v>
      </x:c>
      <x:c r="N533" s="28" t="n">
        <x:v>4.656612873077393e-10</x:v>
      </x:c>
      <x:c r="O533" s="28" t="n">
        <x:v>0</x:v>
      </x:c>
      <x:c r="P533" s="28" t="n">
        <x:v>0</x:v>
      </x:c>
      <x:c r="Q533" s="62" t="b">
        <x:v>1</x:v>
      </x:c>
      <x:c r="R533" s="28" t="n">
        <x:v>0</x:v>
      </x:c>
      <x:c r="S533" s="28" t="str">
        <x:v>fa2ab93f250b78d5</x:v>
      </x:c>
    </x:row>
    <x:row r="534" ht="21" customHeight="1">
      <x:c r="A534" s="60" t="n">
        <x:v>0.62</x:v>
      </x:c>
      <x:c r="B534" s="28" t="str">
        <x:v>front_low</x:v>
      </x:c>
      <x:c r="C534" s="60" t="n">
        <x:v>0.05</x:v>
      </x:c>
      <x:c r="D534" s="60" t="n">
        <x:v>0.05</x:v>
      </x:c>
      <x:c r="E534" s="62" t="b">
        <x:v>1</x:v>
      </x:c>
      <x:c r="F534" s="62" t="b">
        <x:v>1</x:v>
      </x:c>
      <x:c r="G534" s="85" t="n">
        <x:v>0</x:v>
      </x:c>
      <x:c r="H534" s="85" t="n">
        <x:v>0</x:v>
      </x:c>
      <x:c r="I534" s="85" t="n">
        <x:v>0</x:v>
      </x:c>
      <x:c r="J534" s="85" t="n">
        <x:v>0</x:v>
      </x:c>
      <x:c r="K534" s="85" t="n">
        <x:v>16355898.165130682</x:v>
      </x:c>
      <x:c r="L534" s="28" t="n">
        <x:v>0</x:v>
      </x:c>
      <x:c r="M534" s="28" t="n">
        <x:v>0</x:v>
      </x:c>
      <x:c r="N534" s="28" t="n">
        <x:v>1.862645149230957e-9</x:v>
      </x:c>
      <x:c r="O534" s="28" t="n">
        <x:v>5.960464477539063e-8</x:v>
      </x:c>
      <x:c r="P534" s="28" t="n">
        <x:v>0</x:v>
      </x:c>
      <x:c r="Q534" s="62" t="b">
        <x:v>1</x:v>
      </x:c>
      <x:c r="R534" s="28" t="n">
        <x:v>0</x:v>
      </x:c>
      <x:c r="S534" s="28" t="str">
        <x:v>dff73e06922f7220</x:v>
      </x:c>
    </x:row>
    <x:row r="535" ht="21" customHeight="1">
      <x:c r="A535" s="60" t="n">
        <x:v>0.62</x:v>
      </x:c>
      <x:c r="B535" s="28" t="str">
        <x:v>front_low</x:v>
      </x:c>
      <x:c r="C535" s="60" t="n">
        <x:v>0.1</x:v>
      </x:c>
      <x:c r="D535" s="60" t="n">
        <x:v>0.1</x:v>
      </x:c>
      <x:c r="E535" s="62" t="b">
        <x:v>1</x:v>
      </x:c>
      <x:c r="F535" s="62" t="b">
        <x:v>1</x:v>
      </x:c>
      <x:c r="G535" s="85" t="n">
        <x:v>0</x:v>
      </x:c>
      <x:c r="H535" s="85" t="n">
        <x:v>0</x:v>
      </x:c>
      <x:c r="I535" s="85" t="n">
        <x:v>0</x:v>
      </x:c>
      <x:c r="J535" s="85" t="n">
        <x:v>0</x:v>
      </x:c>
      <x:c r="K535" s="85" t="n">
        <x:v>5363376.664934559</x:v>
      </x:c>
      <x:c r="L535" s="28" t="n">
        <x:v>0</x:v>
      </x:c>
      <x:c r="M535" s="28" t="n">
        <x:v>0</x:v>
      </x:c>
      <x:c r="N535" s="28" t="n">
        <x:v>3.725290298461914e-9</x:v>
      </x:c>
      <x:c r="O535" s="28" t="n">
        <x:v>5.960464477539063e-8</x:v>
      </x:c>
      <x:c r="P535" s="28" t="n">
        <x:v>0</x:v>
      </x:c>
      <x:c r="Q535" s="62" t="b">
        <x:v>1</x:v>
      </x:c>
      <x:c r="R535" s="28" t="n">
        <x:v>0</x:v>
      </x:c>
      <x:c r="S535" s="28" t="str">
        <x:v>92228d37b7a4db49</x:v>
      </x:c>
    </x:row>
    <x:row r="536" ht="21" customHeight="1">
      <x:c r="A536" s="60" t="n">
        <x:v>0.62</x:v>
      </x:c>
      <x:c r="B536" s="28" t="str">
        <x:v>front_low</x:v>
      </x:c>
      <x:c r="C536" s="60" t="n">
        <x:v>0.15</x:v>
      </x:c>
      <x:c r="D536" s="60" t="n">
        <x:v>0.15</x:v>
      </x:c>
      <x:c r="E536" s="62" t="b">
        <x:v>1</x:v>
      </x:c>
      <x:c r="F536" s="62" t="b">
        <x:v>1</x:v>
      </x:c>
      <x:c r="G536" s="85" t="n">
        <x:v>0</x:v>
      </x:c>
      <x:c r="H536" s="85" t="n">
        <x:v>0</x:v>
      </x:c>
      <x:c r="I536" s="85" t="n">
        <x:v>3865149.920186854</x:v>
      </x:c>
      <x:c r="J536" s="85" t="n">
        <x:v>0</x:v>
      </x:c>
      <x:c r="K536" s="85" t="n">
        <x:v>0</x:v>
      </x:c>
      <x:c r="L536" s="28" t="n">
        <x:v>0</x:v>
      </x:c>
      <x:c r="M536" s="28" t="n">
        <x:v>0</x:v>
      </x:c>
      <x:c r="N536" s="28" t="n">
        <x:v>3.725290298461914e-9</x:v>
      </x:c>
      <x:c r="O536" s="28" t="n">
        <x:v>2.9802322387695312e-8</x:v>
      </x:c>
      <x:c r="P536" s="28" t="n">
        <x:v>0</x:v>
      </x:c>
      <x:c r="Q536" s="62" t="b">
        <x:v>1</x:v>
      </x:c>
      <x:c r="R536" s="28" t="n">
        <x:v>0</x:v>
      </x:c>
      <x:c r="S536" s="28" t="str">
        <x:v>cdf83cc3c75adccb</x:v>
      </x:c>
    </x:row>
    <x:row r="537" ht="21" customHeight="1">
      <x:c r="A537" s="60" t="n">
        <x:v>0.62</x:v>
      </x:c>
      <x:c r="B537" s="28" t="str">
        <x:v>front_low</x:v>
      </x:c>
      <x:c r="C537" s="60" t="n">
        <x:v>0.2</x:v>
      </x:c>
      <x:c r="D537" s="60" t="n">
        <x:v>0.2</x:v>
      </x:c>
      <x:c r="E537" s="62" t="b">
        <x:v>1</x:v>
      </x:c>
      <x:c r="F537" s="62" t="b">
        <x:v>1</x:v>
      </x:c>
      <x:c r="G537" s="85" t="n">
        <x:v>0</x:v>
      </x:c>
      <x:c r="H537" s="85" t="n">
        <x:v>0</x:v>
      </x:c>
      <x:c r="I537" s="85" t="n">
        <x:v>10577458.485610064</x:v>
      </x:c>
      <x:c r="J537" s="85" t="n">
        <x:v>6284479.4973746715</x:v>
      </x:c>
      <x:c r="K537" s="85" t="n">
        <x:v>0</x:v>
      </x:c>
      <x:c r="L537" s="28" t="n">
        <x:v>0</x:v>
      </x:c>
      <x:c r="M537" s="28" t="n">
        <x:v>0</x:v>
      </x:c>
      <x:c r="N537" s="28" t="n">
        <x:v>1.862645149230957e-9</x:v>
      </x:c>
      <x:c r="O537" s="28" t="n">
        <x:v>2.9802322387695312e-8</x:v>
      </x:c>
      <x:c r="P537" s="28" t="n">
        <x:v>0</x:v>
      </x:c>
      <x:c r="Q537" s="62" t="b">
        <x:v>1</x:v>
      </x:c>
      <x:c r="R537" s="28" t="n">
        <x:v>0</x:v>
      </x:c>
      <x:c r="S537" s="28" t="str">
        <x:v>105142269d9715fe</x:v>
      </x:c>
    </x:row>
    <x:row r="538" ht="21" customHeight="1">
      <x:c r="A538" s="60" t="n">
        <x:v>0.62</x:v>
      </x:c>
      <x:c r="B538" s="28" t="str">
        <x:v>front_low</x:v>
      </x:c>
      <x:c r="C538" s="60" t="n">
        <x:v>0.25</x:v>
      </x:c>
      <x:c r="D538" s="60" t="n">
        <x:v>0.25</x:v>
      </x:c>
      <x:c r="E538" s="62" t="b">
        <x:v>1</x:v>
      </x:c>
      <x:c r="F538" s="62" t="b">
        <x:v>1</x:v>
      </x:c>
      <x:c r="G538" s="85" t="n">
        <x:v>0</x:v>
      </x:c>
      <x:c r="H538" s="85" t="n">
        <x:v>0</x:v>
      </x:c>
      <x:c r="I538" s="85" t="n">
        <x:v>15142660.358553614</x:v>
      </x:c>
      <x:c r="J538" s="85" t="n">
        <x:v>15355599.371718263</x:v>
      </x:c>
      <x:c r="K538" s="85" t="n">
        <x:v>0</x:v>
      </x:c>
      <x:c r="L538" s="28" t="n">
        <x:v>0</x:v>
      </x:c>
      <x:c r="M538" s="28" t="n">
        <x:v>0</x:v>
      </x:c>
      <x:c r="N538" s="28" t="n">
        <x:v>1.862645149230957e-9</x:v>
      </x:c>
      <x:c r="O538" s="28" t="n">
        <x:v>1.4901161193847656e-8</x:v>
      </x:c>
      <x:c r="P538" s="28" t="n">
        <x:v>0</x:v>
      </x:c>
      <x:c r="Q538" s="62" t="b">
        <x:v>1</x:v>
      </x:c>
      <x:c r="R538" s="28" t="n">
        <x:v>0</x:v>
      </x:c>
      <x:c r="S538" s="28" t="str">
        <x:v>9b525cfa6b2e8412</x:v>
      </x:c>
    </x:row>
    <x:row r="539" ht="21" customHeight="1">
      <x:c r="A539" s="60" t="n">
        <x:v>0.62</x:v>
      </x:c>
      <x:c r="B539" s="28" t="str">
        <x:v>front_low</x:v>
      </x:c>
      <x:c r="C539" s="60" t="n">
        <x:v>0.3</x:v>
      </x:c>
      <x:c r="D539" s="60" t="n">
        <x:v>0.3</x:v>
      </x:c>
      <x:c r="E539" s="62" t="b">
        <x:v>1</x:v>
      </x:c>
      <x:c r="F539" s="62" t="b">
        <x:v>1</x:v>
      </x:c>
      <x:c r="G539" s="85" t="n">
        <x:v>0</x:v>
      </x:c>
      <x:c r="H539" s="85" t="n">
        <x:v>0</x:v>
      </x:c>
      <x:c r="I539" s="85" t="n">
        <x:v>19707862.23149722</x:v>
      </x:c>
      <x:c r="J539" s="85" t="n">
        <x:v>24426719.246061895</x:v>
      </x:c>
      <x:c r="K539" s="85" t="n">
        <x:v>0</x:v>
      </x:c>
      <x:c r="L539" s="28" t="n">
        <x:v>0</x:v>
      </x:c>
      <x:c r="M539" s="28" t="n">
        <x:v>0</x:v>
      </x:c>
      <x:c r="N539" s="28" t="n">
        <x:v>3.725290298461914e-9</x:v>
      </x:c>
      <x:c r="O539" s="28" t="n">
        <x:v>2.9802322387695312e-8</x:v>
      </x:c>
      <x:c r="P539" s="28" t="n">
        <x:v>0</x:v>
      </x:c>
      <x:c r="Q539" s="62" t="b">
        <x:v>1</x:v>
      </x:c>
      <x:c r="R539" s="28" t="n">
        <x:v>0</x:v>
      </x:c>
      <x:c r="S539" s="28" t="str">
        <x:v>e4cbbcbee93c044b</x:v>
      </x:c>
    </x:row>
    <x:row r="540" ht="21" customHeight="1">
      <x:c r="A540" s="60" t="n">
        <x:v>0.62</x:v>
      </x:c>
      <x:c r="B540" s="28" t="str">
        <x:v>front_low</x:v>
      </x:c>
      <x:c r="C540" s="60" t="n">
        <x:v>0.35</x:v>
      </x:c>
      <x:c r="D540" s="60" t="n">
        <x:v>0.35</x:v>
      </x:c>
      <x:c r="E540" s="62" t="b">
        <x:v>1</x:v>
      </x:c>
      <x:c r="F540" s="62" t="b">
        <x:v>1</x:v>
      </x:c>
      <x:c r="G540" s="85" t="n">
        <x:v>0</x:v>
      </x:c>
      <x:c r="H540" s="85" t="n">
        <x:v>0</x:v>
      </x:c>
      <x:c r="I540" s="85" t="n">
        <x:v>24273064.104440827</x:v>
      </x:c>
      <x:c r="J540" s="85" t="n">
        <x:v>33497839.120405573</x:v>
      </x:c>
      <x:c r="K540" s="85" t="n">
        <x:v>0</x:v>
      </x:c>
      <x:c r="L540" s="28" t="n">
        <x:v>0</x:v>
      </x:c>
      <x:c r="M540" s="28" t="n">
        <x:v>0</x:v>
      </x:c>
      <x:c r="N540" s="28" t="n">
        <x:v>3.725290298461914e-9</x:v>
      </x:c>
      <x:c r="O540" s="28" t="n">
        <x:v>7.450580596923828e-9</x:v>
      </x:c>
      <x:c r="P540" s="28" t="n">
        <x:v>0</x:v>
      </x:c>
      <x:c r="Q540" s="62" t="b">
        <x:v>1</x:v>
      </x:c>
      <x:c r="R540" s="28" t="n">
        <x:v>0</x:v>
      </x:c>
      <x:c r="S540" s="28" t="str">
        <x:v>56948ef45f7ab6c8</x:v>
      </x:c>
    </x:row>
    <x:row r="541" ht="21" customHeight="1">
      <x:c r="A541" s="60" t="n">
        <x:v>0.62</x:v>
      </x:c>
      <x:c r="B541" s="28" t="str">
        <x:v>front_low</x:v>
      </x:c>
      <x:c r="C541" s="60" t="n">
        <x:v>0.4</x:v>
      </x:c>
      <x:c r="D541" s="60" t="n">
        <x:v>0.4</x:v>
      </x:c>
      <x:c r="E541" s="62" t="b">
        <x:v>1</x:v>
      </x:c>
      <x:c r="F541" s="62" t="b">
        <x:v>1</x:v>
      </x:c>
      <x:c r="G541" s="85" t="n">
        <x:v>0</x:v>
      </x:c>
      <x:c r="H541" s="85" t="n">
        <x:v>0</x:v>
      </x:c>
      <x:c r="I541" s="85" t="n">
        <x:v>28795993.200160213</x:v>
      </x:c>
      <x:c r="J541" s="85" t="n">
        <x:v>42568958.994749255</x:v>
      </x:c>
      <x:c r="K541" s="85" t="n">
        <x:v>0</x:v>
      </x:c>
      <x:c r="L541" s="28" t="n">
        <x:v>0</x:v>
      </x:c>
      <x:c r="M541" s="28" t="n">
        <x:v>0</x:v>
      </x:c>
      <x:c r="N541" s="28" t="n">
        <x:v>1.862645149230957e-9</x:v>
      </x:c>
      <x:c r="O541" s="28" t="n">
        <x:v>2.9802322387695312e-8</x:v>
      </x:c>
      <x:c r="P541" s="28" t="n">
        <x:v>0</x:v>
      </x:c>
      <x:c r="Q541" s="62" t="b">
        <x:v>1</x:v>
      </x:c>
      <x:c r="R541" s="28" t="n">
        <x:v>0</x:v>
      </x:c>
      <x:c r="S541" s="28" t="str">
        <x:v>7f2f9d2169dd3708</x:v>
      </x:c>
    </x:row>
    <x:row r="542" ht="21" customHeight="1">
      <x:c r="A542" s="60" t="n">
        <x:v>0.62</x:v>
      </x:c>
      <x:c r="B542" s="28" t="str">
        <x:v>front_low</x:v>
      </x:c>
      <x:c r="C542" s="60" t="n">
        <x:v>0.45</x:v>
      </x:c>
      <x:c r="D542" s="60" t="n">
        <x:v>0.45</x:v>
      </x:c>
      <x:c r="E542" s="62" t="b">
        <x:v>1</x:v>
      </x:c>
      <x:c r="F542" s="62" t="b">
        <x:v>1</x:v>
      </x:c>
      <x:c r="G542" s="85" t="n">
        <x:v>0</x:v>
      </x:c>
      <x:c r="H542" s="85" t="n">
        <x:v>0</x:v>
      </x:c>
      <x:c r="I542" s="85" t="n">
        <x:v>33347824.203861725</x:v>
      </x:c>
      <x:c r="J542" s="85" t="n">
        <x:v>51640078.8690929</x:v>
      </x:c>
      <x:c r="K542" s="85" t="n">
        <x:v>0</x:v>
      </x:c>
      <x:c r="L542" s="28" t="n">
        <x:v>0</x:v>
      </x:c>
      <x:c r="M542" s="28" t="n">
        <x:v>0</x:v>
      </x:c>
      <x:c r="N542" s="28" t="n">
        <x:v>1.862645149230957e-9</x:v>
      </x:c>
      <x:c r="O542" s="28" t="n">
        <x:v>2.9802322387695312e-8</x:v>
      </x:c>
      <x:c r="P542" s="28" t="n">
        <x:v>0</x:v>
      </x:c>
      <x:c r="Q542" s="62" t="b">
        <x:v>1</x:v>
      </x:c>
      <x:c r="R542" s="28" t="n">
        <x:v>0</x:v>
      </x:c>
      <x:c r="S542" s="28" t="str">
        <x:v>3066ad39724955a0</x:v>
      </x:c>
    </x:row>
    <x:row r="543" ht="21" customHeight="1">
      <x:c r="A543" s="60" t="n">
        <x:v>0.62</x:v>
      </x:c>
      <x:c r="B543" s="28" t="str">
        <x:v>front_low</x:v>
      </x:c>
      <x:c r="C543" s="60" t="n">
        <x:v>0.5</x:v>
      </x:c>
      <x:c r="D543" s="60" t="n">
        <x:v>0.5</x:v>
      </x:c>
      <x:c r="E543" s="62" t="b">
        <x:v>1</x:v>
      </x:c>
      <x:c r="F543" s="62" t="b">
        <x:v>1</x:v>
      </x:c>
      <x:c r="G543" s="85" t="n">
        <x:v>0</x:v>
      </x:c>
      <x:c r="H543" s="85" t="n">
        <x:v>0</x:v>
      </x:c>
      <x:c r="I543" s="85" t="n">
        <x:v>39987934.45530875</x:v>
      </x:c>
      <x:c r="J543" s="85" t="n">
        <x:v>57196313.886805736</x:v>
      </x:c>
      <x:c r="K543" s="85" t="n">
        <x:v>0</x:v>
      </x:c>
      <x:c r="L543" s="28" t="n">
        <x:v>6</x:v>
      </x:c>
      <x:c r="M543" s="28" t="n">
        <x:v>0</x:v>
      </x:c>
      <x:c r="N543" s="28" t="n">
        <x:v>1.862645149230957e-9</x:v>
      </x:c>
      <x:c r="O543" s="28" t="n">
        <x:v>2.9802322387695312e-8</x:v>
      </x:c>
      <x:c r="P543" s="28" t="n">
        <x:v>0</x:v>
      </x:c>
      <x:c r="Q543" s="62" t="b">
        <x:v>1</x:v>
      </x:c>
      <x:c r="R543" s="28" t="n">
        <x:v>0</x:v>
      </x:c>
      <x:c r="S543" s="28" t="str">
        <x:v>b36b8e715e07f328</x:v>
      </x:c>
    </x:row>
    <x:row r="544" ht="21" customHeight="1">
      <x:c r="A544" s="60" t="n">
        <x:v>0.62</x:v>
      </x:c>
      <x:c r="B544" s="28" t="str">
        <x:v>front_low</x:v>
      </x:c>
      <x:c r="C544" s="60" t="n">
        <x:v>0.55</x:v>
      </x:c>
      <x:c r="D544" s="60" t="n">
        <x:v>0.55</x:v>
      </x:c>
      <x:c r="E544" s="62" t="b">
        <x:v>1</x:v>
      </x:c>
      <x:c r="F544" s="62" t="b">
        <x:v>1</x:v>
      </x:c>
      <x:c r="G544" s="85" t="n">
        <x:v>0</x:v>
      </x:c>
      <x:c r="H544" s="85" t="n">
        <x:v>0</x:v>
      </x:c>
      <x:c r="I544" s="85" t="n">
        <x:v>47243083.77245052</x:v>
      </x:c>
      <x:c r="J544" s="85" t="n">
        <x:v>61626055.96445038</x:v>
      </x:c>
      <x:c r="K544" s="85" t="n">
        <x:v>0</x:v>
      </x:c>
      <x:c r="L544" s="28" t="n">
        <x:v>15</x:v>
      </x:c>
      <x:c r="M544" s="28" t="n">
        <x:v>0</x:v>
      </x:c>
      <x:c r="N544" s="28" t="n">
        <x:v>1.862645149230957e-9</x:v>
      </x:c>
      <x:c r="O544" s="28" t="n">
        <x:v>2.9802322387695312e-8</x:v>
      </x:c>
      <x:c r="P544" s="28" t="n">
        <x:v>0</x:v>
      </x:c>
      <x:c r="Q544" s="62" t="b">
        <x:v>1</x:v>
      </x:c>
      <x:c r="R544" s="28" t="n">
        <x:v>0</x:v>
      </x:c>
      <x:c r="S544" s="28" t="str">
        <x:v>098cccda947ba3a9</x:v>
      </x:c>
    </x:row>
    <x:row r="545" ht="21" customHeight="1">
      <x:c r="A545" s="60" t="n">
        <x:v>0.62</x:v>
      </x:c>
      <x:c r="B545" s="28" t="str">
        <x:v>front_low</x:v>
      </x:c>
      <x:c r="C545" s="60" t="n">
        <x:v>0.6</x:v>
      </x:c>
      <x:c r="D545" s="60" t="n">
        <x:v>0.6</x:v>
      </x:c>
      <x:c r="E545" s="62" t="b">
        <x:v>1</x:v>
      </x:c>
      <x:c r="F545" s="62" t="b">
        <x:v>1</x:v>
      </x:c>
      <x:c r="G545" s="85" t="n">
        <x:v>0</x:v>
      </x:c>
      <x:c r="H545" s="85" t="n">
        <x:v>0</x:v>
      </x:c>
      <x:c r="I545" s="85" t="n">
        <x:v>52294226.521906435</x:v>
      </x:c>
      <x:c r="J545" s="85" t="n">
        <x:v>69616848.78120919</x:v>
      </x:c>
      <x:c r="K545" s="85" t="n">
        <x:v>0</x:v>
      </x:c>
      <x:c r="L545" s="28" t="n">
        <x:v>19</x:v>
      </x:c>
      <x:c r="M545" s="28" t="n">
        <x:v>0</x:v>
      </x:c>
      <x:c r="N545" s="28" t="n">
        <x:v>9.313225746154785e-10</x:v>
      </x:c>
      <x:c r="O545" s="28" t="n">
        <x:v>2.9802322387695312e-8</x:v>
      </x:c>
      <x:c r="P545" s="28" t="n">
        <x:v>0</x:v>
      </x:c>
      <x:c r="Q545" s="62" t="b">
        <x:v>1</x:v>
      </x:c>
      <x:c r="R545" s="28" t="n">
        <x:v>0</x:v>
      </x:c>
      <x:c r="S545" s="28" t="str">
        <x:v>58a421be4c14bbfe</x:v>
      </x:c>
    </x:row>
    <x:row r="546" ht="21" customHeight="1">
      <x:c r="A546" s="60" t="n">
        <x:v>0.62</x:v>
      </x:c>
      <x:c r="B546" s="28" t="str">
        <x:v>front_low</x:v>
      </x:c>
      <x:c r="C546" s="60" t="n">
        <x:v>0.65</x:v>
      </x:c>
      <x:c r="D546" s="60" t="n">
        <x:v>0.65</x:v>
      </x:c>
      <x:c r="E546" s="62" t="b">
        <x:v>1</x:v>
      </x:c>
      <x:c r="F546" s="62" t="b">
        <x:v>1</x:v>
      </x:c>
      <x:c r="G546" s="85" t="n">
        <x:v>0</x:v>
      </x:c>
      <x:c r="H546" s="85" t="n">
        <x:v>0</x:v>
      </x:c>
      <x:c r="I546" s="85" t="n">
        <x:v>55967998.16688882</x:v>
      </x:c>
      <x:c r="J546" s="85" t="n">
        <x:v>79759690.69377804</x:v>
      </x:c>
      <x:c r="K546" s="85" t="n">
        <x:v>0</x:v>
      </x:c>
      <x:c r="L546" s="28" t="n">
        <x:v>22</x:v>
      </x:c>
      <x:c r="M546" s="28" t="n">
        <x:v>0</x:v>
      </x:c>
      <x:c r="N546" s="28" t="n">
        <x:v>9.313225746154785e-10</x:v>
      </x:c>
      <x:c r="O546" s="28" t="n">
        <x:v>2.9802322387695312e-8</x:v>
      </x:c>
      <x:c r="P546" s="28" t="n">
        <x:v>0</x:v>
      </x:c>
      <x:c r="Q546" s="62" t="b">
        <x:v>1</x:v>
      </x:c>
      <x:c r="R546" s="28" t="n">
        <x:v>0</x:v>
      </x:c>
      <x:c r="S546" s="28" t="str">
        <x:v>cbd615e0eddcec78</x:v>
      </x:c>
    </x:row>
    <x:row r="547" ht="21" customHeight="1">
      <x:c r="A547" s="60" t="n">
        <x:v>0.62</x:v>
      </x:c>
      <x:c r="B547" s="28" t="str">
        <x:v>front_low</x:v>
      </x:c>
      <x:c r="C547" s="60" t="n">
        <x:v>0.7</x:v>
      </x:c>
      <x:c r="D547" s="60" t="n">
        <x:v>0.7</x:v>
      </x:c>
      <x:c r="E547" s="62" t="b">
        <x:v>1</x:v>
      </x:c>
      <x:c r="F547" s="62" t="b">
        <x:v>0</x:v>
      </x:c>
      <x:c r="G547" s="85" t="n">
        <x:v>436670.4060397723</x:v>
      </x:c>
      <x:c r="H547" s="85" t="n">
        <x:v>6568281.773008085</x:v>
      </x:c>
      <x:c r="I547" s="85" t="n">
        <x:v>57363836.44327192</x:v>
      </x:c>
      <x:c r="J547" s="85" t="n">
        <x:v>84000000.00000001</x:v>
      </x:c>
      <x:c r="K547" s="85" t="n">
        <x:v>0</x:v>
      </x:c>
      <x:c r="L547" s="28" t="n">
        <x:v>45</x:v>
      </x:c>
      <x:c r="M547" s="28" t="n">
        <x:v>29</x:v>
      </x:c>
      <x:c r="N547" s="28" t="n">
        <x:v>1.862645149230957e-9</x:v>
      </x:c>
      <x:c r="O547" s="28" t="n">
        <x:v>2.9802322387695312e-8</x:v>
      </x:c>
      <x:c r="P547" s="28" t="n">
        <x:v>0</x:v>
      </x:c>
      <x:c r="Q547" s="62" t="b">
        <x:v>1</x:v>
      </x:c>
      <x:c r="R547" s="28" t="n">
        <x:v>0</x:v>
      </x:c>
      <x:c r="S547" s="28" t="str">
        <x:v>53ce7e2c780cddb7</x:v>
      </x:c>
    </x:row>
    <x:row r="548" ht="21" customHeight="1">
      <x:c r="A548" s="60" t="n">
        <x:v>0.62</x:v>
      </x:c>
      <x:c r="B548" s="28" t="str">
        <x:v>front_low</x:v>
      </x:c>
      <x:c r="C548" s="60" t="n">
        <x:v>0.75</x:v>
      </x:c>
      <x:c r="D548" s="60" t="n">
        <x:v>0.75</x:v>
      </x:c>
      <x:c r="E548" s="62" t="b">
        <x:v>1</x:v>
      </x:c>
      <x:c r="F548" s="62" t="b">
        <x:v>0</x:v>
      </x:c>
      <x:c r="G548" s="85" t="n">
        <x:v>1176584.3082585554</x:v>
      </x:c>
      <x:c r="H548" s="85" t="n">
        <x:v>17732412.64350824</x:v>
      </x:c>
      <x:c r="I548" s="85" t="n">
        <x:v>57434044.62591267</x:v>
      </x:c>
      <x:c r="J548" s="85" t="n">
        <x:v>84000000.00000001</x:v>
      </x:c>
      <x:c r="K548" s="85" t="n">
        <x:v>0</x:v>
      </x:c>
      <x:c r="L548" s="28" t="n">
        <x:v>45</x:v>
      </x:c>
      <x:c r="M548" s="28" t="n">
        <x:v>32</x:v>
      </x:c>
      <x:c r="N548" s="28" t="n">
        <x:v>1.862645149230957e-9</x:v>
      </x:c>
      <x:c r="O548" s="28" t="n">
        <x:v>2.9802322387695312e-8</x:v>
      </x:c>
      <x:c r="P548" s="28" t="n">
        <x:v>0</x:v>
      </x:c>
      <x:c r="Q548" s="62" t="b">
        <x:v>1</x:v>
      </x:c>
      <x:c r="R548" s="28" t="n">
        <x:v>0</x:v>
      </x:c>
      <x:c r="S548" s="28" t="str">
        <x:v>41c9beaa80f00d88</x:v>
      </x:c>
    </x:row>
    <x:row r="549" ht="21" customHeight="1">
      <x:c r="A549" s="60" t="n">
        <x:v>0.62</x:v>
      </x:c>
      <x:c r="B549" s="28" t="str">
        <x:v>front_low</x:v>
      </x:c>
      <x:c r="C549" s="60" t="n">
        <x:v>0.8</x:v>
      </x:c>
      <x:c r="D549" s="60" t="n">
        <x:v>0.8</x:v>
      </x:c>
      <x:c r="E549" s="62" t="b">
        <x:v>1</x:v>
      </x:c>
      <x:c r="F549" s="62" t="b">
        <x:v>0</x:v>
      </x:c>
      <x:c r="G549" s="85" t="n">
        <x:v>2105698.9971147273</x:v>
      </x:c>
      <x:c r="H549" s="85" t="n">
        <x:v>27713665.19910265</x:v>
      </x:c>
      <x:c r="I549" s="85" t="n">
        <x:v>58314259.311939724</x:v>
      </x:c>
      <x:c r="J549" s="85" t="n">
        <x:v>84000000.00000001</x:v>
      </x:c>
      <x:c r="K549" s="85" t="n">
        <x:v>0</x:v>
      </x:c>
      <x:c r="L549" s="28" t="n">
        <x:v>46</x:v>
      </x:c>
      <x:c r="M549" s="28" t="n">
        <x:v>34</x:v>
      </x:c>
      <x:c r="N549" s="28" t="n">
        <x:v>1.862645149230957e-9</x:v>
      </x:c>
      <x:c r="O549" s="28" t="n">
        <x:v>1.4901161193847656e-8</x:v>
      </x:c>
      <x:c r="P549" s="28" t="n">
        <x:v>0</x:v>
      </x:c>
      <x:c r="Q549" s="62" t="b">
        <x:v>1</x:v>
      </x:c>
      <x:c r="R549" s="28" t="n">
        <x:v>0</x:v>
      </x:c>
      <x:c r="S549" s="28" t="str">
        <x:v>7a9f0f64a28a99f9</x:v>
      </x:c>
    </x:row>
    <x:row r="550" ht="21" customHeight="1">
      <x:c r="A550" s="60" t="n">
        <x:v>0.62</x:v>
      </x:c>
      <x:c r="B550" s="28" t="str">
        <x:v>front_low</x:v>
      </x:c>
      <x:c r="C550" s="60" t="n">
        <x:v>0.85</x:v>
      </x:c>
      <x:c r="D550" s="60" t="n">
        <x:v>0.85</x:v>
      </x:c>
      <x:c r="E550" s="62" t="b">
        <x:v>1</x:v>
      </x:c>
      <x:c r="F550" s="62" t="b">
        <x:v>0</x:v>
      </x:c>
      <x:c r="G550" s="85" t="n">
        <x:v>2992285.727559366</x:v>
      </x:c>
      <x:c r="H550" s="85" t="n">
        <x:v>38611852.13845876</x:v>
      </x:c>
      <x:c r="I550" s="85" t="n">
        <x:v>58350310.91542569</x:v>
      </x:c>
      <x:c r="J550" s="85" t="n">
        <x:v>84000000.00000001</x:v>
      </x:c>
      <x:c r="K550" s="85" t="n">
        <x:v>0</x:v>
      </x:c>
      <x:c r="L550" s="28" t="n">
        <x:v>46</x:v>
      </x:c>
      <x:c r="M550" s="28" t="n">
        <x:v>36</x:v>
      </x:c>
      <x:c r="N550" s="28" t="n">
        <x:v>9.313225746154785e-10</x:v>
      </x:c>
      <x:c r="O550" s="28" t="n">
        <x:v>1.862645149230957e-9</x:v>
      </x:c>
      <x:c r="P550" s="28" t="n">
        <x:v>0</x:v>
      </x:c>
      <x:c r="Q550" s="62" t="b">
        <x:v>1</x:v>
      </x:c>
      <x:c r="R550" s="28" t="n">
        <x:v>0</x:v>
      </x:c>
      <x:c r="S550" s="28" t="str">
        <x:v>3f6cb46a9f0b4f54</x:v>
      </x:c>
    </x:row>
    <x:row r="551" ht="21" customHeight="1">
      <x:c r="A551" s="60" t="n">
        <x:v>0.62</x:v>
      </x:c>
      <x:c r="B551" s="28" t="str">
        <x:v>front_low</x:v>
      </x:c>
      <x:c r="C551" s="60" t="n">
        <x:v>0.9</x:v>
      </x:c>
      <x:c r="D551" s="60" t="n">
        <x:v>0.9</x:v>
      </x:c>
      <x:c r="E551" s="62" t="b">
        <x:v>1</x:v>
      </x:c>
      <x:c r="F551" s="62" t="b">
        <x:v>0</x:v>
      </x:c>
      <x:c r="G551" s="85" t="n">
        <x:v>4151571.7500137975</x:v>
      </x:c>
      <x:c r="H551" s="85" t="n">
        <x:v>49226710.85925199</x:v>
      </x:c>
      <x:c r="I551" s="85" t="n">
        <x:v>58386362.518911645</x:v>
      </x:c>
      <x:c r="J551" s="85" t="n">
        <x:v>84000000.00000001</x:v>
      </x:c>
      <x:c r="K551" s="85" t="n">
        <x:v>0</x:v>
      </x:c>
      <x:c r="L551" s="28" t="n">
        <x:v>46</x:v>
      </x:c>
      <x:c r="M551" s="28" t="n">
        <x:v>37</x:v>
      </x:c>
      <x:c r="N551" s="28" t="n">
        <x:v>9.313225746154785e-10</x:v>
      </x:c>
      <x:c r="O551" s="28" t="n">
        <x:v>1.4901161193847656e-8</x:v>
      </x:c>
      <x:c r="P551" s="28" t="n">
        <x:v>0</x:v>
      </x:c>
      <x:c r="Q551" s="62" t="b">
        <x:v>1</x:v>
      </x:c>
      <x:c r="R551" s="28" t="n">
        <x:v>0</x:v>
      </x:c>
      <x:c r="S551" s="28" t="str">
        <x:v>c8a637a7268ba9b4</x:v>
      </x:c>
    </x:row>
    <x:row r="552" ht="21" customHeight="1">
      <x:c r="A552" s="60" t="n">
        <x:v>0.62</x:v>
      </x:c>
      <x:c r="B552" s="28" t="str">
        <x:v>front_low</x:v>
      </x:c>
      <x:c r="C552" s="60" t="n">
        <x:v>0.95</x:v>
      </x:c>
      <x:c r="D552" s="60" t="n">
        <x:v>0.9497739906324524</x:v>
      </x:c>
      <x:c r="E552" s="62" t="b">
        <x:v>0</x:v>
      </x:c>
      <x:c r="F552" s="62" t="b">
        <x:v>0</x:v>
      </x:c>
      <x:c r="G552" s="85" t="n">
        <x:v>6628574.388728354</x:v>
      </x:c>
      <x:c r="H552" s="85" t="n">
        <x:v>58118851.08664271</x:v>
      </x:c>
      <x:c r="I552" s="85" t="n">
        <x:v>58422414.1223976</x:v>
      </x:c>
      <x:c r="J552" s="85" t="n">
        <x:v>84000000.00000001</x:v>
      </x:c>
      <x:c r="K552" s="85" t="n">
        <x:v>0</x:v>
      </x:c>
      <x:c r="L552" s="28" t="n">
        <x:v>46</x:v>
      </x:c>
      <x:c r="M552" s="28" t="n">
        <x:v>38</x:v>
      </x:c>
      <x:c r="N552" s="28" t="n">
        <x:v>1.862645149230957e-9</x:v>
      </x:c>
      <x:c r="O552" s="28" t="n">
        <x:v>1.4901161193847656e-8</x:v>
      </x:c>
      <x:c r="P552" s="28" t="n">
        <x:v>0</x:v>
      </x:c>
      <x:c r="Q552" s="62" t="b">
        <x:v>1</x:v>
      </x:c>
      <x:c r="R552" s="28" t="n">
        <x:v>67802.81026428938</x:v>
      </x:c>
      <x:c r="S552" s="28" t="str">
        <x:v>3983506a60a24412</x:v>
      </x:c>
    </x:row>
    <x:row r="553" ht="21" customHeight="1">
      <x:c r="A553" s="60" t="n">
        <x:v>0.62</x:v>
      </x:c>
      <x:c r="B553" s="28" t="str">
        <x:v>front_low</x:v>
      </x:c>
      <x:c r="C553" s="60" t="n">
        <x:v>1</x:v>
      </x:c>
      <x:c r="D553" s="60" t="n">
        <x:v>0.9646994850752131</x:v>
      </x:c>
      <x:c r="E553" s="62" t="b">
        <x:v>0</x:v>
      </x:c>
      <x:c r="F553" s="62" t="b">
        <x:v>0</x:v>
      </x:c>
      <x:c r="G553" s="85" t="n">
        <x:v>7324352.1679029465</x:v>
      </x:c>
      <x:c r="H553" s="85" t="n">
        <x:v>61631476.15751609</x:v>
      </x:c>
      <x:c r="I553" s="85" t="n">
        <x:v>58458465.72588356</x:v>
      </x:c>
      <x:c r="J553" s="85" t="n">
        <x:v>84000000.00000001</x:v>
      </x:c>
      <x:c r="K553" s="85" t="n">
        <x:v>0</x:v>
      </x:c>
      <x:c r="L553" s="28" t="n">
        <x:v>46</x:v>
      </x:c>
      <x:c r="M553" s="28" t="n">
        <x:v>40</x:v>
      </x:c>
      <x:c r="N553" s="28" t="n">
        <x:v>9.313225746154785e-10</x:v>
      </x:c>
      <x:c r="O553" s="28" t="n">
        <x:v>3.725290298461914e-9</x:v>
      </x:c>
      <x:c r="P553" s="28" t="n">
        <x:v>0</x:v>
      </x:c>
      <x:c r="Q553" s="62" t="b">
        <x:v>1</x:v>
      </x:c>
      <x:c r="R553" s="28" t="n">
        <x:v>10590154.477436066</x:v>
      </x:c>
      <x:c r="S553" s="28" t="str">
        <x:v>57f28db1079d7290</x:v>
      </x:c>
    </x:row>
    <x:row r="554" ht="21" customHeight="1">
      <x:c r="A554" s="60" t="n">
        <x:v>0.62</x:v>
      </x:c>
      <x:c r="B554" s="28" t="str">
        <x:v>front_high</x:v>
      </x:c>
      <x:c r="C554" s="60" t="n">
        <x:v>0</x:v>
      </x:c>
      <x:c r="D554" s="60" t="n">
        <x:v>0</x:v>
      </x:c>
      <x:c r="E554" s="62" t="b">
        <x:v>1</x:v>
      </x:c>
      <x:c r="F554" s="62" t="b">
        <x:v>1</x:v>
      </x:c>
      <x:c r="G554" s="85" t="n">
        <x:v>0</x:v>
      </x:c>
      <x:c r="H554" s="85" t="n">
        <x:v>0</x:v>
      </x:c>
      <x:c r="I554" s="85" t="n">
        <x:v>0</x:v>
      </x:c>
      <x:c r="J554" s="85" t="n">
        <x:v>0</x:v>
      </x:c>
      <x:c r="K554" s="85" t="n">
        <x:v>36100366.080136925</x:v>
      </x:c>
      <x:c r="L554" s="28" t="n">
        <x:v>0</x:v>
      </x:c>
      <x:c r="M554" s="28" t="n">
        <x:v>0</x:v>
      </x:c>
      <x:c r="N554" s="28" t="n">
        <x:v>3.725290298461914e-9</x:v>
      </x:c>
      <x:c r="O554" s="28" t="n">
        <x:v>0</x:v>
      </x:c>
      <x:c r="P554" s="28" t="n">
        <x:v>0</x:v>
      </x:c>
      <x:c r="Q554" s="62" t="b">
        <x:v>1</x:v>
      </x:c>
      <x:c r="R554" s="28" t="n">
        <x:v>0</x:v>
      </x:c>
      <x:c r="S554" s="28" t="str">
        <x:v>9858cd529ad446f8</x:v>
      </x:c>
    </x:row>
    <x:row r="555" ht="21" customHeight="1">
      <x:c r="A555" s="60" t="n">
        <x:v>0.62</x:v>
      </x:c>
      <x:c r="B555" s="28" t="str">
        <x:v>front_high</x:v>
      </x:c>
      <x:c r="C555" s="60" t="n">
        <x:v>0.05</x:v>
      </x:c>
      <x:c r="D555" s="60" t="n">
        <x:v>0.05</x:v>
      </x:c>
      <x:c r="E555" s="62" t="b">
        <x:v>1</x:v>
      </x:c>
      <x:c r="F555" s="62" t="b">
        <x:v>1</x:v>
      </x:c>
      <x:c r="G555" s="85" t="n">
        <x:v>0</x:v>
      </x:c>
      <x:c r="H555" s="85" t="n">
        <x:v>0</x:v>
      </x:c>
      <x:c r="I555" s="85" t="n">
        <x:v>0</x:v>
      </x:c>
      <x:c r="J555" s="85" t="n">
        <x:v>0</x:v>
      </x:c>
      <x:c r="K555" s="85" t="n">
        <x:v>22225712.37790769</x:v>
      </x:c>
      <x:c r="L555" s="28" t="n">
        <x:v>0</x:v>
      </x:c>
      <x:c r="M555" s="28" t="n">
        <x:v>0</x:v>
      </x:c>
      <x:c r="N555" s="28" t="n">
        <x:v>3.725290298461914e-9</x:v>
      </x:c>
      <x:c r="O555" s="28" t="n">
        <x:v>5.960464477539063e-8</x:v>
      </x:c>
      <x:c r="P555" s="28" t="n">
        <x:v>0</x:v>
      </x:c>
      <x:c r="Q555" s="62" t="b">
        <x:v>1</x:v>
      </x:c>
      <x:c r="R555" s="28" t="n">
        <x:v>0</x:v>
      </x:c>
      <x:c r="S555" s="28" t="str">
        <x:v>2d3f13b4884efa38</x:v>
      </x:c>
    </x:row>
    <x:row r="556" ht="21" customHeight="1">
      <x:c r="A556" s="60" t="n">
        <x:v>0.62</x:v>
      </x:c>
      <x:c r="B556" s="28" t="str">
        <x:v>front_high</x:v>
      </x:c>
      <x:c r="C556" s="60" t="n">
        <x:v>0.1</x:v>
      </x:c>
      <x:c r="D556" s="60" t="n">
        <x:v>0.1</x:v>
      </x:c>
      <x:c r="E556" s="62" t="b">
        <x:v>1</x:v>
      </x:c>
      <x:c r="F556" s="62" t="b">
        <x:v>1</x:v>
      </x:c>
      <x:c r="G556" s="85" t="n">
        <x:v>0</x:v>
      </x:c>
      <x:c r="H556" s="85" t="n">
        <x:v>0</x:v>
      </x:c>
      <x:c r="I556" s="85" t="n">
        <x:v>0</x:v>
      </x:c>
      <x:c r="J556" s="85" t="n">
        <x:v>0</x:v>
      </x:c>
      <x:c r="K556" s="85" t="n">
        <x:v>8215215.143105555</x:v>
      </x:c>
      <x:c r="L556" s="28" t="n">
        <x:v>0</x:v>
      </x:c>
      <x:c r="M556" s="28" t="n">
        <x:v>0</x:v>
      </x:c>
      <x:c r="N556" s="28" t="n">
        <x:v>3.725290298461914e-9</x:v>
      </x:c>
      <x:c r="O556" s="28" t="n">
        <x:v>5.960464477539063e-8</x:v>
      </x:c>
      <x:c r="P556" s="28" t="n">
        <x:v>0</x:v>
      </x:c>
      <x:c r="Q556" s="62" t="b">
        <x:v>1</x:v>
      </x:c>
      <x:c r="R556" s="28" t="n">
        <x:v>0</x:v>
      </x:c>
      <x:c r="S556" s="28" t="str">
        <x:v>448e3963ed5e5cea</x:v>
      </x:c>
    </x:row>
    <x:row r="557" ht="21" customHeight="1">
      <x:c r="A557" s="60" t="n">
        <x:v>0.62</x:v>
      </x:c>
      <x:c r="B557" s="28" t="str">
        <x:v>front_high</x:v>
      </x:c>
      <x:c r="C557" s="60" t="n">
        <x:v>0.15</x:v>
      </x:c>
      <x:c r="D557" s="60" t="n">
        <x:v>0.15</x:v>
      </x:c>
      <x:c r="E557" s="62" t="b">
        <x:v>1</x:v>
      </x:c>
      <x:c r="F557" s="62" t="b">
        <x:v>1</x:v>
      </x:c>
      <x:c r="G557" s="85" t="n">
        <x:v>0</x:v>
      </x:c>
      <x:c r="H557" s="85" t="n">
        <x:v>0</x:v>
      </x:c>
      <x:c r="I557" s="85" t="n">
        <x:v>5024099.793781652</x:v>
      </x:c>
      <x:c r="J557" s="85" t="n">
        <x:v>0</x:v>
      </x:c>
      <x:c r="K557" s="85" t="n">
        <x:v>521742.97459554195</x:v>
      </x:c>
      <x:c r="L557" s="28" t="n">
        <x:v>0</x:v>
      </x:c>
      <x:c r="M557" s="28" t="n">
        <x:v>0</x:v>
      </x:c>
      <x:c r="N557" s="28" t="n">
        <x:v>3.725290298461914e-9</x:v>
      </x:c>
      <x:c r="O557" s="28" t="n">
        <x:v>2.9802322387695312e-8</x:v>
      </x:c>
      <x:c r="P557" s="28" t="n">
        <x:v>0</x:v>
      </x:c>
      <x:c r="Q557" s="62" t="b">
        <x:v>1</x:v>
      </x:c>
      <x:c r="R557" s="28" t="n">
        <x:v>0</x:v>
      </x:c>
      <x:c r="S557" s="28" t="str">
        <x:v>71b373191066e693</x:v>
      </x:c>
    </x:row>
    <x:row r="558" ht="21" customHeight="1">
      <x:c r="A558" s="60" t="n">
        <x:v>0.62</x:v>
      </x:c>
      <x:c r="B558" s="28" t="str">
        <x:v>front_high</x:v>
      </x:c>
      <x:c r="C558" s="60" t="n">
        <x:v>0.2</x:v>
      </x:c>
      <x:c r="D558" s="60" t="n">
        <x:v>0.2</x:v>
      </x:c>
      <x:c r="E558" s="62" t="b">
        <x:v>1</x:v>
      </x:c>
      <x:c r="F558" s="62" t="b">
        <x:v>1</x:v>
      </x:c>
      <x:c r="G558" s="85" t="n">
        <x:v>0</x:v>
      </x:c>
      <x:c r="H558" s="85" t="n">
        <x:v>0</x:v>
      </x:c>
      <x:c r="I558" s="85" t="n">
        <x:v>16271876.233510144</x:v>
      </x:c>
      <x:c r="J558" s="85" t="n">
        <x:v>6284479.4973746715</x:v>
      </x:c>
      <x:c r="K558" s="85" t="n">
        <x:v>346119.3653986319</x:v>
      </x:c>
      <x:c r="L558" s="28" t="n">
        <x:v>0</x:v>
      </x:c>
      <x:c r="M558" s="28" t="n">
        <x:v>0</x:v>
      </x:c>
      <x:c r="N558" s="28" t="n">
        <x:v>1.862645149230957e-9</x:v>
      </x:c>
      <x:c r="O558" s="28" t="n">
        <x:v>2.9802322387695312e-8</x:v>
      </x:c>
      <x:c r="P558" s="28" t="n">
        <x:v>0</x:v>
      </x:c>
      <x:c r="Q558" s="62" t="b">
        <x:v>1</x:v>
      </x:c>
      <x:c r="R558" s="28" t="n">
        <x:v>0</x:v>
      </x:c>
      <x:c r="S558" s="28" t="str">
        <x:v>4a42cc3c9c5df53f</x:v>
      </x:c>
    </x:row>
    <x:row r="559" ht="21" customHeight="1">
      <x:c r="A559" s="60" t="n">
        <x:v>0.62</x:v>
      </x:c>
      <x:c r="B559" s="28" t="str">
        <x:v>front_high</x:v>
      </x:c>
      <x:c r="C559" s="60" t="n">
        <x:v>0.25</x:v>
      </x:c>
      <x:c r="D559" s="60" t="n">
        <x:v>0.25</x:v>
      </x:c>
      <x:c r="E559" s="62" t="b">
        <x:v>1</x:v>
      </x:c>
      <x:c r="F559" s="62" t="b">
        <x:v>1</x:v>
      </x:c>
      <x:c r="G559" s="85" t="n">
        <x:v>0</x:v>
      </x:c>
      <x:c r="H559" s="85" t="n">
        <x:v>0</x:v>
      </x:c>
      <x:c r="I559" s="85" t="n">
        <x:v>26101988.612723187</x:v>
      </x:c>
      <x:c r="J559" s="85" t="n">
        <x:v>15355599.371718263</x:v>
      </x:c>
      <x:c r="K559" s="85" t="n">
        <x:v>251818.36736471666</x:v>
      </x:c>
      <x:c r="L559" s="28" t="n">
        <x:v>0</x:v>
      </x:c>
      <x:c r="M559" s="28" t="n">
        <x:v>0</x:v>
      </x:c>
      <x:c r="N559" s="28" t="n">
        <x:v>3.725290298461914e-9</x:v>
      </x:c>
      <x:c r="O559" s="28" t="n">
        <x:v>1.4901161193847656e-8</x:v>
      </x:c>
      <x:c r="P559" s="28" t="n">
        <x:v>0</x:v>
      </x:c>
      <x:c r="Q559" s="62" t="b">
        <x:v>1</x:v>
      </x:c>
      <x:c r="R559" s="28" t="n">
        <x:v>0</x:v>
      </x:c>
      <x:c r="S559" s="28" t="str">
        <x:v>6106b4418d6be82d</x:v>
      </x:c>
    </x:row>
    <x:row r="560" ht="21" customHeight="1">
      <x:c r="A560" s="60" t="n">
        <x:v>0.62</x:v>
      </x:c>
      <x:c r="B560" s="28" t="str">
        <x:v>front_high</x:v>
      </x:c>
      <x:c r="C560" s="60" t="n">
        <x:v>0.3</x:v>
      </x:c>
      <x:c r="D560" s="60" t="n">
        <x:v>0.3</x:v>
      </x:c>
      <x:c r="E560" s="62" t="b">
        <x:v>1</x:v>
      </x:c>
      <x:c r="F560" s="62" t="b">
        <x:v>1</x:v>
      </x:c>
      <x:c r="G560" s="85" t="n">
        <x:v>0</x:v>
      </x:c>
      <x:c r="H560" s="85" t="n">
        <x:v>0</x:v>
      </x:c>
      <x:c r="I560" s="85" t="n">
        <x:v>36011217.503624015</x:v>
      </x:c>
      <x:c r="J560" s="85" t="n">
        <x:v>24426719.246061895</x:v>
      </x:c>
      <x:c r="K560" s="85" t="n">
        <x:v>157517.36933082007</x:v>
      </x:c>
      <x:c r="L560" s="28" t="n">
        <x:v>0</x:v>
      </x:c>
      <x:c r="M560" s="28" t="n">
        <x:v>0</x:v>
      </x:c>
      <x:c r="N560" s="28" t="n">
        <x:v>3.725290298461914e-9</x:v>
      </x:c>
      <x:c r="O560" s="28" t="n">
        <x:v>2.9802322387695312e-8</x:v>
      </x:c>
      <x:c r="P560" s="28" t="n">
        <x:v>0</x:v>
      </x:c>
      <x:c r="Q560" s="62" t="b">
        <x:v>1</x:v>
      </x:c>
      <x:c r="R560" s="28" t="n">
        <x:v>0</x:v>
      </x:c>
      <x:c r="S560" s="28" t="str">
        <x:v>a63948acecf6ae76</x:v>
      </x:c>
    </x:row>
    <x:row r="561" ht="21" customHeight="1">
      <x:c r="A561" s="60" t="n">
        <x:v>0.62</x:v>
      </x:c>
      <x:c r="B561" s="28" t="str">
        <x:v>front_high</x:v>
      </x:c>
      <x:c r="C561" s="60" t="n">
        <x:v>0.35</x:v>
      </x:c>
      <x:c r="D561" s="60" t="n">
        <x:v>0.35</x:v>
      </x:c>
      <x:c r="E561" s="62" t="b">
        <x:v>1</x:v>
      </x:c>
      <x:c r="F561" s="62" t="b">
        <x:v>1</x:v>
      </x:c>
      <x:c r="G561" s="85" t="n">
        <x:v>0</x:v>
      </x:c>
      <x:c r="H561" s="85" t="n">
        <x:v>0</x:v>
      </x:c>
      <x:c r="I561" s="85" t="n">
        <x:v>45920446.39452481</x:v>
      </x:c>
      <x:c r="J561" s="85" t="n">
        <x:v>33497839.120405573</x:v>
      </x:c>
      <x:c r="K561" s="85" t="n">
        <x:v>82342.16571574731</x:v>
      </x:c>
      <x:c r="L561" s="28" t="n">
        <x:v>0</x:v>
      </x:c>
      <x:c r="M561" s="28" t="n">
        <x:v>0</x:v>
      </x:c>
      <x:c r="N561" s="28" t="n">
        <x:v>3.725290298461914e-9</x:v>
      </x:c>
      <x:c r="O561" s="28" t="n">
        <x:v>7.450580596923828e-9</x:v>
      </x:c>
      <x:c r="P561" s="28" t="n">
        <x:v>0</x:v>
      </x:c>
      <x:c r="Q561" s="62" t="b">
        <x:v>1</x:v>
      </x:c>
      <x:c r="R561" s="28" t="n">
        <x:v>0</x:v>
      </x:c>
      <x:c r="S561" s="28" t="str">
        <x:v>fb32e0d0cbd48cdb</x:v>
      </x:c>
    </x:row>
    <x:row r="562" ht="21" customHeight="1">
      <x:c r="A562" s="60" t="n">
        <x:v>0.62</x:v>
      </x:c>
      <x:c r="B562" s="28" t="str">
        <x:v>front_high</x:v>
      </x:c>
      <x:c r="C562" s="60" t="n">
        <x:v>0.4</x:v>
      </x:c>
      <x:c r="D562" s="60" t="n">
        <x:v>0.4</x:v>
      </x:c>
      <x:c r="E562" s="62" t="b">
        <x:v>1</x:v>
      </x:c>
      <x:c r="F562" s="62" t="b">
        <x:v>1</x:v>
      </x:c>
      <x:c r="G562" s="85" t="n">
        <x:v>0</x:v>
      </x:c>
      <x:c r="H562" s="85" t="n">
        <x:v>0</x:v>
      </x:c>
      <x:c r="I562" s="85" t="n">
        <x:v>55783693.01045071</x:v>
      </x:c>
      <x:c r="J562" s="85" t="n">
        <x:v>42568958.994749255</x:v>
      </x:c>
      <x:c r="K562" s="85" t="n">
        <x:v>50908.04457533991</x:v>
      </x:c>
      <x:c r="L562" s="28" t="n">
        <x:v>0</x:v>
      </x:c>
      <x:c r="M562" s="28" t="n">
        <x:v>0</x:v>
      </x:c>
      <x:c r="N562" s="28" t="n">
        <x:v>3.725290298461914e-9</x:v>
      </x:c>
      <x:c r="O562" s="28" t="n">
        <x:v>2.9802322387695312e-8</x:v>
      </x:c>
      <x:c r="P562" s="28" t="n">
        <x:v>0</x:v>
      </x:c>
      <x:c r="Q562" s="62" t="b">
        <x:v>1</x:v>
      </x:c>
      <x:c r="R562" s="28" t="n">
        <x:v>0</x:v>
      </x:c>
      <x:c r="S562" s="28" t="str">
        <x:v>7f25cc89d4ae423f</x:v>
      </x:c>
    </x:row>
    <x:row r="563" ht="21" customHeight="1">
      <x:c r="A563" s="60" t="n">
        <x:v>0.62</x:v>
      </x:c>
      <x:c r="B563" s="28" t="str">
        <x:v>front_high</x:v>
      </x:c>
      <x:c r="C563" s="60" t="n">
        <x:v>0.45</x:v>
      </x:c>
      <x:c r="D563" s="60" t="n">
        <x:v>0.45</x:v>
      </x:c>
      <x:c r="E563" s="62" t="b">
        <x:v>1</x:v>
      </x:c>
      <x:c r="F563" s="62" t="b">
        <x:v>1</x:v>
      </x:c>
      <x:c r="G563" s="85" t="n">
        <x:v>0</x:v>
      </x:c>
      <x:c r="H563" s="85" t="n">
        <x:v>0</x:v>
      </x:c>
      <x:c r="I563" s="85" t="n">
        <x:v>65681089.610390924</x:v>
      </x:c>
      <x:c r="J563" s="85" t="n">
        <x:v>51640078.8690929</x:v>
      </x:c>
      <x:c r="K563" s="85" t="n">
        <x:v>19473.923434928787</x:v>
      </x:c>
      <x:c r="L563" s="28" t="n">
        <x:v>0</x:v>
      </x:c>
      <x:c r="M563" s="28" t="n">
        <x:v>0</x:v>
      </x:c>
      <x:c r="N563" s="28" t="n">
        <x:v>3.725290298461914e-9</x:v>
      </x:c>
      <x:c r="O563" s="28" t="n">
        <x:v>2.9802322387695312e-8</x:v>
      </x:c>
      <x:c r="P563" s="28" t="n">
        <x:v>0</x:v>
      </x:c>
      <x:c r="Q563" s="62" t="b">
        <x:v>1</x:v>
      </x:c>
      <x:c r="R563" s="28" t="n">
        <x:v>0</x:v>
      </x:c>
      <x:c r="S563" s="28" t="str">
        <x:v>dcd7ac11b515484a</x:v>
      </x:c>
    </x:row>
    <x:row r="564" ht="21" customHeight="1">
      <x:c r="A564" s="60" t="n">
        <x:v>0.62</x:v>
      </x:c>
      <x:c r="B564" s="28" t="str">
        <x:v>front_high</x:v>
      </x:c>
      <x:c r="C564" s="60" t="n">
        <x:v>0.5</x:v>
      </x:c>
      <x:c r="D564" s="60" t="n">
        <x:v>0.5</x:v>
      </x:c>
      <x:c r="E564" s="62" t="b">
        <x:v>1</x:v>
      </x:c>
      <x:c r="F564" s="62" t="b">
        <x:v>1</x:v>
      </x:c>
      <x:c r="G564" s="85" t="n">
        <x:v>0</x:v>
      </x:c>
      <x:c r="H564" s="85" t="n">
        <x:v>0</x:v>
      </x:c>
      <x:c r="I564" s="85" t="n">
        <x:v>76011546.56378466</x:v>
      </x:c>
      <x:c r="J564" s="85" t="n">
        <x:v>56829933.40525036</x:v>
      </x:c>
      <x:c r="K564" s="85" t="n">
        <x:v>0</x:v>
      </x:c>
      <x:c r="L564" s="28" t="n">
        <x:v>4</x:v>
      </x:c>
      <x:c r="M564" s="28" t="n">
        <x:v>0</x:v>
      </x:c>
      <x:c r="N564" s="28" t="n">
        <x:v>1.862645149230957e-9</x:v>
      </x:c>
      <x:c r="O564" s="28" t="n">
        <x:v>2.9802322387695312e-8</x:v>
      </x:c>
      <x:c r="P564" s="28" t="n">
        <x:v>0</x:v>
      </x:c>
      <x:c r="Q564" s="62" t="b">
        <x:v>1</x:v>
      </x:c>
      <x:c r="R564" s="28" t="n">
        <x:v>0</x:v>
      </x:c>
      <x:c r="S564" s="28" t="str">
        <x:v>29f088cbb55cda44</x:v>
      </x:c>
    </x:row>
    <x:row r="565" ht="21" customHeight="1">
      <x:c r="A565" s="60" t="n">
        <x:v>0.62</x:v>
      </x:c>
      <x:c r="B565" s="28" t="str">
        <x:v>front_high</x:v>
      </x:c>
      <x:c r="C565" s="60" t="n">
        <x:v>0.55</x:v>
      </x:c>
      <x:c r="D565" s="60" t="n">
        <x:v>0.55</x:v>
      </x:c>
      <x:c r="E565" s="62" t="b">
        <x:v>1</x:v>
      </x:c>
      <x:c r="F565" s="62" t="b">
        <x:v>1</x:v>
      </x:c>
      <x:c r="G565" s="85" t="n">
        <x:v>0</x:v>
      </x:c>
      <x:c r="H565" s="85" t="n">
        <x:v>0</x:v>
      </x:c>
      <x:c r="I565" s="85" t="n">
        <x:v>86353742.83081692</x:v>
      </x:c>
      <x:c r="J565" s="85" t="n">
        <x:v>59448676.63656812</x:v>
      </x:c>
      <x:c r="K565" s="85" t="n">
        <x:v>0</x:v>
      </x:c>
      <x:c r="L565" s="28" t="n">
        <x:v>11</x:v>
      </x:c>
      <x:c r="M565" s="28" t="n">
        <x:v>0</x:v>
      </x:c>
      <x:c r="N565" s="28" t="n">
        <x:v>1.862645149230957e-9</x:v>
      </x:c>
      <x:c r="O565" s="28" t="n">
        <x:v>2.9802322387695312e-8</x:v>
      </x:c>
      <x:c r="P565" s="28" t="n">
        <x:v>0</x:v>
      </x:c>
      <x:c r="Q565" s="62" t="b">
        <x:v>1</x:v>
      </x:c>
      <x:c r="R565" s="28" t="n">
        <x:v>0</x:v>
      </x:c>
      <x:c r="S565" s="28" t="str">
        <x:v>29426acd9e99d4f3</x:v>
      </x:c>
    </x:row>
    <x:row r="566" ht="21" customHeight="1">
      <x:c r="A566" s="60" t="n">
        <x:v>0.62</x:v>
      </x:c>
      <x:c r="B566" s="28" t="str">
        <x:v>front_high</x:v>
      </x:c>
      <x:c r="C566" s="60" t="n">
        <x:v>0.6</x:v>
      </x:c>
      <x:c r="D566" s="60" t="n">
        <x:v>0.6</x:v>
      </x:c>
      <x:c r="E566" s="62" t="b">
        <x:v>1</x:v>
      </x:c>
      <x:c r="F566" s="62" t="b">
        <x:v>1</x:v>
      </x:c>
      <x:c r="G566" s="85" t="n">
        <x:v>0</x:v>
      </x:c>
      <x:c r="H566" s="85" t="n">
        <x:v>0</x:v>
      </x:c>
      <x:c r="I566" s="85" t="n">
        <x:v>96257035.2684272</x:v>
      </x:c>
      <x:c r="J566" s="85" t="n">
        <x:v>65127358.22877347</x:v>
      </x:c>
      <x:c r="K566" s="85" t="n">
        <x:v>0</x:v>
      </x:c>
      <x:c r="L566" s="28" t="n">
        <x:v>17</x:v>
      </x:c>
      <x:c r="M566" s="28" t="n">
        <x:v>0</x:v>
      </x:c>
      <x:c r="N566" s="28" t="n">
        <x:v>1.862645149230957e-9</x:v>
      </x:c>
      <x:c r="O566" s="28" t="n">
        <x:v>2.9802322387695312e-8</x:v>
      </x:c>
      <x:c r="P566" s="28" t="n">
        <x:v>0</x:v>
      </x:c>
      <x:c r="Q566" s="62" t="b">
        <x:v>1</x:v>
      </x:c>
      <x:c r="R566" s="28" t="n">
        <x:v>0</x:v>
      </x:c>
      <x:c r="S566" s="28" t="str">
        <x:v>40aa15a5e0dd8f90</x:v>
      </x:c>
    </x:row>
    <x:row r="567" ht="21" customHeight="1">
      <x:c r="A567" s="60" t="n">
        <x:v>0.62</x:v>
      </x:c>
      <x:c r="B567" s="28" t="str">
        <x:v>front_high</x:v>
      </x:c>
      <x:c r="C567" s="60" t="n">
        <x:v>0.65</x:v>
      </x:c>
      <x:c r="D567" s="60" t="n">
        <x:v>0.65</x:v>
      </x:c>
      <x:c r="E567" s="62" t="b">
        <x:v>1</x:v>
      </x:c>
      <x:c r="F567" s="62" t="b">
        <x:v>1</x:v>
      </x:c>
      <x:c r="G567" s="85" t="n">
        <x:v>0</x:v>
      </x:c>
      <x:c r="H567" s="85" t="n">
        <x:v>0</x:v>
      </x:c>
      <x:c r="I567" s="85" t="n">
        <x:v>105649908.52412614</x:v>
      </x:c>
      <x:c r="J567" s="85" t="n">
        <x:v>77266626.62141864</x:v>
      </x:c>
      <x:c r="K567" s="85" t="n">
        <x:v>0</x:v>
      </x:c>
      <x:c r="L567" s="28" t="n">
        <x:v>21</x:v>
      </x:c>
      <x:c r="M567" s="28" t="n">
        <x:v>10</x:v>
      </x:c>
      <x:c r="N567" s="28" t="n">
        <x:v>1.862645149230957e-9</x:v>
      </x:c>
      <x:c r="O567" s="28" t="n">
        <x:v>2.9802322387695312e-8</x:v>
      </x:c>
      <x:c r="P567" s="28" t="n">
        <x:v>0</x:v>
      </x:c>
      <x:c r="Q567" s="62" t="b">
        <x:v>1</x:v>
      </x:c>
      <x:c r="R567" s="28" t="n">
        <x:v>0</x:v>
      </x:c>
      <x:c r="S567" s="28" t="str">
        <x:v>9690ffd346b7827b</x:v>
      </x:c>
    </x:row>
    <x:row r="568" ht="21" customHeight="1">
      <x:c r="A568" s="60" t="n">
        <x:v>0.62</x:v>
      </x:c>
      <x:c r="B568" s="28" t="str">
        <x:v>front_high</x:v>
      </x:c>
      <x:c r="C568" s="60" t="n">
        <x:v>0.7</x:v>
      </x:c>
      <x:c r="D568" s="60" t="n">
        <x:v>0.7</x:v>
      </x:c>
      <x:c r="E568" s="62" t="b">
        <x:v>1</x:v>
      </x:c>
      <x:c r="F568" s="62" t="b">
        <x:v>0</x:v>
      </x:c>
      <x:c r="G568" s="85" t="n">
        <x:v>2332766.6578727253</x:v>
      </x:c>
      <x:c r="H568" s="85" t="n">
        <x:v>8321018.643181976</x:v>
      </x:c>
      <x:c r="I568" s="85" t="n">
        <x:v>110046564.19261447</x:v>
      </x:c>
      <x:c r="J568" s="85" t="n">
        <x:v>84000000.00000001</x:v>
      </x:c>
      <x:c r="K568" s="85" t="n">
        <x:v>0</x:v>
      </x:c>
      <x:c r="L568" s="28" t="n">
        <x:v>45</x:v>
      </x:c>
      <x:c r="M568" s="28" t="n">
        <x:v>38</x:v>
      </x:c>
      <x:c r="N568" s="28" t="n">
        <x:v>1.862645149230957e-9</x:v>
      </x:c>
      <x:c r="O568" s="28" t="n">
        <x:v>2.9802322387695312e-8</x:v>
      </x:c>
      <x:c r="P568" s="28" t="n">
        <x:v>0</x:v>
      </x:c>
      <x:c r="Q568" s="62" t="b">
        <x:v>1</x:v>
      </x:c>
      <x:c r="R568" s="28" t="n">
        <x:v>0</x:v>
      </x:c>
      <x:c r="S568" s="28" t="str">
        <x:v>58bc7ca35fe31e14</x:v>
      </x:c>
    </x:row>
    <x:row r="569" ht="21" customHeight="1">
      <x:c r="A569" s="60" t="n">
        <x:v>0.62</x:v>
      </x:c>
      <x:c r="B569" s="28" t="str">
        <x:v>front_high</x:v>
      </x:c>
      <x:c r="C569" s="60" t="n">
        <x:v>0.75</x:v>
      </x:c>
      <x:c r="D569" s="60" t="n">
        <x:v>0.75</x:v>
      </x:c>
      <x:c r="E569" s="62" t="b">
        <x:v>1</x:v>
      </x:c>
      <x:c r="F569" s="62" t="b">
        <x:v>0</x:v>
      </x:c>
      <x:c r="G569" s="85" t="n">
        <x:v>7315605.543479524</x:v>
      </x:c>
      <x:c r="H569" s="85" t="n">
        <x:v>23746560.254892863</x:v>
      </x:c>
      <x:c r="I569" s="85" t="n">
        <x:v>110235229.68611825</x:v>
      </x:c>
      <x:c r="J569" s="85" t="n">
        <x:v>84000000.00000001</x:v>
      </x:c>
      <x:c r="K569" s="85" t="n">
        <x:v>0</x:v>
      </x:c>
      <x:c r="L569" s="28" t="n">
        <x:v>45</x:v>
      </x:c>
      <x:c r="M569" s="28" t="n">
        <x:v>42</x:v>
      </x:c>
      <x:c r="N569" s="28" t="n">
        <x:v>1.862645149230957e-9</x:v>
      </x:c>
      <x:c r="O569" s="28" t="n">
        <x:v>2.9802322387695312e-8</x:v>
      </x:c>
      <x:c r="P569" s="28" t="n">
        <x:v>0</x:v>
      </x:c>
      <x:c r="Q569" s="62" t="b">
        <x:v>1</x:v>
      </x:c>
      <x:c r="R569" s="28" t="n">
        <x:v>0</x:v>
      </x:c>
      <x:c r="S569" s="28" t="str">
        <x:v>a78523efe59e667e</x:v>
      </x:c>
    </x:row>
    <x:row r="570" ht="21" customHeight="1">
      <x:c r="A570" s="60" t="n">
        <x:v>0.62</x:v>
      </x:c>
      <x:c r="B570" s="28" t="str">
        <x:v>front_high</x:v>
      </x:c>
      <x:c r="C570" s="60" t="n">
        <x:v>0.8</x:v>
      </x:c>
      <x:c r="D570" s="60" t="n">
        <x:v>0.8</x:v>
      </x:c>
      <x:c r="E570" s="62" t="b">
        <x:v>1</x:v>
      </x:c>
      <x:c r="F570" s="62" t="b">
        <x:v>0</x:v>
      </x:c>
      <x:c r="G570" s="85" t="n">
        <x:v>11906423.77442079</x:v>
      </x:c>
      <x:c r="H570" s="85" t="n">
        <x:v>36304917.80205158</x:v>
      </x:c>
      <x:c r="I570" s="85" t="n">
        <x:v>111780188.77539186</x:v>
      </x:c>
      <x:c r="J570" s="85" t="n">
        <x:v>84000000.00000001</x:v>
      </x:c>
      <x:c r="K570" s="85" t="n">
        <x:v>0</x:v>
      </x:c>
      <x:c r="L570" s="28" t="n">
        <x:v>46</x:v>
      </x:c>
      <x:c r="M570" s="28" t="n">
        <x:v>44</x:v>
      </x:c>
      <x:c r="N570" s="28" t="n">
        <x:v>1.862645149230957e-9</x:v>
      </x:c>
      <x:c r="O570" s="28" t="n">
        <x:v>1.4901161193847656e-8</x:v>
      </x:c>
      <x:c r="P570" s="28" t="n">
        <x:v>0</x:v>
      </x:c>
      <x:c r="Q570" s="62" t="b">
        <x:v>1</x:v>
      </x:c>
      <x:c r="R570" s="28" t="n">
        <x:v>0</x:v>
      </x:c>
      <x:c r="S570" s="28" t="str">
        <x:v>62cb0606d7189773</x:v>
      </x:c>
    </x:row>
    <x:row r="571" ht="21" customHeight="1">
      <x:c r="A571" s="60" t="n">
        <x:v>0.62</x:v>
      </x:c>
      <x:c r="B571" s="28" t="str">
        <x:v>front_high</x:v>
      </x:c>
      <x:c r="C571" s="60" t="n">
        <x:v>0.85</x:v>
      </x:c>
      <x:c r="D571" s="60" t="n">
        <x:v>0.85</x:v>
      </x:c>
      <x:c r="E571" s="62" t="b">
        <x:v>1</x:v>
      </x:c>
      <x:c r="F571" s="62" t="b">
        <x:v>0</x:v>
      </x:c>
      <x:c r="G571" s="85" t="n">
        <x:v>17383811.354123283</x:v>
      </x:c>
      <x:c r="H571" s="85" t="n">
        <x:v>50925803.82913369</x:v>
      </x:c>
      <x:c r="I571" s="85" t="n">
        <x:v>111875036.70835727</x:v>
      </x:c>
      <x:c r="J571" s="85" t="n">
        <x:v>84000000.00000001</x:v>
      </x:c>
      <x:c r="K571" s="85" t="n">
        <x:v>0</x:v>
      </x:c>
      <x:c r="L571" s="28" t="n">
        <x:v>46</x:v>
      </x:c>
      <x:c r="M571" s="28" t="n">
        <x:v>44</x:v>
      </x:c>
      <x:c r="N571" s="28" t="n">
        <x:v>1.862645149230957e-9</x:v>
      </x:c>
      <x:c r="O571" s="28" t="n">
        <x:v>1.862645149230957e-9</x:v>
      </x:c>
      <x:c r="P571" s="28" t="n">
        <x:v>0</x:v>
      </x:c>
      <x:c r="Q571" s="62" t="b">
        <x:v>1</x:v>
      </x:c>
      <x:c r="R571" s="28" t="n">
        <x:v>0</x:v>
      </x:c>
      <x:c r="S571" s="28" t="str">
        <x:v>65c55e284ad63486</x:v>
      </x:c>
    </x:row>
    <x:row r="572" ht="21" customHeight="1">
      <x:c r="A572" s="60" t="n">
        <x:v>0.62</x:v>
      </x:c>
      <x:c r="B572" s="28" t="str">
        <x:v>front_high</x:v>
      </x:c>
      <x:c r="C572" s="60" t="n">
        <x:v>0.9</x:v>
      </x:c>
      <x:c r="D572" s="60" t="n">
        <x:v>0.9</x:v>
      </x:c>
      <x:c r="E572" s="62" t="b">
        <x:v>1</x:v>
      </x:c>
      <x:c r="F572" s="62" t="b">
        <x:v>0</x:v>
      </x:c>
      <x:c r="G572" s="85" t="n">
        <x:v>26431816.581081234</x:v>
      </x:c>
      <x:c r="H572" s="85" t="n">
        <x:v>63208630.968395814</x:v>
      </x:c>
      <x:c r="I572" s="85" t="n">
        <x:v>111969884.64132269</x:v>
      </x:c>
      <x:c r="J572" s="85" t="n">
        <x:v>84000000.00000001</x:v>
      </x:c>
      <x:c r="K572" s="85" t="n">
        <x:v>0</x:v>
      </x:c>
      <x:c r="L572" s="28" t="n">
        <x:v>46</x:v>
      </x:c>
      <x:c r="M572" s="28" t="n">
        <x:v>44</x:v>
      </x:c>
      <x:c r="N572" s="28" t="n">
        <x:v>1.862645149230957e-9</x:v>
      </x:c>
      <x:c r="O572" s="28" t="n">
        <x:v>1.4901161193847656e-8</x:v>
      </x:c>
      <x:c r="P572" s="28" t="n">
        <x:v>0</x:v>
      </x:c>
      <x:c r="Q572" s="62" t="b">
        <x:v>1</x:v>
      </x:c>
      <x:c r="R572" s="28" t="n">
        <x:v>0</x:v>
      </x:c>
      <x:c r="S572" s="28" t="str">
        <x:v>b0d4782272e59193</x:v>
      </x:c>
    </x:row>
    <x:row r="573" ht="21" customHeight="1">
      <x:c r="A573" s="60" t="n">
        <x:v>0.62</x:v>
      </x:c>
      <x:c r="B573" s="28" t="str">
        <x:v>front_high</x:v>
      </x:c>
      <x:c r="C573" s="60" t="n">
        <x:v>0.95</x:v>
      </x:c>
      <x:c r="D573" s="60" t="n">
        <x:v>0.9497739906324524</x:v>
      </x:c>
      <x:c r="E573" s="62" t="b">
        <x:v>0</x:v>
      </x:c>
      <x:c r="F573" s="62" t="b">
        <x:v>0</x:v>
      </x:c>
      <x:c r="G573" s="85" t="n">
        <x:v>32268982.086110055</x:v>
      </x:c>
      <x:c r="H573" s="85" t="n">
        <x:v>72644716.47791436</x:v>
      </x:c>
      <x:c r="I573" s="85" t="n">
        <x:v>112064732.5742881</x:v>
      </x:c>
      <x:c r="J573" s="85" t="n">
        <x:v>84000000.00000001</x:v>
      </x:c>
      <x:c r="K573" s="85" t="n">
        <x:v>0</x:v>
      </x:c>
      <x:c r="L573" s="28" t="n">
        <x:v>46</x:v>
      </x:c>
      <x:c r="M573" s="28" t="n">
        <x:v>45</x:v>
      </x:c>
      <x:c r="N573" s="28" t="n">
        <x:v>9.313225746154785e-10</x:v>
      </x:c>
      <x:c r="O573" s="28" t="n">
        <x:v>1.4901161193847656e-8</x:v>
      </x:c>
      <x:c r="P573" s="28" t="n">
        <x:v>0</x:v>
      </x:c>
      <x:c r="Q573" s="62" t="b">
        <x:v>1</x:v>
      </x:c>
      <x:c r="R573" s="28" t="n">
        <x:v>67802.81026428938</x:v>
      </x:c>
      <x:c r="S573" s="28" t="str">
        <x:v>0bfc67187d54a554</x:v>
      </x:c>
    </x:row>
    <x:row r="574" ht="21" customHeight="1">
      <x:c r="A574" s="60" t="n">
        <x:v>0.62</x:v>
      </x:c>
      <x:c r="B574" s="28" t="str">
        <x:v>front_high</x:v>
      </x:c>
      <x:c r="C574" s="60" t="n">
        <x:v>1</x:v>
      </x:c>
      <x:c r="D574" s="60" t="n">
        <x:v>0.9646994850752131</x:v>
      </x:c>
      <x:c r="E574" s="62" t="b">
        <x:v>0</x:v>
      </x:c>
      <x:c r="F574" s="62" t="b">
        <x:v>0</x:v>
      </x:c>
      <x:c r="G574" s="85" t="n">
        <x:v>35799886.22695739</x:v>
      </x:c>
      <x:c r="H574" s="85" t="n">
        <x:v>77345825.62559606</x:v>
      </x:c>
      <x:c r="I574" s="85" t="n">
        <x:v>112159580.50725351</x:v>
      </x:c>
      <x:c r="J574" s="85" t="n">
        <x:v>84000000.00000001</x:v>
      </x:c>
      <x:c r="K574" s="85" t="n">
        <x:v>0</x:v>
      </x:c>
      <x:c r="L574" s="28" t="n">
        <x:v>46</x:v>
      </x:c>
      <x:c r="M574" s="28" t="n">
        <x:v>45</x:v>
      </x:c>
      <x:c r="N574" s="28" t="n">
        <x:v>9.313225746154785e-10</x:v>
      </x:c>
      <x:c r="O574" s="28" t="n">
        <x:v>3.725290298461914e-9</x:v>
      </x:c>
      <x:c r="P574" s="28" t="n">
        <x:v>0</x:v>
      </x:c>
      <x:c r="Q574" s="62" t="b">
        <x:v>1</x:v>
      </x:c>
      <x:c r="R574" s="28" t="n">
        <x:v>10590154.477436066</x:v>
      </x:c>
      <x:c r="S574" s="28" t="str">
        <x:v>07cf2c67a342f4b5</x:v>
      </x:c>
    </x:row>
    <x:row r="575" ht="21" customHeight="1">
      <x:c r="A575" s="60" t="n">
        <x:v>0.62</x:v>
      </x:c>
      <x:c r="B575" s="28" t="str">
        <x:v>middle_flat</x:v>
      </x:c>
      <x:c r="C575" s="60" t="n">
        <x:v>0</x:v>
      </x:c>
      <x:c r="D575" s="60" t="n">
        <x:v>0</x:v>
      </x:c>
      <x:c r="E575" s="62" t="b">
        <x:v>1</x:v>
      </x:c>
      <x:c r="F575" s="62" t="b">
        <x:v>1</x:v>
      </x:c>
      <x:c r="G575" s="85" t="n">
        <x:v>0</x:v>
      </x:c>
      <x:c r="H575" s="85" t="n">
        <x:v>0</x:v>
      </x:c>
      <x:c r="I575" s="85" t="n">
        <x:v>0</x:v>
      </x:c>
      <x:c r="J575" s="85" t="n">
        <x:v>0</x:v>
      </x:c>
      <x:c r="K575" s="85" t="n">
        <x:v>31282653.340410925</x:v>
      </x:c>
      <x:c r="L575" s="28" t="n">
        <x:v>0</x:v>
      </x:c>
      <x:c r="M575" s="28" t="n">
        <x:v>0</x:v>
      </x:c>
      <x:c r="N575" s="28" t="n">
        <x:v>3.725290298461914e-9</x:v>
      </x:c>
      <x:c r="O575" s="28" t="n">
        <x:v>0</x:v>
      </x:c>
      <x:c r="P575" s="28" t="n">
        <x:v>0</x:v>
      </x:c>
      <x:c r="Q575" s="62" t="b">
        <x:v>1</x:v>
      </x:c>
      <x:c r="R575" s="28" t="n">
        <x:v>0</x:v>
      </x:c>
      <x:c r="S575" s="28" t="str">
        <x:v>1722360b2713d71b</x:v>
      </x:c>
    </x:row>
    <x:row r="576" ht="21" customHeight="1">
      <x:c r="A576" s="60" t="n">
        <x:v>0.62</x:v>
      </x:c>
      <x:c r="B576" s="28" t="str">
        <x:v>middle_flat</x:v>
      </x:c>
      <x:c r="C576" s="60" t="n">
        <x:v>0.05</x:v>
      </x:c>
      <x:c r="D576" s="60" t="n">
        <x:v>0.05</x:v>
      </x:c>
      <x:c r="E576" s="62" t="b">
        <x:v>1</x:v>
      </x:c>
      <x:c r="F576" s="62" t="b">
        <x:v>1</x:v>
      </x:c>
      <x:c r="G576" s="85" t="n">
        <x:v>0</x:v>
      </x:c>
      <x:c r="H576" s="85" t="n">
        <x:v>0</x:v>
      </x:c>
      <x:c r="I576" s="85" t="n">
        <x:v>0</x:v>
      </x:c>
      <x:c r="J576" s="85" t="n">
        <x:v>0</x:v>
      </x:c>
      <x:c r="K576" s="85" t="n">
        <x:v>19323231.63435842</x:v>
      </x:c>
      <x:c r="L576" s="28" t="n">
        <x:v>0</x:v>
      </x:c>
      <x:c r="M576" s="28" t="n">
        <x:v>0</x:v>
      </x:c>
      <x:c r="N576" s="28" t="n">
        <x:v>3.725290298461914e-9</x:v>
      </x:c>
      <x:c r="O576" s="28" t="n">
        <x:v>2.9802322387695312e-8</x:v>
      </x:c>
      <x:c r="P576" s="28" t="n">
        <x:v>0</x:v>
      </x:c>
      <x:c r="Q576" s="62" t="b">
        <x:v>1</x:v>
      </x:c>
      <x:c r="R576" s="28" t="n">
        <x:v>0</x:v>
      </x:c>
      <x:c r="S576" s="28" t="str">
        <x:v>c48f3e829e588e8b</x:v>
      </x:c>
    </x:row>
    <x:row r="577" ht="21" customHeight="1">
      <x:c r="A577" s="60" t="n">
        <x:v>0.62</x:v>
      </x:c>
      <x:c r="B577" s="28" t="str">
        <x:v>middle_flat</x:v>
      </x:c>
      <x:c r="C577" s="60" t="n">
        <x:v>0.1</x:v>
      </x:c>
      <x:c r="D577" s="60" t="n">
        <x:v>0.1</x:v>
      </x:c>
      <x:c r="E577" s="62" t="b">
        <x:v>1</x:v>
      </x:c>
      <x:c r="F577" s="62" t="b">
        <x:v>1</x:v>
      </x:c>
      <x:c r="G577" s="85" t="n">
        <x:v>0</x:v>
      </x:c>
      <x:c r="H577" s="85" t="n">
        <x:v>0</x:v>
      </x:c>
      <x:c r="I577" s="85" t="n">
        <x:v>0</x:v>
      </x:c>
      <x:c r="J577" s="85" t="n">
        <x:v>0</x:v>
      </x:c>
      <x:c r="K577" s="85" t="n">
        <x:v>7270653.737511117</x:v>
      </x:c>
      <x:c r="L577" s="28" t="n">
        <x:v>0</x:v>
      </x:c>
      <x:c r="M577" s="28" t="n">
        <x:v>0</x:v>
      </x:c>
      <x:c r="N577" s="28" t="n">
        <x:v>3.725290298461914e-9</x:v>
      </x:c>
      <x:c r="O577" s="28" t="n">
        <x:v>5.960464477539063e-8</x:v>
      </x:c>
      <x:c r="P577" s="28" t="n">
        <x:v>0</x:v>
      </x:c>
      <x:c r="Q577" s="62" t="b">
        <x:v>1</x:v>
      </x:c>
      <x:c r="R577" s="28" t="n">
        <x:v>0</x:v>
      </x:c>
      <x:c r="S577" s="28" t="str">
        <x:v>8af7e25a59777991</x:v>
      </x:c>
    </x:row>
    <x:row r="578" ht="21" customHeight="1">
      <x:c r="A578" s="60" t="n">
        <x:v>0.62</x:v>
      </x:c>
      <x:c r="B578" s="28" t="str">
        <x:v>middle_flat</x:v>
      </x:c>
      <x:c r="C578" s="60" t="n">
        <x:v>0.15</x:v>
      </x:c>
      <x:c r="D578" s="60" t="n">
        <x:v>0.15</x:v>
      </x:c>
      <x:c r="E578" s="62" t="b">
        <x:v>1</x:v>
      </x:c>
      <x:c r="F578" s="62" t="b">
        <x:v>1</x:v>
      </x:c>
      <x:c r="G578" s="85" t="n">
        <x:v>0</x:v>
      </x:c>
      <x:c r="H578" s="85" t="n">
        <x:v>0</x:v>
      </x:c>
      <x:c r="I578" s="85" t="n">
        <x:v>4222136.522241928</x:v>
      </x:c>
      <x:c r="J578" s="85" t="n">
        <x:v>0</x:v>
      </x:c>
      <x:c r="K578" s="85" t="n">
        <x:v>545907.7433269962</x:v>
      </x:c>
      <x:c r="L578" s="28" t="n">
        <x:v>0</x:v>
      </x:c>
      <x:c r="M578" s="28" t="n">
        <x:v>0</x:v>
      </x:c>
      <x:c r="N578" s="28" t="n">
        <x:v>3.725290298461914e-9</x:v>
      </x:c>
      <x:c r="O578" s="28" t="n">
        <x:v>2.9802322387695312e-8</x:v>
      </x:c>
      <x:c r="P578" s="28" t="n">
        <x:v>0</x:v>
      </x:c>
      <x:c r="Q578" s="62" t="b">
        <x:v>1</x:v>
      </x:c>
      <x:c r="R578" s="28" t="n">
        <x:v>0</x:v>
      </x:c>
      <x:c r="S578" s="28" t="str">
        <x:v>12e916edf8d20436</x:v>
      </x:c>
    </x:row>
    <x:row r="579" ht="21" customHeight="1">
      <x:c r="A579" s="60" t="n">
        <x:v>0.62</x:v>
      </x:c>
      <x:c r="B579" s="28" t="str">
        <x:v>middle_flat</x:v>
      </x:c>
      <x:c r="C579" s="60" t="n">
        <x:v>0.2</x:v>
      </x:c>
      <x:c r="D579" s="60" t="n">
        <x:v>0.2</x:v>
      </x:c>
      <x:c r="E579" s="62" t="b">
        <x:v>1</x:v>
      </x:c>
      <x:c r="F579" s="62" t="b">
        <x:v>1</x:v>
      </x:c>
      <x:c r="G579" s="85" t="n">
        <x:v>0</x:v>
      </x:c>
      <x:c r="H579" s="85" t="n">
        <x:v>0</x:v>
      </x:c>
      <x:c r="I579" s="85" t="n">
        <x:v>12552129.859832162</x:v>
      </x:c>
      <x:c r="J579" s="85" t="n">
        <x:v>6318282.052720871</x:v>
      </x:c>
      <x:c r="K579" s="85" t="n">
        <x:v>393522.64316712215</x:v>
      </x:c>
      <x:c r="L579" s="28" t="n">
        <x:v>0</x:v>
      </x:c>
      <x:c r="M579" s="28" t="n">
        <x:v>0</x:v>
      </x:c>
      <x:c r="N579" s="28" t="n">
        <x:v>1.862645149230957e-9</x:v>
      </x:c>
      <x:c r="O579" s="28" t="n">
        <x:v>2.9802322387695312e-8</x:v>
      </x:c>
      <x:c r="P579" s="28" t="n">
        <x:v>0</x:v>
      </x:c>
      <x:c r="Q579" s="62" t="b">
        <x:v>1</x:v>
      </x:c>
      <x:c r="R579" s="28" t="n">
        <x:v>0</x:v>
      </x:c>
      <x:c r="S579" s="28" t="str">
        <x:v>1ef4ed9fb1a67bac</x:v>
      </x:c>
    </x:row>
    <x:row r="580" ht="21" customHeight="1">
      <x:c r="A580" s="60" t="n">
        <x:v>0.62</x:v>
      </x:c>
      <x:c r="B580" s="28" t="str">
        <x:v>middle_flat</x:v>
      </x:c>
      <x:c r="C580" s="60" t="n">
        <x:v>0.25</x:v>
      </x:c>
      <x:c r="D580" s="60" t="n">
        <x:v>0.25</x:v>
      </x:c>
      <x:c r="E580" s="62" t="b">
        <x:v>1</x:v>
      </x:c>
      <x:c r="F580" s="62" t="b">
        <x:v>1</x:v>
      </x:c>
      <x:c r="G580" s="85" t="n">
        <x:v>0</x:v>
      </x:c>
      <x:c r="H580" s="85" t="n">
        <x:v>0</x:v>
      </x:c>
      <x:c r="I580" s="85" t="n">
        <x:v>19054854.408672366</x:v>
      </x:c>
      <x:c r="J580" s="85" t="n">
        <x:v>15397852.565901024</x:v>
      </x:c>
      <x:c r="K580" s="85" t="n">
        <x:v>309719.42895890307</x:v>
      </x:c>
      <x:c r="L580" s="28" t="n">
        <x:v>0</x:v>
      </x:c>
      <x:c r="M580" s="28" t="n">
        <x:v>0</x:v>
      </x:c>
      <x:c r="N580" s="28" t="n">
        <x:v>3.725290298461914e-9</x:v>
      </x:c>
      <x:c r="O580" s="28" t="n">
        <x:v>2.9802322387695312e-8</x:v>
      </x:c>
      <x:c r="P580" s="28" t="n">
        <x:v>0</x:v>
      </x:c>
      <x:c r="Q580" s="62" t="b">
        <x:v>1</x:v>
      </x:c>
      <x:c r="R580" s="28" t="n">
        <x:v>0</x:v>
      </x:c>
      <x:c r="S580" s="28" t="str">
        <x:v>6bef5444cb9f7aa1</x:v>
      </x:c>
    </x:row>
    <x:row r="581" ht="21" customHeight="1">
      <x:c r="A581" s="60" t="n">
        <x:v>0.62</x:v>
      </x:c>
      <x:c r="B581" s="28" t="str">
        <x:v>middle_flat</x:v>
      </x:c>
      <x:c r="C581" s="60" t="n">
        <x:v>0.3</x:v>
      </x:c>
      <x:c r="D581" s="60" t="n">
        <x:v>0.3</x:v>
      </x:c>
      <x:c r="E581" s="62" t="b">
        <x:v>1</x:v>
      </x:c>
      <x:c r="F581" s="62" t="b">
        <x:v>1</x:v>
      </x:c>
      <x:c r="G581" s="85" t="n">
        <x:v>0</x:v>
      </x:c>
      <x:c r="H581" s="85" t="n">
        <x:v>0</x:v>
      </x:c>
      <x:c r="I581" s="85" t="n">
        <x:v>25611234.70302402</x:v>
      </x:c>
      <x:c r="J581" s="85" t="n">
        <x:v>24477423.079081148</x:v>
      </x:c>
      <x:c r="K581" s="85" t="n">
        <x:v>225916.2147506876</x:v>
      </x:c>
      <x:c r="L581" s="28" t="n">
        <x:v>0</x:v>
      </x:c>
      <x:c r="M581" s="28" t="n">
        <x:v>0</x:v>
      </x:c>
      <x:c r="N581" s="28" t="n">
        <x:v>1.862645149230957e-9</x:v>
      </x:c>
      <x:c r="O581" s="28" t="n">
        <x:v>2.9802322387695312e-8</x:v>
      </x:c>
      <x:c r="P581" s="28" t="n">
        <x:v>0</x:v>
      </x:c>
      <x:c r="Q581" s="62" t="b">
        <x:v>1</x:v>
      </x:c>
      <x:c r="R581" s="28" t="n">
        <x:v>0</x:v>
      </x:c>
      <x:c r="S581" s="28" t="str">
        <x:v>989ecf689d479abe</x:v>
      </x:c>
    </x:row>
    <x:row r="582" ht="21" customHeight="1">
      <x:c r="A582" s="60" t="n">
        <x:v>0.62</x:v>
      </x:c>
      <x:c r="B582" s="28" t="str">
        <x:v>middle_flat</x:v>
      </x:c>
      <x:c r="C582" s="60" t="n">
        <x:v>0.35</x:v>
      </x:c>
      <x:c r="D582" s="60" t="n">
        <x:v>0.35</x:v>
      </x:c>
      <x:c r="E582" s="62" t="b">
        <x:v>1</x:v>
      </x:c>
      <x:c r="F582" s="62" t="b">
        <x:v>1</x:v>
      </x:c>
      <x:c r="G582" s="85" t="n">
        <x:v>0</x:v>
      </x:c>
      <x:c r="H582" s="85" t="n">
        <x:v>0</x:v>
      </x:c>
      <x:c r="I582" s="85" t="n">
        <x:v>32253467.281496033</x:v>
      </x:c>
      <x:c r="J582" s="85" t="n">
        <x:v>33556993.59226132</x:v>
      </x:c>
      <x:c r="K582" s="85" t="n">
        <x:v>182681.08209863282</x:v>
      </x:c>
      <x:c r="L582" s="28" t="n">
        <x:v>0</x:v>
      </x:c>
      <x:c r="M582" s="28" t="n">
        <x:v>0</x:v>
      </x:c>
      <x:c r="N582" s="28" t="n">
        <x:v>3.725290298461914e-9</x:v>
      </x:c>
      <x:c r="O582" s="28" t="n">
        <x:v>2.9802322387695312e-8</x:v>
      </x:c>
      <x:c r="P582" s="28" t="n">
        <x:v>0</x:v>
      </x:c>
      <x:c r="Q582" s="62" t="b">
        <x:v>1</x:v>
      </x:c>
      <x:c r="R582" s="28" t="n">
        <x:v>0</x:v>
      </x:c>
      <x:c r="S582" s="28" t="str">
        <x:v>6874e80a243ca0e6</x:v>
      </x:c>
    </x:row>
    <x:row r="583" ht="21" customHeight="1">
      <x:c r="A583" s="60" t="n">
        <x:v>0.62</x:v>
      </x:c>
      <x:c r="B583" s="28" t="str">
        <x:v>middle_flat</x:v>
      </x:c>
      <x:c r="C583" s="60" t="n">
        <x:v>0.4</x:v>
      </x:c>
      <x:c r="D583" s="60" t="n">
        <x:v>0.4</x:v>
      </x:c>
      <x:c r="E583" s="62" t="b">
        <x:v>1</x:v>
      </x:c>
      <x:c r="F583" s="62" t="b">
        <x:v>1</x:v>
      </x:c>
      <x:c r="G583" s="85" t="n">
        <x:v>0</x:v>
      </x:c>
      <x:c r="H583" s="85" t="n">
        <x:v>0</x:v>
      </x:c>
      <x:c r="I583" s="85" t="n">
        <x:v>38856102.71783213</x:v>
      </x:c>
      <x:c r="J583" s="85" t="n">
        <x:v>42636564.10544156</x:v>
      </x:c>
      <x:c r="K583" s="85" t="n">
        <x:v>157153.67288767296</x:v>
      </x:c>
      <x:c r="L583" s="28" t="n">
        <x:v>0</x:v>
      </x:c>
      <x:c r="M583" s="28" t="n">
        <x:v>0</x:v>
      </x:c>
      <x:c r="N583" s="28" t="n">
        <x:v>1.862645149230957e-9</x:v>
      </x:c>
      <x:c r="O583" s="28" t="n">
        <x:v>2.9802322387695312e-8</x:v>
      </x:c>
      <x:c r="P583" s="28" t="n">
        <x:v>0</x:v>
      </x:c>
      <x:c r="Q583" s="62" t="b">
        <x:v>1</x:v>
      </x:c>
      <x:c r="R583" s="28" t="n">
        <x:v>0</x:v>
      </x:c>
      <x:c r="S583" s="28" t="str">
        <x:v>9f9fec6be209b369</x:v>
      </x:c>
    </x:row>
    <x:row r="584" ht="21" customHeight="1">
      <x:c r="A584" s="60" t="n">
        <x:v>0.62</x:v>
      </x:c>
      <x:c r="B584" s="28" t="str">
        <x:v>middle_flat</x:v>
      </x:c>
      <x:c r="C584" s="60" t="n">
        <x:v>0.45</x:v>
      </x:c>
      <x:c r="D584" s="60" t="n">
        <x:v>0.45</x:v>
      </x:c>
      <x:c r="E584" s="62" t="b">
        <x:v>1</x:v>
      </x:c>
      <x:c r="F584" s="62" t="b">
        <x:v>1</x:v>
      </x:c>
      <x:c r="G584" s="85" t="n">
        <x:v>0</x:v>
      </x:c>
      <x:c r="H584" s="85" t="n">
        <x:v>0</x:v>
      </x:c>
      <x:c r="I584" s="85" t="n">
        <x:v>45449710.965181015</x:v>
      </x:c>
      <x:c r="J584" s="85" t="n">
        <x:v>51716134.61862181</x:v>
      </x:c>
      <x:c r="K584" s="85" t="n">
        <x:v>131626.2636767164</x:v>
      </x:c>
      <x:c r="L584" s="28" t="n">
        <x:v>0</x:v>
      </x:c>
      <x:c r="M584" s="28" t="n">
        <x:v>0</x:v>
      </x:c>
      <x:c r="N584" s="28" t="n">
        <x:v>3.725290298461914e-9</x:v>
      </x:c>
      <x:c r="O584" s="28" t="n">
        <x:v>2.9802322387695312e-8</x:v>
      </x:c>
      <x:c r="P584" s="28" t="n">
        <x:v>0</x:v>
      </x:c>
      <x:c r="Q584" s="62" t="b">
        <x:v>1</x:v>
      </x:c>
      <x:c r="R584" s="28" t="n">
        <x:v>0</x:v>
      </x:c>
      <x:c r="S584" s="28" t="str">
        <x:v>9582a77b63bd117a</x:v>
      </x:c>
    </x:row>
    <x:row r="585" ht="21" customHeight="1">
      <x:c r="A585" s="60" t="n">
        <x:v>0.62</x:v>
      </x:c>
      <x:c r="B585" s="28" t="str">
        <x:v>middle_flat</x:v>
      </x:c>
      <x:c r="C585" s="60" t="n">
        <x:v>0.5</x:v>
      </x:c>
      <x:c r="D585" s="60" t="n">
        <x:v>0.5</x:v>
      </x:c>
      <x:c r="E585" s="62" t="b">
        <x:v>1</x:v>
      </x:c>
      <x:c r="F585" s="62" t="b">
        <x:v>1</x:v>
      </x:c>
      <x:c r="G585" s="85" t="n">
        <x:v>0</x:v>
      </x:c>
      <x:c r="H585" s="85" t="n">
        <x:v>0</x:v>
      </x:c>
      <x:c r="I585" s="85" t="n">
        <x:v>53909933.06555877</x:v>
      </x:c>
      <x:c r="J585" s="85" t="n">
        <x:v>56078910.623246245</x:v>
      </x:c>
      <x:c r="K585" s="85" t="n">
        <x:v>106098.85446575607</x:v>
      </x:c>
      <x:c r="L585" s="28" t="n">
        <x:v>7</x:v>
      </x:c>
      <x:c r="M585" s="28" t="n">
        <x:v>0</x:v>
      </x:c>
      <x:c r="N585" s="28" t="n">
        <x:v>3.725290298461914e-9</x:v>
      </x:c>
      <x:c r="O585" s="28" t="n">
        <x:v>1.4901161193847656e-8</x:v>
      </x:c>
      <x:c r="P585" s="28" t="n">
        <x:v>0</x:v>
      </x:c>
      <x:c r="Q585" s="62" t="b">
        <x:v>1</x:v>
      </x:c>
      <x:c r="R585" s="28" t="n">
        <x:v>0</x:v>
      </x:c>
      <x:c r="S585" s="28" t="str">
        <x:v>3dc32d8609b3a375</x:v>
      </x:c>
    </x:row>
    <x:row r="586" ht="21" customHeight="1">
      <x:c r="A586" s="60" t="n">
        <x:v>0.62</x:v>
      </x:c>
      <x:c r="B586" s="28" t="str">
        <x:v>middle_flat</x:v>
      </x:c>
      <x:c r="C586" s="60" t="n">
        <x:v>0.55</x:v>
      </x:c>
      <x:c r="D586" s="60" t="n">
        <x:v>0.55</x:v>
      </x:c>
      <x:c r="E586" s="62" t="b">
        <x:v>1</x:v>
      </x:c>
      <x:c r="F586" s="62" t="b">
        <x:v>1</x:v>
      </x:c>
      <x:c r="G586" s="85" t="n">
        <x:v>0</x:v>
      </x:c>
      <x:c r="H586" s="85" t="n">
        <x:v>0</x:v>
      </x:c>
      <x:c r="I586" s="85" t="n">
        <x:v>60829545.95751328</x:v>
      </x:c>
      <x:c r="J586" s="85" t="n">
        <x:v>64347605.85100696</x:v>
      </x:c>
      <x:c r="K586" s="85" t="n">
        <x:v>80571.44525479249</x:v>
      </x:c>
      <x:c r="L586" s="28" t="n">
        <x:v>11</x:v>
      </x:c>
      <x:c r="M586" s="28" t="n">
        <x:v>0</x:v>
      </x:c>
      <x:c r="N586" s="28" t="n">
        <x:v>1.862645149230957e-9</x:v>
      </x:c>
      <x:c r="O586" s="28" t="n">
        <x:v>2.9802322387695312e-8</x:v>
      </x:c>
      <x:c r="P586" s="28" t="n">
        <x:v>0</x:v>
      </x:c>
      <x:c r="Q586" s="62" t="b">
        <x:v>1</x:v>
      </x:c>
      <x:c r="R586" s="28" t="n">
        <x:v>0</x:v>
      </x:c>
      <x:c r="S586" s="28" t="str">
        <x:v>e65cb707e6c3ff53</x:v>
      </x:c>
    </x:row>
    <x:row r="587" ht="21" customHeight="1">
      <x:c r="A587" s="60" t="n">
        <x:v>0.62</x:v>
      </x:c>
      <x:c r="B587" s="28" t="str">
        <x:v>middle_flat</x:v>
      </x:c>
      <x:c r="C587" s="60" t="n">
        <x:v>0.6</x:v>
      </x:c>
      <x:c r="D587" s="60" t="n">
        <x:v>0.6</x:v>
      </x:c>
      <x:c r="E587" s="62" t="b">
        <x:v>1</x:v>
      </x:c>
      <x:c r="F587" s="62" t="b">
        <x:v>1</x:v>
      </x:c>
      <x:c r="G587" s="85" t="n">
        <x:v>0</x:v>
      </x:c>
      <x:c r="H587" s="85" t="n">
        <x:v>0</x:v>
      </x:c>
      <x:c r="I587" s="85" t="n">
        <x:v>67258586.00919223</x:v>
      </x:c>
      <x:c r="J587" s="85" t="n">
        <x:v>73481751.15152574</x:v>
      </x:c>
      <x:c r="K587" s="85" t="n">
        <x:v>55044.03604383637</x:v>
      </x:c>
      <x:c r="L587" s="28" t="n">
        <x:v>14</x:v>
      </x:c>
      <x:c r="M587" s="28" t="n">
        <x:v>4</x:v>
      </x:c>
      <x:c r="N587" s="28" t="n">
        <x:v>1.862645149230957e-9</x:v>
      </x:c>
      <x:c r="O587" s="28" t="n">
        <x:v>2.9802322387695312e-8</x:v>
      </x:c>
      <x:c r="P587" s="28" t="n">
        <x:v>0</x:v>
      </x:c>
      <x:c r="Q587" s="62" t="b">
        <x:v>1</x:v>
      </x:c>
      <x:c r="R587" s="28" t="n">
        <x:v>0</x:v>
      </x:c>
      <x:c r="S587" s="28" t="str">
        <x:v>9015c70308c95431</x:v>
      </x:c>
    </x:row>
    <x:row r="588" ht="21" customHeight="1">
      <x:c r="A588" s="60" t="n">
        <x:v>0.62</x:v>
      </x:c>
      <x:c r="B588" s="28" t="str">
        <x:v>middle_flat</x:v>
      </x:c>
      <x:c r="C588" s="60" t="n">
        <x:v>0.65</x:v>
      </x:c>
      <x:c r="D588" s="60" t="n">
        <x:v>0.65</x:v>
      </x:c>
      <x:c r="E588" s="62" t="b">
        <x:v>1</x:v>
      </x:c>
      <x:c r="F588" s="62" t="b">
        <x:v>1</x:v>
      </x:c>
      <x:c r="G588" s="85" t="n">
        <x:v>0</x:v>
      </x:c>
      <x:c r="H588" s="85" t="n">
        <x:v>0</x:v>
      </x:c>
      <x:c r="I588" s="85" t="n">
        <x:v>73261640.4185373</x:v>
      </x:c>
      <x:c r="J588" s="85" t="n">
        <x:v>83206889.99262126</x:v>
      </x:c>
      <x:c r="K588" s="85" t="n">
        <x:v>29516.626832872324</x:v>
      </x:c>
      <x:c r="L588" s="28" t="n">
        <x:v>21</x:v>
      </x:c>
      <x:c r="M588" s="28" t="n">
        <x:v>14</x:v>
      </x:c>
      <x:c r="N588" s="28" t="n">
        <x:v>1.862645149230957e-9</x:v>
      </x:c>
      <x:c r="O588" s="28" t="n">
        <x:v>2.9802322387695312e-8</x:v>
      </x:c>
      <x:c r="P588" s="28" t="n">
        <x:v>0</x:v>
      </x:c>
      <x:c r="Q588" s="62" t="b">
        <x:v>1</x:v>
      </x:c>
      <x:c r="R588" s="28" t="n">
        <x:v>0</x:v>
      </x:c>
      <x:c r="S588" s="28" t="str">
        <x:v>ad4dce434b6a9970</x:v>
      </x:c>
    </x:row>
    <x:row r="589" ht="21" customHeight="1">
      <x:c r="A589" s="60" t="n">
        <x:v>0.62</x:v>
      </x:c>
      <x:c r="B589" s="28" t="str">
        <x:v>middle_flat</x:v>
      </x:c>
      <x:c r="C589" s="60" t="n">
        <x:v>0.7</x:v>
      </x:c>
      <x:c r="D589" s="60" t="n">
        <x:v>0.7</x:v>
      </x:c>
      <x:c r="E589" s="62" t="b">
        <x:v>1</x:v>
      </x:c>
      <x:c r="F589" s="62" t="b">
        <x:v>0</x:v>
      </x:c>
      <x:c r="G589" s="85" t="n">
        <x:v>1903540.1169590626</x:v>
      </x:c>
      <x:c r="H589" s="85" t="n">
        <x:v>11805303.488880113</x:v>
      </x:c>
      <x:c r="I589" s="85" t="n">
        <x:v>73842803.32388388</x:v>
      </x:c>
      <x:c r="J589" s="85" t="n">
        <x:v>84000000.00000001</x:v>
      </x:c>
      <x:c r="K589" s="85" t="n">
        <x:v>3989.217621918069</x:v>
      </x:c>
      <x:c r="L589" s="28" t="n">
        <x:v>40</x:v>
      </x:c>
      <x:c r="M589" s="28" t="n">
        <x:v>35</x:v>
      </x:c>
      <x:c r="N589" s="28" t="n">
        <x:v>1.862645149230957e-9</x:v>
      </x:c>
      <x:c r="O589" s="28" t="n">
        <x:v>1.4901161193847656e-8</x:v>
      </x:c>
      <x:c r="P589" s="28" t="n">
        <x:v>0</x:v>
      </x:c>
      <x:c r="Q589" s="62" t="b">
        <x:v>1</x:v>
      </x:c>
      <x:c r="R589" s="28" t="n">
        <x:v>0</x:v>
      </x:c>
      <x:c r="S589" s="28" t="str">
        <x:v>91833cb3b75c7516</x:v>
      </x:c>
    </x:row>
    <x:row r="590" ht="21" customHeight="1">
      <x:c r="A590" s="60" t="n">
        <x:v>0.62</x:v>
      </x:c>
      <x:c r="B590" s="28" t="str">
        <x:v>middle_flat</x:v>
      </x:c>
      <x:c r="C590" s="60" t="n">
        <x:v>0.75</x:v>
      </x:c>
      <x:c r="D590" s="60" t="n">
        <x:v>0.75</x:v>
      </x:c>
      <x:c r="E590" s="62" t="b">
        <x:v>1</x:v>
      </x:c>
      <x:c r="F590" s="62" t="b">
        <x:v>0</x:v>
      </x:c>
      <x:c r="G590" s="85" t="n">
        <x:v>3977618.837814967</x:v>
      </x:c>
      <x:c r="H590" s="85" t="n">
        <x:v>22548519.784281854</x:v>
      </x:c>
      <x:c r="I590" s="85" t="n">
        <x:v>75170135.25026885</x:v>
      </x:c>
      <x:c r="J590" s="85" t="n">
        <x:v>84000000.00000001</x:v>
      </x:c>
      <x:c r="K590" s="85" t="n">
        <x:v>0</x:v>
      </x:c>
      <x:c r="L590" s="28" t="n">
        <x:v>41</x:v>
      </x:c>
      <x:c r="M590" s="28" t="n">
        <x:v>36</x:v>
      </x:c>
      <x:c r="N590" s="28" t="n">
        <x:v>1.862645149230957e-9</x:v>
      </x:c>
      <x:c r="O590" s="28" t="n">
        <x:v>2.9802322387695312e-8</x:v>
      </x:c>
      <x:c r="P590" s="28" t="n">
        <x:v>0</x:v>
      </x:c>
      <x:c r="Q590" s="62" t="b">
        <x:v>1</x:v>
      </x:c>
      <x:c r="R590" s="28" t="n">
        <x:v>0</x:v>
      </x:c>
      <x:c r="S590" s="28" t="str">
        <x:v>1a2053a627e37294</x:v>
      </x:c>
    </x:row>
    <x:row r="591" ht="21" customHeight="1">
      <x:c r="A591" s="60" t="n">
        <x:v>0.62</x:v>
      </x:c>
      <x:c r="B591" s="28" t="str">
        <x:v>middle_flat</x:v>
      </x:c>
      <x:c r="C591" s="60" t="n">
        <x:v>0.8</x:v>
      </x:c>
      <x:c r="D591" s="60" t="n">
        <x:v>0.8</x:v>
      </x:c>
      <x:c r="E591" s="62" t="b">
        <x:v>1</x:v>
      </x:c>
      <x:c r="F591" s="62" t="b">
        <x:v>0</x:v>
      </x:c>
      <x:c r="G591" s="85" t="n">
        <x:v>6532947.981350571</x:v>
      </x:c>
      <x:c r="H591" s="85" t="n">
        <x:v>34471204.171470195</x:v>
      </x:c>
      <x:c r="I591" s="85" t="n">
        <x:v>75393592.32339181</x:v>
      </x:c>
      <x:c r="J591" s="85" t="n">
        <x:v>84000000.00000001</x:v>
      </x:c>
      <x:c r="K591" s="85" t="n">
        <x:v>0</x:v>
      </x:c>
      <x:c r="L591" s="28" t="n">
        <x:v>41</x:v>
      </x:c>
      <x:c r="M591" s="28" t="n">
        <x:v>37</x:v>
      </x:c>
      <x:c r="N591" s="28" t="n">
        <x:v>1.862645149230957e-9</x:v>
      </x:c>
      <x:c r="O591" s="28" t="n">
        <x:v>1.4901161193847656e-8</x:v>
      </x:c>
      <x:c r="P591" s="28" t="n">
        <x:v>0</x:v>
      </x:c>
      <x:c r="Q591" s="62" t="b">
        <x:v>1</x:v>
      </x:c>
      <x:c r="R591" s="28" t="n">
        <x:v>0</x:v>
      </x:c>
      <x:c r="S591" s="28" t="str">
        <x:v>1c5af14e32e62484</x:v>
      </x:c>
    </x:row>
    <x:row r="592" ht="21" customHeight="1">
      <x:c r="A592" s="60" t="n">
        <x:v>0.62</x:v>
      </x:c>
      <x:c r="B592" s="28" t="str">
        <x:v>middle_flat</x:v>
      </x:c>
      <x:c r="C592" s="60" t="n">
        <x:v>0.85</x:v>
      </x:c>
      <x:c r="D592" s="60" t="n">
        <x:v>0.85</x:v>
      </x:c>
      <x:c r="E592" s="62" t="b">
        <x:v>1</x:v>
      </x:c>
      <x:c r="F592" s="62" t="b">
        <x:v>0</x:v>
      </x:c>
      <x:c r="G592" s="85" t="n">
        <x:v>8808668.57047326</x:v>
      </x:c>
      <x:c r="H592" s="85" t="n">
        <x:v>44962416.150847115</x:v>
      </x:c>
      <x:c r="I592" s="85" t="n">
        <x:v>76572934.3008621</x:v>
      </x:c>
      <x:c r="J592" s="85" t="n">
        <x:v>84000000.00000001</x:v>
      </x:c>
      <x:c r="K592" s="85" t="n">
        <x:v>0</x:v>
      </x:c>
      <x:c r="L592" s="28" t="n">
        <x:v>42</x:v>
      </x:c>
      <x:c r="M592" s="28" t="n">
        <x:v>38</x:v>
      </x:c>
      <x:c r="N592" s="28" t="n">
        <x:v>1.862645149230957e-9</x:v>
      </x:c>
      <x:c r="O592" s="28" t="n">
        <x:v>2.9802322387695312e-8</x:v>
      </x:c>
      <x:c r="P592" s="28" t="n">
        <x:v>0</x:v>
      </x:c>
      <x:c r="Q592" s="62" t="b">
        <x:v>1</x:v>
      </x:c>
      <x:c r="R592" s="28" t="n">
        <x:v>0</x:v>
      </x:c>
      <x:c r="S592" s="28" t="str">
        <x:v>66c448e0f2fbe4be</x:v>
      </x:c>
    </x:row>
    <x:row r="593" ht="21" customHeight="1">
      <x:c r="A593" s="60" t="n">
        <x:v>0.62</x:v>
      </x:c>
      <x:c r="B593" s="28" t="str">
        <x:v>middle_flat</x:v>
      </x:c>
      <x:c r="C593" s="60" t="n">
        <x:v>0.9</x:v>
      </x:c>
      <x:c r="D593" s="60" t="n">
        <x:v>0.9</x:v>
      </x:c>
      <x:c r="E593" s="62" t="b">
        <x:v>1</x:v>
      </x:c>
      <x:c r="F593" s="62" t="b">
        <x:v>0</x:v>
      </x:c>
      <x:c r="G593" s="85" t="n">
        <x:v>13385413.324427333</x:v>
      </x:c>
      <x:c r="H593" s="85" t="n">
        <x:v>55546056.23890408</x:v>
      </x:c>
      <x:c r="I593" s="85" t="n">
        <x:v>76732724.50437777</x:v>
      </x:c>
      <x:c r="J593" s="85" t="n">
        <x:v>84000000.00000001</x:v>
      </x:c>
      <x:c r="K593" s="85" t="n">
        <x:v>0</x:v>
      </x:c>
      <x:c r="L593" s="28" t="n">
        <x:v>42</x:v>
      </x:c>
      <x:c r="M593" s="28" t="n">
        <x:v>38</x:v>
      </x:c>
      <x:c r="N593" s="28" t="n">
        <x:v>1.862645149230957e-9</x:v>
      </x:c>
      <x:c r="O593" s="28" t="n">
        <x:v>2.9802322387695312e-8</x:v>
      </x:c>
      <x:c r="P593" s="28" t="n">
        <x:v>0</x:v>
      </x:c>
      <x:c r="Q593" s="62" t="b">
        <x:v>1</x:v>
      </x:c>
      <x:c r="R593" s="28" t="n">
        <x:v>0</x:v>
      </x:c>
      <x:c r="S593" s="28" t="str">
        <x:v>27639fce131f70f5</x:v>
      </x:c>
    </x:row>
    <x:row r="594" ht="21" customHeight="1">
      <x:c r="A594" s="60" t="n">
        <x:v>0.62</x:v>
      </x:c>
      <x:c r="B594" s="28" t="str">
        <x:v>middle_flat</x:v>
      </x:c>
      <x:c r="C594" s="60" t="n">
        <x:v>0.95</x:v>
      </x:c>
      <x:c r="D594" s="60" t="n">
        <x:v>0.9361238209331334</x:v>
      </x:c>
      <x:c r="E594" s="62" t="b">
        <x:v>0</x:v>
      </x:c>
      <x:c r="F594" s="62" t="b">
        <x:v>0</x:v>
      </x:c>
      <x:c r="G594" s="85" t="n">
        <x:v>15905839.129519965</x:v>
      </x:c>
      <x:c r="H594" s="85" t="n">
        <x:v>60221892.061271176</x:v>
      </x:c>
      <x:c r="I594" s="85" t="n">
        <x:v>77969663.09937572</x:v>
      </x:c>
      <x:c r="J594" s="85" t="n">
        <x:v>84000000.00000001</x:v>
      </x:c>
      <x:c r="K594" s="85" t="n">
        <x:v>0</x:v>
      </x:c>
      <x:c r="L594" s="28" t="n">
        <x:v>43</x:v>
      </x:c>
      <x:c r="M594" s="28" t="n">
        <x:v>39</x:v>
      </x:c>
      <x:c r="N594" s="28" t="n">
        <x:v>1.862645149230957e-9</x:v>
      </x:c>
      <x:c r="O594" s="28" t="n">
        <x:v>1.4901161193847656e-8</x:v>
      </x:c>
      <x:c r="P594" s="28" t="n">
        <x:v>0</x:v>
      </x:c>
      <x:c r="Q594" s="62" t="b">
        <x:v>1</x:v>
      </x:c>
      <x:c r="R594" s="28" t="n">
        <x:v>4162853.720059991</x:v>
      </x:c>
      <x:c r="S594" s="28" t="str">
        <x:v>d10823c7c9b1de80</x:v>
      </x:c>
    </x:row>
    <x:row r="595" ht="21" customHeight="1">
      <x:c r="A595" s="60" t="n">
        <x:v>0.62</x:v>
      </x:c>
      <x:c r="B595" s="28" t="str">
        <x:v>middle_flat</x:v>
      </x:c>
      <x:c r="C595" s="60" t="n">
        <x:v>1</x:v>
      </x:c>
      <x:c r="D595" s="60" t="n">
        <x:v>0.9498342654879072</x:v>
      </x:c>
      <x:c r="E595" s="62" t="b">
        <x:v>0</x:v>
      </x:c>
      <x:c r="F595" s="62" t="b">
        <x:v>0</x:v>
      </x:c>
      <x:c r="G595" s="85" t="n">
        <x:v>17488319.439506024</x:v>
      </x:c>
      <x:c r="H595" s="85" t="n">
        <x:v>63545141.91275137</x:v>
      </x:c>
      <x:c r="I595" s="85" t="n">
        <x:v>78073939.79097949</x:v>
      </x:c>
      <x:c r="J595" s="85" t="n">
        <x:v>84000000.00000001</x:v>
      </x:c>
      <x:c r="K595" s="85" t="n">
        <x:v>0</x:v>
      </x:c>
      <x:c r="L595" s="28" t="n">
        <x:v>43</x:v>
      </x:c>
      <x:c r="M595" s="28" t="n">
        <x:v>39</x:v>
      </x:c>
      <x:c r="N595" s="28" t="n">
        <x:v>1.862645149230957e-9</x:v>
      </x:c>
      <x:c r="O595" s="28" t="n">
        <x:v>1.4901161193847656e-8</x:v>
      </x:c>
      <x:c r="P595" s="28" t="n">
        <x:v>0</x:v>
      </x:c>
      <x:c r="Q595" s="62" t="b">
        <x:v>1</x:v>
      </x:c>
      <x:c r="R595" s="28" t="n">
        <x:v>15049720.35362786</x:v>
      </x:c>
      <x:c r="S595" s="28" t="str">
        <x:v>9f4c098cf0f9c7fb</x:v>
      </x:c>
    </x:row>
    <x:row r="596" ht="21" customHeight="1">
      <x:c r="A596" s="60" t="n">
        <x:v>0.62</x:v>
      </x:c>
      <x:c r="B596" s="28" t="str">
        <x:v>middle_low</x:v>
      </x:c>
      <x:c r="C596" s="60" t="n">
        <x:v>0</x:v>
      </x:c>
      <x:c r="D596" s="60" t="n">
        <x:v>0</x:v>
      </x:c>
      <x:c r="E596" s="62" t="b">
        <x:v>1</x:v>
      </x:c>
      <x:c r="F596" s="62" t="b">
        <x:v>1</x:v>
      </x:c>
      <x:c r="G596" s="85" t="n">
        <x:v>0</x:v>
      </x:c>
      <x:c r="H596" s="85" t="n">
        <x:v>0</x:v>
      </x:c>
      <x:c r="I596" s="85" t="n">
        <x:v>0</x:v>
      </x:c>
      <x:c r="J596" s="85" t="n">
        <x:v>0</x:v>
      </x:c>
      <x:c r="K596" s="85" t="n">
        <x:v>27289826.80616435</x:v>
      </x:c>
      <x:c r="L596" s="28" t="n">
        <x:v>0</x:v>
      </x:c>
      <x:c r="M596" s="28" t="n">
        <x:v>0</x:v>
      </x:c>
      <x:c r="N596" s="28" t="n">
        <x:v>4.656612873077393e-10</x:v>
      </x:c>
      <x:c r="O596" s="28" t="n">
        <x:v>0</x:v>
      </x:c>
      <x:c r="P596" s="28" t="n">
        <x:v>0</x:v>
      </x:c>
      <x:c r="Q596" s="62" t="b">
        <x:v>1</x:v>
      </x:c>
      <x:c r="R596" s="28" t="n">
        <x:v>0</x:v>
      </x:c>
      <x:c r="S596" s="28" t="str">
        <x:v>c90e62642e49eb8e</x:v>
      </x:c>
    </x:row>
    <x:row r="597" ht="21" customHeight="1">
      <x:c r="A597" s="60" t="n">
        <x:v>0.62</x:v>
      </x:c>
      <x:c r="B597" s="28" t="str">
        <x:v>middle_low</x:v>
      </x:c>
      <x:c r="C597" s="60" t="n">
        <x:v>0.05</x:v>
      </x:c>
      <x:c r="D597" s="60" t="n">
        <x:v>0.05</x:v>
      </x:c>
      <x:c r="E597" s="62" t="b">
        <x:v>1</x:v>
      </x:c>
      <x:c r="F597" s="62" t="b">
        <x:v>1</x:v>
      </x:c>
      <x:c r="G597" s="85" t="n">
        <x:v>0</x:v>
      </x:c>
      <x:c r="H597" s="85" t="n">
        <x:v>0</x:v>
      </x:c>
      <x:c r="I597" s="85" t="n">
        <x:v>0</x:v>
      </x:c>
      <x:c r="J597" s="85" t="n">
        <x:v>0</x:v>
      </x:c>
      <x:c r="K597" s="85" t="n">
        <x:v>16535424.598132288</x:v>
      </x:c>
      <x:c r="L597" s="28" t="n">
        <x:v>0</x:v>
      </x:c>
      <x:c r="M597" s="28" t="n">
        <x:v>0</x:v>
      </x:c>
      <x:c r="N597" s="28" t="n">
        <x:v>3.725290298461914e-9</x:v>
      </x:c>
      <x:c r="O597" s="28" t="n">
        <x:v>2.9802322387695312e-8</x:v>
      </x:c>
      <x:c r="P597" s="28" t="n">
        <x:v>0</x:v>
      </x:c>
      <x:c r="Q597" s="62" t="b">
        <x:v>1</x:v>
      </x:c>
      <x:c r="R597" s="28" t="n">
        <x:v>0</x:v>
      </x:c>
      <x:c r="S597" s="28" t="str">
        <x:v>2f07d2255861f2ea</x:v>
      </x:c>
    </x:row>
    <x:row r="598" ht="21" customHeight="1">
      <x:c r="A598" s="60" t="n">
        <x:v>0.62</x:v>
      </x:c>
      <x:c r="B598" s="28" t="str">
        <x:v>middle_low</x:v>
      </x:c>
      <x:c r="C598" s="60" t="n">
        <x:v>0.1</x:v>
      </x:c>
      <x:c r="D598" s="60" t="n">
        <x:v>0.1</x:v>
      </x:c>
      <x:c r="E598" s="62" t="b">
        <x:v>1</x:v>
      </x:c>
      <x:c r="F598" s="62" t="b">
        <x:v>1</x:v>
      </x:c>
      <x:c r="G598" s="85" t="n">
        <x:v>0</x:v>
      </x:c>
      <x:c r="H598" s="85" t="n">
        <x:v>0</x:v>
      </x:c>
      <x:c r="I598" s="85" t="n">
        <x:v>0</x:v>
      </x:c>
      <x:c r="J598" s="85" t="n">
        <x:v>0</x:v>
      </x:c>
      <x:c r="K598" s="85" t="n">
        <x:v>5722818.1974038705</x:v>
      </x:c>
      <x:c r="L598" s="28" t="n">
        <x:v>0</x:v>
      </x:c>
      <x:c r="M598" s="28" t="n">
        <x:v>0</x:v>
      </x:c>
      <x:c r="N598" s="28" t="n">
        <x:v>3.725290298461914e-9</x:v>
      </x:c>
      <x:c r="O598" s="28" t="n">
        <x:v>5.960464477539063e-8</x:v>
      </x:c>
      <x:c r="P598" s="28" t="n">
        <x:v>0</x:v>
      </x:c>
      <x:c r="Q598" s="62" t="b">
        <x:v>1</x:v>
      </x:c>
      <x:c r="R598" s="28" t="n">
        <x:v>0</x:v>
      </x:c>
      <x:c r="S598" s="28" t="str">
        <x:v>2607c3ba714f4f18</x:v>
      </x:c>
    </x:row>
    <x:row r="599" ht="21" customHeight="1">
      <x:c r="A599" s="60" t="n">
        <x:v>0.62</x:v>
      </x:c>
      <x:c r="B599" s="28" t="str">
        <x:v>middle_low</x:v>
      </x:c>
      <x:c r="C599" s="60" t="n">
        <x:v>0.15</x:v>
      </x:c>
      <x:c r="D599" s="60" t="n">
        <x:v>0.15</x:v>
      </x:c>
      <x:c r="E599" s="62" t="b">
        <x:v>1</x:v>
      </x:c>
      <x:c r="F599" s="62" t="b">
        <x:v>1</x:v>
      </x:c>
      <x:c r="G599" s="85" t="n">
        <x:v>0</x:v>
      </x:c>
      <x:c r="H599" s="85" t="n">
        <x:v>0</x:v>
      </x:c>
      <x:c r="I599" s="85" t="n">
        <x:v>3664210.075360077</x:v>
      </x:c>
      <x:c r="J599" s="85" t="n">
        <x:v>0</x:v>
      </x:c>
      <x:c r="K599" s="85" t="n">
        <x:v>17854.591599999927</x:v>
      </x:c>
      <x:c r="L599" s="28" t="n">
        <x:v>0</x:v>
      </x:c>
      <x:c r="M599" s="28" t="n">
        <x:v>0</x:v>
      </x:c>
      <x:c r="N599" s="28" t="n">
        <x:v>1.862645149230957e-9</x:v>
      </x:c>
      <x:c r="O599" s="28" t="n">
        <x:v>2.9802322387695312e-8</x:v>
      </x:c>
      <x:c r="P599" s="28" t="n">
        <x:v>0</x:v>
      </x:c>
      <x:c r="Q599" s="62" t="b">
        <x:v>1</x:v>
      </x:c>
      <x:c r="R599" s="28" t="n">
        <x:v>0</x:v>
      </x:c>
      <x:c r="S599" s="28" t="str">
        <x:v>41c7d6932eed5aee</x:v>
      </x:c>
    </x:row>
    <x:row r="600" ht="21" customHeight="1">
      <x:c r="A600" s="60" t="n">
        <x:v>0.62</x:v>
      </x:c>
      <x:c r="B600" s="28" t="str">
        <x:v>middle_low</x:v>
      </x:c>
      <x:c r="C600" s="60" t="n">
        <x:v>0.2</x:v>
      </x:c>
      <x:c r="D600" s="60" t="n">
        <x:v>0.2</x:v>
      </x:c>
      <x:c r="E600" s="62" t="b">
        <x:v>1</x:v>
      </x:c>
      <x:c r="F600" s="62" t="b">
        <x:v>1</x:v>
      </x:c>
      <x:c r="G600" s="85" t="n">
        <x:v>0</x:v>
      </x:c>
      <x:c r="H600" s="85" t="n">
        <x:v>0</x:v>
      </x:c>
      <x:c r="I600" s="85" t="n">
        <x:v>10082536.07670589</x:v>
      </x:c>
      <x:c r="J600" s="85" t="n">
        <x:v>6318282.052720871</x:v>
      </x:c>
      <x:c r="K600" s="85" t="n">
        <x:v>3288.573731504439</x:v>
      </x:c>
      <x:c r="L600" s="28" t="n">
        <x:v>0</x:v>
      </x:c>
      <x:c r="M600" s="28" t="n">
        <x:v>0</x:v>
      </x:c>
      <x:c r="N600" s="28" t="n">
        <x:v>1.862645149230957e-9</x:v>
      </x:c>
      <x:c r="O600" s="28" t="n">
        <x:v>2.9802322387695312e-8</x:v>
      </x:c>
      <x:c r="P600" s="28" t="n">
        <x:v>0</x:v>
      </x:c>
      <x:c r="Q600" s="62" t="b">
        <x:v>1</x:v>
      </x:c>
      <x:c r="R600" s="28" t="n">
        <x:v>0</x:v>
      </x:c>
      <x:c r="S600" s="28" t="str">
        <x:v>b09855adcba314f0</x:v>
      </x:c>
    </x:row>
    <x:row r="601" ht="21" customHeight="1">
      <x:c r="A601" s="60" t="n">
        <x:v>0.62</x:v>
      </x:c>
      <x:c r="B601" s="28" t="str">
        <x:v>middle_low</x:v>
      </x:c>
      <x:c r="C601" s="60" t="n">
        <x:v>0.25</x:v>
      </x:c>
      <x:c r="D601" s="60" t="n">
        <x:v>0.25</x:v>
      </x:c>
      <x:c r="E601" s="62" t="b">
        <x:v>1</x:v>
      </x:c>
      <x:c r="F601" s="62" t="b">
        <x:v>1</x:v>
      </x:c>
      <x:c r="G601" s="85" t="n">
        <x:v>0</x:v>
      </x:c>
      <x:c r="H601" s="85" t="n">
        <x:v>0</x:v>
      </x:c>
      <x:c r="I601" s="85" t="n">
        <x:v>14380082.735779608</x:v>
      </x:c>
      <x:c r="J601" s="85" t="n">
        <x:v>15397852.565901024</x:v>
      </x:c>
      <x:c r="K601" s="85" t="n">
        <x:v>0</x:v>
      </x:c>
      <x:c r="L601" s="28" t="n">
        <x:v>0</x:v>
      </x:c>
      <x:c r="M601" s="28" t="n">
        <x:v>0</x:v>
      </x:c>
      <x:c r="N601" s="28" t="n">
        <x:v>9.313225746154785e-10</x:v>
      </x:c>
      <x:c r="O601" s="28" t="n">
        <x:v>2.9802322387695312e-8</x:v>
      </x:c>
      <x:c r="P601" s="28" t="n">
        <x:v>0</x:v>
      </x:c>
      <x:c r="Q601" s="62" t="b">
        <x:v>1</x:v>
      </x:c>
      <x:c r="R601" s="28" t="n">
        <x:v>0</x:v>
      </x:c>
      <x:c r="S601" s="28" t="str">
        <x:v>c451b7c06eebd53e</x:v>
      </x:c>
    </x:row>
    <x:row r="602" ht="21" customHeight="1">
      <x:c r="A602" s="60" t="n">
        <x:v>0.62</x:v>
      </x:c>
      <x:c r="B602" s="28" t="str">
        <x:v>middle_low</x:v>
      </x:c>
      <x:c r="C602" s="60" t="n">
        <x:v>0.3</x:v>
      </x:c>
      <x:c r="D602" s="60" t="n">
        <x:v>0.3</x:v>
      </x:c>
      <x:c r="E602" s="62" t="b">
        <x:v>1</x:v>
      </x:c>
      <x:c r="F602" s="62" t="b">
        <x:v>1</x:v>
      </x:c>
      <x:c r="G602" s="85" t="n">
        <x:v>0</x:v>
      </x:c>
      <x:c r="H602" s="85" t="n">
        <x:v>0</x:v>
      </x:c>
      <x:c r="I602" s="85" t="n">
        <x:v>18731609.085671905</x:v>
      </x:c>
      <x:c r="J602" s="85" t="n">
        <x:v>24477423.079081148</x:v>
      </x:c>
      <x:c r="K602" s="85" t="n">
        <x:v>0</x:v>
      </x:c>
      <x:c r="L602" s="28" t="n">
        <x:v>0</x:v>
      </x:c>
      <x:c r="M602" s="28" t="n">
        <x:v>0</x:v>
      </x:c>
      <x:c r="N602" s="28" t="n">
        <x:v>1.862645149230957e-9</x:v>
      </x:c>
      <x:c r="O602" s="28" t="n">
        <x:v>2.9802322387695312e-8</x:v>
      </x:c>
      <x:c r="P602" s="28" t="n">
        <x:v>0</x:v>
      </x:c>
      <x:c r="Q602" s="62" t="b">
        <x:v>1</x:v>
      </x:c>
      <x:c r="R602" s="28" t="n">
        <x:v>0</x:v>
      </x:c>
      <x:c r="S602" s="28" t="str">
        <x:v>8f0ec8ac458f760b</x:v>
      </x:c>
    </x:row>
    <x:row r="603" ht="21" customHeight="1">
      <x:c r="A603" s="60" t="n">
        <x:v>0.62</x:v>
      </x:c>
      <x:c r="B603" s="28" t="str">
        <x:v>middle_low</x:v>
      </x:c>
      <x:c r="C603" s="60" t="n">
        <x:v>0.35</x:v>
      </x:c>
      <x:c r="D603" s="60" t="n">
        <x:v>0.35</x:v>
      </x:c>
      <x:c r="E603" s="62" t="b">
        <x:v>1</x:v>
      </x:c>
      <x:c r="F603" s="62" t="b">
        <x:v>1</x:v>
      </x:c>
      <x:c r="G603" s="85" t="n">
        <x:v>0</x:v>
      </x:c>
      <x:c r="H603" s="85" t="n">
        <x:v>0</x:v>
      </x:c>
      <x:c r="I603" s="85" t="n">
        <x:v>23085865.072667457</x:v>
      </x:c>
      <x:c r="J603" s="85" t="n">
        <x:v>33556993.59226132</x:v>
      </x:c>
      <x:c r="K603" s="85" t="n">
        <x:v>0</x:v>
      </x:c>
      <x:c r="L603" s="28" t="n">
        <x:v>0</x:v>
      </x:c>
      <x:c r="M603" s="28" t="n">
        <x:v>0</x:v>
      </x:c>
      <x:c r="N603" s="28" t="n">
        <x:v>3.725290298461914e-9</x:v>
      </x:c>
      <x:c r="O603" s="28" t="n">
        <x:v>2.9802322387695312e-8</x:v>
      </x:c>
      <x:c r="P603" s="28" t="n">
        <x:v>0</x:v>
      </x:c>
      <x:c r="Q603" s="62" t="b">
        <x:v>1</x:v>
      </x:c>
      <x:c r="R603" s="28" t="n">
        <x:v>0</x:v>
      </x:c>
      <x:c r="S603" s="28" t="str">
        <x:v>b8d3913998909c01</x:v>
      </x:c>
    </x:row>
    <x:row r="604" ht="21" customHeight="1">
      <x:c r="A604" s="60" t="n">
        <x:v>0.62</x:v>
      </x:c>
      <x:c r="B604" s="28" t="str">
        <x:v>middle_low</x:v>
      </x:c>
      <x:c r="C604" s="60" t="n">
        <x:v>0.4</x:v>
      </x:c>
      <x:c r="D604" s="60" t="n">
        <x:v>0.4</x:v>
      </x:c>
      <x:c r="E604" s="62" t="b">
        <x:v>1</x:v>
      </x:c>
      <x:c r="F604" s="62" t="b">
        <x:v>1</x:v>
      </x:c>
      <x:c r="G604" s="85" t="n">
        <x:v>0</x:v>
      </x:c>
      <x:c r="H604" s="85" t="n">
        <x:v>0</x:v>
      </x:c>
      <x:c r="I604" s="85" t="n">
        <x:v>27400523.917526994</x:v>
      </x:c>
      <x:c r="J604" s="85" t="n">
        <x:v>42636564.10544156</x:v>
      </x:c>
      <x:c r="K604" s="85" t="n">
        <x:v>0</x:v>
      </x:c>
      <x:c r="L604" s="28" t="n">
        <x:v>0</x:v>
      </x:c>
      <x:c r="M604" s="28" t="n">
        <x:v>0</x:v>
      </x:c>
      <x:c r="N604" s="28" t="n">
        <x:v>1.862645149230957e-9</x:v>
      </x:c>
      <x:c r="O604" s="28" t="n">
        <x:v>2.9802322387695312e-8</x:v>
      </x:c>
      <x:c r="P604" s="28" t="n">
        <x:v>0</x:v>
      </x:c>
      <x:c r="Q604" s="62" t="b">
        <x:v>1</x:v>
      </x:c>
      <x:c r="R604" s="28" t="n">
        <x:v>0</x:v>
      </x:c>
      <x:c r="S604" s="28" t="str">
        <x:v>736383389a5e546c</x:v>
      </x:c>
    </x:row>
    <x:row r="605" ht="21" customHeight="1">
      <x:c r="A605" s="60" t="n">
        <x:v>0.62</x:v>
      </x:c>
      <x:c r="B605" s="28" t="str">
        <x:v>middle_low</x:v>
      </x:c>
      <x:c r="C605" s="60" t="n">
        <x:v>0.45</x:v>
      </x:c>
      <x:c r="D605" s="60" t="n">
        <x:v>0.45</x:v>
      </x:c>
      <x:c r="E605" s="62" t="b">
        <x:v>1</x:v>
      </x:c>
      <x:c r="F605" s="62" t="b">
        <x:v>1</x:v>
      </x:c>
      <x:c r="G605" s="85" t="n">
        <x:v>0</x:v>
      </x:c>
      <x:c r="H605" s="85" t="n">
        <x:v>0</x:v>
      </x:c>
      <x:c r="I605" s="85" t="n">
        <x:v>31717849.513936393</x:v>
      </x:c>
      <x:c r="J605" s="85" t="n">
        <x:v>51716134.61862181</x:v>
      </x:c>
      <x:c r="K605" s="85" t="n">
        <x:v>0</x:v>
      </x:c>
      <x:c r="L605" s="28" t="n">
        <x:v>0</x:v>
      </x:c>
      <x:c r="M605" s="28" t="n">
        <x:v>0</x:v>
      </x:c>
      <x:c r="N605" s="28" t="n">
        <x:v>1.862645149230957e-9</x:v>
      </x:c>
      <x:c r="O605" s="28" t="n">
        <x:v>2.9802322387695312e-8</x:v>
      </x:c>
      <x:c r="P605" s="28" t="n">
        <x:v>0</x:v>
      </x:c>
      <x:c r="Q605" s="62" t="b">
        <x:v>1</x:v>
      </x:c>
      <x:c r="R605" s="28" t="n">
        <x:v>0</x:v>
      </x:c>
      <x:c r="S605" s="28" t="str">
        <x:v>be2fc6b56a3eae55</x:v>
      </x:c>
    </x:row>
    <x:row r="606" ht="21" customHeight="1">
      <x:c r="A606" s="60" t="n">
        <x:v>0.62</x:v>
      </x:c>
      <x:c r="B606" s="28" t="str">
        <x:v>middle_low</x:v>
      </x:c>
      <x:c r="C606" s="60" t="n">
        <x:v>0.5</x:v>
      </x:c>
      <x:c r="D606" s="60" t="n">
        <x:v>0.5</x:v>
      </x:c>
      <x:c r="E606" s="62" t="b">
        <x:v>1</x:v>
      </x:c>
      <x:c r="F606" s="62" t="b">
        <x:v>1</x:v>
      </x:c>
      <x:c r="G606" s="85" t="n">
        <x:v>0</x:v>
      </x:c>
      <x:c r="H606" s="85" t="n">
        <x:v>0</x:v>
      </x:c>
      <x:c r="I606" s="85" t="n">
        <x:v>38540845.88121265</x:v>
      </x:c>
      <x:c r="J606" s="85" t="n">
        <x:v>56692487.13416972</x:v>
      </x:c>
      <x:c r="K606" s="85" t="n">
        <x:v>0</x:v>
      </x:c>
      <x:c r="L606" s="28" t="n">
        <x:v>8</x:v>
      </x:c>
      <x:c r="M606" s="28" t="n">
        <x:v>0</x:v>
      </x:c>
      <x:c r="N606" s="28" t="n">
        <x:v>1.862645149230957e-9</x:v>
      </x:c>
      <x:c r="O606" s="28" t="n">
        <x:v>1.4901161193847656e-8</x:v>
      </x:c>
      <x:c r="P606" s="28" t="n">
        <x:v>0</x:v>
      </x:c>
      <x:c r="Q606" s="62" t="b">
        <x:v>1</x:v>
      </x:c>
      <x:c r="R606" s="28" t="n">
        <x:v>0</x:v>
      </x:c>
      <x:c r="S606" s="28" t="str">
        <x:v>bd92feba1d3a08c6</x:v>
      </x:c>
    </x:row>
    <x:row r="607" ht="21" customHeight="1">
      <x:c r="A607" s="60" t="n">
        <x:v>0.62</x:v>
      </x:c>
      <x:c r="B607" s="28" t="str">
        <x:v>middle_low</x:v>
      </x:c>
      <x:c r="C607" s="60" t="n">
        <x:v>0.55</x:v>
      </x:c>
      <x:c r="D607" s="60" t="n">
        <x:v>0.55</x:v>
      </x:c>
      <x:c r="E607" s="62" t="b">
        <x:v>1</x:v>
      </x:c>
      <x:c r="F607" s="62" t="b">
        <x:v>1</x:v>
      </x:c>
      <x:c r="G607" s="85" t="n">
        <x:v>0</x:v>
      </x:c>
      <x:c r="H607" s="85" t="n">
        <x:v>0</x:v>
      </x:c>
      <x:c r="I607" s="85" t="n">
        <x:v>43140003.92435715</x:v>
      </x:c>
      <x:c r="J607" s="85" t="n">
        <x:v>65218000.048925</x:v>
      </x:c>
      <x:c r="K607" s="85" t="n">
        <x:v>0</x:v>
      </x:c>
      <x:c r="L607" s="28" t="n">
        <x:v>11</x:v>
      </x:c>
      <x:c r="M607" s="28" t="n">
        <x:v>0</x:v>
      </x:c>
      <x:c r="N607" s="28" t="n">
        <x:v>1.862645149230957e-9</x:v>
      </x:c>
      <x:c r="O607" s="28" t="n">
        <x:v>2.9802322387695312e-8</x:v>
      </x:c>
      <x:c r="P607" s="28" t="n">
        <x:v>0</x:v>
      </x:c>
      <x:c r="Q607" s="62" t="b">
        <x:v>1</x:v>
      </x:c>
      <x:c r="R607" s="28" t="n">
        <x:v>0</x:v>
      </x:c>
      <x:c r="S607" s="28" t="str">
        <x:v>eaa6dcd13874e07a</x:v>
      </x:c>
    </x:row>
    <x:row r="608" ht="21" customHeight="1">
      <x:c r="A608" s="60" t="n">
        <x:v>0.62</x:v>
      </x:c>
      <x:c r="B608" s="28" t="str">
        <x:v>middle_low</x:v>
      </x:c>
      <x:c r="C608" s="60" t="n">
        <x:v>0.6</x:v>
      </x:c>
      <x:c r="D608" s="60" t="n">
        <x:v>0.6</x:v>
      </x:c>
      <x:c r="E608" s="62" t="b">
        <x:v>1</x:v>
      </x:c>
      <x:c r="F608" s="62" t="b">
        <x:v>1</x:v>
      </x:c>
      <x:c r="G608" s="85" t="n">
        <x:v>0</x:v>
      </x:c>
      <x:c r="H608" s="85" t="n">
        <x:v>0</x:v>
      </x:c>
      <x:c r="I608" s="85" t="n">
        <x:v>47502916.03732814</x:v>
      </x:c>
      <x:c r="J608" s="85" t="n">
        <x:v>73986694.95323525</x:v>
      </x:c>
      <x:c r="K608" s="85" t="n">
        <x:v>0</x:v>
      </x:c>
      <x:c r="L608" s="28" t="n">
        <x:v>14</x:v>
      </x:c>
      <x:c r="M608" s="28" t="n">
        <x:v>0</x:v>
      </x:c>
      <x:c r="N608" s="28" t="n">
        <x:v>1.862645149230957e-9</x:v>
      </x:c>
      <x:c r="O608" s="28" t="n">
        <x:v>2.9802322387695312e-8</x:v>
      </x:c>
      <x:c r="P608" s="28" t="n">
        <x:v>0</x:v>
      </x:c>
      <x:c r="Q608" s="62" t="b">
        <x:v>1</x:v>
      </x:c>
      <x:c r="R608" s="28" t="n">
        <x:v>0</x:v>
      </x:c>
      <x:c r="S608" s="28" t="str">
        <x:v>068f8400da91c369</x:v>
      </x:c>
    </x:row>
    <x:row r="609" ht="21" customHeight="1">
      <x:c r="A609" s="60" t="n">
        <x:v>0.62</x:v>
      </x:c>
      <x:c r="B609" s="28" t="str">
        <x:v>middle_low</x:v>
      </x:c>
      <x:c r="C609" s="60" t="n">
        <x:v>0.65</x:v>
      </x:c>
      <x:c r="D609" s="60" t="n">
        <x:v>0.65</x:v>
      </x:c>
      <x:c r="E609" s="62" t="b">
        <x:v>1</x:v>
      </x:c>
      <x:c r="F609" s="62" t="b">
        <x:v>1</x:v>
      </x:c>
      <x:c r="G609" s="85" t="n">
        <x:v>0</x:v>
      </x:c>
      <x:c r="H609" s="85" t="n">
        <x:v>0</x:v>
      </x:c>
      <x:c r="I609" s="85" t="n">
        <x:v>51533863.49931434</x:v>
      </x:c>
      <x:c r="J609" s="85" t="n">
        <x:v>83074311.1195241</x:v>
      </x:c>
      <x:c r="K609" s="85" t="n">
        <x:v>0</x:v>
      </x:c>
      <x:c r="L609" s="28" t="n">
        <x:v>21</x:v>
      </x:c>
      <x:c r="M609" s="28" t="n">
        <x:v>0</x:v>
      </x:c>
      <x:c r="N609" s="28" t="n">
        <x:v>1.862645149230957e-9</x:v>
      </x:c>
      <x:c r="O609" s="28" t="n">
        <x:v>2.9802322387695312e-8</x:v>
      </x:c>
      <x:c r="P609" s="28" t="n">
        <x:v>0</x:v>
      </x:c>
      <x:c r="Q609" s="62" t="b">
        <x:v>1</x:v>
      </x:c>
      <x:c r="R609" s="28" t="n">
        <x:v>0</x:v>
      </x:c>
      <x:c r="S609" s="28" t="str">
        <x:v>d7b66630666b5102</x:v>
      </x:c>
    </x:row>
    <x:row r="610" ht="21" customHeight="1">
      <x:c r="A610" s="60" t="n">
        <x:v>0.62</x:v>
      </x:c>
      <x:c r="B610" s="28" t="str">
        <x:v>middle_low</x:v>
      </x:c>
      <x:c r="C610" s="60" t="n">
        <x:v>0.7</x:v>
      </x:c>
      <x:c r="D610" s="60" t="n">
        <x:v>0.7</x:v>
      </x:c>
      <x:c r="E610" s="62" t="b">
        <x:v>1</x:v>
      </x:c>
      <x:c r="F610" s="62" t="b">
        <x:v>0</x:v>
      </x:c>
      <x:c r="G610" s="85" t="n">
        <x:v>653608.8657194107</x:v>
      </x:c>
      <x:c r="H610" s="85" t="n">
        <x:v>9841537.782893626</x:v>
      </x:c>
      <x:c r="I610" s="85" t="n">
        <x:v>51934958.015614</x:v>
      </x:c>
      <x:c r="J610" s="85" t="n">
        <x:v>84000000.00000001</x:v>
      </x:c>
      <x:c r="K610" s="85" t="n">
        <x:v>0</x:v>
      </x:c>
      <x:c r="L610" s="28" t="n">
        <x:v>40</x:v>
      </x:c>
      <x:c r="M610" s="28" t="n">
        <x:v>31</x:v>
      </x:c>
      <x:c r="N610" s="28" t="n">
        <x:v>1.862645149230957e-9</x:v>
      </x:c>
      <x:c r="O610" s="28" t="n">
        <x:v>1.4901161193847656e-8</x:v>
      </x:c>
      <x:c r="P610" s="28" t="n">
        <x:v>0</x:v>
      </x:c>
      <x:c r="Q610" s="62" t="b">
        <x:v>1</x:v>
      </x:c>
      <x:c r="R610" s="28" t="n">
        <x:v>0</x:v>
      </x:c>
      <x:c r="S610" s="28" t="str">
        <x:v>887dbe249e59254a</x:v>
      </x:c>
    </x:row>
    <x:row r="611" ht="21" customHeight="1">
      <x:c r="A611" s="60" t="n">
        <x:v>0.62</x:v>
      </x:c>
      <x:c r="B611" s="28" t="str">
        <x:v>middle_low</x:v>
      </x:c>
      <x:c r="C611" s="60" t="n">
        <x:v>0.75</x:v>
      </x:c>
      <x:c r="D611" s="60" t="n">
        <x:v>0.75</x:v>
      </x:c>
      <x:c r="E611" s="62" t="b">
        <x:v>1</x:v>
      </x:c>
      <x:c r="F611" s="62" t="b">
        <x:v>0</x:v>
      </x:c>
      <x:c r="G611" s="85" t="n">
        <x:v>1335924.9696714543</x:v>
      </x:c>
      <x:c r="H611" s="85" t="n">
        <x:v>19700356.445236985</x:v>
      </x:c>
      <x:c r="I611" s="85" t="n">
        <x:v>52926286.10812843</x:v>
      </x:c>
      <x:c r="J611" s="85" t="n">
        <x:v>84000000.00000001</x:v>
      </x:c>
      <x:c r="K611" s="85" t="n">
        <x:v>0</x:v>
      </x:c>
      <x:c r="L611" s="28" t="n">
        <x:v>41</x:v>
      </x:c>
      <x:c r="M611" s="28" t="n">
        <x:v>32</x:v>
      </x:c>
      <x:c r="N611" s="28" t="n">
        <x:v>1.862645149230957e-9</x:v>
      </x:c>
      <x:c r="O611" s="28" t="n">
        <x:v>2.9802322387695312e-8</x:v>
      </x:c>
      <x:c r="P611" s="28" t="n">
        <x:v>0</x:v>
      </x:c>
      <x:c r="Q611" s="62" t="b">
        <x:v>1</x:v>
      </x:c>
      <x:c r="R611" s="28" t="n">
        <x:v>0</x:v>
      </x:c>
      <x:c r="S611" s="28" t="str">
        <x:v>47214732f87f6186</x:v>
      </x:c>
    </x:row>
    <x:row r="612" ht="21" customHeight="1">
      <x:c r="A612" s="60" t="n">
        <x:v>0.62</x:v>
      </x:c>
      <x:c r="B612" s="28" t="str">
        <x:v>middle_low</x:v>
      </x:c>
      <x:c r="C612" s="60" t="n">
        <x:v>0.8</x:v>
      </x:c>
      <x:c r="D612" s="60" t="n">
        <x:v>0.8</x:v>
      </x:c>
      <x:c r="E612" s="62" t="b">
        <x:v>1</x:v>
      </x:c>
      <x:c r="F612" s="62" t="b">
        <x:v>0</x:v>
      </x:c>
      <x:c r="G612" s="85" t="n">
        <x:v>2299709.5673822104</x:v>
      </x:c>
      <x:c r="H612" s="85" t="n">
        <x:v>30261777.437074695</x:v>
      </x:c>
      <x:c r="I612" s="85" t="n">
        <x:v>53052297.27862467</x:v>
      </x:c>
      <x:c r="J612" s="85" t="n">
        <x:v>84000000.00000001</x:v>
      </x:c>
      <x:c r="K612" s="85" t="n">
        <x:v>0</x:v>
      </x:c>
      <x:c r="L612" s="28" t="n">
        <x:v>41</x:v>
      </x:c>
      <x:c r="M612" s="28" t="n">
        <x:v>34</x:v>
      </x:c>
      <x:c r="N612" s="28" t="n">
        <x:v>1.862645149230957e-9</x:v>
      </x:c>
      <x:c r="O612" s="28" t="n">
        <x:v>1.4901161193847656e-8</x:v>
      </x:c>
      <x:c r="P612" s="28" t="n">
        <x:v>0</x:v>
      </x:c>
      <x:c r="Q612" s="62" t="b">
        <x:v>1</x:v>
      </x:c>
      <x:c r="R612" s="28" t="n">
        <x:v>0</x:v>
      </x:c>
      <x:c r="S612" s="28" t="str">
        <x:v>f14c12a02d758b8d</x:v>
      </x:c>
    </x:row>
    <x:row r="613" ht="21" customHeight="1">
      <x:c r="A613" s="60" t="n">
        <x:v>0.62</x:v>
      </x:c>
      <x:c r="B613" s="28" t="str">
        <x:v>middle_low</x:v>
      </x:c>
      <x:c r="C613" s="60" t="n">
        <x:v>0.85</x:v>
      </x:c>
      <x:c r="D613" s="60" t="n">
        <x:v>0.85</x:v>
      </x:c>
      <x:c r="E613" s="62" t="b">
        <x:v>1</x:v>
      </x:c>
      <x:c r="F613" s="62" t="b">
        <x:v>0</x:v>
      </x:c>
      <x:c r="G613" s="85" t="n">
        <x:v>3192811.331010475</x:v>
      </x:c>
      <x:c r="H613" s="85" t="n">
        <x:v>39910073.640372224</x:v>
      </x:c>
      <x:c r="I613" s="85" t="n">
        <x:v>53925463.77041892</x:v>
      </x:c>
      <x:c r="J613" s="85" t="n">
        <x:v>84000000.00000001</x:v>
      </x:c>
      <x:c r="K613" s="85" t="n">
        <x:v>0</x:v>
      </x:c>
      <x:c r="L613" s="28" t="n">
        <x:v>42</x:v>
      </x:c>
      <x:c r="M613" s="28" t="n">
        <x:v>34</x:v>
      </x:c>
      <x:c r="N613" s="28" t="n">
        <x:v>1.862645149230957e-9</x:v>
      </x:c>
      <x:c r="O613" s="28" t="n">
        <x:v>2.9802322387695312e-8</x:v>
      </x:c>
      <x:c r="P613" s="28" t="n">
        <x:v>0</x:v>
      </x:c>
      <x:c r="Q613" s="62" t="b">
        <x:v>1</x:v>
      </x:c>
      <x:c r="R613" s="28" t="n">
        <x:v>0</x:v>
      </x:c>
      <x:c r="S613" s="28" t="str">
        <x:v>345f38df766e7969</x:v>
      </x:c>
    </x:row>
    <x:row r="614" ht="21" customHeight="1">
      <x:c r="A614" s="60" t="n">
        <x:v>0.62</x:v>
      </x:c>
      <x:c r="B614" s="28" t="str">
        <x:v>middle_low</x:v>
      </x:c>
      <x:c r="C614" s="60" t="n">
        <x:v>0.9</x:v>
      </x:c>
      <x:c r="D614" s="60" t="n">
        <x:v>0.9</x:v>
      </x:c>
      <x:c r="E614" s="62" t="b">
        <x:v>1</x:v>
      </x:c>
      <x:c r="F614" s="62" t="b">
        <x:v>0</x:v>
      </x:c>
      <x:c r="G614" s="85" t="n">
        <x:v>4303885.769299773</x:v>
      </x:c>
      <x:c r="H614" s="85" t="n">
        <x:v>50196324.82713199</x:v>
      </x:c>
      <x:c r="I614" s="85" t="n">
        <x:v>54015630.44394074</x:v>
      </x:c>
      <x:c r="J614" s="85" t="n">
        <x:v>84000000.00000001</x:v>
      </x:c>
      <x:c r="K614" s="85" t="n">
        <x:v>0</x:v>
      </x:c>
      <x:c r="L614" s="28" t="n">
        <x:v>42</x:v>
      </x:c>
      <x:c r="M614" s="28" t="n">
        <x:v>36</x:v>
      </x:c>
      <x:c r="N614" s="28" t="n">
        <x:v>1.862645149230957e-9</x:v>
      </x:c>
      <x:c r="O614" s="28" t="n">
        <x:v>2.9802322387695312e-8</x:v>
      </x:c>
      <x:c r="P614" s="28" t="n">
        <x:v>0</x:v>
      </x:c>
      <x:c r="Q614" s="62" t="b">
        <x:v>1</x:v>
      </x:c>
      <x:c r="R614" s="28" t="n">
        <x:v>0</x:v>
      </x:c>
      <x:c r="S614" s="28" t="str">
        <x:v>2e3a71fa9b00dd4e</x:v>
      </x:c>
    </x:row>
    <x:row r="615" ht="21" customHeight="1">
      <x:c r="A615" s="60" t="n">
        <x:v>0.62</x:v>
      </x:c>
      <x:c r="B615" s="28" t="str">
        <x:v>middle_low</x:v>
      </x:c>
      <x:c r="C615" s="60" t="n">
        <x:v>0.95</x:v>
      </x:c>
      <x:c r="D615" s="60" t="n">
        <x:v>0.9361238209331334</x:v>
      </x:c>
      <x:c r="E615" s="62" t="b">
        <x:v>0</x:v>
      </x:c>
      <x:c r="F615" s="62" t="b">
        <x:v>0</x:v>
      </x:c>
      <x:c r="G615" s="85" t="n">
        <x:v>6311919.309116854</x:v>
      </x:c>
      <x:c r="H615" s="85" t="n">
        <x:v>55342442.71607897</x:v>
      </x:c>
      <x:c r="I615" s="85" t="n">
        <x:v>54959520.41876267</x:v>
      </x:c>
      <x:c r="J615" s="85" t="n">
        <x:v>84000000.00000001</x:v>
      </x:c>
      <x:c r="K615" s="85" t="n">
        <x:v>0</x:v>
      </x:c>
      <x:c r="L615" s="28" t="n">
        <x:v>43</x:v>
      </x:c>
      <x:c r="M615" s="28" t="n">
        <x:v>36</x:v>
      </x:c>
      <x:c r="N615" s="28" t="n">
        <x:v>1.862645149230957e-9</x:v>
      </x:c>
      <x:c r="O615" s="28" t="n">
        <x:v>1.4901161193847656e-8</x:v>
      </x:c>
      <x:c r="P615" s="28" t="n">
        <x:v>0</x:v>
      </x:c>
      <x:c r="Q615" s="62" t="b">
        <x:v>1</x:v>
      </x:c>
      <x:c r="R615" s="28" t="n">
        <x:v>4162853.720059991</x:v>
      </x:c>
      <x:c r="S615" s="28" t="str">
        <x:v>0390fd8fdc37bc18</x:v>
      </x:c>
    </x:row>
    <x:row r="616" ht="21" customHeight="1">
      <x:c r="A616" s="60" t="n">
        <x:v>0.62</x:v>
      </x:c>
      <x:c r="B616" s="28" t="str">
        <x:v>middle_low</x:v>
      </x:c>
      <x:c r="C616" s="60" t="n">
        <x:v>1</x:v>
      </x:c>
      <x:c r="D616" s="60" t="n">
        <x:v>0.9498342654879072</x:v>
      </x:c>
      <x:c r="E616" s="62" t="b">
        <x:v>0</x:v>
      </x:c>
      <x:c r="F616" s="62" t="b">
        <x:v>0</x:v>
      </x:c>
      <x:c r="G616" s="85" t="n">
        <x:v>6937325.197224592</x:v>
      </x:c>
      <x:c r="H616" s="85" t="n">
        <x:v>58374799.93976014</x:v>
      </x:c>
      <x:c r="I616" s="85" t="n">
        <x:v>55029008.53869178</x:v>
      </x:c>
      <x:c r="J616" s="85" t="n">
        <x:v>84000000.00000001</x:v>
      </x:c>
      <x:c r="K616" s="85" t="n">
        <x:v>0</x:v>
      </x:c>
      <x:c r="L616" s="28" t="n">
        <x:v>43</x:v>
      </x:c>
      <x:c r="M616" s="28" t="n">
        <x:v>37</x:v>
      </x:c>
      <x:c r="N616" s="28" t="n">
        <x:v>1.862645149230957e-9</x:v>
      </x:c>
      <x:c r="O616" s="28" t="n">
        <x:v>1.4901161193847656e-8</x:v>
      </x:c>
      <x:c r="P616" s="28" t="n">
        <x:v>0</x:v>
      </x:c>
      <x:c r="Q616" s="62" t="b">
        <x:v>1</x:v>
      </x:c>
      <x:c r="R616" s="28" t="n">
        <x:v>15049720.35362786</x:v>
      </x:c>
      <x:c r="S616" s="28" t="str">
        <x:v>75b55030d128207f</x:v>
      </x:c>
    </x:row>
    <x:row r="617" ht="21" customHeight="1">
      <x:c r="A617" s="60" t="n">
        <x:v>0.62</x:v>
      </x:c>
      <x:c r="B617" s="28" t="str">
        <x:v>middle_high</x:v>
      </x:c>
      <x:c r="C617" s="60" t="n">
        <x:v>0</x:v>
      </x:c>
      <x:c r="D617" s="60" t="n">
        <x:v>0</x:v>
      </x:c>
      <x:c r="E617" s="62" t="b">
        <x:v>1</x:v>
      </x:c>
      <x:c r="F617" s="62" t="b">
        <x:v>1</x:v>
      </x:c>
      <x:c r="G617" s="85" t="n">
        <x:v>0</x:v>
      </x:c>
      <x:c r="H617" s="85" t="n">
        <x:v>0</x:v>
      </x:c>
      <x:c r="I617" s="85" t="n">
        <x:v>0</x:v>
      </x:c>
      <x:c r="J617" s="85" t="n">
        <x:v>0</x:v>
      </x:c>
      <x:c r="K617" s="85" t="n">
        <x:v>36100366.080136925</x:v>
      </x:c>
      <x:c r="L617" s="28" t="n">
        <x:v>0</x:v>
      </x:c>
      <x:c r="M617" s="28" t="n">
        <x:v>0</x:v>
      </x:c>
      <x:c r="N617" s="28" t="n">
        <x:v>3.725290298461914e-9</x:v>
      </x:c>
      <x:c r="O617" s="28" t="n">
        <x:v>0</x:v>
      </x:c>
      <x:c r="P617" s="28" t="n">
        <x:v>0</x:v>
      </x:c>
      <x:c r="Q617" s="62" t="b">
        <x:v>1</x:v>
      </x:c>
      <x:c r="R617" s="28" t="n">
        <x:v>0</x:v>
      </x:c>
      <x:c r="S617" s="28" t="str">
        <x:v>429839c29b05d317</x:v>
      </x:c>
    </x:row>
    <x:row r="618" ht="21" customHeight="1">
      <x:c r="A618" s="60" t="n">
        <x:v>0.62</x:v>
      </x:c>
      <x:c r="B618" s="28" t="str">
        <x:v>middle_high</x:v>
      </x:c>
      <x:c r="C618" s="60" t="n">
        <x:v>0.05</x:v>
      </x:c>
      <x:c r="D618" s="60" t="n">
        <x:v>0.05</x:v>
      </x:c>
      <x:c r="E618" s="62" t="b">
        <x:v>1</x:v>
      </x:c>
      <x:c r="F618" s="62" t="b">
        <x:v>1</x:v>
      </x:c>
      <x:c r="G618" s="85" t="n">
        <x:v>0</x:v>
      </x:c>
      <x:c r="H618" s="85" t="n">
        <x:v>0</x:v>
      </x:c>
      <x:c r="I618" s="85" t="n">
        <x:v>0</x:v>
      </x:c>
      <x:c r="J618" s="85" t="n">
        <x:v>0</x:v>
      </x:c>
      <x:c r="K618" s="85" t="n">
        <x:v>22694076.214595143</x:v>
      </x:c>
      <x:c r="L618" s="28" t="n">
        <x:v>0</x:v>
      </x:c>
      <x:c r="M618" s="28" t="n">
        <x:v>0</x:v>
      </x:c>
      <x:c r="N618" s="28" t="n">
        <x:v>3.725290298461914e-9</x:v>
      </x:c>
      <x:c r="O618" s="28" t="n">
        <x:v>2.9802322387695312e-8</x:v>
      </x:c>
      <x:c r="P618" s="28" t="n">
        <x:v>0</x:v>
      </x:c>
      <x:c r="Q618" s="62" t="b">
        <x:v>1</x:v>
      </x:c>
      <x:c r="R618" s="28" t="n">
        <x:v>0</x:v>
      </x:c>
      <x:c r="S618" s="28" t="str">
        <x:v>7ddb9ce3d3f895a6</x:v>
      </x:c>
    </x:row>
    <x:row r="619" ht="21" customHeight="1">
      <x:c r="A619" s="60" t="n">
        <x:v>0.62</x:v>
      </x:c>
      <x:c r="B619" s="28" t="str">
        <x:v>middle_high</x:v>
      </x:c>
      <x:c r="C619" s="60" t="n">
        <x:v>0.1</x:v>
      </x:c>
      <x:c r="D619" s="60" t="n">
        <x:v>0.1</x:v>
      </x:c>
      <x:c r="E619" s="62" t="b">
        <x:v>1</x:v>
      </x:c>
      <x:c r="F619" s="62" t="b">
        <x:v>1</x:v>
      </x:c>
      <x:c r="G619" s="85" t="n">
        <x:v>0</x:v>
      </x:c>
      <x:c r="H619" s="85" t="n">
        <x:v>0</x:v>
      </x:c>
      <x:c r="I619" s="85" t="n">
        <x:v>0</x:v>
      </x:c>
      <x:c r="J619" s="85" t="n">
        <x:v>0</x:v>
      </x:c>
      <x:c r="K619" s="85" t="n">
        <x:v>9152687.760540344</x:v>
      </x:c>
      <x:c r="L619" s="28" t="n">
        <x:v>0</x:v>
      </x:c>
      <x:c r="M619" s="28" t="n">
        <x:v>0</x:v>
      </x:c>
      <x:c r="N619" s="28" t="n">
        <x:v>3.725290298461914e-9</x:v>
      </x:c>
      <x:c r="O619" s="28" t="n">
        <x:v>5.960464477539063e-8</x:v>
      </x:c>
      <x:c r="P619" s="28" t="n">
        <x:v>0</x:v>
      </x:c>
      <x:c r="Q619" s="62" t="b">
        <x:v>1</x:v>
      </x:c>
      <x:c r="R619" s="28" t="n">
        <x:v>0</x:v>
      </x:c>
      <x:c r="S619" s="28" t="str">
        <x:v>1db6bc02e175beb3</x:v>
      </x:c>
    </x:row>
    <x:row r="620" ht="21" customHeight="1">
      <x:c r="A620" s="60" t="n">
        <x:v>0.62</x:v>
      </x:c>
      <x:c r="B620" s="28" t="str">
        <x:v>middle_high</x:v>
      </x:c>
      <x:c r="C620" s="60" t="n">
        <x:v>0.15</x:v>
      </x:c>
      <x:c r="D620" s="60" t="n">
        <x:v>0.15</x:v>
      </x:c>
      <x:c r="E620" s="62" t="b">
        <x:v>1</x:v>
      </x:c>
      <x:c r="F620" s="62" t="b">
        <x:v>1</x:v>
      </x:c>
      <x:c r="G620" s="85" t="n">
        <x:v>0</x:v>
      </x:c>
      <x:c r="H620" s="85" t="n">
        <x:v>0</x:v>
      </x:c>
      <x:c r="I620" s="85" t="n">
        <x:v>4932397.53254261</x:v>
      </x:c>
      <x:c r="J620" s="85" t="n">
        <x:v>0</x:v>
      </x:c>
      <x:c r="K620" s="85" t="n">
        <x:v>1464607.6853363153</x:v>
      </x:c>
      <x:c r="L620" s="28" t="n">
        <x:v>0</x:v>
      </x:c>
      <x:c r="M620" s="28" t="n">
        <x:v>0</x:v>
      </x:c>
      <x:c r="N620" s="28" t="n">
        <x:v>3.725290298461914e-9</x:v>
      </x:c>
      <x:c r="O620" s="28" t="n">
        <x:v>2.9802322387695312e-8</x:v>
      </x:c>
      <x:c r="P620" s="28" t="n">
        <x:v>0</x:v>
      </x:c>
      <x:c r="Q620" s="62" t="b">
        <x:v>1</x:v>
      </x:c>
      <x:c r="R620" s="28" t="n">
        <x:v>0</x:v>
      </x:c>
      <x:c r="S620" s="28" t="str">
        <x:v>58ffc4be450db456</x:v>
      </x:c>
    </x:row>
    <x:row r="621" ht="21" customHeight="1">
      <x:c r="A621" s="60" t="n">
        <x:v>0.62</x:v>
      </x:c>
      <x:c r="B621" s="28" t="str">
        <x:v>middle_high</x:v>
      </x:c>
      <x:c r="C621" s="60" t="n">
        <x:v>0.2</x:v>
      </x:c>
      <x:c r="D621" s="60" t="n">
        <x:v>0.2</x:v>
      </x:c>
      <x:c r="E621" s="62" t="b">
        <x:v>1</x:v>
      </x:c>
      <x:c r="F621" s="62" t="b">
        <x:v>1</x:v>
      </x:c>
      <x:c r="G621" s="85" t="n">
        <x:v>0</x:v>
      </x:c>
      <x:c r="H621" s="85" t="n">
        <x:v>0</x:v>
      </x:c>
      <x:c r="I621" s="85" t="n">
        <x:v>15534403.434736919</x:v>
      </x:c>
      <x:c r="J621" s="85" t="n">
        <x:v>6318282.052720871</x:v>
      </x:c>
      <x:c r="K621" s="85" t="n">
        <x:v>1070689.549221755</x:v>
      </x:c>
      <x:c r="L621" s="28" t="n">
        <x:v>0</x:v>
      </x:c>
      <x:c r="M621" s="28" t="n">
        <x:v>0</x:v>
      </x:c>
      <x:c r="N621" s="28" t="n">
        <x:v>3.725290298461914e-9</x:v>
      </x:c>
      <x:c r="O621" s="28" t="n">
        <x:v>2.9802322387695312e-8</x:v>
      </x:c>
      <x:c r="P621" s="28" t="n">
        <x:v>0</x:v>
      </x:c>
      <x:c r="Q621" s="62" t="b">
        <x:v>1</x:v>
      </x:c>
      <x:c r="R621" s="28" t="n">
        <x:v>0</x:v>
      </x:c>
      <x:c r="S621" s="28" t="str">
        <x:v>efb13188cbdfd068</x:v>
      </x:c>
    </x:row>
    <x:row r="622" ht="21" customHeight="1">
      <x:c r="A622" s="60" t="n">
        <x:v>0.62</x:v>
      </x:c>
      <x:c r="B622" s="28" t="str">
        <x:v>middle_high</x:v>
      </x:c>
      <x:c r="C622" s="60" t="n">
        <x:v>0.25</x:v>
      </x:c>
      <x:c r="D622" s="60" t="n">
        <x:v>0.25</x:v>
      </x:c>
      <x:c r="E622" s="62" t="b">
        <x:v>1</x:v>
      </x:c>
      <x:c r="F622" s="62" t="b">
        <x:v>1</x:v>
      </x:c>
      <x:c r="G622" s="85" t="n">
        <x:v>0</x:v>
      </x:c>
      <x:c r="H622" s="85" t="n">
        <x:v>0</x:v>
      </x:c>
      <x:c r="I622" s="85" t="n">
        <x:v>24648785.6402896</x:v>
      </x:c>
      <x:c r="J622" s="85" t="n">
        <x:v>15397852.565901024</x:v>
      </x:c>
      <x:c r="K622" s="85" t="n">
        <x:v>818025.2262191746</x:v>
      </x:c>
      <x:c r="L622" s="28" t="n">
        <x:v>0</x:v>
      </x:c>
      <x:c r="M622" s="28" t="n">
        <x:v>0</x:v>
      </x:c>
      <x:c r="N622" s="28" t="n">
        <x:v>3.725290298461914e-9</x:v>
      </x:c>
      <x:c r="O622" s="28" t="n">
        <x:v>2.9802322387695312e-8</x:v>
      </x:c>
      <x:c r="P622" s="28" t="n">
        <x:v>0</x:v>
      </x:c>
      <x:c r="Q622" s="62" t="b">
        <x:v>1</x:v>
      </x:c>
      <x:c r="R622" s="28" t="n">
        <x:v>0</x:v>
      </x:c>
      <x:c r="S622" s="28" t="str">
        <x:v>34a54eaf3687e871</x:v>
      </x:c>
    </x:row>
    <x:row r="623" ht="21" customHeight="1">
      <x:c r="A623" s="60" t="n">
        <x:v>0.62</x:v>
      </x:c>
      <x:c r="B623" s="28" t="str">
        <x:v>middle_high</x:v>
      </x:c>
      <x:c r="C623" s="60" t="n">
        <x:v>0.3</x:v>
      </x:c>
      <x:c r="D623" s="60" t="n">
        <x:v>0.3</x:v>
      </x:c>
      <x:c r="E623" s="62" t="b">
        <x:v>1</x:v>
      </x:c>
      <x:c r="F623" s="62" t="b">
        <x:v>1</x:v>
      </x:c>
      <x:c r="G623" s="85" t="n">
        <x:v>0</x:v>
      </x:c>
      <x:c r="H623" s="85" t="n">
        <x:v>0</x:v>
      </x:c>
      <x:c r="I623" s="85" t="n">
        <x:v>33884601.0090324</x:v>
      </x:c>
      <x:c r="J623" s="85" t="n">
        <x:v>24477423.079081148</x:v>
      </x:c>
      <x:c r="K623" s="85" t="n">
        <x:v>689903.1714630212</x:v>
      </x:c>
      <x:c r="L623" s="28" t="n">
        <x:v>0</x:v>
      </x:c>
      <x:c r="M623" s="28" t="n">
        <x:v>0</x:v>
      </x:c>
      <x:c r="N623" s="28" t="n">
        <x:v>3.725290298461914e-9</x:v>
      </x:c>
      <x:c r="O623" s="28" t="n">
        <x:v>2.9802322387695312e-8</x:v>
      </x:c>
      <x:c r="P623" s="28" t="n">
        <x:v>0</x:v>
      </x:c>
      <x:c r="Q623" s="62" t="b">
        <x:v>1</x:v>
      </x:c>
      <x:c r="R623" s="28" t="n">
        <x:v>0</x:v>
      </x:c>
      <x:c r="S623" s="28" t="str">
        <x:v>e22119e823706cae</x:v>
      </x:c>
    </x:row>
    <x:row r="624" ht="21" customHeight="1">
      <x:c r="A624" s="60" t="n">
        <x:v>0.62</x:v>
      </x:c>
      <x:c r="B624" s="28" t="str">
        <x:v>middle_high</x:v>
      </x:c>
      <x:c r="C624" s="60" t="n">
        <x:v>0.35</x:v>
      </x:c>
      <x:c r="D624" s="60" t="n">
        <x:v>0.35</x:v>
      </x:c>
      <x:c r="E624" s="62" t="b">
        <x:v>1</x:v>
      </x:c>
      <x:c r="F624" s="62" t="b">
        <x:v>1</x:v>
      </x:c>
      <x:c r="G624" s="85" t="n">
        <x:v>0</x:v>
      </x:c>
      <x:c r="H624" s="85" t="n">
        <x:v>0</x:v>
      </x:c>
      <x:c r="I624" s="85" t="n">
        <x:v>43238396.90012481</x:v>
      </x:c>
      <x:c r="J624" s="85" t="n">
        <x:v>33556993.59226132</x:v>
      </x:c>
      <x:c r="K624" s="85" t="n">
        <x:v>561781.1167068344</x:v>
      </x:c>
      <x:c r="L624" s="28" t="n">
        <x:v>0</x:v>
      </x:c>
      <x:c r="M624" s="28" t="n">
        <x:v>0</x:v>
      </x:c>
      <x:c r="N624" s="28" t="n">
        <x:v>1.862645149230957e-9</x:v>
      </x:c>
      <x:c r="O624" s="28" t="n">
        <x:v>2.9802322387695312e-8</x:v>
      </x:c>
      <x:c r="P624" s="28" t="n">
        <x:v>0</x:v>
      </x:c>
      <x:c r="Q624" s="62" t="b">
        <x:v>1</x:v>
      </x:c>
      <x:c r="R624" s="28" t="n">
        <x:v>0</x:v>
      </x:c>
      <x:c r="S624" s="28" t="str">
        <x:v>e60876fbbe55d992</x:v>
      </x:c>
    </x:row>
    <x:row r="625" ht="21" customHeight="1">
      <x:c r="A625" s="60" t="n">
        <x:v>0.62</x:v>
      </x:c>
      <x:c r="B625" s="28" t="str">
        <x:v>middle_high</x:v>
      </x:c>
      <x:c r="C625" s="60" t="n">
        <x:v>0.4</x:v>
      </x:c>
      <x:c r="D625" s="60" t="n">
        <x:v>0.4</x:v>
      </x:c>
      <x:c r="E625" s="62" t="b">
        <x:v>1</x:v>
      </x:c>
      <x:c r="F625" s="62" t="b">
        <x:v>1</x:v>
      </x:c>
      <x:c r="G625" s="85" t="n">
        <x:v>0</x:v>
      </x:c>
      <x:c r="H625" s="85" t="n">
        <x:v>0</x:v>
      </x:c>
      <x:c r="I625" s="85" t="n">
        <x:v>52587427.084327646</x:v>
      </x:c>
      <x:c r="J625" s="85" t="n">
        <x:v>42636564.10544156</x:v>
      </x:c>
      <x:c r="K625" s="85" t="n">
        <x:v>433659.06195067463</x:v>
      </x:c>
      <x:c r="L625" s="28" t="n">
        <x:v>0</x:v>
      </x:c>
      <x:c r="M625" s="28" t="n">
        <x:v>0</x:v>
      </x:c>
      <x:c r="N625" s="28" t="n">
        <x:v>1.862645149230957e-9</x:v>
      </x:c>
      <x:c r="O625" s="28" t="n">
        <x:v>2.9802322387695312e-8</x:v>
      </x:c>
      <x:c r="P625" s="28" t="n">
        <x:v>0</x:v>
      </x:c>
      <x:c r="Q625" s="62" t="b">
        <x:v>1</x:v>
      </x:c>
      <x:c r="R625" s="28" t="n">
        <x:v>0</x:v>
      </x:c>
      <x:c r="S625" s="28" t="str">
        <x:v>15793b6a4f78554d</x:v>
      </x:c>
    </x:row>
    <x:row r="626" ht="21" customHeight="1">
      <x:c r="A626" s="60" t="n">
        <x:v>0.62</x:v>
      </x:c>
      <x:c r="B626" s="28" t="str">
        <x:v>middle_high</x:v>
      </x:c>
      <x:c r="C626" s="60" t="n">
        <x:v>0.45</x:v>
      </x:c>
      <x:c r="D626" s="60" t="n">
        <x:v>0.45</x:v>
      </x:c>
      <x:c r="E626" s="62" t="b">
        <x:v>1</x:v>
      </x:c>
      <x:c r="F626" s="62" t="b">
        <x:v>1</x:v>
      </x:c>
      <x:c r="G626" s="85" t="n">
        <x:v>0</x:v>
      </x:c>
      <x:c r="H626" s="85" t="n">
        <x:v>0</x:v>
      </x:c>
      <x:c r="I626" s="85" t="n">
        <x:v>61927430.079543255</x:v>
      </x:c>
      <x:c r="J626" s="85" t="n">
        <x:v>51716134.61862181</x:v>
      </x:c>
      <x:c r="K626" s="85" t="n">
        <x:v>375135.0571013625</x:v>
      </x:c>
      <x:c r="L626" s="28" t="n">
        <x:v>0</x:v>
      </x:c>
      <x:c r="M626" s="28" t="n">
        <x:v>0</x:v>
      </x:c>
      <x:c r="N626" s="28" t="n">
        <x:v>3.725290298461914e-9</x:v>
      </x:c>
      <x:c r="O626" s="28" t="n">
        <x:v>2.9802322387695312e-8</x:v>
      </x:c>
      <x:c r="P626" s="28" t="n">
        <x:v>0</x:v>
      </x:c>
      <x:c r="Q626" s="62" t="b">
        <x:v>1</x:v>
      </x:c>
      <x:c r="R626" s="28" t="n">
        <x:v>0</x:v>
      </x:c>
      <x:c r="S626" s="28" t="str">
        <x:v>0db9bf96e0abdd4b</x:v>
      </x:c>
    </x:row>
    <x:row r="627" ht="21" customHeight="1">
      <x:c r="A627" s="60" t="n">
        <x:v>0.62</x:v>
      </x:c>
      <x:c r="B627" s="28" t="str">
        <x:v>middle_high</x:v>
      </x:c>
      <x:c r="C627" s="60" t="n">
        <x:v>0.5</x:v>
      </x:c>
      <x:c r="D627" s="60" t="n">
        <x:v>0.5</x:v>
      </x:c>
      <x:c r="E627" s="62" t="b">
        <x:v>1</x:v>
      </x:c>
      <x:c r="F627" s="62" t="b">
        <x:v>1</x:v>
      </x:c>
      <x:c r="G627" s="85" t="n">
        <x:v>0</x:v>
      </x:c>
      <x:c r="H627" s="85" t="n">
        <x:v>0</x:v>
      </x:c>
      <x:c r="I627" s="85" t="n">
        <x:v>72121860.20901959</x:v>
      </x:c>
      <x:c r="J627" s="85" t="n">
        <x:v>54884543.84370708</x:v>
      </x:c>
      <x:c r="K627" s="85" t="n">
        <x:v>336447.4681643818</x:v>
      </x:c>
      <x:c r="L627" s="28" t="n">
        <x:v>7</x:v>
      </x:c>
      <x:c r="M627" s="28" t="n">
        <x:v>0</x:v>
      </x:c>
      <x:c r="N627" s="28" t="n">
        <x:v>3.725290298461914e-9</x:v>
      </x:c>
      <x:c r="O627" s="28" t="n">
        <x:v>1.4901161193847656e-8</x:v>
      </x:c>
      <x:c r="P627" s="28" t="n">
        <x:v>0</x:v>
      </x:c>
      <x:c r="Q627" s="62" t="b">
        <x:v>1</x:v>
      </x:c>
      <x:c r="R627" s="28" t="n">
        <x:v>0</x:v>
      </x:c>
      <x:c r="S627" s="28" t="str">
        <x:v>f1acf39595a97f18</x:v>
      </x:c>
    </x:row>
    <x:row r="628" ht="21" customHeight="1">
      <x:c r="A628" s="60" t="n">
        <x:v>0.62</x:v>
      </x:c>
      <x:c r="B628" s="28" t="str">
        <x:v>middle_high</x:v>
      </x:c>
      <x:c r="C628" s="60" t="n">
        <x:v>0.55</x:v>
      </x:c>
      <x:c r="D628" s="60" t="n">
        <x:v>0.55</x:v>
      </x:c>
      <x:c r="E628" s="62" t="b">
        <x:v>1</x:v>
      </x:c>
      <x:c r="F628" s="62" t="b">
        <x:v>1</x:v>
      </x:c>
      <x:c r="G628" s="85" t="n">
        <x:v>0</x:v>
      </x:c>
      <x:c r="H628" s="85" t="n">
        <x:v>0</x:v>
      </x:c>
      <x:c r="I628" s="85" t="n">
        <x:v>81575934.9817959</x:v>
      </x:c>
      <x:c r="J628" s="85" t="n">
        <x:v>63188048.36263784</x:v>
      </x:c>
      <x:c r="K628" s="85" t="n">
        <x:v>297759.8792273954</x:v>
      </x:c>
      <x:c r="L628" s="28" t="n">
        <x:v>11</x:v>
      </x:c>
      <x:c r="M628" s="28" t="n">
        <x:v>1</x:v>
      </x:c>
      <x:c r="N628" s="28" t="n">
        <x:v>1.862645149230957e-9</x:v>
      </x:c>
      <x:c r="O628" s="28" t="n">
        <x:v>2.9802322387695312e-8</x:v>
      </x:c>
      <x:c r="P628" s="28" t="n">
        <x:v>0</x:v>
      </x:c>
      <x:c r="Q628" s="62" t="b">
        <x:v>1</x:v>
      </x:c>
      <x:c r="R628" s="28" t="n">
        <x:v>0</x:v>
      </x:c>
      <x:c r="S628" s="28" t="str">
        <x:v>ed3620adb2be677d</x:v>
      </x:c>
    </x:row>
    <x:row r="629" ht="21" customHeight="1">
      <x:c r="A629" s="60" t="n">
        <x:v>0.62</x:v>
      </x:c>
      <x:c r="B629" s="28" t="str">
        <x:v>middle_high</x:v>
      </x:c>
      <x:c r="C629" s="60" t="n">
        <x:v>0.6</x:v>
      </x:c>
      <x:c r="D629" s="60" t="n">
        <x:v>0.6</x:v>
      </x:c>
      <x:c r="E629" s="62" t="b">
        <x:v>1</x:v>
      </x:c>
      <x:c r="F629" s="62" t="b">
        <x:v>1</x:v>
      </x:c>
      <x:c r="G629" s="85" t="n">
        <x:v>0</x:v>
      </x:c>
      <x:c r="H629" s="85" t="n">
        <x:v>0</x:v>
      </x:c>
      <x:c r="I629" s="85" t="n">
        <x:v>90663153.80594192</x:v>
      </x:c>
      <x:c r="J629" s="85" t="n">
        <x:v>72745596.98416786</x:v>
      </x:c>
      <x:c r="K629" s="85" t="n">
        <x:v>259072.29029040912</x:v>
      </x:c>
      <x:c r="L629" s="28" t="n">
        <x:v>14</x:v>
      </x:c>
      <x:c r="M629" s="28" t="n">
        <x:v>8</x:v>
      </x:c>
      <x:c r="N629" s="28" t="n">
        <x:v>1.862645149230957e-9</x:v>
      </x:c>
      <x:c r="O629" s="28" t="n">
        <x:v>2.9802322387695312e-8</x:v>
      </x:c>
      <x:c r="P629" s="28" t="n">
        <x:v>0</x:v>
      </x:c>
      <x:c r="Q629" s="62" t="b">
        <x:v>1</x:v>
      </x:c>
      <x:c r="R629" s="28" t="n">
        <x:v>0</x:v>
      </x:c>
      <x:c r="S629" s="28" t="str">
        <x:v>206898eb5f8e7da5</x:v>
      </x:c>
    </x:row>
    <x:row r="630" ht="21" customHeight="1">
      <x:c r="A630" s="60" t="n">
        <x:v>0.62</x:v>
      </x:c>
      <x:c r="B630" s="28" t="str">
        <x:v>middle_high</x:v>
      </x:c>
      <x:c r="C630" s="60" t="n">
        <x:v>0.65</x:v>
      </x:c>
      <x:c r="D630" s="60" t="n">
        <x:v>0.65</x:v>
      </x:c>
      <x:c r="E630" s="62" t="b">
        <x:v>1</x:v>
      </x:c>
      <x:c r="F630" s="62" t="b">
        <x:v>1</x:v>
      </x:c>
      <x:c r="G630" s="85" t="n">
        <x:v>0</x:v>
      </x:c>
      <x:c r="H630" s="85" t="n">
        <x:v>0</x:v>
      </x:c>
      <x:c r="I630" s="85" t="n">
        <x:v>99315155.45544535</x:v>
      </x:c>
      <x:c r="J630" s="85" t="n">
        <x:v>83257629.24324085</x:v>
      </x:c>
      <x:c r="K630" s="85" t="n">
        <x:v>220384.70135342184</x:v>
      </x:c>
      <x:c r="L630" s="28" t="n">
        <x:v>21</x:v>
      </x:c>
      <x:c r="M630" s="28" t="n">
        <x:v>17</x:v>
      </x:c>
      <x:c r="N630" s="28" t="n">
        <x:v>1.862645149230957e-9</x:v>
      </x:c>
      <x:c r="O630" s="28" t="n">
        <x:v>2.9802322387695312e-8</x:v>
      </x:c>
      <x:c r="P630" s="28" t="n">
        <x:v>0</x:v>
      </x:c>
      <x:c r="Q630" s="62" t="b">
        <x:v>1</x:v>
      </x:c>
      <x:c r="R630" s="28" t="n">
        <x:v>0</x:v>
      </x:c>
      <x:c r="S630" s="28" t="str">
        <x:v>4a97ff5d1cfcee37</x:v>
      </x:c>
    </x:row>
    <x:row r="631" ht="21" customHeight="1">
      <x:c r="A631" s="60" t="n">
        <x:v>0.62</x:v>
      </x:c>
      <x:c r="B631" s="28" t="str">
        <x:v>middle_high</x:v>
      </x:c>
      <x:c r="C631" s="60" t="n">
        <x:v>0.7</x:v>
      </x:c>
      <x:c r="D631" s="60" t="n">
        <x:v>0.7</x:v>
      </x:c>
      <x:c r="E631" s="62" t="b">
        <x:v>1</x:v>
      </x:c>
      <x:c r="F631" s="62" t="b">
        <x:v>0</x:v>
      </x:c>
      <x:c r="G631" s="85" t="n">
        <x:v>4148685.322404747</x:v>
      </x:c>
      <x:c r="H631" s="85" t="n">
        <x:v>14037277.771800343</x:v>
      </x:c>
      <x:c r="I631" s="85" t="n">
        <x:v>100126783.82102968</x:v>
      </x:c>
      <x:c r="J631" s="85" t="n">
        <x:v>84000000.00000001</x:v>
      </x:c>
      <x:c r="K631" s="85" t="n">
        <x:v>181697.1124164355</x:v>
      </x:c>
      <x:c r="L631" s="28" t="n">
        <x:v>40</x:v>
      </x:c>
      <x:c r="M631" s="28" t="n">
        <x:v>37</x:v>
      </x:c>
      <x:c r="N631" s="28" t="n">
        <x:v>3.725290298461914e-9</x:v>
      </x:c>
      <x:c r="O631" s="28" t="n">
        <x:v>1.4901161193847656e-8</x:v>
      </x:c>
      <x:c r="P631" s="28" t="n">
        <x:v>0</x:v>
      </x:c>
      <x:c r="Q631" s="62" t="b">
        <x:v>1</x:v>
      </x:c>
      <x:c r="R631" s="28" t="n">
        <x:v>0</x:v>
      </x:c>
      <x:c r="S631" s="28" t="str">
        <x:v>3d5222e1fdccbdb7</x:v>
      </x:c>
    </x:row>
    <x:row r="632" ht="21" customHeight="1">
      <x:c r="A632" s="60" t="n">
        <x:v>0.62</x:v>
      </x:c>
      <x:c r="B632" s="28" t="str">
        <x:v>middle_high</x:v>
      </x:c>
      <x:c r="C632" s="60" t="n">
        <x:v>0.75</x:v>
      </x:c>
      <x:c r="D632" s="60" t="n">
        <x:v>0.75</x:v>
      </x:c>
      <x:c r="E632" s="62" t="b">
        <x:v>1</x:v>
      </x:c>
      <x:c r="F632" s="62" t="b">
        <x:v>0</x:v>
      </x:c>
      <x:c r="G632" s="85" t="n">
        <x:v>8212582.777533103</x:v>
      </x:c>
      <x:c r="H632" s="85" t="n">
        <x:v>26060287.426198896</x:v>
      </x:c>
      <x:c r="I632" s="85" t="n">
        <x:v>101858181.29133055</x:v>
      </x:c>
      <x:c r="J632" s="85" t="n">
        <x:v>84000000.00000001</x:v>
      </x:c>
      <x:c r="K632" s="85" t="n">
        <x:v>143009.5234794501</x:v>
      </x:c>
      <x:c r="L632" s="28" t="n">
        <x:v>41</x:v>
      </x:c>
      <x:c r="M632" s="28" t="n">
        <x:v>38</x:v>
      </x:c>
      <x:c r="N632" s="28" t="n">
        <x:v>1.862645149230957e-9</x:v>
      </x:c>
      <x:c r="O632" s="28" t="n">
        <x:v>2.9802322387695312e-8</x:v>
      </x:c>
      <x:c r="P632" s="28" t="n">
        <x:v>0</x:v>
      </x:c>
      <x:c r="Q632" s="62" t="b">
        <x:v>1</x:v>
      </x:c>
      <x:c r="R632" s="28" t="n">
        <x:v>0</x:v>
      </x:c>
      <x:c r="S632" s="28" t="str">
        <x:v>ba1dbb36787e34be</x:v>
      </x:c>
    </x:row>
    <x:row r="633" ht="21" customHeight="1">
      <x:c r="A633" s="60" t="n">
        <x:v>0.62</x:v>
      </x:c>
      <x:c r="B633" s="28" t="str">
        <x:v>middle_high</x:v>
      </x:c>
      <x:c r="C633" s="60" t="n">
        <x:v>0.8</x:v>
      </x:c>
      <x:c r="D633" s="60" t="n">
        <x:v>0.8</x:v>
      </x:c>
      <x:c r="E633" s="62" t="b">
        <x:v>1</x:v>
      </x:c>
      <x:c r="F633" s="62" t="b">
        <x:v>0</x:v>
      </x:c>
      <x:c r="G633" s="85" t="n">
        <x:v>13089858.89035085</x:v>
      </x:c>
      <x:c r="H633" s="85" t="n">
        <x:v>39785887.00276562</x:v>
      </x:c>
      <x:c r="I633" s="85" t="n">
        <x:v>102198633.9818028</x:v>
      </x:c>
      <x:c r="J633" s="85" t="n">
        <x:v>84000000.00000001</x:v>
      </x:c>
      <x:c r="K633" s="85" t="n">
        <x:v>104321.93454246095</x:v>
      </x:c>
      <x:c r="L633" s="28" t="n">
        <x:v>41</x:v>
      </x:c>
      <x:c r="M633" s="28" t="n">
        <x:v>38</x:v>
      </x:c>
      <x:c r="N633" s="28" t="n">
        <x:v>1.862645149230957e-9</x:v>
      </x:c>
      <x:c r="O633" s="28" t="n">
        <x:v>1.4901161193847656e-8</x:v>
      </x:c>
      <x:c r="P633" s="28" t="n">
        <x:v>0</x:v>
      </x:c>
      <x:c r="Q633" s="62" t="b">
        <x:v>1</x:v>
      </x:c>
      <x:c r="R633" s="28" t="n">
        <x:v>0</x:v>
      </x:c>
      <x:c r="S633" s="28" t="str">
        <x:v>5382a6ccb18f152e</x:v>
      </x:c>
    </x:row>
    <x:row r="634" ht="21" customHeight="1">
      <x:c r="A634" s="60" t="n">
        <x:v>0.62</x:v>
      </x:c>
      <x:c r="B634" s="28" t="str">
        <x:v>middle_high</x:v>
      </x:c>
      <x:c r="C634" s="60" t="n">
        <x:v>0.85</x:v>
      </x:c>
      <x:c r="D634" s="60" t="n">
        <x:v>0.85</x:v>
      </x:c>
      <x:c r="E634" s="62" t="b">
        <x:v>1</x:v>
      </x:c>
      <x:c r="F634" s="62" t="b">
        <x:v>0</x:v>
      </x:c>
      <x:c r="G634" s="85" t="n">
        <x:v>17874677.310261652</x:v>
      </x:c>
      <x:c r="H634" s="85" t="n">
        <x:v>51069288.4760783</x:v>
      </x:c>
      <x:c r="I634" s="85" t="n">
        <x:v>103746236.8884679</x:v>
      </x:c>
      <x:c r="J634" s="85" t="n">
        <x:v>84000000.00000001</x:v>
      </x:c>
      <x:c r="K634" s="85" t="n">
        <x:v>83148.16882191578</x:v>
      </x:c>
      <x:c r="L634" s="28" t="n">
        <x:v>42</x:v>
      </x:c>
      <x:c r="M634" s="28" t="n">
        <x:v>39</x:v>
      </x:c>
      <x:c r="N634" s="28" t="n">
        <x:v>1.862645149230957e-9</x:v>
      </x:c>
      <x:c r="O634" s="28" t="n">
        <x:v>2.9802322387695312e-8</x:v>
      </x:c>
      <x:c r="P634" s="28" t="n">
        <x:v>0</x:v>
      </x:c>
      <x:c r="Q634" s="62" t="b">
        <x:v>1</x:v>
      </x:c>
      <x:c r="R634" s="28" t="n">
        <x:v>0</x:v>
      </x:c>
      <x:c r="S634" s="28" t="str">
        <x:v>5f36177ca275564e</x:v>
      </x:c>
    </x:row>
    <x:row r="635" ht="21" customHeight="1">
      <x:c r="A635" s="60" t="n">
        <x:v>0.62</x:v>
      </x:c>
      <x:c r="B635" s="28" t="str">
        <x:v>middle_high</x:v>
      </x:c>
      <x:c r="C635" s="60" t="n">
        <x:v>0.9</x:v>
      </x:c>
      <x:c r="D635" s="60" t="n">
        <x:v>0.9</x:v>
      </x:c>
      <x:c r="E635" s="62" t="b">
        <x:v>1</x:v>
      </x:c>
      <x:c r="F635" s="62" t="b">
        <x:v>0</x:v>
      </x:c>
      <x:c r="G635" s="85" t="n">
        <x:v>26498922.872771204</x:v>
      </x:c>
      <x:c r="H635" s="85" t="n">
        <x:v>61161135.037262425</x:v>
      </x:c>
      <x:c r="I635" s="85" t="n">
        <x:v>103989617.55845833</x:v>
      </x:c>
      <x:c r="J635" s="85" t="n">
        <x:v>84000000.00000001</x:v>
      </x:c>
      <x:c r="K635" s="85" t="n">
        <x:v>70252.11912328357</x:v>
      </x:c>
      <x:c r="L635" s="28" t="n">
        <x:v>42</x:v>
      </x:c>
      <x:c r="M635" s="28" t="n">
        <x:v>40</x:v>
      </x:c>
      <x:c r="N635" s="28" t="n">
        <x:v>1.862645149230957e-9</x:v>
      </x:c>
      <x:c r="O635" s="28" t="n">
        <x:v>2.9802322387695312e-8</x:v>
      </x:c>
      <x:c r="P635" s="28" t="n">
        <x:v>0</x:v>
      </x:c>
      <x:c r="Q635" s="62" t="b">
        <x:v>1</x:v>
      </x:c>
      <x:c r="R635" s="28" t="n">
        <x:v>0</x:v>
      </x:c>
      <x:c r="S635" s="28" t="str">
        <x:v>22bd92a4b347e15a</x:v>
      </x:c>
    </x:row>
    <x:row r="636" ht="21" customHeight="1">
      <x:c r="A636" s="60" t="n">
        <x:v>0.62</x:v>
      </x:c>
      <x:c r="B636" s="28" t="str">
        <x:v>middle_high</x:v>
      </x:c>
      <x:c r="C636" s="60" t="n">
        <x:v>0.95</x:v>
      </x:c>
      <x:c r="D636" s="60" t="n">
        <x:v>0.9361238209331334</x:v>
      </x:c>
      <x:c r="E636" s="62" t="b">
        <x:v>0</x:v>
      </x:c>
      <x:c r="F636" s="62" t="b">
        <x:v>0</x:v>
      </x:c>
      <x:c r="G636" s="85" t="n">
        <x:v>29517687.913226277</x:v>
      </x:c>
      <x:c r="H636" s="85" t="n">
        <x:v>66450936.19060526</x:v>
      </x:c>
      <x:c r="I636" s="85" t="n">
        <x:v>105579061.23297164</x:v>
      </x:c>
      <x:c r="J636" s="85" t="n">
        <x:v>84000000.00000001</x:v>
      </x:c>
      <x:c r="K636" s="85" t="n">
        <x:v>57356.06942465043</x:v>
      </x:c>
      <x:c r="L636" s="28" t="n">
        <x:v>43</x:v>
      </x:c>
      <x:c r="M636" s="28" t="n">
        <x:v>40</x:v>
      </x:c>
      <x:c r="N636" s="28" t="n">
        <x:v>1.862645149230957e-9</x:v>
      </x:c>
      <x:c r="O636" s="28" t="n">
        <x:v>1.4901161193847656e-8</x:v>
      </x:c>
      <x:c r="P636" s="28" t="n">
        <x:v>0</x:v>
      </x:c>
      <x:c r="Q636" s="62" t="b">
        <x:v>1</x:v>
      </x:c>
      <x:c r="R636" s="28" t="n">
        <x:v>4162853.720059991</x:v>
      </x:c>
      <x:c r="S636" s="28" t="str">
        <x:v>b818a5beec20f458</x:v>
      </x:c>
    </x:row>
    <x:row r="637" ht="21" customHeight="1">
      <x:c r="A637" s="60" t="n">
        <x:v>0.62</x:v>
      </x:c>
      <x:c r="B637" s="28" t="str">
        <x:v>middle_high</x:v>
      </x:c>
      <x:c r="C637" s="60" t="n">
        <x:v>1</x:v>
      </x:c>
      <x:c r="D637" s="60" t="n">
        <x:v>0.9498342654879072</x:v>
      </x:c>
      <x:c r="E637" s="62" t="b">
        <x:v>0</x:v>
      </x:c>
      <x:c r="F637" s="62" t="b">
        <x:v>0</x:v>
      </x:c>
      <x:c r="G637" s="85" t="n">
        <x:v>32474754.812911015</x:v>
      </x:c>
      <x:c r="H637" s="85" t="n">
        <x:v>70161863.28273918</x:v>
      </x:c>
      <x:c r="I637" s="85" t="n">
        <x:v>105738437.10536307</x:v>
      </x:c>
      <x:c r="J637" s="85" t="n">
        <x:v>84000000.00000001</x:v>
      </x:c>
      <x:c r="K637" s="85" t="n">
        <x:v>44460.01972602939</x:v>
      </x:c>
      <x:c r="L637" s="28" t="n">
        <x:v>43</x:v>
      </x:c>
      <x:c r="M637" s="28" t="n">
        <x:v>40</x:v>
      </x:c>
      <x:c r="N637" s="28" t="n">
        <x:v>1.862645149230957e-9</x:v>
      </x:c>
      <x:c r="O637" s="28" t="n">
        <x:v>1.4901161193847656e-8</x:v>
      </x:c>
      <x:c r="P637" s="28" t="n">
        <x:v>0</x:v>
      </x:c>
      <x:c r="Q637" s="62" t="b">
        <x:v>1</x:v>
      </x:c>
      <x:c r="R637" s="28" t="n">
        <x:v>15049720.35362786</x:v>
      </x:c>
      <x:c r="S637" s="28" t="str">
        <x:v>fb97fc90026f2c31</x:v>
      </x:c>
    </x:row>
    <x:row r="638" ht="21" customHeight="1">
      <x:c r="A638" s="60" t="n">
        <x:v>0.62</x:v>
      </x:c>
      <x:c r="B638" s="28" t="str">
        <x:v>back_flat</x:v>
      </x:c>
      <x:c r="C638" s="60" t="n">
        <x:v>0</x:v>
      </x:c>
      <x:c r="D638" s="60" t="n">
        <x:v>0</x:v>
      </x:c>
      <x:c r="E638" s="62" t="b">
        <x:v>1</x:v>
      </x:c>
      <x:c r="F638" s="62" t="b">
        <x:v>1</x:v>
      </x:c>
      <x:c r="G638" s="85" t="n">
        <x:v>0</x:v>
      </x:c>
      <x:c r="H638" s="85" t="n">
        <x:v>0</x:v>
      </x:c>
      <x:c r="I638" s="85" t="n">
        <x:v>0</x:v>
      </x:c>
      <x:c r="J638" s="85" t="n">
        <x:v>0</x:v>
      </x:c>
      <x:c r="K638" s="85" t="n">
        <x:v>31282653.340410925</x:v>
      </x:c>
      <x:c r="L638" s="28" t="n">
        <x:v>0</x:v>
      </x:c>
      <x:c r="M638" s="28" t="n">
        <x:v>0</x:v>
      </x:c>
      <x:c r="N638" s="28" t="n">
        <x:v>3.725290298461914e-9</x:v>
      </x:c>
      <x:c r="O638" s="28" t="n">
        <x:v>0</x:v>
      </x:c>
      <x:c r="P638" s="28" t="n">
        <x:v>0</x:v>
      </x:c>
      <x:c r="Q638" s="62" t="b">
        <x:v>1</x:v>
      </x:c>
      <x:c r="R638" s="28" t="n">
        <x:v>0</x:v>
      </x:c>
      <x:c r="S638" s="28" t="str">
        <x:v>58219c1124d3eef7</x:v>
      </x:c>
    </x:row>
    <x:row r="639" ht="21" customHeight="1">
      <x:c r="A639" s="60" t="n">
        <x:v>0.62</x:v>
      </x:c>
      <x:c r="B639" s="28" t="str">
        <x:v>back_flat</x:v>
      </x:c>
      <x:c r="C639" s="60" t="n">
        <x:v>0.05</x:v>
      </x:c>
      <x:c r="D639" s="60" t="n">
        <x:v>0.05</x:v>
      </x:c>
      <x:c r="E639" s="62" t="b">
        <x:v>1</x:v>
      </x:c>
      <x:c r="F639" s="62" t="b">
        <x:v>1</x:v>
      </x:c>
      <x:c r="G639" s="85" t="n">
        <x:v>0</x:v>
      </x:c>
      <x:c r="H639" s="85" t="n">
        <x:v>0</x:v>
      </x:c>
      <x:c r="I639" s="85" t="n">
        <x:v>0</x:v>
      </x:c>
      <x:c r="J639" s="85" t="n">
        <x:v>0</x:v>
      </x:c>
      <x:c r="K639" s="85" t="n">
        <x:v>19515936.709853202</x:v>
      </x:c>
      <x:c r="L639" s="28" t="n">
        <x:v>0</x:v>
      </x:c>
      <x:c r="M639" s="28" t="n">
        <x:v>0</x:v>
      </x:c>
      <x:c r="N639" s="28" t="n">
        <x:v>1.862645149230957e-9</x:v>
      </x:c>
      <x:c r="O639" s="28" t="n">
        <x:v>5.960464477539063e-8</x:v>
      </x:c>
      <x:c r="P639" s="28" t="n">
        <x:v>0</x:v>
      </x:c>
      <x:c r="Q639" s="62" t="b">
        <x:v>1</x:v>
      </x:c>
      <x:c r="R639" s="28" t="n">
        <x:v>0</x:v>
      </x:c>
      <x:c r="S639" s="28" t="str">
        <x:v>a2254046f821b99f</x:v>
      </x:c>
    </x:row>
    <x:row r="640" ht="21" customHeight="1">
      <x:c r="A640" s="60" t="n">
        <x:v>0.62</x:v>
      </x:c>
      <x:c r="B640" s="28" t="str">
        <x:v>back_flat</x:v>
      </x:c>
      <x:c r="C640" s="60" t="n">
        <x:v>0.1</x:v>
      </x:c>
      <x:c r="D640" s="60" t="n">
        <x:v>0.1</x:v>
      </x:c>
      <x:c r="E640" s="62" t="b">
        <x:v>1</x:v>
      </x:c>
      <x:c r="F640" s="62" t="b">
        <x:v>1</x:v>
      </x:c>
      <x:c r="G640" s="85" t="n">
        <x:v>0</x:v>
      </x:c>
      <x:c r="H640" s="85" t="n">
        <x:v>0</x:v>
      </x:c>
      <x:c r="I640" s="85" t="n">
        <x:v>0</x:v>
      </x:c>
      <x:c r="J640" s="85" t="n">
        <x:v>0</x:v>
      </x:c>
      <x:c r="K640" s="85" t="n">
        <x:v>7657669.144270852</x:v>
      </x:c>
      <x:c r="L640" s="28" t="n">
        <x:v>0</x:v>
      </x:c>
      <x:c r="M640" s="28" t="n">
        <x:v>0</x:v>
      </x:c>
      <x:c r="N640" s="28" t="n">
        <x:v>1.862645149230957e-9</x:v>
      </x:c>
      <x:c r="O640" s="28" t="n">
        <x:v>5.960464477539063e-8</x:v>
      </x:c>
      <x:c r="P640" s="28" t="n">
        <x:v>0</x:v>
      </x:c>
      <x:c r="Q640" s="62" t="b">
        <x:v>1</x:v>
      </x:c>
      <x:c r="R640" s="28" t="n">
        <x:v>0</x:v>
      </x:c>
      <x:c r="S640" s="28" t="str">
        <x:v>e2c7852f048e5921</x:v>
      </x:c>
    </x:row>
    <x:row r="641" ht="21" customHeight="1">
      <x:c r="A641" s="60" t="n">
        <x:v>0.62</x:v>
      </x:c>
      <x:c r="B641" s="28" t="str">
        <x:v>back_flat</x:v>
      </x:c>
      <x:c r="C641" s="60" t="n">
        <x:v>0.15</x:v>
      </x:c>
      <x:c r="D641" s="60" t="n">
        <x:v>0.15</x:v>
      </x:c>
      <x:c r="E641" s="62" t="b">
        <x:v>1</x:v>
      </x:c>
      <x:c r="F641" s="62" t="b">
        <x:v>1</x:v>
      </x:c>
      <x:c r="G641" s="85" t="n">
        <x:v>0</x:v>
      </x:c>
      <x:c r="H641" s="85" t="n">
        <x:v>0</x:v>
      </x:c>
      <x:c r="I641" s="85" t="n">
        <x:v>3951067.002898325</x:v>
      </x:c>
      <x:c r="J641" s="85" t="n">
        <x:v>0</x:v>
      </x:c>
      <x:c r="K641" s="85" t="n">
        <x:v>733538.1968485244</x:v>
      </x:c>
      <x:c r="L641" s="28" t="n">
        <x:v>0</x:v>
      </x:c>
      <x:c r="M641" s="28" t="n">
        <x:v>0</x:v>
      </x:c>
      <x:c r="N641" s="28" t="n">
        <x:v>3.725290298461914e-9</x:v>
      </x:c>
      <x:c r="O641" s="28" t="n">
        <x:v>5.960464477539063e-8</x:v>
      </x:c>
      <x:c r="P641" s="28" t="n">
        <x:v>0</x:v>
      </x:c>
      <x:c r="Q641" s="62" t="b">
        <x:v>1</x:v>
      </x:c>
      <x:c r="R641" s="28" t="n">
        <x:v>0</x:v>
      </x:c>
      <x:c r="S641" s="28" t="str">
        <x:v>956558f43768533d</x:v>
      </x:c>
    </x:row>
    <x:row r="642" ht="21" customHeight="1">
      <x:c r="A642" s="60" t="n">
        <x:v>0.62</x:v>
      </x:c>
      <x:c r="B642" s="28" t="str">
        <x:v>back_flat</x:v>
      </x:c>
      <x:c r="C642" s="60" t="n">
        <x:v>0.2</x:v>
      </x:c>
      <x:c r="D642" s="60" t="n">
        <x:v>0.2</x:v>
      </x:c>
      <x:c r="E642" s="62" t="b">
        <x:v>1</x:v>
      </x:c>
      <x:c r="F642" s="62" t="b">
        <x:v>1</x:v>
      </x:c>
      <x:c r="G642" s="85" t="n">
        <x:v>0</x:v>
      </x:c>
      <x:c r="H642" s="85" t="n">
        <x:v>0</x:v>
      </x:c>
      <x:c r="I642" s="85" t="n">
        <x:v>12039843.750413239</x:v>
      </x:c>
      <x:c r="J642" s="85" t="n">
        <x:v>6341080.834812444</x:v>
      </x:c>
      <x:c r="K642" s="85" t="n">
        <x:v>541103.0817903521</x:v>
      </x:c>
      <x:c r="L642" s="28" t="n">
        <x:v>0</x:v>
      </x:c>
      <x:c r="M642" s="28" t="n">
        <x:v>0</x:v>
      </x:c>
      <x:c r="N642" s="28" t="n">
        <x:v>1.862645149230957e-9</x:v>
      </x:c>
      <x:c r="O642" s="28" t="n">
        <x:v>2.9802322387695312e-8</x:v>
      </x:c>
      <x:c r="P642" s="28" t="n">
        <x:v>0</x:v>
      </x:c>
      <x:c r="Q642" s="62" t="b">
        <x:v>1</x:v>
      </x:c>
      <x:c r="R642" s="28" t="n">
        <x:v>0</x:v>
      </x:c>
      <x:c r="S642" s="28" t="str">
        <x:v>9b51efdb968aa5fa</x:v>
      </x:c>
    </x:row>
    <x:row r="643" ht="21" customHeight="1">
      <x:c r="A643" s="60" t="n">
        <x:v>0.62</x:v>
      </x:c>
      <x:c r="B643" s="28" t="str">
        <x:v>back_flat</x:v>
      </x:c>
      <x:c r="C643" s="60" t="n">
        <x:v>0.25</x:v>
      </x:c>
      <x:c r="D643" s="60" t="n">
        <x:v>0.25</x:v>
      </x:c>
      <x:c r="E643" s="62" t="b">
        <x:v>1</x:v>
      </x:c>
      <x:c r="F643" s="62" t="b">
        <x:v>1</x:v>
      </x:c>
      <x:c r="G643" s="85" t="n">
        <x:v>0</x:v>
      </x:c>
      <x:c r="H643" s="85" t="n">
        <x:v>0</x:v>
      </x:c>
      <x:c r="I643" s="85" t="n">
        <x:v>18314853.65188647</x:v>
      </x:c>
      <x:c r="J643" s="85" t="n">
        <x:v>15426351.043515662</x:v>
      </x:c>
      <x:c r="K643" s="85" t="n">
        <x:v>414473.44671917905</x:v>
      </x:c>
      <x:c r="L643" s="28" t="n">
        <x:v>0</x:v>
      </x:c>
      <x:c r="M643" s="28" t="n">
        <x:v>0</x:v>
      </x:c>
      <x:c r="N643" s="28" t="n">
        <x:v>3.725290298461914e-9</x:v>
      </x:c>
      <x:c r="O643" s="28" t="n">
        <x:v>2.9802322387695312e-8</x:v>
      </x:c>
      <x:c r="P643" s="28" t="n">
        <x:v>0</x:v>
      </x:c>
      <x:c r="Q643" s="62" t="b">
        <x:v>1</x:v>
      </x:c>
      <x:c r="R643" s="28" t="n">
        <x:v>0</x:v>
      </x:c>
      <x:c r="S643" s="28" t="str">
        <x:v>3ce058737f191f43</x:v>
      </x:c>
    </x:row>
    <x:row r="644" ht="21" customHeight="1">
      <x:c r="A644" s="60" t="n">
        <x:v>0.62</x:v>
      </x:c>
      <x:c r="B644" s="28" t="str">
        <x:v>back_flat</x:v>
      </x:c>
      <x:c r="C644" s="60" t="n">
        <x:v>0.3</x:v>
      </x:c>
      <x:c r="D644" s="60" t="n">
        <x:v>0.3</x:v>
      </x:c>
      <x:c r="E644" s="62" t="b">
        <x:v>1</x:v>
      </x:c>
      <x:c r="F644" s="62" t="b">
        <x:v>1</x:v>
      </x:c>
      <x:c r="G644" s="85" t="n">
        <x:v>0</x:v>
      </x:c>
      <x:c r="H644" s="85" t="n">
        <x:v>0</x:v>
      </x:c>
      <x:c r="I644" s="85" t="n">
        <x:v>24636830.25152617</x:v>
      </x:c>
      <x:c r="J644" s="85" t="n">
        <x:v>24511621.252218716</x:v>
      </x:c>
      <x:c r="K644" s="85" t="n">
        <x:v>351621.03606301494</x:v>
      </x:c>
      <x:c r="L644" s="28" t="n">
        <x:v>0</x:v>
      </x:c>
      <x:c r="M644" s="28" t="n">
        <x:v>0</x:v>
      </x:c>
      <x:c r="N644" s="28" t="n">
        <x:v>1.862645149230957e-9</x:v>
      </x:c>
      <x:c r="O644" s="28" t="n">
        <x:v>2.9802322387695312e-8</x:v>
      </x:c>
      <x:c r="P644" s="28" t="n">
        <x:v>0</x:v>
      </x:c>
      <x:c r="Q644" s="62" t="b">
        <x:v>1</x:v>
      </x:c>
      <x:c r="R644" s="28" t="n">
        <x:v>0</x:v>
      </x:c>
      <x:c r="S644" s="28" t="str">
        <x:v>9a68bc2256bacb39</x:v>
      </x:c>
    </x:row>
    <x:row r="645" ht="21" customHeight="1">
      <x:c r="A645" s="60" t="n">
        <x:v>0.62</x:v>
      </x:c>
      <x:c r="B645" s="28" t="str">
        <x:v>back_flat</x:v>
      </x:c>
      <x:c r="C645" s="60" t="n">
        <x:v>0.35</x:v>
      </x:c>
      <x:c r="D645" s="60" t="n">
        <x:v>0.35</x:v>
      </x:c>
      <x:c r="E645" s="62" t="b">
        <x:v>1</x:v>
      </x:c>
      <x:c r="F645" s="62" t="b">
        <x:v>1</x:v>
      </x:c>
      <x:c r="G645" s="85" t="n">
        <x:v>0</x:v>
      </x:c>
      <x:c r="H645" s="85" t="n">
        <x:v>0</x:v>
      </x:c>
      <x:c r="I645" s="85" t="n">
        <x:v>31018703.2474426</x:v>
      </x:c>
      <x:c r="J645" s="85" t="n">
        <x:v>33596891.460921794</x:v>
      </x:c>
      <x:c r="K645" s="85" t="n">
        <x:v>288768.6254068513</x:v>
      </x:c>
      <x:c r="L645" s="28" t="n">
        <x:v>0</x:v>
      </x:c>
      <x:c r="M645" s="28" t="n">
        <x:v>0</x:v>
      </x:c>
      <x:c r="N645" s="28" t="n">
        <x:v>3.725290298461914e-9</x:v>
      </x:c>
      <x:c r="O645" s="28" t="n">
        <x:v>2.9802322387695312e-8</x:v>
      </x:c>
      <x:c r="P645" s="28" t="n">
        <x:v>0</x:v>
      </x:c>
      <x:c r="Q645" s="62" t="b">
        <x:v>1</x:v>
      </x:c>
      <x:c r="R645" s="28" t="n">
        <x:v>0</x:v>
      </x:c>
      <x:c r="S645" s="28" t="str">
        <x:v>754eaed1395c7042</x:v>
      </x:c>
    </x:row>
    <x:row r="646" ht="21" customHeight="1">
      <x:c r="A646" s="60" t="n">
        <x:v>0.62</x:v>
      </x:c>
      <x:c r="B646" s="28" t="str">
        <x:v>back_flat</x:v>
      </x:c>
      <x:c r="C646" s="60" t="n">
        <x:v>0.4</x:v>
      </x:c>
      <x:c r="D646" s="60" t="n">
        <x:v>0.4</x:v>
      </x:c>
      <x:c r="E646" s="62" t="b">
        <x:v>1</x:v>
      </x:c>
      <x:c r="F646" s="62" t="b">
        <x:v>1</x:v>
      </x:c>
      <x:c r="G646" s="85" t="n">
        <x:v>0</x:v>
      </x:c>
      <x:c r="H646" s="85" t="n">
        <x:v>0</x:v>
      </x:c>
      <x:c r="I646" s="85" t="n">
        <x:v>37399146.0701404</x:v>
      </x:c>
      <x:c r="J646" s="85" t="n">
        <x:v>42682161.66962496</x:v>
      </x:c>
      <x:c r="K646" s="85" t="n">
        <x:v>225916.2147506876</x:v>
      </x:c>
      <x:c r="L646" s="28" t="n">
        <x:v>0</x:v>
      </x:c>
      <x:c r="M646" s="28" t="n">
        <x:v>0</x:v>
      </x:c>
      <x:c r="N646" s="28" t="n">
        <x:v>1.862645149230957e-9</x:v>
      </x:c>
      <x:c r="O646" s="28" t="n">
        <x:v>2.9802322387695312e-8</x:v>
      </x:c>
      <x:c r="P646" s="28" t="n">
        <x:v>0</x:v>
      </x:c>
      <x:c r="Q646" s="62" t="b">
        <x:v>1</x:v>
      </x:c>
      <x:c r="R646" s="28" t="n">
        <x:v>0</x:v>
      </x:c>
      <x:c r="S646" s="28" t="str">
        <x:v>c9d54146aa73253a</x:v>
      </x:c>
    </x:row>
    <x:row r="647" ht="21" customHeight="1">
      <x:c r="A647" s="60" t="n">
        <x:v>0.62</x:v>
      </x:c>
      <x:c r="B647" s="28" t="str">
        <x:v>back_flat</x:v>
      </x:c>
      <x:c r="C647" s="60" t="n">
        <x:v>0.45</x:v>
      </x:c>
      <x:c r="D647" s="60" t="n">
        <x:v>0.45</x:v>
      </x:c>
      <x:c r="E647" s="62" t="b">
        <x:v>1</x:v>
      </x:c>
      <x:c r="F647" s="62" t="b">
        <x:v>1</x:v>
      </x:c>
      <x:c r="G647" s="85" t="n">
        <x:v>0</x:v>
      </x:c>
      <x:c r="H647" s="85" t="n">
        <x:v>0</x:v>
      </x:c>
      <x:c r="I647" s="85" t="n">
        <x:v>43976212.41469383</x:v>
      </x:c>
      <x:c r="J647" s="85" t="n">
        <x:v>51404128.666861966</x:v>
      </x:c>
      <x:c r="K647" s="85" t="n">
        <x:v>189062.93440136593</x:v>
      </x:c>
      <x:c r="L647" s="28" t="n">
        <x:v>1</x:v>
      </x:c>
      <x:c r="M647" s="28" t="n">
        <x:v>0</x:v>
      </x:c>
      <x:c r="N647" s="28" t="n">
        <x:v>3.725290298461914e-9</x:v>
      </x:c>
      <x:c r="O647" s="28" t="n">
        <x:v>1.4901161193847656e-8</x:v>
      </x:c>
      <x:c r="P647" s="28" t="n">
        <x:v>0</x:v>
      </x:c>
      <x:c r="Q647" s="62" t="b">
        <x:v>1</x:v>
      </x:c>
      <x:c r="R647" s="28" t="n">
        <x:v>0</x:v>
      </x:c>
      <x:c r="S647" s="28" t="str">
        <x:v>cc6469c0ffa3a72c</x:v>
      </x:c>
    </x:row>
    <x:row r="648" ht="21" customHeight="1">
      <x:c r="A648" s="60" t="n">
        <x:v>0.62</x:v>
      </x:c>
      <x:c r="B648" s="28" t="str">
        <x:v>back_flat</x:v>
      </x:c>
      <x:c r="C648" s="60" t="n">
        <x:v>0.5</x:v>
      </x:c>
      <x:c r="D648" s="60" t="n">
        <x:v>0.5</x:v>
      </x:c>
      <x:c r="E648" s="62" t="b">
        <x:v>1</x:v>
      </x:c>
      <x:c r="F648" s="62" t="b">
        <x:v>1</x:v>
      </x:c>
      <x:c r="G648" s="85" t="n">
        <x:v>0</x:v>
      </x:c>
      <x:c r="H648" s="85" t="n">
        <x:v>0</x:v>
      </x:c>
      <x:c r="I648" s="85" t="n">
        <x:v>51019410.22120549</x:v>
      </x:c>
      <x:c r="J648" s="85" t="n">
        <x:v>59004130.29094864</x:v>
      </x:c>
      <x:c r="K648" s="85" t="n">
        <x:v>169917.37749315175</x:v>
      </x:c>
      <x:c r="L648" s="28" t="n">
        <x:v>5</x:v>
      </x:c>
      <x:c r="M648" s="28" t="n">
        <x:v>0</x:v>
      </x:c>
      <x:c r="N648" s="28" t="n">
        <x:v>3.725290298461914e-9</x:v>
      </x:c>
      <x:c r="O648" s="28" t="n">
        <x:v>2.9802322387695312e-8</x:v>
      </x:c>
      <x:c r="P648" s="28" t="n">
        <x:v>0</x:v>
      </x:c>
      <x:c r="Q648" s="62" t="b">
        <x:v>1</x:v>
      </x:c>
      <x:c r="R648" s="28" t="n">
        <x:v>0</x:v>
      </x:c>
      <x:c r="S648" s="28" t="str">
        <x:v>f9aed43fe5e893dd</x:v>
      </x:c>
    </x:row>
    <x:row r="649" ht="21" customHeight="1">
      <x:c r="A649" s="60" t="n">
        <x:v>0.62</x:v>
      </x:c>
      <x:c r="B649" s="28" t="str">
        <x:v>back_flat</x:v>
      </x:c>
      <x:c r="C649" s="60" t="n">
        <x:v>0.55</x:v>
      </x:c>
      <x:c r="D649" s="60" t="n">
        <x:v>0.55</x:v>
      </x:c>
      <x:c r="E649" s="62" t="b">
        <x:v>1</x:v>
      </x:c>
      <x:c r="F649" s="62" t="b">
        <x:v>1</x:v>
      </x:c>
      <x:c r="G649" s="85" t="n">
        <x:v>0</x:v>
      </x:c>
      <x:c r="H649" s="85" t="n">
        <x:v>0</x:v>
      </x:c>
      <x:c r="I649" s="85" t="n">
        <x:v>58068560.236263774</x:v>
      </x:c>
      <x:c r="J649" s="85" t="n">
        <x:v>66322627.006176524</x:v>
      </x:c>
      <x:c r="K649" s="85" t="n">
        <x:v>150771.82058492777</x:v>
      </x:c>
      <x:c r="L649" s="28" t="n">
        <x:v>9</x:v>
      </x:c>
      <x:c r="M649" s="28" t="n">
        <x:v>1</x:v>
      </x:c>
      <x:c r="N649" s="28" t="n">
        <x:v>1.862645149230957e-9</x:v>
      </x:c>
      <x:c r="O649" s="28" t="n">
        <x:v>2.9802322387695312e-8</x:v>
      </x:c>
      <x:c r="P649" s="28" t="n">
        <x:v>0</x:v>
      </x:c>
      <x:c r="Q649" s="62" t="b">
        <x:v>1</x:v>
      </x:c>
      <x:c r="R649" s="28" t="n">
        <x:v>0</x:v>
      </x:c>
      <x:c r="S649" s="28" t="str">
        <x:v>738f230249d455ef</x:v>
      </x:c>
    </x:row>
    <x:row r="650" ht="21" customHeight="1">
      <x:c r="A650" s="60" t="n">
        <x:v>0.62</x:v>
      </x:c>
      <x:c r="B650" s="28" t="str">
        <x:v>back_flat</x:v>
      </x:c>
      <x:c r="C650" s="60" t="n">
        <x:v>0.6</x:v>
      </x:c>
      <x:c r="D650" s="60" t="n">
        <x:v>0.6</x:v>
      </x:c>
      <x:c r="E650" s="62" t="b">
        <x:v>1</x:v>
      </x:c>
      <x:c r="F650" s="62" t="b">
        <x:v>1</x:v>
      </x:c>
      <x:c r="G650" s="85" t="n">
        <x:v>0</x:v>
      </x:c>
      <x:c r="H650" s="85" t="n">
        <x:v>0</x:v>
      </x:c>
      <x:c r="I650" s="85" t="n">
        <x:v>64149844.19011452</x:v>
      </x:c>
      <x:c r="J650" s="85" t="n">
        <x:v>75681390.67356503</x:v>
      </x:c>
      <x:c r="K650" s="85" t="n">
        <x:v>131626.2636767164</x:v>
      </x:c>
      <x:c r="L650" s="28" t="n">
        <x:v>11</x:v>
      </x:c>
      <x:c r="M650" s="28" t="n">
        <x:v>6</x:v>
      </x:c>
      <x:c r="N650" s="28" t="n">
        <x:v>1.862645149230957e-9</x:v>
      </x:c>
      <x:c r="O650" s="28" t="n">
        <x:v>2.9802322387695312e-8</x:v>
      </x:c>
      <x:c r="P650" s="28" t="n">
        <x:v>0</x:v>
      </x:c>
      <x:c r="Q650" s="62" t="b">
        <x:v>1</x:v>
      </x:c>
      <x:c r="R650" s="28" t="n">
        <x:v>0</x:v>
      </x:c>
      <x:c r="S650" s="28" t="str">
        <x:v>c540c1f3a9fff5f4</x:v>
      </x:c>
    </x:row>
    <x:row r="651" ht="21" customHeight="1">
      <x:c r="A651" s="60" t="n">
        <x:v>0.62</x:v>
      </x:c>
      <x:c r="B651" s="28" t="str">
        <x:v>back_flat</x:v>
      </x:c>
      <x:c r="C651" s="60" t="n">
        <x:v>0.65</x:v>
      </x:c>
      <x:c r="D651" s="60" t="n">
        <x:v>0.65</x:v>
      </x:c>
      <x:c r="E651" s="62" t="b">
        <x:v>1</x:v>
      </x:c>
      <x:c r="F651" s="62" t="b">
        <x:v>0</x:v>
      </x:c>
      <x:c r="G651" s="85" t="n">
        <x:v>205982.07653396195</x:v>
      </x:c>
      <x:c r="H651" s="85" t="n">
        <x:v>1317755.3261584358</x:v>
      </x:c>
      <x:c r="I651" s="85" t="n">
        <x:v>69452883.03172712</x:v>
      </x:c>
      <x:c r="J651" s="85" t="n">
        <x:v>84000000.00000001</x:v>
      </x:c>
      <x:c r="K651" s="85" t="n">
        <x:v>112480.70676849196</x:v>
      </x:c>
      <x:c r="L651" s="28" t="n">
        <x:v>37</x:v>
      </x:c>
      <x:c r="M651" s="28" t="n">
        <x:v>32</x:v>
      </x:c>
      <x:c r="N651" s="28" t="n">
        <x:v>1.862645149230957e-9</x:v>
      </x:c>
      <x:c r="O651" s="28" t="n">
        <x:v>1.4901161193847656e-8</x:v>
      </x:c>
      <x:c r="P651" s="28" t="n">
        <x:v>0</x:v>
      </x:c>
      <x:c r="Q651" s="62" t="b">
        <x:v>1</x:v>
      </x:c>
      <x:c r="R651" s="28" t="n">
        <x:v>0</x:v>
      </x:c>
      <x:c r="S651" s="28" t="str">
        <x:v>879edddea875cd3a</x:v>
      </x:c>
    </x:row>
    <x:row r="652" ht="21" customHeight="1">
      <x:c r="A652" s="60" t="n">
        <x:v>0.62</x:v>
      </x:c>
      <x:c r="B652" s="28" t="str">
        <x:v>back_flat</x:v>
      </x:c>
      <x:c r="C652" s="60" t="n">
        <x:v>0.7</x:v>
      </x:c>
      <x:c r="D652" s="60" t="n">
        <x:v>0.7</x:v>
      </x:c>
      <x:c r="E652" s="62" t="b">
        <x:v>1</x:v>
      </x:c>
      <x:c r="F652" s="62" t="b">
        <x:v>0</x:v>
      </x:c>
      <x:c r="G652" s="85" t="n">
        <x:v>2130042.8256218545</x:v>
      </x:c>
      <x:c r="H652" s="85" t="n">
        <x:v>12334987.63107253</x:v>
      </x:c>
      <x:c r="I652" s="85" t="n">
        <x:v>70734296.34519528</x:v>
      </x:c>
      <x:c r="J652" s="85" t="n">
        <x:v>84000000.00000001</x:v>
      </x:c>
      <x:c r="K652" s="85" t="n">
        <x:v>93335.14986027451</x:v>
      </x:c>
      <x:c r="L652" s="28" t="n">
        <x:v>38</x:v>
      </x:c>
      <x:c r="M652" s="28" t="n">
        <x:v>32</x:v>
      </x:c>
      <x:c r="N652" s="28" t="n">
        <x:v>1.862645149230957e-9</x:v>
      </x:c>
      <x:c r="O652" s="28" t="n">
        <x:v>2.9802322387695312e-8</x:v>
      </x:c>
      <x:c r="P652" s="28" t="n">
        <x:v>0</x:v>
      </x:c>
      <x:c r="Q652" s="62" t="b">
        <x:v>1</x:v>
      </x:c>
      <x:c r="R652" s="28" t="n">
        <x:v>0</x:v>
      </x:c>
      <x:c r="S652" s="28" t="str">
        <x:v>27ed252b8174f5d6</x:v>
      </x:c>
    </x:row>
    <x:row r="653" ht="21" customHeight="1">
      <x:c r="A653" s="60" t="n">
        <x:v>0.62</x:v>
      </x:c>
      <x:c r="B653" s="28" t="str">
        <x:v>back_flat</x:v>
      </x:c>
      <x:c r="C653" s="60" t="n">
        <x:v>0.75</x:v>
      </x:c>
      <x:c r="D653" s="60" t="n">
        <x:v>0.75</x:v>
      </x:c>
      <x:c r="E653" s="62" t="b">
        <x:v>1</x:v>
      </x:c>
      <x:c r="F653" s="62" t="b">
        <x:v>0</x:v>
      </x:c>
      <x:c r="G653" s="85" t="n">
        <x:v>4073847.1446631737</x:v>
      </x:c>
      <x:c r="H653" s="85" t="n">
        <x:v>22841944.20755104</x:v>
      </x:c>
      <x:c r="I653" s="85" t="n">
        <x:v>72075644.28285877</x:v>
      </x:c>
      <x:c r="J653" s="85" t="n">
        <x:v>84000000.00000001</x:v>
      </x:c>
      <x:c r="K653" s="85" t="n">
        <x:v>74189.592952058</x:v>
      </x:c>
      <x:c r="L653" s="28" t="n">
        <x:v>39</x:v>
      </x:c>
      <x:c r="M653" s="28" t="n">
        <x:v>34</x:v>
      </x:c>
      <x:c r="N653" s="28" t="n">
        <x:v>1.862645149230957e-9</x:v>
      </x:c>
      <x:c r="O653" s="28" t="n">
        <x:v>2.9802322387695312e-8</x:v>
      </x:c>
      <x:c r="P653" s="28" t="n">
        <x:v>0</x:v>
      </x:c>
      <x:c r="Q653" s="62" t="b">
        <x:v>1</x:v>
      </x:c>
      <x:c r="R653" s="28" t="n">
        <x:v>0</x:v>
      </x:c>
      <x:c r="S653" s="28" t="str">
        <x:v>a58e4c4a09487344</x:v>
      </x:c>
    </x:row>
    <x:row r="654" ht="21" customHeight="1">
      <x:c r="A654" s="60" t="n">
        <x:v>0.62</x:v>
      </x:c>
      <x:c r="B654" s="28" t="str">
        <x:v>back_flat</x:v>
      </x:c>
      <x:c r="C654" s="60" t="n">
        <x:v>0.8</x:v>
      </x:c>
      <x:c r="D654" s="60" t="n">
        <x:v>0.8</x:v>
      </x:c>
      <x:c r="E654" s="62" t="b">
        <x:v>1</x:v>
      </x:c>
      <x:c r="F654" s="62" t="b">
        <x:v>0</x:v>
      </x:c>
      <x:c r="G654" s="85" t="n">
        <x:v>6672468.427744063</x:v>
      </x:c>
      <x:c r="H654" s="85" t="n">
        <x:v>34302192.88685383</x:v>
      </x:c>
      <x:c r="I654" s="85" t="n">
        <x:v>72367139.13331422</x:v>
      </x:c>
      <x:c r="J654" s="85" t="n">
        <x:v>84000000.00000001</x:v>
      </x:c>
      <x:c r="K654" s="85" t="n">
        <x:v>55044.03604383637</x:v>
      </x:c>
      <x:c r="L654" s="28" t="n">
        <x:v>39</x:v>
      </x:c>
      <x:c r="M654" s="28" t="n">
        <x:v>34</x:v>
      </x:c>
      <x:c r="N654" s="28" t="n">
        <x:v>1.862645149230957e-9</x:v>
      </x:c>
      <x:c r="O654" s="28" t="n">
        <x:v>1.4901161193847656e-8</x:v>
      </x:c>
      <x:c r="P654" s="28" t="n">
        <x:v>0</x:v>
      </x:c>
      <x:c r="Q654" s="62" t="b">
        <x:v>1</x:v>
      </x:c>
      <x:c r="R654" s="28" t="n">
        <x:v>0</x:v>
      </x:c>
      <x:c r="S654" s="28" t="str">
        <x:v>977b32d532cae130</x:v>
      </x:c>
    </x:row>
    <x:row r="655" ht="21" customHeight="1">
      <x:c r="A655" s="60" t="n">
        <x:v>0.62</x:v>
      </x:c>
      <x:c r="B655" s="28" t="str">
        <x:v>back_flat</x:v>
      </x:c>
      <x:c r="C655" s="60" t="n">
        <x:v>0.85</x:v>
      </x:c>
      <x:c r="D655" s="60" t="n">
        <x:v>0.85</x:v>
      </x:c>
      <x:c r="E655" s="62" t="b">
        <x:v>1</x:v>
      </x:c>
      <x:c r="F655" s="62" t="b">
        <x:v>0</x:v>
      </x:c>
      <x:c r="G655" s="85" t="n">
        <x:v>9150224.62876444</x:v>
      </x:c>
      <x:c r="H655" s="85" t="n">
        <x:v>44316261.37612248</x:v>
      </x:c>
      <x:c r="I655" s="85" t="n">
        <x:v>73537542.82439128</x:v>
      </x:c>
      <x:c r="J655" s="85" t="n">
        <x:v>84000000.00000001</x:v>
      </x:c>
      <x:c r="K655" s="85" t="n">
        <x:v>35898.47913561473</x:v>
      </x:c>
      <x:c r="L655" s="28" t="n">
        <x:v>40</x:v>
      </x:c>
      <x:c r="M655" s="28" t="n">
        <x:v>35</x:v>
      </x:c>
      <x:c r="N655" s="28" t="n">
        <x:v>1.862645149230957e-9</x:v>
      </x:c>
      <x:c r="O655" s="28" t="n">
        <x:v>2.9802322387695312e-8</x:v>
      </x:c>
      <x:c r="P655" s="28" t="n">
        <x:v>0</x:v>
      </x:c>
      <x:c r="Q655" s="62" t="b">
        <x:v>1</x:v>
      </x:c>
      <x:c r="R655" s="28" t="n">
        <x:v>0</x:v>
      </x:c>
      <x:c r="S655" s="28" t="str">
        <x:v>cdfe4c5816588c8b</x:v>
      </x:c>
    </x:row>
    <x:row r="656" ht="21" customHeight="1">
      <x:c r="A656" s="60" t="n">
        <x:v>0.62</x:v>
      </x:c>
      <x:c r="B656" s="28" t="str">
        <x:v>back_flat</x:v>
      </x:c>
      <x:c r="C656" s="60" t="n">
        <x:v>0.9</x:v>
      </x:c>
      <x:c r="D656" s="60" t="n">
        <x:v>0.8948658400492392</x:v>
      </x:c>
      <x:c r="E656" s="62" t="b">
        <x:v>0</x:v>
      </x:c>
      <x:c r="F656" s="62" t="b">
        <x:v>0</x:v>
      </x:c>
      <x:c r="G656" s="85" t="n">
        <x:v>13601997.542561</x:v>
      </x:c>
      <x:c r="H656" s="85" t="n">
        <x:v>51499202.3467363</x:v>
      </x:c>
      <x:c r="I656" s="85" t="n">
        <x:v>73765460.25483494</x:v>
      </x:c>
      <x:c r="J656" s="85" t="n">
        <x:v>84000000.00000001</x:v>
      </x:c>
      <x:c r="K656" s="85" t="n">
        <x:v>16752.92222739356</x:v>
      </x:c>
      <x:c r="L656" s="28" t="n">
        <x:v>40</x:v>
      </x:c>
      <x:c r="M656" s="28" t="n">
        <x:v>36</x:v>
      </x:c>
      <x:c r="N656" s="28" t="n">
        <x:v>1.862645149230957e-9</x:v>
      </x:c>
      <x:c r="O656" s="28" t="n">
        <x:v>2.9802322387695312e-8</x:v>
      </x:c>
      <x:c r="P656" s="28" t="n">
        <x:v>0</x:v>
      </x:c>
      <x:c r="Q656" s="62" t="b">
        <x:v>1</x:v>
      </x:c>
      <x:c r="R656" s="28" t="n">
        <x:v>1540247.9852282405</x:v>
      </x:c>
      <x:c r="S656" s="28" t="str">
        <x:v>c9a5848972f3be05</x:v>
      </x:c>
    </x:row>
    <x:row r="657" ht="21" customHeight="1">
      <x:c r="A657" s="60" t="n">
        <x:v>0.62</x:v>
      </x:c>
      <x:c r="B657" s="28" t="str">
        <x:v>back_flat</x:v>
      </x:c>
      <x:c r="C657" s="60" t="n">
        <x:v>0.95</x:v>
      </x:c>
      <x:c r="D657" s="60" t="n">
        <x:v>0.9083032015334562</x:v>
      </x:c>
      <x:c r="E657" s="62" t="b">
        <x:v>0</x:v>
      </x:c>
      <x:c r="F657" s="62" t="b">
        <x:v>0</x:v>
      </x:c>
      <x:c r="G657" s="85" t="n">
        <x:v>14235045.039525302</x:v>
      </x:c>
      <x:c r="H657" s="85" t="n">
        <x:v>53896015.09716128</x:v>
      </x:c>
      <x:c r="I657" s="85" t="n">
        <x:v>75047950.77305414</x:v>
      </x:c>
      <x:c r="J657" s="85" t="n">
        <x:v>84000000.00000001</x:v>
      </x:c>
      <x:c r="K657" s="85" t="n">
        <x:v>688.1780958893069</x:v>
      </x:c>
      <x:c r="L657" s="28" t="n">
        <x:v>41</x:v>
      </x:c>
      <x:c r="M657" s="28" t="n">
        <x:v>36</x:v>
      </x:c>
      <x:c r="N657" s="28" t="n">
        <x:v>1.862645149230957e-9</x:v>
      </x:c>
      <x:c r="O657" s="28" t="n">
        <x:v>2.9802322387695312e-8</x:v>
      </x:c>
      <x:c r="P657" s="28" t="n">
        <x:v>0</x:v>
      </x:c>
      <x:c r="Q657" s="62" t="b">
        <x:v>1</x:v>
      </x:c>
      <x:c r="R657" s="28" t="n">
        <x:v>12509039.539963126</x:v>
      </x:c>
      <x:c r="S657" s="28" t="str">
        <x:v>ac4d658563238ff8</x:v>
      </x:c>
    </x:row>
    <x:row r="658" ht="21" customHeight="1">
      <x:c r="A658" s="60" t="n">
        <x:v>0.62</x:v>
      </x:c>
      <x:c r="B658" s="28" t="str">
        <x:v>back_flat</x:v>
      </x:c>
      <x:c r="C658" s="60" t="n">
        <x:v>1</x:v>
      </x:c>
      <x:c r="D658" s="60" t="n">
        <x:v>0.920601109498915</x:v>
      </x:c>
      <x:c r="E658" s="62" t="b">
        <x:v>0</x:v>
      </x:c>
      <x:c r="F658" s="62" t="b">
        <x:v>0</x:v>
      </x:c>
      <x:c r="G658" s="85" t="n">
        <x:v>15606929.747020531</x:v>
      </x:c>
      <x:c r="H658" s="85" t="n">
        <x:v>56708969.03657958</x:v>
      </x:c>
      <x:c r="I658" s="85" t="n">
        <x:v>75217933.48987673</x:v>
      </x:c>
      <x:c r="J658" s="85" t="n">
        <x:v>84000000.00000001</x:v>
      </x:c>
      <x:c r="K658" s="85" t="n">
        <x:v>0</x:v>
      </x:c>
      <x:c r="L658" s="28" t="n">
        <x:v>41</x:v>
      </x:c>
      <x:c r="M658" s="28" t="n">
        <x:v>37</x:v>
      </x:c>
      <x:c r="N658" s="28" t="n">
        <x:v>1.862645149230957e-9</x:v>
      </x:c>
      <x:c r="O658" s="28" t="n">
        <x:v>2.9802322387695312e-8</x:v>
      </x:c>
      <x:c r="P658" s="28" t="n">
        <x:v>0</x:v>
      </x:c>
      <x:c r="Q658" s="62" t="b">
        <x:v>1</x:v>
      </x:c>
      <x:c r="R658" s="28" t="n">
        <x:v>23819667.150325477</x:v>
      </x:c>
      <x:c r="S658" s="28" t="str">
        <x:v>955c5024882cab79</x:v>
      </x:c>
    </x:row>
    <x:row r="659" ht="21" customHeight="1">
      <x:c r="A659" s="60" t="n">
        <x:v>0.62</x:v>
      </x:c>
      <x:c r="B659" s="28" t="str">
        <x:v>back_low</x:v>
      </x:c>
      <x:c r="C659" s="60" t="n">
        <x:v>0</x:v>
      </x:c>
      <x:c r="D659" s="60" t="n">
        <x:v>0</x:v>
      </x:c>
      <x:c r="E659" s="62" t="b">
        <x:v>1</x:v>
      </x:c>
      <x:c r="F659" s="62" t="b">
        <x:v>1</x:v>
      </x:c>
      <x:c r="G659" s="85" t="n">
        <x:v>0</x:v>
      </x:c>
      <x:c r="H659" s="85" t="n">
        <x:v>0</x:v>
      </x:c>
      <x:c r="I659" s="85" t="n">
        <x:v>0</x:v>
      </x:c>
      <x:c r="J659" s="85" t="n">
        <x:v>0</x:v>
      </x:c>
      <x:c r="K659" s="85" t="n">
        <x:v>27289826.80616435</x:v>
      </x:c>
      <x:c r="L659" s="28" t="n">
        <x:v>0</x:v>
      </x:c>
      <x:c r="M659" s="28" t="n">
        <x:v>0</x:v>
      </x:c>
      <x:c r="N659" s="28" t="n">
        <x:v>4.656612873077393e-10</x:v>
      </x:c>
      <x:c r="O659" s="28" t="n">
        <x:v>0</x:v>
      </x:c>
      <x:c r="P659" s="28" t="n">
        <x:v>0</x:v>
      </x:c>
      <x:c r="Q659" s="62" t="b">
        <x:v>1</x:v>
      </x:c>
      <x:c r="R659" s="28" t="n">
        <x:v>0</x:v>
      </x:c>
      <x:c r="S659" s="28" t="str">
        <x:v>0665606b451aec52</x:v>
      </x:c>
    </x:row>
    <x:row r="660" ht="21" customHeight="1">
      <x:c r="A660" s="60" t="n">
        <x:v>0.62</x:v>
      </x:c>
      <x:c r="B660" s="28" t="str">
        <x:v>back_low</x:v>
      </x:c>
      <x:c r="C660" s="60" t="n">
        <x:v>0.05</x:v>
      </x:c>
      <x:c r="D660" s="60" t="n">
        <x:v>0.05</x:v>
      </x:c>
      <x:c r="E660" s="62" t="b">
        <x:v>1</x:v>
      </x:c>
      <x:c r="F660" s="62" t="b">
        <x:v>1</x:v>
      </x:c>
      <x:c r="G660" s="85" t="n">
        <x:v>0</x:v>
      </x:c>
      <x:c r="H660" s="85" t="n">
        <x:v>0</x:v>
      </x:c>
      <x:c r="I660" s="85" t="n">
        <x:v>0</x:v>
      </x:c>
      <x:c r="J660" s="85" t="n">
        <x:v>0</x:v>
      </x:c>
      <x:c r="K660" s="85" t="n">
        <x:v>16644926.90481292</x:v>
      </x:c>
      <x:c r="L660" s="28" t="n">
        <x:v>0</x:v>
      </x:c>
      <x:c r="M660" s="28" t="n">
        <x:v>0</x:v>
      </x:c>
      <x:c r="N660" s="28" t="n">
        <x:v>3.725290298461914e-9</x:v>
      </x:c>
      <x:c r="O660" s="28" t="n">
        <x:v>5.960464477539063e-8</x:v>
      </x:c>
      <x:c r="P660" s="28" t="n">
        <x:v>0</x:v>
      </x:c>
      <x:c r="Q660" s="62" t="b">
        <x:v>1</x:v>
      </x:c>
      <x:c r="R660" s="28" t="n">
        <x:v>0</x:v>
      </x:c>
      <x:c r="S660" s="28" t="str">
        <x:v>37cf5634205eca89</x:v>
      </x:c>
    </x:row>
    <x:row r="661" ht="21" customHeight="1">
      <x:c r="A661" s="60" t="n">
        <x:v>0.62</x:v>
      </x:c>
      <x:c r="B661" s="28" t="str">
        <x:v>back_low</x:v>
      </x:c>
      <x:c r="C661" s="60" t="n">
        <x:v>0.1</x:v>
      </x:c>
      <x:c r="D661" s="60" t="n">
        <x:v>0.1</x:v>
      </x:c>
      <x:c r="E661" s="62" t="b">
        <x:v>1</x:v>
      </x:c>
      <x:c r="F661" s="62" t="b">
        <x:v>1</x:v>
      </x:c>
      <x:c r="G661" s="85" t="n">
        <x:v>0</x:v>
      </x:c>
      <x:c r="H661" s="85" t="n">
        <x:v>0</x:v>
      </x:c>
      <x:c r="I661" s="85" t="n">
        <x:v>0</x:v>
      </x:c>
      <x:c r="J661" s="85" t="n">
        <x:v>0</x:v>
      </x:c>
      <x:c r="K661" s="85" t="n">
        <x:v>5942955.932485221</x:v>
      </x:c>
      <x:c r="L661" s="28" t="n">
        <x:v>0</x:v>
      </x:c>
      <x:c r="M661" s="28" t="n">
        <x:v>0</x:v>
      </x:c>
      <x:c r="N661" s="28" t="n">
        <x:v>1.862645149230957e-9</x:v>
      </x:c>
      <x:c r="O661" s="28" t="n">
        <x:v>5.960464477539063e-8</x:v>
      </x:c>
      <x:c r="P661" s="28" t="n">
        <x:v>0</x:v>
      </x:c>
      <x:c r="Q661" s="62" t="b">
        <x:v>1</x:v>
      </x:c>
      <x:c r="R661" s="28" t="n">
        <x:v>0</x:v>
      </x:c>
      <x:c r="S661" s="28" t="str">
        <x:v>063b9c82a9edfef0</x:v>
      </x:c>
    </x:row>
    <x:row r="662" ht="21" customHeight="1">
      <x:c r="A662" s="60" t="n">
        <x:v>0.62</x:v>
      </x:c>
      <x:c r="B662" s="28" t="str">
        <x:v>back_low</x:v>
      </x:c>
      <x:c r="C662" s="60" t="n">
        <x:v>0.15</x:v>
      </x:c>
      <x:c r="D662" s="60" t="n">
        <x:v>0.15</x:v>
      </x:c>
      <x:c r="E662" s="62" t="b">
        <x:v>1</x:v>
      </x:c>
      <x:c r="F662" s="62" t="b">
        <x:v>1</x:v>
      </x:c>
      <x:c r="G662" s="85" t="n">
        <x:v>0</x:v>
      </x:c>
      <x:c r="H662" s="85" t="n">
        <x:v>0</x:v>
      </x:c>
      <x:c r="I662" s="85" t="n">
        <x:v>3444208.5466728304</x:v>
      </x:c>
      <x:c r="J662" s="85" t="n">
        <x:v>0</x:v>
      </x:c>
      <x:c r="K662" s="85" t="n">
        <x:v>28779.105001369666</x:v>
      </x:c>
      <x:c r="L662" s="28" t="n">
        <x:v>0</x:v>
      </x:c>
      <x:c r="M662" s="28" t="n">
        <x:v>0</x:v>
      </x:c>
      <x:c r="N662" s="28" t="n">
        <x:v>1.862645149230957e-9</x:v>
      </x:c>
      <x:c r="O662" s="28" t="n">
        <x:v>5.960464477539063e-8</x:v>
      </x:c>
      <x:c r="P662" s="28" t="n">
        <x:v>0</x:v>
      </x:c>
      <x:c r="Q662" s="62" t="b">
        <x:v>1</x:v>
      </x:c>
      <x:c r="R662" s="28" t="n">
        <x:v>0</x:v>
      </x:c>
      <x:c r="S662" s="28" t="str">
        <x:v>40627e429b94c169</x:v>
      </x:c>
    </x:row>
    <x:row r="663" ht="21" customHeight="1">
      <x:c r="A663" s="60" t="n">
        <x:v>0.62</x:v>
      </x:c>
      <x:c r="B663" s="28" t="str">
        <x:v>back_low</x:v>
      </x:c>
      <x:c r="C663" s="60" t="n">
        <x:v>0.2</x:v>
      </x:c>
      <x:c r="D663" s="60" t="n">
        <x:v>0.2</x:v>
      </x:c>
      <x:c r="E663" s="62" t="b">
        <x:v>1</x:v>
      </x:c>
      <x:c r="F663" s="62" t="b">
        <x:v>1</x:v>
      </x:c>
      <x:c r="G663" s="85" t="n">
        <x:v>0</x:v>
      </x:c>
      <x:c r="H663" s="85" t="n">
        <x:v>0</x:v>
      </x:c>
      <x:c r="I663" s="85" t="n">
        <x:v>9741939.504710855</x:v>
      </x:c>
      <x:c r="J663" s="85" t="n">
        <x:v>6341080.834812444</x:v>
      </x:c>
      <x:c r="K663" s="85" t="n">
        <x:v>17854.591599999927</x:v>
      </x:c>
      <x:c r="L663" s="28" t="n">
        <x:v>0</x:v>
      </x:c>
      <x:c r="M663" s="28" t="n">
        <x:v>0</x:v>
      </x:c>
      <x:c r="N663" s="28" t="n">
        <x:v>1.862645149230957e-9</x:v>
      </x:c>
      <x:c r="O663" s="28" t="n">
        <x:v>2.9802322387695312e-8</x:v>
      </x:c>
      <x:c r="P663" s="28" t="n">
        <x:v>0</x:v>
      </x:c>
      <x:c r="Q663" s="62" t="b">
        <x:v>1</x:v>
      </x:c>
      <x:c r="R663" s="28" t="n">
        <x:v>0</x:v>
      </x:c>
      <x:c r="S663" s="28" t="str">
        <x:v>c3e62e546f641608</x:v>
      </x:c>
    </x:row>
    <x:row r="664" ht="21" customHeight="1">
      <x:c r="A664" s="60" t="n">
        <x:v>0.62</x:v>
      </x:c>
      <x:c r="B664" s="28" t="str">
        <x:v>back_low</x:v>
      </x:c>
      <x:c r="C664" s="60" t="n">
        <x:v>0.25</x:v>
      </x:c>
      <x:c r="D664" s="60" t="n">
        <x:v>0.25</x:v>
      </x:c>
      <x:c r="E664" s="62" t="b">
        <x:v>1</x:v>
      </x:c>
      <x:c r="F664" s="62" t="b">
        <x:v>1</x:v>
      </x:c>
      <x:c r="G664" s="85" t="n">
        <x:v>0</x:v>
      </x:c>
      <x:c r="H664" s="85" t="n">
        <x:v>0</x:v>
      </x:c>
      <x:c r="I664" s="85" t="n">
        <x:v>13897756.792865323</x:v>
      </x:c>
      <x:c r="J664" s="85" t="n">
        <x:v>15426351.043515662</x:v>
      </x:c>
      <x:c r="K664" s="85" t="n">
        <x:v>6930.078198631119</x:v>
      </x:c>
      <x:c r="L664" s="28" t="n">
        <x:v>0</x:v>
      </x:c>
      <x:c r="M664" s="28" t="n">
        <x:v>0</x:v>
      </x:c>
      <x:c r="N664" s="28" t="n">
        <x:v>9.313225746154785e-10</x:v>
      </x:c>
      <x:c r="O664" s="28" t="n">
        <x:v>2.9802322387695312e-8</x:v>
      </x:c>
      <x:c r="P664" s="28" t="n">
        <x:v>0</x:v>
      </x:c>
      <x:c r="Q664" s="62" t="b">
        <x:v>1</x:v>
      </x:c>
      <x:c r="R664" s="28" t="n">
        <x:v>0</x:v>
      </x:c>
      <x:c r="S664" s="28" t="str">
        <x:v>d9f04f5f6cab0813</x:v>
      </x:c>
    </x:row>
    <x:row r="665" ht="21" customHeight="1">
      <x:c r="A665" s="60" t="n">
        <x:v>0.62</x:v>
      </x:c>
      <x:c r="B665" s="28" t="str">
        <x:v>back_low</x:v>
      </x:c>
      <x:c r="C665" s="60" t="n">
        <x:v>0.3</x:v>
      </x:c>
      <x:c r="D665" s="60" t="n">
        <x:v>0.3</x:v>
      </x:c>
      <x:c r="E665" s="62" t="b">
        <x:v>1</x:v>
      </x:c>
      <x:c r="F665" s="62" t="b">
        <x:v>1</x:v>
      </x:c>
      <x:c r="G665" s="85" t="n">
        <x:v>0</x:v>
      </x:c>
      <x:c r="H665" s="85" t="n">
        <x:v>0</x:v>
      </x:c>
      <x:c r="I665" s="85" t="n">
        <x:v>18098838.26335618</x:v>
      </x:c>
      <x:c r="J665" s="85" t="n">
        <x:v>24511621.252218716</x:v>
      </x:c>
      <x:c r="K665" s="85" t="n">
        <x:v>0</x:v>
      </x:c>
      <x:c r="L665" s="28" t="n">
        <x:v>0</x:v>
      </x:c>
      <x:c r="M665" s="28" t="n">
        <x:v>0</x:v>
      </x:c>
      <x:c r="N665" s="28" t="n">
        <x:v>1.862645149230957e-9</x:v>
      </x:c>
      <x:c r="O665" s="28" t="n">
        <x:v>2.9802322387695312e-8</x:v>
      </x:c>
      <x:c r="P665" s="28" t="n">
        <x:v>0</x:v>
      </x:c>
      <x:c r="Q665" s="62" t="b">
        <x:v>1</x:v>
      </x:c>
      <x:c r="R665" s="28" t="n">
        <x:v>0</x:v>
      </x:c>
      <x:c r="S665" s="28" t="str">
        <x:v>c5a63f086fe4e661</x:v>
      </x:c>
    </x:row>
    <x:row r="666" ht="21" customHeight="1">
      <x:c r="A666" s="60" t="n">
        <x:v>0.62</x:v>
      </x:c>
      <x:c r="B666" s="28" t="str">
        <x:v>back_low</x:v>
      </x:c>
      <x:c r="C666" s="60" t="n">
        <x:v>0.35</x:v>
      </x:c>
      <x:c r="D666" s="60" t="n">
        <x:v>0.35</x:v>
      </x:c>
      <x:c r="E666" s="62" t="b">
        <x:v>1</x:v>
      </x:c>
      <x:c r="F666" s="62" t="b">
        <x:v>1</x:v>
      </x:c>
      <x:c r="G666" s="85" t="n">
        <x:v>0</x:v>
      </x:c>
      <x:c r="H666" s="85" t="n">
        <x:v>0</x:v>
      </x:c>
      <x:c r="I666" s="85" t="n">
        <x:v>22316239.28254952</x:v>
      </x:c>
      <x:c r="J666" s="85" t="n">
        <x:v>33596891.460921794</x:v>
      </x:c>
      <x:c r="K666" s="85" t="n">
        <x:v>0</x:v>
      </x:c>
      <x:c r="L666" s="28" t="n">
        <x:v>0</x:v>
      </x:c>
      <x:c r="M666" s="28" t="n">
        <x:v>0</x:v>
      </x:c>
      <x:c r="N666" s="28" t="n">
        <x:v>1.862645149230957e-9</x:v>
      </x:c>
      <x:c r="O666" s="28" t="n">
        <x:v>2.9802322387695312e-8</x:v>
      </x:c>
      <x:c r="P666" s="28" t="n">
        <x:v>0</x:v>
      </x:c>
      <x:c r="Q666" s="62" t="b">
        <x:v>1</x:v>
      </x:c>
      <x:c r="R666" s="28" t="n">
        <x:v>0</x:v>
      </x:c>
      <x:c r="S666" s="28" t="str">
        <x:v>2ef4b33cad6d213c</x:v>
      </x:c>
    </x:row>
    <x:row r="667" ht="21" customHeight="1">
      <x:c r="A667" s="60" t="n">
        <x:v>0.62</x:v>
      </x:c>
      <x:c r="B667" s="28" t="str">
        <x:v>back_low</x:v>
      </x:c>
      <x:c r="C667" s="60" t="n">
        <x:v>0.4</x:v>
      </x:c>
      <x:c r="D667" s="60" t="n">
        <x:v>0.4</x:v>
      </x:c>
      <x:c r="E667" s="62" t="b">
        <x:v>1</x:v>
      </x:c>
      <x:c r="F667" s="62" t="b">
        <x:v>1</x:v>
      </x:c>
      <x:c r="G667" s="85" t="n">
        <x:v>0</x:v>
      </x:c>
      <x:c r="H667" s="85" t="n">
        <x:v>0</x:v>
      </x:c>
      <x:c r="I667" s="85" t="n">
        <x:v>26534897.22014936</x:v>
      </x:c>
      <x:c r="J667" s="85" t="n">
        <x:v>42682161.66962496</x:v>
      </x:c>
      <x:c r="K667" s="85" t="n">
        <x:v>0</x:v>
      </x:c>
      <x:c r="L667" s="28" t="n">
        <x:v>0</x:v>
      </x:c>
      <x:c r="M667" s="28" t="n">
        <x:v>0</x:v>
      </x:c>
      <x:c r="N667" s="28" t="n">
        <x:v>3.725290298461914e-9</x:v>
      </x:c>
      <x:c r="O667" s="28" t="n">
        <x:v>2.9802322387695312e-8</x:v>
      </x:c>
      <x:c r="P667" s="28" t="n">
        <x:v>0</x:v>
      </x:c>
      <x:c r="Q667" s="62" t="b">
        <x:v>1</x:v>
      </x:c>
      <x:c r="R667" s="28" t="n">
        <x:v>0</x:v>
      </x:c>
      <x:c r="S667" s="28" t="str">
        <x:v>480f7ea7017996d5</x:v>
      </x:c>
    </x:row>
    <x:row r="668" ht="21" customHeight="1">
      <x:c r="A668" s="60" t="n">
        <x:v>0.62</x:v>
      </x:c>
      <x:c r="B668" s="28" t="str">
        <x:v>back_low</x:v>
      </x:c>
      <x:c r="C668" s="60" t="n">
        <x:v>0.45</x:v>
      </x:c>
      <x:c r="D668" s="60" t="n">
        <x:v>0.45</x:v>
      </x:c>
      <x:c r="E668" s="62" t="b">
        <x:v>1</x:v>
      </x:c>
      <x:c r="F668" s="62" t="b">
        <x:v>1</x:v>
      </x:c>
      <x:c r="G668" s="85" t="n">
        <x:v>0</x:v>
      </x:c>
      <x:c r="H668" s="85" t="n">
        <x:v>0</x:v>
      </x:c>
      <x:c r="I668" s="85" t="n">
        <x:v>30928720.773077186</x:v>
      </x:c>
      <x:c r="J668" s="85" t="n">
        <x:v>51456134.737101465</x:v>
      </x:c>
      <x:c r="K668" s="85" t="n">
        <x:v>0</x:v>
      </x:c>
      <x:c r="L668" s="28" t="n">
        <x:v>1</x:v>
      </x:c>
      <x:c r="M668" s="28" t="n">
        <x:v>0</x:v>
      </x:c>
      <x:c r="N668" s="28" t="n">
        <x:v>3.725290298461914e-9</x:v>
      </x:c>
      <x:c r="O668" s="28" t="n">
        <x:v>1.4901161193847656e-8</x:v>
      </x:c>
      <x:c r="P668" s="28" t="n">
        <x:v>0</x:v>
      </x:c>
      <x:c r="Q668" s="62" t="b">
        <x:v>1</x:v>
      </x:c>
      <x:c r="R668" s="28" t="n">
        <x:v>0</x:v>
      </x:c>
      <x:c r="S668" s="28" t="str">
        <x:v>3e262f3515296095</x:v>
      </x:c>
    </x:row>
    <x:row r="669" ht="21" customHeight="1">
      <x:c r="A669" s="60" t="n">
        <x:v>0.62</x:v>
      </x:c>
      <x:c r="B669" s="28" t="str">
        <x:v>back_low</x:v>
      </x:c>
      <x:c r="C669" s="60" t="n">
        <x:v>0.5</x:v>
      </x:c>
      <x:c r="D669" s="60" t="n">
        <x:v>0.5</x:v>
      </x:c>
      <x:c r="E669" s="62" t="b">
        <x:v>1</x:v>
      </x:c>
      <x:c r="F669" s="62" t="b">
        <x:v>1</x:v>
      </x:c>
      <x:c r="G669" s="85" t="n">
        <x:v>0</x:v>
      </x:c>
      <x:c r="H669" s="85" t="n">
        <x:v>0</x:v>
      </x:c>
      <x:c r="I669" s="85" t="n">
        <x:v>35905450.32852007</x:v>
      </x:c>
      <x:c r="J669" s="85" t="n">
        <x:v>59260463.48740483</x:v>
      </x:c>
      <x:c r="K669" s="85" t="n">
        <x:v>0</x:v>
      </x:c>
      <x:c r="L669" s="28" t="n">
        <x:v>5</x:v>
      </x:c>
      <x:c r="M669" s="28" t="n">
        <x:v>0</x:v>
      </x:c>
      <x:c r="N669" s="28" t="n">
        <x:v>3.725290298461914e-9</x:v>
      </x:c>
      <x:c r="O669" s="28" t="n">
        <x:v>2.9802322387695312e-8</x:v>
      </x:c>
      <x:c r="P669" s="28" t="n">
        <x:v>0</x:v>
      </x:c>
      <x:c r="Q669" s="62" t="b">
        <x:v>1</x:v>
      </x:c>
      <x:c r="R669" s="28" t="n">
        <x:v>0</x:v>
      </x:c>
      <x:c r="S669" s="28" t="str">
        <x:v>fc59bf5ff8e7eea1</x:v>
      </x:c>
    </x:row>
    <x:row r="670" ht="21" customHeight="1">
      <x:c r="A670" s="60" t="n">
        <x:v>0.62</x:v>
      </x:c>
      <x:c r="B670" s="28" t="str">
        <x:v>back_low</x:v>
      </x:c>
      <x:c r="C670" s="60" t="n">
        <x:v>0.55</x:v>
      </x:c>
      <x:c r="D670" s="60" t="n">
        <x:v>0.55</x:v>
      </x:c>
      <x:c r="E670" s="62" t="b">
        <x:v>1</x:v>
      </x:c>
      <x:c r="F670" s="62" t="b">
        <x:v>1</x:v>
      </x:c>
      <x:c r="G670" s="85" t="n">
        <x:v>0</x:v>
      </x:c>
      <x:c r="H670" s="85" t="n">
        <x:v>0</x:v>
      </x:c>
      <x:c r="I670" s="85" t="n">
        <x:v>40985663.29502776</x:v>
      </x:c>
      <x:c r="J670" s="85" t="n">
        <x:v>66783472.49408778</x:v>
      </x:c>
      <x:c r="K670" s="85" t="n">
        <x:v>0</x:v>
      </x:c>
      <x:c r="L670" s="28" t="n">
        <x:v>9</x:v>
      </x:c>
      <x:c r="M670" s="28" t="n">
        <x:v>0</x:v>
      </x:c>
      <x:c r="N670" s="28" t="n">
        <x:v>1.862645149230957e-9</x:v>
      </x:c>
      <x:c r="O670" s="28" t="n">
        <x:v>2.9802322387695312e-8</x:v>
      </x:c>
      <x:c r="P670" s="28" t="n">
        <x:v>0</x:v>
      </x:c>
      <x:c r="Q670" s="62" t="b">
        <x:v>1</x:v>
      </x:c>
      <x:c r="R670" s="28" t="n">
        <x:v>0</x:v>
      </x:c>
      <x:c r="S670" s="28" t="str">
        <x:v>0891f155441098a7</x:v>
      </x:c>
    </x:row>
    <x:row r="671" ht="21" customHeight="1">
      <x:c r="A671" s="60" t="n">
        <x:v>0.62</x:v>
      </x:c>
      <x:c r="B671" s="28" t="str">
        <x:v>back_low</x:v>
      </x:c>
      <x:c r="C671" s="60" t="n">
        <x:v>0.6</x:v>
      </x:c>
      <x:c r="D671" s="60" t="n">
        <x:v>0.6</x:v>
      </x:c>
      <x:c r="E671" s="62" t="b">
        <x:v>1</x:v>
      </x:c>
      <x:c r="F671" s="62" t="b">
        <x:v>1</x:v>
      </x:c>
      <x:c r="G671" s="85" t="n">
        <x:v>0</x:v>
      </x:c>
      <x:c r="H671" s="85" t="n">
        <x:v>0</x:v>
      </x:c>
      <x:c r="I671" s="85" t="n">
        <x:v>45067038.907496944</x:v>
      </x:c>
      <x:c r="J671" s="85" t="n">
        <x:v>75791125.85304761</x:v>
      </x:c>
      <x:c r="K671" s="85" t="n">
        <x:v>0</x:v>
      </x:c>
      <x:c r="L671" s="28" t="n">
        <x:v>11</x:v>
      </x:c>
      <x:c r="M671" s="28" t="n">
        <x:v>0</x:v>
      </x:c>
      <x:c r="N671" s="28" t="n">
        <x:v>1.862645149230957e-9</x:v>
      </x:c>
      <x:c r="O671" s="28" t="n">
        <x:v>2.9802322387695312e-8</x:v>
      </x:c>
      <x:c r="P671" s="28" t="n">
        <x:v>0</x:v>
      </x:c>
      <x:c r="Q671" s="62" t="b">
        <x:v>1</x:v>
      </x:c>
      <x:c r="R671" s="28" t="n">
        <x:v>0</x:v>
      </x:c>
      <x:c r="S671" s="28" t="str">
        <x:v>594abb91a4581f03</x:v>
      </x:c>
    </x:row>
    <x:row r="672" ht="21" customHeight="1">
      <x:c r="A672" s="60" t="n">
        <x:v>0.62</x:v>
      </x:c>
      <x:c r="B672" s="28" t="str">
        <x:v>back_low</x:v>
      </x:c>
      <x:c r="C672" s="60" t="n">
        <x:v>0.65</x:v>
      </x:c>
      <x:c r="D672" s="60" t="n">
        <x:v>0.65</x:v>
      </x:c>
      <x:c r="E672" s="62" t="b">
        <x:v>1</x:v>
      </x:c>
      <x:c r="F672" s="62" t="b">
        <x:v>0</x:v>
      </x:c>
      <x:c r="G672" s="85" t="n">
        <x:v>50643.868431261966</x:v>
      </x:c>
      <x:c r="H672" s="85" t="n">
        <x:v>761010.8801463412</x:v>
      </x:c>
      <x:c r="I672" s="85" t="n">
        <x:v>48823019.87323338</x:v>
      </x:c>
      <x:c r="J672" s="85" t="n">
        <x:v>84000000.00000001</x:v>
      </x:c>
      <x:c r="K672" s="85" t="n">
        <x:v>0</x:v>
      </x:c>
      <x:c r="L672" s="28" t="n">
        <x:v>37</x:v>
      </x:c>
      <x:c r="M672" s="28" t="n">
        <x:v>25</x:v>
      </x:c>
      <x:c r="N672" s="28" t="n">
        <x:v>1.862645149230957e-9</x:v>
      </x:c>
      <x:c r="O672" s="28" t="n">
        <x:v>1.4901161193847656e-8</x:v>
      </x:c>
      <x:c r="P672" s="28" t="n">
        <x:v>0</x:v>
      </x:c>
      <x:c r="Q672" s="62" t="b">
        <x:v>1</x:v>
      </x:c>
      <x:c r="R672" s="28" t="n">
        <x:v>0</x:v>
      </x:c>
      <x:c r="S672" s="28" t="str">
        <x:v>bf40fc1b132803cc</x:v>
      </x:c>
    </x:row>
    <x:row r="673" ht="21" customHeight="1">
      <x:c r="A673" s="60" t="n">
        <x:v>0.62</x:v>
      </x:c>
      <x:c r="B673" s="28" t="str">
        <x:v>back_low</x:v>
      </x:c>
      <x:c r="C673" s="60" t="n">
        <x:v>0.7</x:v>
      </x:c>
      <x:c r="D673" s="60" t="n">
        <x:v>0.7</x:v>
      </x:c>
      <x:c r="E673" s="62" t="b">
        <x:v>1</x:v>
      </x:c>
      <x:c r="F673" s="62" t="b">
        <x:v>0</x:v>
      </x:c>
      <x:c r="G673" s="85" t="n">
        <x:v>703744.0374543762</x:v>
      </x:c>
      <x:c r="H673" s="85" t="n">
        <x:v>10599927.674698718</x:v>
      </x:c>
      <x:c r="I673" s="85" t="n">
        <x:v>49748295.69133655</x:v>
      </x:c>
      <x:c r="J673" s="85" t="n">
        <x:v>84000000.00000001</x:v>
      </x:c>
      <x:c r="K673" s="85" t="n">
        <x:v>0</x:v>
      </x:c>
      <x:c r="L673" s="28" t="n">
        <x:v>38</x:v>
      </x:c>
      <x:c r="M673" s="28" t="n">
        <x:v>30</x:v>
      </x:c>
      <x:c r="N673" s="28" t="n">
        <x:v>1.862645149230957e-9</x:v>
      </x:c>
      <x:c r="O673" s="28" t="n">
        <x:v>2.9802322387695312e-8</x:v>
      </x:c>
      <x:c r="P673" s="28" t="n">
        <x:v>0</x:v>
      </x:c>
      <x:c r="Q673" s="62" t="b">
        <x:v>1</x:v>
      </x:c>
      <x:c r="R673" s="28" t="n">
        <x:v>0</x:v>
      </x:c>
      <x:c r="S673" s="28" t="str">
        <x:v>076352e696f5bc91</x:v>
      </x:c>
    </x:row>
    <x:row r="674" ht="21" customHeight="1">
      <x:c r="A674" s="60" t="n">
        <x:v>0.62</x:v>
      </x:c>
      <x:c r="B674" s="28" t="str">
        <x:v>back_low</x:v>
      </x:c>
      <x:c r="C674" s="60" t="n">
        <x:v>0.75</x:v>
      </x:c>
      <x:c r="D674" s="60" t="n">
        <x:v>0.75</x:v>
      </x:c>
      <x:c r="E674" s="62" t="b">
        <x:v>1</x:v>
      </x:c>
      <x:c r="F674" s="62" t="b">
        <x:v>0</x:v>
      </x:c>
      <x:c r="G674" s="85" t="n">
        <x:v>1502197.2612720148</x:v>
      </x:c>
      <x:c r="H674" s="85" t="n">
        <x:v>20274837.315784235</x:v>
      </x:c>
      <x:c r="I674" s="85" t="n">
        <x:v>50736304.53677658</x:v>
      </x:c>
      <x:c r="J674" s="85" t="n">
        <x:v>84000000.00000001</x:v>
      </x:c>
      <x:c r="K674" s="85" t="n">
        <x:v>0</x:v>
      </x:c>
      <x:c r="L674" s="28" t="n">
        <x:v>39</x:v>
      </x:c>
      <x:c r="M674" s="28" t="n">
        <x:v>31</x:v>
      </x:c>
      <x:c r="N674" s="28" t="n">
        <x:v>1.862645149230957e-9</x:v>
      </x:c>
      <x:c r="O674" s="28" t="n">
        <x:v>2.9802322387695312e-8</x:v>
      </x:c>
      <x:c r="P674" s="28" t="n">
        <x:v>0</x:v>
      </x:c>
      <x:c r="Q674" s="62" t="b">
        <x:v>1</x:v>
      </x:c>
      <x:c r="R674" s="28" t="n">
        <x:v>0</x:v>
      </x:c>
      <x:c r="S674" s="28" t="str">
        <x:v>12d6610bdf080bf4</x:v>
      </x:c>
    </x:row>
    <x:row r="675" ht="21" customHeight="1">
      <x:c r="A675" s="60" t="n">
        <x:v>0.62</x:v>
      </x:c>
      <x:c r="B675" s="28" t="str">
        <x:v>back_low</x:v>
      </x:c>
      <x:c r="C675" s="60" t="n">
        <x:v>0.8</x:v>
      </x:c>
      <x:c r="D675" s="60" t="n">
        <x:v>0.8</x:v>
      </x:c>
      <x:c r="E675" s="62" t="b">
        <x:v>1</x:v>
      </x:c>
      <x:c r="F675" s="62" t="b">
        <x:v>0</x:v>
      </x:c>
      <x:c r="G675" s="85" t="n">
        <x:v>2351400.0336473226</x:v>
      </x:c>
      <x:c r="H675" s="85" t="n">
        <x:v>30667185.337106764</x:v>
      </x:c>
      <x:c r="I675" s="85" t="n">
        <x:v>50901705.49548406</x:v>
      </x:c>
      <x:c r="J675" s="85" t="n">
        <x:v>84000000.00000001</x:v>
      </x:c>
      <x:c r="K675" s="85" t="n">
        <x:v>0</x:v>
      </x:c>
      <x:c r="L675" s="28" t="n">
        <x:v>39</x:v>
      </x:c>
      <x:c r="M675" s="28" t="n">
        <x:v>32</x:v>
      </x:c>
      <x:c r="N675" s="28" t="n">
        <x:v>1.862645149230957e-9</x:v>
      </x:c>
      <x:c r="O675" s="28" t="n">
        <x:v>1.4901161193847656e-8</x:v>
      </x:c>
      <x:c r="P675" s="28" t="n">
        <x:v>0</x:v>
      </x:c>
      <x:c r="Q675" s="62" t="b">
        <x:v>1</x:v>
      </x:c>
      <x:c r="R675" s="28" t="n">
        <x:v>0</x:v>
      </x:c>
      <x:c r="S675" s="28" t="str">
        <x:v>11fbc49eca992caa</x:v>
      </x:c>
    </x:row>
    <x:row r="676" ht="21" customHeight="1">
      <x:c r="A676" s="60" t="n">
        <x:v>0.62</x:v>
      </x:c>
      <x:c r="B676" s="28" t="str">
        <x:v>back_low</x:v>
      </x:c>
      <x:c r="C676" s="60" t="n">
        <x:v>0.85</x:v>
      </x:c>
      <x:c r="D676" s="60" t="n">
        <x:v>0.85</x:v>
      </x:c>
      <x:c r="E676" s="62" t="b">
        <x:v>1</x:v>
      </x:c>
      <x:c r="F676" s="62" t="b">
        <x:v>0</x:v>
      </x:c>
      <x:c r="G676" s="85" t="n">
        <x:v>3372915.636291652</x:v>
      </x:c>
      <x:c r="H676" s="85" t="n">
        <x:v>40074082.56899315</x:v>
      </x:c>
      <x:c r="I676" s="85" t="n">
        <x:v>51761624.00131318</x:v>
      </x:c>
      <x:c r="J676" s="85" t="n">
        <x:v>84000000.00000001</x:v>
      </x:c>
      <x:c r="K676" s="85" t="n">
        <x:v>0</x:v>
      </x:c>
      <x:c r="L676" s="28" t="n">
        <x:v>40</x:v>
      </x:c>
      <x:c r="M676" s="28" t="n">
        <x:v>33</x:v>
      </x:c>
      <x:c r="N676" s="28" t="n">
        <x:v>1.862645149230957e-9</x:v>
      </x:c>
      <x:c r="O676" s="28" t="n">
        <x:v>2.9802322387695312e-8</x:v>
      </x:c>
      <x:c r="P676" s="28" t="n">
        <x:v>0</x:v>
      </x:c>
      <x:c r="Q676" s="62" t="b">
        <x:v>1</x:v>
      </x:c>
      <x:c r="R676" s="28" t="n">
        <x:v>0</x:v>
      </x:c>
      <x:c r="S676" s="28" t="str">
        <x:v>c2d17a21614d6c24</x:v>
      </x:c>
    </x:row>
    <x:row r="677" ht="21" customHeight="1">
      <x:c r="A677" s="60" t="n">
        <x:v>0.62</x:v>
      </x:c>
      <x:c r="B677" s="28" t="str">
        <x:v>back_low</x:v>
      </x:c>
      <x:c r="C677" s="60" t="n">
        <x:v>0.9</x:v>
      </x:c>
      <x:c r="D677" s="60" t="n">
        <x:v>0.8948658400492392</x:v>
      </x:c>
      <x:c r="E677" s="62" t="b">
        <x:v>0</x:v>
      </x:c>
      <x:c r="F677" s="62" t="b">
        <x:v>0</x:v>
      </x:c>
      <x:c r="G677" s="85" t="n">
        <x:v>5457999.158213869</x:v>
      </x:c>
      <x:c r="H677" s="85" t="n">
        <x:v>47855333.84775188</x:v>
      </x:c>
      <x:c r="I677" s="85" t="n">
        <x:v>51890984.482454084</x:v>
      </x:c>
      <x:c r="J677" s="85" t="n">
        <x:v>84000000.00000001</x:v>
      </x:c>
      <x:c r="K677" s="85" t="n">
        <x:v>0</x:v>
      </x:c>
      <x:c r="L677" s="28" t="n">
        <x:v>40</x:v>
      </x:c>
      <x:c r="M677" s="28" t="n">
        <x:v>34</x:v>
      </x:c>
      <x:c r="N677" s="28" t="n">
        <x:v>1.862645149230957e-9</x:v>
      </x:c>
      <x:c r="O677" s="28" t="n">
        <x:v>2.9802322387695312e-8</x:v>
      </x:c>
      <x:c r="P677" s="28" t="n">
        <x:v>0</x:v>
      </x:c>
      <x:c r="Q677" s="62" t="b">
        <x:v>1</x:v>
      </x:c>
      <x:c r="R677" s="28" t="n">
        <x:v>1540247.9852282405</x:v>
      </x:c>
      <x:c r="S677" s="28" t="str">
        <x:v>c2ece49933fb2849</x:v>
      </x:c>
    </x:row>
    <x:row r="678" ht="21" customHeight="1">
      <x:c r="A678" s="60" t="n">
        <x:v>0.62</x:v>
      </x:c>
      <x:c r="B678" s="28" t="str">
        <x:v>back_low</x:v>
      </x:c>
      <x:c r="C678" s="60" t="n">
        <x:v>0.95</x:v>
      </x:c>
      <x:c r="D678" s="60" t="n">
        <x:v>0.9083032015334562</x:v>
      </x:c>
      <x:c r="E678" s="62" t="b">
        <x:v>0</x:v>
      </x:c>
      <x:c r="F678" s="62" t="b">
        <x:v>0</x:v>
      </x:c>
      <x:c r="G678" s="85" t="n">
        <x:v>5708094.74832534</x:v>
      </x:c>
      <x:c r="H678" s="85" t="n">
        <x:v>50048153.52611759</x:v>
      </x:c>
      <x:c r="I678" s="85" t="n">
        <x:v>52857481.62203356</x:v>
      </x:c>
      <x:c r="J678" s="85" t="n">
        <x:v>84000000.00000001</x:v>
      </x:c>
      <x:c r="K678" s="85" t="n">
        <x:v>0</x:v>
      </x:c>
      <x:c r="L678" s="28" t="n">
        <x:v>41</x:v>
      </x:c>
      <x:c r="M678" s="28" t="n">
        <x:v>34</x:v>
      </x:c>
      <x:c r="N678" s="28" t="n">
        <x:v>1.862645149230957e-9</x:v>
      </x:c>
      <x:c r="O678" s="28" t="n">
        <x:v>2.9802322387695312e-8</x:v>
      </x:c>
      <x:c r="P678" s="28" t="n">
        <x:v>0</x:v>
      </x:c>
      <x:c r="Q678" s="62" t="b">
        <x:v>1</x:v>
      </x:c>
      <x:c r="R678" s="28" t="n">
        <x:v>12509039.539963126</x:v>
      </x:c>
      <x:c r="S678" s="28" t="str">
        <x:v>90f18e6229469ab0</x:v>
      </x:c>
    </x:row>
    <x:row r="679" ht="21" customHeight="1">
      <x:c r="A679" s="60" t="n">
        <x:v>0.62</x:v>
      </x:c>
      <x:c r="B679" s="28" t="str">
        <x:v>back_low</x:v>
      </x:c>
      <x:c r="C679" s="60" t="n">
        <x:v>1</x:v>
      </x:c>
      <x:c r="D679" s="60" t="n">
        <x:v>0.920601109498915</x:v>
      </x:c>
      <x:c r="E679" s="62" t="b">
        <x:v>0</x:v>
      </x:c>
      <x:c r="F679" s="62" t="b">
        <x:v>0</x:v>
      </x:c>
      <x:c r="G679" s="85" t="n">
        <x:v>6260485.3987002615</x:v>
      </x:c>
      <x:c r="H679" s="85" t="n">
        <x:v>52679465.39699831</x:v>
      </x:c>
      <x:c r="I679" s="85" t="n">
        <x:v>52953342.836315066</x:v>
      </x:c>
      <x:c r="J679" s="85" t="n">
        <x:v>84000000.00000001</x:v>
      </x:c>
      <x:c r="K679" s="85" t="n">
        <x:v>0</x:v>
      </x:c>
      <x:c r="L679" s="28" t="n">
        <x:v>41</x:v>
      </x:c>
      <x:c r="M679" s="28" t="n">
        <x:v>35</x:v>
      </x:c>
      <x:c r="N679" s="28" t="n">
        <x:v>1.862645149230957e-9</x:v>
      </x:c>
      <x:c r="O679" s="28" t="n">
        <x:v>2.9802322387695312e-8</x:v>
      </x:c>
      <x:c r="P679" s="28" t="n">
        <x:v>0</x:v>
      </x:c>
      <x:c r="Q679" s="62" t="b">
        <x:v>1</x:v>
      </x:c>
      <x:c r="R679" s="28" t="n">
        <x:v>23819667.150325477</x:v>
      </x:c>
      <x:c r="S679" s="28" t="str">
        <x:v>0fda72496f16480a</x:v>
      </x:c>
    </x:row>
    <x:row r="680" ht="21" customHeight="1">
      <x:c r="A680" s="60" t="n">
        <x:v>0.62</x:v>
      </x:c>
      <x:c r="B680" s="28" t="str">
        <x:v>back_high</x:v>
      </x:c>
      <x:c r="C680" s="60" t="n">
        <x:v>0</x:v>
      </x:c>
      <x:c r="D680" s="60" t="n">
        <x:v>0</x:v>
      </x:c>
      <x:c r="E680" s="62" t="b">
        <x:v>1</x:v>
      </x:c>
      <x:c r="F680" s="62" t="b">
        <x:v>1</x:v>
      </x:c>
      <x:c r="G680" s="85" t="n">
        <x:v>0</x:v>
      </x:c>
      <x:c r="H680" s="85" t="n">
        <x:v>0</x:v>
      </x:c>
      <x:c r="I680" s="85" t="n">
        <x:v>0</x:v>
      </x:c>
      <x:c r="J680" s="85" t="n">
        <x:v>0</x:v>
      </x:c>
      <x:c r="K680" s="85" t="n">
        <x:v>36100366.080136925</x:v>
      </x:c>
      <x:c r="L680" s="28" t="n">
        <x:v>0</x:v>
      </x:c>
      <x:c r="M680" s="28" t="n">
        <x:v>0</x:v>
      </x:c>
      <x:c r="N680" s="28" t="n">
        <x:v>3.725290298461914e-9</x:v>
      </x:c>
      <x:c r="O680" s="28" t="n">
        <x:v>0</x:v>
      </x:c>
      <x:c r="P680" s="28" t="n">
        <x:v>0</x:v>
      </x:c>
      <x:c r="Q680" s="62" t="b">
        <x:v>1</x:v>
      </x:c>
      <x:c r="R680" s="28" t="n">
        <x:v>0</x:v>
      </x:c>
      <x:c r="S680" s="28" t="str">
        <x:v>420889b2946810c3</x:v>
      </x:c>
    </x:row>
    <x:row r="681" ht="21" customHeight="1">
      <x:c r="A681" s="60" t="n">
        <x:v>0.62</x:v>
      </x:c>
      <x:c r="B681" s="28" t="str">
        <x:v>back_high</x:v>
      </x:c>
      <x:c r="C681" s="60" t="n">
        <x:v>0.05</x:v>
      </x:c>
      <x:c r="D681" s="60" t="n">
        <x:v>0.05</x:v>
      </x:c>
      <x:c r="E681" s="62" t="b">
        <x:v>1</x:v>
      </x:c>
      <x:c r="F681" s="62" t="b">
        <x:v>1</x:v>
      </x:c>
      <x:c r="G681" s="85" t="n">
        <x:v>0</x:v>
      </x:c>
      <x:c r="H681" s="85" t="n">
        <x:v>0</x:v>
      </x:c>
      <x:c r="I681" s="85" t="n">
        <x:v>0</x:v>
      </x:c>
      <x:c r="J681" s="85" t="n">
        <x:v>0</x:v>
      </x:c>
      <x:c r="K681" s="85" t="n">
        <x:v>22986692.349867716</x:v>
      </x:c>
      <x:c r="L681" s="28" t="n">
        <x:v>0</x:v>
      </x:c>
      <x:c r="M681" s="28" t="n">
        <x:v>0</x:v>
      </x:c>
      <x:c r="N681" s="28" t="n">
        <x:v>3.725290298461914e-9</x:v>
      </x:c>
      <x:c r="O681" s="28" t="n">
        <x:v>5.960464477539063e-8</x:v>
      </x:c>
      <x:c r="P681" s="28" t="n">
        <x:v>0</x:v>
      </x:c>
      <x:c r="Q681" s="62" t="b">
        <x:v>1</x:v>
      </x:c>
      <x:c r="R681" s="28" t="n">
        <x:v>0</x:v>
      </x:c>
      <x:c r="S681" s="28" t="str">
        <x:v>b47ff385f5c5e111</x:v>
      </x:c>
    </x:row>
    <x:row r="682" ht="21" customHeight="1">
      <x:c r="A682" s="60" t="n">
        <x:v>0.62</x:v>
      </x:c>
      <x:c r="B682" s="28" t="str">
        <x:v>back_high</x:v>
      </x:c>
      <x:c r="C682" s="60" t="n">
        <x:v>0.1</x:v>
      </x:c>
      <x:c r="D682" s="60" t="n">
        <x:v>0.1</x:v>
      </x:c>
      <x:c r="E682" s="62" t="b">
        <x:v>1</x:v>
      </x:c>
      <x:c r="F682" s="62" t="b">
        <x:v>1</x:v>
      </x:c>
      <x:c r="G682" s="85" t="n">
        <x:v>0</x:v>
      </x:c>
      <x:c r="H682" s="85" t="n">
        <x:v>0</x:v>
      </x:c>
      <x:c r="I682" s="85" t="n">
        <x:v>0</x:v>
      </x:c>
      <x:c r="J682" s="85" t="n">
        <x:v>0</x:v>
      </x:c>
      <x:c r="K682" s="85" t="n">
        <x:v>9740091.847715762</x:v>
      </x:c>
      <x:c r="L682" s="28" t="n">
        <x:v>0</x:v>
      </x:c>
      <x:c r="M682" s="28" t="n">
        <x:v>0</x:v>
      </x:c>
      <x:c r="N682" s="28" t="n">
        <x:v>3.725290298461914e-9</x:v>
      </x:c>
      <x:c r="O682" s="28" t="n">
        <x:v>5.960464477539063e-8</x:v>
      </x:c>
      <x:c r="P682" s="28" t="n">
        <x:v>0</x:v>
      </x:c>
      <x:c r="Q682" s="62" t="b">
        <x:v>1</x:v>
      </x:c>
      <x:c r="R682" s="28" t="n">
        <x:v>0</x:v>
      </x:c>
      <x:c r="S682" s="28" t="str">
        <x:v>5131e76a36de9138</x:v>
      </x:c>
    </x:row>
    <x:row r="683" ht="21" customHeight="1">
      <x:c r="A683" s="60" t="n">
        <x:v>0.62</x:v>
      </x:c>
      <x:c r="B683" s="28" t="str">
        <x:v>back_high</x:v>
      </x:c>
      <x:c r="C683" s="60" t="n">
        <x:v>0.15</x:v>
      </x:c>
      <x:c r="D683" s="60" t="n">
        <x:v>0.15</x:v>
      </x:c>
      <x:c r="E683" s="62" t="b">
        <x:v>1</x:v>
      </x:c>
      <x:c r="F683" s="62" t="b">
        <x:v>1</x:v>
      </x:c>
      <x:c r="G683" s="85" t="n">
        <x:v>0</x:v>
      </x:c>
      <x:c r="H683" s="85" t="n">
        <x:v>0</x:v>
      </x:c>
      <x:c r="I683" s="85" t="n">
        <x:v>4568530.406116416</x:v>
      </x:c>
      <x:c r="J683" s="85" t="n">
        <x:v>0</x:v>
      </x:c>
      <x:c r="K683" s="85" t="n">
        <x:v>1822650.4409904403</x:v>
      </x:c>
      <x:c r="L683" s="28" t="n">
        <x:v>0</x:v>
      </x:c>
      <x:c r="M683" s="28" t="n">
        <x:v>0</x:v>
      </x:c>
      <x:c r="N683" s="28" t="n">
        <x:v>3.725290298461914e-9</x:v>
      </x:c>
      <x:c r="O683" s="28" t="n">
        <x:v>5.960464477539063e-8</x:v>
      </x:c>
      <x:c r="P683" s="28" t="n">
        <x:v>0</x:v>
      </x:c>
      <x:c r="Q683" s="62" t="b">
        <x:v>1</x:v>
      </x:c>
      <x:c r="R683" s="28" t="n">
        <x:v>0</x:v>
      </x:c>
      <x:c r="S683" s="28" t="str">
        <x:v>4dcf10fbd3a91e72</x:v>
      </x:c>
    </x:row>
    <x:row r="684" ht="21" customHeight="1">
      <x:c r="A684" s="60" t="n">
        <x:v>0.62</x:v>
      </x:c>
      <x:c r="B684" s="28" t="str">
        <x:v>back_high</x:v>
      </x:c>
      <x:c r="C684" s="60" t="n">
        <x:v>0.2</x:v>
      </x:c>
      <x:c r="D684" s="60" t="n">
        <x:v>0.2</x:v>
      </x:c>
      <x:c r="E684" s="62" t="b">
        <x:v>1</x:v>
      </x:c>
      <x:c r="F684" s="62" t="b">
        <x:v>1</x:v>
      </x:c>
      <x:c r="G684" s="85" t="n">
        <x:v>0</x:v>
      </x:c>
      <x:c r="H684" s="85" t="n">
        <x:v>0</x:v>
      </x:c>
      <x:c r="I684" s="85" t="n">
        <x:v>14796618.273781747</x:v>
      </x:c>
      <x:c r="J684" s="85" t="n">
        <x:v>6341080.834812444</x:v>
      </x:c>
      <x:c r="K684" s="85" t="n">
        <x:v>1440557.4559448804</x:v>
      </x:c>
      <x:c r="L684" s="28" t="n">
        <x:v>0</x:v>
      </x:c>
      <x:c r="M684" s="28" t="n">
        <x:v>0</x:v>
      </x:c>
      <x:c r="N684" s="28" t="n">
        <x:v>1.862645149230957e-9</x:v>
      </x:c>
      <x:c r="O684" s="28" t="n">
        <x:v>2.9802322387695312e-8</x:v>
      </x:c>
      <x:c r="P684" s="28" t="n">
        <x:v>0</x:v>
      </x:c>
      <x:c r="Q684" s="62" t="b">
        <x:v>1</x:v>
      </x:c>
      <x:c r="R684" s="28" t="n">
        <x:v>0</x:v>
      </x:c>
      <x:c r="S684" s="28" t="str">
        <x:v>e639e94925820197</x:v>
      </x:c>
    </x:row>
    <x:row r="685" ht="21" customHeight="1">
      <x:c r="A685" s="60" t="n">
        <x:v>0.62</x:v>
      </x:c>
      <x:c r="B685" s="28" t="str">
        <x:v>back_high</x:v>
      </x:c>
      <x:c r="C685" s="60" t="n">
        <x:v>0.25</x:v>
      </x:c>
      <x:c r="D685" s="60" t="n">
        <x:v>0.25</x:v>
      </x:c>
      <x:c r="E685" s="62" t="b">
        <x:v>1</x:v>
      </x:c>
      <x:c r="F685" s="62" t="b">
        <x:v>1</x:v>
      </x:c>
      <x:c r="G685" s="85" t="n">
        <x:v>0</x:v>
      </x:c>
      <x:c r="H685" s="85" t="n">
        <x:v>0</x:v>
      </x:c>
      <x:c r="I685" s="85" t="n">
        <x:v>23620275.382992797</x:v>
      </x:c>
      <x:c r="J685" s="85" t="n">
        <x:v>15426351.043515662</x:v>
      </x:c>
      <x:c r="K685" s="85" t="n">
        <x:v>1131292.063531087</x:v>
      </x:c>
      <x:c r="L685" s="28" t="n">
        <x:v>0</x:v>
      </x:c>
      <x:c r="M685" s="28" t="n">
        <x:v>0</x:v>
      </x:c>
      <x:c r="N685" s="28" t="n">
        <x:v>3.725290298461914e-9</x:v>
      </x:c>
      <x:c r="O685" s="28" t="n">
        <x:v>2.9802322387695312e-8</x:v>
      </x:c>
      <x:c r="P685" s="28" t="n">
        <x:v>0</x:v>
      </x:c>
      <x:c r="Q685" s="62" t="b">
        <x:v>1</x:v>
      </x:c>
      <x:c r="R685" s="28" t="n">
        <x:v>0</x:v>
      </x:c>
      <x:c r="S685" s="28" t="str">
        <x:v>3b1928f969a30c67</x:v>
      </x:c>
    </x:row>
    <x:row r="686" ht="21" customHeight="1">
      <x:c r="A686" s="60" t="n">
        <x:v>0.62</x:v>
      </x:c>
      <x:c r="B686" s="28" t="str">
        <x:v>back_high</x:v>
      </x:c>
      <x:c r="C686" s="60" t="n">
        <x:v>0.3</x:v>
      </x:c>
      <x:c r="D686" s="60" t="n">
        <x:v>0.3</x:v>
      </x:c>
      <x:c r="E686" s="62" t="b">
        <x:v>1</x:v>
      </x:c>
      <x:c r="F686" s="62" t="b">
        <x:v>1</x:v>
      </x:c>
      <x:c r="G686" s="85" t="n">
        <x:v>0</x:v>
      </x:c>
      <x:c r="H686" s="85" t="n">
        <x:v>0</x:v>
      </x:c>
      <x:c r="I686" s="85" t="n">
        <x:v>32467086.732733183</x:v>
      </x:c>
      <x:c r="J686" s="85" t="n">
        <x:v>24511621.252218716</x:v>
      </x:c>
      <x:c r="K686" s="85" t="n">
        <x:v>920359.4524017</x:v>
      </x:c>
      <x:c r="L686" s="28" t="n">
        <x:v>0</x:v>
      </x:c>
      <x:c r="M686" s="28" t="n">
        <x:v>0</x:v>
      </x:c>
      <x:c r="N686" s="28" t="n">
        <x:v>3.725290298461914e-9</x:v>
      </x:c>
      <x:c r="O686" s="28" t="n">
        <x:v>2.9802322387695312e-8</x:v>
      </x:c>
      <x:c r="P686" s="28" t="n">
        <x:v>0</x:v>
      </x:c>
      <x:c r="Q686" s="62" t="b">
        <x:v>1</x:v>
      </x:c>
      <x:c r="R686" s="28" t="n">
        <x:v>0</x:v>
      </x:c>
      <x:c r="S686" s="28" t="str">
        <x:v>51fa3404a371a247</x:v>
      </x:c>
    </x:row>
    <x:row r="687" ht="21" customHeight="1">
      <x:c r="A687" s="60" t="n">
        <x:v>0.62</x:v>
      </x:c>
      <x:c r="B687" s="28" t="str">
        <x:v>back_high</x:v>
      </x:c>
      <x:c r="C687" s="60" t="n">
        <x:v>0.35</x:v>
      </x:c>
      <x:c r="D687" s="60" t="n">
        <x:v>0.35</x:v>
      </x:c>
      <x:c r="E687" s="62" t="b">
        <x:v>1</x:v>
      </x:c>
      <x:c r="F687" s="62" t="b">
        <x:v>1</x:v>
      </x:c>
      <x:c r="G687" s="85" t="n">
        <x:v>0</x:v>
      </x:c>
      <x:c r="H687" s="85" t="n">
        <x:v>0</x:v>
      </x:c>
      <x:c r="I687" s="85" t="n">
        <x:v>41466649.72209284</x:v>
      </x:c>
      <x:c r="J687" s="85" t="n">
        <x:v>33596891.460921794</x:v>
      </x:c>
      <x:c r="K687" s="85" t="n">
        <x:v>785994.71253013</x:v>
      </x:c>
      <x:c r="L687" s="28" t="n">
        <x:v>0</x:v>
      </x:c>
      <x:c r="M687" s="28" t="n">
        <x:v>0</x:v>
      </x:c>
      <x:c r="N687" s="28" t="n">
        <x:v>1.862645149230957e-9</x:v>
      </x:c>
      <x:c r="O687" s="28" t="n">
        <x:v>2.9802322387695312e-8</x:v>
      </x:c>
      <x:c r="P687" s="28" t="n">
        <x:v>0</x:v>
      </x:c>
      <x:c r="Q687" s="62" t="b">
        <x:v>1</x:v>
      </x:c>
      <x:c r="R687" s="28" t="n">
        <x:v>0</x:v>
      </x:c>
      <x:c r="S687" s="28" t="str">
        <x:v>59b6c376ec4a5414</x:v>
      </x:c>
    </x:row>
    <x:row r="688" ht="21" customHeight="1">
      <x:c r="A688" s="60" t="n">
        <x:v>0.62</x:v>
      </x:c>
      <x:c r="B688" s="28" t="str">
        <x:v>back_high</x:v>
      </x:c>
      <x:c r="C688" s="60" t="n">
        <x:v>0.4</x:v>
      </x:c>
      <x:c r="D688" s="60" t="n">
        <x:v>0.4</x:v>
      </x:c>
      <x:c r="E688" s="62" t="b">
        <x:v>1</x:v>
      </x:c>
      <x:c r="F688" s="62" t="b">
        <x:v>1</x:v>
      </x:c>
      <x:c r="G688" s="85" t="n">
        <x:v>0</x:v>
      </x:c>
      <x:c r="H688" s="85" t="n">
        <x:v>0</x:v>
      </x:c>
      <x:c r="I688" s="85" t="n">
        <x:v>50440561.203502156</x:v>
      </x:c>
      <x:c r="J688" s="85" t="n">
        <x:v>42682161.66962496</x:v>
      </x:c>
      <x:c r="K688" s="85" t="n">
        <x:v>689903.1714630212</x:v>
      </x:c>
      <x:c r="L688" s="28" t="n">
        <x:v>0</x:v>
      </x:c>
      <x:c r="M688" s="28" t="n">
        <x:v>0</x:v>
      </x:c>
      <x:c r="N688" s="28" t="n">
        <x:v>3.725290298461914e-9</x:v>
      </x:c>
      <x:c r="O688" s="28" t="n">
        <x:v>2.9802322387695312e-8</x:v>
      </x:c>
      <x:c r="P688" s="28" t="n">
        <x:v>0</x:v>
      </x:c>
      <x:c r="Q688" s="62" t="b">
        <x:v>1</x:v>
      </x:c>
      <x:c r="R688" s="28" t="n">
        <x:v>0</x:v>
      </x:c>
      <x:c r="S688" s="28" t="str">
        <x:v>d82a7e2248b2dc55</x:v>
      </x:c>
    </x:row>
    <x:row r="689" ht="21" customHeight="1">
      <x:c r="A689" s="60" t="n">
        <x:v>0.62</x:v>
      </x:c>
      <x:c r="B689" s="28" t="str">
        <x:v>back_high</x:v>
      </x:c>
      <x:c r="C689" s="60" t="n">
        <x:v>0.45</x:v>
      </x:c>
      <x:c r="D689" s="60" t="n">
        <x:v>0.45</x:v>
      </x:c>
      <x:c r="E689" s="62" t="b">
        <x:v>1</x:v>
      </x:c>
      <x:c r="F689" s="62" t="b">
        <x:v>1</x:v>
      </x:c>
      <x:c r="G689" s="85" t="n">
        <x:v>0</x:v>
      </x:c>
      <x:c r="H689" s="85" t="n">
        <x:v>0</x:v>
      </x:c>
      <x:c r="I689" s="85" t="n">
        <x:v>59594183.24268234</x:v>
      </x:c>
      <x:c r="J689" s="85" t="n">
        <x:v>51341175.22311252</x:v>
      </x:c>
      <x:c r="K689" s="85" t="n">
        <x:v>593811.63039588</x:v>
      </x:c>
      <x:c r="L689" s="28" t="n">
        <x:v>1</x:v>
      </x:c>
      <x:c r="M689" s="28" t="n">
        <x:v>0</x:v>
      </x:c>
      <x:c r="N689" s="28" t="n">
        <x:v>3.725290298461914e-9</x:v>
      </x:c>
      <x:c r="O689" s="28" t="n">
        <x:v>1.4901161193847656e-8</x:v>
      </x:c>
      <x:c r="P689" s="28" t="n">
        <x:v>0</x:v>
      </x:c>
      <x:c r="Q689" s="62" t="b">
        <x:v>1</x:v>
      </x:c>
      <x:c r="R689" s="28" t="n">
        <x:v>0</x:v>
      </x:c>
      <x:c r="S689" s="28" t="str">
        <x:v>eeb31edffd94e1b0</x:v>
      </x:c>
    </x:row>
    <x:row r="690" ht="21" customHeight="1">
      <x:c r="A690" s="60" t="n">
        <x:v>0.62</x:v>
      </x:c>
      <x:c r="B690" s="28" t="str">
        <x:v>back_high</x:v>
      </x:c>
      <x:c r="C690" s="60" t="n">
        <x:v>0.5</x:v>
      </x:c>
      <x:c r="D690" s="60" t="n">
        <x:v>0.5</x:v>
      </x:c>
      <x:c r="E690" s="62" t="b">
        <x:v>1</x:v>
      </x:c>
      <x:c r="F690" s="62" t="b">
        <x:v>1</x:v>
      </x:c>
      <x:c r="G690" s="85" t="n">
        <x:v>0</x:v>
      </x:c>
      <x:c r="H690" s="85" t="n">
        <x:v>0</x:v>
      </x:c>
      <x:c r="I690" s="85" t="n">
        <x:v>69019235.60727412</x:v>
      </x:c>
      <x:c r="J690" s="85" t="n">
        <x:v>58681405.8758618</x:v>
      </x:c>
      <x:c r="K690" s="85" t="n">
        <x:v>497720.08932875446</x:v>
      </x:c>
      <x:c r="L690" s="28" t="n">
        <x:v>5</x:v>
      </x:c>
      <x:c r="M690" s="28" t="n">
        <x:v>1</x:v>
      </x:c>
      <x:c r="N690" s="28" t="n">
        <x:v>3.725290298461914e-9</x:v>
      </x:c>
      <x:c r="O690" s="28" t="n">
        <x:v>2.9802322387695312e-8</x:v>
      </x:c>
      <x:c r="P690" s="28" t="n">
        <x:v>0</x:v>
      </x:c>
      <x:c r="Q690" s="62" t="b">
        <x:v>1</x:v>
      </x:c>
      <x:c r="R690" s="28" t="n">
        <x:v>0</x:v>
      </x:c>
      <x:c r="S690" s="28" t="str">
        <x:v>da39c9e50adcdced</x:v>
      </x:c>
    </x:row>
    <x:row r="691" ht="21" customHeight="1">
      <x:c r="A691" s="60" t="n">
        <x:v>0.62</x:v>
      </x:c>
      <x:c r="B691" s="28" t="str">
        <x:v>back_high</x:v>
      </x:c>
      <x:c r="C691" s="60" t="n">
        <x:v>0.55</x:v>
      </x:c>
      <x:c r="D691" s="60" t="n">
        <x:v>0.55</x:v>
      </x:c>
      <x:c r="E691" s="62" t="b">
        <x:v>1</x:v>
      </x:c>
      <x:c r="F691" s="62" t="b">
        <x:v>1</x:v>
      </x:c>
      <x:c r="G691" s="85" t="n">
        <x:v>0</x:v>
      </x:c>
      <x:c r="H691" s="85" t="n">
        <x:v>0</x:v>
      </x:c>
      <x:c r="I691" s="85" t="n">
        <x:v>78317060.47070037</x:v>
      </x:c>
      <x:c r="J691" s="85" t="n">
        <x:v>65706018.05426284</x:v>
      </x:c>
      <x:c r="K691" s="85" t="n">
        <x:v>404150.74880410347</x:v>
      </x:c>
      <x:c r="L691" s="28" t="n">
        <x:v>9</x:v>
      </x:c>
      <x:c r="M691" s="28" t="n">
        <x:v>4</x:v>
      </x:c>
      <x:c r="N691" s="28" t="n">
        <x:v>3.725290298461914e-9</x:v>
      </x:c>
      <x:c r="O691" s="28" t="n">
        <x:v>2.9802322387695312e-8</x:v>
      </x:c>
      <x:c r="P691" s="28" t="n">
        <x:v>0</x:v>
      </x:c>
      <x:c r="Q691" s="62" t="b">
        <x:v>1</x:v>
      </x:c>
      <x:c r="R691" s="28" t="n">
        <x:v>0</x:v>
      </x:c>
      <x:c r="S691" s="28" t="str">
        <x:v>bcade7af65b1b6e7</x:v>
      </x:c>
    </x:row>
    <x:row r="692" ht="21" customHeight="1">
      <x:c r="A692" s="60" t="n">
        <x:v>0.62</x:v>
      </x:c>
      <x:c r="B692" s="28" t="str">
        <x:v>back_high</x:v>
      </x:c>
      <x:c r="C692" s="60" t="n">
        <x:v>0.6</x:v>
      </x:c>
      <x:c r="D692" s="60" t="n">
        <x:v>0.6</x:v>
      </x:c>
      <x:c r="E692" s="62" t="b">
        <x:v>1</x:v>
      </x:c>
      <x:c r="F692" s="62" t="b">
        <x:v>1</x:v>
      </x:c>
      <x:c r="G692" s="85" t="n">
        <x:v>0</x:v>
      </x:c>
      <x:c r="H692" s="85" t="n">
        <x:v>0</x:v>
      </x:c>
      <x:c r="I692" s="85" t="n">
        <x:v>86992838.32833497</x:v>
      </x:c>
      <x:c r="J692" s="85" t="n">
        <x:v>75414430.26262718</x:v>
      </x:c>
      <x:c r="K692" s="85" t="n">
        <x:v>375135.0571013625</x:v>
      </x:c>
      <x:c r="L692" s="28" t="n">
        <x:v>11</x:v>
      </x:c>
      <x:c r="M692" s="28" t="n">
        <x:v>8</x:v>
      </x:c>
      <x:c r="N692" s="28" t="n">
        <x:v>1.862645149230957e-9</x:v>
      </x:c>
      <x:c r="O692" s="28" t="n">
        <x:v>2.9802322387695312e-8</x:v>
      </x:c>
      <x:c r="P692" s="28" t="n">
        <x:v>0</x:v>
      </x:c>
      <x:c r="Q692" s="62" t="b">
        <x:v>1</x:v>
      </x:c>
      <x:c r="R692" s="28" t="n">
        <x:v>0</x:v>
      </x:c>
      <x:c r="S692" s="28" t="str">
        <x:v>9f029ff363164419</x:v>
      </x:c>
    </x:row>
    <x:row r="693" ht="21" customHeight="1">
      <x:c r="A693" s="60" t="n">
        <x:v>0.62</x:v>
      </x:c>
      <x:c r="B693" s="28" t="str">
        <x:v>back_high</x:v>
      </x:c>
      <x:c r="C693" s="60" t="n">
        <x:v>0.65</x:v>
      </x:c>
      <x:c r="D693" s="60" t="n">
        <x:v>0.65</x:v>
      </x:c>
      <x:c r="E693" s="62" t="b">
        <x:v>1</x:v>
      </x:c>
      <x:c r="F693" s="62" t="b">
        <x:v>0</x:v>
      </x:c>
      <x:c r="G693" s="85" t="n">
        <x:v>527039.3303727682</x:v>
      </x:c>
      <x:c r="H693" s="85" t="n">
        <x:v>2024636.0557524236</x:v>
      </x:c>
      <x:c r="I693" s="85" t="n">
        <x:v>94246751.81513229</x:v>
      </x:c>
      <x:c r="J693" s="85" t="n">
        <x:v>84000000.00000001</x:v>
      </x:c>
      <x:c r="K693" s="85" t="n">
        <x:v>346119.3653986319</x:v>
      </x:c>
      <x:c r="L693" s="28" t="n">
        <x:v>37</x:v>
      </x:c>
      <x:c r="M693" s="28" t="n">
        <x:v>33</x:v>
      </x:c>
      <x:c r="N693" s="28" t="n">
        <x:v>3.725290298461914e-9</x:v>
      </x:c>
      <x:c r="O693" s="28" t="n">
        <x:v>1.4901161193847656e-8</x:v>
      </x:c>
      <x:c r="P693" s="28" t="n">
        <x:v>0</x:v>
      </x:c>
      <x:c r="Q693" s="62" t="b">
        <x:v>1</x:v>
      </x:c>
      <x:c r="R693" s="28" t="n">
        <x:v>0</x:v>
      </x:c>
      <x:c r="S693" s="28" t="str">
        <x:v>08a0cc9eeb37793a</x:v>
      </x:c>
    </x:row>
    <x:row r="694" ht="21" customHeight="1">
      <x:c r="A694" s="60" t="n">
        <x:v>0.62</x:v>
      </x:c>
      <x:c r="B694" s="28" t="str">
        <x:v>back_high</x:v>
      </x:c>
      <x:c r="C694" s="60" t="n">
        <x:v>0.7</x:v>
      </x:c>
      <x:c r="D694" s="60" t="n">
        <x:v>0.7</x:v>
      </x:c>
      <x:c r="E694" s="62" t="b">
        <x:v>1</x:v>
      </x:c>
      <x:c r="F694" s="62" t="b">
        <x:v>0</x:v>
      </x:c>
      <x:c r="G694" s="85" t="n">
        <x:v>4230777.195257051</x:v>
      </x:c>
      <x:c r="H694" s="85" t="n">
        <x:v>14310487.937925152</x:v>
      </x:c>
      <x:c r="I694" s="85" t="n">
        <x:v>95928593.2778323</x:v>
      </x:c>
      <x:c r="J694" s="85" t="n">
        <x:v>84000000.00000001</x:v>
      </x:c>
      <x:c r="K694" s="85" t="n">
        <x:v>317103.67369589</x:v>
      </x:c>
      <x:c r="L694" s="28" t="n">
        <x:v>38</x:v>
      </x:c>
      <x:c r="M694" s="28" t="n">
        <x:v>34</x:v>
      </x:c>
      <x:c r="N694" s="28" t="n">
        <x:v>1.862645149230957e-9</x:v>
      </x:c>
      <x:c r="O694" s="28" t="n">
        <x:v>2.9802322387695312e-8</x:v>
      </x:c>
      <x:c r="P694" s="28" t="n">
        <x:v>0</x:v>
      </x:c>
      <x:c r="Q694" s="62" t="b">
        <x:v>1</x:v>
      </x:c>
      <x:c r="R694" s="28" t="n">
        <x:v>0</x:v>
      </x:c>
      <x:c r="S694" s="28" t="str">
        <x:v>066e01a19a7bea2a</x:v>
      </x:c>
    </x:row>
    <x:row r="695" ht="21" customHeight="1">
      <x:c r="A695" s="60" t="n">
        <x:v>0.62</x:v>
      </x:c>
      <x:c r="B695" s="28" t="str">
        <x:v>back_high</x:v>
      </x:c>
      <x:c r="C695" s="60" t="n">
        <x:v>0.75</x:v>
      </x:c>
      <x:c r="D695" s="60" t="n">
        <x:v>0.75</x:v>
      </x:c>
      <x:c r="E695" s="62" t="b">
        <x:v>1</x:v>
      </x:c>
      <x:c r="F695" s="62" t="b">
        <x:v>0</x:v>
      </x:c>
      <x:c r="G695" s="85" t="n">
        <x:v>8288349.525523238</x:v>
      </x:c>
      <x:c r="H695" s="85" t="n">
        <x:v>25799834.85414537</x:v>
      </x:c>
      <x:c r="I695" s="85" t="n">
        <x:v>97676417.74960952</x:v>
      </x:c>
      <x:c r="J695" s="85" t="n">
        <x:v>84000000.00000001</x:v>
      </x:c>
      <x:c r="K695" s="85" t="n">
        <x:v>288087.98199313885</x:v>
      </x:c>
      <x:c r="L695" s="28" t="n">
        <x:v>39</x:v>
      </x:c>
      <x:c r="M695" s="28" t="n">
        <x:v>35</x:v>
      </x:c>
      <x:c r="N695" s="28" t="n">
        <x:v>1.862645149230957e-9</x:v>
      </x:c>
      <x:c r="O695" s="28" t="n">
        <x:v>2.9802322387695312e-8</x:v>
      </x:c>
      <x:c r="P695" s="28" t="n">
        <x:v>0</x:v>
      </x:c>
      <x:c r="Q695" s="62" t="b">
        <x:v>1</x:v>
      </x:c>
      <x:c r="R695" s="28" t="n">
        <x:v>0</x:v>
      </x:c>
      <x:c r="S695" s="28" t="str">
        <x:v>5a863052861d5e26</x:v>
      </x:c>
    </x:row>
    <x:row r="696" ht="21" customHeight="1">
      <x:c r="A696" s="60" t="n">
        <x:v>0.62</x:v>
      </x:c>
      <x:c r="B696" s="28" t="str">
        <x:v>back_high</x:v>
      </x:c>
      <x:c r="C696" s="60" t="n">
        <x:v>0.8</x:v>
      </x:c>
      <x:c r="D696" s="60" t="n">
        <x:v>0.8</x:v>
      </x:c>
      <x:c r="E696" s="62" t="b">
        <x:v>1</x:v>
      </x:c>
      <x:c r="F696" s="62" t="b">
        <x:v>0</x:v>
      </x:c>
      <x:c r="G696" s="85" t="n">
        <x:v>12879534.268115325</x:v>
      </x:c>
      <x:c r="H696" s="85" t="n">
        <x:v>38927392.33890523</x:v>
      </x:c>
      <x:c r="I696" s="85" t="n">
        <x:v>98119306.91885288</x:v>
      </x:c>
      <x:c r="J696" s="85" t="n">
        <x:v>84000000.00000001</x:v>
      </x:c>
      <x:c r="K696" s="85" t="n">
        <x:v>259072.29029040912</x:v>
      </x:c>
      <x:c r="L696" s="28" t="n">
        <x:v>39</x:v>
      </x:c>
      <x:c r="M696" s="28" t="n">
        <x:v>36</x:v>
      </x:c>
      <x:c r="N696" s="28" t="n">
        <x:v>1.862645149230957e-9</x:v>
      </x:c>
      <x:c r="O696" s="28" t="n">
        <x:v>1.4901161193847656e-8</x:v>
      </x:c>
      <x:c r="P696" s="28" t="n">
        <x:v>0</x:v>
      </x:c>
      <x:c r="Q696" s="62" t="b">
        <x:v>1</x:v>
      </x:c>
      <x:c r="R696" s="28" t="n">
        <x:v>0</x:v>
      </x:c>
      <x:c r="S696" s="28" t="str">
        <x:v>f60a9352663ecd91</x:v>
      </x:c>
    </x:row>
    <x:row r="697" ht="21" customHeight="1">
      <x:c r="A697" s="60" t="n">
        <x:v>0.62</x:v>
      </x:c>
      <x:c r="B697" s="28" t="str">
        <x:v>back_high</x:v>
      </x:c>
      <x:c r="C697" s="60" t="n">
        <x:v>0.85</x:v>
      </x:c>
      <x:c r="D697" s="60" t="n">
        <x:v>0.85</x:v>
      </x:c>
      <x:c r="E697" s="62" t="b">
        <x:v>1</x:v>
      </x:c>
      <x:c r="F697" s="62" t="b">
        <x:v>0</x:v>
      </x:c>
      <x:c r="G697" s="85" t="n">
        <x:v>19627676.435468778</x:v>
      </x:c>
      <x:c r="H697" s="85" t="n">
        <x:v>48716124.557566695</x:v>
      </x:c>
      <x:c r="I697" s="85" t="n">
        <x:v>99663126.52486311</x:v>
      </x:c>
      <x:c r="J697" s="85" t="n">
        <x:v>84000000.00000001</x:v>
      </x:c>
      <x:c r="K697" s="85" t="n">
        <x:v>230056.59858768215</x:v>
      </x:c>
      <x:c r="L697" s="28" t="n">
        <x:v>40</x:v>
      </x:c>
      <x:c r="M697" s="28" t="n">
        <x:v>36</x:v>
      </x:c>
      <x:c r="N697" s="28" t="n">
        <x:v>1.862645149230957e-9</x:v>
      </x:c>
      <x:c r="O697" s="28" t="n">
        <x:v>2.9802322387695312e-8</x:v>
      </x:c>
      <x:c r="P697" s="28" t="n">
        <x:v>0</x:v>
      </x:c>
      <x:c r="Q697" s="62" t="b">
        <x:v>1</x:v>
      </x:c>
      <x:c r="R697" s="28" t="n">
        <x:v>0</x:v>
      </x:c>
      <x:c r="S697" s="28" t="str">
        <x:v>d3fbeba1289fbce9</x:v>
      </x:c>
    </x:row>
    <x:row r="698" ht="21" customHeight="1">
      <x:c r="A698" s="60" t="n">
        <x:v>0.62</x:v>
      </x:c>
      <x:c r="B698" s="28" t="str">
        <x:v>back_high</x:v>
      </x:c>
      <x:c r="C698" s="60" t="n">
        <x:v>0.9</x:v>
      </x:c>
      <x:c r="D698" s="60" t="n">
        <x:v>0.8948658400492392</x:v>
      </x:c>
      <x:c r="E698" s="62" t="b">
        <x:v>0</x:v>
      </x:c>
      <x:c r="F698" s="62" t="b">
        <x:v>0</x:v>
      </x:c>
      <x:c r="G698" s="85" t="n">
        <x:v>24909350.765771426</x:v>
      </x:c>
      <x:c r="H698" s="85" t="n">
        <x:v>56076535.640313394</x:v>
      </x:c>
      <x:c r="I698" s="85" t="n">
        <x:v>100009374.825681</x:v>
      </x:c>
      <x:c r="J698" s="85" t="n">
        <x:v>84000000.00000001</x:v>
      </x:c>
      <x:c r="K698" s="85" t="n">
        <x:v>201040.9068849291</x:v>
      </x:c>
      <x:c r="L698" s="28" t="n">
        <x:v>40</x:v>
      </x:c>
      <x:c r="M698" s="28" t="n">
        <x:v>37</x:v>
      </x:c>
      <x:c r="N698" s="28" t="n">
        <x:v>1.862645149230957e-9</x:v>
      </x:c>
      <x:c r="O698" s="28" t="n">
        <x:v>2.9802322387695312e-8</x:v>
      </x:c>
      <x:c r="P698" s="28" t="n">
        <x:v>0</x:v>
      </x:c>
      <x:c r="Q698" s="62" t="b">
        <x:v>1</x:v>
      </x:c>
      <x:c r="R698" s="28" t="n">
        <x:v>1540247.9852282405</x:v>
      </x:c>
      <x:c r="S698" s="28" t="str">
        <x:v>ee3ecbb2df564dd8</x:v>
      </x:c>
    </x:row>
    <x:row r="699" ht="21" customHeight="1">
      <x:c r="A699" s="60" t="n">
        <x:v>0.62</x:v>
      </x:c>
      <x:c r="B699" s="28" t="str">
        <x:v>back_high</x:v>
      </x:c>
      <x:c r="C699" s="60" t="n">
        <x:v>0.95</x:v>
      </x:c>
      <x:c r="D699" s="60" t="n">
        <x:v>0.9083032015334562</x:v>
      </x:c>
      <x:c r="E699" s="62" t="b">
        <x:v>0</x:v>
      </x:c>
      <x:c r="F699" s="62" t="b">
        <x:v>0</x:v>
      </x:c>
      <x:c r="G699" s="85" t="n">
        <x:v>26084721.53262955</x:v>
      </x:c>
      <x:c r="H699" s="85" t="n">
        <x:v>58722558.86741699</x:v>
      </x:c>
      <x:c r="I699" s="85" t="n">
        <x:v>101671907.12684871</x:v>
      </x:c>
      <x:c r="J699" s="85" t="n">
        <x:v>84000000.00000001</x:v>
      </x:c>
      <x:c r="K699" s="85" t="n">
        <x:v>172025.21518218913</x:v>
      </x:c>
      <x:c r="L699" s="28" t="n">
        <x:v>41</x:v>
      </x:c>
      <x:c r="M699" s="28" t="n">
        <x:v>38</x:v>
      </x:c>
      <x:c r="N699" s="28" t="n">
        <x:v>1.862645149230957e-9</x:v>
      </x:c>
      <x:c r="O699" s="28" t="n">
        <x:v>2.9802322387695312e-8</x:v>
      </x:c>
      <x:c r="P699" s="28" t="n">
        <x:v>0</x:v>
      </x:c>
      <x:c r="Q699" s="62" t="b">
        <x:v>1</x:v>
      </x:c>
      <x:c r="R699" s="28" t="n">
        <x:v>12509039.539963126</x:v>
      </x:c>
      <x:c r="S699" s="28" t="str">
        <x:v>945fa29502be613d</x:v>
      </x:c>
    </x:row>
    <x:row r="700" ht="21" customHeight="1">
      <x:c r="A700" s="60" t="n">
        <x:v>0.62</x:v>
      </x:c>
      <x:c r="B700" s="28" t="str">
        <x:v>back_high</x:v>
      </x:c>
      <x:c r="C700" s="60" t="n">
        <x:v>1</x:v>
      </x:c>
      <x:c r="D700" s="60" t="n">
        <x:v>0.920601109498915</x:v>
      </x:c>
      <x:c r="E700" s="62" t="b">
        <x:v>0</x:v>
      </x:c>
      <x:c r="F700" s="62" t="b">
        <x:v>0</x:v>
      </x:c>
      <x:c r="G700" s="85" t="n">
        <x:v>28593685.66695886</x:v>
      </x:c>
      <x:c r="H700" s="85" t="n">
        <x:v>61776794.80792217</x:v>
      </x:c>
      <x:c r="I700" s="85" t="n">
        <x:v>101930881.66330144</x:v>
      </x:c>
      <x:c r="J700" s="85" t="n">
        <x:v>84000000.00000001</x:v>
      </x:c>
      <x:c r="K700" s="85" t="n">
        <x:v>143009.5234794501</x:v>
      </x:c>
      <x:c r="L700" s="28" t="n">
        <x:v>41</x:v>
      </x:c>
      <x:c r="M700" s="28" t="n">
        <x:v>38</x:v>
      </x:c>
      <x:c r="N700" s="28" t="n">
        <x:v>1.862645149230957e-9</x:v>
      </x:c>
      <x:c r="O700" s="28" t="n">
        <x:v>2.9802322387695312e-8</x:v>
      </x:c>
      <x:c r="P700" s="28" t="n">
        <x:v>0</x:v>
      </x:c>
      <x:c r="Q700" s="62" t="b">
        <x:v>1</x:v>
      </x:c>
      <x:c r="R700" s="28" t="n">
        <x:v>23819667.150325477</x:v>
      </x:c>
      <x:c r="S700" s="28" t="str">
        <x:v>40a21965d4fd7395</x:v>
      </x:c>
    </x:row>
    <x:row r="701" ht="21" customHeight="1">
      <x:c r="A701" s="60" t="n">
        <x:v>0.62</x:v>
      </x:c>
      <x:c r="B701" s="28" t="str">
        <x:v>level_flat</x:v>
      </x:c>
      <x:c r="C701" s="60" t="n">
        <x:v>0</x:v>
      </x:c>
      <x:c r="D701" s="60" t="n">
        <x:v>0</x:v>
      </x:c>
      <x:c r="E701" s="62" t="b">
        <x:v>1</x:v>
      </x:c>
      <x:c r="F701" s="62" t="b">
        <x:v>1</x:v>
      </x:c>
      <x:c r="G701" s="85" t="n">
        <x:v>0</x:v>
      </x:c>
      <x:c r="H701" s="85" t="n">
        <x:v>0</x:v>
      </x:c>
      <x:c r="I701" s="85" t="n">
        <x:v>0</x:v>
      </x:c>
      <x:c r="J701" s="85" t="n">
        <x:v>0</x:v>
      </x:c>
      <x:c r="K701" s="85" t="n">
        <x:v>31282653.340410925</x:v>
      </x:c>
      <x:c r="L701" s="28" t="n">
        <x:v>0</x:v>
      </x:c>
      <x:c r="M701" s="28" t="n">
        <x:v>0</x:v>
      </x:c>
      <x:c r="N701" s="28" t="n">
        <x:v>3.725290298461914e-9</x:v>
      </x:c>
      <x:c r="O701" s="28" t="n">
        <x:v>0</x:v>
      </x:c>
      <x:c r="P701" s="28" t="n">
        <x:v>0</x:v>
      </x:c>
      <x:c r="Q701" s="62" t="b">
        <x:v>1</x:v>
      </x:c>
      <x:c r="R701" s="28" t="n">
        <x:v>0</x:v>
      </x:c>
      <x:c r="S701" s="28" t="str">
        <x:v>ad2a89e020c5b2df</x:v>
      </x:c>
    </x:row>
    <x:row r="702" ht="21" customHeight="1">
      <x:c r="A702" s="60" t="n">
        <x:v>0.62</x:v>
      </x:c>
      <x:c r="B702" s="28" t="str">
        <x:v>level_flat</x:v>
      </x:c>
      <x:c r="C702" s="60" t="n">
        <x:v>0.05</x:v>
      </x:c>
      <x:c r="D702" s="60" t="n">
        <x:v>0.05</x:v>
      </x:c>
      <x:c r="E702" s="62" t="b">
        <x:v>1</x:v>
      </x:c>
      <x:c r="F702" s="62" t="b">
        <x:v>1</x:v>
      </x:c>
      <x:c r="G702" s="85" t="n">
        <x:v>0</x:v>
      </x:c>
      <x:c r="H702" s="85" t="n">
        <x:v>0</x:v>
      </x:c>
      <x:c r="I702" s="85" t="n">
        <x:v>0</x:v>
      </x:c>
      <x:c r="J702" s="85" t="n">
        <x:v>0</x:v>
      </x:c>
      <x:c r="K702" s="85" t="n">
        <x:v>19356834.61247801</x:v>
      </x:c>
      <x:c r="L702" s="28" t="n">
        <x:v>0</x:v>
      </x:c>
      <x:c r="M702" s="28" t="n">
        <x:v>0</x:v>
      </x:c>
      <x:c r="N702" s="28" t="n">
        <x:v>1.862645149230957e-9</x:v>
      </x:c>
      <x:c r="O702" s="28" t="n">
        <x:v>2.9802322387695312e-8</x:v>
      </x:c>
      <x:c r="P702" s="28" t="n">
        <x:v>0</x:v>
      </x:c>
      <x:c r="Q702" s="62" t="b">
        <x:v>1</x:v>
      </x:c>
      <x:c r="R702" s="28" t="n">
        <x:v>0</x:v>
      </x:c>
      <x:c r="S702" s="28" t="str">
        <x:v>8d537f211138973f</x:v>
      </x:c>
    </x:row>
    <x:row r="703" ht="21" customHeight="1">
      <x:c r="A703" s="60" t="n">
        <x:v>0.62</x:v>
      </x:c>
      <x:c r="B703" s="28" t="str">
        <x:v>level_flat</x:v>
      </x:c>
      <x:c r="C703" s="60" t="n">
        <x:v>0.1</x:v>
      </x:c>
      <x:c r="D703" s="60" t="n">
        <x:v>0.1</x:v>
      </x:c>
      <x:c r="E703" s="62" t="b">
        <x:v>1</x:v>
      </x:c>
      <x:c r="F703" s="62" t="b">
        <x:v>1</x:v>
      </x:c>
      <x:c r="G703" s="85" t="n">
        <x:v>0</x:v>
      </x:c>
      <x:c r="H703" s="85" t="n">
        <x:v>0</x:v>
      </x:c>
      <x:c r="I703" s="85" t="n">
        <x:v>0</x:v>
      </x:c>
      <x:c r="J703" s="85" t="n">
        <x:v>0</x:v>
      </x:c>
      <x:c r="K703" s="85" t="n">
        <x:v>7338752.3282497935</x:v>
      </x:c>
      <x:c r="L703" s="28" t="n">
        <x:v>0</x:v>
      </x:c>
      <x:c r="M703" s="28" t="n">
        <x:v>0</x:v>
      </x:c>
      <x:c r="N703" s="28" t="n">
        <x:v>3.725290298461914e-9</x:v>
      </x:c>
      <x:c r="O703" s="28" t="n">
        <x:v>5.960464477539063e-8</x:v>
      </x:c>
      <x:c r="P703" s="28" t="n">
        <x:v>0</x:v>
      </x:c>
      <x:c r="Q703" s="62" t="b">
        <x:v>1</x:v>
      </x:c>
      <x:c r="R703" s="28" t="n">
        <x:v>0</x:v>
      </x:c>
      <x:c r="S703" s="28" t="str">
        <x:v>b0548f23e4d3342f</x:v>
      </x:c>
    </x:row>
    <x:row r="704" ht="21" customHeight="1">
      <x:c r="A704" s="60" t="n">
        <x:v>0.62</x:v>
      </x:c>
      <x:c r="B704" s="28" t="str">
        <x:v>level_flat</x:v>
      </x:c>
      <x:c r="C704" s="60" t="n">
        <x:v>0.15</x:v>
      </x:c>
      <x:c r="D704" s="60" t="n">
        <x:v>0.15</x:v>
      </x:c>
      <x:c r="E704" s="62" t="b">
        <x:v>1</x:v>
      </x:c>
      <x:c r="F704" s="62" t="b">
        <x:v>1</x:v>
      </x:c>
      <x:c r="G704" s="85" t="n">
        <x:v>0</x:v>
      </x:c>
      <x:c r="H704" s="85" t="n">
        <x:v>0</x:v>
      </x:c>
      <x:c r="I704" s="85" t="n">
        <x:v>4033847.9096056707</x:v>
      </x:c>
      <x:c r="J704" s="85" t="n">
        <x:v>0</x:v>
      </x:c>
      <x:c r="K704" s="85" t="n">
        <x:v>451399.22205644095</x:v>
      </x:c>
      <x:c r="L704" s="28" t="n">
        <x:v>0</x:v>
      </x:c>
      <x:c r="M704" s="28" t="n">
        <x:v>0</x:v>
      </x:c>
      <x:c r="N704" s="28" t="n">
        <x:v>1.862645149230957e-9</x:v>
      </x:c>
      <x:c r="O704" s="28" t="n">
        <x:v>2.9802322387695312e-8</x:v>
      </x:c>
      <x:c r="P704" s="28" t="n">
        <x:v>0</x:v>
      </x:c>
      <x:c r="Q704" s="62" t="b">
        <x:v>1</x:v>
      </x:c>
      <x:c r="R704" s="28" t="n">
        <x:v>0</x:v>
      </x:c>
      <x:c r="S704" s="28" t="str">
        <x:v>a2fbbdf7c0aa12df</x:v>
      </x:c>
    </x:row>
    <x:row r="705" ht="21" customHeight="1">
      <x:c r="A705" s="60" t="n">
        <x:v>0.62</x:v>
      </x:c>
      <x:c r="B705" s="28" t="str">
        <x:v>level_flat</x:v>
      </x:c>
      <x:c r="C705" s="60" t="n">
        <x:v>0.2</x:v>
      </x:c>
      <x:c r="D705" s="60" t="n">
        <x:v>0.2</x:v>
      </x:c>
      <x:c r="E705" s="62" t="b">
        <x:v>1</x:v>
      </x:c>
      <x:c r="F705" s="62" t="b">
        <x:v>1</x:v>
      </x:c>
      <x:c r="G705" s="85" t="n">
        <x:v>0</x:v>
      </x:c>
      <x:c r="H705" s="85" t="n">
        <x:v>0</x:v>
      </x:c>
      <x:c r="I705" s="85" t="n">
        <x:v>12269410.421851585</x:v>
      </x:c>
      <x:c r="J705" s="85" t="n">
        <x:v>6323003.2725342475</x:v>
      </x:c>
      <x:c r="K705" s="85" t="n">
        <x:v>309719.42895890307</x:v>
      </x:c>
      <x:c r="L705" s="28" t="n">
        <x:v>0</x:v>
      </x:c>
      <x:c r="M705" s="28" t="n">
        <x:v>0</x:v>
      </x:c>
      <x:c r="N705" s="28" t="n">
        <x:v>9.313225746154785e-10</x:v>
      </x:c>
      <x:c r="O705" s="28" t="n">
        <x:v>2.9802322387695312e-8</x:v>
      </x:c>
      <x:c r="P705" s="28" t="n">
        <x:v>0</x:v>
      </x:c>
      <x:c r="Q705" s="62" t="b">
        <x:v>1</x:v>
      </x:c>
      <x:c r="R705" s="28" t="n">
        <x:v>0</x:v>
      </x:c>
      <x:c r="S705" s="28" t="str">
        <x:v>6a67c96cee50bea3</x:v>
      </x:c>
    </x:row>
    <x:row r="706" ht="21" customHeight="1">
      <x:c r="A706" s="60" t="n">
        <x:v>0.62</x:v>
      </x:c>
      <x:c r="B706" s="28" t="str">
        <x:v>level_flat</x:v>
      </x:c>
      <x:c r="C706" s="60" t="n">
        <x:v>0.25</x:v>
      </x:c>
      <x:c r="D706" s="60" t="n">
        <x:v>0.25</x:v>
      </x:c>
      <x:c r="E706" s="62" t="b">
        <x:v>1</x:v>
      </x:c>
      <x:c r="F706" s="62" t="b">
        <x:v>1</x:v>
      </x:c>
      <x:c r="G706" s="85" t="n">
        <x:v>0</x:v>
      </x:c>
      <x:c r="H706" s="85" t="n">
        <x:v>0</x:v>
      </x:c>
      <x:c r="I706" s="85" t="n">
        <x:v>18712469.498554192</x:v>
      </x:c>
      <x:c r="J706" s="85" t="n">
        <x:v>15403754.090667764</x:v>
      </x:c>
      <x:c r="K706" s="85" t="n">
        <x:v>204965.4111986293</x:v>
      </x:c>
      <x:c r="L706" s="28" t="n">
        <x:v>0</x:v>
      </x:c>
      <x:c r="M706" s="28" t="n">
        <x:v>0</x:v>
      </x:c>
      <x:c r="N706" s="28" t="n">
        <x:v>3.725290298461914e-9</x:v>
      </x:c>
      <x:c r="O706" s="28" t="n">
        <x:v>2.9802322387695312e-8</x:v>
      </x:c>
      <x:c r="P706" s="28" t="n">
        <x:v>0</x:v>
      </x:c>
      <x:c r="Q706" s="62" t="b">
        <x:v>1</x:v>
      </x:c>
      <x:c r="R706" s="28" t="n">
        <x:v>0</x:v>
      </x:c>
      <x:c r="S706" s="28" t="str">
        <x:v>583e9f3c9d3bb409</x:v>
      </x:c>
    </x:row>
    <x:row r="707" ht="21" customHeight="1">
      <x:c r="A707" s="60" t="n">
        <x:v>0.62</x:v>
      </x:c>
      <x:c r="B707" s="28" t="str">
        <x:v>level_flat</x:v>
      </x:c>
      <x:c r="C707" s="60" t="n">
        <x:v>0.3</x:v>
      </x:c>
      <x:c r="D707" s="60" t="n">
        <x:v>0.3</x:v>
      </x:c>
      <x:c r="E707" s="62" t="b">
        <x:v>1</x:v>
      </x:c>
      <x:c r="F707" s="62" t="b">
        <x:v>1</x:v>
      </x:c>
      <x:c r="G707" s="85" t="n">
        <x:v>0</x:v>
      </x:c>
      <x:c r="H707" s="85" t="n">
        <x:v>0</x:v>
      </x:c>
      <x:c r="I707" s="85" t="n">
        <x:v>25266125.203343842</x:v>
      </x:c>
      <x:c r="J707" s="85" t="n">
        <x:v>24484504.908801205</x:v>
      </x:c>
      <x:c r="K707" s="85" t="n">
        <x:v>169917.37749315175</x:v>
      </x:c>
      <x:c r="L707" s="28" t="n">
        <x:v>0</x:v>
      </x:c>
      <x:c r="M707" s="28" t="n">
        <x:v>0</x:v>
      </x:c>
      <x:c r="N707" s="28" t="n">
        <x:v>3.725290298461914e-9</x:v>
      </x:c>
      <x:c r="O707" s="28" t="n">
        <x:v>7.450580596923828e-9</x:v>
      </x:c>
      <x:c r="P707" s="28" t="n">
        <x:v>0</x:v>
      </x:c>
      <x:c r="Q707" s="62" t="b">
        <x:v>1</x:v>
      </x:c>
      <x:c r="R707" s="28" t="n">
        <x:v>0</x:v>
      </x:c>
      <x:c r="S707" s="28" t="str">
        <x:v>2d876297c56b9453</x:v>
      </x:c>
    </x:row>
    <x:row r="708" ht="21" customHeight="1">
      <x:c r="A708" s="60" t="n">
        <x:v>0.62</x:v>
      </x:c>
      <x:c r="B708" s="28" t="str">
        <x:v>level_flat</x:v>
      </x:c>
      <x:c r="C708" s="60" t="n">
        <x:v>0.35</x:v>
      </x:c>
      <x:c r="D708" s="60" t="n">
        <x:v>0.35</x:v>
      </x:c>
      <x:c r="E708" s="62" t="b">
        <x:v>1</x:v>
      </x:c>
      <x:c r="F708" s="62" t="b">
        <x:v>1</x:v>
      </x:c>
      <x:c r="G708" s="85" t="n">
        <x:v>0</x:v>
      </x:c>
      <x:c r="H708" s="85" t="n">
        <x:v>0</x:v>
      </x:c>
      <x:c r="I708" s="85" t="n">
        <x:v>31850839.53186918</x:v>
      </x:c>
      <x:c r="J708" s="85" t="n">
        <x:v>33565255.72693476</x:v>
      </x:c>
      <x:c r="K708" s="85" t="n">
        <x:v>138008.11597944994</x:v>
      </x:c>
      <x:c r="L708" s="28" t="n">
        <x:v>0</x:v>
      </x:c>
      <x:c r="M708" s="28" t="n">
        <x:v>0</x:v>
      </x:c>
      <x:c r="N708" s="28" t="n">
        <x:v>3.725290298461914e-9</x:v>
      </x:c>
      <x:c r="O708" s="28" t="n">
        <x:v>2.9802322387695312e-8</x:v>
      </x:c>
      <x:c r="P708" s="28" t="n">
        <x:v>0</x:v>
      </x:c>
      <x:c r="Q708" s="62" t="b">
        <x:v>1</x:v>
      </x:c>
      <x:c r="R708" s="28" t="n">
        <x:v>0</x:v>
      </x:c>
      <x:c r="S708" s="28" t="str">
        <x:v>a9e1419a2a3f86c0</x:v>
      </x:c>
    </x:row>
    <x:row r="709" ht="21" customHeight="1">
      <x:c r="A709" s="60" t="n">
        <x:v>0.62</x:v>
      </x:c>
      <x:c r="B709" s="28" t="str">
        <x:v>level_flat</x:v>
      </x:c>
      <x:c r="C709" s="60" t="n">
        <x:v>0.4</x:v>
      </x:c>
      <x:c r="D709" s="60" t="n">
        <x:v>0.4</x:v>
      </x:c>
      <x:c r="E709" s="62" t="b">
        <x:v>1</x:v>
      </x:c>
      <x:c r="F709" s="62" t="b">
        <x:v>1</x:v>
      </x:c>
      <x:c r="G709" s="85" t="n">
        <x:v>0</x:v>
      </x:c>
      <x:c r="H709" s="85" t="n">
        <x:v>0</x:v>
      </x:c>
      <x:c r="I709" s="85" t="n">
        <x:v>38403220.981551364</x:v>
      </x:c>
      <x:c r="J709" s="85" t="n">
        <x:v>42646006.54506833</x:v>
      </x:c>
      <x:c r="K709" s="85" t="n">
        <x:v>106098.85446575607</x:v>
      </x:c>
      <x:c r="L709" s="28" t="n">
        <x:v>0</x:v>
      </x:c>
      <x:c r="M709" s="28" t="n">
        <x:v>0</x:v>
      </x:c>
      <x:c r="N709" s="28" t="n">
        <x:v>3.725290298461914e-9</x:v>
      </x:c>
      <x:c r="O709" s="28" t="n">
        <x:v>2.9802322387695312e-8</x:v>
      </x:c>
      <x:c r="P709" s="28" t="n">
        <x:v>0</x:v>
      </x:c>
      <x:c r="Q709" s="62" t="b">
        <x:v>1</x:v>
      </x:c>
      <x:c r="R709" s="28" t="n">
        <x:v>0</x:v>
      </x:c>
      <x:c r="S709" s="28" t="str">
        <x:v>ee3c64d4fe026be2</x:v>
      </x:c>
    </x:row>
    <x:row r="710" ht="21" customHeight="1">
      <x:c r="A710" s="60" t="n">
        <x:v>0.62</x:v>
      </x:c>
      <x:c r="B710" s="28" t="str">
        <x:v>level_flat</x:v>
      </x:c>
      <x:c r="C710" s="60" t="n">
        <x:v>0.45</x:v>
      </x:c>
      <x:c r="D710" s="60" t="n">
        <x:v>0.45</x:v>
      </x:c>
      <x:c r="E710" s="62" t="b">
        <x:v>1</x:v>
      </x:c>
      <x:c r="F710" s="62" t="b">
        <x:v>1</x:v>
      </x:c>
      <x:c r="G710" s="85" t="n">
        <x:v>0</x:v>
      </x:c>
      <x:c r="H710" s="85" t="n">
        <x:v>0</x:v>
      </x:c>
      <x:c r="I710" s="85" t="n">
        <x:v>45014370.22356378</x:v>
      </x:c>
      <x:c r="J710" s="85" t="n">
        <x:v>51726757.363201916</x:v>
      </x:c>
      <x:c r="K710" s="85" t="n">
        <x:v>74189.592952058</x:v>
      </x:c>
      <x:c r="L710" s="28" t="n">
        <x:v>0</x:v>
      </x:c>
      <x:c r="M710" s="28" t="n">
        <x:v>0</x:v>
      </x:c>
      <x:c r="N710" s="28" t="n">
        <x:v>1.862645149230957e-9</x:v>
      </x:c>
      <x:c r="O710" s="28" t="n">
        <x:v>2.9802322387695312e-8</x:v>
      </x:c>
      <x:c r="P710" s="28" t="n">
        <x:v>0</x:v>
      </x:c>
      <x:c r="Q710" s="62" t="b">
        <x:v>1</x:v>
      </x:c>
      <x:c r="R710" s="28" t="n">
        <x:v>0</x:v>
      </x:c>
      <x:c r="S710" s="28" t="str">
        <x:v>ba633171f949dc1e</x:v>
      </x:c>
    </x:row>
    <x:row r="711" ht="21" customHeight="1">
      <x:c r="A711" s="60" t="n">
        <x:v>0.62</x:v>
      </x:c>
      <x:c r="B711" s="28" t="str">
        <x:v>level_flat</x:v>
      </x:c>
      <x:c r="C711" s="60" t="n">
        <x:v>0.5</x:v>
      </x:c>
      <x:c r="D711" s="60" t="n">
        <x:v>0.5</x:v>
      </x:c>
      <x:c r="E711" s="62" t="b">
        <x:v>1</x:v>
      </x:c>
      <x:c r="F711" s="62" t="b">
        <x:v>1</x:v>
      </x:c>
      <x:c r="G711" s="85" t="n">
        <x:v>0</x:v>
      </x:c>
      <x:c r="H711" s="85" t="n">
        <x:v>0</x:v>
      </x:c>
      <x:c r="I711" s="85" t="n">
        <x:v>52626447.11197319</x:v>
      </x:c>
      <x:c r="J711" s="85" t="n">
        <x:v>58436311.62295218</x:v>
      </x:c>
      <x:c r="K711" s="85" t="n">
        <x:v>42280.33143835481</x:v>
      </x:c>
      <x:c r="L711" s="28" t="n">
        <x:v>5</x:v>
      </x:c>
      <x:c r="M711" s="28" t="n">
        <x:v>0</x:v>
      </x:c>
      <x:c r="N711" s="28" t="n">
        <x:v>1.862645149230957e-9</x:v>
      </x:c>
      <x:c r="O711" s="28" t="n">
        <x:v>1.4901161193847656e-8</x:v>
      </x:c>
      <x:c r="P711" s="28" t="n">
        <x:v>0</x:v>
      </x:c>
      <x:c r="Q711" s="62" t="b">
        <x:v>1</x:v>
      </x:c>
      <x:c r="R711" s="28" t="n">
        <x:v>0</x:v>
      </x:c>
      <x:c r="S711" s="28" t="str">
        <x:v>69de388add77a64b</x:v>
      </x:c>
    </x:row>
    <x:row r="712" ht="21" customHeight="1">
      <x:c r="A712" s="60" t="n">
        <x:v>0.62</x:v>
      </x:c>
      <x:c r="B712" s="28" t="str">
        <x:v>level_flat</x:v>
      </x:c>
      <x:c r="C712" s="60" t="n">
        <x:v>0.55</x:v>
      </x:c>
      <x:c r="D712" s="60" t="n">
        <x:v>0.55</x:v>
      </x:c>
      <x:c r="E712" s="62" t="b">
        <x:v>1</x:v>
      </x:c>
      <x:c r="F712" s="62" t="b">
        <x:v>1</x:v>
      </x:c>
      <x:c r="G712" s="85" t="n">
        <x:v>0</x:v>
      </x:c>
      <x:c r="H712" s="85" t="n">
        <x:v>0</x:v>
      </x:c>
      <x:c r="I712" s="85" t="n">
        <x:v>59991851.894712575</x:v>
      </x:c>
      <x:c r="J712" s="85" t="n">
        <x:v>65468826.065533385</x:v>
      </x:c>
      <x:c r="K712" s="85" t="n">
        <x:v>10371.069924656738</x:v>
      </x:c>
      <x:c r="L712" s="28" t="n">
        <x:v>10</x:v>
      </x:c>
      <x:c r="M712" s="28" t="n">
        <x:v>1</x:v>
      </x:c>
      <x:c r="N712" s="28" t="n">
        <x:v>1.862645149230957e-9</x:v>
      </x:c>
      <x:c r="O712" s="28" t="n">
        <x:v>2.9802322387695312e-8</x:v>
      </x:c>
      <x:c r="P712" s="28" t="n">
        <x:v>0</x:v>
      </x:c>
      <x:c r="Q712" s="62" t="b">
        <x:v>1</x:v>
      </x:c>
      <x:c r="R712" s="28" t="n">
        <x:v>0</x:v>
      </x:c>
      <x:c r="S712" s="28" t="str">
        <x:v>d408dce4b0fe6b87</x:v>
      </x:c>
    </x:row>
    <x:row r="713" ht="21" customHeight="1">
      <x:c r="A713" s="60" t="n">
        <x:v>0.62</x:v>
      </x:c>
      <x:c r="B713" s="28" t="str">
        <x:v>level_flat</x:v>
      </x:c>
      <x:c r="C713" s="60" t="n">
        <x:v>0.6</x:v>
      </x:c>
      <x:c r="D713" s="60" t="n">
        <x:v>0.6</x:v>
      </x:c>
      <x:c r="E713" s="62" t="b">
        <x:v>1</x:v>
      </x:c>
      <x:c r="F713" s="62" t="b">
        <x:v>1</x:v>
      </x:c>
      <x:c r="G713" s="85" t="n">
        <x:v>0</x:v>
      </x:c>
      <x:c r="H713" s="85" t="n">
        <x:v>0</x:v>
      </x:c>
      <x:c r="I713" s="85" t="n">
        <x:v>66674270.10763596</x:v>
      </x:c>
      <x:c r="J713" s="85" t="n">
        <x:v>73805161.5480813</x:v>
      </x:c>
      <x:c r="K713" s="85" t="n">
        <x:v>0</x:v>
      </x:c>
      <x:c r="L713" s="28" t="n">
        <x:v>13</x:v>
      </x:c>
      <x:c r="M713" s="28" t="n">
        <x:v>3</x:v>
      </x:c>
      <x:c r="N713" s="28" t="n">
        <x:v>1.862645149230957e-9</x:v>
      </x:c>
      <x:c r="O713" s="28" t="n">
        <x:v>2.9802322387695312e-8</x:v>
      </x:c>
      <x:c r="P713" s="28" t="n">
        <x:v>0</x:v>
      </x:c>
      <x:c r="Q713" s="62" t="b">
        <x:v>1</x:v>
      </x:c>
      <x:c r="R713" s="28" t="n">
        <x:v>0</x:v>
      </x:c>
      <x:c r="S713" s="28" t="str">
        <x:v>650c97b1a984c92f</x:v>
      </x:c>
    </x:row>
    <x:row r="714" ht="21" customHeight="1">
      <x:c r="A714" s="60" t="n">
        <x:v>0.62</x:v>
      </x:c>
      <x:c r="B714" s="28" t="str">
        <x:v>level_flat</x:v>
      </x:c>
      <x:c r="C714" s="60" t="n">
        <x:v>0.65</x:v>
      </x:c>
      <x:c r="D714" s="60" t="n">
        <x:v>0.65</x:v>
      </x:c>
      <x:c r="E714" s="62" t="b">
        <x:v>1</x:v>
      </x:c>
      <x:c r="F714" s="62" t="b">
        <x:v>1</x:v>
      </x:c>
      <x:c r="G714" s="85" t="n">
        <x:v>0</x:v>
      </x:c>
      <x:c r="H714" s="85" t="n">
        <x:v>0</x:v>
      </x:c>
      <x:c r="I714" s="85" t="n">
        <x:v>72725739.1921525</x:v>
      </x:c>
      <x:c r="J714" s="85" t="n">
        <x:v>83329178.17211793</x:v>
      </x:c>
      <x:c r="K714" s="85" t="n">
        <x:v>0</x:v>
      </x:c>
      <x:c r="L714" s="28" t="n">
        <x:v>21</x:v>
      </x:c>
      <x:c r="M714" s="28" t="n">
        <x:v>12</x:v>
      </x:c>
      <x:c r="N714" s="28" t="n">
        <x:v>1.862645149230957e-9</x:v>
      </x:c>
      <x:c r="O714" s="28" t="n">
        <x:v>2.9802322387695312e-8</x:v>
      </x:c>
      <x:c r="P714" s="28" t="n">
        <x:v>0</x:v>
      </x:c>
      <x:c r="Q714" s="62" t="b">
        <x:v>1</x:v>
      </x:c>
      <x:c r="R714" s="28" t="n">
        <x:v>0</x:v>
      </x:c>
      <x:c r="S714" s="28" t="str">
        <x:v>cb8bfed1ca96d25b</x:v>
      </x:c>
    </x:row>
    <x:row r="715" ht="21" customHeight="1">
      <x:c r="A715" s="60" t="n">
        <x:v>0.62</x:v>
      </x:c>
      <x:c r="B715" s="28" t="str">
        <x:v>level_flat</x:v>
      </x:c>
      <x:c r="C715" s="60" t="n">
        <x:v>0.7</x:v>
      </x:c>
      <x:c r="D715" s="60" t="n">
        <x:v>0.7</x:v>
      </x:c>
      <x:c r="E715" s="62" t="b">
        <x:v>1</x:v>
      </x:c>
      <x:c r="F715" s="62" t="b">
        <x:v>0</x:v>
      </x:c>
      <x:c r="G715" s="85" t="n">
        <x:v>1678582.0201348742</x:v>
      </x:c>
      <x:c r="H715" s="85" t="n">
        <x:v>10600177.696060555</x:v>
      </x:c>
      <x:c r="I715" s="85" t="n">
        <x:v>74235001.03806631</x:v>
      </x:c>
      <x:c r="J715" s="85" t="n">
        <x:v>84000000.00000001</x:v>
      </x:c>
      <x:c r="K715" s="85" t="n">
        <x:v>0</x:v>
      </x:c>
      <x:c r="L715" s="28" t="n">
        <x:v>40</x:v>
      </x:c>
      <x:c r="M715" s="28" t="n">
        <x:v>33</x:v>
      </x:c>
      <x:c r="N715" s="28" t="n">
        <x:v>1.862645149230957e-9</x:v>
      </x:c>
      <x:c r="O715" s="28" t="n">
        <x:v>2.9802322387695312e-8</x:v>
      </x:c>
      <x:c r="P715" s="28" t="n">
        <x:v>0</x:v>
      </x:c>
      <x:c r="Q715" s="62" t="b">
        <x:v>1</x:v>
      </x:c>
      <x:c r="R715" s="28" t="n">
        <x:v>0</x:v>
      </x:c>
      <x:c r="S715" s="28" t="str">
        <x:v>654f2b53c0432511</x:v>
      </x:c>
    </x:row>
    <x:row r="716" ht="21" customHeight="1">
      <x:c r="A716" s="60" t="n">
        <x:v>0.62</x:v>
      </x:c>
      <x:c r="B716" s="28" t="str">
        <x:v>level_flat</x:v>
      </x:c>
      <x:c r="C716" s="60" t="n">
        <x:v>0.75</x:v>
      </x:c>
      <x:c r="D716" s="60" t="n">
        <x:v>0.75</x:v>
      </x:c>
      <x:c r="E716" s="62" t="b">
        <x:v>1</x:v>
      </x:c>
      <x:c r="F716" s="62" t="b">
        <x:v>0</x:v>
      </x:c>
      <x:c r="G716" s="85" t="n">
        <x:v>3757437.4411672642</x:v>
      </x:c>
      <x:c r="H716" s="85" t="n">
        <x:v>21257866.365635477</x:v>
      </x:c>
      <x:c r="I716" s="85" t="n">
        <x:v>75589864.67791098</x:v>
      </x:c>
      <x:c r="J716" s="85" t="n">
        <x:v>84000000.00000001</x:v>
      </x:c>
      <x:c r="K716" s="85" t="n">
        <x:v>0</x:v>
      </x:c>
      <x:c r="L716" s="28" t="n">
        <x:v>41</x:v>
      </x:c>
      <x:c r="M716" s="28" t="n">
        <x:v>34</x:v>
      </x:c>
      <x:c r="N716" s="28" t="n">
        <x:v>1.862645149230957e-9</x:v>
      </x:c>
      <x:c r="O716" s="28" t="n">
        <x:v>2.9802322387695312e-8</x:v>
      </x:c>
      <x:c r="P716" s="28" t="n">
        <x:v>0</x:v>
      </x:c>
      <x:c r="Q716" s="62" t="b">
        <x:v>1</x:v>
      </x:c>
      <x:c r="R716" s="28" t="n">
        <x:v>0</x:v>
      </x:c>
      <x:c r="S716" s="28" t="str">
        <x:v>05a4f77a8a91e2e4</x:v>
      </x:c>
    </x:row>
    <x:row r="717" ht="21" customHeight="1">
      <x:c r="A717" s="60" t="n">
        <x:v>0.62</x:v>
      </x:c>
      <x:c r="B717" s="28" t="str">
        <x:v>level_flat</x:v>
      </x:c>
      <x:c r="C717" s="60" t="n">
        <x:v>0.8</x:v>
      </x:c>
      <x:c r="D717" s="60" t="n">
        <x:v>0.8</x:v>
      </x:c>
      <x:c r="E717" s="62" t="b">
        <x:v>1</x:v>
      </x:c>
      <x:c r="F717" s="62" t="b">
        <x:v>0</x:v>
      </x:c>
      <x:c r="G717" s="85" t="n">
        <x:v>6326923.062669683</x:v>
      </x:c>
      <x:c r="H717" s="85" t="n">
        <x:v>33058979.566103213</x:v>
      </x:c>
      <x:c r="I717" s="85" t="n">
        <x:v>75841303.71287674</x:v>
      </x:c>
      <x:c r="J717" s="85" t="n">
        <x:v>84000000.00000001</x:v>
      </x:c>
      <x:c r="K717" s="85" t="n">
        <x:v>0</x:v>
      </x:c>
      <x:c r="L717" s="28" t="n">
        <x:v>41</x:v>
      </x:c>
      <x:c r="M717" s="28" t="n">
        <x:v>35</x:v>
      </x:c>
      <x:c r="N717" s="28" t="n">
        <x:v>1.862645149230957e-9</x:v>
      </x:c>
      <x:c r="O717" s="28" t="n">
        <x:v>2.9802322387695312e-8</x:v>
      </x:c>
      <x:c r="P717" s="28" t="n">
        <x:v>0</x:v>
      </x:c>
      <x:c r="Q717" s="62" t="b">
        <x:v>1</x:v>
      </x:c>
      <x:c r="R717" s="28" t="n">
        <x:v>0</x:v>
      </x:c>
      <x:c r="S717" s="28" t="str">
        <x:v>46ee72b151d57e87</x:v>
      </x:c>
    </x:row>
    <x:row r="718" ht="21" customHeight="1">
      <x:c r="A718" s="60" t="n">
        <x:v>0.62</x:v>
      </x:c>
      <x:c r="B718" s="28" t="str">
        <x:v>level_flat</x:v>
      </x:c>
      <x:c r="C718" s="60" t="n">
        <x:v>0.85</x:v>
      </x:c>
      <x:c r="D718" s="60" t="n">
        <x:v>0.85</x:v>
      </x:c>
      <x:c r="E718" s="62" t="b">
        <x:v>1</x:v>
      </x:c>
      <x:c r="F718" s="62" t="b">
        <x:v>0</x:v>
      </x:c>
      <x:c r="G718" s="85" t="n">
        <x:v>8600295.348631587</x:v>
      </x:c>
      <x:c r="H718" s="85" t="n">
        <x:v>43478581.588674925</x:v>
      </x:c>
      <x:c r="I718" s="85" t="n">
        <x:v>77026283.4632099</x:v>
      </x:c>
      <x:c r="J718" s="85" t="n">
        <x:v>84000000.00000001</x:v>
      </x:c>
      <x:c r="K718" s="85" t="n">
        <x:v>0</x:v>
      </x:c>
      <x:c r="L718" s="28" t="n">
        <x:v>42</x:v>
      </x:c>
      <x:c r="M718" s="28" t="n">
        <x:v>36</x:v>
      </x:c>
      <x:c r="N718" s="28" t="n">
        <x:v>9.313225746154785e-10</x:v>
      </x:c>
      <x:c r="O718" s="28" t="n">
        <x:v>2.9802322387695312e-8</x:v>
      </x:c>
      <x:c r="P718" s="28" t="n">
        <x:v>0</x:v>
      </x:c>
      <x:c r="Q718" s="62" t="b">
        <x:v>1</x:v>
      </x:c>
      <x:c r="R718" s="28" t="n">
        <x:v>0</x:v>
      </x:c>
      <x:c r="S718" s="28" t="str">
        <x:v>f68c4abf487a4e5d</x:v>
      </x:c>
    </x:row>
    <x:row r="719" ht="21" customHeight="1">
      <x:c r="A719" s="60" t="n">
        <x:v>0.62</x:v>
      </x:c>
      <x:c r="B719" s="28" t="str">
        <x:v>level_flat</x:v>
      </x:c>
      <x:c r="C719" s="60" t="n">
        <x:v>0.9</x:v>
      </x:c>
      <x:c r="D719" s="60" t="n">
        <x:v>0.9</x:v>
      </x:c>
      <x:c r="E719" s="62" t="b">
        <x:v>1</x:v>
      </x:c>
      <x:c r="F719" s="62" t="b">
        <x:v>0</x:v>
      </x:c>
      <x:c r="G719" s="85" t="n">
        <x:v>13319461.073207257</x:v>
      </x:c>
      <x:c r="H719" s="85" t="n">
        <x:v>51332699.60084895</x:v>
      </x:c>
      <x:c r="I719" s="85" t="n">
        <x:v>78285686.88756168</x:v>
      </x:c>
      <x:c r="J719" s="85" t="n">
        <x:v>84000000.00000001</x:v>
      </x:c>
      <x:c r="K719" s="85" t="n">
        <x:v>0</x:v>
      </x:c>
      <x:c r="L719" s="28" t="n">
        <x:v>43</x:v>
      </x:c>
      <x:c r="M719" s="28" t="n">
        <x:v>37</x:v>
      </x:c>
      <x:c r="N719" s="28" t="n">
        <x:v>1.862645149230957e-9</x:v>
      </x:c>
      <x:c r="O719" s="28" t="n">
        <x:v>7.450580596923828e-9</x:v>
      </x:c>
      <x:c r="P719" s="28" t="n">
        <x:v>0</x:v>
      </x:c>
      <x:c r="Q719" s="62" t="b">
        <x:v>1</x:v>
      </x:c>
      <x:c r="R719" s="28" t="n">
        <x:v>0</x:v>
      </x:c>
      <x:c r="S719" s="28" t="str">
        <x:v>d25a6aac353ebe56</x:v>
      </x:c>
    </x:row>
    <x:row r="720" ht="21" customHeight="1">
      <x:c r="A720" s="60" t="n">
        <x:v>0.62</x:v>
      </x:c>
      <x:c r="B720" s="28" t="str">
        <x:v>level_flat</x:v>
      </x:c>
      <x:c r="C720" s="60" t="n">
        <x:v>0.95</x:v>
      </x:c>
      <x:c r="D720" s="60" t="n">
        <x:v>0.9219114501462435</x:v>
      </x:c>
      <x:c r="E720" s="62" t="b">
        <x:v>0</x:v>
      </x:c>
      <x:c r="F720" s="62" t="b">
        <x:v>0</x:v>
      </x:c>
      <x:c r="G720" s="85" t="n">
        <x:v>14804003.543004634</x:v>
      </x:c>
      <x:c r="H720" s="85" t="n">
        <x:v>56050177.30796119</x:v>
      </x:c>
      <x:c r="I720" s="85" t="n">
        <x:v>78432822.442274</x:v>
      </x:c>
      <x:c r="J720" s="85" t="n">
        <x:v>84000000.00000001</x:v>
      </x:c>
      <x:c r="K720" s="85" t="n">
        <x:v>0</x:v>
      </x:c>
      <x:c r="L720" s="28" t="n">
        <x:v>43</x:v>
      </x:c>
      <x:c r="M720" s="28" t="n">
        <x:v>38</x:v>
      </x:c>
      <x:c r="N720" s="28" t="n">
        <x:v>1.862645149230957e-9</x:v>
      </x:c>
      <x:c r="O720" s="28" t="n">
        <x:v>1.4901161193847656e-8</x:v>
      </x:c>
      <x:c r="P720" s="28" t="n">
        <x:v>0</x:v>
      </x:c>
      <x:c r="Q720" s="62" t="b">
        <x:v>1</x:v>
      </x:c>
      <x:c r="R720" s="28" t="n">
        <x:v>8426564.956126928</x:v>
      </x:c>
      <x:c r="S720" s="28" t="str">
        <x:v>c63dadb18a040d81</x:v>
      </x:c>
    </x:row>
    <x:row r="721" ht="21" customHeight="1">
      <x:c r="A721" s="60" t="n">
        <x:v>0.62</x:v>
      </x:c>
      <x:c r="B721" s="28" t="str">
        <x:v>level_flat</x:v>
      </x:c>
      <x:c r="C721" s="60" t="n">
        <x:v>1</x:v>
      </x:c>
      <x:c r="D721" s="60" t="n">
        <x:v>0.9350574964161632</x:v>
      </x:c>
      <x:c r="E721" s="62" t="b">
        <x:v>0</x:v>
      </x:c>
      <x:c r="F721" s="62" t="b">
        <x:v>0</x:v>
      </x:c>
      <x:c r="G721" s="85" t="n">
        <x:v>15973911.001323998</x:v>
      </x:c>
      <x:c r="H721" s="85" t="n">
        <x:v>58042423.40105982</x:v>
      </x:c>
      <x:c r="I721" s="85" t="n">
        <x:v>79568820.65383565</x:v>
      </x:c>
      <x:c r="J721" s="85" t="n">
        <x:v>84000000.00000001</x:v>
      </x:c>
      <x:c r="K721" s="85" t="n">
        <x:v>0</x:v>
      </x:c>
      <x:c r="L721" s="28" t="n">
        <x:v>44</x:v>
      </x:c>
      <x:c r="M721" s="28" t="n">
        <x:v>38</x:v>
      </x:c>
      <x:c r="N721" s="28" t="n">
        <x:v>1.862645149230957e-9</x:v>
      </x:c>
      <x:c r="O721" s="28" t="n">
        <x:v>7.450580596923828e-9</x:v>
      </x:c>
      <x:c r="P721" s="28" t="n">
        <x:v>0</x:v>
      </x:c>
      <x:c r="Q721" s="62" t="b">
        <x:v>1</x:v>
      </x:c>
      <x:c r="R721" s="28" t="n">
        <x:v>19482751.075151026</x:v>
      </x:c>
      <x:c r="S721" s="28" t="str">
        <x:v>c75eb8520da2bdf3</x:v>
      </x:c>
    </x:row>
    <x:row r="722" ht="21" customHeight="1">
      <x:c r="A722" s="60" t="n">
        <x:v>0.62</x:v>
      </x:c>
      <x:c r="B722" s="28" t="str">
        <x:v>level_low</x:v>
      </x:c>
      <x:c r="C722" s="60" t="n">
        <x:v>0</x:v>
      </x:c>
      <x:c r="D722" s="60" t="n">
        <x:v>0</x:v>
      </x:c>
      <x:c r="E722" s="62" t="b">
        <x:v>1</x:v>
      </x:c>
      <x:c r="F722" s="62" t="b">
        <x:v>1</x:v>
      </x:c>
      <x:c r="G722" s="85" t="n">
        <x:v>0</x:v>
      </x:c>
      <x:c r="H722" s="85" t="n">
        <x:v>0</x:v>
      </x:c>
      <x:c r="I722" s="85" t="n">
        <x:v>0</x:v>
      </x:c>
      <x:c r="J722" s="85" t="n">
        <x:v>0</x:v>
      </x:c>
      <x:c r="K722" s="85" t="n">
        <x:v>27289826.80616435</x:v>
      </x:c>
      <x:c r="L722" s="28" t="n">
        <x:v>0</x:v>
      </x:c>
      <x:c r="M722" s="28" t="n">
        <x:v>0</x:v>
      </x:c>
      <x:c r="N722" s="28" t="n">
        <x:v>4.656612873077393e-10</x:v>
      </x:c>
      <x:c r="O722" s="28" t="n">
        <x:v>0</x:v>
      </x:c>
      <x:c r="P722" s="28" t="n">
        <x:v>0</x:v>
      </x:c>
      <x:c r="Q722" s="62" t="b">
        <x:v>1</x:v>
      </x:c>
      <x:c r="R722" s="28" t="n">
        <x:v>0</x:v>
      </x:c>
      <x:c r="S722" s="28" t="str">
        <x:v>ca9aadc73d447928</x:v>
      </x:c>
    </x:row>
    <x:row r="723" ht="21" customHeight="1">
      <x:c r="A723" s="60" t="n">
        <x:v>0.62</x:v>
      </x:c>
      <x:c r="B723" s="28" t="str">
        <x:v>level_low</x:v>
      </x:c>
      <x:c r="C723" s="60" t="n">
        <x:v>0.05</x:v>
      </x:c>
      <x:c r="D723" s="60" t="n">
        <x:v>0.05</x:v>
      </x:c>
      <x:c r="E723" s="62" t="b">
        <x:v>1</x:v>
      </x:c>
      <x:c r="F723" s="62" t="b">
        <x:v>1</x:v>
      </x:c>
      <x:c r="G723" s="85" t="n">
        <x:v>0</x:v>
      </x:c>
      <x:c r="H723" s="85" t="n">
        <x:v>0</x:v>
      </x:c>
      <x:c r="I723" s="85" t="n">
        <x:v>0</x:v>
      </x:c>
      <x:c r="J723" s="85" t="n">
        <x:v>0</x:v>
      </x:c>
      <x:c r="K723" s="85" t="n">
        <x:v>16553653.4016943</x:v>
      </x:c>
      <x:c r="L723" s="28" t="n">
        <x:v>0</x:v>
      </x:c>
      <x:c r="M723" s="28" t="n">
        <x:v>0</x:v>
      </x:c>
      <x:c r="N723" s="28" t="n">
        <x:v>3.725290298461914e-9</x:v>
      </x:c>
      <x:c r="O723" s="28" t="n">
        <x:v>2.9802322387695312e-8</x:v>
      </x:c>
      <x:c r="P723" s="28" t="n">
        <x:v>0</x:v>
      </x:c>
      <x:c r="Q723" s="62" t="b">
        <x:v>1</x:v>
      </x:c>
      <x:c r="R723" s="28" t="n">
        <x:v>0</x:v>
      </x:c>
      <x:c r="S723" s="28" t="str">
        <x:v>a590f1d57727b27c</x:v>
      </x:c>
    </x:row>
    <x:row r="724" ht="21" customHeight="1">
      <x:c r="A724" s="60" t="n">
        <x:v>0.62</x:v>
      </x:c>
      <x:c r="B724" s="28" t="str">
        <x:v>level_low</x:v>
      </x:c>
      <x:c r="C724" s="60" t="n">
        <x:v>0.1</x:v>
      </x:c>
      <x:c r="D724" s="60" t="n">
        <x:v>0.1</x:v>
      </x:c>
      <x:c r="E724" s="62" t="b">
        <x:v>1</x:v>
      </x:c>
      <x:c r="F724" s="62" t="b">
        <x:v>1</x:v>
      </x:c>
      <x:c r="G724" s="85" t="n">
        <x:v>0</x:v>
      </x:c>
      <x:c r="H724" s="85" t="n">
        <x:v>0</x:v>
      </x:c>
      <x:c r="I724" s="85" t="n">
        <x:v>0</x:v>
      </x:c>
      <x:c r="J724" s="85" t="n">
        <x:v>0</x:v>
      </x:c>
      <x:c r="K724" s="85" t="n">
        <x:v>5759905.899468635</x:v>
      </x:c>
      <x:c r="L724" s="28" t="n">
        <x:v>0</x:v>
      </x:c>
      <x:c r="M724" s="28" t="n">
        <x:v>0</x:v>
      </x:c>
      <x:c r="N724" s="28" t="n">
        <x:v>3.725290298461914e-9</x:v>
      </x:c>
      <x:c r="O724" s="28" t="n">
        <x:v>5.960464477539063e-8</x:v>
      </x:c>
      <x:c r="P724" s="28" t="n">
        <x:v>0</x:v>
      </x:c>
      <x:c r="Q724" s="62" t="b">
        <x:v>1</x:v>
      </x:c>
      <x:c r="R724" s="28" t="n">
        <x:v>0</x:v>
      </x:c>
      <x:c r="S724" s="28" t="str">
        <x:v>613f08b08290d0ff</x:v>
      </x:c>
    </x:row>
    <x:row r="725" ht="21" customHeight="1">
      <x:c r="A725" s="60" t="n">
        <x:v>0.62</x:v>
      </x:c>
      <x:c r="B725" s="28" t="str">
        <x:v>level_low</x:v>
      </x:c>
      <x:c r="C725" s="60" t="n">
        <x:v>0.15</x:v>
      </x:c>
      <x:c r="D725" s="60" t="n">
        <x:v>0.15</x:v>
      </x:c>
      <x:c r="E725" s="62" t="b">
        <x:v>1</x:v>
      </x:c>
      <x:c r="F725" s="62" t="b">
        <x:v>1</x:v>
      </x:c>
      <x:c r="G725" s="85" t="n">
        <x:v>0</x:v>
      </x:c>
      <x:c r="H725" s="85" t="n">
        <x:v>0</x:v>
      </x:c>
      <x:c r="I725" s="85" t="n">
        <x:v>3546265.71429931</x:v>
      </x:c>
      <x:c r="J725" s="85" t="n">
        <x:v>0</x:v>
      </x:c>
      <x:c r="K725" s="85" t="n">
        <x:v>6930.078198631119</x:v>
      </x:c>
      <x:c r="L725" s="28" t="n">
        <x:v>0</x:v>
      </x:c>
      <x:c r="M725" s="28" t="n">
        <x:v>0</x:v>
      </x:c>
      <x:c r="N725" s="28" t="n">
        <x:v>1.862645149230957e-9</x:v>
      </x:c>
      <x:c r="O725" s="28" t="n">
        <x:v>2.9802322387695312e-8</x:v>
      </x:c>
      <x:c r="P725" s="28" t="n">
        <x:v>0</x:v>
      </x:c>
      <x:c r="Q725" s="62" t="b">
        <x:v>1</x:v>
      </x:c>
      <x:c r="R725" s="28" t="n">
        <x:v>0</x:v>
      </x:c>
      <x:c r="S725" s="28" t="str">
        <x:v>ef3a6a507b4efe58</x:v>
      </x:c>
    </x:row>
    <x:row r="726" ht="21" customHeight="1">
      <x:c r="A726" s="60" t="n">
        <x:v>0.62</x:v>
      </x:c>
      <x:c r="B726" s="28" t="str">
        <x:v>level_low</x:v>
      </x:c>
      <x:c r="C726" s="60" t="n">
        <x:v>0.2</x:v>
      </x:c>
      <x:c r="D726" s="60" t="n">
        <x:v>0.2</x:v>
      </x:c>
      <x:c r="E726" s="62" t="b">
        <x:v>1</x:v>
      </x:c>
      <x:c r="F726" s="62" t="b">
        <x:v>1</x:v>
      </x:c>
      <x:c r="G726" s="85" t="n">
        <x:v>0</x:v>
      </x:c>
      <x:c r="H726" s="85" t="n">
        <x:v>0</x:v>
      </x:c>
      <x:c r="I726" s="85" t="n">
        <x:v>9927391.237550396</x:v>
      </x:c>
      <x:c r="J726" s="85" t="n">
        <x:v>6323003.2725342475</x:v>
      </x:c>
      <x:c r="K726" s="85" t="n">
        <x:v>0</x:v>
      </x:c>
      <x:c r="L726" s="28" t="n">
        <x:v>0</x:v>
      </x:c>
      <x:c r="M726" s="28" t="n">
        <x:v>0</x:v>
      </x:c>
      <x:c r="N726" s="28" t="n">
        <x:v>3.725290298461914e-9</x:v>
      </x:c>
      <x:c r="O726" s="28" t="n">
        <x:v>2.9802322387695312e-8</x:v>
      </x:c>
      <x:c r="P726" s="28" t="n">
        <x:v>0</x:v>
      </x:c>
      <x:c r="Q726" s="62" t="b">
        <x:v>1</x:v>
      </x:c>
      <x:c r="R726" s="28" t="n">
        <x:v>0</x:v>
      </x:c>
      <x:c r="S726" s="28" t="str">
        <x:v>782c74dc70cc39df</x:v>
      </x:c>
    </x:row>
    <x:row r="727" ht="21" customHeight="1">
      <x:c r="A727" s="60" t="n">
        <x:v>0.62</x:v>
      </x:c>
      <x:c r="B727" s="28" t="str">
        <x:v>level_low</x:v>
      </x:c>
      <x:c r="C727" s="60" t="n">
        <x:v>0.25</x:v>
      </x:c>
      <x:c r="D727" s="60" t="n">
        <x:v>0.25</x:v>
      </x:c>
      <x:c r="E727" s="62" t="b">
        <x:v>1</x:v>
      </x:c>
      <x:c r="F727" s="62" t="b">
        <x:v>1</x:v>
      </x:c>
      <x:c r="G727" s="85" t="n">
        <x:v>0</x:v>
      </x:c>
      <x:c r="H727" s="85" t="n">
        <x:v>0</x:v>
      </x:c>
      <x:c r="I727" s="85" t="n">
        <x:v>14213709.927757148</x:v>
      </x:c>
      <x:c r="J727" s="85" t="n">
        <x:v>15403754.090667764</x:v>
      </x:c>
      <x:c r="K727" s="85" t="n">
        <x:v>0</x:v>
      </x:c>
      <x:c r="L727" s="28" t="n">
        <x:v>0</x:v>
      </x:c>
      <x:c r="M727" s="28" t="n">
        <x:v>0</x:v>
      </x:c>
      <x:c r="N727" s="28" t="n">
        <x:v>1.862645149230957e-9</x:v>
      </x:c>
      <x:c r="O727" s="28" t="n">
        <x:v>2.9802322387695312e-8</x:v>
      </x:c>
      <x:c r="P727" s="28" t="n">
        <x:v>0</x:v>
      </x:c>
      <x:c r="Q727" s="62" t="b">
        <x:v>1</x:v>
      </x:c>
      <x:c r="R727" s="28" t="n">
        <x:v>0</x:v>
      </x:c>
      <x:c r="S727" s="28" t="str">
        <x:v>b8027e46710026b5</x:v>
      </x:c>
    </x:row>
    <x:row r="728" ht="21" customHeight="1">
      <x:c r="A728" s="60" t="n">
        <x:v>0.62</x:v>
      </x:c>
      <x:c r="B728" s="28" t="str">
        <x:v>level_low</x:v>
      </x:c>
      <x:c r="C728" s="60" t="n">
        <x:v>0.3</x:v>
      </x:c>
      <x:c r="D728" s="60" t="n">
        <x:v>0.3</x:v>
      </x:c>
      <x:c r="E728" s="62" t="b">
        <x:v>1</x:v>
      </x:c>
      <x:c r="F728" s="62" t="b">
        <x:v>1</x:v>
      </x:c>
      <x:c r="G728" s="85" t="n">
        <x:v>0</x:v>
      </x:c>
      <x:c r="H728" s="85" t="n">
        <x:v>0</x:v>
      </x:c>
      <x:c r="I728" s="85" t="n">
        <x:v>18535237.280568805</x:v>
      </x:c>
      <x:c r="J728" s="85" t="n">
        <x:v>24484504.908801205</x:v>
      </x:c>
      <x:c r="K728" s="85" t="n">
        <x:v>0</x:v>
      </x:c>
      <x:c r="L728" s="28" t="n">
        <x:v>0</x:v>
      </x:c>
      <x:c r="M728" s="28" t="n">
        <x:v>0</x:v>
      </x:c>
      <x:c r="N728" s="28" t="n">
        <x:v>3.725290298461914e-9</x:v>
      </x:c>
      <x:c r="O728" s="28" t="n">
        <x:v>7.450580596923828e-9</x:v>
      </x:c>
      <x:c r="P728" s="28" t="n">
        <x:v>0</x:v>
      </x:c>
      <x:c r="Q728" s="62" t="b">
        <x:v>1</x:v>
      </x:c>
      <x:c r="R728" s="28" t="n">
        <x:v>0</x:v>
      </x:c>
      <x:c r="S728" s="28" t="str">
        <x:v>07155c5df0d8cc2a</x:v>
      </x:c>
    </x:row>
    <x:row r="729" ht="21" customHeight="1">
      <x:c r="A729" s="60" t="n">
        <x:v>0.62</x:v>
      </x:c>
      <x:c r="B729" s="28" t="str">
        <x:v>level_low</x:v>
      </x:c>
      <x:c r="C729" s="60" t="n">
        <x:v>0.35</x:v>
      </x:c>
      <x:c r="D729" s="60" t="n">
        <x:v>0.35</x:v>
      </x:c>
      <x:c r="E729" s="62" t="b">
        <x:v>1</x:v>
      </x:c>
      <x:c r="F729" s="62" t="b">
        <x:v>1</x:v>
      </x:c>
      <x:c r="G729" s="85" t="n">
        <x:v>0</x:v>
      </x:c>
      <x:c r="H729" s="85" t="n">
        <x:v>0</x:v>
      </x:c>
      <x:c r="I729" s="85" t="n">
        <x:v>22860094.23751752</x:v>
      </x:c>
      <x:c r="J729" s="85" t="n">
        <x:v>33565255.72693476</x:v>
      </x:c>
      <x:c r="K729" s="85" t="n">
        <x:v>0</x:v>
      </x:c>
      <x:c r="L729" s="28" t="n">
        <x:v>0</x:v>
      </x:c>
      <x:c r="M729" s="28" t="n">
        <x:v>0</x:v>
      </x:c>
      <x:c r="N729" s="28" t="n">
        <x:v>9.313225746154785e-10</x:v>
      </x:c>
      <x:c r="O729" s="28" t="n">
        <x:v>2.9802322387695312e-8</x:v>
      </x:c>
      <x:c r="P729" s="28" t="n">
        <x:v>0</x:v>
      </x:c>
      <x:c r="Q729" s="62" t="b">
        <x:v>1</x:v>
      </x:c>
      <x:c r="R729" s="28" t="n">
        <x:v>0</x:v>
      </x:c>
      <x:c r="S729" s="28" t="str">
        <x:v>ca87702335f8f222</x:v>
      </x:c>
    </x:row>
    <x:row r="730" ht="21" customHeight="1">
      <x:c r="A730" s="60" t="n">
        <x:v>0.62</x:v>
      </x:c>
      <x:c r="B730" s="28" t="str">
        <x:v>level_low</x:v>
      </x:c>
      <x:c r="C730" s="60" t="n">
        <x:v>0.4</x:v>
      </x:c>
      <x:c r="D730" s="60" t="n">
        <x:v>0.4</x:v>
      </x:c>
      <x:c r="E730" s="62" t="b">
        <x:v>1</x:v>
      </x:c>
      <x:c r="F730" s="62" t="b">
        <x:v>1</x:v>
      </x:c>
      <x:c r="G730" s="85" t="n">
        <x:v>0</x:v>
      </x:c>
      <x:c r="H730" s="85" t="n">
        <x:v>0</x:v>
      </x:c>
      <x:c r="I730" s="85" t="n">
        <x:v>27191110.393486008</x:v>
      </x:c>
      <x:c r="J730" s="85" t="n">
        <x:v>42646006.54506833</x:v>
      </x:c>
      <x:c r="K730" s="85" t="n">
        <x:v>0</x:v>
      </x:c>
      <x:c r="L730" s="28" t="n">
        <x:v>0</x:v>
      </x:c>
      <x:c r="M730" s="28" t="n">
        <x:v>0</x:v>
      </x:c>
      <x:c r="N730" s="28" t="n">
        <x:v>3.725290298461914e-9</x:v>
      </x:c>
      <x:c r="O730" s="28" t="n">
        <x:v>2.9802322387695312e-8</x:v>
      </x:c>
      <x:c r="P730" s="28" t="n">
        <x:v>0</x:v>
      </x:c>
      <x:c r="Q730" s="62" t="b">
        <x:v>1</x:v>
      </x:c>
      <x:c r="R730" s="28" t="n">
        <x:v>0</x:v>
      </x:c>
      <x:c r="S730" s="28" t="str">
        <x:v>024c834310b16154</x:v>
      </x:c>
    </x:row>
    <x:row r="731" ht="21" customHeight="1">
      <x:c r="A731" s="60" t="n">
        <x:v>0.62</x:v>
      </x:c>
      <x:c r="B731" s="28" t="str">
        <x:v>level_low</x:v>
      </x:c>
      <x:c r="C731" s="60" t="n">
        <x:v>0.45</x:v>
      </x:c>
      <x:c r="D731" s="60" t="n">
        <x:v>0.45</x:v>
      </x:c>
      <x:c r="E731" s="62" t="b">
        <x:v>1</x:v>
      </x:c>
      <x:c r="F731" s="62" t="b">
        <x:v>1</x:v>
      </x:c>
      <x:c r="G731" s="85" t="n">
        <x:v>0</x:v>
      </x:c>
      <x:c r="H731" s="85" t="n">
        <x:v>0</x:v>
      </x:c>
      <x:c r="I731" s="85" t="n">
        <x:v>31506743.130086165</x:v>
      </x:c>
      <x:c r="J731" s="85" t="n">
        <x:v>51726757.363201916</x:v>
      </x:c>
      <x:c r="K731" s="85" t="n">
        <x:v>0</x:v>
      </x:c>
      <x:c r="L731" s="28" t="n">
        <x:v>0</x:v>
      </x:c>
      <x:c r="M731" s="28" t="n">
        <x:v>0</x:v>
      </x:c>
      <x:c r="N731" s="28" t="n">
        <x:v>3.725290298461914e-9</x:v>
      </x:c>
      <x:c r="O731" s="28" t="n">
        <x:v>2.9802322387695312e-8</x:v>
      </x:c>
      <x:c r="P731" s="28" t="n">
        <x:v>0</x:v>
      </x:c>
      <x:c r="Q731" s="62" t="b">
        <x:v>1</x:v>
      </x:c>
      <x:c r="R731" s="28" t="n">
        <x:v>0</x:v>
      </x:c>
      <x:c r="S731" s="28" t="str">
        <x:v>305821c493cb0bc8</x:v>
      </x:c>
    </x:row>
    <x:row r="732" ht="21" customHeight="1">
      <x:c r="A732" s="60" t="n">
        <x:v>0.62</x:v>
      </x:c>
      <x:c r="B732" s="28" t="str">
        <x:v>level_low</x:v>
      </x:c>
      <x:c r="C732" s="60" t="n">
        <x:v>0.5</x:v>
      </x:c>
      <x:c r="D732" s="60" t="n">
        <x:v>0.5</x:v>
      </x:c>
      <x:c r="E732" s="62" t="b">
        <x:v>1</x:v>
      </x:c>
      <x:c r="F732" s="62" t="b">
        <x:v>1</x:v>
      </x:c>
      <x:c r="G732" s="85" t="n">
        <x:v>0</x:v>
      </x:c>
      <x:c r="H732" s="85" t="n">
        <x:v>0</x:v>
      </x:c>
      <x:c r="I732" s="85" t="n">
        <x:v>37016367.835936904</x:v>
      </x:c>
      <x:c r="J732" s="85" t="n">
        <x:v>58846897.89109473</x:v>
      </x:c>
      <x:c r="K732" s="85" t="n">
        <x:v>0</x:v>
      </x:c>
      <x:c r="L732" s="28" t="n">
        <x:v>5</x:v>
      </x:c>
      <x:c r="M732" s="28" t="n">
        <x:v>0</x:v>
      </x:c>
      <x:c r="N732" s="28" t="n">
        <x:v>1.862645149230957e-9</x:v>
      </x:c>
      <x:c r="O732" s="28" t="n">
        <x:v>1.4901161193847656e-8</x:v>
      </x:c>
      <x:c r="P732" s="28" t="n">
        <x:v>0</x:v>
      </x:c>
      <x:c r="Q732" s="62" t="b">
        <x:v>1</x:v>
      </x:c>
      <x:c r="R732" s="28" t="n">
        <x:v>0</x:v>
      </x:c>
      <x:c r="S732" s="28" t="str">
        <x:v>325c98ae16a4901e</x:v>
      </x:c>
    </x:row>
    <x:row r="733" ht="21" customHeight="1">
      <x:c r="A733" s="60" t="n">
        <x:v>0.62</x:v>
      </x:c>
      <x:c r="B733" s="28" t="str">
        <x:v>level_low</x:v>
      </x:c>
      <x:c r="C733" s="60" t="n">
        <x:v>0.55</x:v>
      </x:c>
      <x:c r="D733" s="60" t="n">
        <x:v>0.55</x:v>
      </x:c>
      <x:c r="E733" s="62" t="b">
        <x:v>1</x:v>
      </x:c>
      <x:c r="F733" s="62" t="b">
        <x:v>1</x:v>
      </x:c>
      <x:c r="G733" s="85" t="n">
        <x:v>0</x:v>
      </x:c>
      <x:c r="H733" s="85" t="n">
        <x:v>0</x:v>
      </x:c>
      <x:c r="I733" s="85" t="n">
        <x:v>42343086.31029158</x:v>
      </x:c>
      <x:c r="J733" s="85" t="n">
        <x:v>66155725.327457964</x:v>
      </x:c>
      <x:c r="K733" s="85" t="n">
        <x:v>0</x:v>
      </x:c>
      <x:c r="L733" s="28" t="n">
        <x:v>10</x:v>
      </x:c>
      <x:c r="M733" s="28" t="n">
        <x:v>0</x:v>
      </x:c>
      <x:c r="N733" s="28" t="n">
        <x:v>1.862645149230957e-9</x:v>
      </x:c>
      <x:c r="O733" s="28" t="n">
        <x:v>2.9802322387695312e-8</x:v>
      </x:c>
      <x:c r="P733" s="28" t="n">
        <x:v>0</x:v>
      </x:c>
      <x:c r="Q733" s="62" t="b">
        <x:v>1</x:v>
      </x:c>
      <x:c r="R733" s="28" t="n">
        <x:v>0</x:v>
      </x:c>
      <x:c r="S733" s="28" t="str">
        <x:v>c07598da4c2cea17</x:v>
      </x:c>
    </x:row>
    <x:row r="734" ht="21" customHeight="1">
      <x:c r="A734" s="60" t="n">
        <x:v>0.62</x:v>
      </x:c>
      <x:c r="B734" s="28" t="str">
        <x:v>level_low</x:v>
      </x:c>
      <x:c r="C734" s="60" t="n">
        <x:v>0.6</x:v>
      </x:c>
      <x:c r="D734" s="60" t="n">
        <x:v>0.6</x:v>
      </x:c>
      <x:c r="E734" s="62" t="b">
        <x:v>1</x:v>
      </x:c>
      <x:c r="F734" s="62" t="b">
        <x:v>1</x:v>
      </x:c>
      <x:c r="G734" s="85" t="n">
        <x:v>0</x:v>
      </x:c>
      <x:c r="H734" s="85" t="n">
        <x:v>0</x:v>
      </x:c>
      <x:c r="I734" s="85" t="n">
        <x:v>47001205.67347768</x:v>
      </x:c>
      <x:c r="J734" s="85" t="n">
        <x:v>74398503.07041128</x:v>
      </x:c>
      <x:c r="K734" s="85" t="n">
        <x:v>0</x:v>
      </x:c>
      <x:c r="L734" s="28" t="n">
        <x:v>13</x:v>
      </x:c>
      <x:c r="M734" s="28" t="n">
        <x:v>0</x:v>
      </x:c>
      <x:c r="N734" s="28" t="n">
        <x:v>1.862645149230957e-9</x:v>
      </x:c>
      <x:c r="O734" s="28" t="n">
        <x:v>2.9802322387695312e-8</x:v>
      </x:c>
      <x:c r="P734" s="28" t="n">
        <x:v>0</x:v>
      </x:c>
      <x:c r="Q734" s="62" t="b">
        <x:v>1</x:v>
      </x:c>
      <x:c r="R734" s="28" t="n">
        <x:v>0</x:v>
      </x:c>
      <x:c r="S734" s="28" t="str">
        <x:v>f2ea86aa15ae2752</x:v>
      </x:c>
    </x:row>
    <x:row r="735" ht="21" customHeight="1">
      <x:c r="A735" s="60" t="n">
        <x:v>0.62</x:v>
      </x:c>
      <x:c r="B735" s="28" t="str">
        <x:v>level_low</x:v>
      </x:c>
      <x:c r="C735" s="60" t="n">
        <x:v>0.65</x:v>
      </x:c>
      <x:c r="D735" s="60" t="n">
        <x:v>0.65</x:v>
      </x:c>
      <x:c r="E735" s="62" t="b">
        <x:v>1</x:v>
      </x:c>
      <x:c r="F735" s="62" t="b">
        <x:v>1</x:v>
      </x:c>
      <x:c r="G735" s="85" t="n">
        <x:v>0</x:v>
      </x:c>
      <x:c r="H735" s="85" t="n">
        <x:v>0</x:v>
      </x:c>
      <x:c r="I735" s="85" t="n">
        <x:v>51088954.65900271</x:v>
      </x:c>
      <x:c r="J735" s="85" t="n">
        <x:v>83355852.58909754</x:v>
      </x:c>
      <x:c r="K735" s="85" t="n">
        <x:v>0</x:v>
      </x:c>
      <x:c r="L735" s="28" t="n">
        <x:v>21</x:v>
      </x:c>
      <x:c r="M735" s="28" t="n">
        <x:v>2</x:v>
      </x:c>
      <x:c r="N735" s="28" t="n">
        <x:v>1.862645149230957e-9</x:v>
      </x:c>
      <x:c r="O735" s="28" t="n">
        <x:v>2.9802322387695312e-8</x:v>
      </x:c>
      <x:c r="P735" s="28" t="n">
        <x:v>0</x:v>
      </x:c>
      <x:c r="Q735" s="62" t="b">
        <x:v>1</x:v>
      </x:c>
      <x:c r="R735" s="28" t="n">
        <x:v>0</x:v>
      </x:c>
      <x:c r="S735" s="28" t="str">
        <x:v>c33fca6b50e370f9</x:v>
      </x:c>
    </x:row>
    <x:row r="736" ht="21" customHeight="1">
      <x:c r="A736" s="60" t="n">
        <x:v>0.62</x:v>
      </x:c>
      <x:c r="B736" s="28" t="str">
        <x:v>level_low</x:v>
      </x:c>
      <x:c r="C736" s="60" t="n">
        <x:v>0.7</x:v>
      </x:c>
      <x:c r="D736" s="60" t="n">
        <x:v>0.7</x:v>
      </x:c>
      <x:c r="E736" s="62" t="b">
        <x:v>1</x:v>
      </x:c>
      <x:c r="F736" s="62" t="b">
        <x:v>0</x:v>
      </x:c>
      <x:c r="G736" s="85" t="n">
        <x:v>615561.6658049375</x:v>
      </x:c>
      <x:c r="H736" s="85" t="n">
        <x:v>9268765.448023288</x:v>
      </x:c>
      <x:c r="I736" s="85" t="n">
        <x:v>52158239.17253205</x:v>
      </x:c>
      <x:c r="J736" s="85" t="n">
        <x:v>84000000.00000001</x:v>
      </x:c>
      <x:c r="K736" s="85" t="n">
        <x:v>0</x:v>
      </x:c>
      <x:c r="L736" s="28" t="n">
        <x:v>40</x:v>
      </x:c>
      <x:c r="M736" s="28" t="n">
        <x:v>30</x:v>
      </x:c>
      <x:c r="N736" s="28" t="n">
        <x:v>1.862645149230957e-9</x:v>
      </x:c>
      <x:c r="O736" s="28" t="n">
        <x:v>2.9802322387695312e-8</x:v>
      </x:c>
      <x:c r="P736" s="28" t="n">
        <x:v>0</x:v>
      </x:c>
      <x:c r="Q736" s="62" t="b">
        <x:v>1</x:v>
      </x:c>
      <x:c r="R736" s="28" t="n">
        <x:v>0</x:v>
      </x:c>
      <x:c r="S736" s="28" t="str">
        <x:v>2d5cb1c50528af0d</x:v>
      </x:c>
    </x:row>
    <x:row r="737" ht="21" customHeight="1">
      <x:c r="A737" s="60" t="n">
        <x:v>0.62</x:v>
      </x:c>
      <x:c r="B737" s="28" t="str">
        <x:v>level_low</x:v>
      </x:c>
      <x:c r="C737" s="60" t="n">
        <x:v>0.75</x:v>
      </x:c>
      <x:c r="D737" s="60" t="n">
        <x:v>0.75</x:v>
      </x:c>
      <x:c r="E737" s="62" t="b">
        <x:v>1</x:v>
      </x:c>
      <x:c r="F737" s="62" t="b">
        <x:v>0</x:v>
      </x:c>
      <x:c r="G737" s="85" t="n">
        <x:v>1328842.045354586</x:v>
      </x:c>
      <x:c r="H737" s="85" t="n">
        <x:v>19070682.07998967</x:v>
      </x:c>
      <x:c r="I737" s="85" t="n">
        <x:v>53162081.62585617</x:v>
      </x:c>
      <x:c r="J737" s="85" t="n">
        <x:v>84000000.00000001</x:v>
      </x:c>
      <x:c r="K737" s="85" t="n">
        <x:v>0</x:v>
      </x:c>
      <x:c r="L737" s="28" t="n">
        <x:v>41</x:v>
      </x:c>
      <x:c r="M737" s="28" t="n">
        <x:v>31</x:v>
      </x:c>
      <x:c r="N737" s="28" t="n">
        <x:v>1.862645149230957e-9</x:v>
      </x:c>
      <x:c r="O737" s="28" t="n">
        <x:v>2.9802322387695312e-8</x:v>
      </x:c>
      <x:c r="P737" s="28" t="n">
        <x:v>0</x:v>
      </x:c>
      <x:c r="Q737" s="62" t="b">
        <x:v>1</x:v>
      </x:c>
      <x:c r="R737" s="28" t="n">
        <x:v>0</x:v>
      </x:c>
      <x:c r="S737" s="28" t="str">
        <x:v>af0d4c303b4c2512</x:v>
      </x:c>
    </x:row>
    <x:row r="738" ht="21" customHeight="1">
      <x:c r="A738" s="60" t="n">
        <x:v>0.62</x:v>
      </x:c>
      <x:c r="B738" s="28" t="str">
        <x:v>level_low</x:v>
      </x:c>
      <x:c r="C738" s="60" t="n">
        <x:v>0.8</x:v>
      </x:c>
      <x:c r="D738" s="60" t="n">
        <x:v>0.8</x:v>
      </x:c>
      <x:c r="E738" s="62" t="b">
        <x:v>1</x:v>
      </x:c>
      <x:c r="F738" s="62" t="b">
        <x:v>0</x:v>
      </x:c>
      <x:c r="G738" s="85" t="n">
        <x:v>2248859.5200998965</x:v>
      </x:c>
      <x:c r="H738" s="85" t="n">
        <x:v>29590124.78081082</x:v>
      </x:c>
      <x:c r="I738" s="85" t="n">
        <x:v>53314917.195999995</x:v>
      </x:c>
      <x:c r="J738" s="85" t="n">
        <x:v>84000000.00000001</x:v>
      </x:c>
      <x:c r="K738" s="85" t="n">
        <x:v>0</x:v>
      </x:c>
      <x:c r="L738" s="28" t="n">
        <x:v>41</x:v>
      </x:c>
      <x:c r="M738" s="28" t="n">
        <x:v>32</x:v>
      </x:c>
      <x:c r="N738" s="28" t="n">
        <x:v>1.862645149230957e-9</x:v>
      </x:c>
      <x:c r="O738" s="28" t="n">
        <x:v>2.9802322387695312e-8</x:v>
      </x:c>
      <x:c r="P738" s="28" t="n">
        <x:v>0</x:v>
      </x:c>
      <x:c r="Q738" s="62" t="b">
        <x:v>1</x:v>
      </x:c>
      <x:c r="R738" s="28" t="n">
        <x:v>0</x:v>
      </x:c>
      <x:c r="S738" s="28" t="str">
        <x:v>a3047853ebf6b5bb</x:v>
      </x:c>
    </x:row>
    <x:row r="739" ht="21" customHeight="1">
      <x:c r="A739" s="60" t="n">
        <x:v>0.62</x:v>
      </x:c>
      <x:c r="B739" s="28" t="str">
        <x:v>level_low</x:v>
      </x:c>
      <x:c r="C739" s="60" t="n">
        <x:v>0.85</x:v>
      </x:c>
      <x:c r="D739" s="60" t="n">
        <x:v>0.85</x:v>
      </x:c>
      <x:c r="E739" s="62" t="b">
        <x:v>1</x:v>
      </x:c>
      <x:c r="F739" s="62" t="b">
        <x:v>0</x:v>
      </x:c>
      <x:c r="G739" s="85" t="n">
        <x:v>3218716.5659270217</x:v>
      </x:c>
      <x:c r="H739" s="85" t="n">
        <x:v>39158224.06194932</x:v>
      </x:c>
      <x:c r="I739" s="85" t="n">
        <x:v>54200228.974757805</x:v>
      </x:c>
      <x:c r="J739" s="85" t="n">
        <x:v>84000000.00000001</x:v>
      </x:c>
      <x:c r="K739" s="85" t="n">
        <x:v>0</x:v>
      </x:c>
      <x:c r="L739" s="28" t="n">
        <x:v>42</x:v>
      </x:c>
      <x:c r="M739" s="28" t="n">
        <x:v>34</x:v>
      </x:c>
      <x:c r="N739" s="28" t="n">
        <x:v>9.313225746154785e-10</x:v>
      </x:c>
      <x:c r="O739" s="28" t="n">
        <x:v>2.9802322387695312e-8</x:v>
      </x:c>
      <x:c r="P739" s="28" t="n">
        <x:v>0</x:v>
      </x:c>
      <x:c r="Q739" s="62" t="b">
        <x:v>1</x:v>
      </x:c>
      <x:c r="R739" s="28" t="n">
        <x:v>0</x:v>
      </x:c>
      <x:c r="S739" s="28" t="str">
        <x:v>eba3160614f67c4d</x:v>
      </x:c>
    </x:row>
    <x:row r="740" ht="21" customHeight="1">
      <x:c r="A740" s="60" t="n">
        <x:v>0.62</x:v>
      </x:c>
      <x:c r="B740" s="28" t="str">
        <x:v>level_low</x:v>
      </x:c>
      <x:c r="C740" s="60" t="n">
        <x:v>0.9</x:v>
      </x:c>
      <x:c r="D740" s="60" t="n">
        <x:v>0.9</x:v>
      </x:c>
      <x:c r="E740" s="62" t="b">
        <x:v>1</x:v>
      </x:c>
      <x:c r="F740" s="62" t="b">
        <x:v>0</x:v>
      </x:c>
      <x:c r="G740" s="85" t="n">
        <x:v>5035515.988573967</x:v>
      </x:c>
      <x:c r="H740" s="85" t="n">
        <x:v>48005856.69321213</x:v>
      </x:c>
      <x:c r="I740" s="85" t="n">
        <x:v>55163026.9949589</x:v>
      </x:c>
      <x:c r="J740" s="85" t="n">
        <x:v>84000000.00000001</x:v>
      </x:c>
      <x:c r="K740" s="85" t="n">
        <x:v>0</x:v>
      </x:c>
      <x:c r="L740" s="28" t="n">
        <x:v>43</x:v>
      </x:c>
      <x:c r="M740" s="28" t="n">
        <x:v>34</x:v>
      </x:c>
      <x:c r="N740" s="28" t="n">
        <x:v>1.862645149230957e-9</x:v>
      </x:c>
      <x:c r="O740" s="28" t="n">
        <x:v>7.450580596923828e-9</x:v>
      </x:c>
      <x:c r="P740" s="28" t="n">
        <x:v>0</x:v>
      </x:c>
      <x:c r="Q740" s="62" t="b">
        <x:v>1</x:v>
      </x:c>
      <x:c r="R740" s="28" t="n">
        <x:v>0</x:v>
      </x:c>
      <x:c r="S740" s="28" t="str">
        <x:v>1f6df8ddb6730f1c</x:v>
      </x:c>
    </x:row>
    <x:row r="741" ht="21" customHeight="1">
      <x:c r="A741" s="60" t="n">
        <x:v>0.62</x:v>
      </x:c>
      <x:c r="B741" s="28" t="str">
        <x:v>level_low</x:v>
      </x:c>
      <x:c r="C741" s="60" t="n">
        <x:v>0.95</x:v>
      </x:c>
      <x:c r="D741" s="60" t="n">
        <x:v>0.9219114501462435</x:v>
      </x:c>
      <x:c r="E741" s="62" t="b">
        <x:v>0</x:v>
      </x:c>
      <x:c r="F741" s="62" t="b">
        <x:v>0</x:v>
      </x:c>
      <x:c r="G741" s="85" t="n">
        <x:v>5925333.081193251</x:v>
      </x:c>
      <x:c r="H741" s="85" t="n">
        <x:v>51952883.197663546</x:v>
      </x:c>
      <x:c r="I741" s="85" t="n">
        <x:v>55251776.71241096</x:v>
      </x:c>
      <x:c r="J741" s="85" t="n">
        <x:v>84000000.00000001</x:v>
      </x:c>
      <x:c r="K741" s="85" t="n">
        <x:v>0</x:v>
      </x:c>
      <x:c r="L741" s="28" t="n">
        <x:v>43</x:v>
      </x:c>
      <x:c r="M741" s="28" t="n">
        <x:v>35</x:v>
      </x:c>
      <x:c r="N741" s="28" t="n">
        <x:v>1.862645149230957e-9</x:v>
      </x:c>
      <x:c r="O741" s="28" t="n">
        <x:v>1.4901161193847656e-8</x:v>
      </x:c>
      <x:c r="P741" s="28" t="n">
        <x:v>0</x:v>
      </x:c>
      <x:c r="Q741" s="62" t="b">
        <x:v>1</x:v>
      </x:c>
      <x:c r="R741" s="28" t="n">
        <x:v>8426564.956126928</x:v>
      </x:c>
      <x:c r="S741" s="28" t="str">
        <x:v>ac68128e989474eb</x:v>
      </x:c>
    </x:row>
    <x:row r="742" ht="21" customHeight="1">
      <x:c r="A742" s="60" t="n">
        <x:v>0.62</x:v>
      </x:c>
      <x:c r="B742" s="28" t="str">
        <x:v>level_low</x:v>
      </x:c>
      <x:c r="C742" s="60" t="n">
        <x:v>1</x:v>
      </x:c>
      <x:c r="D742" s="60" t="n">
        <x:v>0.9350574964161632</x:v>
      </x:c>
      <x:c r="E742" s="62" t="b">
        <x:v>0</x:v>
      </x:c>
      <x:c r="F742" s="62" t="b">
        <x:v>0</x:v>
      </x:c>
      <x:c r="G742" s="85" t="n">
        <x:v>6420015.030899942</x:v>
      </x:c>
      <x:c r="H742" s="85" t="n">
        <x:v>54021843.05688448</x:v>
      </x:c>
      <x:c r="I742" s="85" t="n">
        <x:v>56113492.83328767</x:v>
      </x:c>
      <x:c r="J742" s="85" t="n">
        <x:v>84000000.00000001</x:v>
      </x:c>
      <x:c r="K742" s="85" t="n">
        <x:v>0</x:v>
      </x:c>
      <x:c r="L742" s="28" t="n">
        <x:v>44</x:v>
      </x:c>
      <x:c r="M742" s="28" t="n">
        <x:v>36</x:v>
      </x:c>
      <x:c r="N742" s="28" t="n">
        <x:v>1.862645149230957e-9</x:v>
      </x:c>
      <x:c r="O742" s="28" t="n">
        <x:v>7.450580596923828e-9</x:v>
      </x:c>
      <x:c r="P742" s="28" t="n">
        <x:v>0</x:v>
      </x:c>
      <x:c r="Q742" s="62" t="b">
        <x:v>1</x:v>
      </x:c>
      <x:c r="R742" s="28" t="n">
        <x:v>19482751.075151026</x:v>
      </x:c>
      <x:c r="S742" s="28" t="str">
        <x:v>42080ac4642f5772</x:v>
      </x:c>
    </x:row>
    <x:row r="743" ht="21" customHeight="1">
      <x:c r="A743" s="60" t="n">
        <x:v>0.62</x:v>
      </x:c>
      <x:c r="B743" s="28" t="str">
        <x:v>level_high</x:v>
      </x:c>
      <x:c r="C743" s="60" t="n">
        <x:v>0</x:v>
      </x:c>
      <x:c r="D743" s="60" t="n">
        <x:v>0</x:v>
      </x:c>
      <x:c r="E743" s="62" t="b">
        <x:v>1</x:v>
      </x:c>
      <x:c r="F743" s="62" t="b">
        <x:v>1</x:v>
      </x:c>
      <x:c r="G743" s="85" t="n">
        <x:v>0</x:v>
      </x:c>
      <x:c r="H743" s="85" t="n">
        <x:v>0</x:v>
      </x:c>
      <x:c r="I743" s="85" t="n">
        <x:v>0</x:v>
      </x:c>
      <x:c r="J743" s="85" t="n">
        <x:v>0</x:v>
      </x:c>
      <x:c r="K743" s="85" t="n">
        <x:v>36100366.080136925</x:v>
      </x:c>
      <x:c r="L743" s="28" t="n">
        <x:v>0</x:v>
      </x:c>
      <x:c r="M743" s="28" t="n">
        <x:v>0</x:v>
      </x:c>
      <x:c r="N743" s="28" t="n">
        <x:v>3.725290298461914e-9</x:v>
      </x:c>
      <x:c r="O743" s="28" t="n">
        <x:v>0</x:v>
      </x:c>
      <x:c r="P743" s="28" t="n">
        <x:v>0</x:v>
      </x:c>
      <x:c r="Q743" s="62" t="b">
        <x:v>1</x:v>
      </x:c>
      <x:c r="R743" s="28" t="n">
        <x:v>0</x:v>
      </x:c>
      <x:c r="S743" s="28" t="str">
        <x:v>a824b50cdfaa5011</x:v>
      </x:c>
    </x:row>
    <x:row r="744" ht="21" customHeight="1">
      <x:c r="A744" s="60" t="n">
        <x:v>0.62</x:v>
      </x:c>
      <x:c r="B744" s="28" t="str">
        <x:v>level_high</x:v>
      </x:c>
      <x:c r="C744" s="60" t="n">
        <x:v>0.05</x:v>
      </x:c>
      <x:c r="D744" s="60" t="n">
        <x:v>0.05</x:v>
      </x:c>
      <x:c r="E744" s="62" t="b">
        <x:v>1</x:v>
      </x:c>
      <x:c r="F744" s="62" t="b">
        <x:v>1</x:v>
      </x:c>
      <x:c r="G744" s="85" t="n">
        <x:v>0</x:v>
      </x:c>
      <x:c r="H744" s="85" t="n">
        <x:v>0</x:v>
      </x:c>
      <x:c r="I744" s="85" t="n">
        <x:v>0</x:v>
      </x:c>
      <x:c r="J744" s="85" t="n">
        <x:v>0</x:v>
      </x:c>
      <x:c r="K744" s="85" t="n">
        <x:v>22746136.46066859</x:v>
      </x:c>
      <x:c r="L744" s="28" t="n">
        <x:v>0</x:v>
      </x:c>
      <x:c r="M744" s="28" t="n">
        <x:v>0</x:v>
      </x:c>
      <x:c r="N744" s="28" t="n">
        <x:v>1.862645149230957e-9</x:v>
      </x:c>
      <x:c r="O744" s="28" t="n">
        <x:v>2.9802322387695312e-8</x:v>
      </x:c>
      <x:c r="P744" s="28" t="n">
        <x:v>0</x:v>
      </x:c>
      <x:c r="Q744" s="62" t="b">
        <x:v>1</x:v>
      </x:c>
      <x:c r="R744" s="28" t="n">
        <x:v>0</x:v>
      </x:c>
      <x:c r="S744" s="28" t="str">
        <x:v>0872b493520503ac</x:v>
      </x:c>
    </x:row>
    <x:row r="745" ht="21" customHeight="1">
      <x:c r="A745" s="60" t="n">
        <x:v>0.62</x:v>
      </x:c>
      <x:c r="B745" s="28" t="str">
        <x:v>level_high</x:v>
      </x:c>
      <x:c r="C745" s="60" t="n">
        <x:v>0.1</x:v>
      </x:c>
      <x:c r="D745" s="60" t="n">
        <x:v>0.1</x:v>
      </x:c>
      <x:c r="E745" s="62" t="b">
        <x:v>1</x:v>
      </x:c>
      <x:c r="F745" s="62" t="b">
        <x:v>1</x:v>
      </x:c>
      <x:c r="G745" s="85" t="n">
        <x:v>0</x:v>
      </x:c>
      <x:c r="H745" s="85" t="n">
        <x:v>0</x:v>
      </x:c>
      <x:c r="I745" s="85" t="n">
        <x:v>0</x:v>
      </x:c>
      <x:c r="J745" s="85" t="n">
        <x:v>0</x:v>
      </x:c>
      <x:c r="K745" s="85" t="n">
        <x:v>9258015.93465727</x:v>
      </x:c>
      <x:c r="L745" s="28" t="n">
        <x:v>0</x:v>
      </x:c>
      <x:c r="M745" s="28" t="n">
        <x:v>0</x:v>
      </x:c>
      <x:c r="N745" s="28" t="n">
        <x:v>3.725290298461914e-9</x:v>
      </x:c>
      <x:c r="O745" s="28" t="n">
        <x:v>5.960464477539063e-8</x:v>
      </x:c>
      <x:c r="P745" s="28" t="n">
        <x:v>0</x:v>
      </x:c>
      <x:c r="Q745" s="62" t="b">
        <x:v>1</x:v>
      </x:c>
      <x:c r="R745" s="28" t="n">
        <x:v>0</x:v>
      </x:c>
      <x:c r="S745" s="28" t="str">
        <x:v>3bda1cd8d44e1597</x:v>
      </x:c>
    </x:row>
    <x:row r="746" ht="21" customHeight="1">
      <x:c r="A746" s="60" t="n">
        <x:v>0.62</x:v>
      </x:c>
      <x:c r="B746" s="28" t="str">
        <x:v>level_high</x:v>
      </x:c>
      <x:c r="C746" s="60" t="n">
        <x:v>0.15</x:v>
      </x:c>
      <x:c r="D746" s="60" t="n">
        <x:v>0.15</x:v>
      </x:c>
      <x:c r="E746" s="62" t="b">
        <x:v>1</x:v>
      </x:c>
      <x:c r="F746" s="62" t="b">
        <x:v>1</x:v>
      </x:c>
      <x:c r="G746" s="85" t="n">
        <x:v>0</x:v>
      </x:c>
      <x:c r="H746" s="85" t="n">
        <x:v>0</x:v>
      </x:c>
      <x:c r="I746" s="85" t="n">
        <x:v>4661960.077564585</x:v>
      </x:c>
      <x:c r="J746" s="85" t="n">
        <x:v>0</x:v>
      </x:c>
      <x:c r="K746" s="85" t="n">
        <x:v>1310882.2984345038</x:v>
      </x:c>
      <x:c r="L746" s="28" t="n">
        <x:v>0</x:v>
      </x:c>
      <x:c r="M746" s="28" t="n">
        <x:v>0</x:v>
      </x:c>
      <x:c r="N746" s="28" t="n">
        <x:v>3.725290298461914e-9</x:v>
      </x:c>
      <x:c r="O746" s="28" t="n">
        <x:v>2.9802322387695312e-8</x:v>
      </x:c>
      <x:c r="P746" s="28" t="n">
        <x:v>0</x:v>
      </x:c>
      <x:c r="Q746" s="62" t="b">
        <x:v>1</x:v>
      </x:c>
      <x:c r="R746" s="28" t="n">
        <x:v>0</x:v>
      </x:c>
      <x:c r="S746" s="28" t="str">
        <x:v>9b5008ec7651c13a</x:v>
      </x:c>
    </x:row>
    <x:row r="747" ht="21" customHeight="1">
      <x:c r="A747" s="60" t="n">
        <x:v>0.62</x:v>
      </x:c>
      <x:c r="B747" s="28" t="str">
        <x:v>level_high</x:v>
      </x:c>
      <x:c r="C747" s="60" t="n">
        <x:v>0.2</x:v>
      </x:c>
      <x:c r="D747" s="60" t="n">
        <x:v>0.2</x:v>
      </x:c>
      <x:c r="E747" s="62" t="b">
        <x:v>1</x:v>
      </x:c>
      <x:c r="F747" s="62" t="b">
        <x:v>1</x:v>
      </x:c>
      <x:c r="G747" s="85" t="n">
        <x:v>0</x:v>
      </x:c>
      <x:c r="H747" s="85" t="n">
        <x:v>0</x:v>
      </x:c>
      <x:c r="I747" s="85" t="n">
        <x:v>15105849.303388985</x:v>
      </x:c>
      <x:c r="J747" s="85" t="n">
        <x:v>6323003.2725342475</x:v>
      </x:c>
      <x:c r="K747" s="85" t="n">
        <x:v>876821.2723199974</x:v>
      </x:c>
      <x:c r="L747" s="28" t="n">
        <x:v>0</x:v>
      </x:c>
      <x:c r="M747" s="28" t="n">
        <x:v>0</x:v>
      </x:c>
      <x:c r="N747" s="28" t="n">
        <x:v>1.862645149230957e-9</x:v>
      </x:c>
      <x:c r="O747" s="28" t="n">
        <x:v>2.9802322387695312e-8</x:v>
      </x:c>
      <x:c r="P747" s="28" t="n">
        <x:v>0</x:v>
      </x:c>
      <x:c r="Q747" s="62" t="b">
        <x:v>1</x:v>
      </x:c>
      <x:c r="R747" s="28" t="n">
        <x:v>0</x:v>
      </x:c>
      <x:c r="S747" s="28" t="str">
        <x:v>f9add68a0bfb42a7</x:v>
      </x:c>
    </x:row>
    <x:row r="748" ht="21" customHeight="1">
      <x:c r="A748" s="60" t="n">
        <x:v>0.62</x:v>
      </x:c>
      <x:c r="B748" s="28" t="str">
        <x:v>level_high</x:v>
      </x:c>
      <x:c r="C748" s="60" t="n">
        <x:v>0.25</x:v>
      </x:c>
      <x:c r="D748" s="60" t="n">
        <x:v>0.25</x:v>
      </x:c>
      <x:c r="E748" s="62" t="b">
        <x:v>1</x:v>
      </x:c>
      <x:c r="F748" s="62" t="b">
        <x:v>1</x:v>
      </x:c>
      <x:c r="G748" s="85" t="n">
        <x:v>0</x:v>
      </x:c>
      <x:c r="H748" s="85" t="n">
        <x:v>0</x:v>
      </x:c>
      <x:c r="I748" s="85" t="n">
        <x:v>24128171.745133482</x:v>
      </x:c>
      <x:c r="J748" s="85" t="n">
        <x:v>15403754.090667764</x:v>
      </x:c>
      <x:c r="K748" s="85" t="n">
        <x:v>657872.657773972</x:v>
      </x:c>
      <x:c r="L748" s="28" t="n">
        <x:v>0</x:v>
      </x:c>
      <x:c r="M748" s="28" t="n">
        <x:v>0</x:v>
      </x:c>
      <x:c r="N748" s="28" t="n">
        <x:v>3.725290298461914e-9</x:v>
      </x:c>
      <x:c r="O748" s="28" t="n">
        <x:v>2.9802322387695312e-8</x:v>
      </x:c>
      <x:c r="P748" s="28" t="n">
        <x:v>0</x:v>
      </x:c>
      <x:c r="Q748" s="62" t="b">
        <x:v>1</x:v>
      </x:c>
      <x:c r="R748" s="28" t="n">
        <x:v>0</x:v>
      </x:c>
      <x:c r="S748" s="28" t="str">
        <x:v>6b13e90b8d0cd655</x:v>
      </x:c>
    </x:row>
    <x:row r="749" ht="21" customHeight="1">
      <x:c r="A749" s="60" t="n">
        <x:v>0.62</x:v>
      </x:c>
      <x:c r="B749" s="28" t="str">
        <x:v>level_high</x:v>
      </x:c>
      <x:c r="C749" s="60" t="n">
        <x:v>0.3</x:v>
      </x:c>
      <x:c r="D749" s="60" t="n">
        <x:v>0.3</x:v>
      </x:c>
      <x:c r="E749" s="62" t="b">
        <x:v>1</x:v>
      </x:c>
      <x:c r="F749" s="62" t="b">
        <x:v>1</x:v>
      </x:c>
      <x:c r="G749" s="85" t="n">
        <x:v>0</x:v>
      </x:c>
      <x:c r="H749" s="85" t="n">
        <x:v>0</x:v>
      </x:c>
      <x:c r="I749" s="85" t="n">
        <x:v>33326092.404049948</x:v>
      </x:c>
      <x:c r="J749" s="85" t="n">
        <x:v>24484504.908801205</x:v>
      </x:c>
      <x:c r="K749" s="85" t="n">
        <x:v>497720.08932875446</x:v>
      </x:c>
      <x:c r="L749" s="28" t="n">
        <x:v>0</x:v>
      </x:c>
      <x:c r="M749" s="28" t="n">
        <x:v>0</x:v>
      </x:c>
      <x:c r="N749" s="28" t="n">
        <x:v>1.862645149230957e-9</x:v>
      </x:c>
      <x:c r="O749" s="28" t="n">
        <x:v>7.450580596923828e-9</x:v>
      </x:c>
      <x:c r="P749" s="28" t="n">
        <x:v>0</x:v>
      </x:c>
      <x:c r="Q749" s="62" t="b">
        <x:v>1</x:v>
      </x:c>
      <x:c r="R749" s="28" t="n">
        <x:v>0</x:v>
      </x:c>
      <x:c r="S749" s="28" t="str">
        <x:v>76966b1922354308</x:v>
      </x:c>
    </x:row>
    <x:row r="750" ht="21" customHeight="1">
      <x:c r="A750" s="60" t="n">
        <x:v>0.62</x:v>
      </x:c>
      <x:c r="B750" s="28" t="str">
        <x:v>level_high</x:v>
      </x:c>
      <x:c r="C750" s="60" t="n">
        <x:v>0.35</x:v>
      </x:c>
      <x:c r="D750" s="60" t="n">
        <x:v>0.35</x:v>
      </x:c>
      <x:c r="E750" s="62" t="b">
        <x:v>1</x:v>
      </x:c>
      <x:c r="F750" s="62" t="b">
        <x:v>1</x:v>
      </x:c>
      <x:c r="G750" s="85" t="n">
        <x:v>0</x:v>
      </x:c>
      <x:c r="H750" s="85" t="n">
        <x:v>0</x:v>
      </x:c>
      <x:c r="I750" s="85" t="n">
        <x:v>42627440.20209937</x:v>
      </x:c>
      <x:c r="J750" s="85" t="n">
        <x:v>33565255.72693476</x:v>
      </x:c>
      <x:c r="K750" s="85" t="n">
        <x:v>384806.9543356042</x:v>
      </x:c>
      <x:c r="L750" s="28" t="n">
        <x:v>0</x:v>
      </x:c>
      <x:c r="M750" s="28" t="n">
        <x:v>0</x:v>
      </x:c>
      <x:c r="N750" s="28" t="n">
        <x:v>3.725290298461914e-9</x:v>
      </x:c>
      <x:c r="O750" s="28" t="n">
        <x:v>2.9802322387695312e-8</x:v>
      </x:c>
      <x:c r="P750" s="28" t="n">
        <x:v>0</x:v>
      </x:c>
      <x:c r="Q750" s="62" t="b">
        <x:v>1</x:v>
      </x:c>
      <x:c r="R750" s="28" t="n">
        <x:v>0</x:v>
      </x:c>
      <x:c r="S750" s="28" t="str">
        <x:v>71c0798ae5ef03a1</x:v>
      </x:c>
    </x:row>
    <x:row r="751" ht="21" customHeight="1">
      <x:c r="A751" s="60" t="n">
        <x:v>0.62</x:v>
      </x:c>
      <x:c r="B751" s="28" t="str">
        <x:v>level_high</x:v>
      </x:c>
      <x:c r="C751" s="60" t="n">
        <x:v>0.4</x:v>
      </x:c>
      <x:c r="D751" s="60" t="n">
        <x:v>0.4</x:v>
      </x:c>
      <x:c r="E751" s="62" t="b">
        <x:v>1</x:v>
      </x:c>
      <x:c r="F751" s="62" t="b">
        <x:v>1</x:v>
      </x:c>
      <x:c r="G751" s="85" t="n">
        <x:v>0</x:v>
      </x:c>
      <x:c r="H751" s="85" t="n">
        <x:v>0</x:v>
      </x:c>
      <x:c r="I751" s="85" t="n">
        <x:v>51896455.12130563</x:v>
      </x:c>
      <x:c r="J751" s="85" t="n">
        <x:v>42646006.54506833</x:v>
      </x:c>
      <x:c r="K751" s="85" t="n">
        <x:v>336447.4681643818</x:v>
      </x:c>
      <x:c r="L751" s="28" t="n">
        <x:v>0</x:v>
      </x:c>
      <x:c r="M751" s="28" t="n">
        <x:v>0</x:v>
      </x:c>
      <x:c r="N751" s="28" t="n">
        <x:v>1.862645149230957e-9</x:v>
      </x:c>
      <x:c r="O751" s="28" t="n">
        <x:v>2.9802322387695312e-8</x:v>
      </x:c>
      <x:c r="P751" s="28" t="n">
        <x:v>0</x:v>
      </x:c>
      <x:c r="Q751" s="62" t="b">
        <x:v>1</x:v>
      </x:c>
      <x:c r="R751" s="28" t="n">
        <x:v>0</x:v>
      </x:c>
      <x:c r="S751" s="28" t="str">
        <x:v>bb7f493e6a9d3f2d</x:v>
      </x:c>
    </x:row>
    <x:row r="752" ht="21" customHeight="1">
      <x:c r="A752" s="60" t="n">
        <x:v>0.62</x:v>
      </x:c>
      <x:c r="B752" s="28" t="str">
        <x:v>level_high</x:v>
      </x:c>
      <x:c r="C752" s="60" t="n">
        <x:v>0.45</x:v>
      </x:c>
      <x:c r="D752" s="60" t="n">
        <x:v>0.45</x:v>
      </x:c>
      <x:c r="E752" s="62" t="b">
        <x:v>1</x:v>
      </x:c>
      <x:c r="F752" s="62" t="b">
        <x:v>1</x:v>
      </x:c>
      <x:c r="G752" s="85" t="n">
        <x:v>0</x:v>
      </x:c>
      <x:c r="H752" s="85" t="n">
        <x:v>0</x:v>
      </x:c>
      <x:c r="I752" s="85" t="n">
        <x:v>61206823.178047605</x:v>
      </x:c>
      <x:c r="J752" s="85" t="n">
        <x:v>51726757.363201916</x:v>
      </x:c>
      <x:c r="K752" s="85" t="n">
        <x:v>288087.98199313885</x:v>
      </x:c>
      <x:c r="L752" s="28" t="n">
        <x:v>0</x:v>
      </x:c>
      <x:c r="M752" s="28" t="n">
        <x:v>0</x:v>
      </x:c>
      <x:c r="N752" s="28" t="n">
        <x:v>1.862645149230957e-9</x:v>
      </x:c>
      <x:c r="O752" s="28" t="n">
        <x:v>2.9802322387695312e-8</x:v>
      </x:c>
      <x:c r="P752" s="28" t="n">
        <x:v>0</x:v>
      </x:c>
      <x:c r="Q752" s="62" t="b">
        <x:v>1</x:v>
      </x:c>
      <x:c r="R752" s="28" t="n">
        <x:v>0</x:v>
      </x:c>
      <x:c r="S752" s="28" t="str">
        <x:v>0bdbc47c61633d62</x:v>
      </x:c>
    </x:row>
    <x:row r="753" ht="21" customHeight="1">
      <x:c r="A753" s="60" t="n">
        <x:v>0.62</x:v>
      </x:c>
      <x:c r="B753" s="28" t="str">
        <x:v>level_high</x:v>
      </x:c>
      <x:c r="C753" s="60" t="n">
        <x:v>0.5</x:v>
      </x:c>
      <x:c r="D753" s="60" t="n">
        <x:v>0.5</x:v>
      </x:c>
      <x:c r="E753" s="62" t="b">
        <x:v>1</x:v>
      </x:c>
      <x:c r="F753" s="62" t="b">
        <x:v>1</x:v>
      </x:c>
      <x:c r="G753" s="85" t="n">
        <x:v>0</x:v>
      </x:c>
      <x:c r="H753" s="85" t="n">
        <x:v>0</x:v>
      </x:c>
      <x:c r="I753" s="85" t="n">
        <x:v>71139671.49527583</x:v>
      </x:c>
      <x:c r="J753" s="85" t="n">
        <x:v>57922088.15828042</x:v>
      </x:c>
      <x:c r="K753" s="85" t="n">
        <x:v>239728.4958219201</x:v>
      </x:c>
      <x:c r="L753" s="28" t="n">
        <x:v>5</x:v>
      </x:c>
      <x:c r="M753" s="28" t="n">
        <x:v>0</x:v>
      </x:c>
      <x:c r="N753" s="28" t="n">
        <x:v>3.725290298461914e-9</x:v>
      </x:c>
      <x:c r="O753" s="28" t="n">
        <x:v>1.4901161193847656e-8</x:v>
      </x:c>
      <x:c r="P753" s="28" t="n">
        <x:v>0</x:v>
      </x:c>
      <x:c r="Q753" s="62" t="b">
        <x:v>1</x:v>
      </x:c>
      <x:c r="R753" s="28" t="n">
        <x:v>0</x:v>
      </x:c>
      <x:c r="S753" s="28" t="str">
        <x:v>d3c244b0f7af6862</x:v>
      </x:c>
    </x:row>
    <x:row r="754" ht="21" customHeight="1">
      <x:c r="A754" s="60" t="n">
        <x:v>0.62</x:v>
      </x:c>
      <x:c r="B754" s="28" t="str">
        <x:v>level_high</x:v>
      </x:c>
      <x:c r="C754" s="60" t="n">
        <x:v>0.55</x:v>
      </x:c>
      <x:c r="D754" s="60" t="n">
        <x:v>0.55</x:v>
      </x:c>
      <x:c r="E754" s="62" t="b">
        <x:v>1</x:v>
      </x:c>
      <x:c r="F754" s="62" t="b">
        <x:v>1</x:v>
      </x:c>
      <x:c r="G754" s="85" t="n">
        <x:v>0</x:v>
      </x:c>
      <x:c r="H754" s="85" t="n">
        <x:v>0</x:v>
      </x:c>
      <x:c r="I754" s="85" t="n">
        <x:v>80803819.48780581</x:v>
      </x:c>
      <x:c r="J754" s="85" t="n">
        <x:v>64555639.602788545</x:v>
      </x:c>
      <x:c r="K754" s="85" t="n">
        <x:v>191369.0096506837</x:v>
      </x:c>
      <x:c r="L754" s="28" t="n">
        <x:v>10</x:v>
      </x:c>
      <x:c r="M754" s="28" t="n">
        <x:v>3</x:v>
      </x:c>
      <x:c r="N754" s="28" t="n">
        <x:v>1.862645149230957e-9</x:v>
      </x:c>
      <x:c r="O754" s="28" t="n">
        <x:v>2.9802322387695312e-8</x:v>
      </x:c>
      <x:c r="P754" s="28" t="n">
        <x:v>0</x:v>
      </x:c>
      <x:c r="Q754" s="62" t="b">
        <x:v>1</x:v>
      </x:c>
      <x:c r="R754" s="28" t="n">
        <x:v>0</x:v>
      </x:c>
      <x:c r="S754" s="28" t="str">
        <x:v>ad7b2493ba81f98d</x:v>
      </x:c>
    </x:row>
    <x:row r="755" ht="21" customHeight="1">
      <x:c r="A755" s="60" t="n">
        <x:v>0.62</x:v>
      </x:c>
      <x:c r="B755" s="28" t="str">
        <x:v>level_high</x:v>
      </x:c>
      <x:c r="C755" s="60" t="n">
        <x:v>0.6</x:v>
      </x:c>
      <x:c r="D755" s="60" t="n">
        <x:v>0.6</x:v>
      </x:c>
      <x:c r="E755" s="62" t="b">
        <x:v>1</x:v>
      </x:c>
      <x:c r="F755" s="62" t="b">
        <x:v>1</x:v>
      </x:c>
      <x:c r="G755" s="85" t="n">
        <x:v>0</x:v>
      </x:c>
      <x:c r="H755" s="85" t="n">
        <x:v>0</x:v>
      </x:c>
      <x:c r="I755" s="85" t="n">
        <x:v>89935208.50114042</x:v>
      </x:c>
      <x:c r="J755" s="85" t="n">
        <x:v>72951905.84081583</x:v>
      </x:c>
      <x:c r="K755" s="85" t="n">
        <x:v>143009.5234794501</x:v>
      </x:c>
      <x:c r="L755" s="28" t="n">
        <x:v>13</x:v>
      </x:c>
      <x:c r="M755" s="28" t="n">
        <x:v>7</x:v>
      </x:c>
      <x:c r="N755" s="28" t="n">
        <x:v>1.862645149230957e-9</x:v>
      </x:c>
      <x:c r="O755" s="28" t="n">
        <x:v>2.9802322387695312e-8</x:v>
      </x:c>
      <x:c r="P755" s="28" t="n">
        <x:v>0</x:v>
      </x:c>
      <x:c r="Q755" s="62" t="b">
        <x:v>1</x:v>
      </x:c>
      <x:c r="R755" s="28" t="n">
        <x:v>0</x:v>
      </x:c>
      <x:c r="S755" s="28" t="str">
        <x:v>6e0c1f3fe629818f</x:v>
      </x:c>
    </x:row>
    <x:row r="756" ht="21" customHeight="1">
      <x:c r="A756" s="60" t="n">
        <x:v>0.62</x:v>
      </x:c>
      <x:c r="B756" s="28" t="str">
        <x:v>level_high</x:v>
      </x:c>
      <x:c r="C756" s="60" t="n">
        <x:v>0.65</x:v>
      </x:c>
      <x:c r="D756" s="60" t="n">
        <x:v>0.65</x:v>
      </x:c>
      <x:c r="E756" s="62" t="b">
        <x:v>1</x:v>
      </x:c>
      <x:c r="F756" s="62" t="b">
        <x:v>1</x:v>
      </x:c>
      <x:c r="G756" s="85" t="n">
        <x:v>0</x:v>
      </x:c>
      <x:c r="H756" s="85" t="n">
        <x:v>0</x:v>
      </x:c>
      <x:c r="I756" s="85" t="n">
        <x:v>98593644.1192395</x:v>
      </x:c>
      <x:c r="J756" s="85" t="n">
        <x:v>83159467.88816725</x:v>
      </x:c>
      <x:c r="K756" s="85" t="n">
        <x:v>94650.03730822298</x:v>
      </x:c>
      <x:c r="L756" s="28" t="n">
        <x:v>20</x:v>
      </x:c>
      <x:c r="M756" s="28" t="n">
        <x:v>15</x:v>
      </x:c>
      <x:c r="N756" s="28" t="n">
        <x:v>1.862645149230957e-9</x:v>
      </x:c>
      <x:c r="O756" s="28" t="n">
        <x:v>2.9802322387695312e-8</x:v>
      </x:c>
      <x:c r="P756" s="28" t="n">
        <x:v>0</x:v>
      </x:c>
      <x:c r="Q756" s="62" t="b">
        <x:v>1</x:v>
      </x:c>
      <x:c r="R756" s="28" t="n">
        <x:v>0</x:v>
      </x:c>
      <x:c r="S756" s="28" t="str">
        <x:v>ab33e0e418a6cb35</x:v>
      </x:c>
    </x:row>
    <x:row r="757" ht="21" customHeight="1">
      <x:c r="A757" s="60" t="n">
        <x:v>0.62</x:v>
      </x:c>
      <x:c r="B757" s="28" t="str">
        <x:v>level_high</x:v>
      </x:c>
      <x:c r="C757" s="60" t="n">
        <x:v>0.7</x:v>
      </x:c>
      <x:c r="D757" s="60" t="n">
        <x:v>0.7</x:v>
      </x:c>
      <x:c r="E757" s="62" t="b">
        <x:v>1</x:v>
      </x:c>
      <x:c r="F757" s="62" t="b">
        <x:v>0</x:v>
      </x:c>
      <x:c r="G757" s="85" t="n">
        <x:v>3512889.493354763</x:v>
      </x:c>
      <x:c r="H757" s="85" t="n">
        <x:v>11888777.629777217</x:v>
      </x:c>
      <x:c r="I757" s="85" t="n">
        <x:v>100721800.37807733</x:v>
      </x:c>
      <x:c r="J757" s="85" t="n">
        <x:v>84000000.00000001</x:v>
      </x:c>
      <x:c r="K757" s="85" t="n">
        <x:v>76700.14397260247</x:v>
      </x:c>
      <x:c r="L757" s="28" t="n">
        <x:v>40</x:v>
      </x:c>
      <x:c r="M757" s="28" t="n">
        <x:v>34</x:v>
      </x:c>
      <x:c r="N757" s="28" t="n">
        <x:v>1.862645149230957e-9</x:v>
      </x:c>
      <x:c r="O757" s="28" t="n">
        <x:v>2.9802322387695312e-8</x:v>
      </x:c>
      <x:c r="P757" s="28" t="n">
        <x:v>0</x:v>
      </x:c>
      <x:c r="Q757" s="62" t="b">
        <x:v>1</x:v>
      </x:c>
      <x:c r="R757" s="28" t="n">
        <x:v>0</x:v>
      </x:c>
      <x:c r="S757" s="28" t="str">
        <x:v>bfcb17fe950d1885</x:v>
      </x:c>
    </x:row>
    <x:row r="758" ht="21" customHeight="1">
      <x:c r="A758" s="60" t="n">
        <x:v>0.62</x:v>
      </x:c>
      <x:c r="B758" s="28" t="str">
        <x:v>level_high</x:v>
      </x:c>
      <x:c r="C758" s="60" t="n">
        <x:v>0.75</x:v>
      </x:c>
      <x:c r="D758" s="60" t="n">
        <x:v>0.75</x:v>
      </x:c>
      <x:c r="E758" s="62" t="b">
        <x:v>1</x:v>
      </x:c>
      <x:c r="F758" s="62" t="b">
        <x:v>0</x:v>
      </x:c>
      <x:c r="G758" s="85" t="n">
        <x:v>7493573.842261888</x:v>
      </x:c>
      <x:c r="H758" s="85" t="n">
        <x:v>23775605.331895735</x:v>
      </x:c>
      <x:c r="I758" s="85" t="n">
        <x:v>102498750.62585624</x:v>
      </x:c>
      <x:c r="J758" s="85" t="n">
        <x:v>84000000.00000001</x:v>
      </x:c>
      <x:c r="K758" s="85" t="n">
        <x:v>60580.08184931314</x:v>
      </x:c>
      <x:c r="L758" s="28" t="n">
        <x:v>41</x:v>
      </x:c>
      <x:c r="M758" s="28" t="n">
        <x:v>36</x:v>
      </x:c>
      <x:c r="N758" s="28" t="n">
        <x:v>1.862645149230957e-9</x:v>
      </x:c>
      <x:c r="O758" s="28" t="n">
        <x:v>2.9802322387695312e-8</x:v>
      </x:c>
      <x:c r="P758" s="28" t="n">
        <x:v>0</x:v>
      </x:c>
      <x:c r="Q758" s="62" t="b">
        <x:v>1</x:v>
      </x:c>
      <x:c r="R758" s="28" t="n">
        <x:v>0</x:v>
      </x:c>
      <x:c r="S758" s="28" t="str">
        <x:v>de9ad93b97404e64</x:v>
      </x:c>
    </x:row>
    <x:row r="759" ht="21" customHeight="1">
      <x:c r="A759" s="60" t="n">
        <x:v>0.62</x:v>
      </x:c>
      <x:c r="B759" s="28" t="str">
        <x:v>level_high</x:v>
      </x:c>
      <x:c r="C759" s="60" t="n">
        <x:v>0.8</x:v>
      </x:c>
      <x:c r="D759" s="60" t="n">
        <x:v>0.8</x:v>
      </x:c>
      <x:c r="E759" s="62" t="b">
        <x:v>1</x:v>
      </x:c>
      <x:c r="F759" s="62" t="b">
        <x:v>0</x:v>
      </x:c>
      <x:c r="G759" s="85" t="n">
        <x:v>12300539.691755973</x:v>
      </x:c>
      <x:c r="H759" s="85" t="n">
        <x:v>37348892.76884222</x:v>
      </x:c>
      <x:c r="I759" s="85" t="n">
        <x:v>102881907.93863021</x:v>
      </x:c>
      <x:c r="J759" s="85" t="n">
        <x:v>84000000.00000001</x:v>
      </x:c>
      <x:c r="K759" s="85" t="n">
        <x:v>44460.01972602939</x:v>
      </x:c>
      <x:c r="L759" s="28" t="n">
        <x:v>41</x:v>
      </x:c>
      <x:c r="M759" s="28" t="n">
        <x:v>37</x:v>
      </x:c>
      <x:c r="N759" s="28" t="n">
        <x:v>1.862645149230957e-9</x:v>
      </x:c>
      <x:c r="O759" s="28" t="n">
        <x:v>2.9802322387695312e-8</x:v>
      </x:c>
      <x:c r="P759" s="28" t="n">
        <x:v>0</x:v>
      </x:c>
      <x:c r="Q759" s="62" t="b">
        <x:v>1</x:v>
      </x:c>
      <x:c r="R759" s="28" t="n">
        <x:v>0</x:v>
      </x:c>
      <x:c r="S759" s="28" t="str">
        <x:v>a3d71330498bcfa2</x:v>
      </x:c>
    </x:row>
    <x:row r="760" ht="21" customHeight="1">
      <x:c r="A760" s="60" t="n">
        <x:v>0.62</x:v>
      </x:c>
      <x:c r="B760" s="28" t="str">
        <x:v>level_high</x:v>
      </x:c>
      <x:c r="C760" s="60" t="n">
        <x:v>0.85</x:v>
      </x:c>
      <x:c r="D760" s="60" t="n">
        <x:v>0.85</x:v>
      </x:c>
      <x:c r="E760" s="62" t="b">
        <x:v>1</x:v>
      </x:c>
      <x:c r="F760" s="62" t="b">
        <x:v>0</x:v>
      </x:c>
      <x:c r="G760" s="85" t="n">
        <x:v>17548901.649659947</x:v>
      </x:c>
      <x:c r="H760" s="85" t="n">
        <x:v>48366894.624696344</x:v>
      </x:c>
      <x:c r="I760" s="85" t="n">
        <x:v>104437193.41359897</x:v>
      </x:c>
      <x:c r="J760" s="85" t="n">
        <x:v>84000000.00000001</x:v>
      </x:c>
      <x:c r="K760" s="85" t="n">
        <x:v>28339.957602742856</x:v>
      </x:c>
      <x:c r="L760" s="28" t="n">
        <x:v>42</x:v>
      </x:c>
      <x:c r="M760" s="28" t="n">
        <x:v>38</x:v>
      </x:c>
      <x:c r="N760" s="28" t="n">
        <x:v>1.862645149230957e-9</x:v>
      </x:c>
      <x:c r="O760" s="28" t="n">
        <x:v>2.9802322387695312e-8</x:v>
      </x:c>
      <x:c r="P760" s="28" t="n">
        <x:v>0</x:v>
      </x:c>
      <x:c r="Q760" s="62" t="b">
        <x:v>1</x:v>
      </x:c>
      <x:c r="R760" s="28" t="n">
        <x:v>0</x:v>
      </x:c>
      <x:c r="S760" s="28" t="str">
        <x:v>273d6e77767d87fa</x:v>
      </x:c>
    </x:row>
    <x:row r="761" ht="21" customHeight="1">
      <x:c r="A761" s="60" t="n">
        <x:v>0.62</x:v>
      </x:c>
      <x:c r="B761" s="28" t="str">
        <x:v>level_high</x:v>
      </x:c>
      <x:c r="C761" s="60" t="n">
        <x:v>0.9</x:v>
      </x:c>
      <x:c r="D761" s="60" t="n">
        <x:v>0.9</x:v>
      </x:c>
      <x:c r="E761" s="62" t="b">
        <x:v>1</x:v>
      </x:c>
      <x:c r="F761" s="62" t="b">
        <x:v>0</x:v>
      </x:c>
      <x:c r="G761" s="85" t="n">
        <x:v>24375015.899007764</x:v>
      </x:c>
      <x:c r="H761" s="85" t="n">
        <x:v>55424194.68042302</x:v>
      </x:c>
      <x:c r="I761" s="85" t="n">
        <x:v>106060744.93002747</x:v>
      </x:c>
      <x:c r="J761" s="85" t="n">
        <x:v>84000000.00000001</x:v>
      </x:c>
      <x:c r="K761" s="85" t="n">
        <x:v>12219.895479451661</x:v>
      </x:c>
      <x:c r="L761" s="28" t="n">
        <x:v>43</x:v>
      </x:c>
      <x:c r="M761" s="28" t="n">
        <x:v>38</x:v>
      </x:c>
      <x:c r="N761" s="28" t="n">
        <x:v>3.725290298461914e-9</x:v>
      </x:c>
      <x:c r="O761" s="28" t="n">
        <x:v>7.450580596923828e-9</x:v>
      </x:c>
      <x:c r="P761" s="28" t="n">
        <x:v>0</x:v>
      </x:c>
      <x:c r="Q761" s="62" t="b">
        <x:v>1</x:v>
      </x:c>
      <x:c r="R761" s="28" t="n">
        <x:v>0</x:v>
      </x:c>
      <x:c r="S761" s="28" t="str">
        <x:v>5234273385cfedfd</x:v>
      </x:c>
    </x:row>
    <x:row r="762" ht="21" customHeight="1">
      <x:c r="A762" s="60" t="n">
        <x:v>0.62</x:v>
      </x:c>
      <x:c r="B762" s="28" t="str">
        <x:v>level_high</x:v>
      </x:c>
      <x:c r="C762" s="60" t="n">
        <x:v>0.95</x:v>
      </x:c>
      <x:c r="D762" s="60" t="n">
        <x:v>0.9219114501462435</x:v>
      </x:c>
      <x:c r="E762" s="62" t="b">
        <x:v>0</x:v>
      </x:c>
      <x:c r="F762" s="62" t="b">
        <x:v>0</x:v>
      </x:c>
      <x:c r="G762" s="85" t="n">
        <x:v>27188553.812763553</x:v>
      </x:c>
      <x:c r="H762" s="85" t="n">
        <x:v>61207532.91511158</x:v>
      </x:c>
      <x:c r="I762" s="85" t="n">
        <x:v>106285353.78542474</x:v>
      </x:c>
      <x:c r="J762" s="85" t="n">
        <x:v>84000000.00000001</x:v>
      </x:c>
      <x:c r="K762" s="85" t="n">
        <x:v>0</x:v>
      </x:c>
      <x:c r="L762" s="28" t="n">
        <x:v>43</x:v>
      </x:c>
      <x:c r="M762" s="28" t="n">
        <x:v>40</x:v>
      </x:c>
      <x:c r="N762" s="28" t="n">
        <x:v>1.862645149230957e-9</x:v>
      </x:c>
      <x:c r="O762" s="28" t="n">
        <x:v>1.4901161193847656e-8</x:v>
      </x:c>
      <x:c r="P762" s="28" t="n">
        <x:v>0</x:v>
      </x:c>
      <x:c r="Q762" s="62" t="b">
        <x:v>1</x:v>
      </x:c>
      <x:c r="R762" s="28" t="n">
        <x:v>8426564.956126928</x:v>
      </x:c>
      <x:c r="S762" s="28" t="str">
        <x:v>5b9ff8cf6aa1df24</x:v>
      </x:c>
    </x:row>
    <x:row r="763" ht="21" customHeight="1">
      <x:c r="A763" s="60" t="n">
        <x:v>0.62</x:v>
      </x:c>
      <x:c r="B763" s="28" t="str">
        <x:v>level_high</x:v>
      </x:c>
      <x:c r="C763" s="60" t="n">
        <x:v>1</x:v>
      </x:c>
      <x:c r="D763" s="60" t="n">
        <x:v>0.9350574964161632</x:v>
      </x:c>
      <x:c r="E763" s="62" t="b">
        <x:v>0</x:v>
      </x:c>
      <x:c r="F763" s="62" t="b">
        <x:v>0</x:v>
      </x:c>
      <x:c r="G763" s="85" t="n">
        <x:v>29186256.243941754</x:v>
      </x:c>
      <x:c r="H763" s="85" t="n">
        <x:v>63057046.37709235</x:v>
      </x:c>
      <x:c r="I763" s="85" t="n">
        <x:v>107758717.55794528</x:v>
      </x:c>
      <x:c r="J763" s="85" t="n">
        <x:v>84000000.00000001</x:v>
      </x:c>
      <x:c r="K763" s="85" t="n">
        <x:v>0</x:v>
      </x:c>
      <x:c r="L763" s="28" t="n">
        <x:v>44</x:v>
      </x:c>
      <x:c r="M763" s="28" t="n">
        <x:v>40</x:v>
      </x:c>
      <x:c r="N763" s="28" t="n">
        <x:v>1.862645149230957e-9</x:v>
      </x:c>
      <x:c r="O763" s="28" t="n">
        <x:v>7.450580596923828e-9</x:v>
      </x:c>
      <x:c r="P763" s="28" t="n">
        <x:v>0</x:v>
      </x:c>
      <x:c r="Q763" s="62" t="b">
        <x:v>1</x:v>
      </x:c>
      <x:c r="R763" s="28" t="n">
        <x:v>19482751.075151026</x:v>
      </x:c>
      <x:c r="S763" s="28" t="str">
        <x:v>d7ef2964ffc08c8c</x:v>
      </x:c>
    </x:row>
    <x:row r="764" ht="21" customHeight="1">
      <x:c r="A764" s="60" t="n">
        <x:v>0.63</x:v>
      </x:c>
      <x:c r="B764" s="28" t="str">
        <x:v>front_flat</x:v>
      </x:c>
      <x:c r="C764" s="60" t="n">
        <x:v>0</x:v>
      </x:c>
      <x:c r="D764" s="60" t="n">
        <x:v>0</x:v>
      </x:c>
      <x:c r="E764" s="62" t="b">
        <x:v>1</x:v>
      </x:c>
      <x:c r="F764" s="62" t="b">
        <x:v>1</x:v>
      </x:c>
      <x:c r="G764" s="85" t="n">
        <x:v>0</x:v>
      </x:c>
      <x:c r="H764" s="85" t="n">
        <x:v>0</x:v>
      </x:c>
      <x:c r="I764" s="85" t="n">
        <x:v>0</x:v>
      </x:c>
      <x:c r="J764" s="85" t="n">
        <x:v>0</x:v>
      </x:c>
      <x:c r="K764" s="85" t="n">
        <x:v>31995646.710273966</x:v>
      </x:c>
      <x:c r="L764" s="28" t="n">
        <x:v>0</x:v>
      </x:c>
      <x:c r="M764" s="28" t="n">
        <x:v>0</x:v>
      </x:c>
      <x:c r="N764" s="28" t="n">
        <x:v>3.725290298461914e-9</x:v>
      </x:c>
      <x:c r="O764" s="28" t="n">
        <x:v>0</x:v>
      </x:c>
      <x:c r="P764" s="28" t="n">
        <x:v>0</x:v>
      </x:c>
      <x:c r="Q764" s="62" t="b">
        <x:v>1</x:v>
      </x:c>
      <x:c r="R764" s="28" t="n">
        <x:v>0</x:v>
      </x:c>
      <x:c r="S764" s="28" t="str">
        <x:v>145d8ba1127806ae</x:v>
      </x:c>
    </x:row>
    <x:row r="765" ht="21" customHeight="1">
      <x:c r="A765" s="60" t="n">
        <x:v>0.63</x:v>
      </x:c>
      <x:c r="B765" s="28" t="str">
        <x:v>front_flat</x:v>
      </x:c>
      <x:c r="C765" s="60" t="n">
        <x:v>0.05</x:v>
      </x:c>
      <x:c r="D765" s="60" t="n">
        <x:v>0.05</x:v>
      </x:c>
      <x:c r="E765" s="62" t="b">
        <x:v>1</x:v>
      </x:c>
      <x:c r="F765" s="62" t="b">
        <x:v>1</x:v>
      </x:c>
      <x:c r="G765" s="85" t="n">
        <x:v>0</x:v>
      </x:c>
      <x:c r="H765" s="85" t="n">
        <x:v>0</x:v>
      </x:c>
      <x:c r="I765" s="85" t="n">
        <x:v>0</x:v>
      </x:c>
      <x:c r="J765" s="85" t="n">
        <x:v>0</x:v>
      </x:c>
      <x:c r="K765" s="85" t="n">
        <x:v>19751144.471500564</x:v>
      </x:c>
      <x:c r="L765" s="28" t="n">
        <x:v>0</x:v>
      </x:c>
      <x:c r="M765" s="28" t="n">
        <x:v>0</x:v>
      </x:c>
      <x:c r="N765" s="28" t="n">
        <x:v>3.725290298461914e-9</x:v>
      </x:c>
      <x:c r="O765" s="28" t="n">
        <x:v>5.960464477539063e-8</x:v>
      </x:c>
      <x:c r="P765" s="28" t="n">
        <x:v>0</x:v>
      </x:c>
      <x:c r="Q765" s="62" t="b">
        <x:v>1</x:v>
      </x:c>
      <x:c r="R765" s="28" t="n">
        <x:v>0</x:v>
      </x:c>
      <x:c r="S765" s="28" t="str">
        <x:v>944d662097e827e6</x:v>
      </x:c>
    </x:row>
    <x:row r="766" ht="21" customHeight="1">
      <x:c r="A766" s="60" t="n">
        <x:v>0.63</x:v>
      </x:c>
      <x:c r="B766" s="28" t="str">
        <x:v>front_flat</x:v>
      </x:c>
      <x:c r="C766" s="60" t="n">
        <x:v>0.1</x:v>
      </x:c>
      <x:c r="D766" s="60" t="n">
        <x:v>0.1</x:v>
      </x:c>
      <x:c r="E766" s="62" t="b">
        <x:v>1</x:v>
      </x:c>
      <x:c r="F766" s="62" t="b">
        <x:v>1</x:v>
      </x:c>
      <x:c r="G766" s="85" t="n">
        <x:v>0</x:v>
      </x:c>
      <x:c r="H766" s="85" t="n">
        <x:v>0</x:v>
      </x:c>
      <x:c r="I766" s="85" t="n">
        <x:v>0</x:v>
      </x:c>
      <x:c r="J766" s="85" t="n">
        <x:v>0</x:v>
      </x:c>
      <x:c r="K766" s="85" t="n">
        <x:v>7387254.828365787</x:v>
      </x:c>
      <x:c r="L766" s="28" t="n">
        <x:v>0</x:v>
      </x:c>
      <x:c r="M766" s="28" t="n">
        <x:v>0</x:v>
      </x:c>
      <x:c r="N766" s="28" t="n">
        <x:v>3.725290298461914e-9</x:v>
      </x:c>
      <x:c r="O766" s="28" t="n">
        <x:v>5.960464477539063e-8</x:v>
      </x:c>
      <x:c r="P766" s="28" t="n">
        <x:v>0</x:v>
      </x:c>
      <x:c r="Q766" s="62" t="b">
        <x:v>1</x:v>
      </x:c>
      <x:c r="R766" s="28" t="n">
        <x:v>0</x:v>
      </x:c>
      <x:c r="S766" s="28" t="str">
        <x:v>6288b164ea1dd7e8</x:v>
      </x:c>
    </x:row>
    <x:row r="767" ht="21" customHeight="1">
      <x:c r="A767" s="60" t="n">
        <x:v>0.63</x:v>
      </x:c>
      <x:c r="B767" s="28" t="str">
        <x:v>front_flat</x:v>
      </x:c>
      <x:c r="C767" s="60" t="n">
        <x:v>0.15</x:v>
      </x:c>
      <x:c r="D767" s="60" t="n">
        <x:v>0.15</x:v>
      </x:c>
      <x:c r="E767" s="62" t="b">
        <x:v>1</x:v>
      </x:c>
      <x:c r="F767" s="62" t="b">
        <x:v>1</x:v>
      </x:c>
      <x:c r="G767" s="85" t="n">
        <x:v>0</x:v>
      </x:c>
      <x:c r="H767" s="85" t="n">
        <x:v>0</x:v>
      </x:c>
      <x:c r="I767" s="85" t="n">
        <x:v>3846333.4479669156</x:v>
      </x:c>
      <x:c r="J767" s="85" t="n">
        <x:v>0</x:v>
      </x:c>
      <x:c r="K767" s="85" t="n">
        <x:v>238924.49610240184</x:v>
      </x:c>
      <x:c r="L767" s="28" t="n">
        <x:v>0</x:v>
      </x:c>
      <x:c r="M767" s="28" t="n">
        <x:v>0</x:v>
      </x:c>
      <x:c r="N767" s="28" t="n">
        <x:v>3.725290298461914e-9</x:v>
      </x:c>
      <x:c r="O767" s="28" t="n">
        <x:v>2.9802322387695312e-8</x:v>
      </x:c>
      <x:c r="P767" s="28" t="n">
        <x:v>0</x:v>
      </x:c>
      <x:c r="Q767" s="62" t="b">
        <x:v>1</x:v>
      </x:c>
      <x:c r="R767" s="28" t="n">
        <x:v>0</x:v>
      </x:c>
      <x:c r="S767" s="28" t="str">
        <x:v>8bfa121665396f97</x:v>
      </x:c>
    </x:row>
    <x:row r="768" ht="21" customHeight="1">
      <x:c r="A768" s="60" t="n">
        <x:v>0.63</x:v>
      </x:c>
      <x:c r="B768" s="28" t="str">
        <x:v>front_flat</x:v>
      </x:c>
      <x:c r="C768" s="60" t="n">
        <x:v>0.2</x:v>
      </x:c>
      <x:c r="D768" s="60" t="n">
        <x:v>0.2</x:v>
      </x:c>
      <x:c r="E768" s="62" t="b">
        <x:v>1</x:v>
      </x:c>
      <x:c r="F768" s="62" t="b">
        <x:v>1</x:v>
      </x:c>
      <x:c r="G768" s="85" t="n">
        <x:v>0</x:v>
      </x:c>
      <x:c r="H768" s="85" t="n">
        <x:v>0</x:v>
      </x:c>
      <x:c r="I768" s="85" t="n">
        <x:v>12538410.323479384</x:v>
      </x:c>
      <x:c r="J768" s="85" t="n">
        <x:v>6284479.497374657</x:v>
      </x:c>
      <x:c r="K768" s="85" t="n">
        <x:v>173475.22731643816</x:v>
      </x:c>
      <x:c r="L768" s="28" t="n">
        <x:v>0</x:v>
      </x:c>
      <x:c r="M768" s="28" t="n">
        <x:v>0</x:v>
      </x:c>
      <x:c r="N768" s="28" t="n">
        <x:v>3.725290298461914e-9</x:v>
      </x:c>
      <x:c r="O768" s="28" t="n">
        <x:v>2.9802322387695312e-8</x:v>
      </x:c>
      <x:c r="P768" s="28" t="n">
        <x:v>0</x:v>
      </x:c>
      <x:c r="Q768" s="62" t="b">
        <x:v>1</x:v>
      </x:c>
      <x:c r="R768" s="28" t="n">
        <x:v>0</x:v>
      </x:c>
      <x:c r="S768" s="28" t="str">
        <x:v>500e82cee7da3eb6</x:v>
      </x:c>
    </x:row>
    <x:row r="769" ht="21" customHeight="1">
      <x:c r="A769" s="60" t="n">
        <x:v>0.63</x:v>
      </x:c>
      <x:c r="B769" s="28" t="str">
        <x:v>front_flat</x:v>
      </x:c>
      <x:c r="C769" s="60" t="n">
        <x:v>0.25</x:v>
      </x:c>
      <x:c r="D769" s="60" t="n">
        <x:v>0.25</x:v>
      </x:c>
      <x:c r="E769" s="62" t="b">
        <x:v>1</x:v>
      </x:c>
      <x:c r="F769" s="62" t="b">
        <x:v>1</x:v>
      </x:c>
      <x:c r="G769" s="85" t="n">
        <x:v>0</x:v>
      </x:c>
      <x:c r="H769" s="85" t="n">
        <x:v>0</x:v>
      </x:c>
      <x:c r="I769" s="85" t="n">
        <x:v>19455314.245047778</x:v>
      </x:c>
      <x:c r="J769" s="85" t="n">
        <x:v>15355599.371718248</x:v>
      </x:c>
      <x:c r="K769" s="85" t="n">
        <x:v>111252.16736472392</x:v>
      </x:c>
      <x:c r="L769" s="28" t="n">
        <x:v>0</x:v>
      </x:c>
      <x:c r="M769" s="28" t="n">
        <x:v>0</x:v>
      </x:c>
      <x:c r="N769" s="28" t="n">
        <x:v>1.862645149230957e-9</x:v>
      </x:c>
      <x:c r="O769" s="28" t="n">
        <x:v>1.4901161193847656e-8</x:v>
      </x:c>
      <x:c r="P769" s="28" t="n">
        <x:v>0</x:v>
      </x:c>
      <x:c r="Q769" s="62" t="b">
        <x:v>1</x:v>
      </x:c>
      <x:c r="R769" s="28" t="n">
        <x:v>0</x:v>
      </x:c>
      <x:c r="S769" s="28" t="str">
        <x:v>066d6b587959a334</x:v>
      </x:c>
    </x:row>
    <x:row r="770" ht="21" customHeight="1">
      <x:c r="A770" s="60" t="n">
        <x:v>0.63</x:v>
      </x:c>
      <x:c r="B770" s="28" t="str">
        <x:v>front_flat</x:v>
      </x:c>
      <x:c r="C770" s="60" t="n">
        <x:v>0.3</x:v>
      </x:c>
      <x:c r="D770" s="60" t="n">
        <x:v>0.3</x:v>
      </x:c>
      <x:c r="E770" s="62" t="b">
        <x:v>1</x:v>
      </x:c>
      <x:c r="F770" s="62" t="b">
        <x:v>1</x:v>
      </x:c>
      <x:c r="G770" s="85" t="n">
        <x:v>0</x:v>
      </x:c>
      <x:c r="H770" s="85" t="n">
        <x:v>0</x:v>
      </x:c>
      <x:c r="I770" s="85" t="n">
        <x:v>26449187.51172857</x:v>
      </x:c>
      <x:c r="J770" s="85" t="n">
        <x:v>24426719.246061895</x:v>
      </x:c>
      <x:c r="K770" s="85" t="n">
        <x:v>49029.10741301338</x:v>
      </x:c>
      <x:c r="L770" s="28" t="n">
        <x:v>0</x:v>
      </x:c>
      <x:c r="M770" s="28" t="n">
        <x:v>0</x:v>
      </x:c>
      <x:c r="N770" s="28" t="n">
        <x:v>1.862645149230957e-9</x:v>
      </x:c>
      <x:c r="O770" s="28" t="n">
        <x:v>2.9802322387695312e-8</x:v>
      </x:c>
      <x:c r="P770" s="28" t="n">
        <x:v>0</x:v>
      </x:c>
      <x:c r="Q770" s="62" t="b">
        <x:v>1</x:v>
      </x:c>
      <x:c r="R770" s="28" t="n">
        <x:v>0</x:v>
      </x:c>
      <x:c r="S770" s="28" t="str">
        <x:v>dc49b8aa955a9976</x:v>
      </x:c>
    </x:row>
    <x:row r="771" ht="21" customHeight="1">
      <x:c r="A771" s="60" t="n">
        <x:v>0.63</x:v>
      </x:c>
      <x:c r="B771" s="28" t="str">
        <x:v>front_flat</x:v>
      </x:c>
      <x:c r="C771" s="60" t="n">
        <x:v>0.35</x:v>
      </x:c>
      <x:c r="D771" s="60" t="n">
        <x:v>0.35</x:v>
      </x:c>
      <x:c r="E771" s="62" t="b">
        <x:v>1</x:v>
      </x:c>
      <x:c r="F771" s="62" t="b">
        <x:v>1</x:v>
      </x:c>
      <x:c r="G771" s="85" t="n">
        <x:v>0</x:v>
      </x:c>
      <x:c r="H771" s="85" t="n">
        <x:v>0</x:v>
      </x:c>
      <x:c r="I771" s="85" t="n">
        <x:v>33416172.209039204</x:v>
      </x:c>
      <x:c r="J771" s="85" t="n">
        <x:v>33497839.120405544</x:v>
      </x:c>
      <x:c r="K771" s="85" t="n">
        <x:v>6993.755784251058</x:v>
      </x:c>
      <x:c r="L771" s="28" t="n">
        <x:v>0</x:v>
      </x:c>
      <x:c r="M771" s="28" t="n">
        <x:v>0</x:v>
      </x:c>
      <x:c r="N771" s="28" t="n">
        <x:v>3.725290298461914e-9</x:v>
      </x:c>
      <x:c r="O771" s="28" t="n">
        <x:v>7.450580596923828e-9</x:v>
      </x:c>
      <x:c r="P771" s="28" t="n">
        <x:v>0</x:v>
      </x:c>
      <x:c r="Q771" s="62" t="b">
        <x:v>1</x:v>
      </x:c>
      <x:c r="R771" s="28" t="n">
        <x:v>0</x:v>
      </x:c>
      <x:c r="S771" s="28" t="str">
        <x:v>3bbef4adfcf9b7d2</x:v>
      </x:c>
    </x:row>
    <x:row r="772" ht="21" customHeight="1">
      <x:c r="A772" s="60" t="n">
        <x:v>0.63</x:v>
      </x:c>
      <x:c r="B772" s="28" t="str">
        <x:v>front_flat</x:v>
      </x:c>
      <x:c r="C772" s="60" t="n">
        <x:v>0.4</x:v>
      </x:c>
      <x:c r="D772" s="60" t="n">
        <x:v>0.4</x:v>
      </x:c>
      <x:c r="E772" s="62" t="b">
        <x:v>1</x:v>
      </x:c>
      <x:c r="F772" s="62" t="b">
        <x:v>1</x:v>
      </x:c>
      <x:c r="G772" s="85" t="n">
        <x:v>0</x:v>
      </x:c>
      <x:c r="H772" s="85" t="n">
        <x:v>0</x:v>
      </x:c>
      <x:c r="I772" s="85" t="n">
        <x:v>40360623.002992</x:v>
      </x:c>
      <x:c r="J772" s="85" t="n">
        <x:v>42568958.994749226</x:v>
      </x:c>
      <x:c r="K772" s="85" t="n">
        <x:v>0</x:v>
      </x:c>
      <x:c r="L772" s="28" t="n">
        <x:v>0</x:v>
      </x:c>
      <x:c r="M772" s="28" t="n">
        <x:v>0</x:v>
      </x:c>
      <x:c r="N772" s="28" t="n">
        <x:v>3.725290298461914e-9</x:v>
      </x:c>
      <x:c r="O772" s="28" t="n">
        <x:v>2.9802322387695312e-8</x:v>
      </x:c>
      <x:c r="P772" s="28" t="n">
        <x:v>0</x:v>
      </x:c>
      <x:c r="Q772" s="62" t="b">
        <x:v>1</x:v>
      </x:c>
      <x:c r="R772" s="28" t="n">
        <x:v>0</x:v>
      </x:c>
      <x:c r="S772" s="28" t="str">
        <x:v>6d9c8c652f3f3f7b</x:v>
      </x:c>
    </x:row>
    <x:row r="773" ht="21" customHeight="1">
      <x:c r="A773" s="60" t="n">
        <x:v>0.63</x:v>
      </x:c>
      <x:c r="B773" s="28" t="str">
        <x:v>front_flat</x:v>
      </x:c>
      <x:c r="C773" s="60" t="n">
        <x:v>0.45</x:v>
      </x:c>
      <x:c r="D773" s="60" t="n">
        <x:v>0.45</x:v>
      </x:c>
      <x:c r="E773" s="62" t="b">
        <x:v>1</x:v>
      </x:c>
      <x:c r="F773" s="62" t="b">
        <x:v>1</x:v>
      </x:c>
      <x:c r="G773" s="85" t="n">
        <x:v>0</x:v>
      </x:c>
      <x:c r="H773" s="85" t="n">
        <x:v>0</x:v>
      </x:c>
      <x:c r="I773" s="85" t="n">
        <x:v>47568691.916508205</x:v>
      </x:c>
      <x:c r="J773" s="85" t="n">
        <x:v>50939636.82777858</x:v>
      </x:c>
      <x:c r="K773" s="85" t="n">
        <x:v>0</x:v>
      </x:c>
      <x:c r="L773" s="28" t="n">
        <x:v>1</x:v>
      </x:c>
      <x:c r="M773" s="28" t="n">
        <x:v>0</x:v>
      </x:c>
      <x:c r="N773" s="28" t="n">
        <x:v>1.862645149230957e-9</x:v>
      </x:c>
      <x:c r="O773" s="28" t="n">
        <x:v>2.9802322387695312e-8</x:v>
      </x:c>
      <x:c r="P773" s="28" t="n">
        <x:v>0</x:v>
      </x:c>
      <x:c r="Q773" s="62" t="b">
        <x:v>1</x:v>
      </x:c>
      <x:c r="R773" s="28" t="n">
        <x:v>0</x:v>
      </x:c>
      <x:c r="S773" s="28" t="str">
        <x:v>42e7a00b804e8689</x:v>
      </x:c>
    </x:row>
    <x:row r="774" ht="21" customHeight="1">
      <x:c r="A774" s="60" t="n">
        <x:v>0.63</x:v>
      </x:c>
      <x:c r="B774" s="28" t="str">
        <x:v>front_flat</x:v>
      </x:c>
      <x:c r="C774" s="60" t="n">
        <x:v>0.5</x:v>
      </x:c>
      <x:c r="D774" s="60" t="n">
        <x:v>0.5</x:v>
      </x:c>
      <x:c r="E774" s="62" t="b">
        <x:v>1</x:v>
      </x:c>
      <x:c r="F774" s="62" t="b">
        <x:v>1</x:v>
      </x:c>
      <x:c r="G774" s="85" t="n">
        <x:v>0</x:v>
      </x:c>
      <x:c r="H774" s="85" t="n">
        <x:v>0</x:v>
      </x:c>
      <x:c r="I774" s="85" t="n">
        <x:v>56669325.15392111</x:v>
      </x:c>
      <x:c r="J774" s="85" t="n">
        <x:v>54029955.34312948</x:v>
      </x:c>
      <x:c r="K774" s="85" t="n">
        <x:v>0</x:v>
      </x:c>
      <x:c r="L774" s="28" t="n">
        <x:v>8</x:v>
      </x:c>
      <x:c r="M774" s="28" t="n">
        <x:v>0</x:v>
      </x:c>
      <x:c r="N774" s="28" t="n">
        <x:v>1.862645149230957e-9</x:v>
      </x:c>
      <x:c r="O774" s="28" t="n">
        <x:v>2.9802322387695312e-8</x:v>
      </x:c>
      <x:c r="P774" s="28" t="n">
        <x:v>0</x:v>
      </x:c>
      <x:c r="Q774" s="62" t="b">
        <x:v>1</x:v>
      </x:c>
      <x:c r="R774" s="28" t="n">
        <x:v>0</x:v>
      </x:c>
      <x:c r="S774" s="28" t="str">
        <x:v>0848fdce45e196a5</x:v>
      </x:c>
    </x:row>
    <x:row r="775" ht="21" customHeight="1">
      <x:c r="A775" s="60" t="n">
        <x:v>0.63</x:v>
      </x:c>
      <x:c r="B775" s="28" t="str">
        <x:v>front_flat</x:v>
      </x:c>
      <x:c r="C775" s="60" t="n">
        <x:v>0.55</x:v>
      </x:c>
      <x:c r="D775" s="60" t="n">
        <x:v>0.55</x:v>
      </x:c>
      <x:c r="E775" s="62" t="b">
        <x:v>1</x:v>
      </x:c>
      <x:c r="F775" s="62" t="b">
        <x:v>1</x:v>
      </x:c>
      <x:c r="G775" s="85" t="n">
        <x:v>0</x:v>
      </x:c>
      <x:c r="H775" s="85" t="n">
        <x:v>0</x:v>
      </x:c>
      <x:c r="I775" s="85" t="n">
        <x:v>65595748.10359977</x:v>
      </x:c>
      <x:c r="J775" s="85" t="n">
        <x:v>57374057.38063554</x:v>
      </x:c>
      <x:c r="K775" s="85" t="n">
        <x:v>0</x:v>
      </x:c>
      <x:c r="L775" s="28" t="n">
        <x:v>17</x:v>
      </x:c>
      <x:c r="M775" s="28" t="n">
        <x:v>0</x:v>
      </x:c>
      <x:c r="N775" s="28" t="n">
        <x:v>1.862645149230957e-9</x:v>
      </x:c>
      <x:c r="O775" s="28" t="n">
        <x:v>2.9802322387695312e-8</x:v>
      </x:c>
      <x:c r="P775" s="28" t="n">
        <x:v>0</x:v>
      </x:c>
      <x:c r="Q775" s="62" t="b">
        <x:v>1</x:v>
      </x:c>
      <x:c r="R775" s="28" t="n">
        <x:v>0</x:v>
      </x:c>
      <x:c r="S775" s="28" t="str">
        <x:v>26e78c83807c686b</x:v>
      </x:c>
    </x:row>
    <x:row r="776" ht="21" customHeight="1">
      <x:c r="A776" s="60" t="n">
        <x:v>0.63</x:v>
      </x:c>
      <x:c r="B776" s="28" t="str">
        <x:v>front_flat</x:v>
      </x:c>
      <x:c r="C776" s="60" t="n">
        <x:v>0.6</x:v>
      </x:c>
      <x:c r="D776" s="60" t="n">
        <x:v>0.6</x:v>
      </x:c>
      <x:c r="E776" s="62" t="b">
        <x:v>1</x:v>
      </x:c>
      <x:c r="F776" s="62" t="b">
        <x:v>1</x:v>
      </x:c>
      <x:c r="G776" s="85" t="n">
        <x:v>0</x:v>
      </x:c>
      <x:c r="H776" s="85" t="n">
        <x:v>0</x:v>
      </x:c>
      <x:c r="I776" s="85" t="n">
        <x:v>71819735.96241245</x:v>
      </x:c>
      <x:c r="J776" s="85" t="n">
        <x:v>68181270.18170092</x:v>
      </x:c>
      <x:c r="K776" s="85" t="n">
        <x:v>0</x:v>
      </x:c>
      <x:c r="L776" s="28" t="n">
        <x:v>19</x:v>
      </x:c>
      <x:c r="M776" s="28" t="n">
        <x:v>0</x:v>
      </x:c>
      <x:c r="N776" s="28" t="n">
        <x:v>1.862645149230957e-9</x:v>
      </x:c>
      <x:c r="O776" s="28" t="n">
        <x:v>2.9802322387695312e-8</x:v>
      </x:c>
      <x:c r="P776" s="28" t="n">
        <x:v>0</x:v>
      </x:c>
      <x:c r="Q776" s="62" t="b">
        <x:v>1</x:v>
      </x:c>
      <x:c r="R776" s="28" t="n">
        <x:v>0</x:v>
      </x:c>
      <x:c r="S776" s="28" t="str">
        <x:v>31b1d93b7b47d52d</x:v>
      </x:c>
    </x:row>
    <x:row r="777" ht="21" customHeight="1">
      <x:c r="A777" s="60" t="n">
        <x:v>0.63</x:v>
      </x:c>
      <x:c r="B777" s="28" t="str">
        <x:v>front_flat</x:v>
      </x:c>
      <x:c r="C777" s="60" t="n">
        <x:v>0.65</x:v>
      </x:c>
      <x:c r="D777" s="60" t="n">
        <x:v>0.65</x:v>
      </x:c>
      <x:c r="E777" s="62" t="b">
        <x:v>1</x:v>
      </x:c>
      <x:c r="F777" s="62" t="b">
        <x:v>1</x:v>
      </x:c>
      <x:c r="G777" s="85" t="n">
        <x:v>0</x:v>
      </x:c>
      <x:c r="H777" s="85" t="n">
        <x:v>0</x:v>
      </x:c>
      <x:c r="I777" s="85" t="n">
        <x:v>77644503.07311986</x:v>
      </x:c>
      <x:c r="J777" s="85" t="n">
        <x:v>79460844.26185256</x:v>
      </x:c>
      <x:c r="K777" s="85" t="n">
        <x:v>0</x:v>
      </x:c>
      <x:c r="L777" s="28" t="n">
        <x:v>25</x:v>
      </x:c>
      <x:c r="M777" s="28" t="n">
        <x:v>10</x:v>
      </x:c>
      <x:c r="N777" s="28" t="n">
        <x:v>1.862645149230957e-9</x:v>
      </x:c>
      <x:c r="O777" s="28" t="n">
        <x:v>2.9802322387695312e-8</x:v>
      </x:c>
      <x:c r="P777" s="28" t="n">
        <x:v>0</x:v>
      </x:c>
      <x:c r="Q777" s="62" t="b">
        <x:v>1</x:v>
      </x:c>
      <x:c r="R777" s="28" t="n">
        <x:v>0</x:v>
      </x:c>
      <x:c r="S777" s="28" t="str">
        <x:v>41b8821fe6ed9f4c</x:v>
      </x:c>
    </x:row>
    <x:row r="778" ht="21" customHeight="1">
      <x:c r="A778" s="60" t="n">
        <x:v>0.63</x:v>
      </x:c>
      <x:c r="B778" s="28" t="str">
        <x:v>front_flat</x:v>
      </x:c>
      <x:c r="C778" s="60" t="n">
        <x:v>0.7</x:v>
      </x:c>
      <x:c r="D778" s="60" t="n">
        <x:v>0.7</x:v>
      </x:c>
      <x:c r="E778" s="62" t="b">
        <x:v>1</x:v>
      </x:c>
      <x:c r="F778" s="62" t="b">
        <x:v>0</x:v>
      </x:c>
      <x:c r="G778" s="85" t="n">
        <x:v>1837361.0905875184</x:v>
      </x:c>
      <x:c r="H778" s="85" t="n">
        <x:v>11740149.058915837</x:v>
      </x:c>
      <x:c r="I778" s="85" t="n">
        <x:v>78348445.316176</x:v>
      </x:c>
      <x:c r="J778" s="85" t="n">
        <x:v>81000000</x:v>
      </x:c>
      <x:c r="K778" s="85" t="n">
        <x:v>0</x:v>
      </x:c>
      <x:c r="L778" s="28" t="n">
        <x:v>45</x:v>
      </x:c>
      <x:c r="M778" s="28" t="n">
        <x:v>35</x:v>
      </x:c>
      <x:c r="N778" s="28" t="n">
        <x:v>1.862645149230957e-9</x:v>
      </x:c>
      <x:c r="O778" s="28" t="n">
        <x:v>2.9802322387695312e-8</x:v>
      </x:c>
      <x:c r="P778" s="28" t="n">
        <x:v>0</x:v>
      </x:c>
      <x:c r="Q778" s="62" t="b">
        <x:v>1</x:v>
      </x:c>
      <x:c r="R778" s="28" t="n">
        <x:v>0</x:v>
      </x:c>
      <x:c r="S778" s="28" t="str">
        <x:v>84abcaac8fa87b81</x:v>
      </x:c>
    </x:row>
    <x:row r="779" ht="21" customHeight="1">
      <x:c r="A779" s="60" t="n">
        <x:v>0.63</x:v>
      </x:c>
      <x:c r="B779" s="28" t="str">
        <x:v>front_flat</x:v>
      </x:c>
      <x:c r="C779" s="60" t="n">
        <x:v>0.75</x:v>
      </x:c>
      <x:c r="D779" s="60" t="n">
        <x:v>0.75</x:v>
      </x:c>
      <x:c r="E779" s="62" t="b">
        <x:v>1</x:v>
      </x:c>
      <x:c r="F779" s="62" t="b">
        <x:v>0</x:v>
      </x:c>
      <x:c r="G779" s="85" t="n">
        <x:v>4050568.9027980515</x:v>
      </x:c>
      <x:c r="H779" s="85" t="n">
        <x:v>23027192.541350927</x:v>
      </x:c>
      <x:c r="I779" s="85" t="n">
        <x:v>79558415.3328373</x:v>
      </x:c>
      <x:c r="J779" s="85" t="n">
        <x:v>81000000</x:v>
      </x:c>
      <x:c r="K779" s="85" t="n">
        <x:v>0</x:v>
      </x:c>
      <x:c r="L779" s="28" t="n">
        <x:v>46</x:v>
      </x:c>
      <x:c r="M779" s="28" t="n">
        <x:v>38</x:v>
      </x:c>
      <x:c r="N779" s="28" t="n">
        <x:v>1.862645149230957e-9</x:v>
      </x:c>
      <x:c r="O779" s="28" t="n">
        <x:v>2.9802322387695312e-8</x:v>
      </x:c>
      <x:c r="P779" s="28" t="n">
        <x:v>0</x:v>
      </x:c>
      <x:c r="Q779" s="62" t="b">
        <x:v>1</x:v>
      </x:c>
      <x:c r="R779" s="28" t="n">
        <x:v>0</x:v>
      </x:c>
      <x:c r="S779" s="28" t="str">
        <x:v>fcf3afe3afa166db</x:v>
      </x:c>
    </x:row>
    <x:row r="780" ht="21" customHeight="1">
      <x:c r="A780" s="60" t="n">
        <x:v>0.63</x:v>
      </x:c>
      <x:c r="B780" s="28" t="str">
        <x:v>front_flat</x:v>
      </x:c>
      <x:c r="C780" s="60" t="n">
        <x:v>0.8</x:v>
      </x:c>
      <x:c r="D780" s="60" t="n">
        <x:v>0.8</x:v>
      </x:c>
      <x:c r="E780" s="62" t="b">
        <x:v>1</x:v>
      </x:c>
      <x:c r="F780" s="62" t="b">
        <x:v>0</x:v>
      </x:c>
      <x:c r="G780" s="85" t="n">
        <x:v>6698182.307773832</x:v>
      </x:c>
      <x:c r="H780" s="85" t="n">
        <x:v>35671681.16489128</x:v>
      </x:c>
      <x:c r="I780" s="85" t="n">
        <x:v>79621185.32772052</x:v>
      </x:c>
      <x:c r="J780" s="85" t="n">
        <x:v>81000000</x:v>
      </x:c>
      <x:c r="K780" s="85" t="n">
        <x:v>0</x:v>
      </x:c>
      <x:c r="L780" s="28" t="n">
        <x:v>46</x:v>
      </x:c>
      <x:c r="M780" s="28" t="n">
        <x:v>40</x:v>
      </x:c>
      <x:c r="N780" s="28" t="n">
        <x:v>1.862645149230957e-9</x:v>
      </x:c>
      <x:c r="O780" s="28" t="n">
        <x:v>1.4901161193847656e-8</x:v>
      </x:c>
      <x:c r="P780" s="28" t="n">
        <x:v>0</x:v>
      </x:c>
      <x:c r="Q780" s="62" t="b">
        <x:v>1</x:v>
      </x:c>
      <x:c r="R780" s="28" t="n">
        <x:v>0</x:v>
      </x:c>
      <x:c r="S780" s="28" t="str">
        <x:v>408a8daca3195150</x:v>
      </x:c>
    </x:row>
    <x:row r="781" ht="21" customHeight="1">
      <x:c r="A781" s="60" t="n">
        <x:v>0.63</x:v>
      </x:c>
      <x:c r="B781" s="28" t="str">
        <x:v>front_flat</x:v>
      </x:c>
      <x:c r="C781" s="60" t="n">
        <x:v>0.85</x:v>
      </x:c>
      <x:c r="D781" s="60" t="n">
        <x:v>0.85</x:v>
      </x:c>
      <x:c r="E781" s="62" t="b">
        <x:v>1</x:v>
      </x:c>
      <x:c r="F781" s="62" t="b">
        <x:v>0</x:v>
      </x:c>
      <x:c r="G781" s="85" t="n">
        <x:v>9400727.633243937</x:v>
      </x:c>
      <x:c r="H781" s="85" t="n">
        <x:v>48065560.68091676</x:v>
      </x:c>
      <x:c r="I781" s="85" t="n">
        <x:v>79683955.32260373</x:v>
      </x:c>
      <x:c r="J781" s="85" t="n">
        <x:v>81000000</x:v>
      </x:c>
      <x:c r="K781" s="85" t="n">
        <x:v>0</x:v>
      </x:c>
      <x:c r="L781" s="28" t="n">
        <x:v>46</x:v>
      </x:c>
      <x:c r="M781" s="28" t="n">
        <x:v>42</x:v>
      </x:c>
      <x:c r="N781" s="28" t="n">
        <x:v>1.862645149230957e-9</x:v>
      </x:c>
      <x:c r="O781" s="28" t="n">
        <x:v>1.862645149230957e-9</x:v>
      </x:c>
      <x:c r="P781" s="28" t="n">
        <x:v>0</x:v>
      </x:c>
      <x:c r="Q781" s="62" t="b">
        <x:v>1</x:v>
      </x:c>
      <x:c r="R781" s="28" t="n">
        <x:v>0</x:v>
      </x:c>
      <x:c r="S781" s="28" t="str">
        <x:v>7786f69a8ab09f56</x:v>
      </x:c>
    </x:row>
    <x:row r="782" ht="21" customHeight="1">
      <x:c r="A782" s="60" t="n">
        <x:v>0.63</x:v>
      </x:c>
      <x:c r="B782" s="28" t="str">
        <x:v>front_flat</x:v>
      </x:c>
      <x:c r="C782" s="60" t="n">
        <x:v>0.9</x:v>
      </x:c>
      <x:c r="D782" s="60" t="n">
        <x:v>0.9</x:v>
      </x:c>
      <x:c r="E782" s="62" t="b">
        <x:v>1</x:v>
      </x:c>
      <x:c r="F782" s="62" t="b">
        <x:v>0</x:v>
      </x:c>
      <x:c r="G782" s="85" t="n">
        <x:v>12816198.517619587</x:v>
      </x:c>
      <x:c r="H782" s="85" t="n">
        <x:v>59912364.145792365</x:v>
      </x:c>
      <x:c r="I782" s="85" t="n">
        <x:v>79746725.31748697</x:v>
      </x:c>
      <x:c r="J782" s="85" t="n">
        <x:v>81000000</x:v>
      </x:c>
      <x:c r="K782" s="85" t="n">
        <x:v>0</x:v>
      </x:c>
      <x:c r="L782" s="28" t="n">
        <x:v>46</x:v>
      </x:c>
      <x:c r="M782" s="28" t="n">
        <x:v>44</x:v>
      </x:c>
      <x:c r="N782" s="28" t="n">
        <x:v>9.313225746154785e-10</x:v>
      </x:c>
      <x:c r="O782" s="28" t="n">
        <x:v>1.4901161193847656e-8</x:v>
      </x:c>
      <x:c r="P782" s="28" t="n">
        <x:v>0</x:v>
      </x:c>
      <x:c r="Q782" s="62" t="b">
        <x:v>1</x:v>
      </x:c>
      <x:c r="R782" s="28" t="n">
        <x:v>0</x:v>
      </x:c>
      <x:c r="S782" s="28" t="str">
        <x:v>7368ce89330d854a</x:v>
      </x:c>
    </x:row>
    <x:row r="783" ht="21" customHeight="1">
      <x:c r="A783" s="60" t="n">
        <x:v>0.63</x:v>
      </x:c>
      <x:c r="B783" s="28" t="str">
        <x:v>front_flat</x:v>
      </x:c>
      <x:c r="C783" s="60" t="n">
        <x:v>0.95</x:v>
      </x:c>
      <x:c r="D783" s="60" t="n">
        <x:v>0.9497739906324524</x:v>
      </x:c>
      <x:c r="E783" s="62" t="b">
        <x:v>0</x:v>
      </x:c>
      <x:c r="F783" s="62" t="b">
        <x:v>0</x:v>
      </x:c>
      <x:c r="G783" s="85" t="n">
        <x:v>18011234.105721746</x:v>
      </x:c>
      <x:c r="H783" s="85" t="n">
        <x:v>68193233.14995681</x:v>
      </x:c>
      <x:c r="I783" s="85" t="n">
        <x:v>79809495.31237018</x:v>
      </x:c>
      <x:c r="J783" s="85" t="n">
        <x:v>81000000</x:v>
      </x:c>
      <x:c r="K783" s="85" t="n">
        <x:v>0</x:v>
      </x:c>
      <x:c r="L783" s="28" t="n">
        <x:v>46</x:v>
      </x:c>
      <x:c r="M783" s="28" t="n">
        <x:v>44</x:v>
      </x:c>
      <x:c r="N783" s="28" t="n">
        <x:v>9.313225746154785e-10</x:v>
      </x:c>
      <x:c r="O783" s="28" t="n">
        <x:v>1.4901161193847656e-8</x:v>
      </x:c>
      <x:c r="P783" s="28" t="n">
        <x:v>0</x:v>
      </x:c>
      <x:c r="Q783" s="62" t="b">
        <x:v>1</x:v>
      </x:c>
      <x:c r="R783" s="28" t="n">
        <x:v>67802.81026428938</x:v>
      </x:c>
      <x:c r="S783" s="28" t="str">
        <x:v>4556800c72416ac5</x:v>
      </x:c>
    </x:row>
    <x:row r="784" ht="21" customHeight="1">
      <x:c r="A784" s="60" t="n">
        <x:v>0.63</x:v>
      </x:c>
      <x:c r="B784" s="28" t="str">
        <x:v>front_flat</x:v>
      </x:c>
      <x:c r="C784" s="60" t="n">
        <x:v>1</x:v>
      </x:c>
      <x:c r="D784" s="60" t="n">
        <x:v>0.9646994850752131</x:v>
      </x:c>
      <x:c r="E784" s="62" t="b">
        <x:v>0</x:v>
      </x:c>
      <x:c r="F784" s="62" t="b">
        <x:v>0</x:v>
      </x:c>
      <x:c r="G784" s="85" t="n">
        <x:v>19861579.480151054</x:v>
      </x:c>
      <x:c r="H784" s="85" t="n">
        <x:v>72168563.19690135</x:v>
      </x:c>
      <x:c r="I784" s="85" t="n">
        <x:v>79872265.30725339</x:v>
      </x:c>
      <x:c r="J784" s="85" t="n">
        <x:v>81000000</x:v>
      </x:c>
      <x:c r="K784" s="85" t="n">
        <x:v>0</x:v>
      </x:c>
      <x:c r="L784" s="28" t="n">
        <x:v>46</x:v>
      </x:c>
      <x:c r="M784" s="28" t="n">
        <x:v>44</x:v>
      </x:c>
      <x:c r="N784" s="28" t="n">
        <x:v>9.313225746154785e-10</x:v>
      </x:c>
      <x:c r="O784" s="28" t="n">
        <x:v>3.725290298461914e-9</x:v>
      </x:c>
      <x:c r="P784" s="28" t="n">
        <x:v>0</x:v>
      </x:c>
      <x:c r="Q784" s="62" t="b">
        <x:v>1</x:v>
      </x:c>
      <x:c r="R784" s="28" t="n">
        <x:v>10590154.477436066</x:v>
      </x:c>
      <x:c r="S784" s="28" t="str">
        <x:v>99b8b9733d137af3</x:v>
      </x:c>
    </x:row>
    <x:row r="785" ht="21" customHeight="1">
      <x:c r="A785" s="60" t="n">
        <x:v>0.63</x:v>
      </x:c>
      <x:c r="B785" s="28" t="str">
        <x:v>front_low</x:v>
      </x:c>
      <x:c r="C785" s="60" t="n">
        <x:v>0</x:v>
      </x:c>
      <x:c r="D785" s="60" t="n">
        <x:v>0</x:v>
      </x:c>
      <x:c r="E785" s="62" t="b">
        <x:v>1</x:v>
      </x:c>
      <x:c r="F785" s="62" t="b">
        <x:v>1</x:v>
      </x:c>
      <x:c r="G785" s="85" t="n">
        <x:v>0</x:v>
      </x:c>
      <x:c r="H785" s="85" t="n">
        <x:v>0</x:v>
      </x:c>
      <x:c r="I785" s="85" t="n">
        <x:v>0</x:v>
      </x:c>
      <x:c r="J785" s="85" t="n">
        <x:v>0</x:v>
      </x:c>
      <x:c r="K785" s="85" t="n">
        <x:v>28002820.176027384</x:v>
      </x:c>
      <x:c r="L785" s="28" t="n">
        <x:v>0</x:v>
      </x:c>
      <x:c r="M785" s="28" t="n">
        <x:v>0</x:v>
      </x:c>
      <x:c r="N785" s="28" t="n">
        <x:v>1.862645149230957e-9</x:v>
      </x:c>
      <x:c r="O785" s="28" t="n">
        <x:v>0</x:v>
      </x:c>
      <x:c r="P785" s="28" t="n">
        <x:v>0</x:v>
      </x:c>
      <x:c r="Q785" s="62" t="b">
        <x:v>1</x:v>
      </x:c>
      <x:c r="R785" s="28" t="n">
        <x:v>0</x:v>
      </x:c>
      <x:c r="S785" s="28" t="str">
        <x:v>fa2ab93f250b78d5</x:v>
      </x:c>
    </x:row>
    <x:row r="786" ht="21" customHeight="1">
      <x:c r="A786" s="60" t="n">
        <x:v>0.63</x:v>
      </x:c>
      <x:c r="B786" s="28" t="str">
        <x:v>front_low</x:v>
      </x:c>
      <x:c r="C786" s="60" t="n">
        <x:v>0.05</x:v>
      </x:c>
      <x:c r="D786" s="60" t="n">
        <x:v>0.05</x:v>
      </x:c>
      <x:c r="E786" s="62" t="b">
        <x:v>1</x:v>
      </x:c>
      <x:c r="F786" s="62" t="b">
        <x:v>1</x:v>
      </x:c>
      <x:c r="G786" s="85" t="n">
        <x:v>0</x:v>
      </x:c>
      <x:c r="H786" s="85" t="n">
        <x:v>0</x:v>
      </x:c>
      <x:c r="I786" s="85" t="n">
        <x:v>0</x:v>
      </x:c>
      <x:c r="J786" s="85" t="n">
        <x:v>0</x:v>
      </x:c>
      <x:c r="K786" s="85" t="n">
        <x:v>17094572.13773344</x:v>
      </x:c>
      <x:c r="L786" s="28" t="n">
        <x:v>0</x:v>
      </x:c>
      <x:c r="M786" s="28" t="n">
        <x:v>0</x:v>
      </x:c>
      <x:c r="N786" s="28" t="n">
        <x:v>3.725290298461914e-9</x:v>
      </x:c>
      <x:c r="O786" s="28" t="n">
        <x:v>5.960464477539063e-8</x:v>
      </x:c>
      <x:c r="P786" s="28" t="n">
        <x:v>0</x:v>
      </x:c>
      <x:c r="Q786" s="62" t="b">
        <x:v>1</x:v>
      </x:c>
      <x:c r="R786" s="28" t="n">
        <x:v>0</x:v>
      </x:c>
      <x:c r="S786" s="28" t="str">
        <x:v>dff73e06922f7220</x:v>
      </x:c>
    </x:row>
    <x:row r="787" ht="21" customHeight="1">
      <x:c r="A787" s="60" t="n">
        <x:v>0.63</x:v>
      </x:c>
      <x:c r="B787" s="28" t="str">
        <x:v>front_low</x:v>
      </x:c>
      <x:c r="C787" s="60" t="n">
        <x:v>0.1</x:v>
      </x:c>
      <x:c r="D787" s="60" t="n">
        <x:v>0.1</x:v>
      </x:c>
      <x:c r="E787" s="62" t="b">
        <x:v>1</x:v>
      </x:c>
      <x:c r="F787" s="62" t="b">
        <x:v>1</x:v>
      </x:c>
      <x:c r="G787" s="85" t="n">
        <x:v>0</x:v>
      </x:c>
      <x:c r="H787" s="85" t="n">
        <x:v>0</x:v>
      </x:c>
      <x:c r="I787" s="85" t="n">
        <x:v>0</x:v>
      </x:c>
      <x:c r="J787" s="85" t="n">
        <x:v>0</x:v>
      </x:c>
      <x:c r="K787" s="85" t="n">
        <x:v>6102050.637537319</x:v>
      </x:c>
      <x:c r="L787" s="28" t="n">
        <x:v>0</x:v>
      </x:c>
      <x:c r="M787" s="28" t="n">
        <x:v>0</x:v>
      </x:c>
      <x:c r="N787" s="28" t="n">
        <x:v>3.725290298461914e-9</x:v>
      </x:c>
      <x:c r="O787" s="28" t="n">
        <x:v>5.960464477539063e-8</x:v>
      </x:c>
      <x:c r="P787" s="28" t="n">
        <x:v>0</x:v>
      </x:c>
      <x:c r="Q787" s="62" t="b">
        <x:v>1</x:v>
      </x:c>
      <x:c r="R787" s="28" t="n">
        <x:v>0</x:v>
      </x:c>
      <x:c r="S787" s="28" t="str">
        <x:v>92228d37b7a4db49</x:v>
      </x:c>
    </x:row>
    <x:row r="788" ht="21" customHeight="1">
      <x:c r="A788" s="60" t="n">
        <x:v>0.63</x:v>
      </x:c>
      <x:c r="B788" s="28" t="str">
        <x:v>front_low</x:v>
      </x:c>
      <x:c r="C788" s="60" t="n">
        <x:v>0.15</x:v>
      </x:c>
      <x:c r="D788" s="60" t="n">
        <x:v>0.15</x:v>
      </x:c>
      <x:c r="E788" s="62" t="b">
        <x:v>1</x:v>
      </x:c>
      <x:c r="F788" s="62" t="b">
        <x:v>1</x:v>
      </x:c>
      <x:c r="G788" s="85" t="n">
        <x:v>0</x:v>
      </x:c>
      <x:c r="H788" s="85" t="n">
        <x:v>0</x:v>
      </x:c>
      <x:c r="I788" s="85" t="n">
        <x:v>3277223.9255304453</x:v>
      </x:c>
      <x:c r="J788" s="85" t="n">
        <x:v>0</x:v>
      </x:c>
      <x:c r="K788" s="85" t="n">
        <x:v>16033.160090068792</x:v>
      </x:c>
      <x:c r="L788" s="28" t="n">
        <x:v>0</x:v>
      </x:c>
      <x:c r="M788" s="28" t="n">
        <x:v>0</x:v>
      </x:c>
      <x:c r="N788" s="28" t="n">
        <x:v>3.725290298461914e-9</x:v>
      </x:c>
      <x:c r="O788" s="28" t="n">
        <x:v>2.9802322387695312e-8</x:v>
      </x:c>
      <x:c r="P788" s="28" t="n">
        <x:v>0</x:v>
      </x:c>
      <x:c r="Q788" s="62" t="b">
        <x:v>1</x:v>
      </x:c>
      <x:c r="R788" s="28" t="n">
        <x:v>0</x:v>
      </x:c>
      <x:c r="S788" s="28" t="str">
        <x:v>cdf83cc3c75adccb</x:v>
      </x:c>
    </x:row>
    <x:row r="789" ht="21" customHeight="1">
      <x:c r="A789" s="60" t="n">
        <x:v>0.63</x:v>
      </x:c>
      <x:c r="B789" s="28" t="str">
        <x:v>front_low</x:v>
      </x:c>
      <x:c r="C789" s="60" t="n">
        <x:v>0.2</x:v>
      </x:c>
      <x:c r="D789" s="60" t="n">
        <x:v>0.2</x:v>
      </x:c>
      <x:c r="E789" s="62" t="b">
        <x:v>1</x:v>
      </x:c>
      <x:c r="F789" s="62" t="b">
        <x:v>1</x:v>
      </x:c>
      <x:c r="G789" s="85" t="n">
        <x:v>0</x:v>
      </x:c>
      <x:c r="H789" s="85" t="n">
        <x:v>0</x:v>
      </x:c>
      <x:c r="I789" s="85" t="n">
        <x:v>9924997.563270325</x:v>
      </x:c>
      <x:c r="J789" s="85" t="n">
        <x:v>6284479.497374657</x:v>
      </x:c>
      <x:c r="K789" s="85" t="n">
        <x:v>0</x:v>
      </x:c>
      <x:c r="L789" s="28" t="n">
        <x:v>0</x:v>
      </x:c>
      <x:c r="M789" s="28" t="n">
        <x:v>0</x:v>
      </x:c>
      <x:c r="N789" s="28" t="n">
        <x:v>1.862645149230957e-9</x:v>
      </x:c>
      <x:c r="O789" s="28" t="n">
        <x:v>2.9802322387695312e-8</x:v>
      </x:c>
      <x:c r="P789" s="28" t="n">
        <x:v>0</x:v>
      </x:c>
      <x:c r="Q789" s="62" t="b">
        <x:v>1</x:v>
      </x:c>
      <x:c r="R789" s="28" t="n">
        <x:v>0</x:v>
      </x:c>
      <x:c r="S789" s="28" t="str">
        <x:v>105142269d9715fe</x:v>
      </x:c>
    </x:row>
    <x:row r="790" ht="21" customHeight="1">
      <x:c r="A790" s="60" t="n">
        <x:v>0.63</x:v>
      </x:c>
      <x:c r="B790" s="28" t="str">
        <x:v>front_low</x:v>
      </x:c>
      <x:c r="C790" s="60" t="n">
        <x:v>0.25</x:v>
      </x:c>
      <x:c r="D790" s="60" t="n">
        <x:v>0.25</x:v>
      </x:c>
      <x:c r="E790" s="62" t="b">
        <x:v>1</x:v>
      </x:c>
      <x:c r="F790" s="62" t="b">
        <x:v>1</x:v>
      </x:c>
      <x:c r="G790" s="85" t="n">
        <x:v>0</x:v>
      </x:c>
      <x:c r="H790" s="85" t="n">
        <x:v>0</x:v>
      </x:c>
      <x:c r="I790" s="85" t="n">
        <x:v>14464980.906498808</x:v>
      </x:c>
      <x:c r="J790" s="85" t="n">
        <x:v>15355599.371718248</x:v>
      </x:c>
      <x:c r="K790" s="85" t="n">
        <x:v>0</x:v>
      </x:c>
      <x:c r="L790" s="28" t="n">
        <x:v>0</x:v>
      </x:c>
      <x:c r="M790" s="28" t="n">
        <x:v>0</x:v>
      </x:c>
      <x:c r="N790" s="28" t="n">
        <x:v>1.862645149230957e-9</x:v>
      </x:c>
      <x:c r="O790" s="28" t="n">
        <x:v>1.4901161193847656e-8</x:v>
      </x:c>
      <x:c r="P790" s="28" t="n">
        <x:v>0</x:v>
      </x:c>
      <x:c r="Q790" s="62" t="b">
        <x:v>1</x:v>
      </x:c>
      <x:c r="R790" s="28" t="n">
        <x:v>0</x:v>
      </x:c>
      <x:c r="S790" s="28" t="str">
        <x:v>9b525cfa6b2e8412</x:v>
      </x:c>
    </x:row>
    <x:row r="791" ht="21" customHeight="1">
      <x:c r="A791" s="60" t="n">
        <x:v>0.63</x:v>
      </x:c>
      <x:c r="B791" s="28" t="str">
        <x:v>front_low</x:v>
      </x:c>
      <x:c r="C791" s="60" t="n">
        <x:v>0.3</x:v>
      </x:c>
      <x:c r="D791" s="60" t="n">
        <x:v>0.3</x:v>
      </x:c>
      <x:c r="E791" s="62" t="b">
        <x:v>1</x:v>
      </x:c>
      <x:c r="F791" s="62" t="b">
        <x:v>1</x:v>
      </x:c>
      <x:c r="G791" s="85" t="n">
        <x:v>0</x:v>
      </x:c>
      <x:c r="H791" s="85" t="n">
        <x:v>0</x:v>
      </x:c>
      <x:c r="I791" s="85" t="n">
        <x:v>19030182.77944242</x:v>
      </x:c>
      <x:c r="J791" s="85" t="n">
        <x:v>24426719.246061895</x:v>
      </x:c>
      <x:c r="K791" s="85" t="n">
        <x:v>0</x:v>
      </x:c>
      <x:c r="L791" s="28" t="n">
        <x:v>0</x:v>
      </x:c>
      <x:c r="M791" s="28" t="n">
        <x:v>0</x:v>
      </x:c>
      <x:c r="N791" s="28" t="n">
        <x:v>3.725290298461914e-9</x:v>
      </x:c>
      <x:c r="O791" s="28" t="n">
        <x:v>2.9802322387695312e-8</x:v>
      </x:c>
      <x:c r="P791" s="28" t="n">
        <x:v>0</x:v>
      </x:c>
      <x:c r="Q791" s="62" t="b">
        <x:v>1</x:v>
      </x:c>
      <x:c r="R791" s="28" t="n">
        <x:v>0</x:v>
      </x:c>
      <x:c r="S791" s="28" t="str">
        <x:v>e4cbbcbee93c044b</x:v>
      </x:c>
    </x:row>
    <x:row r="792" ht="21" customHeight="1">
      <x:c r="A792" s="60" t="n">
        <x:v>0.63</x:v>
      </x:c>
      <x:c r="B792" s="28" t="str">
        <x:v>front_low</x:v>
      </x:c>
      <x:c r="C792" s="60" t="n">
        <x:v>0.35</x:v>
      </x:c>
      <x:c r="D792" s="60" t="n">
        <x:v>0.35</x:v>
      </x:c>
      <x:c r="E792" s="62" t="b">
        <x:v>1</x:v>
      </x:c>
      <x:c r="F792" s="62" t="b">
        <x:v>1</x:v>
      </x:c>
      <x:c r="G792" s="85" t="n">
        <x:v>0</x:v>
      </x:c>
      <x:c r="H792" s="85" t="n">
        <x:v>0</x:v>
      </x:c>
      <x:c r="I792" s="85" t="n">
        <x:v>23568496.083015837</x:v>
      </x:c>
      <x:c r="J792" s="85" t="n">
        <x:v>33497839.120405544</x:v>
      </x:c>
      <x:c r="K792" s="85" t="n">
        <x:v>0</x:v>
      </x:c>
      <x:c r="L792" s="28" t="n">
        <x:v>0</x:v>
      </x:c>
      <x:c r="M792" s="28" t="n">
        <x:v>0</x:v>
      </x:c>
      <x:c r="N792" s="28" t="n">
        <x:v>3.725290298461914e-9</x:v>
      </x:c>
      <x:c r="O792" s="28" t="n">
        <x:v>7.450580596923828e-9</x:v>
      </x:c>
      <x:c r="P792" s="28" t="n">
        <x:v>0</x:v>
      </x:c>
      <x:c r="Q792" s="62" t="b">
        <x:v>1</x:v>
      </x:c>
      <x:c r="R792" s="28" t="n">
        <x:v>0</x:v>
      </x:c>
      <x:c r="S792" s="28" t="str">
        <x:v>56948ef45f7ab6c8</x:v>
      </x:c>
    </x:row>
    <x:row r="793" ht="21" customHeight="1">
      <x:c r="A793" s="60" t="n">
        <x:v>0.63</x:v>
      </x:c>
      <x:c r="B793" s="28" t="str">
        <x:v>front_low</x:v>
      </x:c>
      <x:c r="C793" s="60" t="n">
        <x:v>0.4</x:v>
      </x:c>
      <x:c r="D793" s="60" t="n">
        <x:v>0.4</x:v>
      </x:c>
      <x:c r="E793" s="62" t="b">
        <x:v>1</x:v>
      </x:c>
      <x:c r="F793" s="62" t="b">
        <x:v>1</x:v>
      </x:c>
      <x:c r="G793" s="85" t="n">
        <x:v>0</x:v>
      </x:c>
      <x:c r="H793" s="85" t="n">
        <x:v>0</x:v>
      </x:c>
      <x:c r="I793" s="85" t="n">
        <x:v>28084275.483231414</x:v>
      </x:c>
      <x:c r="J793" s="85" t="n">
        <x:v>42568958.994749226</x:v>
      </x:c>
      <x:c r="K793" s="85" t="n">
        <x:v>0</x:v>
      </x:c>
      <x:c r="L793" s="28" t="n">
        <x:v>0</x:v>
      </x:c>
      <x:c r="M793" s="28" t="n">
        <x:v>0</x:v>
      </x:c>
      <x:c r="N793" s="28" t="n">
        <x:v>1.862645149230957e-9</x:v>
      </x:c>
      <x:c r="O793" s="28" t="n">
        <x:v>2.9802322387695312e-8</x:v>
      </x:c>
      <x:c r="P793" s="28" t="n">
        <x:v>0</x:v>
      </x:c>
      <x:c r="Q793" s="62" t="b">
        <x:v>1</x:v>
      </x:c>
      <x:c r="R793" s="28" t="n">
        <x:v>0</x:v>
      </x:c>
      <x:c r="S793" s="28" t="str">
        <x:v>7f2f9d2169dd3708</x:v>
      </x:c>
    </x:row>
    <x:row r="794" ht="21" customHeight="1">
      <x:c r="A794" s="60" t="n">
        <x:v>0.63</x:v>
      </x:c>
      <x:c r="B794" s="28" t="str">
        <x:v>front_low</x:v>
      </x:c>
      <x:c r="C794" s="60" t="n">
        <x:v>0.45</x:v>
      </x:c>
      <x:c r="D794" s="60" t="n">
        <x:v>0.45</x:v>
      </x:c>
      <x:c r="E794" s="62" t="b">
        <x:v>1</x:v>
      </x:c>
      <x:c r="F794" s="62" t="b">
        <x:v>1</x:v>
      </x:c>
      <x:c r="G794" s="85" t="n">
        <x:v>0</x:v>
      </x:c>
      <x:c r="H794" s="85" t="n">
        <x:v>0</x:v>
      </x:c>
      <x:c r="I794" s="85" t="n">
        <x:v>32912842.318442017</x:v>
      </x:c>
      <x:c r="J794" s="85" t="n">
        <x:v>51094220.92747718</x:v>
      </x:c>
      <x:c r="K794" s="85" t="n">
        <x:v>0</x:v>
      </x:c>
      <x:c r="L794" s="28" t="n">
        <x:v>1</x:v>
      </x:c>
      <x:c r="M794" s="28" t="n">
        <x:v>0</x:v>
      </x:c>
      <x:c r="N794" s="28" t="n">
        <x:v>1.862645149230957e-9</x:v>
      </x:c>
      <x:c r="O794" s="28" t="n">
        <x:v>2.9802322387695312e-8</x:v>
      </x:c>
      <x:c r="P794" s="28" t="n">
        <x:v>0</x:v>
      </x:c>
      <x:c r="Q794" s="62" t="b">
        <x:v>1</x:v>
      </x:c>
      <x:c r="R794" s="28" t="n">
        <x:v>0</x:v>
      </x:c>
      <x:c r="S794" s="28" t="str">
        <x:v>3066ad39724955a0</x:v>
      </x:c>
    </x:row>
    <x:row r="795" ht="21" customHeight="1">
      <x:c r="A795" s="60" t="n">
        <x:v>0.63</x:v>
      </x:c>
      <x:c r="B795" s="28" t="str">
        <x:v>front_low</x:v>
      </x:c>
      <x:c r="C795" s="60" t="n">
        <x:v>0.5</x:v>
      </x:c>
      <x:c r="D795" s="60" t="n">
        <x:v>0.5</x:v>
      </x:c>
      <x:c r="E795" s="62" t="b">
        <x:v>1</x:v>
      </x:c>
      <x:c r="F795" s="62" t="b">
        <x:v>1</x:v>
      </x:c>
      <x:c r="G795" s="85" t="n">
        <x:v>0</x:v>
      </x:c>
      <x:c r="H795" s="85" t="n">
        <x:v>0</x:v>
      </x:c>
      <x:c r="I795" s="85" t="n">
        <x:v>40765817.54366725</x:v>
      </x:c>
      <x:c r="J795" s="85" t="n">
        <x:v>54543011.91984209</x:v>
      </x:c>
      <x:c r="K795" s="85" t="n">
        <x:v>0</x:v>
      </x:c>
      <x:c r="L795" s="28" t="n">
        <x:v>10</x:v>
      </x:c>
      <x:c r="M795" s="28" t="n">
        <x:v>0</x:v>
      </x:c>
      <x:c r="N795" s="28" t="n">
        <x:v>1.862645149230957e-9</x:v>
      </x:c>
      <x:c r="O795" s="28" t="n">
        <x:v>2.9802322387695312e-8</x:v>
      </x:c>
      <x:c r="P795" s="28" t="n">
        <x:v>0</x:v>
      </x:c>
      <x:c r="Q795" s="62" t="b">
        <x:v>1</x:v>
      </x:c>
      <x:c r="R795" s="28" t="n">
        <x:v>0</x:v>
      </x:c>
      <x:c r="S795" s="28" t="str">
        <x:v>b36b8e715e07f328</x:v>
      </x:c>
    </x:row>
    <x:row r="796" ht="21" customHeight="1">
      <x:c r="A796" s="60" t="n">
        <x:v>0.63</x:v>
      </x:c>
      <x:c r="B796" s="28" t="str">
        <x:v>front_low</x:v>
      </x:c>
      <x:c r="C796" s="60" t="n">
        <x:v>0.55</x:v>
      </x:c>
      <x:c r="D796" s="60" t="n">
        <x:v>0.55</x:v>
      </x:c>
      <x:c r="E796" s="62" t="b">
        <x:v>1</x:v>
      </x:c>
      <x:c r="F796" s="62" t="b">
        <x:v>1</x:v>
      </x:c>
      <x:c r="G796" s="85" t="n">
        <x:v>0</x:v>
      </x:c>
      <x:c r="H796" s="85" t="n">
        <x:v>0</x:v>
      </x:c>
      <x:c r="I796" s="85" t="n">
        <x:v>47357928.114403</x:v>
      </x:c>
      <x:c r="J796" s="85" t="n">
        <x:v>60002651.180965774</x:v>
      </x:c>
      <x:c r="K796" s="85" t="n">
        <x:v>0</x:v>
      </x:c>
      <x:c r="L796" s="28" t="n">
        <x:v>17</x:v>
      </x:c>
      <x:c r="M796" s="28" t="n">
        <x:v>0</x:v>
      </x:c>
      <x:c r="N796" s="28" t="n">
        <x:v>1.862645149230957e-9</x:v>
      </x:c>
      <x:c r="O796" s="28" t="n">
        <x:v>2.9802322387695312e-8</x:v>
      </x:c>
      <x:c r="P796" s="28" t="n">
        <x:v>0</x:v>
      </x:c>
      <x:c r="Q796" s="62" t="b">
        <x:v>1</x:v>
      </x:c>
      <x:c r="R796" s="28" t="n">
        <x:v>0</x:v>
      </x:c>
      <x:c r="S796" s="28" t="str">
        <x:v>098cccda947ba3a9</x:v>
      </x:c>
    </x:row>
    <x:row r="797" ht="21" customHeight="1">
      <x:c r="A797" s="60" t="n">
        <x:v>0.63</x:v>
      </x:c>
      <x:c r="B797" s="28" t="str">
        <x:v>front_low</x:v>
      </x:c>
      <x:c r="C797" s="60" t="n">
        <x:v>0.6</x:v>
      </x:c>
      <x:c r="D797" s="60" t="n">
        <x:v>0.6</x:v>
      </x:c>
      <x:c r="E797" s="62" t="b">
        <x:v>1</x:v>
      </x:c>
      <x:c r="F797" s="62" t="b">
        <x:v>1</x:v>
      </x:c>
      <x:c r="G797" s="85" t="n">
        <x:v>0</x:v>
      </x:c>
      <x:c r="H797" s="85" t="n">
        <x:v>0</x:v>
      </x:c>
      <x:c r="I797" s="85" t="n">
        <x:v>51360887.08990984</x:v>
      </x:c>
      <x:c r="J797" s="85" t="n">
        <x:v>69752117.9460451</x:v>
      </x:c>
      <x:c r="K797" s="85" t="n">
        <x:v>0</x:v>
      </x:c>
      <x:c r="L797" s="28" t="n">
        <x:v>20</x:v>
      </x:c>
      <x:c r="M797" s="28" t="n">
        <x:v>0</x:v>
      </x:c>
      <x:c r="N797" s="28" t="n">
        <x:v>9.313225746154785e-10</x:v>
      </x:c>
      <x:c r="O797" s="28" t="n">
        <x:v>2.9802322387695312e-8</x:v>
      </x:c>
      <x:c r="P797" s="28" t="n">
        <x:v>0</x:v>
      </x:c>
      <x:c r="Q797" s="62" t="b">
        <x:v>1</x:v>
      </x:c>
      <x:c r="R797" s="28" t="n">
        <x:v>0</x:v>
      </x:c>
      <x:c r="S797" s="28" t="str">
        <x:v>58a421be4c14bbfe</x:v>
      </x:c>
    </x:row>
    <x:row r="798" ht="21" customHeight="1">
      <x:c r="A798" s="60" t="n">
        <x:v>0.63</x:v>
      </x:c>
      <x:c r="B798" s="28" t="str">
        <x:v>front_low</x:v>
      </x:c>
      <x:c r="C798" s="60" t="n">
        <x:v>0.65</x:v>
      </x:c>
      <x:c r="D798" s="60" t="n">
        <x:v>0.65</x:v>
      </x:c>
      <x:c r="E798" s="62" t="b">
        <x:v>1</x:v>
      </x:c>
      <x:c r="F798" s="62" t="b">
        <x:v>1</x:v>
      </x:c>
      <x:c r="G798" s="85" t="n">
        <x:v>0</x:v>
      </x:c>
      <x:c r="H798" s="85" t="n">
        <x:v>0</x:v>
      </x:c>
      <x:c r="I798" s="85" t="n">
        <x:v>54914881.16009416</x:v>
      </x:c>
      <x:c r="J798" s="85" t="n">
        <x:v>79962496.74339877</x:v>
      </x:c>
      <x:c r="K798" s="85" t="n">
        <x:v>0</x:v>
      </x:c>
      <x:c r="L798" s="28" t="n">
        <x:v>26</x:v>
      </x:c>
      <x:c r="M798" s="28" t="n">
        <x:v>0</x:v>
      </x:c>
      <x:c r="N798" s="28" t="n">
        <x:v>9.313225746154785e-10</x:v>
      </x:c>
      <x:c r="O798" s="28" t="n">
        <x:v>2.9802322387695312e-8</x:v>
      </x:c>
      <x:c r="P798" s="28" t="n">
        <x:v>0</x:v>
      </x:c>
      <x:c r="Q798" s="62" t="b">
        <x:v>1</x:v>
      </x:c>
      <x:c r="R798" s="28" t="n">
        <x:v>0</x:v>
      </x:c>
      <x:c r="S798" s="28" t="str">
        <x:v>cbd615e0eddcec78</x:v>
      </x:c>
    </x:row>
    <x:row r="799" ht="21" customHeight="1">
      <x:c r="A799" s="60" t="n">
        <x:v>0.63</x:v>
      </x:c>
      <x:c r="B799" s="28" t="str">
        <x:v>front_low</x:v>
      </x:c>
      <x:c r="C799" s="60" t="n">
        <x:v>0.7</x:v>
      </x:c>
      <x:c r="D799" s="60" t="n">
        <x:v>0.7</x:v>
      </x:c>
      <x:c r="E799" s="62" t="b">
        <x:v>1</x:v>
      </x:c>
      <x:c r="F799" s="62" t="b">
        <x:v>0</x:v>
      </x:c>
      <x:c r="G799" s="85" t="n">
        <x:v>669247.5584404167</x:v>
      </x:c>
      <x:c r="H799" s="85" t="n">
        <x:v>10076355.7276993</x:v>
      </x:c>
      <x:c r="I799" s="85" t="n">
        <x:v>55244989.867929414</x:v>
      </x:c>
      <x:c r="J799" s="85" t="n">
        <x:v>81000000</x:v>
      </x:c>
      <x:c r="K799" s="85" t="n">
        <x:v>0</x:v>
      </x:c>
      <x:c r="L799" s="28" t="n">
        <x:v>45</x:v>
      </x:c>
      <x:c r="M799" s="28" t="n">
        <x:v>30</x:v>
      </x:c>
      <x:c r="N799" s="28" t="n">
        <x:v>1.862645149230957e-9</x:v>
      </x:c>
      <x:c r="O799" s="28" t="n">
        <x:v>2.9802322387695312e-8</x:v>
      </x:c>
      <x:c r="P799" s="28" t="n">
        <x:v>0</x:v>
      </x:c>
      <x:c r="Q799" s="62" t="b">
        <x:v>1</x:v>
      </x:c>
      <x:c r="R799" s="28" t="n">
        <x:v>0</x:v>
      </x:c>
      <x:c r="S799" s="28" t="str">
        <x:v>53ce7e2c780cddb7</x:v>
      </x:c>
    </x:row>
    <x:row r="800" ht="21" customHeight="1">
      <x:c r="A800" s="60" t="n">
        <x:v>0.63</x:v>
      </x:c>
      <x:c r="B800" s="28" t="str">
        <x:v>front_low</x:v>
      </x:c>
      <x:c r="C800" s="60" t="n">
        <x:v>0.75</x:v>
      </x:c>
      <x:c r="D800" s="60" t="n">
        <x:v>0.75</x:v>
      </x:c>
      <x:c r="E800" s="62" t="b">
        <x:v>1</x:v>
      </x:c>
      <x:c r="F800" s="62" t="b">
        <x:v>0</x:v>
      </x:c>
      <x:c r="G800" s="85" t="n">
        <x:v>1344830.933566966</x:v>
      </x:c>
      <x:c r="H800" s="85" t="n">
        <x:v>20270158.06741125</x:v>
      </x:c>
      <x:c r="I800" s="85" t="n">
        <x:v>56144994.00982359</x:v>
      </x:c>
      <x:c r="J800" s="85" t="n">
        <x:v>81000000</x:v>
      </x:c>
      <x:c r="K800" s="85" t="n">
        <x:v>0</x:v>
      </x:c>
      <x:c r="L800" s="28" t="n">
        <x:v>46</x:v>
      </x:c>
      <x:c r="M800" s="28" t="n">
        <x:v>32</x:v>
      </x:c>
      <x:c r="N800" s="28" t="n">
        <x:v>1.862645149230957e-9</x:v>
      </x:c>
      <x:c r="O800" s="28" t="n">
        <x:v>2.9802322387695312e-8</x:v>
      </x:c>
      <x:c r="P800" s="28" t="n">
        <x:v>0</x:v>
      </x:c>
      <x:c r="Q800" s="62" t="b">
        <x:v>1</x:v>
      </x:c>
      <x:c r="R800" s="28" t="n">
        <x:v>0</x:v>
      </x:c>
      <x:c r="S800" s="28" t="str">
        <x:v>41c9beaa80f00d88</x:v>
      </x:c>
    </x:row>
    <x:row r="801" ht="21" customHeight="1">
      <x:c r="A801" s="60" t="n">
        <x:v>0.63</x:v>
      </x:c>
      <x:c r="B801" s="28" t="str">
        <x:v>front_low</x:v>
      </x:c>
      <x:c r="C801" s="60" t="n">
        <x:v>0.8</x:v>
      </x:c>
      <x:c r="D801" s="60" t="n">
        <x:v>0.8</x:v>
      </x:c>
      <x:c r="E801" s="62" t="b">
        <x:v>1</x:v>
      </x:c>
      <x:c r="F801" s="62" t="b">
        <x:v>0</x:v>
      </x:c>
      <x:c r="G801" s="85" t="n">
        <x:v>2368756.9243468344</x:v>
      </x:c>
      <x:c r="H801" s="85" t="n">
        <x:v>31172584.592442434</x:v>
      </x:c>
      <x:c r="I801" s="85" t="n">
        <x:v>56181045.613309555</x:v>
      </x:c>
      <x:c r="J801" s="85" t="n">
        <x:v>81000000</x:v>
      </x:c>
      <x:c r="K801" s="85" t="n">
        <x:v>0</x:v>
      </x:c>
      <x:c r="L801" s="28" t="n">
        <x:v>46</x:v>
      </x:c>
      <x:c r="M801" s="28" t="n">
        <x:v>34</x:v>
      </x:c>
      <x:c r="N801" s="28" t="n">
        <x:v>1.862645149230957e-9</x:v>
      </x:c>
      <x:c r="O801" s="28" t="n">
        <x:v>1.4901161193847656e-8</x:v>
      </x:c>
      <x:c r="P801" s="28" t="n">
        <x:v>0</x:v>
      </x:c>
      <x:c r="Q801" s="62" t="b">
        <x:v>1</x:v>
      </x:c>
      <x:c r="R801" s="28" t="n">
        <x:v>0</x:v>
      </x:c>
      <x:c r="S801" s="28" t="str">
        <x:v>7a9f0f64a28a99f9</x:v>
      </x:c>
    </x:row>
    <x:row r="802" ht="21" customHeight="1">
      <x:c r="A802" s="60" t="n">
        <x:v>0.63</x:v>
      </x:c>
      <x:c r="B802" s="28" t="str">
        <x:v>front_low</x:v>
      </x:c>
      <x:c r="C802" s="60" t="n">
        <x:v>0.85</x:v>
      </x:c>
      <x:c r="D802" s="60" t="n">
        <x:v>0.85</x:v>
      </x:c>
      <x:c r="E802" s="62" t="b">
        <x:v>1</x:v>
      </x:c>
      <x:c r="F802" s="62" t="b">
        <x:v>0</x:v>
      </x:c>
      <x:c r="G802" s="85" t="n">
        <x:v>3295777.1508634947</x:v>
      </x:c>
      <x:c r="H802" s="85" t="n">
        <x:v>42046111.392518975</x:v>
      </x:c>
      <x:c r="I802" s="85" t="n">
        <x:v>56217097.21679551</x:v>
      </x:c>
      <x:c r="J802" s="85" t="n">
        <x:v>81000000</x:v>
      </x:c>
      <x:c r="K802" s="85" t="n">
        <x:v>0</x:v>
      </x:c>
      <x:c r="L802" s="28" t="n">
        <x:v>46</x:v>
      </x:c>
      <x:c r="M802" s="28" t="n">
        <x:v>36</x:v>
      </x:c>
      <x:c r="N802" s="28" t="n">
        <x:v>9.313225746154785e-10</x:v>
      </x:c>
      <x:c r="O802" s="28" t="n">
        <x:v>1.862645149230957e-9</x:v>
      </x:c>
      <x:c r="P802" s="28" t="n">
        <x:v>0</x:v>
      </x:c>
      <x:c r="Q802" s="62" t="b">
        <x:v>1</x:v>
      </x:c>
      <x:c r="R802" s="28" t="n">
        <x:v>0</x:v>
      </x:c>
      <x:c r="S802" s="28" t="str">
        <x:v>3f6cb46a9f0b4f54</x:v>
      </x:c>
    </x:row>
    <x:row r="803" ht="21" customHeight="1">
      <x:c r="A803" s="60" t="n">
        <x:v>0.63</x:v>
      </x:c>
      <x:c r="B803" s="28" t="str">
        <x:v>front_low</x:v>
      </x:c>
      <x:c r="C803" s="60" t="n">
        <x:v>0.9</x:v>
      </x:c>
      <x:c r="D803" s="60" t="n">
        <x:v>0.9</x:v>
      </x:c>
      <x:c r="E803" s="62" t="b">
        <x:v>1</x:v>
      </x:c>
      <x:c r="F803" s="62" t="b">
        <x:v>0</x:v>
      </x:c>
      <x:c r="G803" s="85" t="n">
        <x:v>4444942.830725622</x:v>
      </x:c>
      <x:c r="H803" s="85" t="n">
        <x:v>52652736.91779674</x:v>
      </x:c>
      <x:c r="I803" s="85" t="n">
        <x:v>56253148.820281476</x:v>
      </x:c>
      <x:c r="J803" s="85" t="n">
        <x:v>81000000</x:v>
      </x:c>
      <x:c r="K803" s="85" t="n">
        <x:v>0</x:v>
      </x:c>
      <x:c r="L803" s="28" t="n">
        <x:v>46</x:v>
      </x:c>
      <x:c r="M803" s="28" t="n">
        <x:v>38</x:v>
      </x:c>
      <x:c r="N803" s="28" t="n">
        <x:v>9.313225746154785e-10</x:v>
      </x:c>
      <x:c r="O803" s="28" t="n">
        <x:v>1.4901161193847656e-8</x:v>
      </x:c>
      <x:c r="P803" s="28" t="n">
        <x:v>0</x:v>
      </x:c>
      <x:c r="Q803" s="62" t="b">
        <x:v>1</x:v>
      </x:c>
      <x:c r="R803" s="28" t="n">
        <x:v>0</x:v>
      </x:c>
      <x:c r="S803" s="28" t="str">
        <x:v>c8a637a7268ba9b4</x:v>
      </x:c>
    </x:row>
    <x:row r="804" ht="21" customHeight="1">
      <x:c r="A804" s="60" t="n">
        <x:v>0.63</x:v>
      </x:c>
      <x:c r="B804" s="28" t="str">
        <x:v>front_low</x:v>
      </x:c>
      <x:c r="C804" s="60" t="n">
        <x:v>0.95</x:v>
      </x:c>
      <x:c r="D804" s="60" t="n">
        <x:v>0.9497739906324524</x:v>
      </x:c>
      <x:c r="E804" s="62" t="b">
        <x:v>0</x:v>
      </x:c>
      <x:c r="F804" s="62" t="b">
        <x:v>0</x:v>
      </x:c>
      <x:c r="G804" s="85" t="n">
        <x:v>7008395.796998406</x:v>
      </x:c>
      <x:c r="H804" s="85" t="n">
        <x:v>61449097.16554369</x:v>
      </x:c>
      <x:c r="I804" s="85" t="n">
        <x:v>56289200.42376743</x:v>
      </x:c>
      <x:c r="J804" s="85" t="n">
        <x:v>81000000</x:v>
      </x:c>
      <x:c r="K804" s="85" t="n">
        <x:v>0</x:v>
      </x:c>
      <x:c r="L804" s="28" t="n">
        <x:v>46</x:v>
      </x:c>
      <x:c r="M804" s="28" t="n">
        <x:v>38</x:v>
      </x:c>
      <x:c r="N804" s="28" t="n">
        <x:v>1.862645149230957e-9</x:v>
      </x:c>
      <x:c r="O804" s="28" t="n">
        <x:v>1.4901161193847656e-8</x:v>
      </x:c>
      <x:c r="P804" s="28" t="n">
        <x:v>0</x:v>
      </x:c>
      <x:c r="Q804" s="62" t="b">
        <x:v>1</x:v>
      </x:c>
      <x:c r="R804" s="28" t="n">
        <x:v>67802.81026428938</x:v>
      </x:c>
      <x:c r="S804" s="28" t="str">
        <x:v>3983506a60a24412</x:v>
      </x:c>
    </x:row>
    <x:row r="805" ht="21" customHeight="1">
      <x:c r="A805" s="60" t="n">
        <x:v>0.63</x:v>
      </x:c>
      <x:c r="B805" s="28" t="str">
        <x:v>front_low</x:v>
      </x:c>
      <x:c r="C805" s="60" t="n">
        <x:v>1</x:v>
      </x:c>
      <x:c r="D805" s="60" t="n">
        <x:v>0.9646994850752131</x:v>
      </x:c>
      <x:c r="E805" s="62" t="b">
        <x:v>0</x:v>
      </x:c>
      <x:c r="F805" s="62" t="b">
        <x:v>0</x:v>
      </x:c>
      <x:c r="G805" s="85" t="n">
        <x:v>7718235.9359520925</x:v>
      </x:c>
      <x:c r="H805" s="85" t="n">
        <x:v>64945849.56595692</x:v>
      </x:c>
      <x:c r="I805" s="85" t="n">
        <x:v>56325252.02725339</x:v>
      </x:c>
      <x:c r="J805" s="85" t="n">
        <x:v>81000000</x:v>
      </x:c>
      <x:c r="K805" s="85" t="n">
        <x:v>0</x:v>
      </x:c>
      <x:c r="L805" s="28" t="n">
        <x:v>46</x:v>
      </x:c>
      <x:c r="M805" s="28" t="n">
        <x:v>40</x:v>
      </x:c>
      <x:c r="N805" s="28" t="n">
        <x:v>9.313225746154785e-10</x:v>
      </x:c>
      <x:c r="O805" s="28" t="n">
        <x:v>3.725290298461914e-9</x:v>
      </x:c>
      <x:c r="P805" s="28" t="n">
        <x:v>0</x:v>
      </x:c>
      <x:c r="Q805" s="62" t="b">
        <x:v>1</x:v>
      </x:c>
      <x:c r="R805" s="28" t="n">
        <x:v>10590154.477436066</x:v>
      </x:c>
      <x:c r="S805" s="28" t="str">
        <x:v>57f28db1079d7290</x:v>
      </x:c>
    </x:row>
    <x:row r="806" ht="21" customHeight="1">
      <x:c r="A806" s="60" t="n">
        <x:v>0.63</x:v>
      </x:c>
      <x:c r="B806" s="28" t="str">
        <x:v>front_high</x:v>
      </x:c>
      <x:c r="C806" s="60" t="n">
        <x:v>0</x:v>
      </x:c>
      <x:c r="D806" s="60" t="n">
        <x:v>0</x:v>
      </x:c>
      <x:c r="E806" s="62" t="b">
        <x:v>1</x:v>
      </x:c>
      <x:c r="F806" s="62" t="b">
        <x:v>1</x:v>
      </x:c>
      <x:c r="G806" s="85" t="n">
        <x:v>0</x:v>
      </x:c>
      <x:c r="H806" s="85" t="n">
        <x:v>0</x:v>
      </x:c>
      <x:c r="I806" s="85" t="n">
        <x:v>0</x:v>
      </x:c>
      <x:c r="J806" s="85" t="n">
        <x:v>0</x:v>
      </x:c>
      <x:c r="K806" s="85" t="n">
        <x:v>36813359.44999996</x:v>
      </x:c>
      <x:c r="L806" s="28" t="n">
        <x:v>0</x:v>
      </x:c>
      <x:c r="M806" s="28" t="n">
        <x:v>0</x:v>
      </x:c>
      <x:c r="N806" s="28" t="n">
        <x:v>3.725290298461914e-9</x:v>
      </x:c>
      <x:c r="O806" s="28" t="n">
        <x:v>0</x:v>
      </x:c>
      <x:c r="P806" s="28" t="n">
        <x:v>0</x:v>
      </x:c>
      <x:c r="Q806" s="62" t="b">
        <x:v>1</x:v>
      </x:c>
      <x:c r="R806" s="28" t="n">
        <x:v>0</x:v>
      </x:c>
      <x:c r="S806" s="28" t="str">
        <x:v>9858cd529ad446f8</x:v>
      </x:c>
    </x:row>
    <x:row r="807" ht="21" customHeight="1">
      <x:c r="A807" s="60" t="n">
        <x:v>0.63</x:v>
      </x:c>
      <x:c r="B807" s="28" t="str">
        <x:v>front_high</x:v>
      </x:c>
      <x:c r="C807" s="60" t="n">
        <x:v>0.05</x:v>
      </x:c>
      <x:c r="D807" s="60" t="n">
        <x:v>0.05</x:v>
      </x:c>
      <x:c r="E807" s="62" t="b">
        <x:v>1</x:v>
      </x:c>
      <x:c r="F807" s="62" t="b">
        <x:v>1</x:v>
      </x:c>
      <x:c r="G807" s="85" t="n">
        <x:v>0</x:v>
      </x:c>
      <x:c r="H807" s="85" t="n">
        <x:v>0</x:v>
      </x:c>
      <x:c r="I807" s="85" t="n">
        <x:v>0</x:v>
      </x:c>
      <x:c r="J807" s="85" t="n">
        <x:v>0</x:v>
      </x:c>
      <x:c r="K807" s="85" t="n">
        <x:v>22964386.350510456</x:v>
      </x:c>
      <x:c r="L807" s="28" t="n">
        <x:v>0</x:v>
      </x:c>
      <x:c r="M807" s="28" t="n">
        <x:v>0</x:v>
      </x:c>
      <x:c r="N807" s="28" t="n">
        <x:v>3.725290298461914e-9</x:v>
      </x:c>
      <x:c r="O807" s="28" t="n">
        <x:v>5.960464477539063e-8</x:v>
      </x:c>
      <x:c r="P807" s="28" t="n">
        <x:v>0</x:v>
      </x:c>
      <x:c r="Q807" s="62" t="b">
        <x:v>1</x:v>
      </x:c>
      <x:c r="R807" s="28" t="n">
        <x:v>0</x:v>
      </x:c>
      <x:c r="S807" s="28" t="str">
        <x:v>2d3f13b4884efa38</x:v>
      </x:c>
    </x:row>
    <x:row r="808" ht="21" customHeight="1">
      <x:c r="A808" s="60" t="n">
        <x:v>0.63</x:v>
      </x:c>
      <x:c r="B808" s="28" t="str">
        <x:v>front_high</x:v>
      </x:c>
      <x:c r="C808" s="60" t="n">
        <x:v>0.1</x:v>
      </x:c>
      <x:c r="D808" s="60" t="n">
        <x:v>0.1</x:v>
      </x:c>
      <x:c r="E808" s="62" t="b">
        <x:v>1</x:v>
      </x:c>
      <x:c r="F808" s="62" t="b">
        <x:v>1</x:v>
      </x:c>
      <x:c r="G808" s="85" t="n">
        <x:v>0</x:v>
      </x:c>
      <x:c r="H808" s="85" t="n">
        <x:v>0</x:v>
      </x:c>
      <x:c r="I808" s="85" t="n">
        <x:v>0</x:v>
      </x:c>
      <x:c r="J808" s="85" t="n">
        <x:v>0</x:v>
      </x:c>
      <x:c r="K808" s="85" t="n">
        <x:v>8953889.115708323</x:v>
      </x:c>
      <x:c r="L808" s="28" t="n">
        <x:v>0</x:v>
      </x:c>
      <x:c r="M808" s="28" t="n">
        <x:v>0</x:v>
      </x:c>
      <x:c r="N808" s="28" t="n">
        <x:v>3.725290298461914e-9</x:v>
      </x:c>
      <x:c r="O808" s="28" t="n">
        <x:v>5.960464477539063e-8</x:v>
      </x:c>
      <x:c r="P808" s="28" t="n">
        <x:v>0</x:v>
      </x:c>
      <x:c r="Q808" s="62" t="b">
        <x:v>1</x:v>
      </x:c>
      <x:c r="R808" s="28" t="n">
        <x:v>0</x:v>
      </x:c>
      <x:c r="S808" s="28" t="str">
        <x:v>448e3963ed5e5cea</x:v>
      </x:c>
    </x:row>
    <x:row r="809" ht="21" customHeight="1">
      <x:c r="A809" s="60" t="n">
        <x:v>0.63</x:v>
      </x:c>
      <x:c r="B809" s="28" t="str">
        <x:v>front_high</x:v>
      </x:c>
      <x:c r="C809" s="60" t="n">
        <x:v>0.15</x:v>
      </x:c>
      <x:c r="D809" s="60" t="n">
        <x:v>0.15</x:v>
      </x:c>
      <x:c r="E809" s="62" t="b">
        <x:v>1</x:v>
      </x:c>
      <x:c r="F809" s="62" t="b">
        <x:v>1</x:v>
      </x:c>
      <x:c r="G809" s="85" t="n">
        <x:v>0</x:v>
      </x:c>
      <x:c r="H809" s="85" t="n">
        <x:v>0</x:v>
      </x:c>
      <x:c r="I809" s="85" t="n">
        <x:v>4531762.807480262</x:v>
      </x:c>
      <x:c r="J809" s="85" t="n">
        <x:v>0</x:v>
      </x:c>
      <x:c r="K809" s="85" t="n">
        <x:v>644742.9745955443</x:v>
      </x:c>
      <x:c r="L809" s="28" t="n">
        <x:v>0</x:v>
      </x:c>
      <x:c r="M809" s="28" t="n">
        <x:v>0</x:v>
      </x:c>
      <x:c r="N809" s="28" t="n">
        <x:v>3.725290298461914e-9</x:v>
      </x:c>
      <x:c r="O809" s="28" t="n">
        <x:v>2.9802322387695312e-8</x:v>
      </x:c>
      <x:c r="P809" s="28" t="n">
        <x:v>0</x:v>
      </x:c>
      <x:c r="Q809" s="62" t="b">
        <x:v>1</x:v>
      </x:c>
      <x:c r="R809" s="28" t="n">
        <x:v>0</x:v>
      </x:c>
      <x:c r="S809" s="28" t="str">
        <x:v>71b373191066e693</x:v>
      </x:c>
    </x:row>
    <x:row r="810" ht="21" customHeight="1">
      <x:c r="A810" s="60" t="n">
        <x:v>0.63</x:v>
      </x:c>
      <x:c r="B810" s="28" t="str">
        <x:v>front_high</x:v>
      </x:c>
      <x:c r="C810" s="60" t="n">
        <x:v>0.2</x:v>
      </x:c>
      <x:c r="D810" s="60" t="n">
        <x:v>0.2</x:v>
      </x:c>
      <x:c r="E810" s="62" t="b">
        <x:v>1</x:v>
      </x:c>
      <x:c r="F810" s="62" t="b">
        <x:v>1</x:v>
      </x:c>
      <x:c r="G810" s="85" t="n">
        <x:v>0</x:v>
      </x:c>
      <x:c r="H810" s="85" t="n">
        <x:v>0</x:v>
      </x:c>
      <x:c r="I810" s="85" t="n">
        <x:v>15656202.260907391</x:v>
      </x:c>
      <x:c r="J810" s="85" t="n">
        <x:v>6284479.497374657</x:v>
      </x:c>
      <x:c r="K810" s="85" t="n">
        <x:v>407113.88594657835</x:v>
      </x:c>
      <x:c r="L810" s="28" t="n">
        <x:v>0</x:v>
      </x:c>
      <x:c r="M810" s="28" t="n">
        <x:v>0</x:v>
      </x:c>
      <x:c r="N810" s="28" t="n">
        <x:v>1.862645149230957e-9</x:v>
      </x:c>
      <x:c r="O810" s="28" t="n">
        <x:v>2.9802322387695312e-8</x:v>
      </x:c>
      <x:c r="P810" s="28" t="n">
        <x:v>0</x:v>
      </x:c>
      <x:c r="Q810" s="62" t="b">
        <x:v>1</x:v>
      </x:c>
      <x:c r="R810" s="28" t="n">
        <x:v>0</x:v>
      </x:c>
      <x:c r="S810" s="28" t="str">
        <x:v>4a42cc3c9c5df53f</x:v>
      </x:c>
    </x:row>
    <x:row r="811" ht="21" customHeight="1">
      <x:c r="A811" s="60" t="n">
        <x:v>0.63</x:v>
      </x:c>
      <x:c r="B811" s="28" t="str">
        <x:v>front_high</x:v>
      </x:c>
      <x:c r="C811" s="60" t="n">
        <x:v>0.25</x:v>
      </x:c>
      <x:c r="D811" s="60" t="n">
        <x:v>0.25</x:v>
      </x:c>
      <x:c r="E811" s="62" t="b">
        <x:v>1</x:v>
      </x:c>
      <x:c r="F811" s="62" t="b">
        <x:v>1</x:v>
      </x:c>
      <x:c r="G811" s="85" t="n">
        <x:v>0</x:v>
      </x:c>
      <x:c r="H811" s="85" t="n">
        <x:v>0</x:v>
      </x:c>
      <x:c r="I811" s="85" t="n">
        <x:v>25424309.160668384</x:v>
      </x:c>
      <x:c r="J811" s="85" t="n">
        <x:v>15355599.371718248</x:v>
      </x:c>
      <x:c r="K811" s="85" t="n">
        <x:v>312812.8879126631</x:v>
      </x:c>
      <x:c r="L811" s="28" t="n">
        <x:v>0</x:v>
      </x:c>
      <x:c r="M811" s="28" t="n">
        <x:v>0</x:v>
      </x:c>
      <x:c r="N811" s="28" t="n">
        <x:v>3.725290298461914e-9</x:v>
      </x:c>
      <x:c r="O811" s="28" t="n">
        <x:v>1.4901161193847656e-8</x:v>
      </x:c>
      <x:c r="P811" s="28" t="n">
        <x:v>0</x:v>
      </x:c>
      <x:c r="Q811" s="62" t="b">
        <x:v>1</x:v>
      </x:c>
      <x:c r="R811" s="28" t="n">
        <x:v>0</x:v>
      </x:c>
      <x:c r="S811" s="28" t="str">
        <x:v>6106b4418d6be82d</x:v>
      </x:c>
    </x:row>
    <x:row r="812" ht="21" customHeight="1">
      <x:c r="A812" s="60" t="n">
        <x:v>0.63</x:v>
      </x:c>
      <x:c r="B812" s="28" t="str">
        <x:v>front_high</x:v>
      </x:c>
      <x:c r="C812" s="60" t="n">
        <x:v>0.3</x:v>
      </x:c>
      <x:c r="D812" s="60" t="n">
        <x:v>0.3</x:v>
      </x:c>
      <x:c r="E812" s="62" t="b">
        <x:v>1</x:v>
      </x:c>
      <x:c r="F812" s="62" t="b">
        <x:v>1</x:v>
      </x:c>
      <x:c r="G812" s="85" t="n">
        <x:v>0</x:v>
      </x:c>
      <x:c r="H812" s="85" t="n">
        <x:v>0</x:v>
      </x:c>
      <x:c r="I812" s="85" t="n">
        <x:v>35333538.0515692</x:v>
      </x:c>
      <x:c r="J812" s="85" t="n">
        <x:v>24426719.246061895</x:v>
      </x:c>
      <x:c r="K812" s="85" t="n">
        <x:v>218511.88987876652</x:v>
      </x:c>
      <x:c r="L812" s="28" t="n">
        <x:v>0</x:v>
      </x:c>
      <x:c r="M812" s="28" t="n">
        <x:v>0</x:v>
      </x:c>
      <x:c r="N812" s="28" t="n">
        <x:v>3.725290298461914e-9</x:v>
      </x:c>
      <x:c r="O812" s="28" t="n">
        <x:v>2.9802322387695312e-8</x:v>
      </x:c>
      <x:c r="P812" s="28" t="n">
        <x:v>0</x:v>
      </x:c>
      <x:c r="Q812" s="62" t="b">
        <x:v>1</x:v>
      </x:c>
      <x:c r="R812" s="28" t="n">
        <x:v>0</x:v>
      </x:c>
      <x:c r="S812" s="28" t="str">
        <x:v>a63948acecf6ae76</x:v>
      </x:c>
    </x:row>
    <x:row r="813" ht="21" customHeight="1">
      <x:c r="A813" s="60" t="n">
        <x:v>0.63</x:v>
      </x:c>
      <x:c r="B813" s="28" t="str">
        <x:v>front_high</x:v>
      </x:c>
      <x:c r="C813" s="60" t="n">
        <x:v>0.35</x:v>
      </x:c>
      <x:c r="D813" s="60" t="n">
        <x:v>0.35</x:v>
      </x:c>
      <x:c r="E813" s="62" t="b">
        <x:v>1</x:v>
      </x:c>
      <x:c r="F813" s="62" t="b">
        <x:v>1</x:v>
      </x:c>
      <x:c r="G813" s="85" t="n">
        <x:v>0</x:v>
      </x:c>
      <x:c r="H813" s="85" t="n">
        <x:v>0</x:v>
      </x:c>
      <x:c r="I813" s="85" t="n">
        <x:v>45215878.37309983</x:v>
      </x:c>
      <x:c r="J813" s="85" t="n">
        <x:v>33497839.120405544</x:v>
      </x:c>
      <x:c r="K813" s="85" t="n">
        <x:v>124210.89184484947</x:v>
      </x:c>
      <x:c r="L813" s="28" t="n">
        <x:v>0</x:v>
      </x:c>
      <x:c r="M813" s="28" t="n">
        <x:v>0</x:v>
      </x:c>
      <x:c r="N813" s="28" t="n">
        <x:v>3.725290298461914e-9</x:v>
      </x:c>
      <x:c r="O813" s="28" t="n">
        <x:v>7.450580596923828e-9</x:v>
      </x:c>
      <x:c r="P813" s="28" t="n">
        <x:v>0</x:v>
      </x:c>
      <x:c r="Q813" s="62" t="b">
        <x:v>1</x:v>
      </x:c>
      <x:c r="R813" s="28" t="n">
        <x:v>0</x:v>
      </x:c>
      <x:c r="S813" s="28" t="str">
        <x:v>fb32e0d0cbd48cdb</x:v>
      </x:c>
    </x:row>
    <x:row r="814" ht="21" customHeight="1">
      <x:c r="A814" s="60" t="n">
        <x:v>0.63</x:v>
      </x:c>
      <x:c r="B814" s="28" t="str">
        <x:v>front_high</x:v>
      </x:c>
      <x:c r="C814" s="60" t="n">
        <x:v>0.4</x:v>
      </x:c>
      <x:c r="D814" s="60" t="n">
        <x:v>0.4</x:v>
      </x:c>
      <x:c r="E814" s="62" t="b">
        <x:v>1</x:v>
      </x:c>
      <x:c r="F814" s="62" t="b">
        <x:v>1</x:v>
      </x:c>
      <x:c r="G814" s="85" t="n">
        <x:v>0</x:v>
      </x:c>
      <x:c r="H814" s="85" t="n">
        <x:v>0</x:v>
      </x:c>
      <x:c r="I814" s="85" t="n">
        <x:v>55075684.79127262</x:v>
      </x:c>
      <x:c r="J814" s="85" t="n">
        <x:v>42568958.994749226</x:v>
      </x:c>
      <x:c r="K814" s="85" t="n">
        <x:v>81236.81169862839</x:v>
      </x:c>
      <x:c r="L814" s="28" t="n">
        <x:v>0</x:v>
      </x:c>
      <x:c r="M814" s="28" t="n">
        <x:v>0</x:v>
      </x:c>
      <x:c r="N814" s="28" t="n">
        <x:v>3.725290298461914e-9</x:v>
      </x:c>
      <x:c r="O814" s="28" t="n">
        <x:v>2.9802322387695312e-8</x:v>
      </x:c>
      <x:c r="P814" s="28" t="n">
        <x:v>0</x:v>
      </x:c>
      <x:c r="Q814" s="62" t="b">
        <x:v>1</x:v>
      </x:c>
      <x:c r="R814" s="28" t="n">
        <x:v>0</x:v>
      </x:c>
      <x:c r="S814" s="28" t="str">
        <x:v>7f25cc89d4ae423f</x:v>
      </x:c>
    </x:row>
    <x:row r="815" ht="21" customHeight="1">
      <x:c r="A815" s="60" t="n">
        <x:v>0.63</x:v>
      </x:c>
      <x:c r="B815" s="28" t="str">
        <x:v>front_high</x:v>
      </x:c>
      <x:c r="C815" s="60" t="n">
        <x:v>0.45</x:v>
      </x:c>
      <x:c r="D815" s="60" t="n">
        <x:v>0.45</x:v>
      </x:c>
      <x:c r="E815" s="62" t="b">
        <x:v>1</x:v>
      </x:c>
      <x:c r="F815" s="62" t="b">
        <x:v>1</x:v>
      </x:c>
      <x:c r="G815" s="85" t="n">
        <x:v>0</x:v>
      </x:c>
      <x:c r="H815" s="85" t="n">
        <x:v>0</x:v>
      </x:c>
      <x:c r="I815" s="85" t="n">
        <x:v>65062891.347348966</x:v>
      </x:c>
      <x:c r="J815" s="85" t="n">
        <x:v>50753469.824308336</x:v>
      </x:c>
      <x:c r="K815" s="85" t="n">
        <x:v>49802.69055821726</x:v>
      </x:c>
      <x:c r="L815" s="28" t="n">
        <x:v>1</x:v>
      </x:c>
      <x:c r="M815" s="28" t="n">
        <x:v>0</x:v>
      </x:c>
      <x:c r="N815" s="28" t="n">
        <x:v>3.725290298461914e-9</x:v>
      </x:c>
      <x:c r="O815" s="28" t="n">
        <x:v>2.9802322387695312e-8</x:v>
      </x:c>
      <x:c r="P815" s="28" t="n">
        <x:v>0</x:v>
      </x:c>
      <x:c r="Q815" s="62" t="b">
        <x:v>1</x:v>
      </x:c>
      <x:c r="R815" s="28" t="n">
        <x:v>0</x:v>
      </x:c>
      <x:c r="S815" s="28" t="str">
        <x:v>dcd7ac11b515484a</x:v>
      </x:c>
    </x:row>
    <x:row r="816" ht="21" customHeight="1">
      <x:c r="A816" s="60" t="n">
        <x:v>0.63</x:v>
      </x:c>
      <x:c r="B816" s="28" t="str">
        <x:v>front_high</x:v>
      </x:c>
      <x:c r="C816" s="60" t="n">
        <x:v>0.5</x:v>
      </x:c>
      <x:c r="D816" s="60" t="n">
        <x:v>0.5</x:v>
      </x:c>
      <x:c r="E816" s="62" t="b">
        <x:v>1</x:v>
      </x:c>
      <x:c r="F816" s="62" t="b">
        <x:v>1</x:v>
      </x:c>
      <x:c r="G816" s="85" t="n">
        <x:v>0</x:v>
      </x:c>
      <x:c r="H816" s="85" t="n">
        <x:v>0</x:v>
      </x:c>
      <x:c r="I816" s="85" t="n">
        <x:v>75503789.21036193</x:v>
      </x:c>
      <x:c r="J816" s="85" t="n">
        <x:v>53459742.96960602</x:v>
      </x:c>
      <x:c r="K816" s="85" t="n">
        <x:v>18368.569417808</x:v>
      </x:c>
      <x:c r="L816" s="28" t="n">
        <x:v>7</x:v>
      </x:c>
      <x:c r="M816" s="28" t="n">
        <x:v>0</x:v>
      </x:c>
      <x:c r="N816" s="28" t="n">
        <x:v>1.862645149230957e-9</x:v>
      </x:c>
      <x:c r="O816" s="28" t="n">
        <x:v>2.9802322387695312e-8</x:v>
      </x:c>
      <x:c r="P816" s="28" t="n">
        <x:v>0</x:v>
      </x:c>
      <x:c r="Q816" s="62" t="b">
        <x:v>1</x:v>
      </x:c>
      <x:c r="R816" s="28" t="n">
        <x:v>0</x:v>
      </x:c>
      <x:c r="S816" s="28" t="str">
        <x:v>29f088cbb55cda44</x:v>
      </x:c>
    </x:row>
    <x:row r="817" ht="21" customHeight="1">
      <x:c r="A817" s="60" t="n">
        <x:v>0.63</x:v>
      </x:c>
      <x:c r="B817" s="28" t="str">
        <x:v>front_high</x:v>
      </x:c>
      <x:c r="C817" s="60" t="n">
        <x:v>0.55</x:v>
      </x:c>
      <x:c r="D817" s="60" t="n">
        <x:v>0.55</x:v>
      </x:c>
      <x:c r="E817" s="62" t="b">
        <x:v>1</x:v>
      </x:c>
      <x:c r="F817" s="62" t="b">
        <x:v>1</x:v>
      </x:c>
      <x:c r="G817" s="85" t="n">
        <x:v>0</x:v>
      </x:c>
      <x:c r="H817" s="85" t="n">
        <x:v>0</x:v>
      </x:c>
      <x:c r="I817" s="85" t="n">
        <x:v>85479357.42022678</x:v>
      </x:c>
      <x:c r="J817" s="85" t="n">
        <x:v>56538545.38809226</x:v>
      </x:c>
      <x:c r="K817" s="85" t="n">
        <x:v>0</x:v>
      </x:c>
      <x:c r="L817" s="28" t="n">
        <x:v>13</x:v>
      </x:c>
      <x:c r="M817" s="28" t="n">
        <x:v>0</x:v>
      </x:c>
      <x:c r="N817" s="28" t="n">
        <x:v>1.862645149230957e-9</x:v>
      </x:c>
      <x:c r="O817" s="28" t="n">
        <x:v>2.9802322387695312e-8</x:v>
      </x:c>
      <x:c r="P817" s="28" t="n">
        <x:v>0</x:v>
      </x:c>
      <x:c r="Q817" s="62" t="b">
        <x:v>1</x:v>
      </x:c>
      <x:c r="R817" s="28" t="n">
        <x:v>0</x:v>
      </x:c>
      <x:c r="S817" s="28" t="str">
        <x:v>29426acd9e99d4f3</x:v>
      </x:c>
    </x:row>
    <x:row r="818" ht="21" customHeight="1">
      <x:c r="A818" s="60" t="n">
        <x:v>0.63</x:v>
      </x:c>
      <x:c r="B818" s="28" t="str">
        <x:v>front_high</x:v>
      </x:c>
      <x:c r="C818" s="60" t="n">
        <x:v>0.6</x:v>
      </x:c>
      <x:c r="D818" s="60" t="n">
        <x:v>0.6</x:v>
      </x:c>
      <x:c r="E818" s="62" t="b">
        <x:v>1</x:v>
      </x:c>
      <x:c r="F818" s="62" t="b">
        <x:v>1</x:v>
      </x:c>
      <x:c r="G818" s="85" t="n">
        <x:v>0</x:v>
      </x:c>
      <x:c r="H818" s="85" t="n">
        <x:v>0</x:v>
      </x:c>
      <x:c r="I818" s="85" t="n">
        <x:v>95477457.70350045</x:v>
      </x:c>
      <x:c r="J818" s="85" t="n">
        <x:v>65695539.04410309</x:v>
      </x:c>
      <x:c r="K818" s="85" t="n">
        <x:v>0</x:v>
      </x:c>
      <x:c r="L818" s="28" t="n">
        <x:v>19</x:v>
      </x:c>
      <x:c r="M818" s="28" t="n">
        <x:v>2</x:v>
      </x:c>
      <x:c r="N818" s="28" t="n">
        <x:v>1.862645149230957e-9</x:v>
      </x:c>
      <x:c r="O818" s="28" t="n">
        <x:v>2.9802322387695312e-8</x:v>
      </x:c>
      <x:c r="P818" s="28" t="n">
        <x:v>0</x:v>
      </x:c>
      <x:c r="Q818" s="62" t="b">
        <x:v>1</x:v>
      </x:c>
      <x:c r="R818" s="28" t="n">
        <x:v>0</x:v>
      </x:c>
      <x:c r="S818" s="28" t="str">
        <x:v>40aa15a5e0dd8f90</x:v>
      </x:c>
    </x:row>
    <x:row r="819" ht="21" customHeight="1">
      <x:c r="A819" s="60" t="n">
        <x:v>0.63</x:v>
      </x:c>
      <x:c r="B819" s="28" t="str">
        <x:v>front_high</x:v>
      </x:c>
      <x:c r="C819" s="60" t="n">
        <x:v>0.65</x:v>
      </x:c>
      <x:c r="D819" s="60" t="n">
        <x:v>0.65</x:v>
      </x:c>
      <x:c r="E819" s="62" t="b">
        <x:v>1</x:v>
      </x:c>
      <x:c r="F819" s="62" t="b">
        <x:v>1</x:v>
      </x:c>
      <x:c r="G819" s="85" t="n">
        <x:v>0</x:v>
      </x:c>
      <x:c r="H819" s="85" t="n">
        <x:v>0</x:v>
      </x:c>
      <x:c r="I819" s="85" t="n">
        <x:v>104591089.3442783</x:v>
      </x:c>
      <x:c r="J819" s="85" t="n">
        <x:v>78491547.78924951</x:v>
      </x:c>
      <x:c r="K819" s="85" t="n">
        <x:v>0</x:v>
      </x:c>
      <x:c r="L819" s="28" t="n">
        <x:v>24</x:v>
      </x:c>
      <x:c r="M819" s="28" t="n">
        <x:v>14</x:v>
      </x:c>
      <x:c r="N819" s="28" t="n">
        <x:v>1.862645149230957e-9</x:v>
      </x:c>
      <x:c r="O819" s="28" t="n">
        <x:v>2.9802322387695312e-8</x:v>
      </x:c>
      <x:c r="P819" s="28" t="n">
        <x:v>0</x:v>
      </x:c>
      <x:c r="Q819" s="62" t="b">
        <x:v>1</x:v>
      </x:c>
      <x:c r="R819" s="28" t="n">
        <x:v>0</x:v>
      </x:c>
      <x:c r="S819" s="28" t="str">
        <x:v>9690ffd346b7827b</x:v>
      </x:c>
    </x:row>
    <x:row r="820" ht="21" customHeight="1">
      <x:c r="A820" s="60" t="n">
        <x:v>0.63</x:v>
      </x:c>
      <x:c r="B820" s="28" t="str">
        <x:v>front_high</x:v>
      </x:c>
      <x:c r="C820" s="60" t="n">
        <x:v>0.7</x:v>
      </x:c>
      <x:c r="D820" s="60" t="n">
        <x:v>0.7</x:v>
      </x:c>
      <x:c r="E820" s="62" t="b">
        <x:v>1</x:v>
      </x:c>
      <x:c r="F820" s="62" t="b">
        <x:v>0</x:v>
      </x:c>
      <x:c r="G820" s="85" t="n">
        <x:v>3967868.1645262297</x:v>
      </x:c>
      <x:c r="H820" s="85" t="n">
        <x:v>13428759.002332466</x:v>
      </x:c>
      <x:c r="I820" s="85" t="n">
        <x:v>106073363.4007582</x:v>
      </x:c>
      <x:c r="J820" s="85" t="n">
        <x:v>81000000</x:v>
      </x:c>
      <x:c r="K820" s="85" t="n">
        <x:v>0</x:v>
      </x:c>
      <x:c r="L820" s="28" t="n">
        <x:v>45</x:v>
      </x:c>
      <x:c r="M820" s="28" t="n">
        <x:v>38</x:v>
      </x:c>
      <x:c r="N820" s="28" t="n">
        <x:v>1.862645149230957e-9</x:v>
      </x:c>
      <x:c r="O820" s="28" t="n">
        <x:v>2.9802322387695312e-8</x:v>
      </x:c>
      <x:c r="P820" s="28" t="n">
        <x:v>0</x:v>
      </x:c>
      <x:c r="Q820" s="62" t="b">
        <x:v>1</x:v>
      </x:c>
      <x:c r="R820" s="28" t="n">
        <x:v>0</x:v>
      </x:c>
      <x:c r="S820" s="28" t="str">
        <x:v>58bc7ca35fe31e14</x:v>
      </x:c>
    </x:row>
    <x:row r="821" ht="21" customHeight="1">
      <x:c r="A821" s="60" t="n">
        <x:v>0.63</x:v>
      </x:c>
      <x:c r="B821" s="28" t="str">
        <x:v>front_high</x:v>
      </x:c>
      <x:c r="C821" s="60" t="n">
        <x:v>0.75</x:v>
      </x:c>
      <x:c r="D821" s="60" t="n">
        <x:v>0.75</x:v>
      </x:c>
      <x:c r="E821" s="62" t="b">
        <x:v>1</x:v>
      </x:c>
      <x:c r="F821" s="62" t="b">
        <x:v>0</x:v>
      </x:c>
      <x:c r="G821" s="85" t="n">
        <x:v>8243499.030999937</x:v>
      </x:c>
      <x:c r="H821" s="85" t="n">
        <x:v>26381431.83329731</x:v>
      </x:c>
      <x:c r="I821" s="85" t="n">
        <x:v>107652592.89722088</x:v>
      </x:c>
      <x:c r="J821" s="85" t="n">
        <x:v>81000000</x:v>
      </x:c>
      <x:c r="K821" s="85" t="n">
        <x:v>0</x:v>
      </x:c>
      <x:c r="L821" s="28" t="n">
        <x:v>46</x:v>
      </x:c>
      <x:c r="M821" s="28" t="n">
        <x:v>42</x:v>
      </x:c>
      <x:c r="N821" s="28" t="n">
        <x:v>1.862645149230957e-9</x:v>
      </x:c>
      <x:c r="O821" s="28" t="n">
        <x:v>2.9802322387695312e-8</x:v>
      </x:c>
      <x:c r="P821" s="28" t="n">
        <x:v>0</x:v>
      </x:c>
      <x:c r="Q821" s="62" t="b">
        <x:v>1</x:v>
      </x:c>
      <x:c r="R821" s="28" t="n">
        <x:v>0</x:v>
      </x:c>
      <x:c r="S821" s="28" t="str">
        <x:v>a78523efe59e667e</x:v>
      </x:c>
    </x:row>
    <x:row r="822" ht="21" customHeight="1">
      <x:c r="A822" s="60" t="n">
        <x:v>0.63</x:v>
      </x:c>
      <x:c r="B822" s="28" t="str">
        <x:v>front_high</x:v>
      </x:c>
      <x:c r="C822" s="60" t="n">
        <x:v>0.8</x:v>
      </x:c>
      <x:c r="D822" s="60" t="n">
        <x:v>0.8</x:v>
      </x:c>
      <x:c r="E822" s="62" t="b">
        <x:v>1</x:v>
      </x:c>
      <x:c r="F822" s="62" t="b">
        <x:v>0</x:v>
      </x:c>
      <x:c r="G822" s="85" t="n">
        <x:v>13578698.803251259</x:v>
      </x:c>
      <x:c r="H822" s="85" t="n">
        <x:v>41319132.7492554</x:v>
      </x:c>
      <x:c r="I822" s="85" t="n">
        <x:v>107747440.83018629</x:v>
      </x:c>
      <x:c r="J822" s="85" t="n">
        <x:v>81000000</x:v>
      </x:c>
      <x:c r="K822" s="85" t="n">
        <x:v>0</x:v>
      </x:c>
      <x:c r="L822" s="28" t="n">
        <x:v>46</x:v>
      </x:c>
      <x:c r="M822" s="28" t="n">
        <x:v>44</x:v>
      </x:c>
      <x:c r="N822" s="28" t="n">
        <x:v>1.862645149230957e-9</x:v>
      </x:c>
      <x:c r="O822" s="28" t="n">
        <x:v>1.4901161193847656e-8</x:v>
      </x:c>
      <x:c r="P822" s="28" t="n">
        <x:v>0</x:v>
      </x:c>
      <x:c r="Q822" s="62" t="b">
        <x:v>1</x:v>
      </x:c>
      <x:c r="R822" s="28" t="n">
        <x:v>0</x:v>
      </x:c>
      <x:c r="S822" s="28" t="str">
        <x:v>62cb0606d7189773</x:v>
      </x:c>
    </x:row>
    <x:row r="823" ht="21" customHeight="1">
      <x:c r="A823" s="60" t="n">
        <x:v>0.63</x:v>
      </x:c>
      <x:c r="B823" s="28" t="str">
        <x:v>front_high</x:v>
      </x:c>
      <x:c r="C823" s="60" t="n">
        <x:v>0.85</x:v>
      </x:c>
      <x:c r="D823" s="60" t="n">
        <x:v>0.85</x:v>
      </x:c>
      <x:c r="E823" s="62" t="b">
        <x:v>1</x:v>
      </x:c>
      <x:c r="F823" s="62" t="b">
        <x:v>0</x:v>
      </x:c>
      <x:c r="G823" s="85" t="n">
        <x:v>19262024.72805978</x:v>
      </x:c>
      <x:c r="H823" s="85" t="n">
        <x:v>55760960.69793992</x:v>
      </x:c>
      <x:c r="I823" s="85" t="n">
        <x:v>107842288.76315169</x:v>
      </x:c>
      <x:c r="J823" s="85" t="n">
        <x:v>81000000</x:v>
      </x:c>
      <x:c r="K823" s="85" t="n">
        <x:v>0</x:v>
      </x:c>
      <x:c r="L823" s="28" t="n">
        <x:v>46</x:v>
      </x:c>
      <x:c r="M823" s="28" t="n">
        <x:v>44</x:v>
      </x:c>
      <x:c r="N823" s="28" t="n">
        <x:v>1.862645149230957e-9</x:v>
      </x:c>
      <x:c r="O823" s="28" t="n">
        <x:v>1.862645149230957e-9</x:v>
      </x:c>
      <x:c r="P823" s="28" t="n">
        <x:v>0</x:v>
      </x:c>
      <x:c r="Q823" s="62" t="b">
        <x:v>1</x:v>
      </x:c>
      <x:c r="R823" s="28" t="n">
        <x:v>0</x:v>
      </x:c>
      <x:c r="S823" s="28" t="str">
        <x:v>65c55e284ad63486</x:v>
      </x:c>
    </x:row>
    <x:row r="824" ht="21" customHeight="1">
      <x:c r="A824" s="60" t="n">
        <x:v>0.63</x:v>
      </x:c>
      <x:c r="B824" s="28" t="str">
        <x:v>front_high</x:v>
      </x:c>
      <x:c r="C824" s="60" t="n">
        <x:v>0.9</x:v>
      </x:c>
      <x:c r="D824" s="60" t="n">
        <x:v>0.9</x:v>
      </x:c>
      <x:c r="E824" s="62" t="b">
        <x:v>1</x:v>
      </x:c>
      <x:c r="F824" s="62" t="b">
        <x:v>0</x:v>
      </x:c>
      <x:c r="G824" s="85" t="n">
        <x:v>28579069.17337189</x:v>
      </x:c>
      <x:c r="H824" s="85" t="n">
        <x:v>67701941.76204388</x:v>
      </x:c>
      <x:c r="I824" s="85" t="n">
        <x:v>107937136.6961171</x:v>
      </x:c>
      <x:c r="J824" s="85" t="n">
        <x:v>81000000</x:v>
      </x:c>
      <x:c r="K824" s="85" t="n">
        <x:v>0</x:v>
      </x:c>
      <x:c r="L824" s="28" t="n">
        <x:v>46</x:v>
      </x:c>
      <x:c r="M824" s="28" t="n">
        <x:v>45</x:v>
      </x:c>
      <x:c r="N824" s="28" t="n">
        <x:v>1.862645149230957e-9</x:v>
      </x:c>
      <x:c r="O824" s="28" t="n">
        <x:v>1.4901161193847656e-8</x:v>
      </x:c>
      <x:c r="P824" s="28" t="n">
        <x:v>0</x:v>
      </x:c>
      <x:c r="Q824" s="62" t="b">
        <x:v>1</x:v>
      </x:c>
      <x:c r="R824" s="28" t="n">
        <x:v>0</x:v>
      </x:c>
      <x:c r="S824" s="28" t="str">
        <x:v>b0d4782272e59193</x:v>
      </x:c>
    </x:row>
    <x:row r="825" ht="21" customHeight="1">
      <x:c r="A825" s="60" t="n">
        <x:v>0.63</x:v>
      </x:c>
      <x:c r="B825" s="28" t="str">
        <x:v>front_high</x:v>
      </x:c>
      <x:c r="C825" s="60" t="n">
        <x:v>0.95</x:v>
      </x:c>
      <x:c r="D825" s="60" t="n">
        <x:v>0.9497739906324524</x:v>
      </x:c>
      <x:c r="E825" s="62" t="b">
        <x:v>0</x:v>
      </x:c>
      <x:c r="F825" s="62" t="b">
        <x:v>0</x:v>
      </x:c>
      <x:c r="G825" s="85" t="n">
        <x:v>34264923.051088996</x:v>
      </x:c>
      <x:c r="H825" s="85" t="n">
        <x:v>77138027.27156232</x:v>
      </x:c>
      <x:c r="I825" s="85" t="n">
        <x:v>108031984.62908252</x:v>
      </x:c>
      <x:c r="J825" s="85" t="n">
        <x:v>81000000</x:v>
      </x:c>
      <x:c r="K825" s="85" t="n">
        <x:v>0</x:v>
      </x:c>
      <x:c r="L825" s="28" t="n">
        <x:v>46</x:v>
      </x:c>
      <x:c r="M825" s="28" t="n">
        <x:v>45</x:v>
      </x:c>
      <x:c r="N825" s="28" t="n">
        <x:v>1.862645149230957e-9</x:v>
      </x:c>
      <x:c r="O825" s="28" t="n">
        <x:v>1.4901161193847656e-8</x:v>
      </x:c>
      <x:c r="P825" s="28" t="n">
        <x:v>0</x:v>
      </x:c>
      <x:c r="Q825" s="62" t="b">
        <x:v>1</x:v>
      </x:c>
      <x:c r="R825" s="28" t="n">
        <x:v>67802.81026428938</x:v>
      </x:c>
      <x:c r="S825" s="28" t="str">
        <x:v>0bfc67187d54a554</x:v>
      </x:c>
    </x:row>
    <x:row r="826" ht="21" customHeight="1">
      <x:c r="A826" s="60" t="n">
        <x:v>0.63</x:v>
      </x:c>
      <x:c r="B826" s="28" t="str">
        <x:v>front_high</x:v>
      </x:c>
      <x:c r="C826" s="60" t="n">
        <x:v>1</x:v>
      </x:c>
      <x:c r="D826" s="60" t="n">
        <x:v>0.9646994850752131</x:v>
      </x:c>
      <x:c r="E826" s="62" t="b">
        <x:v>0</x:v>
      </x:c>
      <x:c r="F826" s="62" t="b">
        <x:v>0</x:v>
      </x:c>
      <x:c r="G826" s="85" t="n">
        <x:v>37841555.3467732</x:v>
      </x:c>
      <x:c r="H826" s="85" t="n">
        <x:v>81756861.5357473</x:v>
      </x:c>
      <x:c r="I826" s="85" t="n">
        <x:v>108126832.56204793</x:v>
      </x:c>
      <x:c r="J826" s="85" t="n">
        <x:v>81000000</x:v>
      </x:c>
      <x:c r="K826" s="85" t="n">
        <x:v>0</x:v>
      </x:c>
      <x:c r="L826" s="28" t="n">
        <x:v>46</x:v>
      </x:c>
      <x:c r="M826" s="28" t="n">
        <x:v>45</x:v>
      </x:c>
      <x:c r="N826" s="28" t="n">
        <x:v>1.862645149230957e-9</x:v>
      </x:c>
      <x:c r="O826" s="28" t="n">
        <x:v>3.725290298461914e-9</x:v>
      </x:c>
      <x:c r="P826" s="28" t="n">
        <x:v>0</x:v>
      </x:c>
      <x:c r="Q826" s="62" t="b">
        <x:v>1</x:v>
      </x:c>
      <x:c r="R826" s="28" t="n">
        <x:v>10590154.477436066</x:v>
      </x:c>
      <x:c r="S826" s="28" t="str">
        <x:v>07cf2c67a342f4b5</x:v>
      </x:c>
    </x:row>
    <x:row r="827" ht="21" customHeight="1">
      <x:c r="A827" s="60" t="n">
        <x:v>0.63</x:v>
      </x:c>
      <x:c r="B827" s="28" t="str">
        <x:v>middle_flat</x:v>
      </x:c>
      <x:c r="C827" s="60" t="n">
        <x:v>0</x:v>
      </x:c>
      <x:c r="D827" s="60" t="n">
        <x:v>0</x:v>
      </x:c>
      <x:c r="E827" s="62" t="b">
        <x:v>1</x:v>
      </x:c>
      <x:c r="F827" s="62" t="b">
        <x:v>1</x:v>
      </x:c>
      <x:c r="G827" s="85" t="n">
        <x:v>0</x:v>
      </x:c>
      <x:c r="H827" s="85" t="n">
        <x:v>0</x:v>
      </x:c>
      <x:c r="I827" s="85" t="n">
        <x:v>0</x:v>
      </x:c>
      <x:c r="J827" s="85" t="n">
        <x:v>0</x:v>
      </x:c>
      <x:c r="K827" s="85" t="n">
        <x:v>31995646.710273966</x:v>
      </x:c>
      <x:c r="L827" s="28" t="n">
        <x:v>0</x:v>
      </x:c>
      <x:c r="M827" s="28" t="n">
        <x:v>0</x:v>
      </x:c>
      <x:c r="N827" s="28" t="n">
        <x:v>3.725290298461914e-9</x:v>
      </x:c>
      <x:c r="O827" s="28" t="n">
        <x:v>0</x:v>
      </x:c>
      <x:c r="P827" s="28" t="n">
        <x:v>0</x:v>
      </x:c>
      <x:c r="Q827" s="62" t="b">
        <x:v>1</x:v>
      </x:c>
      <x:c r="R827" s="28" t="n">
        <x:v>0</x:v>
      </x:c>
      <x:c r="S827" s="28" t="str">
        <x:v>1722360b2713d71b</x:v>
      </x:c>
    </x:row>
    <x:row r="828" ht="21" customHeight="1">
      <x:c r="A828" s="60" t="n">
        <x:v>0.63</x:v>
      </x:c>
      <x:c r="B828" s="28" t="str">
        <x:v>middle_flat</x:v>
      </x:c>
      <x:c r="C828" s="60" t="n">
        <x:v>0.05</x:v>
      </x:c>
      <x:c r="D828" s="60" t="n">
        <x:v>0.05</x:v>
      </x:c>
      <x:c r="E828" s="62" t="b">
        <x:v>1</x:v>
      </x:c>
      <x:c r="F828" s="62" t="b">
        <x:v>1</x:v>
      </x:c>
      <x:c r="G828" s="85" t="n">
        <x:v>0</x:v>
      </x:c>
      <x:c r="H828" s="85" t="n">
        <x:v>0</x:v>
      </x:c>
      <x:c r="I828" s="85" t="n">
        <x:v>0</x:v>
      </x:c>
      <x:c r="J828" s="85" t="n">
        <x:v>0</x:v>
      </x:c>
      <x:c r="K828" s="85" t="n">
        <x:v>20061905.60696119</x:v>
      </x:c>
      <x:c r="L828" s="28" t="n">
        <x:v>0</x:v>
      </x:c>
      <x:c r="M828" s="28" t="n">
        <x:v>0</x:v>
      </x:c>
      <x:c r="N828" s="28" t="n">
        <x:v>1.862645149230957e-9</x:v>
      </x:c>
      <x:c r="O828" s="28" t="n">
        <x:v>2.9802322387695312e-8</x:v>
      </x:c>
      <x:c r="P828" s="28" t="n">
        <x:v>0</x:v>
      </x:c>
      <x:c r="Q828" s="62" t="b">
        <x:v>1</x:v>
      </x:c>
      <x:c r="R828" s="28" t="n">
        <x:v>0</x:v>
      </x:c>
      <x:c r="S828" s="28" t="str">
        <x:v>c48f3e829e588e8b</x:v>
      </x:c>
    </x:row>
    <x:row r="829" ht="21" customHeight="1">
      <x:c r="A829" s="60" t="n">
        <x:v>0.63</x:v>
      </x:c>
      <x:c r="B829" s="28" t="str">
        <x:v>middle_flat</x:v>
      </x:c>
      <x:c r="C829" s="60" t="n">
        <x:v>0.1</x:v>
      </x:c>
      <x:c r="D829" s="60" t="n">
        <x:v>0.1</x:v>
      </x:c>
      <x:c r="E829" s="62" t="b">
        <x:v>1</x:v>
      </x:c>
      <x:c r="F829" s="62" t="b">
        <x:v>1</x:v>
      </x:c>
      <x:c r="G829" s="85" t="n">
        <x:v>0</x:v>
      </x:c>
      <x:c r="H829" s="85" t="n">
        <x:v>0</x:v>
      </x:c>
      <x:c r="I829" s="85" t="n">
        <x:v>0</x:v>
      </x:c>
      <x:c r="J829" s="85" t="n">
        <x:v>0</x:v>
      </x:c>
      <x:c r="K829" s="85" t="n">
        <x:v>8009327.710113885</x:v>
      </x:c>
      <x:c r="L829" s="28" t="n">
        <x:v>0</x:v>
      </x:c>
      <x:c r="M829" s="28" t="n">
        <x:v>0</x:v>
      </x:c>
      <x:c r="N829" s="28" t="n">
        <x:v>1.862645149230957e-9</x:v>
      </x:c>
      <x:c r="O829" s="28" t="n">
        <x:v>5.960464477539063e-8</x:v>
      </x:c>
      <x:c r="P829" s="28" t="n">
        <x:v>0</x:v>
      </x:c>
      <x:c r="Q829" s="62" t="b">
        <x:v>1</x:v>
      </x:c>
      <x:c r="R829" s="28" t="n">
        <x:v>0</x:v>
      </x:c>
      <x:c r="S829" s="28" t="str">
        <x:v>8af7e25a59777991</x:v>
      </x:c>
    </x:row>
    <x:row r="830" ht="21" customHeight="1">
      <x:c r="A830" s="60" t="n">
        <x:v>0.63</x:v>
      </x:c>
      <x:c r="B830" s="28" t="str">
        <x:v>middle_flat</x:v>
      </x:c>
      <x:c r="C830" s="60" t="n">
        <x:v>0.15</x:v>
      </x:c>
      <x:c r="D830" s="60" t="n">
        <x:v>0.15</x:v>
      </x:c>
      <x:c r="E830" s="62" t="b">
        <x:v>1</x:v>
      </x:c>
      <x:c r="F830" s="62" t="b">
        <x:v>1</x:v>
      </x:c>
      <x:c r="G830" s="85" t="n">
        <x:v>0</x:v>
      </x:c>
      <x:c r="H830" s="85" t="n">
        <x:v>0</x:v>
      </x:c>
      <x:c r="I830" s="85" t="n">
        <x:v>3781095.4676487534</x:v>
      </x:c>
      <x:c r="J830" s="85" t="n">
        <x:v>0</x:v>
      </x:c>
      <x:c r="K830" s="85" t="n">
        <x:v>753630.1118675494</x:v>
      </x:c>
      <x:c r="L830" s="28" t="n">
        <x:v>0</x:v>
      </x:c>
      <x:c r="M830" s="28" t="n">
        <x:v>0</x:v>
      </x:c>
      <x:c r="N830" s="28" t="n">
        <x:v>3.725290298461914e-9</x:v>
      </x:c>
      <x:c r="O830" s="28" t="n">
        <x:v>2.9802322387695312e-8</x:v>
      </x:c>
      <x:c r="P830" s="28" t="n">
        <x:v>0</x:v>
      </x:c>
      <x:c r="Q830" s="62" t="b">
        <x:v>1</x:v>
      </x:c>
      <x:c r="R830" s="28" t="n">
        <x:v>0</x:v>
      </x:c>
      <x:c r="S830" s="28" t="str">
        <x:v>12e916edf8d20436</x:v>
      </x:c>
    </x:row>
    <x:row r="831" ht="21" customHeight="1">
      <x:c r="A831" s="60" t="n">
        <x:v>0.63</x:v>
      </x:c>
      <x:c r="B831" s="28" t="str">
        <x:v>middle_flat</x:v>
      </x:c>
      <x:c r="C831" s="60" t="n">
        <x:v>0.2</x:v>
      </x:c>
      <x:c r="D831" s="60" t="n">
        <x:v>0.2</x:v>
      </x:c>
      <x:c r="E831" s="62" t="b">
        <x:v>1</x:v>
      </x:c>
      <x:c r="F831" s="62" t="b">
        <x:v>1</x:v>
      </x:c>
      <x:c r="G831" s="85" t="n">
        <x:v>0</x:v>
      </x:c>
      <x:c r="H831" s="85" t="n">
        <x:v>0</x:v>
      </x:c>
      <x:c r="I831" s="85" t="n">
        <x:v>12059792.87353078</x:v>
      </x:c>
      <x:c r="J831" s="85" t="n">
        <x:v>6318282.052720856</x:v>
      </x:c>
      <x:c r="K831" s="85" t="n">
        <x:v>548173.5038880564</x:v>
      </x:c>
      <x:c r="L831" s="28" t="n">
        <x:v>0</x:v>
      </x:c>
      <x:c r="M831" s="28" t="n">
        <x:v>0</x:v>
      </x:c>
      <x:c r="N831" s="28" t="n">
        <x:v>1.862645149230957e-9</x:v>
      </x:c>
      <x:c r="O831" s="28" t="n">
        <x:v>2.9802322387695312e-8</x:v>
      </x:c>
      <x:c r="P831" s="28" t="n">
        <x:v>0</x:v>
      </x:c>
      <x:c r="Q831" s="62" t="b">
        <x:v>1</x:v>
      </x:c>
      <x:c r="R831" s="28" t="n">
        <x:v>0</x:v>
      </x:c>
      <x:c r="S831" s="28" t="str">
        <x:v>1ef4ed9fb1a67bac</x:v>
      </x:c>
    </x:row>
    <x:row r="832" ht="21" customHeight="1">
      <x:c r="A832" s="60" t="n">
        <x:v>0.63</x:v>
      </x:c>
      <x:c r="B832" s="28" t="str">
        <x:v>middle_flat</x:v>
      </x:c>
      <x:c r="C832" s="60" t="n">
        <x:v>0.25</x:v>
      </x:c>
      <x:c r="D832" s="60" t="n">
        <x:v>0.25</x:v>
      </x:c>
      <x:c r="E832" s="62" t="b">
        <x:v>1</x:v>
      </x:c>
      <x:c r="F832" s="62" t="b">
        <x:v>1</x:v>
      </x:c>
      <x:c r="G832" s="85" t="n">
        <x:v>0</x:v>
      </x:c>
      <x:c r="H832" s="85" t="n">
        <x:v>0</x:v>
      </x:c>
      <x:c r="I832" s="85" t="n">
        <x:v>18500511.94291893</x:v>
      </x:c>
      <x:c r="J832" s="85" t="n">
        <x:v>15397852.565901024</x:v>
      </x:c>
      <x:c r="K832" s="85" t="n">
        <x:v>432719.42895890516</x:v>
      </x:c>
      <x:c r="L832" s="28" t="n">
        <x:v>0</x:v>
      </x:c>
      <x:c r="M832" s="28" t="n">
        <x:v>0</x:v>
      </x:c>
      <x:c r="N832" s="28" t="n">
        <x:v>3.725290298461914e-9</x:v>
      </x:c>
      <x:c r="O832" s="28" t="n">
        <x:v>2.9802322387695312e-8</x:v>
      </x:c>
      <x:c r="P832" s="28" t="n">
        <x:v>0</x:v>
      </x:c>
      <x:c r="Q832" s="62" t="b">
        <x:v>1</x:v>
      </x:c>
      <x:c r="R832" s="28" t="n">
        <x:v>0</x:v>
      </x:c>
      <x:c r="S832" s="28" t="str">
        <x:v>6bef5444cb9f7aa1</x:v>
      </x:c>
    </x:row>
    <x:row r="833" ht="21" customHeight="1">
      <x:c r="A833" s="60" t="n">
        <x:v>0.63</x:v>
      </x:c>
      <x:c r="B833" s="28" t="str">
        <x:v>middle_flat</x:v>
      </x:c>
      <x:c r="C833" s="60" t="n">
        <x:v>0.3</x:v>
      </x:c>
      <x:c r="D833" s="60" t="n">
        <x:v>0.3</x:v>
      </x:c>
      <x:c r="E833" s="62" t="b">
        <x:v>1</x:v>
      </x:c>
      <x:c r="F833" s="62" t="b">
        <x:v>1</x:v>
      </x:c>
      <x:c r="G833" s="85" t="n">
        <x:v>0</x:v>
      </x:c>
      <x:c r="H833" s="85" t="n">
        <x:v>0</x:v>
      </x:c>
      <x:c r="I833" s="85" t="n">
        <x:v>25042364.369447853</x:v>
      </x:c>
      <x:c r="J833" s="85" t="n">
        <x:v>24477423.079081118</x:v>
      </x:c>
      <x:c r="K833" s="85" t="n">
        <x:v>348916.2147506897</x:v>
      </x:c>
      <x:c r="L833" s="28" t="n">
        <x:v>0</x:v>
      </x:c>
      <x:c r="M833" s="28" t="n">
        <x:v>0</x:v>
      </x:c>
      <x:c r="N833" s="28" t="n">
        <x:v>1.862645149230957e-9</x:v>
      </x:c>
      <x:c r="O833" s="28" t="n">
        <x:v>2.9802322387695312e-8</x:v>
      </x:c>
      <x:c r="P833" s="28" t="n">
        <x:v>0</x:v>
      </x:c>
      <x:c r="Q833" s="62" t="b">
        <x:v>1</x:v>
      </x:c>
      <x:c r="R833" s="28" t="n">
        <x:v>0</x:v>
      </x:c>
      <x:c r="S833" s="28" t="str">
        <x:v>989ecf689d479abe</x:v>
      </x:c>
    </x:row>
    <x:row r="834" ht="21" customHeight="1">
      <x:c r="A834" s="60" t="n">
        <x:v>0.63</x:v>
      </x:c>
      <x:c r="B834" s="28" t="str">
        <x:v>middle_flat</x:v>
      </x:c>
      <x:c r="C834" s="60" t="n">
        <x:v>0.35</x:v>
      </x:c>
      <x:c r="D834" s="60" t="n">
        <x:v>0.35</x:v>
      </x:c>
      <x:c r="E834" s="62" t="b">
        <x:v>1</x:v>
      </x:c>
      <x:c r="F834" s="62" t="b">
        <x:v>1</x:v>
      </x:c>
      <x:c r="G834" s="85" t="n">
        <x:v>0</x:v>
      </x:c>
      <x:c r="H834" s="85" t="n">
        <x:v>0</x:v>
      </x:c>
      <x:c r="I834" s="85" t="n">
        <x:v>31616491.73075716</x:v>
      </x:c>
      <x:c r="J834" s="85" t="n">
        <x:v>33556993.59226131</x:v>
      </x:c>
      <x:c r="K834" s="85" t="n">
        <x:v>265113.00054246775</x:v>
      </x:c>
      <x:c r="L834" s="28" t="n">
        <x:v>0</x:v>
      </x:c>
      <x:c r="M834" s="28" t="n">
        <x:v>0</x:v>
      </x:c>
      <x:c r="N834" s="28" t="n">
        <x:v>3.725290298461914e-9</x:v>
      </x:c>
      <x:c r="O834" s="28" t="n">
        <x:v>2.9802322387695312e-8</x:v>
      </x:c>
      <x:c r="P834" s="28" t="n">
        <x:v>0</x:v>
      </x:c>
      <x:c r="Q834" s="62" t="b">
        <x:v>1</x:v>
      </x:c>
      <x:c r="R834" s="28" t="n">
        <x:v>0</x:v>
      </x:c>
      <x:c r="S834" s="28" t="str">
        <x:v>6874e80a243ca0e6</x:v>
      </x:c>
    </x:row>
    <x:row r="835" ht="21" customHeight="1">
      <x:c r="A835" s="60" t="n">
        <x:v>0.63</x:v>
      </x:c>
      <x:c r="B835" s="28" t="str">
        <x:v>middle_flat</x:v>
      </x:c>
      <x:c r="C835" s="60" t="n">
        <x:v>0.4</x:v>
      </x:c>
      <x:c r="D835" s="60" t="n">
        <x:v>0.4</x:v>
      </x:c>
      <x:c r="E835" s="62" t="b">
        <x:v>1</x:v>
      </x:c>
      <x:c r="F835" s="62" t="b">
        <x:v>1</x:v>
      </x:c>
      <x:c r="G835" s="85" t="n">
        <x:v>0</x:v>
      </x:c>
      <x:c r="H835" s="85" t="n">
        <x:v>0</x:v>
      </x:c>
      <x:c r="I835" s="85" t="n">
        <x:v>38210099.978106074</x:v>
      </x:c>
      <x:c r="J835" s="85" t="n">
        <x:v>42636564.10544155</x:v>
      </x:c>
      <x:c r="K835" s="85" t="n">
        <x:v>218148.1934356192</x:v>
      </x:c>
      <x:c r="L835" s="28" t="n">
        <x:v>0</x:v>
      </x:c>
      <x:c r="M835" s="28" t="n">
        <x:v>0</x:v>
      </x:c>
      <x:c r="N835" s="28" t="n">
        <x:v>1.862645149230957e-9</x:v>
      </x:c>
      <x:c r="O835" s="28" t="n">
        <x:v>2.9802322387695312e-8</x:v>
      </x:c>
      <x:c r="P835" s="28" t="n">
        <x:v>0</x:v>
      </x:c>
      <x:c r="Q835" s="62" t="b">
        <x:v>1</x:v>
      </x:c>
      <x:c r="R835" s="28" t="n">
        <x:v>0</x:v>
      </x:c>
      <x:c r="S835" s="28" t="str">
        <x:v>9f9fec6be209b369</x:v>
      </x:c>
    </x:row>
    <x:row r="836" ht="21" customHeight="1">
      <x:c r="A836" s="60" t="n">
        <x:v>0.63</x:v>
      </x:c>
      <x:c r="B836" s="28" t="str">
        <x:v>middle_flat</x:v>
      </x:c>
      <x:c r="C836" s="60" t="n">
        <x:v>0.45</x:v>
      </x:c>
      <x:c r="D836" s="60" t="n">
        <x:v>0.45</x:v>
      </x:c>
      <x:c r="E836" s="62" t="b">
        <x:v>1</x:v>
      </x:c>
      <x:c r="F836" s="62" t="b">
        <x:v>1</x:v>
      </x:c>
      <x:c r="G836" s="85" t="n">
        <x:v>0</x:v>
      </x:c>
      <x:c r="H836" s="85" t="n">
        <x:v>0</x:v>
      </x:c>
      <x:c r="I836" s="85" t="n">
        <x:v>45701755.38544161</x:v>
      </x:c>
      <x:c r="J836" s="85" t="n">
        <x:v>49470452.51594384</x:v>
      </x:c>
      <x:c r="K836" s="85" t="n">
        <x:v>192620.7842246626</x:v>
      </x:c>
      <x:c r="L836" s="28" t="n">
        <x:v>3</x:v>
      </x:c>
      <x:c r="M836" s="28" t="n">
        <x:v>0</x:v>
      </x:c>
      <x:c r="N836" s="28" t="n">
        <x:v>3.725290298461914e-9</x:v>
      </x:c>
      <x:c r="O836" s="28" t="n">
        <x:v>2.9802322387695312e-8</x:v>
      </x:c>
      <x:c r="P836" s="28" t="n">
        <x:v>0</x:v>
      </x:c>
      <x:c r="Q836" s="62" t="b">
        <x:v>1</x:v>
      </x:c>
      <x:c r="R836" s="28" t="n">
        <x:v>0</x:v>
      </x:c>
      <x:c r="S836" s="28" t="str">
        <x:v>9582a77b63bd117a</x:v>
      </x:c>
    </x:row>
    <x:row r="837" ht="21" customHeight="1">
      <x:c r="A837" s="60" t="n">
        <x:v>0.63</x:v>
      </x:c>
      <x:c r="B837" s="28" t="str">
        <x:v>middle_flat</x:v>
      </x:c>
      <x:c r="C837" s="60" t="n">
        <x:v>0.5</x:v>
      </x:c>
      <x:c r="D837" s="60" t="n">
        <x:v>0.5</x:v>
      </x:c>
      <x:c r="E837" s="62" t="b">
        <x:v>1</x:v>
      </x:c>
      <x:c r="F837" s="62" t="b">
        <x:v>1</x:v>
      </x:c>
      <x:c r="G837" s="85" t="n">
        <x:v>0</x:v>
      </x:c>
      <x:c r="H837" s="85" t="n">
        <x:v>0</x:v>
      </x:c>
      <x:c r="I837" s="85" t="n">
        <x:v>53467158.56868829</x:v>
      </x:c>
      <x:c r="J837" s="85" t="n">
        <x:v>55596460.8305931</x:v>
      </x:c>
      <x:c r="K837" s="85" t="n">
        <x:v>167093.3750137023</x:v>
      </x:c>
      <x:c r="L837" s="28" t="n">
        <x:v>9</x:v>
      </x:c>
      <x:c r="M837" s="28" t="n">
        <x:v>0</x:v>
      </x:c>
      <x:c r="N837" s="28" t="n">
        <x:v>3.725290298461914e-9</x:v>
      </x:c>
      <x:c r="O837" s="28" t="n">
        <x:v>1.4901161193847656e-8</x:v>
      </x:c>
      <x:c r="P837" s="28" t="n">
        <x:v>0</x:v>
      </x:c>
      <x:c r="Q837" s="62" t="b">
        <x:v>1</x:v>
      </x:c>
      <x:c r="R837" s="28" t="n">
        <x:v>0</x:v>
      </x:c>
      <x:c r="S837" s="28" t="str">
        <x:v>3dc32d8609b3a375</x:v>
      </x:c>
    </x:row>
    <x:row r="838" ht="21" customHeight="1">
      <x:c r="A838" s="60" t="n">
        <x:v>0.63</x:v>
      </x:c>
      <x:c r="B838" s="28" t="str">
        <x:v>middle_flat</x:v>
      </x:c>
      <x:c r="C838" s="60" t="n">
        <x:v>0.55</x:v>
      </x:c>
      <x:c r="D838" s="60" t="n">
        <x:v>0.55</x:v>
      </x:c>
      <x:c r="E838" s="62" t="b">
        <x:v>1</x:v>
      </x:c>
      <x:c r="F838" s="62" t="b">
        <x:v>1</x:v>
      </x:c>
      <x:c r="G838" s="85" t="n">
        <x:v>0</x:v>
      </x:c>
      <x:c r="H838" s="85" t="n">
        <x:v>0</x:v>
      </x:c>
      <x:c r="I838" s="85" t="n">
        <x:v>60025211.56934734</x:v>
      </x:c>
      <x:c r="J838" s="85" t="n">
        <x:v>64472581.05658167</x:v>
      </x:c>
      <x:c r="K838" s="85" t="n">
        <x:v>141565.9658027387</x:v>
      </x:c>
      <x:c r="L838" s="28" t="n">
        <x:v>12</x:v>
      </x:c>
      <x:c r="M838" s="28" t="n">
        <x:v>0</x:v>
      </x:c>
      <x:c r="N838" s="28" t="n">
        <x:v>1.862645149230957e-9</x:v>
      </x:c>
      <x:c r="O838" s="28" t="n">
        <x:v>2.9802322387695312e-8</x:v>
      </x:c>
      <x:c r="P838" s="28" t="n">
        <x:v>0</x:v>
      </x:c>
      <x:c r="Q838" s="62" t="b">
        <x:v>1</x:v>
      </x:c>
      <x:c r="R838" s="28" t="n">
        <x:v>0</x:v>
      </x:c>
      <x:c r="S838" s="28" t="str">
        <x:v>e65cb707e6c3ff53</x:v>
      </x:c>
    </x:row>
    <x:row r="839" ht="21" customHeight="1">
      <x:c r="A839" s="60" t="n">
        <x:v>0.63</x:v>
      </x:c>
      <x:c r="B839" s="28" t="str">
        <x:v>middle_flat</x:v>
      </x:c>
      <x:c r="C839" s="60" t="n">
        <x:v>0.6</x:v>
      </x:c>
      <x:c r="D839" s="60" t="n">
        <x:v>0.6</x:v>
      </x:c>
      <x:c r="E839" s="62" t="b">
        <x:v>1</x:v>
      </x:c>
      <x:c r="F839" s="62" t="b">
        <x:v>1</x:v>
      </x:c>
      <x:c r="G839" s="85" t="n">
        <x:v>0</x:v>
      </x:c>
      <x:c r="H839" s="85" t="n">
        <x:v>0</x:v>
      </x:c>
      <x:c r="I839" s="85" t="n">
        <x:v>66284840.15362759</x:v>
      </x:c>
      <x:c r="J839" s="85" t="n">
        <x:v>73883423.08124961</x:v>
      </x:c>
      <x:c r="K839" s="85" t="n">
        <x:v>116038.55659178259</x:v>
      </x:c>
      <x:c r="L839" s="28" t="n">
        <x:v>15</x:v>
      </x:c>
      <x:c r="M839" s="28" t="n">
        <x:v>5</x:v>
      </x:c>
      <x:c r="N839" s="28" t="n">
        <x:v>1.862645149230957e-9</x:v>
      </x:c>
      <x:c r="O839" s="28" t="n">
        <x:v>2.9802322387695312e-8</x:v>
      </x:c>
      <x:c r="P839" s="28" t="n">
        <x:v>0</x:v>
      </x:c>
      <x:c r="Q839" s="62" t="b">
        <x:v>1</x:v>
      </x:c>
      <x:c r="R839" s="28" t="n">
        <x:v>0</x:v>
      </x:c>
      <x:c r="S839" s="28" t="str">
        <x:v>9015c70308c95431</x:v>
      </x:c>
    </x:row>
    <x:row r="840" ht="21" customHeight="1">
      <x:c r="A840" s="60" t="n">
        <x:v>0.63</x:v>
      </x:c>
      <x:c r="B840" s="28" t="str">
        <x:v>middle_flat</x:v>
      </x:c>
      <x:c r="C840" s="60" t="n">
        <x:v>0.65</x:v>
      </x:c>
      <x:c r="D840" s="60" t="n">
        <x:v>0.65</x:v>
      </x:c>
      <x:c r="E840" s="62" t="b">
        <x:v>1</x:v>
      </x:c>
      <x:c r="F840" s="62" t="b">
        <x:v>0</x:v>
      </x:c>
      <x:c r="G840" s="85" t="n">
        <x:v>496498.6698395746</x:v>
      </x:c>
      <x:c r="H840" s="85" t="n">
        <x:v>3213352.5775576495</x:v>
      </x:c>
      <x:c r="I840" s="85" t="n">
        <x:v>70807502.39663966</x:v>
      </x:c>
      <x:c r="J840" s="85" t="n">
        <x:v>81000000</x:v>
      </x:c>
      <x:c r="K840" s="85" t="n">
        <x:v>90511.14738081854</x:v>
      </x:c>
      <x:c r="L840" s="28" t="n">
        <x:v>40</x:v>
      </x:c>
      <x:c r="M840" s="28" t="n">
        <x:v>34</x:v>
      </x:c>
      <x:c r="N840" s="28" t="n">
        <x:v>1.862645149230957e-9</x:v>
      </x:c>
      <x:c r="O840" s="28" t="n">
        <x:v>2.9802322387695312e-8</x:v>
      </x:c>
      <x:c r="P840" s="28" t="n">
        <x:v>0</x:v>
      </x:c>
      <x:c r="Q840" s="62" t="b">
        <x:v>1</x:v>
      </x:c>
      <x:c r="R840" s="28" t="n">
        <x:v>0</x:v>
      </x:c>
      <x:c r="S840" s="28" t="str">
        <x:v>ad4dce434b6a9970</x:v>
      </x:c>
    </x:row>
    <x:row r="841" ht="21" customHeight="1">
      <x:c r="A841" s="60" t="n">
        <x:v>0.63</x:v>
      </x:c>
      <x:c r="B841" s="28" t="str">
        <x:v>middle_flat</x:v>
      </x:c>
      <x:c r="C841" s="60" t="n">
        <x:v>0.7</x:v>
      </x:c>
      <x:c r="D841" s="60" t="n">
        <x:v>0.7</x:v>
      </x:c>
      <x:c r="E841" s="62" t="b">
        <x:v>1</x:v>
      </x:c>
      <x:c r="F841" s="62" t="b">
        <x:v>0</x:v>
      </x:c>
      <x:c r="G841" s="85" t="n">
        <x:v>2478435.6210943907</x:v>
      </x:c>
      <x:c r="H841" s="85" t="n">
        <x:v>14314305.045892019</x:v>
      </x:c>
      <x:c r="I841" s="85" t="n">
        <x:v>72176667.21824174</x:v>
      </x:c>
      <x:c r="J841" s="85" t="n">
        <x:v>81000000</x:v>
      </x:c>
      <x:c r="K841" s="85" t="n">
        <x:v>64983.738169864286</x:v>
      </x:c>
      <x:c r="L841" s="28" t="n">
        <x:v>41</x:v>
      </x:c>
      <x:c r="M841" s="28" t="n">
        <x:v>35</x:v>
      </x:c>
      <x:c r="N841" s="28" t="n">
        <x:v>1.862645149230957e-9</x:v>
      </x:c>
      <x:c r="O841" s="28" t="n">
        <x:v>1.4901161193847656e-8</x:v>
      </x:c>
      <x:c r="P841" s="28" t="n">
        <x:v>0</x:v>
      </x:c>
      <x:c r="Q841" s="62" t="b">
        <x:v>1</x:v>
      </x:c>
      <x:c r="R841" s="28" t="n">
        <x:v>0</x:v>
      </x:c>
      <x:c r="S841" s="28" t="str">
        <x:v>91833cb3b75c7516</x:v>
      </x:c>
    </x:row>
    <x:row r="842" ht="21" customHeight="1">
      <x:c r="A842" s="60" t="n">
        <x:v>0.63</x:v>
      </x:c>
      <x:c r="B842" s="28" t="str">
        <x:v>middle_flat</x:v>
      </x:c>
      <x:c r="C842" s="60" t="n">
        <x:v>0.75</x:v>
      </x:c>
      <x:c r="D842" s="60" t="n">
        <x:v>0.75</x:v>
      </x:c>
      <x:c r="E842" s="62" t="b">
        <x:v>1</x:v>
      </x:c>
      <x:c r="F842" s="62" t="b">
        <x:v>0</x:v>
      </x:c>
      <x:c r="G842" s="85" t="n">
        <x:v>4715032.3541280115</x:v>
      </x:c>
      <x:c r="H842" s="85" t="n">
        <x:v>26492533.923004717</x:v>
      </x:c>
      <x:c r="I842" s="85" t="n">
        <x:v>72400124.29136467</x:v>
      </x:c>
      <x:c r="J842" s="85" t="n">
        <x:v>81000000</x:v>
      </x:c>
      <x:c r="K842" s="85" t="n">
        <x:v>39456.328958904895</x:v>
      </x:c>
      <x:c r="L842" s="28" t="n">
        <x:v>41</x:v>
      </x:c>
      <x:c r="M842" s="28" t="n">
        <x:v>36</x:v>
      </x:c>
      <x:c r="N842" s="28" t="n">
        <x:v>1.862645149230957e-9</x:v>
      </x:c>
      <x:c r="O842" s="28" t="n">
        <x:v>2.9802322387695312e-8</x:v>
      </x:c>
      <x:c r="P842" s="28" t="n">
        <x:v>0</x:v>
      </x:c>
      <x:c r="Q842" s="62" t="b">
        <x:v>1</x:v>
      </x:c>
      <x:c r="R842" s="28" t="n">
        <x:v>0</x:v>
      </x:c>
      <x:c r="S842" s="28" t="str">
        <x:v>1a2053a627e37294</x:v>
      </x:c>
    </x:row>
    <x:row r="843" ht="21" customHeight="1">
      <x:c r="A843" s="60" t="n">
        <x:v>0.63</x:v>
      </x:c>
      <x:c r="B843" s="28" t="str">
        <x:v>middle_flat</x:v>
      </x:c>
      <x:c r="C843" s="60" t="n">
        <x:v>0.8</x:v>
      </x:c>
      <x:c r="D843" s="60" t="n">
        <x:v>0.8</x:v>
      </x:c>
      <x:c r="E843" s="62" t="b">
        <x:v>1</x:v>
      </x:c>
      <x:c r="F843" s="62" t="b">
        <x:v>0</x:v>
      </x:c>
      <x:c r="G843" s="85" t="n">
        <x:v>7075258.561285859</x:v>
      </x:c>
      <x:c r="H843" s="85" t="n">
        <x:v>37061136.678880826</x:v>
      </x:c>
      <x:c r="I843" s="85" t="n">
        <x:v>73609861.90556554</x:v>
      </x:c>
      <x:c r="J843" s="85" t="n">
        <x:v>81000000</x:v>
      </x:c>
      <x:c r="K843" s="85" t="n">
        <x:v>16069.182904106827</x:v>
      </x:c>
      <x:c r="L843" s="28" t="n">
        <x:v>42</x:v>
      </x:c>
      <x:c r="M843" s="28" t="n">
        <x:v>37</x:v>
      </x:c>
      <x:c r="N843" s="28" t="n">
        <x:v>1.862645149230957e-9</x:v>
      </x:c>
      <x:c r="O843" s="28" t="n">
        <x:v>1.4901161193847656e-8</x:v>
      </x:c>
      <x:c r="P843" s="28" t="n">
        <x:v>0</x:v>
      </x:c>
      <x:c r="Q843" s="62" t="b">
        <x:v>1</x:v>
      </x:c>
      <x:c r="R843" s="28" t="n">
        <x:v>0</x:v>
      </x:c>
      <x:c r="S843" s="28" t="str">
        <x:v>1c5af14e32e62484</x:v>
      </x:c>
    </x:row>
    <x:row r="844" ht="21" customHeight="1">
      <x:c r="A844" s="60" t="n">
        <x:v>0.63</x:v>
      </x:c>
      <x:c r="B844" s="28" t="str">
        <x:v>middle_flat</x:v>
      </x:c>
      <x:c r="C844" s="60" t="n">
        <x:v>0.85</x:v>
      </x:c>
      <x:c r="D844" s="60" t="n">
        <x:v>0.85</x:v>
      </x:c>
      <x:c r="E844" s="62" t="b">
        <x:v>1</x:v>
      </x:c>
      <x:c r="F844" s="62" t="b">
        <x:v>0</x:v>
      </x:c>
      <x:c r="G844" s="85" t="n">
        <x:v>9582286.34699765</x:v>
      </x:c>
      <x:c r="H844" s="85" t="n">
        <x:v>48863638.704472445</x:v>
      </x:c>
      <x:c r="I844" s="85" t="n">
        <x:v>73769652.1090812</x:v>
      </x:c>
      <x:c r="J844" s="85" t="n">
        <x:v>81000000</x:v>
      </x:c>
      <x:c r="K844" s="85" t="n">
        <x:v>7527.604438357317</x:v>
      </x:c>
      <x:c r="L844" s="28" t="n">
        <x:v>42</x:v>
      </x:c>
      <x:c r="M844" s="28" t="n">
        <x:v>38</x:v>
      </x:c>
      <x:c r="N844" s="28" t="n">
        <x:v>9.313225746154785e-10</x:v>
      </x:c>
      <x:c r="O844" s="28" t="n">
        <x:v>2.9802322387695312e-8</x:v>
      </x:c>
      <x:c r="P844" s="28" t="n">
        <x:v>0</x:v>
      </x:c>
      <x:c r="Q844" s="62" t="b">
        <x:v>1</x:v>
      </x:c>
      <x:c r="R844" s="28" t="n">
        <x:v>0</x:v>
      </x:c>
      <x:c r="S844" s="28" t="str">
        <x:v>66c448e0f2fbe4be</x:v>
      </x:c>
    </x:row>
    <x:row r="845" ht="21" customHeight="1">
      <x:c r="A845" s="60" t="n">
        <x:v>0.63</x:v>
      </x:c>
      <x:c r="B845" s="28" t="str">
        <x:v>middle_flat</x:v>
      </x:c>
      <x:c r="C845" s="60" t="n">
        <x:v>0.9</x:v>
      </x:c>
      <x:c r="D845" s="60" t="n">
        <x:v>0.9</x:v>
      </x:c>
      <x:c r="E845" s="62" t="b">
        <x:v>1</x:v>
      </x:c>
      <x:c r="F845" s="62" t="b">
        <x:v>0</x:v>
      </x:c>
      <x:c r="G845" s="85" t="n">
        <x:v>14055252.103291776</x:v>
      </x:c>
      <x:c r="H845" s="85" t="n">
        <x:v>57885684.50957891</x:v>
      </x:c>
      <x:c r="I845" s="85" t="n">
        <x:v>75029194.62694997</x:v>
      </x:c>
      <x:c r="J845" s="85" t="n">
        <x:v>81000000</x:v>
      </x:c>
      <x:c r="K845" s="85" t="n">
        <x:v>0</x:v>
      </x:c>
      <x:c r="L845" s="28" t="n">
        <x:v>43</x:v>
      </x:c>
      <x:c r="M845" s="28" t="n">
        <x:v>38</x:v>
      </x:c>
      <x:c r="N845" s="28" t="n">
        <x:v>1.862645149230957e-9</x:v>
      </x:c>
      <x:c r="O845" s="28" t="n">
        <x:v>2.9802322387695312e-8</x:v>
      </x:c>
      <x:c r="P845" s="28" t="n">
        <x:v>0</x:v>
      </x:c>
      <x:c r="Q845" s="62" t="b">
        <x:v>1</x:v>
      </x:c>
      <x:c r="R845" s="28" t="n">
        <x:v>0</x:v>
      </x:c>
      <x:c r="S845" s="28" t="str">
        <x:v>27639fce131f70f5</x:v>
      </x:c>
    </x:row>
    <x:row r="846" ht="21" customHeight="1">
      <x:c r="A846" s="60" t="n">
        <x:v>0.63</x:v>
      </x:c>
      <x:c r="B846" s="28" t="str">
        <x:v>middle_flat</x:v>
      </x:c>
      <x:c r="C846" s="60" t="n">
        <x:v>0.95</x:v>
      </x:c>
      <x:c r="D846" s="60" t="n">
        <x:v>0.9361238209331334</x:v>
      </x:c>
      <x:c r="E846" s="62" t="b">
        <x:v>0</x:v>
      </x:c>
      <x:c r="F846" s="62" t="b">
        <x:v>0</x:v>
      </x:c>
      <x:c r="G846" s="85" t="n">
        <x:v>16881529.190130536</x:v>
      </x:c>
      <x:c r="H846" s="85" t="n">
        <x:v>63916000.93769602</x:v>
      </x:c>
      <x:c r="I846" s="85" t="n">
        <x:v>75133471.31855373</x:v>
      </x:c>
      <x:c r="J846" s="85" t="n">
        <x:v>81000000</x:v>
      </x:c>
      <x:c r="K846" s="85" t="n">
        <x:v>0</x:v>
      </x:c>
      <x:c r="L846" s="28" t="n">
        <x:v>43</x:v>
      </x:c>
      <x:c r="M846" s="28" t="n">
        <x:v>39</x:v>
      </x:c>
      <x:c r="N846" s="28" t="n">
        <x:v>1.862645149230957e-9</x:v>
      </x:c>
      <x:c r="O846" s="28" t="n">
        <x:v>1.4901161193847656e-8</x:v>
      </x:c>
      <x:c r="P846" s="28" t="n">
        <x:v>0</x:v>
      </x:c>
      <x:c r="Q846" s="62" t="b">
        <x:v>1</x:v>
      </x:c>
      <x:c r="R846" s="28" t="n">
        <x:v>4162853.720059991</x:v>
      </x:c>
      <x:c r="S846" s="28" t="str">
        <x:v>d10823c7c9b1de80</x:v>
      </x:c>
    </x:row>
    <x:row r="847" ht="21" customHeight="1">
      <x:c r="A847" s="60" t="n">
        <x:v>0.63</x:v>
      </x:c>
      <x:c r="B847" s="28" t="str">
        <x:v>middle_flat</x:v>
      </x:c>
      <x:c r="C847" s="60" t="n">
        <x:v>1</x:v>
      </x:c>
      <x:c r="D847" s="60" t="n">
        <x:v>0.9498342654879072</x:v>
      </x:c>
      <x:c r="E847" s="62" t="b">
        <x:v>0</x:v>
      </x:c>
      <x:c r="F847" s="62" t="b">
        <x:v>0</x:v>
      </x:c>
      <x:c r="G847" s="85" t="n">
        <x:v>18493827.191491216</x:v>
      </x:c>
      <x:c r="H847" s="85" t="n">
        <x:v>67198730.9848912</x:v>
      </x:c>
      <x:c r="I847" s="85" t="n">
        <x:v>75237748.0101575</x:v>
      </x:c>
      <x:c r="J847" s="85" t="n">
        <x:v>81000000</x:v>
      </x:c>
      <x:c r="K847" s="85" t="n">
        <x:v>0</x:v>
      </x:c>
      <x:c r="L847" s="28" t="n">
        <x:v>43</x:v>
      </x:c>
      <x:c r="M847" s="28" t="n">
        <x:v>40</x:v>
      </x:c>
      <x:c r="N847" s="28" t="n">
        <x:v>1.862645149230957e-9</x:v>
      </x:c>
      <x:c r="O847" s="28" t="n">
        <x:v>1.4901161193847656e-8</x:v>
      </x:c>
      <x:c r="P847" s="28" t="n">
        <x:v>0</x:v>
      </x:c>
      <x:c r="Q847" s="62" t="b">
        <x:v>1</x:v>
      </x:c>
      <x:c r="R847" s="28" t="n">
        <x:v>15049720.35362786</x:v>
      </x:c>
      <x:c r="S847" s="28" t="str">
        <x:v>9f4c098cf0f9c7fb</x:v>
      </x:c>
    </x:row>
    <x:row r="848" ht="21" customHeight="1">
      <x:c r="A848" s="60" t="n">
        <x:v>0.63</x:v>
      </x:c>
      <x:c r="B848" s="28" t="str">
        <x:v>middle_low</x:v>
      </x:c>
      <x:c r="C848" s="60" t="n">
        <x:v>0</x:v>
      </x:c>
      <x:c r="D848" s="60" t="n">
        <x:v>0</x:v>
      </x:c>
      <x:c r="E848" s="62" t="b">
        <x:v>1</x:v>
      </x:c>
      <x:c r="F848" s="62" t="b">
        <x:v>1</x:v>
      </x:c>
      <x:c r="G848" s="85" t="n">
        <x:v>0</x:v>
      </x:c>
      <x:c r="H848" s="85" t="n">
        <x:v>0</x:v>
      </x:c>
      <x:c r="I848" s="85" t="n">
        <x:v>0</x:v>
      </x:c>
      <x:c r="J848" s="85" t="n">
        <x:v>0</x:v>
      </x:c>
      <x:c r="K848" s="85" t="n">
        <x:v>28002820.176027384</x:v>
      </x:c>
      <x:c r="L848" s="28" t="n">
        <x:v>0</x:v>
      </x:c>
      <x:c r="M848" s="28" t="n">
        <x:v>0</x:v>
      </x:c>
      <x:c r="N848" s="28" t="n">
        <x:v>1.862645149230957e-9</x:v>
      </x:c>
      <x:c r="O848" s="28" t="n">
        <x:v>0</x:v>
      </x:c>
      <x:c r="P848" s="28" t="n">
        <x:v>0</x:v>
      </x:c>
      <x:c r="Q848" s="62" t="b">
        <x:v>1</x:v>
      </x:c>
      <x:c r="R848" s="28" t="n">
        <x:v>0</x:v>
      </x:c>
      <x:c r="S848" s="28" t="str">
        <x:v>c90e62642e49eb8e</x:v>
      </x:c>
    </x:row>
    <x:row r="849" ht="21" customHeight="1">
      <x:c r="A849" s="60" t="n">
        <x:v>0.63</x:v>
      </x:c>
      <x:c r="B849" s="28" t="str">
        <x:v>middle_low</x:v>
      </x:c>
      <x:c r="C849" s="60" t="n">
        <x:v>0.05</x:v>
      </x:c>
      <x:c r="D849" s="60" t="n">
        <x:v>0.05</x:v>
      </x:c>
      <x:c r="E849" s="62" t="b">
        <x:v>1</x:v>
      </x:c>
      <x:c r="F849" s="62" t="b">
        <x:v>1</x:v>
      </x:c>
      <x:c r="G849" s="85" t="n">
        <x:v>0</x:v>
      </x:c>
      <x:c r="H849" s="85" t="n">
        <x:v>0</x:v>
      </x:c>
      <x:c r="I849" s="85" t="n">
        <x:v>0</x:v>
      </x:c>
      <x:c r="J849" s="85" t="n">
        <x:v>0</x:v>
      </x:c>
      <x:c r="K849" s="85" t="n">
        <x:v>17274098.570735052</x:v>
      </x:c>
      <x:c r="L849" s="28" t="n">
        <x:v>0</x:v>
      </x:c>
      <x:c r="M849" s="28" t="n">
        <x:v>0</x:v>
      </x:c>
      <x:c r="N849" s="28" t="n">
        <x:v>3.725290298461914e-9</x:v>
      </x:c>
      <x:c r="O849" s="28" t="n">
        <x:v>2.9802322387695312e-8</x:v>
      </x:c>
      <x:c r="P849" s="28" t="n">
        <x:v>0</x:v>
      </x:c>
      <x:c r="Q849" s="62" t="b">
        <x:v>1</x:v>
      </x:c>
      <x:c r="R849" s="28" t="n">
        <x:v>0</x:v>
      </x:c>
      <x:c r="S849" s="28" t="str">
        <x:v>2f07d2255861f2ea</x:v>
      </x:c>
    </x:row>
    <x:row r="850" ht="21" customHeight="1">
      <x:c r="A850" s="60" t="n">
        <x:v>0.63</x:v>
      </x:c>
      <x:c r="B850" s="28" t="str">
        <x:v>middle_low</x:v>
      </x:c>
      <x:c r="C850" s="60" t="n">
        <x:v>0.1</x:v>
      </x:c>
      <x:c r="D850" s="60" t="n">
        <x:v>0.1</x:v>
      </x:c>
      <x:c r="E850" s="62" t="b">
        <x:v>1</x:v>
      </x:c>
      <x:c r="F850" s="62" t="b">
        <x:v>1</x:v>
      </x:c>
      <x:c r="G850" s="85" t="n">
        <x:v>0</x:v>
      </x:c>
      <x:c r="H850" s="85" t="n">
        <x:v>0</x:v>
      </x:c>
      <x:c r="I850" s="85" t="n">
        <x:v>0</x:v>
      </x:c>
      <x:c r="J850" s="85" t="n">
        <x:v>0</x:v>
      </x:c>
      <x:c r="K850" s="85" t="n">
        <x:v>6461492.17000663</x:v>
      </x:c>
      <x:c r="L850" s="28" t="n">
        <x:v>0</x:v>
      </x:c>
      <x:c r="M850" s="28" t="n">
        <x:v>0</x:v>
      </x:c>
      <x:c r="N850" s="28" t="n">
        <x:v>3.725290298461914e-9</x:v>
      </x:c>
      <x:c r="O850" s="28" t="n">
        <x:v>5.960464477539063e-8</x:v>
      </x:c>
      <x:c r="P850" s="28" t="n">
        <x:v>0</x:v>
      </x:c>
      <x:c r="Q850" s="62" t="b">
        <x:v>1</x:v>
      </x:c>
      <x:c r="R850" s="28" t="n">
        <x:v>0</x:v>
      </x:c>
      <x:c r="S850" s="28" t="str">
        <x:v>2607c3ba714f4f18</x:v>
      </x:c>
    </x:row>
    <x:row r="851" ht="21" customHeight="1">
      <x:c r="A851" s="60" t="n">
        <x:v>0.63</x:v>
      </x:c>
      <x:c r="B851" s="28" t="str">
        <x:v>middle_low</x:v>
      </x:c>
      <x:c r="C851" s="60" t="n">
        <x:v>0.15</x:v>
      </x:c>
      <x:c r="D851" s="60" t="n">
        <x:v>0.15</x:v>
      </x:c>
      <x:c r="E851" s="62" t="b">
        <x:v>1</x:v>
      </x:c>
      <x:c r="F851" s="62" t="b">
        <x:v>1</x:v>
      </x:c>
      <x:c r="G851" s="85" t="n">
        <x:v>0</x:v>
      </x:c>
      <x:c r="H851" s="85" t="n">
        <x:v>0</x:v>
      </x:c>
      <x:c r="I851" s="85" t="n">
        <x:v>3171873.0890586865</x:v>
      </x:c>
      <x:c r="J851" s="85" t="n">
        <x:v>0</x:v>
      </x:c>
      <x:c r="K851" s="85" t="n">
        <x:v>106458.14932054431</x:v>
      </x:c>
      <x:c r="L851" s="28" t="n">
        <x:v>0</x:v>
      </x:c>
      <x:c r="M851" s="28" t="n">
        <x:v>0</x:v>
      </x:c>
      <x:c r="N851" s="28" t="n">
        <x:v>1.862645149230957e-9</x:v>
      </x:c>
      <x:c r="O851" s="28" t="n">
        <x:v>2.9802322387695312e-8</x:v>
      </x:c>
      <x:c r="P851" s="28" t="n">
        <x:v>0</x:v>
      </x:c>
      <x:c r="Q851" s="62" t="b">
        <x:v>1</x:v>
      </x:c>
      <x:c r="R851" s="28" t="n">
        <x:v>0</x:v>
      </x:c>
      <x:c r="S851" s="28" t="str">
        <x:v>41c7d6932eed5aee</x:v>
      </x:c>
    </x:row>
    <x:row r="852" ht="21" customHeight="1">
      <x:c r="A852" s="60" t="n">
        <x:v>0.63</x:v>
      </x:c>
      <x:c r="B852" s="28" t="str">
        <x:v>middle_low</x:v>
      </x:c>
      <x:c r="C852" s="60" t="n">
        <x:v>0.2</x:v>
      </x:c>
      <x:c r="D852" s="60" t="n">
        <x:v>0.2</x:v>
      </x:c>
      <x:c r="E852" s="62" t="b">
        <x:v>1</x:v>
      </x:c>
      <x:c r="F852" s="62" t="b">
        <x:v>1</x:v>
      </x:c>
      <x:c r="G852" s="85" t="n">
        <x:v>0</x:v>
      </x:c>
      <x:c r="H852" s="85" t="n">
        <x:v>0</x:v>
      </x:c>
      <x:c r="I852" s="85" t="n">
        <x:v>9562441.613298763</x:v>
      </x:c>
      <x:c r="J852" s="85" t="n">
        <x:v>6318282.052720856</x:v>
      </x:c>
      <x:c r="K852" s="85" t="n">
        <x:v>64283.094279449724</x:v>
      </x:c>
      <x:c r="L852" s="28" t="n">
        <x:v>0</x:v>
      </x:c>
      <x:c r="M852" s="28" t="n">
        <x:v>0</x:v>
      </x:c>
      <x:c r="N852" s="28" t="n">
        <x:v>1.862645149230957e-9</x:v>
      </x:c>
      <x:c r="O852" s="28" t="n">
        <x:v>2.9802322387695312e-8</x:v>
      </x:c>
      <x:c r="P852" s="28" t="n">
        <x:v>0</x:v>
      </x:c>
      <x:c r="Q852" s="62" t="b">
        <x:v>1</x:v>
      </x:c>
      <x:c r="R852" s="28" t="n">
        <x:v>0</x:v>
      </x:c>
      <x:c r="S852" s="28" t="str">
        <x:v>b09855adcba314f0</x:v>
      </x:c>
    </x:row>
    <x:row r="853" ht="21" customHeight="1">
      <x:c r="A853" s="60" t="n">
        <x:v>0.63</x:v>
      </x:c>
      <x:c r="B853" s="28" t="str">
        <x:v>middle_low</x:v>
      </x:c>
      <x:c r="C853" s="60" t="n">
        <x:v>0.25</x:v>
      </x:c>
      <x:c r="D853" s="60" t="n">
        <x:v>0.25</x:v>
      </x:c>
      <x:c r="E853" s="62" t="b">
        <x:v>1</x:v>
      </x:c>
      <x:c r="F853" s="62" t="b">
        <x:v>1</x:v>
      </x:c>
      <x:c r="G853" s="85" t="n">
        <x:v>0</x:v>
      </x:c>
      <x:c r="H853" s="85" t="n">
        <x:v>0</x:v>
      </x:c>
      <x:c r="I853" s="85" t="n">
        <x:v>13825740.270026173</x:v>
      </x:c>
      <x:c r="J853" s="85" t="n">
        <x:v>15397852.565901024</x:v>
      </x:c>
      <x:c r="K853" s="85" t="n">
        <x:v>49717.076410957496</x:v>
      </x:c>
      <x:c r="L853" s="28" t="n">
        <x:v>0</x:v>
      </x:c>
      <x:c r="M853" s="28" t="n">
        <x:v>0</x:v>
      </x:c>
      <x:c r="N853" s="28" t="n">
        <x:v>9.313225746154785e-10</x:v>
      </x:c>
      <x:c r="O853" s="28" t="n">
        <x:v>2.9802322387695312e-8</x:v>
      </x:c>
      <x:c r="P853" s="28" t="n">
        <x:v>0</x:v>
      </x:c>
      <x:c r="Q853" s="62" t="b">
        <x:v>1</x:v>
      </x:c>
      <x:c r="R853" s="28" t="n">
        <x:v>0</x:v>
      </x:c>
      <x:c r="S853" s="28" t="str">
        <x:v>c451b7c06eebd53e</x:v>
      </x:c>
    </x:row>
    <x:row r="854" ht="21" customHeight="1">
      <x:c r="A854" s="60" t="n">
        <x:v>0.63</x:v>
      </x:c>
      <x:c r="B854" s="28" t="str">
        <x:v>middle_low</x:v>
      </x:c>
      <x:c r="C854" s="60" t="n">
        <x:v>0.3</x:v>
      </x:c>
      <x:c r="D854" s="60" t="n">
        <x:v>0.3</x:v>
      </x:c>
      <x:c r="E854" s="62" t="b">
        <x:v>1</x:v>
      </x:c>
      <x:c r="F854" s="62" t="b">
        <x:v>1</x:v>
      </x:c>
      <x:c r="G854" s="85" t="n">
        <x:v>0</x:v>
      </x:c>
      <x:c r="H854" s="85" t="n">
        <x:v>0</x:v>
      </x:c>
      <x:c r="I854" s="85" t="n">
        <x:v>18123286.929099854</x:v>
      </x:c>
      <x:c r="J854" s="85" t="n">
        <x:v>24477423.079081118</x:v>
      </x:c>
      <x:c r="K854" s="85" t="n">
        <x:v>35151.05854246713</x:v>
      </x:c>
      <x:c r="L854" s="28" t="n">
        <x:v>0</x:v>
      </x:c>
      <x:c r="M854" s="28" t="n">
        <x:v>0</x:v>
      </x:c>
      <x:c r="N854" s="28" t="n">
        <x:v>1.862645149230957e-9</x:v>
      </x:c>
      <x:c r="O854" s="28" t="n">
        <x:v>2.9802322387695312e-8</x:v>
      </x:c>
      <x:c r="P854" s="28" t="n">
        <x:v>0</x:v>
      </x:c>
      <x:c r="Q854" s="62" t="b">
        <x:v>1</x:v>
      </x:c>
      <x:c r="R854" s="28" t="n">
        <x:v>0</x:v>
      </x:c>
      <x:c r="S854" s="28" t="str">
        <x:v>8f0ec8ac458f760b</x:v>
      </x:c>
    </x:row>
    <x:row r="855" ht="21" customHeight="1">
      <x:c r="A855" s="60" t="n">
        <x:v>0.63</x:v>
      </x:c>
      <x:c r="B855" s="28" t="str">
        <x:v>middle_low</x:v>
      </x:c>
      <x:c r="C855" s="60" t="n">
        <x:v>0.35</x:v>
      </x:c>
      <x:c r="D855" s="60" t="n">
        <x:v>0.35</x:v>
      </x:c>
      <x:c r="E855" s="62" t="b">
        <x:v>1</x:v>
      </x:c>
      <x:c r="F855" s="62" t="b">
        <x:v>1</x:v>
      </x:c>
      <x:c r="G855" s="85" t="n">
        <x:v>0</x:v>
      </x:c>
      <x:c r="H855" s="85" t="n">
        <x:v>0</x:v>
      </x:c>
      <x:c r="I855" s="85" t="n">
        <x:v>22448889.521928567</x:v>
      </x:c>
      <x:c r="J855" s="85" t="n">
        <x:v>33556993.59226131</x:v>
      </x:c>
      <x:c r="K855" s="85" t="n">
        <x:v>20585.040673973504</x:v>
      </x:c>
      <x:c r="L855" s="28" t="n">
        <x:v>0</x:v>
      </x:c>
      <x:c r="M855" s="28" t="n">
        <x:v>0</x:v>
      </x:c>
      <x:c r="N855" s="28" t="n">
        <x:v>3.725290298461914e-9</x:v>
      </x:c>
      <x:c r="O855" s="28" t="n">
        <x:v>2.9802322387695312e-8</x:v>
      </x:c>
      <x:c r="P855" s="28" t="n">
        <x:v>0</x:v>
      </x:c>
      <x:c r="Q855" s="62" t="b">
        <x:v>1</x:v>
      </x:c>
      <x:c r="R855" s="28" t="n">
        <x:v>0</x:v>
      </x:c>
      <x:c r="S855" s="28" t="str">
        <x:v>b8d3913998909c01</x:v>
      </x:c>
    </x:row>
    <x:row r="856" ht="21" customHeight="1">
      <x:c r="A856" s="60" t="n">
        <x:v>0.63</x:v>
      </x:c>
      <x:c r="B856" s="28" t="str">
        <x:v>middle_low</x:v>
      </x:c>
      <x:c r="C856" s="60" t="n">
        <x:v>0.4</x:v>
      </x:c>
      <x:c r="D856" s="60" t="n">
        <x:v>0.4</x:v>
      </x:c>
      <x:c r="E856" s="62" t="b">
        <x:v>1</x:v>
      </x:c>
      <x:c r="F856" s="62" t="b">
        <x:v>1</x:v>
      </x:c>
      <x:c r="G856" s="85" t="n">
        <x:v>0</x:v>
      </x:c>
      <x:c r="H856" s="85" t="n">
        <x:v>0</x:v>
      </x:c>
      <x:c r="I856" s="85" t="n">
        <x:v>26754521.17780097</x:v>
      </x:c>
      <x:c r="J856" s="85" t="n">
        <x:v>42636564.10544155</x:v>
      </x:c>
      <x:c r="K856" s="85" t="n">
        <x:v>6019.022805479413</x:v>
      </x:c>
      <x:c r="L856" s="28" t="n">
        <x:v>0</x:v>
      </x:c>
      <x:c r="M856" s="28" t="n">
        <x:v>0</x:v>
      </x:c>
      <x:c r="N856" s="28" t="n">
        <x:v>1.862645149230957e-9</x:v>
      </x:c>
      <x:c r="O856" s="28" t="n">
        <x:v>2.9802322387695312e-8</x:v>
      </x:c>
      <x:c r="P856" s="28" t="n">
        <x:v>0</x:v>
      </x:c>
      <x:c r="Q856" s="62" t="b">
        <x:v>1</x:v>
      </x:c>
      <x:c r="R856" s="28" t="n">
        <x:v>0</x:v>
      </x:c>
      <x:c r="S856" s="28" t="str">
        <x:v>736383389a5e546c</x:v>
      </x:c>
    </x:row>
    <x:row r="857" ht="21" customHeight="1">
      <x:c r="A857" s="60" t="n">
        <x:v>0.63</x:v>
      </x:c>
      <x:c r="B857" s="28" t="str">
        <x:v>middle_low</x:v>
      </x:c>
      <x:c r="C857" s="60" t="n">
        <x:v>0.45</x:v>
      </x:c>
      <x:c r="D857" s="60" t="n">
        <x:v>0.45</x:v>
      </x:c>
      <x:c r="E857" s="62" t="b">
        <x:v>1</x:v>
      </x:c>
      <x:c r="F857" s="62" t="b">
        <x:v>1</x:v>
      </x:c>
      <x:c r="G857" s="85" t="n">
        <x:v>0</x:v>
      </x:c>
      <x:c r="H857" s="85" t="n">
        <x:v>0</x:v>
      </x:c>
      <x:c r="I857" s="85" t="n">
        <x:v>32427282.862168428</x:v>
      </x:c>
      <x:c r="J857" s="85" t="n">
        <x:v>49470532.444039136</x:v>
      </x:c>
      <x:c r="K857" s="85" t="n">
        <x:v>0</x:v>
      </x:c>
      <x:c r="L857" s="28" t="n">
        <x:v>4</x:v>
      </x:c>
      <x:c r="M857" s="28" t="n">
        <x:v>0</x:v>
      </x:c>
      <x:c r="N857" s="28" t="n">
        <x:v>1.862645149230957e-9</x:v>
      </x:c>
      <x:c r="O857" s="28" t="n">
        <x:v>2.9802322387695312e-8</x:v>
      </x:c>
      <x:c r="P857" s="28" t="n">
        <x:v>0</x:v>
      </x:c>
      <x:c r="Q857" s="62" t="b">
        <x:v>1</x:v>
      </x:c>
      <x:c r="R857" s="28" t="n">
        <x:v>0</x:v>
      </x:c>
      <x:c r="S857" s="28" t="str">
        <x:v>be2fc6b56a3eae55</x:v>
      </x:c>
    </x:row>
    <x:row r="858" ht="21" customHeight="1">
      <x:c r="A858" s="60" t="n">
        <x:v>0.63</x:v>
      </x:c>
      <x:c r="B858" s="28" t="str">
        <x:v>middle_low</x:v>
      </x:c>
      <x:c r="C858" s="60" t="n">
        <x:v>0.5</x:v>
      </x:c>
      <x:c r="D858" s="60" t="n">
        <x:v>0.5</x:v>
      </x:c>
      <x:c r="E858" s="62" t="b">
        <x:v>1</x:v>
      </x:c>
      <x:c r="F858" s="62" t="b">
        <x:v>1</x:v>
      </x:c>
      <x:c r="G858" s="85" t="n">
        <x:v>0</x:v>
      </x:c>
      <x:c r="H858" s="85" t="n">
        <x:v>0</x:v>
      </x:c>
      <x:c r="I858" s="85" t="n">
        <x:v>37930179.219875135</x:v>
      </x:c>
      <x:c r="J858" s="85" t="n">
        <x:v>56522962.70655859</x:v>
      </x:c>
      <x:c r="K858" s="85" t="n">
        <x:v>0</x:v>
      </x:c>
      <x:c r="L858" s="28" t="n">
        <x:v>9</x:v>
      </x:c>
      <x:c r="M858" s="28" t="n">
        <x:v>0</x:v>
      </x:c>
      <x:c r="N858" s="28" t="n">
        <x:v>1.862645149230957e-9</x:v>
      </x:c>
      <x:c r="O858" s="28" t="n">
        <x:v>1.4901161193847656e-8</x:v>
      </x:c>
      <x:c r="P858" s="28" t="n">
        <x:v>0</x:v>
      </x:c>
      <x:c r="Q858" s="62" t="b">
        <x:v>1</x:v>
      </x:c>
      <x:c r="R858" s="28" t="n">
        <x:v>0</x:v>
      </x:c>
      <x:c r="S858" s="28" t="str">
        <x:v>bd92feba1d3a08c6</x:v>
      </x:c>
    </x:row>
    <x:row r="859" ht="21" customHeight="1">
      <x:c r="A859" s="60" t="n">
        <x:v>0.63</x:v>
      </x:c>
      <x:c r="B859" s="28" t="str">
        <x:v>middle_low</x:v>
      </x:c>
      <x:c r="C859" s="60" t="n">
        <x:v>0.55</x:v>
      </x:c>
      <x:c r="D859" s="60" t="n">
        <x:v>0.55</x:v>
      </x:c>
      <x:c r="E859" s="62" t="b">
        <x:v>1</x:v>
      </x:c>
      <x:c r="F859" s="62" t="b">
        <x:v>1</x:v>
      </x:c>
      <x:c r="G859" s="85" t="n">
        <x:v>0</x:v>
      </x:c>
      <x:c r="H859" s="85" t="n">
        <x:v>0</x:v>
      </x:c>
      <x:c r="I859" s="85" t="n">
        <x:v>42412349.80912575</x:v>
      </x:c>
      <x:c r="J859" s="85" t="n">
        <x:v>65161298.46803379</x:v>
      </x:c>
      <x:c r="K859" s="85" t="n">
        <x:v>0</x:v>
      </x:c>
      <x:c r="L859" s="28" t="n">
        <x:v>12</x:v>
      </x:c>
      <x:c r="M859" s="28" t="n">
        <x:v>0</x:v>
      </x:c>
      <x:c r="N859" s="28" t="n">
        <x:v>1.862645149230957e-9</x:v>
      </x:c>
      <x:c r="O859" s="28" t="n">
        <x:v>2.9802322387695312e-8</x:v>
      </x:c>
      <x:c r="P859" s="28" t="n">
        <x:v>0</x:v>
      </x:c>
      <x:c r="Q859" s="62" t="b">
        <x:v>1</x:v>
      </x:c>
      <x:c r="R859" s="28" t="n">
        <x:v>0</x:v>
      </x:c>
      <x:c r="S859" s="28" t="str">
        <x:v>eaa6dcd13874e07a</x:v>
      </x:c>
    </x:row>
    <x:row r="860" ht="21" customHeight="1">
      <x:c r="A860" s="60" t="n">
        <x:v>0.63</x:v>
      </x:c>
      <x:c r="B860" s="28" t="str">
        <x:v>middle_low</x:v>
      </x:c>
      <x:c r="C860" s="60" t="n">
        <x:v>0.6</x:v>
      </x:c>
      <x:c r="D860" s="60" t="n">
        <x:v>0.6</x:v>
      </x:c>
      <x:c r="E860" s="62" t="b">
        <x:v>1</x:v>
      </x:c>
      <x:c r="F860" s="62" t="b">
        <x:v>1</x:v>
      </x:c>
      <x:c r="G860" s="85" t="n">
        <x:v>0</x:v>
      </x:c>
      <x:c r="H860" s="85" t="n">
        <x:v>0</x:v>
      </x:c>
      <x:c r="I860" s="85" t="n">
        <x:v>46640372.97686212</x:v>
      </x:c>
      <x:c r="J860" s="85" t="n">
        <x:v>74087470.85748379</x:v>
      </x:c>
      <x:c r="K860" s="85" t="n">
        <x:v>0</x:v>
      </x:c>
      <x:c r="L860" s="28" t="n">
        <x:v>15</x:v>
      </x:c>
      <x:c r="M860" s="28" t="n">
        <x:v>0</x:v>
      </x:c>
      <x:c r="N860" s="28" t="n">
        <x:v>1.862645149230957e-9</x:v>
      </x:c>
      <x:c r="O860" s="28" t="n">
        <x:v>2.9802322387695312e-8</x:v>
      </x:c>
      <x:c r="P860" s="28" t="n">
        <x:v>0</x:v>
      </x:c>
      <x:c r="Q860" s="62" t="b">
        <x:v>1</x:v>
      </x:c>
      <x:c r="R860" s="28" t="n">
        <x:v>0</x:v>
      </x:c>
      <x:c r="S860" s="28" t="str">
        <x:v>068f8400da91c369</x:v>
      </x:c>
    </x:row>
    <x:row r="861" ht="21" customHeight="1">
      <x:c r="A861" s="60" t="n">
        <x:v>0.63</x:v>
      </x:c>
      <x:c r="B861" s="28" t="str">
        <x:v>middle_low</x:v>
      </x:c>
      <x:c r="C861" s="60" t="n">
        <x:v>0.65</x:v>
      </x:c>
      <x:c r="D861" s="60" t="n">
        <x:v>0.65</x:v>
      </x:c>
      <x:c r="E861" s="62" t="b">
        <x:v>1</x:v>
      </x:c>
      <x:c r="F861" s="62" t="b">
        <x:v>0</x:v>
      </x:c>
      <x:c r="G861" s="85" t="n">
        <x:v>164087.57180243568</x:v>
      </x:c>
      <x:c r="H861" s="85" t="n">
        <x:v>2454123.7376996228</x:v>
      </x:c>
      <x:c r="I861" s="85" t="n">
        <x:v>49779167.663226664</x:v>
      </x:c>
      <x:c r="J861" s="85" t="n">
        <x:v>81000000</x:v>
      </x:c>
      <x:c r="K861" s="85" t="n">
        <x:v>0</x:v>
      </x:c>
      <x:c r="L861" s="28" t="n">
        <x:v>40</x:v>
      </x:c>
      <x:c r="M861" s="28" t="n">
        <x:v>23</x:v>
      </x:c>
      <x:c r="N861" s="28" t="n">
        <x:v>1.862645149230957e-9</x:v>
      </x:c>
      <x:c r="O861" s="28" t="n">
        <x:v>2.9802322387695312e-8</x:v>
      </x:c>
      <x:c r="P861" s="28" t="n">
        <x:v>0</x:v>
      </x:c>
      <x:c r="Q861" s="62" t="b">
        <x:v>1</x:v>
      </x:c>
      <x:c r="R861" s="28" t="n">
        <x:v>0</x:v>
      </x:c>
      <x:c r="S861" s="28" t="str">
        <x:v>d7b66630666b5102</x:v>
      </x:c>
    </x:row>
    <x:row r="862" ht="21" customHeight="1">
      <x:c r="A862" s="60" t="n">
        <x:v>0.63</x:v>
      </x:c>
      <x:c r="B862" s="28" t="str">
        <x:v>middle_low</x:v>
      </x:c>
      <x:c r="C862" s="60" t="n">
        <x:v>0.7</x:v>
      </x:c>
      <x:c r="D862" s="60" t="n">
        <x:v>0.7</x:v>
      </x:c>
      <x:c r="E862" s="62" t="b">
        <x:v>1</x:v>
      </x:c>
      <x:c r="F862" s="62" t="b">
        <x:v>0</x:v>
      </x:c>
      <x:c r="G862" s="85" t="n">
        <x:v>816299.6325151171</x:v>
      </x:c>
      <x:c r="H862" s="85" t="n">
        <x:v>12295481.499091513</x:v>
      </x:c>
      <x:c r="I862" s="85" t="n">
        <x:v>50799579.047221206</x:v>
      </x:c>
      <x:c r="J862" s="85" t="n">
        <x:v>81000000</x:v>
      </x:c>
      <x:c r="K862" s="85" t="n">
        <x:v>0</x:v>
      </x:c>
      <x:c r="L862" s="28" t="n">
        <x:v>41</x:v>
      </x:c>
      <x:c r="M862" s="28" t="n">
        <x:v>31</x:v>
      </x:c>
      <x:c r="N862" s="28" t="n">
        <x:v>1.862645149230957e-9</x:v>
      </x:c>
      <x:c r="O862" s="28" t="n">
        <x:v>1.4901161193847656e-8</x:v>
      </x:c>
      <x:c r="P862" s="28" t="n">
        <x:v>0</x:v>
      </x:c>
      <x:c r="Q862" s="62" t="b">
        <x:v>1</x:v>
      </x:c>
      <x:c r="R862" s="28" t="n">
        <x:v>0</x:v>
      </x:c>
      <x:c r="S862" s="28" t="str">
        <x:v>887dbe249e59254a</x:v>
      </x:c>
    </x:row>
    <x:row r="863" ht="21" customHeight="1">
      <x:c r="A863" s="60" t="n">
        <x:v>0.63</x:v>
      </x:c>
      <x:c r="B863" s="28" t="str">
        <x:v>middle_low</x:v>
      </x:c>
      <x:c r="C863" s="60" t="n">
        <x:v>0.75</x:v>
      </x:c>
      <x:c r="D863" s="60" t="n">
        <x:v>0.75</x:v>
      </x:c>
      <x:c r="E863" s="62" t="b">
        <x:v>1</x:v>
      </x:c>
      <x:c r="F863" s="62" t="b">
        <x:v>0</x:v>
      </x:c>
      <x:c r="G863" s="85" t="n">
        <x:v>1672622.9470275326</x:v>
      </x:c>
      <x:c r="H863" s="85" t="n">
        <x:v>23077978.040261544</x:v>
      </x:c>
      <x:c r="I863" s="85" t="n">
        <x:v>50925590.21771744</x:v>
      </x:c>
      <x:c r="J863" s="85" t="n">
        <x:v>81000000</x:v>
      </x:c>
      <x:c r="K863" s="85" t="n">
        <x:v>0</x:v>
      </x:c>
      <x:c r="L863" s="28" t="n">
        <x:v>41</x:v>
      </x:c>
      <x:c r="M863" s="28" t="n">
        <x:v>33</x:v>
      </x:c>
      <x:c r="N863" s="28" t="n">
        <x:v>1.862645149230957e-9</x:v>
      </x:c>
      <x:c r="O863" s="28" t="n">
        <x:v>2.9802322387695312e-8</x:v>
      </x:c>
      <x:c r="P863" s="28" t="n">
        <x:v>0</x:v>
      </x:c>
      <x:c r="Q863" s="62" t="b">
        <x:v>1</x:v>
      </x:c>
      <x:c r="R863" s="28" t="n">
        <x:v>0</x:v>
      </x:c>
      <x:c r="S863" s="28" t="str">
        <x:v>47214732f87f6186</x:v>
      </x:c>
    </x:row>
    <x:row r="864" ht="21" customHeight="1">
      <x:c r="A864" s="60" t="n">
        <x:v>0.63</x:v>
      </x:c>
      <x:c r="B864" s="28" t="str">
        <x:v>middle_low</x:v>
      </x:c>
      <x:c r="C864" s="60" t="n">
        <x:v>0.8</x:v>
      </x:c>
      <x:c r="D864" s="60" t="n">
        <x:v>0.8</x:v>
      </x:c>
      <x:c r="E864" s="62" t="b">
        <x:v>1</x:v>
      </x:c>
      <x:c r="F864" s="62" t="b">
        <x:v>0</x:v>
      </x:c>
      <x:c r="G864" s="85" t="n">
        <x:v>2490770.439450187</x:v>
      </x:c>
      <x:c r="H864" s="85" t="n">
        <x:v>32774015.569025107</x:v>
      </x:c>
      <x:c r="I864" s="85" t="n">
        <x:v>51820234.08319844</x:v>
      </x:c>
      <x:c r="J864" s="85" t="n">
        <x:v>81000000</x:v>
      </x:c>
      <x:c r="K864" s="85" t="n">
        <x:v>0</x:v>
      </x:c>
      <x:c r="L864" s="28" t="n">
        <x:v>42</x:v>
      </x:c>
      <x:c r="M864" s="28" t="n">
        <x:v>34</x:v>
      </x:c>
      <x:c r="N864" s="28" t="n">
        <x:v>1.862645149230957e-9</x:v>
      </x:c>
      <x:c r="O864" s="28" t="n">
        <x:v>1.4901161193847656e-8</x:v>
      </x:c>
      <x:c r="P864" s="28" t="n">
        <x:v>0</x:v>
      </x:c>
      <x:c r="Q864" s="62" t="b">
        <x:v>1</x:v>
      </x:c>
      <x:c r="R864" s="28" t="n">
        <x:v>0</x:v>
      </x:c>
      <x:c r="S864" s="28" t="str">
        <x:v>f14c12a02d758b8d</x:v>
      </x:c>
    </x:row>
    <x:row r="865" ht="21" customHeight="1">
      <x:c r="A865" s="60" t="n">
        <x:v>0.63</x:v>
      </x:c>
      <x:c r="B865" s="28" t="str">
        <x:v>middle_low</x:v>
      </x:c>
      <x:c r="C865" s="60" t="n">
        <x:v>0.85</x:v>
      </x:c>
      <x:c r="D865" s="60" t="n">
        <x:v>0.85</x:v>
      </x:c>
      <x:c r="E865" s="62" t="b">
        <x:v>1</x:v>
      </x:c>
      <x:c r="F865" s="62" t="b">
        <x:v>0</x:v>
      </x:c>
      <x:c r="G865" s="85" t="n">
        <x:v>3496757.488864355</x:v>
      </x:c>
      <x:c r="H865" s="85" t="n">
        <x:v>43271596.763017625</x:v>
      </x:c>
      <x:c r="I865" s="85" t="n">
        <x:v>51910400.75672026</x:v>
      </x:c>
      <x:c r="J865" s="85" t="n">
        <x:v>81000000</x:v>
      </x:c>
      <x:c r="K865" s="85" t="n">
        <x:v>0</x:v>
      </x:c>
      <x:c r="L865" s="28" t="n">
        <x:v>42</x:v>
      </x:c>
      <x:c r="M865" s="28" t="n">
        <x:v>35</x:v>
      </x:c>
      <x:c r="N865" s="28" t="n">
        <x:v>1.862645149230957e-9</x:v>
      </x:c>
      <x:c r="O865" s="28" t="n">
        <x:v>2.9802322387695312e-8</x:v>
      </x:c>
      <x:c r="P865" s="28" t="n">
        <x:v>0</x:v>
      </x:c>
      <x:c r="Q865" s="62" t="b">
        <x:v>1</x:v>
      </x:c>
      <x:c r="R865" s="28" t="n">
        <x:v>0</x:v>
      </x:c>
      <x:c r="S865" s="28" t="str">
        <x:v>345f38df766e7969</x:v>
      </x:c>
    </x:row>
    <x:row r="866" ht="21" customHeight="1">
      <x:c r="A866" s="60" t="n">
        <x:v>0.63</x:v>
      </x:c>
      <x:c r="B866" s="28" t="str">
        <x:v>middle_low</x:v>
      </x:c>
      <x:c r="C866" s="60" t="n">
        <x:v>0.9</x:v>
      </x:c>
      <x:c r="D866" s="60" t="n">
        <x:v>0.9</x:v>
      </x:c>
      <x:c r="E866" s="62" t="b">
        <x:v>1</x:v>
      </x:c>
      <x:c r="F866" s="62" t="b">
        <x:v>0</x:v>
      </x:c>
      <x:c r="G866" s="85" t="n">
        <x:v>4529661.419304763</x:v>
      </x:c>
      <x:c r="H866" s="85" t="n">
        <x:v>52570308.99017815</x:v>
      </x:c>
      <x:c r="I866" s="85" t="n">
        <x:v>52871863.02469655</x:v>
      </x:c>
      <x:c r="J866" s="85" t="n">
        <x:v>81000000</x:v>
      </x:c>
      <x:c r="K866" s="85" t="n">
        <x:v>0</x:v>
      </x:c>
      <x:c r="L866" s="28" t="n">
        <x:v>43</x:v>
      </x:c>
      <x:c r="M866" s="28" t="n">
        <x:v>36</x:v>
      </x:c>
      <x:c r="N866" s="28" t="n">
        <x:v>1.862645149230957e-9</x:v>
      </x:c>
      <x:c r="O866" s="28" t="n">
        <x:v>2.9802322387695312e-8</x:v>
      </x:c>
      <x:c r="P866" s="28" t="n">
        <x:v>0</x:v>
      </x:c>
      <x:c r="Q866" s="62" t="b">
        <x:v>1</x:v>
      </x:c>
      <x:c r="R866" s="28" t="n">
        <x:v>0</x:v>
      </x:c>
      <x:c r="S866" s="28" t="str">
        <x:v>2e3a71fa9b00dd4e</x:v>
      </x:c>
    </x:row>
    <x:row r="867" ht="21" customHeight="1">
      <x:c r="A867" s="60" t="n">
        <x:v>0.63</x:v>
      </x:c>
      <x:c r="B867" s="28" t="str">
        <x:v>middle_low</x:v>
      </x:c>
      <x:c r="C867" s="60" t="n">
        <x:v>0.95</x:v>
      </x:c>
      <x:c r="D867" s="60" t="n">
        <x:v>0.9361238209331334</x:v>
      </x:c>
      <x:c r="E867" s="62" t="b">
        <x:v>0</x:v>
      </x:c>
      <x:c r="F867" s="62" t="b">
        <x:v>0</x:v>
      </x:c>
      <x:c r="G867" s="85" t="n">
        <x:v>6686355.02748694</x:v>
      </x:c>
      <x:c r="H867" s="85" t="n">
        <x:v>58625467.46337249</x:v>
      </x:c>
      <x:c r="I867" s="85" t="n">
        <x:v>52930246.44615991</x:v>
      </x:c>
      <x:c r="J867" s="85" t="n">
        <x:v>81000000</x:v>
      </x:c>
      <x:c r="K867" s="85" t="n">
        <x:v>0</x:v>
      </x:c>
      <x:c r="L867" s="28" t="n">
        <x:v>43</x:v>
      </x:c>
      <x:c r="M867" s="28" t="n">
        <x:v>36</x:v>
      </x:c>
      <x:c r="N867" s="28" t="n">
        <x:v>1.862645149230957e-9</x:v>
      </x:c>
      <x:c r="O867" s="28" t="n">
        <x:v>1.4901161193847656e-8</x:v>
      </x:c>
      <x:c r="P867" s="28" t="n">
        <x:v>0</x:v>
      </x:c>
      <x:c r="Q867" s="62" t="b">
        <x:v>1</x:v>
      </x:c>
      <x:c r="R867" s="28" t="n">
        <x:v>4162853.720059991</x:v>
      </x:c>
      <x:c r="S867" s="28" t="str">
        <x:v>0390fd8fdc37bc18</x:v>
      </x:c>
    </x:row>
    <x:row r="868" ht="21" customHeight="1">
      <x:c r="A868" s="60" t="n">
        <x:v>0.63</x:v>
      </x:c>
      <x:c r="B868" s="28" t="str">
        <x:v>middle_low</x:v>
      </x:c>
      <x:c r="C868" s="60" t="n">
        <x:v>1</x:v>
      </x:c>
      <x:c r="D868" s="60" t="n">
        <x:v>0.9498342654879072</x:v>
      </x:c>
      <x:c r="E868" s="62" t="b">
        <x:v>0</x:v>
      </x:c>
      <x:c r="F868" s="62" t="b">
        <x:v>0</x:v>
      </x:c>
      <x:c r="G868" s="85" t="n">
        <x:v>7325623.8776900675</x:v>
      </x:c>
      <x:c r="H868" s="85" t="n">
        <x:v>61642177.083635904</x:v>
      </x:c>
      <x:c r="I868" s="85" t="n">
        <x:v>52988629.86762326</x:v>
      </x:c>
      <x:c r="J868" s="85" t="n">
        <x:v>81000000</x:v>
      </x:c>
      <x:c r="K868" s="85" t="n">
        <x:v>0</x:v>
      </x:c>
      <x:c r="L868" s="28" t="n">
        <x:v>43</x:v>
      </x:c>
      <x:c r="M868" s="28" t="n">
        <x:v>37</x:v>
      </x:c>
      <x:c r="N868" s="28" t="n">
        <x:v>1.862645149230957e-9</x:v>
      </x:c>
      <x:c r="O868" s="28" t="n">
        <x:v>1.4901161193847656e-8</x:v>
      </x:c>
      <x:c r="P868" s="28" t="n">
        <x:v>0</x:v>
      </x:c>
      <x:c r="Q868" s="62" t="b">
        <x:v>1</x:v>
      </x:c>
      <x:c r="R868" s="28" t="n">
        <x:v>15049720.35362786</x:v>
      </x:c>
      <x:c r="S868" s="28" t="str">
        <x:v>75b55030d128207f</x:v>
      </x:c>
    </x:row>
    <x:row r="869" ht="21" customHeight="1">
      <x:c r="A869" s="60" t="n">
        <x:v>0.63</x:v>
      </x:c>
      <x:c r="B869" s="28" t="str">
        <x:v>middle_high</x:v>
      </x:c>
      <x:c r="C869" s="60" t="n">
        <x:v>0</x:v>
      </x:c>
      <x:c r="D869" s="60" t="n">
        <x:v>0</x:v>
      </x:c>
      <x:c r="E869" s="62" t="b">
        <x:v>1</x:v>
      </x:c>
      <x:c r="F869" s="62" t="b">
        <x:v>1</x:v>
      </x:c>
      <x:c r="G869" s="85" t="n">
        <x:v>0</x:v>
      </x:c>
      <x:c r="H869" s="85" t="n">
        <x:v>0</x:v>
      </x:c>
      <x:c r="I869" s="85" t="n">
        <x:v>0</x:v>
      </x:c>
      <x:c r="J869" s="85" t="n">
        <x:v>0</x:v>
      </x:c>
      <x:c r="K869" s="85" t="n">
        <x:v>36813359.44999996</x:v>
      </x:c>
      <x:c r="L869" s="28" t="n">
        <x:v>0</x:v>
      </x:c>
      <x:c r="M869" s="28" t="n">
        <x:v>0</x:v>
      </x:c>
      <x:c r="N869" s="28" t="n">
        <x:v>3.725290298461914e-9</x:v>
      </x:c>
      <x:c r="O869" s="28" t="n">
        <x:v>0</x:v>
      </x:c>
      <x:c r="P869" s="28" t="n">
        <x:v>0</x:v>
      </x:c>
      <x:c r="Q869" s="62" t="b">
        <x:v>1</x:v>
      </x:c>
      <x:c r="R869" s="28" t="n">
        <x:v>0</x:v>
      </x:c>
      <x:c r="S869" s="28" t="str">
        <x:v>429839c29b05d317</x:v>
      </x:c>
    </x:row>
    <x:row r="870" ht="21" customHeight="1">
      <x:c r="A870" s="60" t="n">
        <x:v>0.63</x:v>
      </x:c>
      <x:c r="B870" s="28" t="str">
        <x:v>middle_high</x:v>
      </x:c>
      <x:c r="C870" s="60" t="n">
        <x:v>0.05</x:v>
      </x:c>
      <x:c r="D870" s="60" t="n">
        <x:v>0.05</x:v>
      </x:c>
      <x:c r="E870" s="62" t="b">
        <x:v>1</x:v>
      </x:c>
      <x:c r="F870" s="62" t="b">
        <x:v>1</x:v>
      </x:c>
      <x:c r="G870" s="85" t="n">
        <x:v>0</x:v>
      </x:c>
      <x:c r="H870" s="85" t="n">
        <x:v>0</x:v>
      </x:c>
      <x:c r="I870" s="85" t="n">
        <x:v>0</x:v>
      </x:c>
      <x:c r="J870" s="85" t="n">
        <x:v>0</x:v>
      </x:c>
      <x:c r="K870" s="85" t="n">
        <x:v>23432750.18719791</x:v>
      </x:c>
      <x:c r="L870" s="28" t="n">
        <x:v>0</x:v>
      </x:c>
      <x:c r="M870" s="28" t="n">
        <x:v>0</x:v>
      </x:c>
      <x:c r="N870" s="28" t="n">
        <x:v>1.862645149230957e-9</x:v>
      </x:c>
      <x:c r="O870" s="28" t="n">
        <x:v>2.9802322387695312e-8</x:v>
      </x:c>
      <x:c r="P870" s="28" t="n">
        <x:v>0</x:v>
      </x:c>
      <x:c r="Q870" s="62" t="b">
        <x:v>1</x:v>
      </x:c>
      <x:c r="R870" s="28" t="n">
        <x:v>0</x:v>
      </x:c>
      <x:c r="S870" s="28" t="str">
        <x:v>7ddb9ce3d3f895a6</x:v>
      </x:c>
    </x:row>
    <x:row r="871" ht="21" customHeight="1">
      <x:c r="A871" s="60" t="n">
        <x:v>0.63</x:v>
      </x:c>
      <x:c r="B871" s="28" t="str">
        <x:v>middle_high</x:v>
      </x:c>
      <x:c r="C871" s="60" t="n">
        <x:v>0.1</x:v>
      </x:c>
      <x:c r="D871" s="60" t="n">
        <x:v>0.1</x:v>
      </x:c>
      <x:c r="E871" s="62" t="b">
        <x:v>1</x:v>
      </x:c>
      <x:c r="F871" s="62" t="b">
        <x:v>1</x:v>
      </x:c>
      <x:c r="G871" s="85" t="n">
        <x:v>0</x:v>
      </x:c>
      <x:c r="H871" s="85" t="n">
        <x:v>0</x:v>
      </x:c>
      <x:c r="I871" s="85" t="n">
        <x:v>0</x:v>
      </x:c>
      <x:c r="J871" s="85" t="n">
        <x:v>0</x:v>
      </x:c>
      <x:c r="K871" s="85" t="n">
        <x:v>9891361.733143108</x:v>
      </x:c>
      <x:c r="L871" s="28" t="n">
        <x:v>0</x:v>
      </x:c>
      <x:c r="M871" s="28" t="n">
        <x:v>0</x:v>
      </x:c>
      <x:c r="N871" s="28" t="n">
        <x:v>3.725290298461914e-9</x:v>
      </x:c>
      <x:c r="O871" s="28" t="n">
        <x:v>5.960464477539063e-8</x:v>
      </x:c>
      <x:c r="P871" s="28" t="n">
        <x:v>0</x:v>
      </x:c>
      <x:c r="Q871" s="62" t="b">
        <x:v>1</x:v>
      </x:c>
      <x:c r="R871" s="28" t="n">
        <x:v>0</x:v>
      </x:c>
      <x:c r="S871" s="28" t="str">
        <x:v>1db6bc02e175beb3</x:v>
      </x:c>
    </x:row>
    <x:row r="872" ht="21" customHeight="1">
      <x:c r="A872" s="60" t="n">
        <x:v>0.63</x:v>
      </x:c>
      <x:c r="B872" s="28" t="str">
        <x:v>middle_high</x:v>
      </x:c>
      <x:c r="C872" s="60" t="n">
        <x:v>0.15</x:v>
      </x:c>
      <x:c r="D872" s="60" t="n">
        <x:v>0.15</x:v>
      </x:c>
      <x:c r="E872" s="62" t="b">
        <x:v>1</x:v>
      </x:c>
      <x:c r="F872" s="62" t="b">
        <x:v>1</x:v>
      </x:c>
      <x:c r="G872" s="85" t="n">
        <x:v>0</x:v>
      </x:c>
      <x:c r="H872" s="85" t="n">
        <x:v>0</x:v>
      </x:c>
      <x:c r="I872" s="85" t="n">
        <x:v>4501055.066789162</x:v>
      </x:c>
      <x:c r="J872" s="85" t="n">
        <x:v>0</x:v>
      </x:c>
      <x:c r="K872" s="85" t="n">
        <x:v>1710944.671637689</x:v>
      </x:c>
      <x:c r="L872" s="28" t="n">
        <x:v>0</x:v>
      </x:c>
      <x:c r="M872" s="28" t="n">
        <x:v>0</x:v>
      </x:c>
      <x:c r="N872" s="28" t="n">
        <x:v>3.725290298461914e-9</x:v>
      </x:c>
      <x:c r="O872" s="28" t="n">
        <x:v>2.9802322387695312e-8</x:v>
      </x:c>
      <x:c r="P872" s="28" t="n">
        <x:v>0</x:v>
      </x:c>
      <x:c r="Q872" s="62" t="b">
        <x:v>1</x:v>
      </x:c>
      <x:c r="R872" s="28" t="n">
        <x:v>0</x:v>
      </x:c>
      <x:c r="S872" s="28" t="str">
        <x:v>58ffc4be450db456</x:v>
      </x:c>
    </x:row>
    <x:row r="873" ht="21" customHeight="1">
      <x:c r="A873" s="60" t="n">
        <x:v>0.63</x:v>
      </x:c>
      <x:c r="B873" s="28" t="str">
        <x:v>middle_high</x:v>
      </x:c>
      <x:c r="C873" s="60" t="n">
        <x:v>0.2</x:v>
      </x:c>
      <x:c r="D873" s="60" t="n">
        <x:v>0.2</x:v>
      </x:c>
      <x:c r="E873" s="62" t="b">
        <x:v>1</x:v>
      </x:c>
      <x:c r="F873" s="62" t="b">
        <x:v>1</x:v>
      </x:c>
      <x:c r="G873" s="85" t="n">
        <x:v>0</x:v>
      </x:c>
      <x:c r="H873" s="85" t="n">
        <x:v>0</x:v>
      </x:c>
      <x:c r="I873" s="85" t="n">
        <x:v>15042066.448435541</x:v>
      </x:c>
      <x:c r="J873" s="85" t="n">
        <x:v>6318282.052720856</x:v>
      </x:c>
      <x:c r="K873" s="85" t="n">
        <x:v>1255021.056071073</x:v>
      </x:c>
      <x:c r="L873" s="28" t="n">
        <x:v>0</x:v>
      </x:c>
      <x:c r="M873" s="28" t="n">
        <x:v>0</x:v>
      </x:c>
      <x:c r="N873" s="28" t="n">
        <x:v>3.725290298461914e-9</x:v>
      </x:c>
      <x:c r="O873" s="28" t="n">
        <x:v>2.9802322387695312e-8</x:v>
      </x:c>
      <x:c r="P873" s="28" t="n">
        <x:v>0</x:v>
      </x:c>
      <x:c r="Q873" s="62" t="b">
        <x:v>1</x:v>
      </x:c>
      <x:c r="R873" s="28" t="n">
        <x:v>0</x:v>
      </x:c>
      <x:c r="S873" s="28" t="str">
        <x:v>efb13188cbdfd068</x:v>
      </x:c>
    </x:row>
    <x:row r="874" ht="21" customHeight="1">
      <x:c r="A874" s="60" t="n">
        <x:v>0.63</x:v>
      </x:c>
      <x:c r="B874" s="28" t="str">
        <x:v>middle_high</x:v>
      </x:c>
      <x:c r="C874" s="60" t="n">
        <x:v>0.25</x:v>
      </x:c>
      <x:c r="D874" s="60" t="n">
        <x:v>0.25</x:v>
      </x:c>
      <x:c r="E874" s="62" t="b">
        <x:v>1</x:v>
      </x:c>
      <x:c r="F874" s="62" t="b">
        <x:v>1</x:v>
      </x:c>
      <x:c r="G874" s="85" t="n">
        <x:v>0</x:v>
      </x:c>
      <x:c r="H874" s="85" t="n">
        <x:v>0</x:v>
      </x:c>
      <x:c r="I874" s="85" t="n">
        <x:v>24094443.174536165</x:v>
      </x:c>
      <x:c r="J874" s="85" t="n">
        <x:v>15397852.565901024</x:v>
      </x:c>
      <x:c r="K874" s="85" t="n">
        <x:v>976204.663581984</x:v>
      </x:c>
      <x:c r="L874" s="28" t="n">
        <x:v>0</x:v>
      </x:c>
      <x:c r="M874" s="28" t="n">
        <x:v>0</x:v>
      </x:c>
      <x:c r="N874" s="28" t="n">
        <x:v>3.725290298461914e-9</x:v>
      </x:c>
      <x:c r="O874" s="28" t="n">
        <x:v>2.9802322387695312e-8</x:v>
      </x:c>
      <x:c r="P874" s="28" t="n">
        <x:v>0</x:v>
      </x:c>
      <x:c r="Q874" s="62" t="b">
        <x:v>1</x:v>
      </x:c>
      <x:c r="R874" s="28" t="n">
        <x:v>0</x:v>
      </x:c>
      <x:c r="S874" s="28" t="str">
        <x:v>34a54eaf3687e871</x:v>
      </x:c>
    </x:row>
    <x:row r="875" ht="21" customHeight="1">
      <x:c r="A875" s="60" t="n">
        <x:v>0.63</x:v>
      </x:c>
      <x:c r="B875" s="28" t="str">
        <x:v>middle_high</x:v>
      </x:c>
      <x:c r="C875" s="60" t="n">
        <x:v>0.3</x:v>
      </x:c>
      <x:c r="D875" s="60" t="n">
        <x:v>0.3</x:v>
      </x:c>
      <x:c r="E875" s="62" t="b">
        <x:v>1</x:v>
      </x:c>
      <x:c r="F875" s="62" t="b">
        <x:v>1</x:v>
      </x:c>
      <x:c r="G875" s="85" t="n">
        <x:v>0</x:v>
      </x:c>
      <x:c r="H875" s="85" t="n">
        <x:v>0</x:v>
      </x:c>
      <x:c r="I875" s="85" t="n">
        <x:v>33330258.543278966</x:v>
      </x:c>
      <x:c r="J875" s="85" t="n">
        <x:v>24477423.079081118</x:v>
      </x:c>
      <x:c r="K875" s="85" t="n">
        <x:v>812903.1714630235</x:v>
      </x:c>
      <x:c r="L875" s="28" t="n">
        <x:v>0</x:v>
      </x:c>
      <x:c r="M875" s="28" t="n">
        <x:v>0</x:v>
      </x:c>
      <x:c r="N875" s="28" t="n">
        <x:v>3.725290298461914e-9</x:v>
      </x:c>
      <x:c r="O875" s="28" t="n">
        <x:v>2.9802322387695312e-8</x:v>
      </x:c>
      <x:c r="P875" s="28" t="n">
        <x:v>0</x:v>
      </x:c>
      <x:c r="Q875" s="62" t="b">
        <x:v>1</x:v>
      </x:c>
      <x:c r="R875" s="28" t="n">
        <x:v>0</x:v>
      </x:c>
      <x:c r="S875" s="28" t="str">
        <x:v>e22119e823706cae</x:v>
      </x:c>
    </x:row>
    <x:row r="876" ht="21" customHeight="1">
      <x:c r="A876" s="60" t="n">
        <x:v>0.63</x:v>
      </x:c>
      <x:c r="B876" s="28" t="str">
        <x:v>middle_high</x:v>
      </x:c>
      <x:c r="C876" s="60" t="n">
        <x:v>0.35</x:v>
      </x:c>
      <x:c r="D876" s="60" t="n">
        <x:v>0.35</x:v>
      </x:c>
      <x:c r="E876" s="62" t="b">
        <x:v>1</x:v>
      </x:c>
      <x:c r="F876" s="62" t="b">
        <x:v>1</x:v>
      </x:c>
      <x:c r="G876" s="85" t="n">
        <x:v>0</x:v>
      </x:c>
      <x:c r="H876" s="85" t="n">
        <x:v>0</x:v>
      </x:c>
      <x:c r="I876" s="85" t="n">
        <x:v>42601421.34938592</x:v>
      </x:c>
      <x:c r="J876" s="85" t="n">
        <x:v>33556993.59226131</x:v>
      </x:c>
      <x:c r="K876" s="85" t="n">
        <x:v>684781.1167068367</x:v>
      </x:c>
      <x:c r="L876" s="28" t="n">
        <x:v>0</x:v>
      </x:c>
      <x:c r="M876" s="28" t="n">
        <x:v>0</x:v>
      </x:c>
      <x:c r="N876" s="28" t="n">
        <x:v>1.862645149230957e-9</x:v>
      </x:c>
      <x:c r="O876" s="28" t="n">
        <x:v>2.9802322387695312e-8</x:v>
      </x:c>
      <x:c r="P876" s="28" t="n">
        <x:v>0</x:v>
      </x:c>
      <x:c r="Q876" s="62" t="b">
        <x:v>1</x:v>
      </x:c>
      <x:c r="R876" s="28" t="n">
        <x:v>0</x:v>
      </x:c>
      <x:c r="S876" s="28" t="str">
        <x:v>e60876fbbe55d992</x:v>
      </x:c>
    </x:row>
    <x:row r="877" ht="21" customHeight="1">
      <x:c r="A877" s="60" t="n">
        <x:v>0.63</x:v>
      </x:c>
      <x:c r="B877" s="28" t="str">
        <x:v>middle_high</x:v>
      </x:c>
      <x:c r="C877" s="60" t="n">
        <x:v>0.4</x:v>
      </x:c>
      <x:c r="D877" s="60" t="n">
        <x:v>0.4</x:v>
      </x:c>
      <x:c r="E877" s="62" t="b">
        <x:v>1</x:v>
      </x:c>
      <x:c r="F877" s="62" t="b">
        <x:v>1</x:v>
      </x:c>
      <x:c r="G877" s="85" t="n">
        <x:v>0</x:v>
      </x:c>
      <x:c r="H877" s="85" t="n">
        <x:v>0</x:v>
      </x:c>
      <x:c r="I877" s="85" t="n">
        <x:v>51941424.34460157</x:v>
      </x:c>
      <x:c r="J877" s="85" t="n">
        <x:v>42636564.10544155</x:v>
      </x:c>
      <x:c r="K877" s="85" t="n">
        <x:v>556659.061950677</x:v>
      </x:c>
      <x:c r="L877" s="28" t="n">
        <x:v>0</x:v>
      </x:c>
      <x:c r="M877" s="28" t="n">
        <x:v>0</x:v>
      </x:c>
      <x:c r="N877" s="28" t="n">
        <x:v>1.862645149230957e-9</x:v>
      </x:c>
      <x:c r="O877" s="28" t="n">
        <x:v>2.9802322387695312e-8</x:v>
      </x:c>
      <x:c r="P877" s="28" t="n">
        <x:v>0</x:v>
      </x:c>
      <x:c r="Q877" s="62" t="b">
        <x:v>1</x:v>
      </x:c>
      <x:c r="R877" s="28" t="n">
        <x:v>0</x:v>
      </x:c>
      <x:c r="S877" s="28" t="str">
        <x:v>15793b6a4f78554d</x:v>
      </x:c>
    </x:row>
    <x:row r="878" ht="21" customHeight="1">
      <x:c r="A878" s="60" t="n">
        <x:v>0.63</x:v>
      </x:c>
      <x:c r="B878" s="28" t="str">
        <x:v>middle_high</x:v>
      </x:c>
      <x:c r="C878" s="60" t="n">
        <x:v>0.45</x:v>
      </x:c>
      <x:c r="D878" s="60" t="n">
        <x:v>0.45</x:v>
      </x:c>
      <x:c r="E878" s="62" t="b">
        <x:v>1</x:v>
      </x:c>
      <x:c r="F878" s="62" t="b">
        <x:v>1</x:v>
      </x:c>
      <x:c r="G878" s="85" t="n">
        <x:v>0</x:v>
      </x:c>
      <x:c r="H878" s="85" t="n">
        <x:v>0</x:v>
      </x:c>
      <x:c r="I878" s="85" t="n">
        <x:v>61707463.63473875</x:v>
      </x:c>
      <x:c r="J878" s="85" t="n">
        <x:v>48906436.40261665</x:v>
      </x:c>
      <x:c r="K878" s="85" t="n">
        <x:v>436129.57764930895</x:v>
      </x:c>
      <x:c r="L878" s="28" t="n">
        <x:v>3</x:v>
      </x:c>
      <x:c r="M878" s="28" t="n">
        <x:v>0</x:v>
      </x:c>
      <x:c r="N878" s="28" t="n">
        <x:v>3.725290298461914e-9</x:v>
      </x:c>
      <x:c r="O878" s="28" t="n">
        <x:v>2.9802322387695312e-8</x:v>
      </x:c>
      <x:c r="P878" s="28" t="n">
        <x:v>0</x:v>
      </x:c>
      <x:c r="Q878" s="62" t="b">
        <x:v>1</x:v>
      </x:c>
      <x:c r="R878" s="28" t="n">
        <x:v>0</x:v>
      </x:c>
      <x:c r="S878" s="28" t="str">
        <x:v>0db9bf96e0abdd4b</x:v>
      </x:c>
    </x:row>
    <x:row r="879" ht="21" customHeight="1">
      <x:c r="A879" s="60" t="n">
        <x:v>0.63</x:v>
      </x:c>
      <x:c r="B879" s="28" t="str">
        <x:v>middle_high</x:v>
      </x:c>
      <x:c r="C879" s="60" t="n">
        <x:v>0.5</x:v>
      </x:c>
      <x:c r="D879" s="60" t="n">
        <x:v>0.5</x:v>
      </x:c>
      <x:c r="E879" s="62" t="b">
        <x:v>1</x:v>
      </x:c>
      <x:c r="F879" s="62" t="b">
        <x:v>1</x:v>
      </x:c>
      <x:c r="G879" s="85" t="n">
        <x:v>0</x:v>
      </x:c>
      <x:c r="H879" s="85" t="n">
        <x:v>0</x:v>
      </x:c>
      <x:c r="I879" s="85" t="n">
        <x:v>71610557.2362158</x:v>
      </x:c>
      <x:c r="J879" s="85" t="n">
        <x:v>54398119.47457857</x:v>
      </x:c>
      <x:c r="K879" s="85" t="n">
        <x:v>397441.98871232825</x:v>
      </x:c>
      <x:c r="L879" s="28" t="n">
        <x:v>9</x:v>
      </x:c>
      <x:c r="M879" s="28" t="n">
        <x:v>0</x:v>
      </x:c>
      <x:c r="N879" s="28" t="n">
        <x:v>3.725290298461914e-9</x:v>
      </x:c>
      <x:c r="O879" s="28" t="n">
        <x:v>1.4901161193847656e-8</x:v>
      </x:c>
      <x:c r="P879" s="28" t="n">
        <x:v>0</x:v>
      </x:c>
      <x:c r="Q879" s="62" t="b">
        <x:v>1</x:v>
      </x:c>
      <x:c r="R879" s="28" t="n">
        <x:v>0</x:v>
      </x:c>
      <x:c r="S879" s="28" t="str">
        <x:v>f1acf39595a97f18</x:v>
      </x:c>
    </x:row>
    <x:row r="880" ht="21" customHeight="1">
      <x:c r="A880" s="60" t="n">
        <x:v>0.63</x:v>
      </x:c>
      <x:c r="B880" s="28" t="str">
        <x:v>middle_high</x:v>
      </x:c>
      <x:c r="C880" s="60" t="n">
        <x:v>0.55</x:v>
      </x:c>
      <x:c r="D880" s="60" t="n">
        <x:v>0.55</x:v>
      </x:c>
      <x:c r="E880" s="62" t="b">
        <x:v>1</x:v>
      </x:c>
      <x:c r="F880" s="62" t="b">
        <x:v>1</x:v>
      </x:c>
      <x:c r="G880" s="85" t="n">
        <x:v>0</x:v>
      </x:c>
      <x:c r="H880" s="85" t="n">
        <x:v>0</x:v>
      </x:c>
      <x:c r="I880" s="85" t="n">
        <x:v>80707246.4785436</x:v>
      </x:c>
      <x:c r="J880" s="85" t="n">
        <x:v>63859185.64830779</x:v>
      </x:c>
      <x:c r="K880" s="85" t="n">
        <x:v>358754.39977534185</x:v>
      </x:c>
      <x:c r="L880" s="28" t="n">
        <x:v>11</x:v>
      </x:c>
      <x:c r="M880" s="28" t="n">
        <x:v>3</x:v>
      </x:c>
      <x:c r="N880" s="28" t="n">
        <x:v>1.862645149230957e-9</x:v>
      </x:c>
      <x:c r="O880" s="28" t="n">
        <x:v>2.9802322387695312e-8</x:v>
      </x:c>
      <x:c r="P880" s="28" t="n">
        <x:v>0</x:v>
      </x:c>
      <x:c r="Q880" s="62" t="b">
        <x:v>1</x:v>
      </x:c>
      <x:c r="R880" s="28" t="n">
        <x:v>0</x:v>
      </x:c>
      <x:c r="S880" s="28" t="str">
        <x:v>ed3620adb2be677d</x:v>
      </x:c>
    </x:row>
    <x:row r="881" ht="21" customHeight="1">
      <x:c r="A881" s="60" t="n">
        <x:v>0.63</x:v>
      </x:c>
      <x:c r="B881" s="28" t="str">
        <x:v>middle_high</x:v>
      </x:c>
      <x:c r="C881" s="60" t="n">
        <x:v>0.6</x:v>
      </x:c>
      <x:c r="D881" s="60" t="n">
        <x:v>0.6</x:v>
      </x:c>
      <x:c r="E881" s="62" t="b">
        <x:v>1</x:v>
      </x:c>
      <x:c r="F881" s="62" t="b">
        <x:v>1</x:v>
      </x:c>
      <x:c r="G881" s="85" t="n">
        <x:v>0</x:v>
      </x:c>
      <x:c r="H881" s="85" t="n">
        <x:v>0</x:v>
      </x:c>
      <x:c r="I881" s="85" t="n">
        <x:v>89702984.8689937</x:v>
      </x:c>
      <x:c r="J881" s="85" t="n">
        <x:v>73535026.01779322</x:v>
      </x:c>
      <x:c r="K881" s="85" t="n">
        <x:v>320066.81083835557</x:v>
      </x:c>
      <x:c r="L881" s="28" t="n">
        <x:v>15</x:v>
      </x:c>
      <x:c r="M881" s="28" t="n">
        <x:v>10</x:v>
      </x:c>
      <x:c r="N881" s="28" t="n">
        <x:v>1.862645149230957e-9</x:v>
      </x:c>
      <x:c r="O881" s="28" t="n">
        <x:v>2.9802322387695312e-8</x:v>
      </x:c>
      <x:c r="P881" s="28" t="n">
        <x:v>0</x:v>
      </x:c>
      <x:c r="Q881" s="62" t="b">
        <x:v>1</x:v>
      </x:c>
      <x:c r="R881" s="28" t="n">
        <x:v>0</x:v>
      </x:c>
      <x:c r="S881" s="28" t="str">
        <x:v>206898eb5f8e7da5</x:v>
      </x:c>
    </x:row>
    <x:row r="882" ht="21" customHeight="1">
      <x:c r="A882" s="60" t="n">
        <x:v>0.63</x:v>
      </x:c>
      <x:c r="B882" s="28" t="str">
        <x:v>middle_high</x:v>
      </x:c>
      <x:c r="C882" s="60" t="n">
        <x:v>0.65</x:v>
      </x:c>
      <x:c r="D882" s="60" t="n">
        <x:v>0.65</x:v>
      </x:c>
      <x:c r="E882" s="62" t="b">
        <x:v>1</x:v>
      </x:c>
      <x:c r="F882" s="62" t="b">
        <x:v>0</x:v>
      </x:c>
      <x:c r="G882" s="85" t="n">
        <x:v>1078478.4003250934</x:v>
      </x:c>
      <x:c r="H882" s="85" t="n">
        <x:v>4172495.375033308</x:v>
      </x:c>
      <x:c r="I882" s="85" t="n">
        <x:v>96035988.20074077</x:v>
      </x:c>
      <x:c r="J882" s="85" t="n">
        <x:v>81000000</x:v>
      </x:c>
      <x:c r="K882" s="85" t="n">
        <x:v>281379.2219013683</x:v>
      </x:c>
      <x:c r="L882" s="28" t="n">
        <x:v>40</x:v>
      </x:c>
      <x:c r="M882" s="28" t="n">
        <x:v>36</x:v>
      </x:c>
      <x:c r="N882" s="28" t="n">
        <x:v>1.862645149230957e-9</x:v>
      </x:c>
      <x:c r="O882" s="28" t="n">
        <x:v>2.9802322387695312e-8</x:v>
      </x:c>
      <x:c r="P882" s="28" t="n">
        <x:v>0</x:v>
      </x:c>
      <x:c r="Q882" s="62" t="b">
        <x:v>1</x:v>
      </x:c>
      <x:c r="R882" s="28" t="n">
        <x:v>0</x:v>
      </x:c>
      <x:c r="S882" s="28" t="str">
        <x:v>4a97ff5d1cfcee37</x:v>
      </x:c>
    </x:row>
    <x:row r="883" ht="21" customHeight="1">
      <x:c r="A883" s="60" t="n">
        <x:v>0.63</x:v>
      </x:c>
      <x:c r="B883" s="28" t="str">
        <x:v>middle_high</x:v>
      </x:c>
      <x:c r="C883" s="60" t="n">
        <x:v>0.7</x:v>
      </x:c>
      <x:c r="D883" s="60" t="n">
        <x:v>0.7</x:v>
      </x:c>
      <x:c r="E883" s="62" t="b">
        <x:v>1</x:v>
      </x:c>
      <x:c r="F883" s="62" t="b">
        <x:v>0</x:v>
      </x:c>
      <x:c r="G883" s="85" t="n">
        <x:v>4914559.450622848</x:v>
      </x:c>
      <x:c r="H883" s="85" t="n">
        <x:v>16622919.379729083</x:v>
      </x:c>
      <x:c r="I883" s="85" t="n">
        <x:v>97824539.5597623</x:v>
      </x:c>
      <x:c r="J883" s="85" t="n">
        <x:v>81000000</x:v>
      </x:c>
      <x:c r="K883" s="85" t="n">
        <x:v>242691.63296438195</x:v>
      </x:c>
      <x:c r="L883" s="28" t="n">
        <x:v>41</x:v>
      </x:c>
      <x:c r="M883" s="28" t="n">
        <x:v>37</x:v>
      </x:c>
      <x:c r="N883" s="28" t="n">
        <x:v>3.725290298461914e-9</x:v>
      </x:c>
      <x:c r="O883" s="28" t="n">
        <x:v>1.4901161193847656e-8</x:v>
      </x:c>
      <x:c r="P883" s="28" t="n">
        <x:v>0</x:v>
      </x:c>
      <x:c r="Q883" s="62" t="b">
        <x:v>1</x:v>
      </x:c>
      <x:c r="R883" s="28" t="n">
        <x:v>0</x:v>
      </x:c>
      <x:c r="S883" s="28" t="str">
        <x:v>3d5222e1fdccbdb7</x:v>
      </x:c>
    </x:row>
    <x:row r="884" ht="21" customHeight="1">
      <x:c r="A884" s="60" t="n">
        <x:v>0.63</x:v>
      </x:c>
      <x:c r="B884" s="28" t="str">
        <x:v>middle_high</x:v>
      </x:c>
      <x:c r="C884" s="60" t="n">
        <x:v>0.75</x:v>
      </x:c>
      <x:c r="D884" s="60" t="n">
        <x:v>0.75</x:v>
      </x:c>
      <x:c r="E884" s="62" t="b">
        <x:v>1</x:v>
      </x:c>
      <x:c r="F884" s="62" t="b">
        <x:v>0</x:v>
      </x:c>
      <x:c r="G884" s="85" t="n">
        <x:v>9823173.463721834</x:v>
      </x:c>
      <x:c r="H884" s="85" t="n">
        <x:v>30633764.533816</x:v>
      </x:c>
      <x:c r="I884" s="85" t="n">
        <x:v>98164992.25023456</x:v>
      </x:c>
      <x:c r="J884" s="85" t="n">
        <x:v>81000000</x:v>
      </x:c>
      <x:c r="K884" s="85" t="n">
        <x:v>204004.04402739654</x:v>
      </x:c>
      <x:c r="L884" s="28" t="n">
        <x:v>41</x:v>
      </x:c>
      <x:c r="M884" s="28" t="n">
        <x:v>38</x:v>
      </x:c>
      <x:c r="N884" s="28" t="n">
        <x:v>1.862645149230957e-9</x:v>
      </x:c>
      <x:c r="O884" s="28" t="n">
        <x:v>2.9802322387695312e-8</x:v>
      </x:c>
      <x:c r="P884" s="28" t="n">
        <x:v>0</x:v>
      </x:c>
      <x:c r="Q884" s="62" t="b">
        <x:v>1</x:v>
      </x:c>
      <x:c r="R884" s="28" t="n">
        <x:v>0</x:v>
      </x:c>
      <x:c r="S884" s="28" t="str">
        <x:v>ba1dbb36787e34be</x:v>
      </x:c>
    </x:row>
    <x:row r="885" ht="21" customHeight="1">
      <x:c r="A885" s="60" t="n">
        <x:v>0.63</x:v>
      </x:c>
      <x:c r="B885" s="28" t="str">
        <x:v>middle_high</x:v>
      </x:c>
      <x:c r="C885" s="60" t="n">
        <x:v>0.8</x:v>
      </x:c>
      <x:c r="D885" s="60" t="n">
        <x:v>0.8</x:v>
      </x:c>
      <x:c r="E885" s="62" t="b">
        <x:v>1</x:v>
      </x:c>
      <x:c r="F885" s="62" t="b">
        <x:v>0</x:v>
      </x:c>
      <x:c r="G885" s="85" t="n">
        <x:v>13980490.600872273</x:v>
      </x:c>
      <x:c r="H885" s="85" t="n">
        <x:v>42456392.00843654</x:v>
      </x:c>
      <x:c r="I885" s="85" t="n">
        <x:v>99753711.0129979</x:v>
      </x:c>
      <x:c r="J885" s="85" t="n">
        <x:v>81000000</x:v>
      </x:c>
      <x:c r="K885" s="85" t="n">
        <x:v>165316.4550904074</x:v>
      </x:c>
      <x:c r="L885" s="28" t="n">
        <x:v>42</x:v>
      </x:c>
      <x:c r="M885" s="28" t="n">
        <x:v>38</x:v>
      </x:c>
      <x:c r="N885" s="28" t="n">
        <x:v>1.862645149230957e-9</x:v>
      </x:c>
      <x:c r="O885" s="28" t="n">
        <x:v>1.4901161193847656e-8</x:v>
      </x:c>
      <x:c r="P885" s="28" t="n">
        <x:v>0</x:v>
      </x:c>
      <x:c r="Q885" s="62" t="b">
        <x:v>1</x:v>
      </x:c>
      <x:c r="R885" s="28" t="n">
        <x:v>0</x:v>
      </x:c>
      <x:c r="S885" s="28" t="str">
        <x:v>5382a6ccb18f152e</x:v>
      </x:c>
    </x:row>
    <x:row r="886" ht="21" customHeight="1">
      <x:c r="A886" s="60" t="n">
        <x:v>0.63</x:v>
      </x:c>
      <x:c r="B886" s="28" t="str">
        <x:v>middle_high</x:v>
      </x:c>
      <x:c r="C886" s="60" t="n">
        <x:v>0.85</x:v>
      </x:c>
      <x:c r="D886" s="60" t="n">
        <x:v>0.85</x:v>
      </x:c>
      <x:c r="E886" s="62" t="b">
        <x:v>1</x:v>
      </x:c>
      <x:c r="F886" s="62" t="b">
        <x:v>0</x:v>
      </x:c>
      <x:c r="G886" s="85" t="n">
        <x:v>19697602.1477118</x:v>
      </x:c>
      <x:c r="H886" s="85" t="n">
        <x:v>55560214.678127885</x:v>
      </x:c>
      <x:c r="I886" s="85" t="n">
        <x:v>99997091.68298835</x:v>
      </x:c>
      <x:c r="J886" s="85" t="n">
        <x:v>81000000</x:v>
      </x:c>
      <x:c r="K886" s="85" t="n">
        <x:v>126628.8661534248</x:v>
      </x:c>
      <x:c r="L886" s="28" t="n">
        <x:v>42</x:v>
      </x:c>
      <x:c r="M886" s="28" t="n">
        <x:v>39</x:v>
      </x:c>
      <x:c r="N886" s="28" t="n">
        <x:v>1.862645149230957e-9</x:v>
      </x:c>
      <x:c r="O886" s="28" t="n">
        <x:v>2.9802322387695312e-8</x:v>
      </x:c>
      <x:c r="P886" s="28" t="n">
        <x:v>0</x:v>
      </x:c>
      <x:c r="Q886" s="62" t="b">
        <x:v>1</x:v>
      </x:c>
      <x:c r="R886" s="28" t="n">
        <x:v>0</x:v>
      </x:c>
      <x:c r="S886" s="28" t="str">
        <x:v>5f36177ca275564e</x:v>
      </x:c>
    </x:row>
    <x:row r="887" ht="21" customHeight="1">
      <x:c r="A887" s="60" t="n">
        <x:v>0.63</x:v>
      </x:c>
      <x:c r="B887" s="28" t="str">
        <x:v>middle_high</x:v>
      </x:c>
      <x:c r="C887" s="60" t="n">
        <x:v>0.9</x:v>
      </x:c>
      <x:c r="D887" s="60" t="n">
        <x:v>0.9</x:v>
      </x:c>
      <x:c r="E887" s="62" t="b">
        <x:v>1</x:v>
      </x:c>
      <x:c r="F887" s="62" t="b">
        <x:v>0</x:v>
      </x:c>
      <x:c r="G887" s="85" t="n">
        <x:v>27503594.400133677</x:v>
      </x:c>
      <x:c r="H887" s="85" t="n">
        <x:v>63422875.989112765</x:v>
      </x:c>
      <x:c r="I887" s="85" t="n">
        <x:v>101615192.20989516</x:v>
      </x:c>
      <x:c r="J887" s="85" t="n">
        <x:v>81000000</x:v>
      </x:c>
      <x:c r="K887" s="85" t="n">
        <x:v>100580.88624657204</x:v>
      </x:c>
      <x:c r="L887" s="28" t="n">
        <x:v>43</x:v>
      </x:c>
      <x:c r="M887" s="28" t="n">
        <x:v>40</x:v>
      </x:c>
      <x:c r="N887" s="28" t="n">
        <x:v>1.862645149230957e-9</x:v>
      </x:c>
      <x:c r="O887" s="28" t="n">
        <x:v>2.9802322387695312e-8</x:v>
      </x:c>
      <x:c r="P887" s="28" t="n">
        <x:v>0</x:v>
      </x:c>
      <x:c r="Q887" s="62" t="b">
        <x:v>1</x:v>
      </x:c>
      <x:c r="R887" s="28" t="n">
        <x:v>0</x:v>
      </x:c>
      <x:c r="S887" s="28" t="str">
        <x:v>22bd92a4b347e15a</x:v>
      </x:c>
    </x:row>
    <x:row r="888" ht="21" customHeight="1">
      <x:c r="A888" s="60" t="n">
        <x:v>0.63</x:v>
      </x:c>
      <x:c r="B888" s="28" t="str">
        <x:v>middle_high</x:v>
      </x:c>
      <x:c r="C888" s="60" t="n">
        <x:v>0.95</x:v>
      </x:c>
      <x:c r="D888" s="60" t="n">
        <x:v>0.9361238209331334</x:v>
      </x:c>
      <x:c r="E888" s="62" t="b">
        <x:v>0</x:v>
      </x:c>
      <x:c r="F888" s="62" t="b">
        <x:v>0</x:v>
      </x:c>
      <x:c r="G888" s="85" t="n">
        <x:v>31406359.90604919</x:v>
      </x:c>
      <x:c r="H888" s="85" t="n">
        <x:v>70702760.46793365</x:v>
      </x:c>
      <x:c r="I888" s="85" t="n">
        <x:v>101774568.08228661</x:v>
      </x:c>
      <x:c r="J888" s="85" t="n">
        <x:v>81000000</x:v>
      </x:c>
      <x:c r="K888" s="85" t="n">
        <x:v>87684.8365479389</x:v>
      </x:c>
      <x:c r="L888" s="28" t="n">
        <x:v>43</x:v>
      </x:c>
      <x:c r="M888" s="28" t="n">
        <x:v>40</x:v>
      </x:c>
      <x:c r="N888" s="28" t="n">
        <x:v>1.862645149230957e-9</x:v>
      </x:c>
      <x:c r="O888" s="28" t="n">
        <x:v>1.4901161193847656e-8</x:v>
      </x:c>
      <x:c r="P888" s="28" t="n">
        <x:v>0</x:v>
      </x:c>
      <x:c r="Q888" s="62" t="b">
        <x:v>1</x:v>
      </x:c>
      <x:c r="R888" s="28" t="n">
        <x:v>4162853.720059991</x:v>
      </x:c>
      <x:c r="S888" s="28" t="str">
        <x:v>b818a5beec20f458</x:v>
      </x:c>
    </x:row>
    <x:row r="889" ht="21" customHeight="1">
      <x:c r="A889" s="60" t="n">
        <x:v>0.63</x:v>
      </x:c>
      <x:c r="B889" s="28" t="str">
        <x:v>middle_high</x:v>
      </x:c>
      <x:c r="C889" s="60" t="n">
        <x:v>1</x:v>
      </x:c>
      <x:c r="D889" s="60" t="n">
        <x:v>0.9498342654879072</x:v>
      </x:c>
      <x:c r="E889" s="62" t="b">
        <x:v>0</x:v>
      </x:c>
      <x:c r="F889" s="62" t="b">
        <x:v>0</x:v>
      </x:c>
      <x:c r="G889" s="85" t="n">
        <x:v>34406697.36675712</x:v>
      </x:c>
      <x:c r="H889" s="85" t="n">
        <x:v>74335834.42167339</x:v>
      </x:c>
      <x:c r="I889" s="85" t="n">
        <x:v>101933943.95467804</x:v>
      </x:c>
      <x:c r="J889" s="85" t="n">
        <x:v>81000000</x:v>
      </x:c>
      <x:c r="K889" s="85" t="n">
        <x:v>74788.78684931787</x:v>
      </x:c>
      <x:c r="L889" s="28" t="n">
        <x:v>43</x:v>
      </x:c>
      <x:c r="M889" s="28" t="n">
        <x:v>40</x:v>
      </x:c>
      <x:c r="N889" s="28" t="n">
        <x:v>1.862645149230957e-9</x:v>
      </x:c>
      <x:c r="O889" s="28" t="n">
        <x:v>1.4901161193847656e-8</x:v>
      </x:c>
      <x:c r="P889" s="28" t="n">
        <x:v>0</x:v>
      </x:c>
      <x:c r="Q889" s="62" t="b">
        <x:v>1</x:v>
      </x:c>
      <x:c r="R889" s="28" t="n">
        <x:v>15049720.35362786</x:v>
      </x:c>
      <x:c r="S889" s="28" t="str">
        <x:v>fb97fc90026f2c31</x:v>
      </x:c>
    </x:row>
    <x:row r="890" ht="21" customHeight="1">
      <x:c r="A890" s="60" t="n">
        <x:v>0.63</x:v>
      </x:c>
      <x:c r="B890" s="28" t="str">
        <x:v>back_flat</x:v>
      </x:c>
      <x:c r="C890" s="60" t="n">
        <x:v>0</x:v>
      </x:c>
      <x:c r="D890" s="60" t="n">
        <x:v>0</x:v>
      </x:c>
      <x:c r="E890" s="62" t="b">
        <x:v>1</x:v>
      </x:c>
      <x:c r="F890" s="62" t="b">
        <x:v>1</x:v>
      </x:c>
      <x:c r="G890" s="85" t="n">
        <x:v>0</x:v>
      </x:c>
      <x:c r="H890" s="85" t="n">
        <x:v>0</x:v>
      </x:c>
      <x:c r="I890" s="85" t="n">
        <x:v>0</x:v>
      </x:c>
      <x:c r="J890" s="85" t="n">
        <x:v>0</x:v>
      </x:c>
      <x:c r="K890" s="85" t="n">
        <x:v>31995646.710273966</x:v>
      </x:c>
      <x:c r="L890" s="28" t="n">
        <x:v>0</x:v>
      </x:c>
      <x:c r="M890" s="28" t="n">
        <x:v>0</x:v>
      </x:c>
      <x:c r="N890" s="28" t="n">
        <x:v>3.725290298461914e-9</x:v>
      </x:c>
      <x:c r="O890" s="28" t="n">
        <x:v>0</x:v>
      </x:c>
      <x:c r="P890" s="28" t="n">
        <x:v>0</x:v>
      </x:c>
      <x:c r="Q890" s="62" t="b">
        <x:v>1</x:v>
      </x:c>
      <x:c r="R890" s="28" t="n">
        <x:v>0</x:v>
      </x:c>
      <x:c r="S890" s="28" t="str">
        <x:v>58219c1124d3eef7</x:v>
      </x:c>
    </x:row>
    <x:row r="891" ht="21" customHeight="1">
      <x:c r="A891" s="60" t="n">
        <x:v>0.63</x:v>
      </x:c>
      <x:c r="B891" s="28" t="str">
        <x:v>back_flat</x:v>
      </x:c>
      <x:c r="C891" s="60" t="n">
        <x:v>0.05</x:v>
      </x:c>
      <x:c r="D891" s="60" t="n">
        <x:v>0.05</x:v>
      </x:c>
      <x:c r="E891" s="62" t="b">
        <x:v>1</x:v>
      </x:c>
      <x:c r="F891" s="62" t="b">
        <x:v>1</x:v>
      </x:c>
      <x:c r="G891" s="85" t="n">
        <x:v>0</x:v>
      </x:c>
      <x:c r="H891" s="85" t="n">
        <x:v>0</x:v>
      </x:c>
      <x:c r="I891" s="85" t="n">
        <x:v>0</x:v>
      </x:c>
      <x:c r="J891" s="85" t="n">
        <x:v>0</x:v>
      </x:c>
      <x:c r="K891" s="85" t="n">
        <x:v>20254610.682455968</x:v>
      </x:c>
      <x:c r="L891" s="28" t="n">
        <x:v>0</x:v>
      </x:c>
      <x:c r="M891" s="28" t="n">
        <x:v>0</x:v>
      </x:c>
      <x:c r="N891" s="28" t="n">
        <x:v>1.862645149230957e-9</x:v>
      </x:c>
      <x:c r="O891" s="28" t="n">
        <x:v>5.960464477539063e-8</x:v>
      </x:c>
      <x:c r="P891" s="28" t="n">
        <x:v>0</x:v>
      </x:c>
      <x:c r="Q891" s="62" t="b">
        <x:v>1</x:v>
      </x:c>
      <x:c r="R891" s="28" t="n">
        <x:v>0</x:v>
      </x:c>
      <x:c r="S891" s="28" t="str">
        <x:v>a2254046f821b99f</x:v>
      </x:c>
    </x:row>
    <x:row r="892" ht="21" customHeight="1">
      <x:c r="A892" s="60" t="n">
        <x:v>0.63</x:v>
      </x:c>
      <x:c r="B892" s="28" t="str">
        <x:v>back_flat</x:v>
      </x:c>
      <x:c r="C892" s="60" t="n">
        <x:v>0.1</x:v>
      </x:c>
      <x:c r="D892" s="60" t="n">
        <x:v>0.1</x:v>
      </x:c>
      <x:c r="E892" s="62" t="b">
        <x:v>1</x:v>
      </x:c>
      <x:c r="F892" s="62" t="b">
        <x:v>1</x:v>
      </x:c>
      <x:c r="G892" s="85" t="n">
        <x:v>0</x:v>
      </x:c>
      <x:c r="H892" s="85" t="n">
        <x:v>0</x:v>
      </x:c>
      <x:c r="I892" s="85" t="n">
        <x:v>0</x:v>
      </x:c>
      <x:c r="J892" s="85" t="n">
        <x:v>0</x:v>
      </x:c>
      <x:c r="K892" s="85" t="n">
        <x:v>8396343.116873618</x:v>
      </x:c>
      <x:c r="L892" s="28" t="n">
        <x:v>0</x:v>
      </x:c>
      <x:c r="M892" s="28" t="n">
        <x:v>0</x:v>
      </x:c>
      <x:c r="N892" s="28" t="n">
        <x:v>1.862645149230957e-9</x:v>
      </x:c>
      <x:c r="O892" s="28" t="n">
        <x:v>5.960464477539063e-8</x:v>
      </x:c>
      <x:c r="P892" s="28" t="n">
        <x:v>0</x:v>
      </x:c>
      <x:c r="Q892" s="62" t="b">
        <x:v>1</x:v>
      </x:c>
      <x:c r="R892" s="28" t="n">
        <x:v>0</x:v>
      </x:c>
      <x:c r="S892" s="28" t="str">
        <x:v>e2c7852f048e5921</x:v>
      </x:c>
    </x:row>
    <x:row r="893" ht="21" customHeight="1">
      <x:c r="A893" s="60" t="n">
        <x:v>0.63</x:v>
      </x:c>
      <x:c r="B893" s="28" t="str">
        <x:v>back_flat</x:v>
      </x:c>
      <x:c r="C893" s="60" t="n">
        <x:v>0.15</x:v>
      </x:c>
      <x:c r="D893" s="60" t="n">
        <x:v>0.15</x:v>
      </x:c>
      <x:c r="E893" s="62" t="b">
        <x:v>1</x:v>
      </x:c>
      <x:c r="F893" s="62" t="b">
        <x:v>1</x:v>
      </x:c>
      <x:c r="G893" s="85" t="n">
        <x:v>0</x:v>
      </x:c>
      <x:c r="H893" s="85" t="n">
        <x:v>0</x:v>
      </x:c>
      <x:c r="I893" s="85" t="n">
        <x:v>3527370.606984137</x:v>
      </x:c>
      <x:c r="J893" s="85" t="n">
        <x:v>0</x:v>
      </x:c>
      <x:c r="K893" s="85" t="n">
        <x:v>979875.1831498978</x:v>
      </x:c>
      <x:c r="L893" s="28" t="n">
        <x:v>0</x:v>
      </x:c>
      <x:c r="M893" s="28" t="n">
        <x:v>0</x:v>
      </x:c>
      <x:c r="N893" s="28" t="n">
        <x:v>3.725290298461914e-9</x:v>
      </x:c>
      <x:c r="O893" s="28" t="n">
        <x:v>5.960464477539063e-8</x:v>
      </x:c>
      <x:c r="P893" s="28" t="n">
        <x:v>0</x:v>
      </x:c>
      <x:c r="Q893" s="62" t="b">
        <x:v>1</x:v>
      </x:c>
      <x:c r="R893" s="28" t="n">
        <x:v>0</x:v>
      </x:c>
      <x:c r="S893" s="28" t="str">
        <x:v>956558f43768533d</x:v>
      </x:c>
    </x:row>
    <x:row r="894" ht="21" customHeight="1">
      <x:c r="A894" s="60" t="n">
        <x:v>0.63</x:v>
      </x:c>
      <x:c r="B894" s="28" t="str">
        <x:v>back_flat</x:v>
      </x:c>
      <x:c r="C894" s="60" t="n">
        <x:v>0.2</x:v>
      </x:c>
      <x:c r="D894" s="60" t="n">
        <x:v>0.2</x:v>
      </x:c>
      <x:c r="E894" s="62" t="b">
        <x:v>1</x:v>
      </x:c>
      <x:c r="F894" s="62" t="b">
        <x:v>1</x:v>
      </x:c>
      <x:c r="G894" s="85" t="n">
        <x:v>0</x:v>
      </x:c>
      <x:c r="H894" s="85" t="n">
        <x:v>0</x:v>
      </x:c>
      <x:c r="I894" s="85" t="n">
        <x:v>11571141.591760194</x:v>
      </x:c>
      <x:c r="J894" s="85" t="n">
        <x:v>6341080.834812429</x:v>
      </x:c>
      <x:c r="K894" s="85" t="n">
        <x:v>737898.7368939179</x:v>
      </x:c>
      <x:c r="L894" s="28" t="n">
        <x:v>0</x:v>
      </x:c>
      <x:c r="M894" s="28" t="n">
        <x:v>0</x:v>
      </x:c>
      <x:c r="N894" s="28" t="n">
        <x:v>1.862645149230957e-9</x:v>
      </x:c>
      <x:c r="O894" s="28" t="n">
        <x:v>2.9802322387695312e-8</x:v>
      </x:c>
      <x:c r="P894" s="28" t="n">
        <x:v>0</x:v>
      </x:c>
      <x:c r="Q894" s="62" t="b">
        <x:v>1</x:v>
      </x:c>
      <x:c r="R894" s="28" t="n">
        <x:v>0</x:v>
      </x:c>
      <x:c r="S894" s="28" t="str">
        <x:v>9b51efdb968aa5fa</x:v>
      </x:c>
    </x:row>
    <x:row r="895" ht="21" customHeight="1">
      <x:c r="A895" s="60" t="n">
        <x:v>0.63</x:v>
      </x:c>
      <x:c r="B895" s="28" t="str">
        <x:v>back_flat</x:v>
      </x:c>
      <x:c r="C895" s="60" t="n">
        <x:v>0.25</x:v>
      </x:c>
      <x:c r="D895" s="60" t="n">
        <x:v>0.25</x:v>
      </x:c>
      <x:c r="E895" s="62" t="b">
        <x:v>1</x:v>
      </x:c>
      <x:c r="F895" s="62" t="b">
        <x:v>1</x:v>
      </x:c>
      <x:c r="G895" s="85" t="n">
        <x:v>0</x:v>
      </x:c>
      <x:c r="H895" s="85" t="n">
        <x:v>0</x:v>
      </x:c>
      <x:c r="I895" s="85" t="n">
        <x:v>17822516.665585093</x:v>
      </x:c>
      <x:c r="J895" s="85" t="n">
        <x:v>15426351.043515662</x:v>
      </x:c>
      <x:c r="K895" s="85" t="n">
        <x:v>587684.11353932</x:v>
      </x:c>
      <x:c r="L895" s="28" t="n">
        <x:v>0</x:v>
      </x:c>
      <x:c r="M895" s="28" t="n">
        <x:v>0</x:v>
      </x:c>
      <x:c r="N895" s="28" t="n">
        <x:v>3.725290298461914e-9</x:v>
      </x:c>
      <x:c r="O895" s="28" t="n">
        <x:v>2.9802322387695312e-8</x:v>
      </x:c>
      <x:c r="P895" s="28" t="n">
        <x:v>0</x:v>
      </x:c>
      <x:c r="Q895" s="62" t="b">
        <x:v>1</x:v>
      </x:c>
      <x:c r="R895" s="28" t="n">
        <x:v>0</x:v>
      </x:c>
      <x:c r="S895" s="28" t="str">
        <x:v>3ce058737f191f43</x:v>
      </x:c>
    </x:row>
    <x:row r="896" ht="21" customHeight="1">
      <x:c r="A896" s="60" t="n">
        <x:v>0.63</x:v>
      </x:c>
      <x:c r="B896" s="28" t="str">
        <x:v>back_flat</x:v>
      </x:c>
      <x:c r="C896" s="60" t="n">
        <x:v>0.3</x:v>
      </x:c>
      <x:c r="D896" s="60" t="n">
        <x:v>0.3</x:v>
      </x:c>
      <x:c r="E896" s="62" t="b">
        <x:v>1</x:v>
      </x:c>
      <x:c r="F896" s="62" t="b">
        <x:v>1</x:v>
      </x:c>
      <x:c r="G896" s="85" t="n">
        <x:v>0</x:v>
      </x:c>
      <x:c r="H896" s="85" t="n">
        <x:v>0</x:v>
      </x:c>
      <x:c r="I896" s="85" t="n">
        <x:v>24097526.5670582</x:v>
      </x:c>
      <x:c r="J896" s="85" t="n">
        <x:v>24511621.252218686</x:v>
      </x:c>
      <x:c r="K896" s="85" t="n">
        <x:v>474621.03606301703</x:v>
      </x:c>
      <x:c r="L896" s="28" t="n">
        <x:v>0</x:v>
      </x:c>
      <x:c r="M896" s="28" t="n">
        <x:v>0</x:v>
      </x:c>
      <x:c r="N896" s="28" t="n">
        <x:v>1.862645149230957e-9</x:v>
      </x:c>
      <x:c r="O896" s="28" t="n">
        <x:v>2.9802322387695312e-8</x:v>
      </x:c>
      <x:c r="P896" s="28" t="n">
        <x:v>0</x:v>
      </x:c>
      <x:c r="Q896" s="62" t="b">
        <x:v>1</x:v>
      </x:c>
      <x:c r="R896" s="28" t="n">
        <x:v>0</x:v>
      </x:c>
      <x:c r="S896" s="28" t="str">
        <x:v>9a68bc2256bacb39</x:v>
      </x:c>
    </x:row>
    <x:row r="897" ht="21" customHeight="1">
      <x:c r="A897" s="60" t="n">
        <x:v>0.63</x:v>
      </x:c>
      <x:c r="B897" s="28" t="str">
        <x:v>back_flat</x:v>
      </x:c>
      <x:c r="C897" s="60" t="n">
        <x:v>0.35</x:v>
      </x:c>
      <x:c r="D897" s="60" t="n">
        <x:v>0.35</x:v>
      </x:c>
      <x:c r="E897" s="62" t="b">
        <x:v>1</x:v>
      </x:c>
      <x:c r="F897" s="62" t="b">
        <x:v>1</x:v>
      </x:c>
      <x:c r="G897" s="85" t="n">
        <x:v>0</x:v>
      </x:c>
      <x:c r="H897" s="85" t="n">
        <x:v>0</x:v>
      </x:c>
      <x:c r="I897" s="85" t="n">
        <x:v>30455261.633465502</x:v>
      </x:c>
      <x:c r="J897" s="85" t="n">
        <x:v>33596891.460921764</x:v>
      </x:c>
      <x:c r="K897" s="85" t="n">
        <x:v>411768.62540685333</x:v>
      </x:c>
      <x:c r="L897" s="28" t="n">
        <x:v>0</x:v>
      </x:c>
      <x:c r="M897" s="28" t="n">
        <x:v>0</x:v>
      </x:c>
      <x:c r="N897" s="28" t="n">
        <x:v>3.725290298461914e-9</x:v>
      </x:c>
      <x:c r="O897" s="28" t="n">
        <x:v>2.9802322387695312e-8</x:v>
      </x:c>
      <x:c r="P897" s="28" t="n">
        <x:v>0</x:v>
      </x:c>
      <x:c r="Q897" s="62" t="b">
        <x:v>1</x:v>
      </x:c>
      <x:c r="R897" s="28" t="n">
        <x:v>0</x:v>
      </x:c>
      <x:c r="S897" s="28" t="str">
        <x:v>754eaed1395c7042</x:v>
      </x:c>
    </x:row>
    <x:row r="898" ht="21" customHeight="1">
      <x:c r="A898" s="60" t="n">
        <x:v>0.63</x:v>
      </x:c>
      <x:c r="B898" s="28" t="str">
        <x:v>back_flat</x:v>
      </x:c>
      <x:c r="C898" s="60" t="n">
        <x:v>0.4</x:v>
      </x:c>
      <x:c r="D898" s="60" t="n">
        <x:v>0.4</x:v>
      </x:c>
      <x:c r="E898" s="62" t="b">
        <x:v>1</x:v>
      </x:c>
      <x:c r="F898" s="62" t="b">
        <x:v>1</x:v>
      </x:c>
      <x:c r="G898" s="85" t="n">
        <x:v>0</x:v>
      </x:c>
      <x:c r="H898" s="85" t="n">
        <x:v>0</x:v>
      </x:c>
      <x:c r="I898" s="85" t="n">
        <x:v>36790253.502532065</x:v>
      </x:c>
      <x:c r="J898" s="85" t="n">
        <x:v>42682161.66962495</x:v>
      </x:c>
      <x:c r="K898" s="85" t="n">
        <x:v>348916.2147506897</x:v>
      </x:c>
      <x:c r="L898" s="28" t="n">
        <x:v>0</x:v>
      </x:c>
      <x:c r="M898" s="28" t="n">
        <x:v>0</x:v>
      </x:c>
      <x:c r="N898" s="28" t="n">
        <x:v>1.862645149230957e-9</x:v>
      </x:c>
      <x:c r="O898" s="28" t="n">
        <x:v>2.9802322387695312e-8</x:v>
      </x:c>
      <x:c r="P898" s="28" t="n">
        <x:v>0</x:v>
      </x:c>
      <x:c r="Q898" s="62" t="b">
        <x:v>1</x:v>
      </x:c>
      <x:c r="R898" s="28" t="n">
        <x:v>0</x:v>
      </x:c>
      <x:c r="S898" s="28" t="str">
        <x:v>c9d54146aa73253a</x:v>
      </x:c>
    </x:row>
    <x:row r="899" ht="21" customHeight="1">
      <x:c r="A899" s="60" t="n">
        <x:v>0.63</x:v>
      </x:c>
      <x:c r="B899" s="28" t="str">
        <x:v>back_flat</x:v>
      </x:c>
      <x:c r="C899" s="60" t="n">
        <x:v>0.45</x:v>
      </x:c>
      <x:c r="D899" s="60" t="n">
        <x:v>0.45</x:v>
      </x:c>
      <x:c r="E899" s="62" t="b">
        <x:v>1</x:v>
      </x:c>
      <x:c r="F899" s="62" t="b">
        <x:v>1</x:v>
      </x:c>
      <x:c r="G899" s="85" t="n">
        <x:v>0</x:v>
      </x:c>
      <x:c r="H899" s="85" t="n">
        <x:v>0</x:v>
      </x:c>
      <x:c r="I899" s="85" t="n">
        <x:v>43755294.97938046</x:v>
      </x:c>
      <x:c r="J899" s="85" t="n">
        <x:v>50433964.56568055</x:v>
      </x:c>
      <x:c r="K899" s="85" t="n">
        <x:v>286063.8040945153</x:v>
      </x:c>
      <x:c r="L899" s="28" t="n">
        <x:v>3</x:v>
      </x:c>
      <x:c r="M899" s="28" t="n">
        <x:v>0</x:v>
      </x:c>
      <x:c r="N899" s="28" t="n">
        <x:v>3.725290298461914e-9</x:v>
      </x:c>
      <x:c r="O899" s="28" t="n">
        <x:v>1.4901161193847656e-8</x:v>
      </x:c>
      <x:c r="P899" s="28" t="n">
        <x:v>0</x:v>
      </x:c>
      <x:c r="Q899" s="62" t="b">
        <x:v>1</x:v>
      </x:c>
      <x:c r="R899" s="28" t="n">
        <x:v>0</x:v>
      </x:c>
      <x:c r="S899" s="28" t="str">
        <x:v>cc6469c0ffa3a72c</x:v>
      </x:c>
    </x:row>
    <x:row r="900" ht="21" customHeight="1">
      <x:c r="A900" s="60" t="n">
        <x:v>0.63</x:v>
      </x:c>
      <x:c r="B900" s="28" t="str">
        <x:v>back_flat</x:v>
      </x:c>
      <x:c r="C900" s="60" t="n">
        <x:v>0.5</x:v>
      </x:c>
      <x:c r="D900" s="60" t="n">
        <x:v>0.5</x:v>
      </x:c>
      <x:c r="E900" s="62" t="b">
        <x:v>1</x:v>
      </x:c>
      <x:c r="F900" s="62" t="b">
        <x:v>1</x:v>
      </x:c>
      <x:c r="G900" s="85" t="n">
        <x:v>0</x:v>
      </x:c>
      <x:c r="H900" s="85" t="n">
        <x:v>0</x:v>
      </x:c>
      <x:c r="I900" s="85" t="n">
        <x:v>50902235.54928321</x:v>
      </x:c>
      <x:c r="J900" s="85" t="n">
        <x:v>57652198.425396</x:v>
      </x:c>
      <x:c r="K900" s="85" t="n">
        <x:v>230911.89804109794</x:v>
      </x:c>
      <x:c r="L900" s="28" t="n">
        <x:v>7</x:v>
      </x:c>
      <x:c r="M900" s="28" t="n">
        <x:v>0</x:v>
      </x:c>
      <x:c r="N900" s="28" t="n">
        <x:v>3.725290298461914e-9</x:v>
      </x:c>
      <x:c r="O900" s="28" t="n">
        <x:v>2.9802322387695312e-8</x:v>
      </x:c>
      <x:c r="P900" s="28" t="n">
        <x:v>0</x:v>
      </x:c>
      <x:c r="Q900" s="62" t="b">
        <x:v>1</x:v>
      </x:c>
      <x:c r="R900" s="28" t="n">
        <x:v>0</x:v>
      </x:c>
      <x:c r="S900" s="28" t="str">
        <x:v>f9aed43fe5e893dd</x:v>
      </x:c>
    </x:row>
    <x:row r="901" ht="21" customHeight="1">
      <x:c r="A901" s="60" t="n">
        <x:v>0.63</x:v>
      </x:c>
      <x:c r="B901" s="28" t="str">
        <x:v>back_flat</x:v>
      </x:c>
      <x:c r="C901" s="60" t="n">
        <x:v>0.55</x:v>
      </x:c>
      <x:c r="D901" s="60" t="n">
        <x:v>0.55</x:v>
      </x:c>
      <x:c r="E901" s="62" t="b">
        <x:v>1</x:v>
      </x:c>
      <x:c r="F901" s="62" t="b">
        <x:v>1</x:v>
      </x:c>
      <x:c r="G901" s="85" t="n">
        <x:v>0</x:v>
      </x:c>
      <x:c r="H901" s="85" t="n">
        <x:v>0</x:v>
      </x:c>
      <x:c r="I901" s="85" t="n">
        <x:v>57675400.466170624</x:v>
      </x:c>
      <x:c r="J901" s="85" t="n">
        <x:v>65548872.12954461</x:v>
      </x:c>
      <x:c r="K901" s="85" t="n">
        <x:v>211766.341132874</x:v>
      </x:c>
      <x:c r="L901" s="28" t="n">
        <x:v>11</x:v>
      </x:c>
      <x:c r="M901" s="28" t="n">
        <x:v>2</x:v>
      </x:c>
      <x:c r="N901" s="28" t="n">
        <x:v>1.862645149230957e-9</x:v>
      </x:c>
      <x:c r="O901" s="28" t="n">
        <x:v>2.9802322387695312e-8</x:v>
      </x:c>
      <x:c r="P901" s="28" t="n">
        <x:v>0</x:v>
      </x:c>
      <x:c r="Q901" s="62" t="b">
        <x:v>1</x:v>
      </x:c>
      <x:c r="R901" s="28" t="n">
        <x:v>0</x:v>
      </x:c>
      <x:c r="S901" s="28" t="str">
        <x:v>738f230249d455ef</x:v>
      </x:c>
    </x:row>
    <x:row r="902" ht="21" customHeight="1">
      <x:c r="A902" s="60" t="n">
        <x:v>0.63</x:v>
      </x:c>
      <x:c r="B902" s="28" t="str">
        <x:v>back_flat</x:v>
      </x:c>
      <x:c r="C902" s="60" t="n">
        <x:v>0.6</x:v>
      </x:c>
      <x:c r="D902" s="60" t="n">
        <x:v>0.6</x:v>
      </x:c>
      <x:c r="E902" s="62" t="b">
        <x:v>1</x:v>
      </x:c>
      <x:c r="F902" s="62" t="b">
        <x:v>1</x:v>
      </x:c>
      <x:c r="G902" s="85" t="n">
        <x:v>0</x:v>
      </x:c>
      <x:c r="H902" s="85" t="n">
        <x:v>0</x:v>
      </x:c>
      <x:c r="I902" s="85" t="n">
        <x:v>63692268.04862366</x:v>
      </x:c>
      <x:c r="J902" s="85" t="n">
        <x:v>74941326.7661641</x:v>
      </x:c>
      <x:c r="K902" s="85" t="n">
        <x:v>192620.7842246626</x:v>
      </x:c>
      <x:c r="L902" s="28" t="n">
        <x:v>13</x:v>
      </x:c>
      <x:c r="M902" s="28" t="n">
        <x:v>7</x:v>
      </x:c>
      <x:c r="N902" s="28" t="n">
        <x:v>1.862645149230957e-9</x:v>
      </x:c>
      <x:c r="O902" s="28" t="n">
        <x:v>2.9802322387695312e-8</x:v>
      </x:c>
      <x:c r="P902" s="28" t="n">
        <x:v>0</x:v>
      </x:c>
      <x:c r="Q902" s="62" t="b">
        <x:v>1</x:v>
      </x:c>
      <x:c r="R902" s="28" t="n">
        <x:v>0</x:v>
      </x:c>
      <x:c r="S902" s="28" t="str">
        <x:v>c540c1f3a9fff5f4</x:v>
      </x:c>
    </x:row>
    <x:row r="903" ht="21" customHeight="1">
      <x:c r="A903" s="60" t="n">
        <x:v>0.63</x:v>
      </x:c>
      <x:c r="B903" s="28" t="str">
        <x:v>back_flat</x:v>
      </x:c>
      <x:c r="C903" s="60" t="n">
        <x:v>0.65</x:v>
      </x:c>
      <x:c r="D903" s="60" t="n">
        <x:v>0.65</x:v>
      </x:c>
      <x:c r="E903" s="62" t="b">
        <x:v>1</x:v>
      </x:c>
      <x:c r="F903" s="62" t="b">
        <x:v>0</x:v>
      </x:c>
      <x:c r="G903" s="85" t="n">
        <x:v>628966.0532127375</x:v>
      </x:c>
      <x:c r="H903" s="85" t="n">
        <x:v>4082124.49262592</x:v>
      </x:c>
      <x:c r="I903" s="85" t="n">
        <x:v>67773685.70273486</x:v>
      </x:c>
      <x:c r="J903" s="85" t="n">
        <x:v>81000000</x:v>
      </x:c>
      <x:c r="K903" s="85" t="n">
        <x:v>173475.22731643816</x:v>
      </x:c>
      <x:c r="L903" s="28" t="n">
        <x:v>38</x:v>
      </x:c>
      <x:c r="M903" s="28" t="n">
        <x:v>32</x:v>
      </x:c>
      <x:c r="N903" s="28" t="n">
        <x:v>1.862645149230957e-9</x:v>
      </x:c>
      <x:c r="O903" s="28" t="n">
        <x:v>1.4901161193847656e-8</x:v>
      </x:c>
      <x:c r="P903" s="28" t="n">
        <x:v>0</x:v>
      </x:c>
      <x:c r="Q903" s="62" t="b">
        <x:v>1</x:v>
      </x:c>
      <x:c r="R903" s="28" t="n">
        <x:v>0</x:v>
      </x:c>
      <x:c r="S903" s="28" t="str">
        <x:v>879edddea875cd3a</x:v>
      </x:c>
    </x:row>
    <x:row r="904" ht="21" customHeight="1">
      <x:c r="A904" s="60" t="n">
        <x:v>0.63</x:v>
      </x:c>
      <x:c r="B904" s="28" t="str">
        <x:v>back_flat</x:v>
      </x:c>
      <x:c r="C904" s="60" t="n">
        <x:v>0.7</x:v>
      </x:c>
      <x:c r="D904" s="60" t="n">
        <x:v>0.7</x:v>
      </x:c>
      <x:c r="E904" s="62" t="b">
        <x:v>1</x:v>
      </x:c>
      <x:c r="F904" s="62" t="b">
        <x:v>0</x:v>
      </x:c>
      <x:c r="G904" s="85" t="n">
        <x:v>2611739.4143375014</x:v>
      </x:c>
      <x:c r="H904" s="85" t="n">
        <x:v>14858409.88845485</x:v>
      </x:c>
      <x:c r="I904" s="85" t="n">
        <x:v>69112369.45801425</x:v>
      </x:c>
      <x:c r="J904" s="85" t="n">
        <x:v>81000000</x:v>
      </x:c>
      <x:c r="K904" s="85" t="n">
        <x:v>154329.67040822073</x:v>
      </x:c>
      <x:c r="L904" s="28" t="n">
        <x:v>39</x:v>
      </x:c>
      <x:c r="M904" s="28" t="n">
        <x:v>33</x:v>
      </x:c>
      <x:c r="N904" s="28" t="n">
        <x:v>1.862645149230957e-9</x:v>
      </x:c>
      <x:c r="O904" s="28" t="n">
        <x:v>2.9802322387695312e-8</x:v>
      </x:c>
      <x:c r="P904" s="28" t="n">
        <x:v>0</x:v>
      </x:c>
      <x:c r="Q904" s="62" t="b">
        <x:v>1</x:v>
      </x:c>
      <x:c r="R904" s="28" t="n">
        <x:v>0</x:v>
      </x:c>
      <x:c r="S904" s="28" t="str">
        <x:v>27ed252b8174f5d6</x:v>
      </x:c>
    </x:row>
    <x:row r="905" ht="21" customHeight="1">
      <x:c r="A905" s="60" t="n">
        <x:v>0.63</x:v>
      </x:c>
      <x:c r="B905" s="28" t="str">
        <x:v>back_flat</x:v>
      </x:c>
      <x:c r="C905" s="60" t="n">
        <x:v>0.75</x:v>
      </x:c>
      <x:c r="D905" s="60" t="n">
        <x:v>0.75</x:v>
      </x:c>
      <x:c r="E905" s="62" t="b">
        <x:v>1</x:v>
      </x:c>
      <x:c r="F905" s="62" t="b">
        <x:v>0</x:v>
      </x:c>
      <x:c r="G905" s="85" t="n">
        <x:v>4805784.750907453</x:v>
      </x:c>
      <x:c r="H905" s="85" t="n">
        <x:v>26692773.955072634</x:v>
      </x:c>
      <x:c r="I905" s="85" t="n">
        <x:v>69371452.5020368</x:v>
      </x:c>
      <x:c r="J905" s="85" t="n">
        <x:v>81000000</x:v>
      </x:c>
      <x:c r="K905" s="85" t="n">
        <x:v>135184.11350000423</x:v>
      </x:c>
      <x:c r="L905" s="28" t="n">
        <x:v>39</x:v>
      </x:c>
      <x:c r="M905" s="28" t="n">
        <x:v>34</x:v>
      </x:c>
      <x:c r="N905" s="28" t="n">
        <x:v>1.862645149230957e-9</x:v>
      </x:c>
      <x:c r="O905" s="28" t="n">
        <x:v>2.9802322387695312e-8</x:v>
      </x:c>
      <x:c r="P905" s="28" t="n">
        <x:v>0</x:v>
      </x:c>
      <x:c r="Q905" s="62" t="b">
        <x:v>1</x:v>
      </x:c>
      <x:c r="R905" s="28" t="n">
        <x:v>0</x:v>
      </x:c>
      <x:c r="S905" s="28" t="str">
        <x:v>a58e4c4a09487344</x:v>
      </x:c>
    </x:row>
    <x:row r="906" ht="21" customHeight="1">
      <x:c r="A906" s="60" t="n">
        <x:v>0.63</x:v>
      </x:c>
      <x:c r="B906" s="28" t="str">
        <x:v>back_flat</x:v>
      </x:c>
      <x:c r="C906" s="60" t="n">
        <x:v>0.8</x:v>
      </x:c>
      <x:c r="D906" s="60" t="n">
        <x:v>0.8</x:v>
      </x:c>
      <x:c r="E906" s="62" t="b">
        <x:v>1</x:v>
      </x:c>
      <x:c r="F906" s="62" t="b">
        <x:v>0</x:v>
      </x:c>
      <x:c r="G906" s="85" t="n">
        <x:v>7194020.752110049</x:v>
      </x:c>
      <x:c r="H906" s="85" t="n">
        <x:v>36932292.33965274</x:v>
      </x:c>
      <x:c r="I906" s="85" t="n">
        <x:v>70572885.66792017</x:v>
      </x:c>
      <x:c r="J906" s="85" t="n">
        <x:v>81000000</x:v>
      </x:c>
      <x:c r="K906" s="85" t="n">
        <x:v>116038.55659178259</x:v>
      </x:c>
      <x:c r="L906" s="28" t="n">
        <x:v>40</x:v>
      </x:c>
      <x:c r="M906" s="28" t="n">
        <x:v>34</x:v>
      </x:c>
      <x:c r="N906" s="28" t="n">
        <x:v>1.862645149230957e-9</x:v>
      </x:c>
      <x:c r="O906" s="28" t="n">
        <x:v>1.4901161193847656e-8</x:v>
      </x:c>
      <x:c r="P906" s="28" t="n">
        <x:v>0</x:v>
      </x:c>
      <x:c r="Q906" s="62" t="b">
        <x:v>1</x:v>
      </x:c>
      <x:c r="R906" s="28" t="n">
        <x:v>0</x:v>
      </x:c>
      <x:c r="S906" s="28" t="str">
        <x:v>977b32d532cae130</x:v>
      </x:c>
    </x:row>
    <x:row r="907" ht="21" customHeight="1">
      <x:c r="A907" s="60" t="n">
        <x:v>0.63</x:v>
      </x:c>
      <x:c r="B907" s="28" t="str">
        <x:v>back_flat</x:v>
      </x:c>
      <x:c r="C907" s="60" t="n">
        <x:v>0.85</x:v>
      </x:c>
      <x:c r="D907" s="60" t="n">
        <x:v>0.85</x:v>
      </x:c>
      <x:c r="E907" s="62" t="b">
        <x:v>1</x:v>
      </x:c>
      <x:c r="F907" s="62" t="b">
        <x:v>0</x:v>
      </x:c>
      <x:c r="G907" s="85" t="n">
        <x:v>10033644.292129906</x:v>
      </x:c>
      <x:c r="H907" s="85" t="n">
        <x:v>48050213.442436844</x:v>
      </x:c>
      <x:c r="I907" s="85" t="n">
        <x:v>70800803.09836382</x:v>
      </x:c>
      <x:c r="J907" s="85" t="n">
        <x:v>81000000</x:v>
      </x:c>
      <x:c r="K907" s="85" t="n">
        <x:v>96892.99968356095</x:v>
      </x:c>
      <x:c r="L907" s="28" t="n">
        <x:v>40</x:v>
      </x:c>
      <x:c r="M907" s="28" t="n">
        <x:v>36</x:v>
      </x:c>
      <x:c r="N907" s="28" t="n">
        <x:v>1.862645149230957e-9</x:v>
      </x:c>
      <x:c r="O907" s="28" t="n">
        <x:v>2.9802322387695312e-8</x:v>
      </x:c>
      <x:c r="P907" s="28" t="n">
        <x:v>0</x:v>
      </x:c>
      <x:c r="Q907" s="62" t="b">
        <x:v>1</x:v>
      </x:c>
      <x:c r="R907" s="28" t="n">
        <x:v>0</x:v>
      </x:c>
      <x:c r="S907" s="28" t="str">
        <x:v>cdfe4c5816588c8b</x:v>
      </x:c>
    </x:row>
    <x:row r="908" ht="21" customHeight="1">
      <x:c r="A908" s="60" t="n">
        <x:v>0.63</x:v>
      </x:c>
      <x:c r="B908" s="28" t="str">
        <x:v>back_flat</x:v>
      </x:c>
      <x:c r="C908" s="60" t="n">
        <x:v>0.9</x:v>
      </x:c>
      <x:c r="D908" s="60" t="n">
        <x:v>0.8948658400492392</x:v>
      </x:c>
      <x:c r="E908" s="62" t="b">
        <x:v>0</x:v>
      </x:c>
      <x:c r="F908" s="62" t="b">
        <x:v>0</x:v>
      </x:c>
      <x:c r="G908" s="85" t="n">
        <x:v>14206427.960681066</x:v>
      </x:c>
      <x:c r="H908" s="85" t="n">
        <x:v>53787666.545460686</x:v>
      </x:c>
      <x:c r="I908" s="85" t="n">
        <x:v>72107957.09732737</x:v>
      </x:c>
      <x:c r="J908" s="85" t="n">
        <x:v>81000000</x:v>
      </x:c>
      <x:c r="K908" s="85" t="n">
        <x:v>77747.44277533978</x:v>
      </x:c>
      <x:c r="L908" s="28" t="n">
        <x:v>41</x:v>
      </x:c>
      <x:c r="M908" s="28" t="n">
        <x:v>36</x:v>
      </x:c>
      <x:c r="N908" s="28" t="n">
        <x:v>1.862645149230957e-9</x:v>
      </x:c>
      <x:c r="O908" s="28" t="n">
        <x:v>2.9802322387695312e-8</x:v>
      </x:c>
      <x:c r="P908" s="28" t="n">
        <x:v>0</x:v>
      </x:c>
      <x:c r="Q908" s="62" t="b">
        <x:v>1</x:v>
      </x:c>
      <x:c r="R908" s="28" t="n">
        <x:v>1540247.9852282405</x:v>
      </x:c>
      <x:c r="S908" s="28" t="str">
        <x:v>c9a5848972f3be05</x:v>
      </x:c>
    </x:row>
    <x:row r="909" ht="21" customHeight="1">
      <x:c r="A909" s="60" t="n">
        <x:v>0.63</x:v>
      </x:c>
      <x:c r="B909" s="28" t="str">
        <x:v>back_flat</x:v>
      </x:c>
      <x:c r="C909" s="60" t="n">
        <x:v>0.95</x:v>
      </x:c>
      <x:c r="D909" s="60" t="n">
        <x:v>0.9083032015334562</x:v>
      </x:c>
      <x:c r="E909" s="62" t="b">
        <x:v>0</x:v>
      </x:c>
      <x:c r="F909" s="62" t="b">
        <x:v>0</x:v>
      </x:c>
      <x:c r="G909" s="85" t="n">
        <x:v>15189562.06619864</x:v>
      </x:c>
      <x:c r="H909" s="85" t="n">
        <x:v>57509959.69215493</x:v>
      </x:c>
      <x:c r="I909" s="85" t="n">
        <x:v>72277939.81414996</x:v>
      </x:c>
      <x:c r="J909" s="85" t="n">
        <x:v>81000000</x:v>
      </x:c>
      <x:c r="K909" s="85" t="n">
        <x:v>58601.88586712188</x:v>
      </x:c>
      <x:c r="L909" s="28" t="n">
        <x:v>41</x:v>
      </x:c>
      <x:c r="M909" s="28" t="n">
        <x:v>37</x:v>
      </x:c>
      <x:c r="N909" s="28" t="n">
        <x:v>1.862645149230957e-9</x:v>
      </x:c>
      <x:c r="O909" s="28" t="n">
        <x:v>2.9802322387695312e-8</x:v>
      </x:c>
      <x:c r="P909" s="28" t="n">
        <x:v>0</x:v>
      </x:c>
      <x:c r="Q909" s="62" t="b">
        <x:v>1</x:v>
      </x:c>
      <x:c r="R909" s="28" t="n">
        <x:v>12509039.539963126</x:v>
      </x:c>
      <x:c r="S909" s="28" t="str">
        <x:v>ac4d658563238ff8</x:v>
      </x:c>
    </x:row>
    <x:row r="910" ht="21" customHeight="1">
      <x:c r="A910" s="60" t="n">
        <x:v>0.63</x:v>
      </x:c>
      <x:c r="B910" s="28" t="str">
        <x:v>back_flat</x:v>
      </x:c>
      <x:c r="C910" s="60" t="n">
        <x:v>1</x:v>
      </x:c>
      <x:c r="D910" s="60" t="n">
        <x:v>0.920601109498915</x:v>
      </x:c>
      <x:c r="E910" s="62" t="b">
        <x:v>0</x:v>
      </x:c>
      <x:c r="F910" s="62" t="b">
        <x:v>0</x:v>
      </x:c>
      <x:c r="G910" s="85" t="n">
        <x:v>16254070.694234943</x:v>
      </x:c>
      <x:c r="H910" s="85" t="n">
        <x:v>59060405.00334243</x:v>
      </x:c>
      <x:c r="I910" s="85" t="n">
        <x:v>73474305.36932215</x:v>
      </x:c>
      <x:c r="J910" s="85" t="n">
        <x:v>81000000</x:v>
      </x:c>
      <x:c r="K910" s="85" t="n">
        <x:v>39456.328958904895</x:v>
      </x:c>
      <x:c r="L910" s="28" t="n">
        <x:v>42</x:v>
      </x:c>
      <x:c r="M910" s="28" t="n">
        <x:v>37</x:v>
      </x:c>
      <x:c r="N910" s="28" t="n">
        <x:v>1.862645149230957e-9</x:v>
      </x:c>
      <x:c r="O910" s="28" t="n">
        <x:v>2.9802322387695312e-8</x:v>
      </x:c>
      <x:c r="P910" s="28" t="n">
        <x:v>0</x:v>
      </x:c>
      <x:c r="Q910" s="62" t="b">
        <x:v>1</x:v>
      </x:c>
      <x:c r="R910" s="28" t="n">
        <x:v>23819667.150325477</x:v>
      </x:c>
      <x:c r="S910" s="28" t="str">
        <x:v>955c5024882cab79</x:v>
      </x:c>
    </x:row>
    <x:row r="911" ht="21" customHeight="1">
      <x:c r="A911" s="60" t="n">
        <x:v>0.63</x:v>
      </x:c>
      <x:c r="B911" s="28" t="str">
        <x:v>back_low</x:v>
      </x:c>
      <x:c r="C911" s="60" t="n">
        <x:v>0</x:v>
      </x:c>
      <x:c r="D911" s="60" t="n">
        <x:v>0</x:v>
      </x:c>
      <x:c r="E911" s="62" t="b">
        <x:v>1</x:v>
      </x:c>
      <x:c r="F911" s="62" t="b">
        <x:v>1</x:v>
      </x:c>
      <x:c r="G911" s="85" t="n">
        <x:v>0</x:v>
      </x:c>
      <x:c r="H911" s="85" t="n">
        <x:v>0</x:v>
      </x:c>
      <x:c r="I911" s="85" t="n">
        <x:v>0</x:v>
      </x:c>
      <x:c r="J911" s="85" t="n">
        <x:v>0</x:v>
      </x:c>
      <x:c r="K911" s="85" t="n">
        <x:v>28002820.176027384</x:v>
      </x:c>
      <x:c r="L911" s="28" t="n">
        <x:v>0</x:v>
      </x:c>
      <x:c r="M911" s="28" t="n">
        <x:v>0</x:v>
      </x:c>
      <x:c r="N911" s="28" t="n">
        <x:v>1.862645149230957e-9</x:v>
      </x:c>
      <x:c r="O911" s="28" t="n">
        <x:v>0</x:v>
      </x:c>
      <x:c r="P911" s="28" t="n">
        <x:v>0</x:v>
      </x:c>
      <x:c r="Q911" s="62" t="b">
        <x:v>1</x:v>
      </x:c>
      <x:c r="R911" s="28" t="n">
        <x:v>0</x:v>
      </x:c>
      <x:c r="S911" s="28" t="str">
        <x:v>0665606b451aec52</x:v>
      </x:c>
    </x:row>
    <x:row r="912" ht="21" customHeight="1">
      <x:c r="A912" s="60" t="n">
        <x:v>0.63</x:v>
      </x:c>
      <x:c r="B912" s="28" t="str">
        <x:v>back_low</x:v>
      </x:c>
      <x:c r="C912" s="60" t="n">
        <x:v>0.05</x:v>
      </x:c>
      <x:c r="D912" s="60" t="n">
        <x:v>0.05</x:v>
      </x:c>
      <x:c r="E912" s="62" t="b">
        <x:v>1</x:v>
      </x:c>
      <x:c r="F912" s="62" t="b">
        <x:v>1</x:v>
      </x:c>
      <x:c r="G912" s="85" t="n">
        <x:v>0</x:v>
      </x:c>
      <x:c r="H912" s="85" t="n">
        <x:v>0</x:v>
      </x:c>
      <x:c r="I912" s="85" t="n">
        <x:v>0</x:v>
      </x:c>
      <x:c r="J912" s="85" t="n">
        <x:v>0</x:v>
      </x:c>
      <x:c r="K912" s="85" t="n">
        <x:v>17383600.87741568</x:v>
      </x:c>
      <x:c r="L912" s="28" t="n">
        <x:v>0</x:v>
      </x:c>
      <x:c r="M912" s="28" t="n">
        <x:v>0</x:v>
      </x:c>
      <x:c r="N912" s="28" t="n">
        <x:v>3.725290298461914e-9</x:v>
      </x:c>
      <x:c r="O912" s="28" t="n">
        <x:v>5.960464477539063e-8</x:v>
      </x:c>
      <x:c r="P912" s="28" t="n">
        <x:v>0</x:v>
      </x:c>
      <x:c r="Q912" s="62" t="b">
        <x:v>1</x:v>
      </x:c>
      <x:c r="R912" s="28" t="n">
        <x:v>0</x:v>
      </x:c>
      <x:c r="S912" s="28" t="str">
        <x:v>37cf5634205eca89</x:v>
      </x:c>
    </x:row>
    <x:row r="913" ht="21" customHeight="1">
      <x:c r="A913" s="60" t="n">
        <x:v>0.63</x:v>
      </x:c>
      <x:c r="B913" s="28" t="str">
        <x:v>back_low</x:v>
      </x:c>
      <x:c r="C913" s="60" t="n">
        <x:v>0.1</x:v>
      </x:c>
      <x:c r="D913" s="60" t="n">
        <x:v>0.1</x:v>
      </x:c>
      <x:c r="E913" s="62" t="b">
        <x:v>1</x:v>
      </x:c>
      <x:c r="F913" s="62" t="b">
        <x:v>1</x:v>
      </x:c>
      <x:c r="G913" s="85" t="n">
        <x:v>0</x:v>
      </x:c>
      <x:c r="H913" s="85" t="n">
        <x:v>0</x:v>
      </x:c>
      <x:c r="I913" s="85" t="n">
        <x:v>0</x:v>
      </x:c>
      <x:c r="J913" s="85" t="n">
        <x:v>0</x:v>
      </x:c>
      <x:c r="K913" s="85" t="n">
        <x:v>6681629.905087981</x:v>
      </x:c>
      <x:c r="L913" s="28" t="n">
        <x:v>0</x:v>
      </x:c>
      <x:c r="M913" s="28" t="n">
        <x:v>0</x:v>
      </x:c>
      <x:c r="N913" s="28" t="n">
        <x:v>1.862645149230957e-9</x:v>
      </x:c>
      <x:c r="O913" s="28" t="n">
        <x:v>5.960464477539063e-8</x:v>
      </x:c>
      <x:c r="P913" s="28" t="n">
        <x:v>0</x:v>
      </x:c>
      <x:c r="Q913" s="62" t="b">
        <x:v>1</x:v>
      </x:c>
      <x:c r="R913" s="28" t="n">
        <x:v>0</x:v>
      </x:c>
      <x:c r="S913" s="28" t="str">
        <x:v>063b9c82a9edfef0</x:v>
      </x:c>
    </x:row>
    <x:row r="914" ht="21" customHeight="1">
      <x:c r="A914" s="60" t="n">
        <x:v>0.63</x:v>
      </x:c>
      <x:c r="B914" s="28" t="str">
        <x:v>back_low</x:v>
      </x:c>
      <x:c r="C914" s="60" t="n">
        <x:v>0.15</x:v>
      </x:c>
      <x:c r="D914" s="60" t="n">
        <x:v>0.15</x:v>
      </x:c>
      <x:c r="E914" s="62" t="b">
        <x:v>1</x:v>
      </x:c>
      <x:c r="F914" s="62" t="b">
        <x:v>1</x:v>
      </x:c>
      <x:c r="G914" s="85" t="n">
        <x:v>0</x:v>
      </x:c>
      <x:c r="H914" s="85" t="n">
        <x:v>0</x:v>
      </x:c>
      <x:c r="I914" s="85" t="n">
        <x:v>3012866.080919381</x:v>
      </x:c>
      <x:c r="J914" s="85" t="n">
        <x:v>0</x:v>
      </x:c>
      <x:c r="K914" s="85" t="n">
        <x:v>141624.98699040883</x:v>
      </x:c>
      <x:c r="L914" s="28" t="n">
        <x:v>0</x:v>
      </x:c>
      <x:c r="M914" s="28" t="n">
        <x:v>0</x:v>
      </x:c>
      <x:c r="N914" s="28" t="n">
        <x:v>1.862645149230957e-9</x:v>
      </x:c>
      <x:c r="O914" s="28" t="n">
        <x:v>5.960464477539063e-8</x:v>
      </x:c>
      <x:c r="P914" s="28" t="n">
        <x:v>0</x:v>
      </x:c>
      <x:c r="Q914" s="62" t="b">
        <x:v>1</x:v>
      </x:c>
      <x:c r="R914" s="28" t="n">
        <x:v>0</x:v>
      </x:c>
      <x:c r="S914" s="28" t="str">
        <x:v>40627e429b94c169</x:v>
      </x:c>
    </x:row>
    <x:row r="915" ht="21" customHeight="1">
      <x:c r="A915" s="60" t="n">
        <x:v>0.63</x:v>
      </x:c>
      <x:c r="B915" s="28" t="str">
        <x:v>back_low</x:v>
      </x:c>
      <x:c r="C915" s="60" t="n">
        <x:v>0.2</x:v>
      </x:c>
      <x:c r="D915" s="60" t="n">
        <x:v>0.2</x:v>
      </x:c>
      <x:c r="E915" s="62" t="b">
        <x:v>1</x:v>
      </x:c>
      <x:c r="F915" s="62" t="b">
        <x:v>1</x:v>
      </x:c>
      <x:c r="G915" s="85" t="n">
        <x:v>0</x:v>
      </x:c>
      <x:c r="H915" s="85" t="n">
        <x:v>0</x:v>
      </x:c>
      <x:c r="I915" s="85" t="n">
        <x:v>9249602.51840948</x:v>
      </x:c>
      <x:c r="J915" s="85" t="n">
        <x:v>6341080.834812429</x:v>
      </x:c>
      <x:c r="K915" s="85" t="n">
        <x:v>106458.14932054431</x:v>
      </x:c>
      <x:c r="L915" s="28" t="n">
        <x:v>0</x:v>
      </x:c>
      <x:c r="M915" s="28" t="n">
        <x:v>0</x:v>
      </x:c>
      <x:c r="N915" s="28" t="n">
        <x:v>1.862645149230957e-9</x:v>
      </x:c>
      <x:c r="O915" s="28" t="n">
        <x:v>2.9802322387695312e-8</x:v>
      </x:c>
      <x:c r="P915" s="28" t="n">
        <x:v>0</x:v>
      </x:c>
      <x:c r="Q915" s="62" t="b">
        <x:v>1</x:v>
      </x:c>
      <x:c r="R915" s="28" t="n">
        <x:v>0</x:v>
      </x:c>
      <x:c r="S915" s="28" t="str">
        <x:v>c3e62e546f641608</x:v>
      </x:c>
    </x:row>
    <x:row r="916" ht="21" customHeight="1">
      <x:c r="A916" s="60" t="n">
        <x:v>0.63</x:v>
      </x:c>
      <x:c r="B916" s="28" t="str">
        <x:v>back_low</x:v>
      </x:c>
      <x:c r="C916" s="60" t="n">
        <x:v>0.25</x:v>
      </x:c>
      <x:c r="D916" s="60" t="n">
        <x:v>0.25</x:v>
      </x:c>
      <x:c r="E916" s="62" t="b">
        <x:v>1</x:v>
      </x:c>
      <x:c r="F916" s="62" t="b">
        <x:v>1</x:v>
      </x:c>
      <x:c r="G916" s="85" t="n">
        <x:v>0</x:v>
      </x:c>
      <x:c r="H916" s="85" t="n">
        <x:v>0</x:v>
      </x:c>
      <x:c r="I916" s="85" t="n">
        <x:v>13389644.492018746</x:v>
      </x:c>
      <x:c r="J916" s="85" t="n">
        <x:v>15426351.043515662</x:v>
      </x:c>
      <x:c r="K916" s="85" t="n">
        <x:v>71291.31165068729</x:v>
      </x:c>
      <x:c r="L916" s="28" t="n">
        <x:v>0</x:v>
      </x:c>
      <x:c r="M916" s="28" t="n">
        <x:v>0</x:v>
      </x:c>
      <x:c r="N916" s="28" t="n">
        <x:v>9.313225746154785e-10</x:v>
      </x:c>
      <x:c r="O916" s="28" t="n">
        <x:v>2.9802322387695312e-8</x:v>
      </x:c>
      <x:c r="P916" s="28" t="n">
        <x:v>0</x:v>
      </x:c>
      <x:c r="Q916" s="62" t="b">
        <x:v>1</x:v>
      </x:c>
      <x:c r="R916" s="28" t="n">
        <x:v>0</x:v>
      </x:c>
      <x:c r="S916" s="28" t="str">
        <x:v>d9f04f5f6cab0813</x:v>
      </x:c>
    </x:row>
    <x:row r="917" ht="21" customHeight="1">
      <x:c r="A917" s="60" t="n">
        <x:v>0.63</x:v>
      </x:c>
      <x:c r="B917" s="28" t="str">
        <x:v>back_low</x:v>
      </x:c>
      <x:c r="C917" s="60" t="n">
        <x:v>0.3</x:v>
      </x:c>
      <x:c r="D917" s="60" t="n">
        <x:v>0.3</x:v>
      </x:c>
      <x:c r="E917" s="62" t="b">
        <x:v>1</x:v>
      </x:c>
      <x:c r="F917" s="62" t="b">
        <x:v>1</x:v>
      </x:c>
      <x:c r="G917" s="85" t="n">
        <x:v>0</x:v>
      </x:c>
      <x:c r="H917" s="85" t="n">
        <x:v>0</x:v>
      </x:c>
      <x:c r="I917" s="85" t="n">
        <x:v>17544495.79760274</x:v>
      </x:c>
      <x:c r="J917" s="85" t="n">
        <x:v>24511621.252218686</x:v>
      </x:c>
      <x:c r="K917" s="85" t="n">
        <x:v>57000.085345208034</x:v>
      </x:c>
      <x:c r="L917" s="28" t="n">
        <x:v>0</x:v>
      </x:c>
      <x:c r="M917" s="28" t="n">
        <x:v>0</x:v>
      </x:c>
      <x:c r="N917" s="28" t="n">
        <x:v>1.862645149230957e-9</x:v>
      </x:c>
      <x:c r="O917" s="28" t="n">
        <x:v>2.9802322387695312e-8</x:v>
      </x:c>
      <x:c r="P917" s="28" t="n">
        <x:v>0</x:v>
      </x:c>
      <x:c r="Q917" s="62" t="b">
        <x:v>1</x:v>
      </x:c>
      <x:c r="R917" s="28" t="n">
        <x:v>0</x:v>
      </x:c>
      <x:c r="S917" s="28" t="str">
        <x:v>c5a63f086fe4e661</x:v>
      </x:c>
    </x:row>
    <x:row r="918" ht="21" customHeight="1">
      <x:c r="A918" s="60" t="n">
        <x:v>0.63</x:v>
      </x:c>
      <x:c r="B918" s="28" t="str">
        <x:v>back_low</x:v>
      </x:c>
      <x:c r="C918" s="60" t="n">
        <x:v>0.35</x:v>
      </x:c>
      <x:c r="D918" s="60" t="n">
        <x:v>0.35</x:v>
      </x:c>
      <x:c r="E918" s="62" t="b">
        <x:v>1</x:v>
      </x:c>
      <x:c r="F918" s="62" t="b">
        <x:v>1</x:v>
      </x:c>
      <x:c r="G918" s="85" t="n">
        <x:v>0</x:v>
      </x:c>
      <x:c r="H918" s="85" t="n">
        <x:v>0</x:v>
      </x:c>
      <x:c r="I918" s="85" t="n">
        <x:v>21736478.119869936</x:v>
      </x:c>
      <x:c r="J918" s="85" t="n">
        <x:v>33596891.460921764</x:v>
      </x:c>
      <x:c r="K918" s="85" t="n">
        <x:v>46075.571943835006</x:v>
      </x:c>
      <x:c r="L918" s="28" t="n">
        <x:v>0</x:v>
      </x:c>
      <x:c r="M918" s="28" t="n">
        <x:v>0</x:v>
      </x:c>
      <x:c r="N918" s="28" t="n">
        <x:v>1.862645149230957e-9</x:v>
      </x:c>
      <x:c r="O918" s="28" t="n">
        <x:v>2.9802322387695312e-8</x:v>
      </x:c>
      <x:c r="P918" s="28" t="n">
        <x:v>0</x:v>
      </x:c>
      <x:c r="Q918" s="62" t="b">
        <x:v>1</x:v>
      </x:c>
      <x:c r="R918" s="28" t="n">
        <x:v>0</x:v>
      </x:c>
      <x:c r="S918" s="28" t="str">
        <x:v>2ef4b33cad6d213c</x:v>
      </x:c>
    </x:row>
    <x:row r="919" ht="21" customHeight="1">
      <x:c r="A919" s="60" t="n">
        <x:v>0.63</x:v>
      </x:c>
      <x:c r="B919" s="28" t="str">
        <x:v>back_low</x:v>
      </x:c>
      <x:c r="C919" s="60" t="n">
        <x:v>0.4</x:v>
      </x:c>
      <x:c r="D919" s="60" t="n">
        <x:v>0.4</x:v>
      </x:c>
      <x:c r="E919" s="62" t="b">
        <x:v>1</x:v>
      </x:c>
      <x:c r="F919" s="62" t="b">
        <x:v>1</x:v>
      </x:c>
      <x:c r="G919" s="85" t="n">
        <x:v>0</x:v>
      </x:c>
      <x:c r="H919" s="85" t="n">
        <x:v>0</x:v>
      </x:c>
      <x:c r="I919" s="85" t="n">
        <x:v>25890678.46351088</x:v>
      </x:c>
      <x:c r="J919" s="85" t="n">
        <x:v>42682161.66962495</x:v>
      </x:c>
      <x:c r="K919" s="85" t="n">
        <x:v>35151.05854246713</x:v>
      </x:c>
      <x:c r="L919" s="28" t="n">
        <x:v>0</x:v>
      </x:c>
      <x:c r="M919" s="28" t="n">
        <x:v>0</x:v>
      </x:c>
      <x:c r="N919" s="28" t="n">
        <x:v>3.725290298461914e-9</x:v>
      </x:c>
      <x:c r="O919" s="28" t="n">
        <x:v>2.9802322387695312e-8</x:v>
      </x:c>
      <x:c r="P919" s="28" t="n">
        <x:v>0</x:v>
      </x:c>
      <x:c r="Q919" s="62" t="b">
        <x:v>1</x:v>
      </x:c>
      <x:c r="R919" s="28" t="n">
        <x:v>0</x:v>
      </x:c>
      <x:c r="S919" s="28" t="str">
        <x:v>480f7ea7017996d5</x:v>
      </x:c>
    </x:row>
    <x:row r="920" ht="21" customHeight="1">
      <x:c r="A920" s="60" t="n">
        <x:v>0.63</x:v>
      </x:c>
      <x:c r="B920" s="28" t="str">
        <x:v>back_low</x:v>
      </x:c>
      <x:c r="C920" s="60" t="n">
        <x:v>0.45</x:v>
      </x:c>
      <x:c r="D920" s="60" t="n">
        <x:v>0.45</x:v>
      </x:c>
      <x:c r="E920" s="62" t="b">
        <x:v>1</x:v>
      </x:c>
      <x:c r="F920" s="62" t="b">
        <x:v>1</x:v>
      </x:c>
      <x:c r="G920" s="85" t="n">
        <x:v>0</x:v>
      </x:c>
      <x:c r="H920" s="85" t="n">
        <x:v>0</x:v>
      </x:c>
      <x:c r="I920" s="85" t="n">
        <x:v>30782372.507446643</x:v>
      </x:c>
      <x:c r="J920" s="85" t="n">
        <x:v>50654547.50308733</x:v>
      </x:c>
      <x:c r="K920" s="85" t="n">
        <x:v>24226.54514109553</x:v>
      </x:c>
      <x:c r="L920" s="28" t="n">
        <x:v>3</x:v>
      </x:c>
      <x:c r="M920" s="28" t="n">
        <x:v>0</x:v>
      </x:c>
      <x:c r="N920" s="28" t="n">
        <x:v>3.725290298461914e-9</x:v>
      </x:c>
      <x:c r="O920" s="28" t="n">
        <x:v>1.4901161193847656e-8</x:v>
      </x:c>
      <x:c r="P920" s="28" t="n">
        <x:v>0</x:v>
      </x:c>
      <x:c r="Q920" s="62" t="b">
        <x:v>1</x:v>
      </x:c>
      <x:c r="R920" s="28" t="n">
        <x:v>0</x:v>
      </x:c>
      <x:c r="S920" s="28" t="str">
        <x:v>3e262f3515296095</x:v>
      </x:c>
    </x:row>
    <x:row r="921" ht="21" customHeight="1">
      <x:c r="A921" s="60" t="n">
        <x:v>0.63</x:v>
      </x:c>
      <x:c r="B921" s="28" t="str">
        <x:v>back_low</x:v>
      </x:c>
      <x:c r="C921" s="60" t="n">
        <x:v>0.5</x:v>
      </x:c>
      <x:c r="D921" s="60" t="n">
        <x:v>0.5</x:v>
      </x:c>
      <x:c r="E921" s="62" t="b">
        <x:v>1</x:v>
      </x:c>
      <x:c r="F921" s="62" t="b">
        <x:v>1</x:v>
      </x:c>
      <x:c r="G921" s="85" t="n">
        <x:v>0</x:v>
      </x:c>
      <x:c r="H921" s="85" t="n">
        <x:v>0</x:v>
      </x:c>
      <x:c r="I921" s="85" t="n">
        <x:v>35909679.56770119</x:v>
      </x:c>
      <x:c r="J921" s="85" t="n">
        <x:v>58160549.682155825</x:v>
      </x:c>
      <x:c r="K921" s="85" t="n">
        <x:v>13302.031739724393</x:v>
      </x:c>
      <x:c r="L921" s="28" t="n">
        <x:v>7</x:v>
      </x:c>
      <x:c r="M921" s="28" t="n">
        <x:v>0</x:v>
      </x:c>
      <x:c r="N921" s="28" t="n">
        <x:v>3.725290298461914e-9</x:v>
      </x:c>
      <x:c r="O921" s="28" t="n">
        <x:v>2.9802322387695312e-8</x:v>
      </x:c>
      <x:c r="P921" s="28" t="n">
        <x:v>0</x:v>
      </x:c>
      <x:c r="Q921" s="62" t="b">
        <x:v>1</x:v>
      </x:c>
      <x:c r="R921" s="28" t="n">
        <x:v>0</x:v>
      </x:c>
      <x:c r="S921" s="28" t="str">
        <x:v>fc59bf5ff8e7eea1</x:v>
      </x:c>
    </x:row>
    <x:row r="922" ht="21" customHeight="1">
      <x:c r="A922" s="60" t="n">
        <x:v>0.63</x:v>
      </x:c>
      <x:c r="B922" s="28" t="str">
        <x:v>back_low</x:v>
      </x:c>
      <x:c r="C922" s="60" t="n">
        <x:v>0.55</x:v>
      </x:c>
      <x:c r="D922" s="60" t="n">
        <x:v>0.55</x:v>
      </x:c>
      <x:c r="E922" s="62" t="b">
        <x:v>1</x:v>
      </x:c>
      <x:c r="F922" s="62" t="b">
        <x:v>1</x:v>
      </x:c>
      <x:c r="G922" s="85" t="n">
        <x:v>0</x:v>
      </x:c>
      <x:c r="H922" s="85" t="n">
        <x:v>0</x:v>
      </x:c>
      <x:c r="I922" s="85" t="n">
        <x:v>40710307.25378615</x:v>
      </x:c>
      <x:c r="J922" s="85" t="n">
        <x:v>66091502.576428674</x:v>
      </x:c>
      <x:c r="K922" s="85" t="n">
        <x:v>2377.5183383550902</x:v>
      </x:c>
      <x:c r="L922" s="28" t="n">
        <x:v>11</x:v>
      </x:c>
      <x:c r="M922" s="28" t="n">
        <x:v>0</x:v>
      </x:c>
      <x:c r="N922" s="28" t="n">
        <x:v>1.862645149230957e-9</x:v>
      </x:c>
      <x:c r="O922" s="28" t="n">
        <x:v>2.9802322387695312e-8</x:v>
      </x:c>
      <x:c r="P922" s="28" t="n">
        <x:v>0</x:v>
      </x:c>
      <x:c r="Q922" s="62" t="b">
        <x:v>1</x:v>
      </x:c>
      <x:c r="R922" s="28" t="n">
        <x:v>0</x:v>
      </x:c>
      <x:c r="S922" s="28" t="str">
        <x:v>0891f155441098a7</x:v>
      </x:c>
    </x:row>
    <x:row r="923" ht="21" customHeight="1">
      <x:c r="A923" s="60" t="n">
        <x:v>0.63</x:v>
      </x:c>
      <x:c r="B923" s="28" t="str">
        <x:v>back_low</x:v>
      </x:c>
      <x:c r="C923" s="60" t="n">
        <x:v>0.6</x:v>
      </x:c>
      <x:c r="D923" s="60" t="n">
        <x:v>0.6</x:v>
      </x:c>
      <x:c r="E923" s="62" t="b">
        <x:v>1</x:v>
      </x:c>
      <x:c r="F923" s="62" t="b">
        <x:v>1</x:v>
      </x:c>
      <x:c r="G923" s="85" t="n">
        <x:v>0</x:v>
      </x:c>
      <x:c r="H923" s="85" t="n">
        <x:v>0</x:v>
      </x:c>
      <x:c r="I923" s="85" t="n">
        <x:v>44759280.11831489</x:v>
      </x:c>
      <x:c r="J923" s="85" t="n">
        <x:v>75075409.86538666</x:v>
      </x:c>
      <x:c r="K923" s="85" t="n">
        <x:v>0</x:v>
      </x:c>
      <x:c r="L923" s="28" t="n">
        <x:v>13</x:v>
      </x:c>
      <x:c r="M923" s="28" t="n">
        <x:v>1</x:v>
      </x:c>
      <x:c r="N923" s="28" t="n">
        <x:v>1.862645149230957e-9</x:v>
      </x:c>
      <x:c r="O923" s="28" t="n">
        <x:v>2.9802322387695312e-8</x:v>
      </x:c>
      <x:c r="P923" s="28" t="n">
        <x:v>0</x:v>
      </x:c>
      <x:c r="Q923" s="62" t="b">
        <x:v>1</x:v>
      </x:c>
      <x:c r="R923" s="28" t="n">
        <x:v>0</x:v>
      </x:c>
      <x:c r="S923" s="28" t="str">
        <x:v>594abb91a4581f03</x:v>
      </x:c>
    </x:row>
    <x:row r="924" ht="21" customHeight="1">
      <x:c r="A924" s="60" t="n">
        <x:v>0.63</x:v>
      </x:c>
      <x:c r="B924" s="28" t="str">
        <x:v>back_low</x:v>
      </x:c>
      <x:c r="C924" s="60" t="n">
        <x:v>0.65</x:v>
      </x:c>
      <x:c r="D924" s="60" t="n">
        <x:v>0.65</x:v>
      </x:c>
      <x:c r="E924" s="62" t="b">
        <x:v>1</x:v>
      </x:c>
      <x:c r="F924" s="62" t="b">
        <x:v>0</x:v>
      </x:c>
      <x:c r="G924" s="85" t="n">
        <x:v>223222.26118964353</x:v>
      </x:c>
      <x:c r="H924" s="85" t="n">
        <x:v>3348102.2327775713</x:v>
      </x:c>
      <x:c r="I924" s="85" t="n">
        <x:v>47606537.90249232</x:v>
      </x:c>
      <x:c r="J924" s="85" t="n">
        <x:v>81000000</x:v>
      </x:c>
      <x:c r="K924" s="85" t="n">
        <x:v>0</x:v>
      </x:c>
      <x:c r="L924" s="28" t="n">
        <x:v>38</x:v>
      </x:c>
      <x:c r="M924" s="28" t="n">
        <x:v>28</x:v>
      </x:c>
      <x:c r="N924" s="28" t="n">
        <x:v>1.862645149230957e-9</x:v>
      </x:c>
      <x:c r="O924" s="28" t="n">
        <x:v>1.4901161193847656e-8</x:v>
      </x:c>
      <x:c r="P924" s="28" t="n">
        <x:v>0</x:v>
      </x:c>
      <x:c r="Q924" s="62" t="b">
        <x:v>1</x:v>
      </x:c>
      <x:c r="R924" s="28" t="n">
        <x:v>0</x:v>
      </x:c>
      <x:c r="S924" s="28" t="str">
        <x:v>bf40fc1b132803cc</x:v>
      </x:c>
    </x:row>
    <x:row r="925" ht="21" customHeight="1">
      <x:c r="A925" s="60" t="n">
        <x:v>0.63</x:v>
      </x:c>
      <x:c r="B925" s="28" t="str">
        <x:v>back_low</x:v>
      </x:c>
      <x:c r="C925" s="60" t="n">
        <x:v>0.7</x:v>
      </x:c>
      <x:c r="D925" s="60" t="n">
        <x:v>0.7</x:v>
      </x:c>
      <x:c r="E925" s="62" t="b">
        <x:v>1</x:v>
      </x:c>
      <x:c r="F925" s="62" t="b">
        <x:v>0</x:v>
      </x:c>
      <x:c r="G925" s="85" t="n">
        <x:v>868103.9750079042</x:v>
      </x:c>
      <x:c r="H925" s="85" t="n">
        <x:v>13079048.302734269</x:v>
      </x:c>
      <x:c r="I925" s="85" t="n">
        <x:v>48598755.125981405</x:v>
      </x:c>
      <x:c r="J925" s="85" t="n">
        <x:v>81000000</x:v>
      </x:c>
      <x:c r="K925" s="85" t="n">
        <x:v>0</x:v>
      </x:c>
      <x:c r="L925" s="28" t="n">
        <x:v>39</x:v>
      </x:c>
      <x:c r="M925" s="28" t="n">
        <x:v>30</x:v>
      </x:c>
      <x:c r="N925" s="28" t="n">
        <x:v>1.862645149230957e-9</x:v>
      </x:c>
      <x:c r="O925" s="28" t="n">
        <x:v>2.9802322387695312e-8</x:v>
      </x:c>
      <x:c r="P925" s="28" t="n">
        <x:v>0</x:v>
      </x:c>
      <x:c r="Q925" s="62" t="b">
        <x:v>1</x:v>
      </x:c>
      <x:c r="R925" s="28" t="n">
        <x:v>0</x:v>
      </x:c>
      <x:c r="S925" s="28" t="str">
        <x:v>076352e696f5bc91</x:v>
      </x:c>
    </x:row>
    <x:row r="926" ht="21" customHeight="1">
      <x:c r="A926" s="60" t="n">
        <x:v>0.63</x:v>
      </x:c>
      <x:c r="B926" s="28" t="str">
        <x:v>back_low</x:v>
      </x:c>
      <x:c r="C926" s="60" t="n">
        <x:v>0.75</x:v>
      </x:c>
      <x:c r="D926" s="60" t="n">
        <x:v>0.75</x:v>
      </x:c>
      <x:c r="E926" s="62" t="b">
        <x:v>1</x:v>
      </x:c>
      <x:c r="F926" s="62" t="b">
        <x:v>0</x:v>
      </x:c>
      <x:c r="G926" s="85" t="n">
        <x:v>1794387.8859192797</x:v>
      </x:c>
      <x:c r="H926" s="85" t="n">
        <x:v>23620685.369465802</x:v>
      </x:c>
      <x:c r="I926" s="85" t="n">
        <x:v>48764030.56417382</x:v>
      </x:c>
      <x:c r="J926" s="85" t="n">
        <x:v>81000000</x:v>
      </x:c>
      <x:c r="K926" s="85" t="n">
        <x:v>0</x:v>
      </x:c>
      <x:c r="L926" s="28" t="n">
        <x:v>39</x:v>
      </x:c>
      <x:c r="M926" s="28" t="n">
        <x:v>32</x:v>
      </x:c>
      <x:c r="N926" s="28" t="n">
        <x:v>1.862645149230957e-9</x:v>
      </x:c>
      <x:c r="O926" s="28" t="n">
        <x:v>2.9802322387695312e-8</x:v>
      </x:c>
      <x:c r="P926" s="28" t="n">
        <x:v>0</x:v>
      </x:c>
      <x:c r="Q926" s="62" t="b">
        <x:v>1</x:v>
      </x:c>
      <x:c r="R926" s="28" t="n">
        <x:v>0</x:v>
      </x:c>
      <x:c r="S926" s="28" t="str">
        <x:v>12d6610bdf080bf4</x:v>
      </x:c>
    </x:row>
    <x:row r="927" ht="21" customHeight="1">
      <x:c r="A927" s="60" t="n">
        <x:v>0.63</x:v>
      </x:c>
      <x:c r="B927" s="28" t="str">
        <x:v>back_low</x:v>
      </x:c>
      <x:c r="C927" s="60" t="n">
        <x:v>0.8</x:v>
      </x:c>
      <x:c r="D927" s="60" t="n">
        <x:v>0.8</x:v>
      </x:c>
      <x:c r="E927" s="62" t="b">
        <x:v>1</x:v>
      </x:c>
      <x:c r="F927" s="62" t="b">
        <x:v>0</x:v>
      </x:c>
      <x:c r="G927" s="85" t="n">
        <x:v>2557161.257722269</x:v>
      </x:c>
      <x:c r="H927" s="85" t="n">
        <x:v>33213871.890841506</x:v>
      </x:c>
      <x:c r="I927" s="85" t="n">
        <x:v>49645934.753048964</x:v>
      </x:c>
      <x:c r="J927" s="85" t="n">
        <x:v>81000000</x:v>
      </x:c>
      <x:c r="K927" s="85" t="n">
        <x:v>0</x:v>
      </x:c>
      <x:c r="L927" s="28" t="n">
        <x:v>40</x:v>
      </x:c>
      <x:c r="M927" s="28" t="n">
        <x:v>32</x:v>
      </x:c>
      <x:c r="N927" s="28" t="n">
        <x:v>1.862645149230957e-9</x:v>
      </x:c>
      <x:c r="O927" s="28" t="n">
        <x:v>1.4901161193847656e-8</x:v>
      </x:c>
      <x:c r="P927" s="28" t="n">
        <x:v>0</x:v>
      </x:c>
      <x:c r="Q927" s="62" t="b">
        <x:v>1</x:v>
      </x:c>
      <x:c r="R927" s="28" t="n">
        <x:v>0</x:v>
      </x:c>
      <x:c r="S927" s="28" t="str">
        <x:v>11fbc49eca992caa</x:v>
      </x:c>
    </x:row>
    <x:row r="928" ht="21" customHeight="1">
      <x:c r="A928" s="60" t="n">
        <x:v>0.63</x:v>
      </x:c>
      <x:c r="B928" s="28" t="str">
        <x:v>back_low</x:v>
      </x:c>
      <x:c r="C928" s="60" t="n">
        <x:v>0.85</x:v>
      </x:c>
      <x:c r="D928" s="60" t="n">
        <x:v>0.85</x:v>
      </x:c>
      <x:c r="E928" s="62" t="b">
        <x:v>1</x:v>
      </x:c>
      <x:c r="F928" s="62" t="b">
        <x:v>0</x:v>
      </x:c>
      <x:c r="G928" s="85" t="n">
        <x:v>3658025.972550765</x:v>
      </x:c>
      <x:c r="H928" s="85" t="n">
        <x:v>43403638.56753983</x:v>
      </x:c>
      <x:c r="I928" s="85" t="n">
        <x:v>49775295.23418986</x:v>
      </x:c>
      <x:c r="J928" s="85" t="n">
        <x:v>81000000</x:v>
      </x:c>
      <x:c r="K928" s="85" t="n">
        <x:v>0</x:v>
      </x:c>
      <x:c r="L928" s="28" t="n">
        <x:v>40</x:v>
      </x:c>
      <x:c r="M928" s="28" t="n">
        <x:v>33</x:v>
      </x:c>
      <x:c r="N928" s="28" t="n">
        <x:v>9.313225746154785e-10</x:v>
      </x:c>
      <x:c r="O928" s="28" t="n">
        <x:v>2.9802322387695312e-8</x:v>
      </x:c>
      <x:c r="P928" s="28" t="n">
        <x:v>0</x:v>
      </x:c>
      <x:c r="Q928" s="62" t="b">
        <x:v>1</x:v>
      </x:c>
      <x:c r="R928" s="28" t="n">
        <x:v>0</x:v>
      </x:c>
      <x:c r="S928" s="28" t="str">
        <x:v>c2d17a21614d6c24</x:v>
      </x:c>
    </x:row>
    <x:row r="929" ht="21" customHeight="1">
      <x:c r="A929" s="60" t="n">
        <x:v>0.63</x:v>
      </x:c>
      <x:c r="B929" s="28" t="str">
        <x:v>back_low</x:v>
      </x:c>
      <x:c r="C929" s="60" t="n">
        <x:v>0.9</x:v>
      </x:c>
      <x:c r="D929" s="60" t="n">
        <x:v>0.8948658400492392</x:v>
      </x:c>
      <x:c r="E929" s="62" t="b">
        <x:v>0</x:v>
      </x:c>
      <x:c r="F929" s="62" t="b">
        <x:v>0</x:v>
      </x:c>
      <x:c r="G929" s="85" t="n">
        <x:v>5721768.41455891</x:v>
      </x:c>
      <x:c r="H929" s="85" t="n">
        <x:v>50168043.22260928</x:v>
      </x:c>
      <x:c r="I929" s="85" t="n">
        <x:v>50760924.51734107</x:v>
      </x:c>
      <x:c r="J929" s="85" t="n">
        <x:v>81000000</x:v>
      </x:c>
      <x:c r="K929" s="85" t="n">
        <x:v>0</x:v>
      </x:c>
      <x:c r="L929" s="28" t="n">
        <x:v>41</x:v>
      </x:c>
      <x:c r="M929" s="28" t="n">
        <x:v>34</x:v>
      </x:c>
      <x:c r="N929" s="28" t="n">
        <x:v>1.862645149230957e-9</x:v>
      </x:c>
      <x:c r="O929" s="28" t="n">
        <x:v>2.9802322387695312e-8</x:v>
      </x:c>
      <x:c r="P929" s="28" t="n">
        <x:v>0</x:v>
      </x:c>
      <x:c r="Q929" s="62" t="b">
        <x:v>1</x:v>
      </x:c>
      <x:c r="R929" s="28" t="n">
        <x:v>1540247.9852282405</x:v>
      </x:c>
      <x:c r="S929" s="28" t="str">
        <x:v>c2ece49933fb2849</x:v>
      </x:c>
    </x:row>
    <x:row r="930" ht="21" customHeight="1">
      <x:c r="A930" s="60" t="n">
        <x:v>0.63</x:v>
      </x:c>
      <x:c r="B930" s="28" t="str">
        <x:v>back_low</x:v>
      </x:c>
      <x:c r="C930" s="60" t="n">
        <x:v>0.95</x:v>
      </x:c>
      <x:c r="D930" s="60" t="n">
        <x:v>0.9083032015334562</x:v>
      </x:c>
      <x:c r="E930" s="62" t="b">
        <x:v>0</x:v>
      </x:c>
      <x:c r="F930" s="62" t="b">
        <x:v>0</x:v>
      </x:c>
      <x:c r="G930" s="85" t="n">
        <x:v>6078988.904834387</x:v>
      </x:c>
      <x:c r="H930" s="85" t="n">
        <x:v>53300126.12036203</x:v>
      </x:c>
      <x:c r="I930" s="85" t="n">
        <x:v>50856785.73162257</x:v>
      </x:c>
      <x:c r="J930" s="85" t="n">
        <x:v>81000000</x:v>
      </x:c>
      <x:c r="K930" s="85" t="n">
        <x:v>0</x:v>
      </x:c>
      <x:c r="L930" s="28" t="n">
        <x:v>41</x:v>
      </x:c>
      <x:c r="M930" s="28" t="n">
        <x:v>34</x:v>
      </x:c>
      <x:c r="N930" s="28" t="n">
        <x:v>1.862645149230957e-9</x:v>
      </x:c>
      <x:c r="O930" s="28" t="n">
        <x:v>2.9802322387695312e-8</x:v>
      </x:c>
      <x:c r="P930" s="28" t="n">
        <x:v>0</x:v>
      </x:c>
      <x:c r="Q930" s="62" t="b">
        <x:v>1</x:v>
      </x:c>
      <x:c r="R930" s="28" t="n">
        <x:v>12509039.539963126</x:v>
      </x:c>
      <x:c r="S930" s="28" t="str">
        <x:v>90f18e6229469ab0</x:v>
      </x:c>
    </x:row>
    <x:row r="931" ht="21" customHeight="1">
      <x:c r="A931" s="60" t="n">
        <x:v>0.63</x:v>
      </x:c>
      <x:c r="B931" s="28" t="str">
        <x:v>back_low</x:v>
      </x:c>
      <x:c r="C931" s="60" t="n">
        <x:v>1</x:v>
      </x:c>
      <x:c r="D931" s="60" t="n">
        <x:v>0.920601109498915</x:v>
      </x:c>
      <x:c r="E931" s="62" t="b">
        <x:v>0</x:v>
      </x:c>
      <x:c r="F931" s="62" t="b">
        <x:v>0</x:v>
      </x:c>
      <x:c r="G931" s="85" t="n">
        <x:v>6543654.744443391</x:v>
      </x:c>
      <x:c r="H931" s="85" t="n">
        <x:v>55062221.49346055</x:v>
      </x:c>
      <x:c r="I931" s="85" t="n">
        <x:v>51743986.99203449</x:v>
      </x:c>
      <x:c r="J931" s="85" t="n">
        <x:v>81000000</x:v>
      </x:c>
      <x:c r="K931" s="85" t="n">
        <x:v>0</x:v>
      </x:c>
      <x:c r="L931" s="28" t="n">
        <x:v>42</x:v>
      </x:c>
      <x:c r="M931" s="28" t="n">
        <x:v>35</x:v>
      </x:c>
      <x:c r="N931" s="28" t="n">
        <x:v>1.862645149230957e-9</x:v>
      </x:c>
      <x:c r="O931" s="28" t="n">
        <x:v>2.9802322387695312e-8</x:v>
      </x:c>
      <x:c r="P931" s="28" t="n">
        <x:v>0</x:v>
      </x:c>
      <x:c r="Q931" s="62" t="b">
        <x:v>1</x:v>
      </x:c>
      <x:c r="R931" s="28" t="n">
        <x:v>23819667.150325477</x:v>
      </x:c>
      <x:c r="S931" s="28" t="str">
        <x:v>0fda72496f16480a</x:v>
      </x:c>
    </x:row>
    <x:row r="932" ht="21" customHeight="1">
      <x:c r="A932" s="60" t="n">
        <x:v>0.63</x:v>
      </x:c>
      <x:c r="B932" s="28" t="str">
        <x:v>back_high</x:v>
      </x:c>
      <x:c r="C932" s="60" t="n">
        <x:v>0</x:v>
      </x:c>
      <x:c r="D932" s="60" t="n">
        <x:v>0</x:v>
      </x:c>
      <x:c r="E932" s="62" t="b">
        <x:v>1</x:v>
      </x:c>
      <x:c r="F932" s="62" t="b">
        <x:v>1</x:v>
      </x:c>
      <x:c r="G932" s="85" t="n">
        <x:v>0</x:v>
      </x:c>
      <x:c r="H932" s="85" t="n">
        <x:v>0</x:v>
      </x:c>
      <x:c r="I932" s="85" t="n">
        <x:v>0</x:v>
      </x:c>
      <x:c r="J932" s="85" t="n">
        <x:v>0</x:v>
      </x:c>
      <x:c r="K932" s="85" t="n">
        <x:v>36813359.44999996</x:v>
      </x:c>
      <x:c r="L932" s="28" t="n">
        <x:v>0</x:v>
      </x:c>
      <x:c r="M932" s="28" t="n">
        <x:v>0</x:v>
      </x:c>
      <x:c r="N932" s="28" t="n">
        <x:v>3.725290298461914e-9</x:v>
      </x:c>
      <x:c r="O932" s="28" t="n">
        <x:v>0</x:v>
      </x:c>
      <x:c r="P932" s="28" t="n">
        <x:v>0</x:v>
      </x:c>
      <x:c r="Q932" s="62" t="b">
        <x:v>1</x:v>
      </x:c>
      <x:c r="R932" s="28" t="n">
        <x:v>0</x:v>
      </x:c>
      <x:c r="S932" s="28" t="str">
        <x:v>420889b2946810c3</x:v>
      </x:c>
    </x:row>
    <x:row r="933" ht="21" customHeight="1">
      <x:c r="A933" s="60" t="n">
        <x:v>0.63</x:v>
      </x:c>
      <x:c r="B933" s="28" t="str">
        <x:v>back_high</x:v>
      </x:c>
      <x:c r="C933" s="60" t="n">
        <x:v>0.05</x:v>
      </x:c>
      <x:c r="D933" s="60" t="n">
        <x:v>0.05</x:v>
      </x:c>
      <x:c r="E933" s="62" t="b">
        <x:v>1</x:v>
      </x:c>
      <x:c r="F933" s="62" t="b">
        <x:v>1</x:v>
      </x:c>
      <x:c r="G933" s="85" t="n">
        <x:v>0</x:v>
      </x:c>
      <x:c r="H933" s="85" t="n">
        <x:v>0</x:v>
      </x:c>
      <x:c r="I933" s="85" t="n">
        <x:v>0</x:v>
      </x:c>
      <x:c r="J933" s="85" t="n">
        <x:v>0</x:v>
      </x:c>
      <x:c r="K933" s="85" t="n">
        <x:v>23725366.32247048</x:v>
      </x:c>
      <x:c r="L933" s="28" t="n">
        <x:v>0</x:v>
      </x:c>
      <x:c r="M933" s="28" t="n">
        <x:v>0</x:v>
      </x:c>
      <x:c r="N933" s="28" t="n">
        <x:v>3.725290298461914e-9</x:v>
      </x:c>
      <x:c r="O933" s="28" t="n">
        <x:v>5.960464477539063e-8</x:v>
      </x:c>
      <x:c r="P933" s="28" t="n">
        <x:v>0</x:v>
      </x:c>
      <x:c r="Q933" s="62" t="b">
        <x:v>1</x:v>
      </x:c>
      <x:c r="R933" s="28" t="n">
        <x:v>0</x:v>
      </x:c>
      <x:c r="S933" s="28" t="str">
        <x:v>b47ff385f5c5e111</x:v>
      </x:c>
    </x:row>
    <x:row r="934" ht="21" customHeight="1">
      <x:c r="A934" s="60" t="n">
        <x:v>0.63</x:v>
      </x:c>
      <x:c r="B934" s="28" t="str">
        <x:v>back_high</x:v>
      </x:c>
      <x:c r="C934" s="60" t="n">
        <x:v>0.1</x:v>
      </x:c>
      <x:c r="D934" s="60" t="n">
        <x:v>0.1</x:v>
      </x:c>
      <x:c r="E934" s="62" t="b">
        <x:v>1</x:v>
      </x:c>
      <x:c r="F934" s="62" t="b">
        <x:v>1</x:v>
      </x:c>
      <x:c r="G934" s="85" t="n">
        <x:v>0</x:v>
      </x:c>
      <x:c r="H934" s="85" t="n">
        <x:v>0</x:v>
      </x:c>
      <x:c r="I934" s="85" t="n">
        <x:v>0</x:v>
      </x:c>
      <x:c r="J934" s="85" t="n">
        <x:v>0</x:v>
      </x:c>
      <x:c r="K934" s="85" t="n">
        <x:v>10478765.820318531</x:v>
      </x:c>
      <x:c r="L934" s="28" t="n">
        <x:v>0</x:v>
      </x:c>
      <x:c r="M934" s="28" t="n">
        <x:v>0</x:v>
      </x:c>
      <x:c r="N934" s="28" t="n">
        <x:v>3.725290298461914e-9</x:v>
      </x:c>
      <x:c r="O934" s="28" t="n">
        <x:v>5.960464477539063e-8</x:v>
      </x:c>
      <x:c r="P934" s="28" t="n">
        <x:v>0</x:v>
      </x:c>
      <x:c r="Q934" s="62" t="b">
        <x:v>1</x:v>
      </x:c>
      <x:c r="R934" s="28" t="n">
        <x:v>0</x:v>
      </x:c>
      <x:c r="S934" s="28" t="str">
        <x:v>5131e76a36de9138</x:v>
      </x:c>
    </x:row>
    <x:row r="935" ht="21" customHeight="1">
      <x:c r="A935" s="60" t="n">
        <x:v>0.63</x:v>
      </x:c>
      <x:c r="B935" s="28" t="str">
        <x:v>back_high</x:v>
      </x:c>
      <x:c r="C935" s="60" t="n">
        <x:v>0.15</x:v>
      </x:c>
      <x:c r="D935" s="60" t="n">
        <x:v>0.15</x:v>
      </x:c>
      <x:c r="E935" s="62" t="b">
        <x:v>1</x:v>
      </x:c>
      <x:c r="F935" s="62" t="b">
        <x:v>1</x:v>
      </x:c>
      <x:c r="G935" s="85" t="n">
        <x:v>0</x:v>
      </x:c>
      <x:c r="H935" s="85" t="n">
        <x:v>0</x:v>
      </x:c>
      <x:c r="I935" s="85" t="n">
        <x:v>4199193.419815025</x:v>
      </x:c>
      <x:c r="J935" s="85" t="n">
        <x:v>0</x:v>
      </x:c>
      <x:c r="K935" s="85" t="n">
        <x:v>2129981.9478397598</x:v>
      </x:c>
      <x:c r="L935" s="28" t="n">
        <x:v>0</x:v>
      </x:c>
      <x:c r="M935" s="28" t="n">
        <x:v>0</x:v>
      </x:c>
      <x:c r="N935" s="28" t="n">
        <x:v>3.725290298461914e-9</x:v>
      </x:c>
      <x:c r="O935" s="28" t="n">
        <x:v>5.960464477539063e-8</x:v>
      </x:c>
      <x:c r="P935" s="28" t="n">
        <x:v>0</x:v>
      </x:c>
      <x:c r="Q935" s="62" t="b">
        <x:v>1</x:v>
      </x:c>
      <x:c r="R935" s="28" t="n">
        <x:v>0</x:v>
      </x:c>
      <x:c r="S935" s="28" t="str">
        <x:v>4dcf10fbd3a91e72</x:v>
      </x:c>
    </x:row>
    <x:row r="936" ht="21" customHeight="1">
      <x:c r="A936" s="60" t="n">
        <x:v>0.63</x:v>
      </x:c>
      <x:c r="B936" s="28" t="str">
        <x:v>back_high</x:v>
      </x:c>
      <x:c r="C936" s="60" t="n">
        <x:v>0.2</x:v>
      </x:c>
      <x:c r="D936" s="60" t="n">
        <x:v>0.2</x:v>
      </x:c>
      <x:c r="E936" s="62" t="b">
        <x:v>1</x:v>
      </x:c>
      <x:c r="F936" s="62" t="b">
        <x:v>1</x:v>
      </x:c>
      <x:c r="G936" s="85" t="n">
        <x:v>0</x:v>
      </x:c>
      <x:c r="H936" s="85" t="n">
        <x:v>0</x:v>
      </x:c>
      <x:c r="I936" s="85" t="n">
        <x:v>14365275.808028307</x:v>
      </x:c>
      <x:c r="J936" s="85" t="n">
        <x:v>6341080.834812429</x:v>
      </x:c>
      <x:c r="K936" s="85" t="n">
        <x:v>1686894.442246254</x:v>
      </x:c>
      <x:c r="L936" s="28" t="n">
        <x:v>0</x:v>
      </x:c>
      <x:c r="M936" s="28" t="n">
        <x:v>0</x:v>
      </x:c>
      <x:c r="N936" s="28" t="n">
        <x:v>1.862645149230957e-9</x:v>
      </x:c>
      <x:c r="O936" s="28" t="n">
        <x:v>2.9802322387695312e-8</x:v>
      </x:c>
      <x:c r="P936" s="28" t="n">
        <x:v>0</x:v>
      </x:c>
      <x:c r="Q936" s="62" t="b">
        <x:v>1</x:v>
      </x:c>
      <x:c r="R936" s="28" t="n">
        <x:v>0</x:v>
      </x:c>
      <x:c r="S936" s="28" t="str">
        <x:v>e639e94925820197</x:v>
      </x:c>
    </x:row>
    <x:row r="937" ht="21" customHeight="1">
      <x:c r="A937" s="60" t="n">
        <x:v>0.63</x:v>
      </x:c>
      <x:c r="B937" s="28" t="str">
        <x:v>back_high</x:v>
      </x:c>
      <x:c r="C937" s="60" t="n">
        <x:v>0.25</x:v>
      </x:c>
      <x:c r="D937" s="60" t="n">
        <x:v>0.25</x:v>
      </x:c>
      <x:c r="E937" s="62" t="b">
        <x:v>1</x:v>
      </x:c>
      <x:c r="F937" s="62" t="b">
        <x:v>1</x:v>
      </x:c>
      <x:c r="G937" s="85" t="n">
        <x:v>0</x:v>
      </x:c>
      <x:c r="H937" s="85" t="n">
        <x:v>0</x:v>
      </x:c>
      <x:c r="I937" s="85" t="n">
        <x:v>23127938.396691427</x:v>
      </x:c>
      <x:c r="J937" s="85" t="n">
        <x:v>15426351.043515662</x:v>
      </x:c>
      <x:c r="K937" s="85" t="n">
        <x:v>1316716.990821502</x:v>
      </x:c>
      <x:c r="L937" s="28" t="n">
        <x:v>0</x:v>
      </x:c>
      <x:c r="M937" s="28" t="n">
        <x:v>0</x:v>
      </x:c>
      <x:c r="N937" s="28" t="n">
        <x:v>3.725290298461914e-9</x:v>
      </x:c>
      <x:c r="O937" s="28" t="n">
        <x:v>2.9802322387695312e-8</x:v>
      </x:c>
      <x:c r="P937" s="28" t="n">
        <x:v>0</x:v>
      </x:c>
      <x:c r="Q937" s="62" t="b">
        <x:v>1</x:v>
      </x:c>
      <x:c r="R937" s="28" t="n">
        <x:v>0</x:v>
      </x:c>
      <x:c r="S937" s="28" t="str">
        <x:v>3b1928f969a30c67</x:v>
      </x:c>
    </x:row>
    <x:row r="938" ht="21" customHeight="1">
      <x:c r="A938" s="60" t="n">
        <x:v>0.63</x:v>
      </x:c>
      <x:c r="B938" s="28" t="str">
        <x:v>back_high</x:v>
      </x:c>
      <x:c r="C938" s="60" t="n">
        <x:v>0.3</x:v>
      </x:c>
      <x:c r="D938" s="60" t="n">
        <x:v>0.3</x:v>
      </x:c>
      <x:c r="E938" s="62" t="b">
        <x:v>1</x:v>
      </x:c>
      <x:c r="F938" s="62" t="b">
        <x:v>1</x:v>
      </x:c>
      <x:c r="G938" s="85" t="n">
        <x:v>0</x:v>
      </x:c>
      <x:c r="H938" s="85" t="n">
        <x:v>0</x:v>
      </x:c>
      <x:c r="I938" s="85" t="n">
        <x:v>31965619.422467954</x:v>
      </x:c>
      <x:c r="J938" s="85" t="n">
        <x:v>24511621.252218686</x:v>
      </x:c>
      <x:c r="K938" s="85" t="n">
        <x:v>1104690.959251018</x:v>
      </x:c>
      <x:c r="L938" s="28" t="n">
        <x:v>0</x:v>
      </x:c>
      <x:c r="M938" s="28" t="n">
        <x:v>0</x:v>
      </x:c>
      <x:c r="N938" s="28" t="n">
        <x:v>3.725290298461914e-9</x:v>
      </x:c>
      <x:c r="O938" s="28" t="n">
        <x:v>2.9802322387695312e-8</x:v>
      </x:c>
      <x:c r="P938" s="28" t="n">
        <x:v>0</x:v>
      </x:c>
      <x:c r="Q938" s="62" t="b">
        <x:v>1</x:v>
      </x:c>
      <x:c r="R938" s="28" t="n">
        <x:v>0</x:v>
      </x:c>
      <x:c r="S938" s="28" t="str">
        <x:v>51fa3404a371a247</x:v>
      </x:c>
    </x:row>
    <x:row r="939" ht="21" customHeight="1">
      <x:c r="A939" s="60" t="n">
        <x:v>0.63</x:v>
      </x:c>
      <x:c r="B939" s="28" t="str">
        <x:v>back_high</x:v>
      </x:c>
      <x:c r="C939" s="60" t="n">
        <x:v>0.35</x:v>
      </x:c>
      <x:c r="D939" s="60" t="n">
        <x:v>0.35</x:v>
      </x:c>
      <x:c r="E939" s="62" t="b">
        <x:v>1</x:v>
      </x:c>
      <x:c r="F939" s="62" t="b">
        <x:v>1</x:v>
      </x:c>
      <x:c r="G939" s="85" t="n">
        <x:v>0</x:v>
      </x:c>
      <x:c r="H939" s="85" t="n">
        <x:v>0</x:v>
      </x:c>
      <x:c r="I939" s="85" t="n">
        <x:v>40903208.10811573</x:v>
      </x:c>
      <x:c r="J939" s="85" t="n">
        <x:v>33596891.460921764</x:v>
      </x:c>
      <x:c r="K939" s="85" t="n">
        <x:v>908994.7125301324</x:v>
      </x:c>
      <x:c r="L939" s="28" t="n">
        <x:v>0</x:v>
      </x:c>
      <x:c r="M939" s="28" t="n">
        <x:v>0</x:v>
      </x:c>
      <x:c r="N939" s="28" t="n">
        <x:v>1.862645149230957e-9</x:v>
      </x:c>
      <x:c r="O939" s="28" t="n">
        <x:v>2.9802322387695312e-8</x:v>
      </x:c>
      <x:c r="P939" s="28" t="n">
        <x:v>0</x:v>
      </x:c>
      <x:c r="Q939" s="62" t="b">
        <x:v>1</x:v>
      </x:c>
      <x:c r="R939" s="28" t="n">
        <x:v>0</x:v>
      </x:c>
      <x:c r="S939" s="28" t="str">
        <x:v>59b6c376ec4a5414</x:v>
      </x:c>
    </x:row>
    <x:row r="940" ht="21" customHeight="1">
      <x:c r="A940" s="60" t="n">
        <x:v>0.63</x:v>
      </x:c>
      <x:c r="B940" s="28" t="str">
        <x:v>back_high</x:v>
      </x:c>
      <x:c r="C940" s="60" t="n">
        <x:v>0.4</x:v>
      </x:c>
      <x:c r="D940" s="60" t="n">
        <x:v>0.4</x:v>
      </x:c>
      <x:c r="E940" s="62" t="b">
        <x:v>1</x:v>
      </x:c>
      <x:c r="F940" s="62" t="b">
        <x:v>1</x:v>
      </x:c>
      <x:c r="G940" s="85" t="n">
        <x:v>0</x:v>
      </x:c>
      <x:c r="H940" s="85" t="n">
        <x:v>0</x:v>
      </x:c>
      <x:c r="I940" s="85" t="n">
        <x:v>49855889.970625415</x:v>
      </x:c>
      <x:c r="J940" s="85" t="n">
        <x:v>42682161.66962495</x:v>
      </x:c>
      <x:c r="K940" s="85" t="n">
        <x:v>812903.1714630235</x:v>
      </x:c>
      <x:c r="L940" s="28" t="n">
        <x:v>0</x:v>
      </x:c>
      <x:c r="M940" s="28" t="n">
        <x:v>0</x:v>
      </x:c>
      <x:c r="N940" s="28" t="n">
        <x:v>3.725290298461914e-9</x:v>
      </x:c>
      <x:c r="O940" s="28" t="n">
        <x:v>2.9802322387695312e-8</x:v>
      </x:c>
      <x:c r="P940" s="28" t="n">
        <x:v>0</x:v>
      </x:c>
      <x:c r="Q940" s="62" t="b">
        <x:v>1</x:v>
      </x:c>
      <x:c r="R940" s="28" t="n">
        <x:v>0</x:v>
      </x:c>
      <x:c r="S940" s="28" t="str">
        <x:v>d82a7e2248b2dc55</x:v>
      </x:c>
    </x:row>
    <x:row r="941" ht="21" customHeight="1">
      <x:c r="A941" s="60" t="n">
        <x:v>0.63</x:v>
      </x:c>
      <x:c r="B941" s="28" t="str">
        <x:v>back_high</x:v>
      </x:c>
      <x:c r="C941" s="60" t="n">
        <x:v>0.45</x:v>
      </x:c>
      <x:c r="D941" s="60" t="n">
        <x:v>0.45</x:v>
      </x:c>
      <x:c r="E941" s="62" t="b">
        <x:v>1</x:v>
      </x:c>
      <x:c r="F941" s="62" t="b">
        <x:v>1</x:v>
      </x:c>
      <x:c r="G941" s="85" t="n">
        <x:v>0</x:v>
      </x:c>
      <x:c r="H941" s="85" t="n">
        <x:v>0</x:v>
      </x:c>
      <x:c r="I941" s="85" t="n">
        <x:v>59202656.34599958</x:v>
      </x:c>
      <x:c r="J941" s="85" t="n">
        <x:v>50162876.64759298</x:v>
      </x:c>
      <x:c r="K941" s="85" t="n">
        <x:v>716811.6303958823</x:v>
      </x:c>
      <x:c r="L941" s="28" t="n">
        <x:v>3</x:v>
      </x:c>
      <x:c r="M941" s="28" t="n">
        <x:v>0</x:v>
      </x:c>
      <x:c r="N941" s="28" t="n">
        <x:v>3.725290298461914e-9</x:v>
      </x:c>
      <x:c r="O941" s="28" t="n">
        <x:v>1.4901161193847656e-8</x:v>
      </x:c>
      <x:c r="P941" s="28" t="n">
        <x:v>0</x:v>
      </x:c>
      <x:c r="Q941" s="62" t="b">
        <x:v>1</x:v>
      </x:c>
      <x:c r="R941" s="28" t="n">
        <x:v>0</x:v>
      </x:c>
      <x:c r="S941" s="28" t="str">
        <x:v>eeb31edffd94e1b0</x:v>
      </x:c>
    </x:row>
    <x:row r="942" ht="21" customHeight="1">
      <x:c r="A942" s="60" t="n">
        <x:v>0.63</x:v>
      </x:c>
      <x:c r="B942" s="28" t="str">
        <x:v>back_high</x:v>
      </x:c>
      <x:c r="C942" s="60" t="n">
        <x:v>0.5</x:v>
      </x:c>
      <x:c r="D942" s="60" t="n">
        <x:v>0.5</x:v>
      </x:c>
      <x:c r="E942" s="62" t="b">
        <x:v>1</x:v>
      </x:c>
      <x:c r="F942" s="62" t="b">
        <x:v>1</x:v>
      </x:c>
      <x:c r="G942" s="85" t="n">
        <x:v>0</x:v>
      </x:c>
      <x:c r="H942" s="85" t="n">
        <x:v>0</x:v>
      </x:c>
      <x:c r="I942" s="85" t="n">
        <x:v>68624906.71644157</x:v>
      </x:c>
      <x:c r="J942" s="85" t="n">
        <x:v>56998837.858439825</x:v>
      </x:c>
      <x:c r="K942" s="85" t="n">
        <x:v>620720.0893287568</x:v>
      </x:c>
      <x:c r="L942" s="28" t="n">
        <x:v>7</x:v>
      </x:c>
      <x:c r="M942" s="28" t="n">
        <x:v>1</x:v>
      </x:c>
      <x:c r="N942" s="28" t="n">
        <x:v>3.725290298461914e-9</x:v>
      </x:c>
      <x:c r="O942" s="28" t="n">
        <x:v>2.9802322387695312e-8</x:v>
      </x:c>
      <x:c r="P942" s="28" t="n">
        <x:v>0</x:v>
      </x:c>
      <x:c r="Q942" s="62" t="b">
        <x:v>1</x:v>
      </x:c>
      <x:c r="R942" s="28" t="n">
        <x:v>0</x:v>
      </x:c>
      <x:c r="S942" s="28" t="str">
        <x:v>da39c9e50adcdced</x:v>
      </x:c>
    </x:row>
    <x:row r="943" ht="21" customHeight="1">
      <x:c r="A943" s="60" t="n">
        <x:v>0.63</x:v>
      </x:c>
      <x:c r="B943" s="28" t="str">
        <x:v>back_high</x:v>
      </x:c>
      <x:c r="C943" s="60" t="n">
        <x:v>0.55</x:v>
      </x:c>
      <x:c r="D943" s="60" t="n">
        <x:v>0.55</x:v>
      </x:c>
      <x:c r="E943" s="62" t="b">
        <x:v>1</x:v>
      </x:c>
      <x:c r="F943" s="62" t="b">
        <x:v>1</x:v>
      </x:c>
      <x:c r="G943" s="85" t="n">
        <x:v>0</x:v>
      </x:c>
      <x:c r="H943" s="85" t="n">
        <x:v>0</x:v>
      </x:c>
      <x:c r="I943" s="85" t="n">
        <x:v>77672976.92452241</x:v>
      </x:c>
      <x:c r="J943" s="85" t="n">
        <x:v>64997283.099894814</x:v>
      </x:c>
      <x:c r="K943" s="85" t="n">
        <x:v>524628.5482616333</x:v>
      </x:c>
      <x:c r="L943" s="28" t="n">
        <x:v>10</x:v>
      </x:c>
      <x:c r="M943" s="28" t="n">
        <x:v>5</x:v>
      </x:c>
      <x:c r="N943" s="28" t="n">
        <x:v>3.725290298461914e-9</x:v>
      </x:c>
      <x:c r="O943" s="28" t="n">
        <x:v>2.9802322387695312e-8</x:v>
      </x:c>
      <x:c r="P943" s="28" t="n">
        <x:v>0</x:v>
      </x:c>
      <x:c r="Q943" s="62" t="b">
        <x:v>1</x:v>
      </x:c>
      <x:c r="R943" s="28" t="n">
        <x:v>0</x:v>
      </x:c>
      <x:c r="S943" s="28" t="str">
        <x:v>bcade7af65b1b6e7</x:v>
      </x:c>
    </x:row>
    <x:row r="944" ht="21" customHeight="1">
      <x:c r="A944" s="60" t="n">
        <x:v>0.63</x:v>
      </x:c>
      <x:c r="B944" s="28" t="str">
        <x:v>back_high</x:v>
      </x:c>
      <x:c r="C944" s="60" t="n">
        <x:v>0.6</x:v>
      </x:c>
      <x:c r="D944" s="60" t="n">
        <x:v>0.6</x:v>
      </x:c>
      <x:c r="E944" s="62" t="b">
        <x:v>1</x:v>
      </x:c>
      <x:c r="F944" s="62" t="b">
        <x:v>1</x:v>
      </x:c>
      <x:c r="G944" s="85" t="n">
        <x:v>0</x:v>
      </x:c>
      <x:c r="H944" s="85" t="n">
        <x:v>0</x:v>
      </x:c>
      <x:c r="I944" s="85" t="n">
        <x:v>86290940.75173353</x:v>
      </x:c>
      <x:c r="J944" s="85" t="n">
        <x:v>74684300.9664475</x:v>
      </x:c>
      <x:c r="K944" s="85" t="n">
        <x:v>436129.57764930895</x:v>
      </x:c>
      <x:c r="L944" s="28" t="n">
        <x:v>13</x:v>
      </x:c>
      <x:c r="M944" s="28" t="n">
        <x:v>8</x:v>
      </x:c>
      <x:c r="N944" s="28" t="n">
        <x:v>1.862645149230957e-9</x:v>
      </x:c>
      <x:c r="O944" s="28" t="n">
        <x:v>2.9802322387695312e-8</x:v>
      </x:c>
      <x:c r="P944" s="28" t="n">
        <x:v>0</x:v>
      </x:c>
      <x:c r="Q944" s="62" t="b">
        <x:v>1</x:v>
      </x:c>
      <x:c r="R944" s="28" t="n">
        <x:v>0</x:v>
      </x:c>
      <x:c r="S944" s="28" t="str">
        <x:v>9f029ff363164419</x:v>
      </x:c>
    </x:row>
    <x:row r="945" ht="21" customHeight="1">
      <x:c r="A945" s="60" t="n">
        <x:v>0.63</x:v>
      </x:c>
      <x:c r="B945" s="28" t="str">
        <x:v>back_high</x:v>
      </x:c>
      <x:c r="C945" s="60" t="n">
        <x:v>0.65</x:v>
      </x:c>
      <x:c r="D945" s="60" t="n">
        <x:v>0.65</x:v>
      </x:c>
      <x:c r="E945" s="62" t="b">
        <x:v>1</x:v>
      </x:c>
      <x:c r="F945" s="62" t="b">
        <x:v>0</x:v>
      </x:c>
      <x:c r="G945" s="85" t="n">
        <x:v>1284036.512968062</x:v>
      </x:c>
      <x:c r="H945" s="85" t="n">
        <x:v>4977763.888273549</x:v>
      </x:c>
      <x:c r="I945" s="85" t="n">
        <x:v>91968918.80957766</x:v>
      </x:c>
      <x:c r="J945" s="85" t="n">
        <x:v>81000000</x:v>
      </x:c>
      <x:c r="K945" s="85" t="n">
        <x:v>407113.88594657835</x:v>
      </x:c>
      <x:c r="L945" s="28" t="n">
        <x:v>38</x:v>
      </x:c>
      <x:c r="M945" s="28" t="n">
        <x:v>34</x:v>
      </x:c>
      <x:c r="N945" s="28" t="n">
        <x:v>1.862645149230957e-9</x:v>
      </x:c>
      <x:c r="O945" s="28" t="n">
        <x:v>1.4901161193847656e-8</x:v>
      </x:c>
      <x:c r="P945" s="28" t="n">
        <x:v>0</x:v>
      </x:c>
      <x:c r="Q945" s="62" t="b">
        <x:v>1</x:v>
      </x:c>
      <x:c r="R945" s="28" t="n">
        <x:v>0</x:v>
      </x:c>
      <x:c r="S945" s="28" t="str">
        <x:v>08a0cc9eeb37793a</x:v>
      </x:c>
    </x:row>
    <x:row r="946" ht="21" customHeight="1">
      <x:c r="A946" s="60" t="n">
        <x:v>0.63</x:v>
      </x:c>
      <x:c r="B946" s="28" t="str">
        <x:v>back_high</x:v>
      </x:c>
      <x:c r="C946" s="60" t="n">
        <x:v>0.7</x:v>
      </x:c>
      <x:c r="D946" s="60" t="n">
        <x:v>0.7</x:v>
      </x:c>
      <x:c r="E946" s="62" t="b">
        <x:v>1</x:v>
      </x:c>
      <x:c r="F946" s="62" t="b">
        <x:v>0</x:v>
      </x:c>
      <x:c r="G946" s="85" t="n">
        <x:v>5040800.117462862</x:v>
      </x:c>
      <x:c r="H946" s="85" t="n">
        <x:v>16903362.929533694</x:v>
      </x:c>
      <x:c r="I946" s="85" t="n">
        <x:v>93724230.88652496</x:v>
      </x:c>
      <x:c r="J946" s="85" t="n">
        <x:v>81000000</x:v>
      </x:c>
      <x:c r="K946" s="85" t="n">
        <x:v>378098.19424383645</x:v>
      </x:c>
      <x:c r="L946" s="28" t="n">
        <x:v>39</x:v>
      </x:c>
      <x:c r="M946" s="28" t="n">
        <x:v>34</x:v>
      </x:c>
      <x:c r="N946" s="28" t="n">
        <x:v>1.862645149230957e-9</x:v>
      </x:c>
      <x:c r="O946" s="28" t="n">
        <x:v>2.9802322387695312e-8</x:v>
      </x:c>
      <x:c r="P946" s="28" t="n">
        <x:v>0</x:v>
      </x:c>
      <x:c r="Q946" s="62" t="b">
        <x:v>1</x:v>
      </x:c>
      <x:c r="R946" s="28" t="n">
        <x:v>0</x:v>
      </x:c>
      <x:c r="S946" s="28" t="str">
        <x:v>066e01a19a7bea2a</x:v>
      </x:c>
    </x:row>
    <x:row r="947" ht="21" customHeight="1">
      <x:c r="A947" s="60" t="n">
        <x:v>0.63</x:v>
      </x:c>
      <x:c r="B947" s="28" t="str">
        <x:v>back_high</x:v>
      </x:c>
      <x:c r="C947" s="60" t="n">
        <x:v>0.75</x:v>
      </x:c>
      <x:c r="D947" s="60" t="n">
        <x:v>0.75</x:v>
      </x:c>
      <x:c r="E947" s="62" t="b">
        <x:v>1</x:v>
      </x:c>
      <x:c r="F947" s="62" t="b">
        <x:v>0</x:v>
      </x:c>
      <x:c r="G947" s="85" t="n">
        <x:v>9841116.764875924</x:v>
      </x:c>
      <x:c r="H947" s="85" t="n">
        <x:v>30209114.929794043</x:v>
      </x:c>
      <x:c r="I947" s="85" t="n">
        <x:v>94114448.46240395</x:v>
      </x:c>
      <x:c r="J947" s="85" t="n">
        <x:v>81000000</x:v>
      </x:c>
      <x:c r="K947" s="85" t="n">
        <x:v>349082.50254108524</x:v>
      </x:c>
      <x:c r="L947" s="28" t="n">
        <x:v>39</x:v>
      </x:c>
      <x:c r="M947" s="28" t="n">
        <x:v>36</x:v>
      </x:c>
      <x:c r="N947" s="28" t="n">
        <x:v>1.862645149230957e-9</x:v>
      </x:c>
      <x:c r="O947" s="28" t="n">
        <x:v>2.9802322387695312e-8</x:v>
      </x:c>
      <x:c r="P947" s="28" t="n">
        <x:v>0</x:v>
      </x:c>
      <x:c r="Q947" s="62" t="b">
        <x:v>1</x:v>
      </x:c>
      <x:c r="R947" s="28" t="n">
        <x:v>0</x:v>
      </x:c>
      <x:c r="S947" s="28" t="str">
        <x:v>5a863052861d5e26</x:v>
      </x:c>
    </x:row>
    <x:row r="948" ht="21" customHeight="1">
      <x:c r="A948" s="60" t="n">
        <x:v>0.63</x:v>
      </x:c>
      <x:c r="B948" s="28" t="str">
        <x:v>back_high</x:v>
      </x:c>
      <x:c r="C948" s="60" t="n">
        <x:v>0.8</x:v>
      </x:c>
      <x:c r="D948" s="60" t="n">
        <x:v>0.8</x:v>
      </x:c>
      <x:c r="E948" s="62" t="b">
        <x:v>1</x:v>
      </x:c>
      <x:c r="F948" s="62" t="b">
        <x:v>0</x:v>
      </x:c>
      <x:c r="G948" s="85" t="n">
        <x:v>13872274.68566457</x:v>
      </x:c>
      <x:c r="H948" s="85" t="n">
        <x:v>41607537.40322182</x:v>
      </x:c>
      <x:c r="I948" s="85" t="n">
        <x:v>95679645.34733279</x:v>
      </x:c>
      <x:c r="J948" s="85" t="n">
        <x:v>81000000</x:v>
      </x:c>
      <x:c r="K948" s="85" t="n">
        <x:v>320066.81083835557</x:v>
      </x:c>
      <x:c r="L948" s="28" t="n">
        <x:v>40</x:v>
      </x:c>
      <x:c r="M948" s="28" t="n">
        <x:v>36</x:v>
      </x:c>
      <x:c r="N948" s="28" t="n">
        <x:v>1.862645149230957e-9</x:v>
      </x:c>
      <x:c r="O948" s="28" t="n">
        <x:v>1.4901161193847656e-8</x:v>
      </x:c>
      <x:c r="P948" s="28" t="n">
        <x:v>0</x:v>
      </x:c>
      <x:c r="Q948" s="62" t="b">
        <x:v>1</x:v>
      </x:c>
      <x:c r="R948" s="28" t="n">
        <x:v>0</x:v>
      </x:c>
      <x:c r="S948" s="28" t="str">
        <x:v>f60a9352663ecd91</x:v>
      </x:c>
    </x:row>
    <x:row r="949" ht="21" customHeight="1">
      <x:c r="A949" s="60" t="n">
        <x:v>0.63</x:v>
      </x:c>
      <x:c r="B949" s="28" t="str">
        <x:v>back_high</x:v>
      </x:c>
      <x:c r="C949" s="60" t="n">
        <x:v>0.85</x:v>
      </x:c>
      <x:c r="D949" s="60" t="n">
        <x:v>0.85</x:v>
      </x:c>
      <x:c r="E949" s="62" t="b">
        <x:v>1</x:v>
      </x:c>
      <x:c r="F949" s="62" t="b">
        <x:v>0</x:v>
      </x:c>
      <x:c r="G949" s="85" t="n">
        <x:v>21600278.953308932</x:v>
      </x:c>
      <x:c r="H949" s="85" t="n">
        <x:v>52812852.40400572</x:v>
      </x:c>
      <x:c r="I949" s="85" t="n">
        <x:v>96025893.6481507</x:v>
      </x:c>
      <x:c r="J949" s="85" t="n">
        <x:v>81000000</x:v>
      </x:c>
      <x:c r="K949" s="85" t="n">
        <x:v>291051.11913562857</x:v>
      </x:c>
      <x:c r="L949" s="28" t="n">
        <x:v>40</x:v>
      </x:c>
      <x:c r="M949" s="28" t="n">
        <x:v>37</x:v>
      </x:c>
      <x:c r="N949" s="28" t="n">
        <x:v>1.862645149230957e-9</x:v>
      </x:c>
      <x:c r="O949" s="28" t="n">
        <x:v>2.9802322387695312e-8</x:v>
      </x:c>
      <x:c r="P949" s="28" t="n">
        <x:v>0</x:v>
      </x:c>
      <x:c r="Q949" s="62" t="b">
        <x:v>1</x:v>
      </x:c>
      <x:c r="R949" s="28" t="n">
        <x:v>0</x:v>
      </x:c>
      <x:c r="S949" s="28" t="str">
        <x:v>d3fbeba1289fbce9</x:v>
      </x:c>
    </x:row>
    <x:row r="950" ht="21" customHeight="1">
      <x:c r="A950" s="60" t="n">
        <x:v>0.63</x:v>
      </x:c>
      <x:c r="B950" s="28" t="str">
        <x:v>back_high</x:v>
      </x:c>
      <x:c r="C950" s="60" t="n">
        <x:v>0.9</x:v>
      </x:c>
      <x:c r="D950" s="60" t="n">
        <x:v>0.8948658400492392</x:v>
      </x:c>
      <x:c r="E950" s="62" t="b">
        <x:v>0</x:v>
      </x:c>
      <x:c r="F950" s="62" t="b">
        <x:v>0</x:v>
      </x:c>
      <x:c r="G950" s="85" t="n">
        <x:v>25893721.96723159</x:v>
      </x:c>
      <x:c r="H950" s="85" t="n">
        <x:v>58292576.00527669</x:v>
      </x:c>
      <x:c r="I950" s="85" t="n">
        <x:v>97719743.54929999</x:v>
      </x:c>
      <x:c r="J950" s="85" t="n">
        <x:v>81000000</x:v>
      </x:c>
      <x:c r="K950" s="85" t="n">
        <x:v>262035.42743287556</x:v>
      </x:c>
      <x:c r="L950" s="28" t="n">
        <x:v>41</x:v>
      </x:c>
      <x:c r="M950" s="28" t="n">
        <x:v>38</x:v>
      </x:c>
      <x:c r="N950" s="28" t="n">
        <x:v>1.862645149230957e-9</x:v>
      </x:c>
      <x:c r="O950" s="28" t="n">
        <x:v>2.9802322387695312e-8</x:v>
      </x:c>
      <x:c r="P950" s="28" t="n">
        <x:v>0</x:v>
      </x:c>
      <x:c r="Q950" s="62" t="b">
        <x:v>1</x:v>
      </x:c>
      <x:c r="R950" s="28" t="n">
        <x:v>1540247.9852282405</x:v>
      </x:c>
      <x:c r="S950" s="28" t="str">
        <x:v>ee3ecbb2df564dd8</x:v>
      </x:c>
    </x:row>
    <x:row r="951" ht="21" customHeight="1">
      <x:c r="A951" s="60" t="n">
        <x:v>0.63</x:v>
      </x:c>
      <x:c r="B951" s="28" t="str">
        <x:v>back_high</x:v>
      </x:c>
      <x:c r="C951" s="60" t="n">
        <x:v>0.95</x:v>
      </x:c>
      <x:c r="D951" s="60" t="n">
        <x:v>0.9083032015334562</x:v>
      </x:c>
      <x:c r="E951" s="62" t="b">
        <x:v>0</x:v>
      </x:c>
      <x:c r="F951" s="62" t="b">
        <x:v>0</x:v>
      </x:c>
      <x:c r="G951" s="85" t="n">
        <x:v>27905223.925846096</x:v>
      </x:c>
      <x:c r="H951" s="85" t="n">
        <x:v>62820918.08586615</x:v>
      </x:c>
      <x:c r="I951" s="85" t="n">
        <x:v>97978718.08575274</x:v>
      </x:c>
      <x:c r="J951" s="85" t="n">
        <x:v>81000000</x:v>
      </x:c>
      <x:c r="K951" s="85" t="n">
        <x:v>233019.73573013558</x:v>
      </x:c>
      <x:c r="L951" s="28" t="n">
        <x:v>41</x:v>
      </x:c>
      <x:c r="M951" s="28" t="n">
        <x:v>38</x:v>
      </x:c>
      <x:c r="N951" s="28" t="n">
        <x:v>1.862645149230957e-9</x:v>
      </x:c>
      <x:c r="O951" s="28" t="n">
        <x:v>2.9802322387695312e-8</x:v>
      </x:c>
      <x:c r="P951" s="28" t="n">
        <x:v>0</x:v>
      </x:c>
      <x:c r="Q951" s="62" t="b">
        <x:v>1</x:v>
      </x:c>
      <x:c r="R951" s="28" t="n">
        <x:v>12509039.539963126</x:v>
      </x:c>
      <x:c r="S951" s="28" t="str">
        <x:v>945fa29502be613d</x:v>
      </x:c>
    </x:row>
    <x:row r="952" ht="21" customHeight="1">
      <x:c r="A952" s="60" t="n">
        <x:v>0.63</x:v>
      </x:c>
      <x:c r="B952" s="28" t="str">
        <x:v>back_high</x:v>
      </x:c>
      <x:c r="C952" s="60" t="n">
        <x:v>1</x:v>
      </x:c>
      <x:c r="D952" s="60" t="n">
        <x:v>0.920601109498915</x:v>
      </x:c>
      <x:c r="E952" s="62" t="b">
        <x:v>0</x:v>
      </x:c>
      <x:c r="F952" s="62" t="b">
        <x:v>0</x:v>
      </x:c>
      <x:c r="G952" s="85" t="n">
        <x:v>29643194.093026582</x:v>
      </x:c>
      <x:c r="H952" s="85" t="n">
        <x:v>64044262.788144484</x:v>
      </x:c>
      <x:c r="I952" s="85" t="n">
        <x:v>99546947.03784819</x:v>
      </x:c>
      <x:c r="J952" s="85" t="n">
        <x:v>81000000</x:v>
      </x:c>
      <x:c r="K952" s="85" t="n">
        <x:v>204004.04402739654</x:v>
      </x:c>
      <x:c r="L952" s="28" t="n">
        <x:v>42</x:v>
      </x:c>
      <x:c r="M952" s="28" t="n">
        <x:v>38</x:v>
      </x:c>
      <x:c r="N952" s="28" t="n">
        <x:v>1.862645149230957e-9</x:v>
      </x:c>
      <x:c r="O952" s="28" t="n">
        <x:v>2.9802322387695312e-8</x:v>
      </x:c>
      <x:c r="P952" s="28" t="n">
        <x:v>0</x:v>
      </x:c>
      <x:c r="Q952" s="62" t="b">
        <x:v>1</x:v>
      </x:c>
      <x:c r="R952" s="28" t="n">
        <x:v>23819667.150325477</x:v>
      </x:c>
      <x:c r="S952" s="28" t="str">
        <x:v>40a21965d4fd7395</x:v>
      </x:c>
    </x:row>
    <x:row r="953" ht="21" customHeight="1">
      <x:c r="A953" s="60" t="n">
        <x:v>0.63</x:v>
      </x:c>
      <x:c r="B953" s="28" t="str">
        <x:v>level_flat</x:v>
      </x:c>
      <x:c r="C953" s="60" t="n">
        <x:v>0</x:v>
      </x:c>
      <x:c r="D953" s="60" t="n">
        <x:v>0</x:v>
      </x:c>
      <x:c r="E953" s="62" t="b">
        <x:v>1</x:v>
      </x:c>
      <x:c r="F953" s="62" t="b">
        <x:v>1</x:v>
      </x:c>
      <x:c r="G953" s="85" t="n">
        <x:v>0</x:v>
      </x:c>
      <x:c r="H953" s="85" t="n">
        <x:v>0</x:v>
      </x:c>
      <x:c r="I953" s="85" t="n">
        <x:v>0</x:v>
      </x:c>
      <x:c r="J953" s="85" t="n">
        <x:v>0</x:v>
      </x:c>
      <x:c r="K953" s="85" t="n">
        <x:v>31995646.710273966</x:v>
      </x:c>
      <x:c r="L953" s="28" t="n">
        <x:v>0</x:v>
      </x:c>
      <x:c r="M953" s="28" t="n">
        <x:v>0</x:v>
      </x:c>
      <x:c r="N953" s="28" t="n">
        <x:v>3.725290298461914e-9</x:v>
      </x:c>
      <x:c r="O953" s="28" t="n">
        <x:v>0</x:v>
      </x:c>
      <x:c r="P953" s="28" t="n">
        <x:v>0</x:v>
      </x:c>
      <x:c r="Q953" s="62" t="b">
        <x:v>1</x:v>
      </x:c>
      <x:c r="R953" s="28" t="n">
        <x:v>0</x:v>
      </x:c>
      <x:c r="S953" s="28" t="str">
        <x:v>ad2a89e020c5b2df</x:v>
      </x:c>
    </x:row>
    <x:row r="954" ht="21" customHeight="1">
      <x:c r="A954" s="60" t="n">
        <x:v>0.63</x:v>
      </x:c>
      <x:c r="B954" s="28" t="str">
        <x:v>level_flat</x:v>
      </x:c>
      <x:c r="C954" s="60" t="n">
        <x:v>0.05</x:v>
      </x:c>
      <x:c r="D954" s="60" t="n">
        <x:v>0.05</x:v>
      </x:c>
      <x:c r="E954" s="62" t="b">
        <x:v>1</x:v>
      </x:c>
      <x:c r="F954" s="62" t="b">
        <x:v>1</x:v>
      </x:c>
      <x:c r="G954" s="85" t="n">
        <x:v>0</x:v>
      </x:c>
      <x:c r="H954" s="85" t="n">
        <x:v>0</x:v>
      </x:c>
      <x:c r="I954" s="85" t="n">
        <x:v>0</x:v>
      </x:c>
      <x:c r="J954" s="85" t="n">
        <x:v>0</x:v>
      </x:c>
      <x:c r="K954" s="85" t="n">
        <x:v>20095508.58508078</x:v>
      </x:c>
      <x:c r="L954" s="28" t="n">
        <x:v>0</x:v>
      </x:c>
      <x:c r="M954" s="28" t="n">
        <x:v>0</x:v>
      </x:c>
      <x:c r="N954" s="28" t="n">
        <x:v>1.862645149230957e-9</x:v>
      </x:c>
      <x:c r="O954" s="28" t="n">
        <x:v>2.9802322387695312e-8</x:v>
      </x:c>
      <x:c r="P954" s="28" t="n">
        <x:v>0</x:v>
      </x:c>
      <x:c r="Q954" s="62" t="b">
        <x:v>1</x:v>
      </x:c>
      <x:c r="R954" s="28" t="n">
        <x:v>0</x:v>
      </x:c>
      <x:c r="S954" s="28" t="str">
        <x:v>8d537f211138973f</x:v>
      </x:c>
    </x:row>
    <x:row r="955" ht="21" customHeight="1">
      <x:c r="A955" s="60" t="n">
        <x:v>0.63</x:v>
      </x:c>
      <x:c r="B955" s="28" t="str">
        <x:v>level_flat</x:v>
      </x:c>
      <x:c r="C955" s="60" t="n">
        <x:v>0.1</x:v>
      </x:c>
      <x:c r="D955" s="60" t="n">
        <x:v>0.1</x:v>
      </x:c>
      <x:c r="E955" s="62" t="b">
        <x:v>1</x:v>
      </x:c>
      <x:c r="F955" s="62" t="b">
        <x:v>1</x:v>
      </x:c>
      <x:c r="G955" s="85" t="n">
        <x:v>0</x:v>
      </x:c>
      <x:c r="H955" s="85" t="n">
        <x:v>0</x:v>
      </x:c>
      <x:c r="I955" s="85" t="n">
        <x:v>0</x:v>
      </x:c>
      <x:c r="J955" s="85" t="n">
        <x:v>0</x:v>
      </x:c>
      <x:c r="K955" s="85" t="n">
        <x:v>8077426.300852561</x:v>
      </x:c>
      <x:c r="L955" s="28" t="n">
        <x:v>0</x:v>
      </x:c>
      <x:c r="M955" s="28" t="n">
        <x:v>0</x:v>
      </x:c>
      <x:c r="N955" s="28" t="n">
        <x:v>3.725290298461914e-9</x:v>
      </x:c>
      <x:c r="O955" s="28" t="n">
        <x:v>5.960464477539063e-8</x:v>
      </x:c>
      <x:c r="P955" s="28" t="n">
        <x:v>0</x:v>
      </x:c>
      <x:c r="Q955" s="62" t="b">
        <x:v>1</x:v>
      </x:c>
      <x:c r="R955" s="28" t="n">
        <x:v>0</x:v>
      </x:c>
      <x:c r="S955" s="28" t="str">
        <x:v>b0548f23e4d3342f</x:v>
      </x:c>
    </x:row>
    <x:row r="956" ht="21" customHeight="1">
      <x:c r="A956" s="60" t="n">
        <x:v>0.63</x:v>
      </x:c>
      <x:c r="B956" s="28" t="str">
        <x:v>level_flat</x:v>
      </x:c>
      <x:c r="C956" s="60" t="n">
        <x:v>0.15</x:v>
      </x:c>
      <x:c r="D956" s="60" t="n">
        <x:v>0.15</x:v>
      </x:c>
      <x:c r="E956" s="62" t="b">
        <x:v>1</x:v>
      </x:c>
      <x:c r="F956" s="62" t="b">
        <x:v>1</x:v>
      </x:c>
      <x:c r="G956" s="85" t="n">
        <x:v>0</x:v>
      </x:c>
      <x:c r="H956" s="85" t="n">
        <x:v>0</x:v>
      </x:c>
      <x:c r="I956" s="85" t="n">
        <x:v>3602505.4438522244</x:v>
      </x:c>
      <x:c r="J956" s="85" t="n">
        <x:v>0</x:v>
      </x:c>
      <x:c r="K956" s="85" t="n">
        <x:v>653236.0403742571</x:v>
      </x:c>
      <x:c r="L956" s="28" t="n">
        <x:v>0</x:v>
      </x:c>
      <x:c r="M956" s="28" t="n">
        <x:v>0</x:v>
      </x:c>
      <x:c r="N956" s="28" t="n">
        <x:v>1.862645149230957e-9</x:v>
      </x:c>
      <x:c r="O956" s="28" t="n">
        <x:v>2.9802322387695312e-8</x:v>
      </x:c>
      <x:c r="P956" s="28" t="n">
        <x:v>0</x:v>
      </x:c>
      <x:c r="Q956" s="62" t="b">
        <x:v>1</x:v>
      </x:c>
      <x:c r="R956" s="28" t="n">
        <x:v>0</x:v>
      </x:c>
      <x:c r="S956" s="28" t="str">
        <x:v>a2fbbdf7c0aa12df</x:v>
      </x:c>
    </x:row>
    <x:row r="957" ht="21" customHeight="1">
      <x:c r="A957" s="60" t="n">
        <x:v>0.63</x:v>
      </x:c>
      <x:c r="B957" s="28" t="str">
        <x:v>level_flat</x:v>
      </x:c>
      <x:c r="C957" s="60" t="n">
        <x:v>0.2</x:v>
      </x:c>
      <x:c r="D957" s="60" t="n">
        <x:v>0.2</x:v>
      </x:c>
      <x:c r="E957" s="62" t="b">
        <x:v>1</x:v>
      </x:c>
      <x:c r="F957" s="62" t="b">
        <x:v>1</x:v>
      </x:c>
      <x:c r="G957" s="85" t="n">
        <x:v>0</x:v>
      </x:c>
      <x:c r="H957" s="85" t="n">
        <x:v>0</x:v>
      </x:c>
      <x:c r="I957" s="85" t="n">
        <x:v>11777073.435550204</x:v>
      </x:c>
      <x:c r="J957" s="85" t="n">
        <x:v>6323003.272534233</x:v>
      </x:c>
      <x:c r="K957" s="85" t="n">
        <x:v>432719.42895890516</x:v>
      </x:c>
      <x:c r="L957" s="28" t="n">
        <x:v>0</x:v>
      </x:c>
      <x:c r="M957" s="28" t="n">
        <x:v>0</x:v>
      </x:c>
      <x:c r="N957" s="28" t="n">
        <x:v>9.313225746154785e-10</x:v>
      </x:c>
      <x:c r="O957" s="28" t="n">
        <x:v>2.9802322387695312e-8</x:v>
      </x:c>
      <x:c r="P957" s="28" t="n">
        <x:v>0</x:v>
      </x:c>
      <x:c r="Q957" s="62" t="b">
        <x:v>1</x:v>
      </x:c>
      <x:c r="R957" s="28" t="n">
        <x:v>0</x:v>
      </x:c>
      <x:c r="S957" s="28" t="str">
        <x:v>6a67c96cee50bea3</x:v>
      </x:c>
    </x:row>
    <x:row r="958" ht="21" customHeight="1">
      <x:c r="A958" s="60" t="n">
        <x:v>0.63</x:v>
      </x:c>
      <x:c r="B958" s="28" t="str">
        <x:v>level_flat</x:v>
      </x:c>
      <x:c r="C958" s="60" t="n">
        <x:v>0.25</x:v>
      </x:c>
      <x:c r="D958" s="60" t="n">
        <x:v>0.25</x:v>
      </x:c>
      <x:c r="E958" s="62" t="b">
        <x:v>1</x:v>
      </x:c>
      <x:c r="F958" s="62" t="b">
        <x:v>1</x:v>
      </x:c>
      <x:c r="G958" s="85" t="n">
        <x:v>0</x:v>
      </x:c>
      <x:c r="H958" s="85" t="n">
        <x:v>0</x:v>
      </x:c>
      <x:c r="I958" s="85" t="n">
        <x:v>18158127.032800745</x:v>
      </x:c>
      <x:c r="J958" s="85" t="n">
        <x:v>15403754.090667734</x:v>
      </x:c>
      <x:c r="K958" s="85" t="n">
        <x:v>327965.4111986314</x:v>
      </x:c>
      <x:c r="L958" s="28" t="n">
        <x:v>0</x:v>
      </x:c>
      <x:c r="M958" s="28" t="n">
        <x:v>0</x:v>
      </x:c>
      <x:c r="N958" s="28" t="n">
        <x:v>3.725290298461914e-9</x:v>
      </x:c>
      <x:c r="O958" s="28" t="n">
        <x:v>2.9802322387695312e-8</x:v>
      </x:c>
      <x:c r="P958" s="28" t="n">
        <x:v>0</x:v>
      </x:c>
      <x:c r="Q958" s="62" t="b">
        <x:v>1</x:v>
      </x:c>
      <x:c r="R958" s="28" t="n">
        <x:v>0</x:v>
      </x:c>
      <x:c r="S958" s="28" t="str">
        <x:v>583e9f3c9d3bb409</x:v>
      </x:c>
    </x:row>
    <x:row r="959" ht="21" customHeight="1">
      <x:c r="A959" s="60" t="n">
        <x:v>0.63</x:v>
      </x:c>
      <x:c r="B959" s="28" t="str">
        <x:v>level_flat</x:v>
      </x:c>
      <x:c r="C959" s="60" t="n">
        <x:v>0.3</x:v>
      </x:c>
      <x:c r="D959" s="60" t="n">
        <x:v>0.3</x:v>
      </x:c>
      <x:c r="E959" s="62" t="b">
        <x:v>1</x:v>
      </x:c>
      <x:c r="F959" s="62" t="b">
        <x:v>1</x:v>
      </x:c>
      <x:c r="G959" s="85" t="n">
        <x:v>0</x:v>
      </x:c>
      <x:c r="H959" s="85" t="n">
        <x:v>0</x:v>
      </x:c>
      <x:c r="I959" s="85" t="n">
        <x:v>24650451.2307411</x:v>
      </x:c>
      <x:c r="J959" s="85" t="n">
        <x:v>24484504.90880119</x:v>
      </x:c>
      <x:c r="K959" s="85" t="n">
        <x:v>230911.89804109794</x:v>
      </x:c>
      <x:c r="L959" s="28" t="n">
        <x:v>0</x:v>
      </x:c>
      <x:c r="M959" s="28" t="n">
        <x:v>0</x:v>
      </x:c>
      <x:c r="N959" s="28" t="n">
        <x:v>3.725290298461914e-9</x:v>
      </x:c>
      <x:c r="O959" s="28" t="n">
        <x:v>7.450580596923828e-9</x:v>
      </x:c>
      <x:c r="P959" s="28" t="n">
        <x:v>0</x:v>
      </x:c>
      <x:c r="Q959" s="62" t="b">
        <x:v>1</x:v>
      </x:c>
      <x:c r="R959" s="28" t="n">
        <x:v>0</x:v>
      </x:c>
      <x:c r="S959" s="28" t="str">
        <x:v>2d876297c56b9453</x:v>
      </x:c>
    </x:row>
    <x:row r="960" ht="21" customHeight="1">
      <x:c r="A960" s="60" t="n">
        <x:v>0.63</x:v>
      </x:c>
      <x:c r="B960" s="28" t="str">
        <x:v>level_flat</x:v>
      </x:c>
      <x:c r="C960" s="60" t="n">
        <x:v>0.35</x:v>
      </x:c>
      <x:c r="D960" s="60" t="n">
        <x:v>0.35</x:v>
      </x:c>
      <x:c r="E960" s="62" t="b">
        <x:v>1</x:v>
      </x:c>
      <x:c r="F960" s="62" t="b">
        <x:v>1</x:v>
      </x:c>
      <x:c r="G960" s="85" t="n">
        <x:v>0</x:v>
      </x:c>
      <x:c r="H960" s="85" t="n">
        <x:v>0</x:v>
      </x:c>
      <x:c r="I960" s="85" t="n">
        <x:v>31220220.211511485</x:v>
      </x:c>
      <x:c r="J960" s="85" t="n">
        <x:v>33565255.726934746</x:v>
      </x:c>
      <x:c r="K960" s="85" t="n">
        <x:v>199002.63652739616</x:v>
      </x:c>
      <x:c r="L960" s="28" t="n">
        <x:v>0</x:v>
      </x:c>
      <x:c r="M960" s="28" t="n">
        <x:v>0</x:v>
      </x:c>
      <x:c r="N960" s="28" t="n">
        <x:v>3.725290298461914e-9</x:v>
      </x:c>
      <x:c r="O960" s="28" t="n">
        <x:v>2.9802322387695312e-8</x:v>
      </x:c>
      <x:c r="P960" s="28" t="n">
        <x:v>0</x:v>
      </x:c>
      <x:c r="Q960" s="62" t="b">
        <x:v>1</x:v>
      </x:c>
      <x:c r="R960" s="28" t="n">
        <x:v>0</x:v>
      </x:c>
      <x:c r="S960" s="28" t="str">
        <x:v>a9e1419a2a3f86c0</x:v>
      </x:c>
    </x:row>
    <x:row r="961" ht="21" customHeight="1">
      <x:c r="A961" s="60" t="n">
        <x:v>0.63</x:v>
      </x:c>
      <x:c r="B961" s="28" t="str">
        <x:v>level_flat</x:v>
      </x:c>
      <x:c r="C961" s="60" t="n">
        <x:v>0.4</x:v>
      </x:c>
      <x:c r="D961" s="60" t="n">
        <x:v>0.4</x:v>
      </x:c>
      <x:c r="E961" s="62" t="b">
        <x:v>1</x:v>
      </x:c>
      <x:c r="F961" s="62" t="b">
        <x:v>1</x:v>
      </x:c>
      <x:c r="G961" s="85" t="n">
        <x:v>0</x:v>
      </x:c>
      <x:c r="H961" s="85" t="n">
        <x:v>0</x:v>
      </x:c>
      <x:c r="I961" s="85" t="n">
        <x:v>37757218.24182532</x:v>
      </x:c>
      <x:c r="J961" s="85" t="n">
        <x:v>42646006.545068316</x:v>
      </x:c>
      <x:c r="K961" s="85" t="n">
        <x:v>167093.3750137023</x:v>
      </x:c>
      <x:c r="L961" s="28" t="n">
        <x:v>0</x:v>
      </x:c>
      <x:c r="M961" s="28" t="n">
        <x:v>0</x:v>
      </x:c>
      <x:c r="N961" s="28" t="n">
        <x:v>3.725290298461914e-9</x:v>
      </x:c>
      <x:c r="O961" s="28" t="n">
        <x:v>2.9802322387695312e-8</x:v>
      </x:c>
      <x:c r="P961" s="28" t="n">
        <x:v>0</x:v>
      </x:c>
      <x:c r="Q961" s="62" t="b">
        <x:v>1</x:v>
      </x:c>
      <x:c r="R961" s="28" t="n">
        <x:v>0</x:v>
      </x:c>
      <x:c r="S961" s="28" t="str">
        <x:v>ee3c64d4fe026be2</x:v>
      </x:c>
    </x:row>
    <x:row r="962" ht="21" customHeight="1">
      <x:c r="A962" s="60" t="n">
        <x:v>0.63</x:v>
      </x:c>
      <x:c r="B962" s="28" t="str">
        <x:v>level_flat</x:v>
      </x:c>
      <x:c r="C962" s="60" t="n">
        <x:v>0.45</x:v>
      </x:c>
      <x:c r="D962" s="60" t="n">
        <x:v>0.45</x:v>
      </x:c>
      <x:c r="E962" s="62" t="b">
        <x:v>1</x:v>
      </x:c>
      <x:c r="F962" s="62" t="b">
        <x:v>1</x:v>
      </x:c>
      <x:c r="G962" s="85" t="n">
        <x:v>0</x:v>
      </x:c>
      <x:c r="H962" s="85" t="n">
        <x:v>0</x:v>
      </x:c>
      <x:c r="I962" s="85" t="n">
        <x:v>44713203.21584343</x:v>
      </x:c>
      <x:c r="J962" s="85" t="n">
        <x:v>50800388.47804831</x:v>
      </x:c>
      <x:c r="K962" s="85" t="n">
        <x:v>135184.11350000423</x:v>
      </x:c>
      <x:c r="L962" s="28" t="n">
        <x:v>2</x:v>
      </x:c>
      <x:c r="M962" s="28" t="n">
        <x:v>0</x:v>
      </x:c>
      <x:c r="N962" s="28" t="n">
        <x:v>1.862645149230957e-9</x:v>
      </x:c>
      <x:c r="O962" s="28" t="n">
        <x:v>2.9802322387695312e-8</x:v>
      </x:c>
      <x:c r="P962" s="28" t="n">
        <x:v>0</x:v>
      </x:c>
      <x:c r="Q962" s="62" t="b">
        <x:v>1</x:v>
      </x:c>
      <x:c r="R962" s="28" t="n">
        <x:v>0</x:v>
      </x:c>
      <x:c r="S962" s="28" t="str">
        <x:v>ba633171f949dc1e</x:v>
      </x:c>
    </x:row>
    <x:row r="963" ht="21" customHeight="1">
      <x:c r="A963" s="60" t="n">
        <x:v>0.63</x:v>
      </x:c>
      <x:c r="B963" s="28" t="str">
        <x:v>level_flat</x:v>
      </x:c>
      <x:c r="C963" s="60" t="n">
        <x:v>0.5</x:v>
      </x:c>
      <x:c r="D963" s="60" t="n">
        <x:v>0.5</x:v>
      </x:c>
      <x:c r="E963" s="62" t="b">
        <x:v>1</x:v>
      </x:c>
      <x:c r="F963" s="62" t="b">
        <x:v>1</x:v>
      </x:c>
      <x:c r="G963" s="85" t="n">
        <x:v>0</x:v>
      </x:c>
      <x:c r="H963" s="85" t="n">
        <x:v>0</x:v>
      </x:c>
      <x:c r="I963" s="85" t="n">
        <x:v>52607811.433645695</x:v>
      </x:c>
      <x:c r="J963" s="85" t="n">
        <x:v>56700480.217006445</x:v>
      </x:c>
      <x:c r="K963" s="85" t="n">
        <x:v>103274.85198630103</x:v>
      </x:c>
      <x:c r="L963" s="28" t="n">
        <x:v>8</x:v>
      </x:c>
      <x:c r="M963" s="28" t="n">
        <x:v>0</x:v>
      </x:c>
      <x:c r="N963" s="28" t="n">
        <x:v>1.862645149230957e-9</x:v>
      </x:c>
      <x:c r="O963" s="28" t="n">
        <x:v>1.4901161193847656e-8</x:v>
      </x:c>
      <x:c r="P963" s="28" t="n">
        <x:v>0</x:v>
      </x:c>
      <x:c r="Q963" s="62" t="b">
        <x:v>1</x:v>
      </x:c>
      <x:c r="R963" s="28" t="n">
        <x:v>0</x:v>
      </x:c>
      <x:c r="S963" s="28" t="str">
        <x:v>69de388add77a64b</x:v>
      </x:c>
    </x:row>
    <x:row r="964" ht="21" customHeight="1">
      <x:c r="A964" s="60" t="n">
        <x:v>0.63</x:v>
      </x:c>
      <x:c r="B964" s="28" t="str">
        <x:v>level_flat</x:v>
      </x:c>
      <x:c r="C964" s="60" t="n">
        <x:v>0.55</x:v>
      </x:c>
      <x:c r="D964" s="60" t="n">
        <x:v>0.55</x:v>
      </x:c>
      <x:c r="E964" s="62" t="b">
        <x:v>1</x:v>
      </x:c>
      <x:c r="F964" s="62" t="b">
        <x:v>1</x:v>
      </x:c>
      <x:c r="G964" s="85" t="n">
        <x:v>0</x:v>
      </x:c>
      <x:c r="H964" s="85" t="n">
        <x:v>0</x:v>
      </x:c>
      <x:c r="I964" s="85" t="n">
        <x:v>59473456.67785109</x:v>
      </x:c>
      <x:c r="J964" s="85" t="n">
        <x:v>64783765.83683982</x:v>
      </x:c>
      <x:c r="K964" s="85" t="n">
        <x:v>71365.59047260295</x:v>
      </x:c>
      <x:c r="L964" s="28" t="n">
        <x:v>11</x:v>
      </x:c>
      <x:c r="M964" s="28" t="n">
        <x:v>1</x:v>
      </x:c>
      <x:c r="N964" s="28" t="n">
        <x:v>1.862645149230957e-9</x:v>
      </x:c>
      <x:c r="O964" s="28" t="n">
        <x:v>2.9802322387695312e-8</x:v>
      </x:c>
      <x:c r="P964" s="28" t="n">
        <x:v>0</x:v>
      </x:c>
      <x:c r="Q964" s="62" t="b">
        <x:v>1</x:v>
      </x:c>
      <x:c r="R964" s="28" t="n">
        <x:v>0</x:v>
      </x:c>
      <x:c r="S964" s="28" t="str">
        <x:v>d408dce4b0fe6b87</x:v>
      </x:c>
    </x:row>
    <x:row r="965" ht="21" customHeight="1">
      <x:c r="A965" s="60" t="n">
        <x:v>0.63</x:v>
      </x:c>
      <x:c r="B965" s="28" t="str">
        <x:v>level_flat</x:v>
      </x:c>
      <x:c r="C965" s="60" t="n">
        <x:v>0.6</x:v>
      </x:c>
      <x:c r="D965" s="60" t="n">
        <x:v>0.6</x:v>
      </x:c>
      <x:c r="E965" s="62" t="b">
        <x:v>1</x:v>
      </x:c>
      <x:c r="F965" s="62" t="b">
        <x:v>1</x:v>
      </x:c>
      <x:c r="G965" s="85" t="n">
        <x:v>0</x:v>
      </x:c>
      <x:c r="H965" s="85" t="n">
        <x:v>0</x:v>
      </x:c>
      <x:c r="I965" s="85" t="n">
        <x:v>65705318.083796084</x:v>
      </x:c>
      <x:c r="J965" s="85" t="n">
        <x:v>74187517.76285084</x:v>
      </x:c>
      <x:c r="K965" s="85" t="n">
        <x:v>39456.328958904895</x:v>
      </x:c>
      <x:c r="L965" s="28" t="n">
        <x:v>14</x:v>
      </x:c>
      <x:c r="M965" s="28" t="n">
        <x:v>7</x:v>
      </x:c>
      <x:c r="N965" s="28" t="n">
        <x:v>1.862645149230957e-9</x:v>
      </x:c>
      <x:c r="O965" s="28" t="n">
        <x:v>2.9802322387695312e-8</x:v>
      </x:c>
      <x:c r="P965" s="28" t="n">
        <x:v>0</x:v>
      </x:c>
      <x:c r="Q965" s="62" t="b">
        <x:v>1</x:v>
      </x:c>
      <x:c r="R965" s="28" t="n">
        <x:v>0</x:v>
      </x:c>
      <x:c r="S965" s="28" t="str">
        <x:v>650c97b1a984c92f</x:v>
      </x:c>
    </x:row>
    <x:row r="966" ht="21" customHeight="1">
      <x:c r="A966" s="60" t="n">
        <x:v>0.63</x:v>
      </x:c>
      <x:c r="B966" s="28" t="str">
        <x:v>level_flat</x:v>
      </x:c>
      <x:c r="C966" s="60" t="n">
        <x:v>0.65</x:v>
      </x:c>
      <x:c r="D966" s="60" t="n">
        <x:v>0.65</x:v>
      </x:c>
      <x:c r="E966" s="62" t="b">
        <x:v>1</x:v>
      </x:c>
      <x:c r="F966" s="62" t="b">
        <x:v>0</x:v>
      </x:c>
      <x:c r="G966" s="85" t="n">
        <x:v>321768.8573724306</x:v>
      </x:c>
      <x:c r="H966" s="85" t="n">
        <x:v>2072978.886765463</x:v>
      </x:c>
      <x:c r="I966" s="85" t="n">
        <x:v>71171685.98838049</x:v>
      </x:c>
      <x:c r="J966" s="85" t="n">
        <x:v>81000000</x:v>
      </x:c>
      <x:c r="K966" s="85" t="n">
        <x:v>13933.788287669682</x:v>
      </x:c>
      <x:c r="L966" s="28" t="n">
        <x:v>40</x:v>
      </x:c>
      <x:c r="M966" s="28" t="n">
        <x:v>32</x:v>
      </x:c>
      <x:c r="N966" s="28" t="n">
        <x:v>1.862645149230957e-9</x:v>
      </x:c>
      <x:c r="O966" s="28" t="n">
        <x:v>2.9802322387695312e-8</x:v>
      </x:c>
      <x:c r="P966" s="28" t="n">
        <x:v>0</x:v>
      </x:c>
      <x:c r="Q966" s="62" t="b">
        <x:v>1</x:v>
      </x:c>
      <x:c r="R966" s="28" t="n">
        <x:v>0</x:v>
      </x:c>
      <x:c r="S966" s="28" t="str">
        <x:v>cb8bfed1ca96d25b</x:v>
      </x:c>
    </x:row>
    <x:row r="967" ht="21" customHeight="1">
      <x:c r="A967" s="60" t="n">
        <x:v>0.63</x:v>
      </x:c>
      <x:c r="B967" s="28" t="str">
        <x:v>level_flat</x:v>
      </x:c>
      <x:c r="C967" s="60" t="n">
        <x:v>0.7</x:v>
      </x:c>
      <x:c r="D967" s="60" t="n">
        <x:v>0.7</x:v>
      </x:c>
      <x:c r="E967" s="62" t="b">
        <x:v>1</x:v>
      </x:c>
      <x:c r="F967" s="62" t="b">
        <x:v>0</x:v>
      </x:c>
      <x:c r="G967" s="85" t="n">
        <x:v>2257918.474824207</x:v>
      </x:c>
      <x:c r="H967" s="85" t="n">
        <x:v>13109764.75945489</x:v>
      </x:c>
      <x:c r="I967" s="85" t="n">
        <x:v>72568414.68404105</x:v>
      </x:c>
      <x:c r="J967" s="85" t="n">
        <x:v>81000000</x:v>
      </x:c>
      <x:c r="K967" s="85" t="n">
        <x:v>3256.8152054783714</x:v>
      </x:c>
      <x:c r="L967" s="28" t="n">
        <x:v>41</x:v>
      </x:c>
      <x:c r="M967" s="28" t="n">
        <x:v>34</x:v>
      </x:c>
      <x:c r="N967" s="28" t="n">
        <x:v>1.862645149230957e-9</x:v>
      </x:c>
      <x:c r="O967" s="28" t="n">
        <x:v>2.9802322387695312e-8</x:v>
      </x:c>
      <x:c r="P967" s="28" t="n">
        <x:v>0</x:v>
      </x:c>
      <x:c r="Q967" s="62" t="b">
        <x:v>1</x:v>
      </x:c>
      <x:c r="R967" s="28" t="n">
        <x:v>0</x:v>
      </x:c>
      <x:c r="S967" s="28" t="str">
        <x:v>654f2b53c0432511</x:v>
      </x:c>
    </x:row>
    <x:row r="968" ht="21" customHeight="1">
      <x:c r="A968" s="60" t="n">
        <x:v>0.63</x:v>
      </x:c>
      <x:c r="B968" s="28" t="str">
        <x:v>level_flat</x:v>
      </x:c>
      <x:c r="C968" s="60" t="n">
        <x:v>0.75</x:v>
      </x:c>
      <x:c r="D968" s="60" t="n">
        <x:v>0.75</x:v>
      </x:c>
      <x:c r="E968" s="62" t="b">
        <x:v>1</x:v>
      </x:c>
      <x:c r="F968" s="62" t="b">
        <x:v>0</x:v>
      </x:c>
      <x:c r="G968" s="85" t="n">
        <x:v>4494850.9574803095</x:v>
      </x:c>
      <x:c r="H968" s="85" t="n">
        <x:v>25201880.504358344</x:v>
      </x:c>
      <x:c r="I968" s="85" t="n">
        <x:v>72819853.7190068</x:v>
      </x:c>
      <x:c r="J968" s="85" t="n">
        <x:v>81000000</x:v>
      </x:c>
      <x:c r="K968" s="85" t="n">
        <x:v>0</x:v>
      </x:c>
      <x:c r="L968" s="28" t="n">
        <x:v>41</x:v>
      </x:c>
      <x:c r="M968" s="28" t="n">
        <x:v>34</x:v>
      </x:c>
      <x:c r="N968" s="28" t="n">
        <x:v>1.862645149230957e-9</x:v>
      </x:c>
      <x:c r="O968" s="28" t="n">
        <x:v>2.9802322387695312e-8</x:v>
      </x:c>
      <x:c r="P968" s="28" t="n">
        <x:v>0</x:v>
      </x:c>
      <x:c r="Q968" s="62" t="b">
        <x:v>1</x:v>
      </x:c>
      <x:c r="R968" s="28" t="n">
        <x:v>0</x:v>
      </x:c>
      <x:c r="S968" s="28" t="str">
        <x:v>05a4f77a8a91e2e4</x:v>
      </x:c>
    </x:row>
    <x:row r="969" ht="21" customHeight="1">
      <x:c r="A969" s="60" t="n">
        <x:v>0.63</x:v>
      </x:c>
      <x:c r="B969" s="28" t="str">
        <x:v>level_flat</x:v>
      </x:c>
      <x:c r="C969" s="60" t="n">
        <x:v>0.8</x:v>
      </x:c>
      <x:c r="D969" s="60" t="n">
        <x:v>0.8</x:v>
      </x:c>
      <x:c r="E969" s="62" t="b">
        <x:v>1</x:v>
      </x:c>
      <x:c r="F969" s="62" t="b">
        <x:v>0</x:v>
      </x:c>
      <x:c r="G969" s="85" t="n">
        <x:v>6878587.102211473</x:v>
      </x:c>
      <x:c r="H969" s="85" t="n">
        <x:v>35693581.73327694</x:v>
      </x:c>
      <x:c r="I969" s="85" t="n">
        <x:v>74022841.82508709</x:v>
      </x:c>
      <x:c r="J969" s="85" t="n">
        <x:v>81000000</x:v>
      </x:c>
      <x:c r="K969" s="85" t="n">
        <x:v>0</x:v>
      </x:c>
      <x:c r="L969" s="28" t="n">
        <x:v>42</x:v>
      </x:c>
      <x:c r="M969" s="28" t="n">
        <x:v>36</x:v>
      </x:c>
      <x:c r="N969" s="28" t="n">
        <x:v>1.862645149230957e-9</x:v>
      </x:c>
      <x:c r="O969" s="28" t="n">
        <x:v>2.9802322387695312e-8</x:v>
      </x:c>
      <x:c r="P969" s="28" t="n">
        <x:v>0</x:v>
      </x:c>
      <x:c r="Q969" s="62" t="b">
        <x:v>1</x:v>
      </x:c>
      <x:c r="R969" s="28" t="n">
        <x:v>0</x:v>
      </x:c>
      <x:c r="S969" s="28" t="str">
        <x:v>46ee72b151d57e87</x:v>
      </x:c>
    </x:row>
    <x:row r="970" ht="21" customHeight="1">
      <x:c r="A970" s="60" t="n">
        <x:v>0.63</x:v>
      </x:c>
      <x:c r="B970" s="28" t="str">
        <x:v>level_flat</x:v>
      </x:c>
      <x:c r="C970" s="60" t="n">
        <x:v>0.85</x:v>
      </x:c>
      <x:c r="D970" s="60" t="n">
        <x:v>0.85</x:v>
      </x:c>
      <x:c r="E970" s="62" t="b">
        <x:v>1</x:v>
      </x:c>
      <x:c r="F970" s="62" t="b">
        <x:v>0</x:v>
      </x:c>
      <x:c r="G970" s="85" t="n">
        <x:v>9144404.4364832</x:v>
      </x:c>
      <x:c r="H970" s="85" t="n">
        <x:v>45949097.30079414</x:v>
      </x:c>
      <x:c r="I970" s="85" t="n">
        <x:v>75287801.55417119</x:v>
      </x:c>
      <x:c r="J970" s="85" t="n">
        <x:v>81000000</x:v>
      </x:c>
      <x:c r="K970" s="85" t="n">
        <x:v>0</x:v>
      </x:c>
      <x:c r="L970" s="28" t="n">
        <x:v>43</x:v>
      </x:c>
      <x:c r="M970" s="28" t="n">
        <x:v>36</x:v>
      </x:c>
      <x:c r="N970" s="28" t="n">
        <x:v>1.862645149230957e-9</x:v>
      </x:c>
      <x:c r="O970" s="28" t="n">
        <x:v>2.9802322387695312e-8</x:v>
      </x:c>
      <x:c r="P970" s="28" t="n">
        <x:v>0</x:v>
      </x:c>
      <x:c r="Q970" s="62" t="b">
        <x:v>1</x:v>
      </x:c>
      <x:c r="R970" s="28" t="n">
        <x:v>0</x:v>
      </x:c>
      <x:c r="S970" s="28" t="str">
        <x:v>f68c4abf487a4e5d</x:v>
      </x:c>
    </x:row>
    <x:row r="971" ht="21" customHeight="1">
      <x:c r="A971" s="60" t="n">
        <x:v>0.63</x:v>
      </x:c>
      <x:c r="B971" s="28" t="str">
        <x:v>level_flat</x:v>
      </x:c>
      <x:c r="C971" s="60" t="n">
        <x:v>0.9</x:v>
      </x:c>
      <x:c r="D971" s="60" t="n">
        <x:v>0.9</x:v>
      </x:c>
      <x:c r="E971" s="62" t="b">
        <x:v>1</x:v>
      </x:c>
      <x:c r="F971" s="62" t="b">
        <x:v>0</x:v>
      </x:c>
      <x:c r="G971" s="85" t="n">
        <x:v>14295151.133817844</x:v>
      </x:c>
      <x:c r="H971" s="85" t="n">
        <x:v>55026808.477273814</x:v>
      </x:c>
      <x:c r="I971" s="85" t="n">
        <x:v>75418829.35331503</x:v>
      </x:c>
      <x:c r="J971" s="85" t="n">
        <x:v>81000000</x:v>
      </x:c>
      <x:c r="K971" s="85" t="n">
        <x:v>0</x:v>
      </x:c>
      <x:c r="L971" s="28" t="n">
        <x:v>43</x:v>
      </x:c>
      <x:c r="M971" s="28" t="n">
        <x:v>38</x:v>
      </x:c>
      <x:c r="N971" s="28" t="n">
        <x:v>1.862645149230957e-9</x:v>
      </x:c>
      <x:c r="O971" s="28" t="n">
        <x:v>7.450580596923828e-9</x:v>
      </x:c>
      <x:c r="P971" s="28" t="n">
        <x:v>0</x:v>
      </x:c>
      <x:c r="Q971" s="62" t="b">
        <x:v>1</x:v>
      </x:c>
      <x:c r="R971" s="28" t="n">
        <x:v>0</x:v>
      </x:c>
      <x:c r="S971" s="28" t="str">
        <x:v>d25a6aac353ebe56</x:v>
      </x:c>
    </x:row>
    <x:row r="972" ht="21" customHeight="1">
      <x:c r="A972" s="60" t="n">
        <x:v>0.63</x:v>
      </x:c>
      <x:c r="B972" s="28" t="str">
        <x:v>level_flat</x:v>
      </x:c>
      <x:c r="C972" s="60" t="n">
        <x:v>0.95</x:v>
      </x:c>
      <x:c r="D972" s="60" t="n">
        <x:v>0.9219114501462435</x:v>
      </x:c>
      <x:c r="E972" s="62" t="b">
        <x:v>0</x:v>
      </x:c>
      <x:c r="F972" s="62" t="b">
        <x:v>0</x:v>
      </x:c>
      <x:c r="G972" s="85" t="n">
        <x:v>15452085.08190156</x:v>
      </x:c>
      <x:c r="H972" s="85" t="n">
        <x:v>58503911.195531994</x:v>
      </x:c>
      <x:c r="I972" s="85" t="n">
        <x:v>76573278.1981986</x:v>
      </x:c>
      <x:c r="J972" s="85" t="n">
        <x:v>81000000</x:v>
      </x:c>
      <x:c r="K972" s="85" t="n">
        <x:v>0</x:v>
      </x:c>
      <x:c r="L972" s="28" t="n">
        <x:v>44</x:v>
      </x:c>
      <x:c r="M972" s="28" t="n">
        <x:v>38</x:v>
      </x:c>
      <x:c r="N972" s="28" t="n">
        <x:v>9.313225746154785e-10</x:v>
      </x:c>
      <x:c r="O972" s="28" t="n">
        <x:v>1.4901161193847656e-8</x:v>
      </x:c>
      <x:c r="P972" s="28" t="n">
        <x:v>0</x:v>
      </x:c>
      <x:c r="Q972" s="62" t="b">
        <x:v>1</x:v>
      </x:c>
      <x:c r="R972" s="28" t="n">
        <x:v>8426564.956126928</x:v>
      </x:c>
      <x:c r="S972" s="28" t="str">
        <x:v>c63dadb18a040d81</x:v>
      </x:c>
    </x:row>
    <x:row r="973" ht="21" customHeight="1">
      <x:c r="A973" s="60" t="n">
        <x:v>0.63</x:v>
      </x:c>
      <x:c r="B973" s="28" t="str">
        <x:v>level_flat</x:v>
      </x:c>
      <x:c r="C973" s="60" t="n">
        <x:v>1</x:v>
      </x:c>
      <x:c r="D973" s="60" t="n">
        <x:v>0.9350574964161632</x:v>
      </x:c>
      <x:c r="E973" s="62" t="b">
        <x:v>0</x:v>
      </x:c>
      <x:c r="F973" s="62" t="b">
        <x:v>0</x:v>
      </x:c>
      <x:c r="G973" s="85" t="n">
        <x:v>16990449.035607673</x:v>
      </x:c>
      <x:c r="H973" s="85" t="n">
        <x:v>61736091.84482936</x:v>
      </x:c>
      <x:c r="I973" s="85" t="n">
        <x:v>76669053.53054792</x:v>
      </x:c>
      <x:c r="J973" s="85" t="n">
        <x:v>81000000</x:v>
      </x:c>
      <x:c r="K973" s="85" t="n">
        <x:v>0</x:v>
      </x:c>
      <x:c r="L973" s="28" t="n">
        <x:v>44</x:v>
      </x:c>
      <x:c r="M973" s="28" t="n">
        <x:v>38</x:v>
      </x:c>
      <x:c r="N973" s="28" t="n">
        <x:v>1.862645149230957e-9</x:v>
      </x:c>
      <x:c r="O973" s="28" t="n">
        <x:v>7.450580596923828e-9</x:v>
      </x:c>
      <x:c r="P973" s="28" t="n">
        <x:v>0</x:v>
      </x:c>
      <x:c r="Q973" s="62" t="b">
        <x:v>1</x:v>
      </x:c>
      <x:c r="R973" s="28" t="n">
        <x:v>19482751.075151026</x:v>
      </x:c>
      <x:c r="S973" s="28" t="str">
        <x:v>c75eb8520da2bdf3</x:v>
      </x:c>
    </x:row>
    <x:row r="974" ht="21" customHeight="1">
      <x:c r="A974" s="60" t="n">
        <x:v>0.63</x:v>
      </x:c>
      <x:c r="B974" s="28" t="str">
        <x:v>level_low</x:v>
      </x:c>
      <x:c r="C974" s="60" t="n">
        <x:v>0</x:v>
      </x:c>
      <x:c r="D974" s="60" t="n">
        <x:v>0</x:v>
      </x:c>
      <x:c r="E974" s="62" t="b">
        <x:v>1</x:v>
      </x:c>
      <x:c r="F974" s="62" t="b">
        <x:v>1</x:v>
      </x:c>
      <x:c r="G974" s="85" t="n">
        <x:v>0</x:v>
      </x:c>
      <x:c r="H974" s="85" t="n">
        <x:v>0</x:v>
      </x:c>
      <x:c r="I974" s="85" t="n">
        <x:v>0</x:v>
      </x:c>
      <x:c r="J974" s="85" t="n">
        <x:v>0</x:v>
      </x:c>
      <x:c r="K974" s="85" t="n">
        <x:v>28002820.176027384</x:v>
      </x:c>
      <x:c r="L974" s="28" t="n">
        <x:v>0</x:v>
      </x:c>
      <x:c r="M974" s="28" t="n">
        <x:v>0</x:v>
      </x:c>
      <x:c r="N974" s="28" t="n">
        <x:v>1.862645149230957e-9</x:v>
      </x:c>
      <x:c r="O974" s="28" t="n">
        <x:v>0</x:v>
      </x:c>
      <x:c r="P974" s="28" t="n">
        <x:v>0</x:v>
      </x:c>
      <x:c r="Q974" s="62" t="b">
        <x:v>1</x:v>
      </x:c>
      <x:c r="R974" s="28" t="n">
        <x:v>0</x:v>
      </x:c>
      <x:c r="S974" s="28" t="str">
        <x:v>ca9aadc73d447928</x:v>
      </x:c>
    </x:row>
    <x:row r="975" ht="21" customHeight="1">
      <x:c r="A975" s="60" t="n">
        <x:v>0.63</x:v>
      </x:c>
      <x:c r="B975" s="28" t="str">
        <x:v>level_low</x:v>
      </x:c>
      <x:c r="C975" s="60" t="n">
        <x:v>0.05</x:v>
      </x:c>
      <x:c r="D975" s="60" t="n">
        <x:v>0.05</x:v>
      </x:c>
      <x:c r="E975" s="62" t="b">
        <x:v>1</x:v>
      </x:c>
      <x:c r="F975" s="62" t="b">
        <x:v>1</x:v>
      </x:c>
      <x:c r="G975" s="85" t="n">
        <x:v>0</x:v>
      </x:c>
      <x:c r="H975" s="85" t="n">
        <x:v>0</x:v>
      </x:c>
      <x:c r="I975" s="85" t="n">
        <x:v>0</x:v>
      </x:c>
      <x:c r="J975" s="85" t="n">
        <x:v>0</x:v>
      </x:c>
      <x:c r="K975" s="85" t="n">
        <x:v>17292327.37429706</x:v>
      </x:c>
      <x:c r="L975" s="28" t="n">
        <x:v>0</x:v>
      </x:c>
      <x:c r="M975" s="28" t="n">
        <x:v>0</x:v>
      </x:c>
      <x:c r="N975" s="28" t="n">
        <x:v>3.725290298461914e-9</x:v>
      </x:c>
      <x:c r="O975" s="28" t="n">
        <x:v>2.9802322387695312e-8</x:v>
      </x:c>
      <x:c r="P975" s="28" t="n">
        <x:v>0</x:v>
      </x:c>
      <x:c r="Q975" s="62" t="b">
        <x:v>1</x:v>
      </x:c>
      <x:c r="R975" s="28" t="n">
        <x:v>0</x:v>
      </x:c>
      <x:c r="S975" s="28" t="str">
        <x:v>a590f1d57727b27c</x:v>
      </x:c>
    </x:row>
    <x:row r="976" ht="21" customHeight="1">
      <x:c r="A976" s="60" t="n">
        <x:v>0.63</x:v>
      </x:c>
      <x:c r="B976" s="28" t="str">
        <x:v>level_low</x:v>
      </x:c>
      <x:c r="C976" s="60" t="n">
        <x:v>0.1</x:v>
      </x:c>
      <x:c r="D976" s="60" t="n">
        <x:v>0.1</x:v>
      </x:c>
      <x:c r="E976" s="62" t="b">
        <x:v>1</x:v>
      </x:c>
      <x:c r="F976" s="62" t="b">
        <x:v>1</x:v>
      </x:c>
      <x:c r="G976" s="85" t="n">
        <x:v>0</x:v>
      </x:c>
      <x:c r="H976" s="85" t="n">
        <x:v>0</x:v>
      </x:c>
      <x:c r="I976" s="85" t="n">
        <x:v>0</x:v>
      </x:c>
      <x:c r="J976" s="85" t="n">
        <x:v>0</x:v>
      </x:c>
      <x:c r="K976" s="85" t="n">
        <x:v>6498579.872071398</x:v>
      </x:c>
      <x:c r="L976" s="28" t="n">
        <x:v>0</x:v>
      </x:c>
      <x:c r="M976" s="28" t="n">
        <x:v>0</x:v>
      </x:c>
      <x:c r="N976" s="28" t="n">
        <x:v>3.725290298461914e-9</x:v>
      </x:c>
      <x:c r="O976" s="28" t="n">
        <x:v>5.960464477539063e-8</x:v>
      </x:c>
      <x:c r="P976" s="28" t="n">
        <x:v>0</x:v>
      </x:c>
      <x:c r="Q976" s="62" t="b">
        <x:v>1</x:v>
      </x:c>
      <x:c r="R976" s="28" t="n">
        <x:v>0</x:v>
      </x:c>
      <x:c r="S976" s="28" t="str">
        <x:v>613f08b08290d0ff</x:v>
      </x:c>
    </x:row>
    <x:row r="977" ht="21" customHeight="1">
      <x:c r="A977" s="60" t="n">
        <x:v>0.63</x:v>
      </x:c>
      <x:c r="B977" s="28" t="str">
        <x:v>level_low</x:v>
      </x:c>
      <x:c r="C977" s="60" t="n">
        <x:v>0.15</x:v>
      </x:c>
      <x:c r="D977" s="60" t="n">
        <x:v>0.15</x:v>
      </x:c>
      <x:c r="E977" s="62" t="b">
        <x:v>1</x:v>
      </x:c>
      <x:c r="F977" s="62" t="b">
        <x:v>1</x:v>
      </x:c>
      <x:c r="G977" s="85" t="n">
        <x:v>0</x:v>
      </x:c>
      <x:c r="H977" s="85" t="n">
        <x:v>0</x:v>
      </x:c>
      <x:c r="I977" s="85" t="n">
        <x:v>3067955.5144554917</x:v>
      </x:c>
      <x:c r="J977" s="85" t="n">
        <x:v>0</x:v>
      </x:c>
      <x:c r="K977" s="85" t="n">
        <x:v>71291.31165068729</x:v>
      </x:c>
      <x:c r="L977" s="28" t="n">
        <x:v>0</x:v>
      </x:c>
      <x:c r="M977" s="28" t="n">
        <x:v>0</x:v>
      </x:c>
      <x:c r="N977" s="28" t="n">
        <x:v>1.862645149230957e-9</x:v>
      </x:c>
      <x:c r="O977" s="28" t="n">
        <x:v>2.9802322387695312e-8</x:v>
      </x:c>
      <x:c r="P977" s="28" t="n">
        <x:v>0</x:v>
      </x:c>
      <x:c r="Q977" s="62" t="b">
        <x:v>1</x:v>
      </x:c>
      <x:c r="R977" s="28" t="n">
        <x:v>0</x:v>
      </x:c>
      <x:c r="S977" s="28" t="str">
        <x:v>ef3a6a507b4efe58</x:v>
      </x:c>
    </x:row>
    <x:row r="978" ht="21" customHeight="1">
      <x:c r="A978" s="60" t="n">
        <x:v>0.63</x:v>
      </x:c>
      <x:c r="B978" s="28" t="str">
        <x:v>level_low</x:v>
      </x:c>
      <x:c r="C978" s="60" t="n">
        <x:v>0.2</x:v>
      </x:c>
      <x:c r="D978" s="60" t="n">
        <x:v>0.2</x:v>
      </x:c>
      <x:c r="E978" s="62" t="b">
        <x:v>1</x:v>
      </x:c>
      <x:c r="F978" s="62" t="b">
        <x:v>1</x:v>
      </x:c>
      <x:c r="G978" s="85" t="n">
        <x:v>0</x:v>
      </x:c>
      <x:c r="H978" s="85" t="n">
        <x:v>0</x:v>
      </x:c>
      <x:c r="I978" s="85" t="n">
        <x:v>9401189.80590107</x:v>
      </x:c>
      <x:c r="J978" s="85" t="n">
        <x:v>6323003.272534233</x:v>
      </x:c>
      <x:c r="K978" s="85" t="n">
        <x:v>49717.076410957496</x:v>
      </x:c>
      <x:c r="L978" s="28" t="n">
        <x:v>0</x:v>
      </x:c>
      <x:c r="M978" s="28" t="n">
        <x:v>0</x:v>
      </x:c>
      <x:c r="N978" s="28" t="n">
        <x:v>3.725290298461914e-9</x:v>
      </x:c>
      <x:c r="O978" s="28" t="n">
        <x:v>2.9802322387695312e-8</x:v>
      </x:c>
      <x:c r="P978" s="28" t="n">
        <x:v>0</x:v>
      </x:c>
      <x:c r="Q978" s="62" t="b">
        <x:v>1</x:v>
      </x:c>
      <x:c r="R978" s="28" t="n">
        <x:v>0</x:v>
      </x:c>
      <x:c r="S978" s="28" t="str">
        <x:v>782c74dc70cc39df</x:v>
      </x:c>
    </x:row>
    <x:row r="979" ht="21" customHeight="1">
      <x:c r="A979" s="60" t="n">
        <x:v>0.63</x:v>
      </x:c>
      <x:c r="B979" s="28" t="str">
        <x:v>level_low</x:v>
      </x:c>
      <x:c r="C979" s="60" t="n">
        <x:v>0.25</x:v>
      </x:c>
      <x:c r="D979" s="60" t="n">
        <x:v>0.25</x:v>
      </x:c>
      <x:c r="E979" s="62" t="b">
        <x:v>1</x:v>
      </x:c>
      <x:c r="F979" s="62" t="b">
        <x:v>1</x:v>
      </x:c>
      <x:c r="G979" s="85" t="n">
        <x:v>0</x:v>
      </x:c>
      <x:c r="H979" s="85" t="n">
        <x:v>0</x:v>
      </x:c>
      <x:c r="I979" s="85" t="n">
        <x:v>13631809.221081784</x:v>
      </x:c>
      <x:c r="J979" s="85" t="n">
        <x:v>15403754.090667734</x:v>
      </x:c>
      <x:c r="K979" s="85" t="n">
        <x:v>31509.55407534234</x:v>
      </x:c>
      <x:c r="L979" s="28" t="n">
        <x:v>0</x:v>
      </x:c>
      <x:c r="M979" s="28" t="n">
        <x:v>0</x:v>
      </x:c>
      <x:c r="N979" s="28" t="n">
        <x:v>1.862645149230957e-9</x:v>
      </x:c>
      <x:c r="O979" s="28" t="n">
        <x:v>2.9802322387695312e-8</x:v>
      </x:c>
      <x:c r="P979" s="28" t="n">
        <x:v>0</x:v>
      </x:c>
      <x:c r="Q979" s="62" t="b">
        <x:v>1</x:v>
      </x:c>
      <x:c r="R979" s="28" t="n">
        <x:v>0</x:v>
      </x:c>
      <x:c r="S979" s="28" t="str">
        <x:v>b8027e46710026b5</x:v>
      </x:c>
    </x:row>
    <x:row r="980" ht="21" customHeight="1">
      <x:c r="A980" s="60" t="n">
        <x:v>0.63</x:v>
      </x:c>
      <x:c r="B980" s="28" t="str">
        <x:v>level_low</x:v>
      </x:c>
      <x:c r="C980" s="60" t="n">
        <x:v>0.3</x:v>
      </x:c>
      <x:c r="D980" s="60" t="n">
        <x:v>0.3</x:v>
      </x:c>
      <x:c r="E980" s="62" t="b">
        <x:v>1</x:v>
      </x:c>
      <x:c r="F980" s="62" t="b">
        <x:v>1</x:v>
      </x:c>
      <x:c r="G980" s="85" t="n">
        <x:v>0</x:v>
      </x:c>
      <x:c r="H980" s="85" t="n">
        <x:v>0</x:v>
      </x:c>
      <x:c r="I980" s="85" t="n">
        <x:v>17919563.307966057</x:v>
      </x:c>
      <x:c r="J980" s="85" t="n">
        <x:v>24484504.90880119</x:v>
      </x:c>
      <x:c r="K980" s="85" t="n">
        <x:v>13302.031739724393</x:v>
      </x:c>
      <x:c r="L980" s="28" t="n">
        <x:v>0</x:v>
      </x:c>
      <x:c r="M980" s="28" t="n">
        <x:v>0</x:v>
      </x:c>
      <x:c r="N980" s="28" t="n">
        <x:v>3.725290298461914e-9</x:v>
      </x:c>
      <x:c r="O980" s="28" t="n">
        <x:v>7.450580596923828e-9</x:v>
      </x:c>
      <x:c r="P980" s="28" t="n">
        <x:v>0</x:v>
      </x:c>
      <x:c r="Q980" s="62" t="b">
        <x:v>1</x:v>
      </x:c>
      <x:c r="R980" s="28" t="n">
        <x:v>0</x:v>
      </x:c>
      <x:c r="S980" s="28" t="str">
        <x:v>07155c5df0d8cc2a</x:v>
      </x:c>
    </x:row>
    <x:row r="981" ht="21" customHeight="1">
      <x:c r="A981" s="60" t="n">
        <x:v>0.63</x:v>
      </x:c>
      <x:c r="B981" s="28" t="str">
        <x:v>level_low</x:v>
      </x:c>
      <x:c r="C981" s="60" t="n">
        <x:v>0.35</x:v>
      </x:c>
      <x:c r="D981" s="60" t="n">
        <x:v>0.35</x:v>
      </x:c>
      <x:c r="E981" s="62" t="b">
        <x:v>1</x:v>
      </x:c>
      <x:c r="F981" s="62" t="b">
        <x:v>1</x:v>
      </x:c>
      <x:c r="G981" s="85" t="n">
        <x:v>0</x:v>
      </x:c>
      <x:c r="H981" s="85" t="n">
        <x:v>0</x:v>
      </x:c>
      <x:c r="I981" s="85" t="n">
        <x:v>22226145.313022852</x:v>
      </x:c>
      <x:c r="J981" s="85" t="n">
        <x:v>33565255.726934746</x:v>
      </x:c>
      <x:c r="K981" s="85" t="n">
        <x:v>0</x:v>
      </x:c>
      <x:c r="L981" s="28" t="n">
        <x:v>0</x:v>
      </x:c>
      <x:c r="M981" s="28" t="n">
        <x:v>0</x:v>
      </x:c>
      <x:c r="N981" s="28" t="n">
        <x:v>9.313225746154785e-10</x:v>
      </x:c>
      <x:c r="O981" s="28" t="n">
        <x:v>2.9802322387695312e-8</x:v>
      </x:c>
      <x:c r="P981" s="28" t="n">
        <x:v>0</x:v>
      </x:c>
      <x:c r="Q981" s="62" t="b">
        <x:v>1</x:v>
      </x:c>
      <x:c r="R981" s="28" t="n">
        <x:v>0</x:v>
      </x:c>
      <x:c r="S981" s="28" t="str">
        <x:v>ca87702335f8f222</x:v>
      </x:c>
    </x:row>
    <x:row r="982" ht="21" customHeight="1">
      <x:c r="A982" s="60" t="n">
        <x:v>0.63</x:v>
      </x:c>
      <x:c r="B982" s="28" t="str">
        <x:v>level_low</x:v>
      </x:c>
      <x:c r="C982" s="60" t="n">
        <x:v>0.4</x:v>
      </x:c>
      <x:c r="D982" s="60" t="n">
        <x:v>0.4</x:v>
      </x:c>
      <x:c r="E982" s="62" t="b">
        <x:v>1</x:v>
      </x:c>
      <x:c r="F982" s="62" t="b">
        <x:v>1</x:v>
      </x:c>
      <x:c r="G982" s="85" t="n">
        <x:v>0</x:v>
      </x:c>
      <x:c r="H982" s="85" t="n">
        <x:v>0</x:v>
      </x:c>
      <x:c r="I982" s="85" t="n">
        <x:v>26499956.367622983</x:v>
      </x:c>
      <x:c r="J982" s="85" t="n">
        <x:v>42646006.545068316</x:v>
      </x:c>
      <x:c r="K982" s="85" t="n">
        <x:v>0</x:v>
      </x:c>
      <x:c r="L982" s="28" t="n">
        <x:v>0</x:v>
      </x:c>
      <x:c r="M982" s="28" t="n">
        <x:v>0</x:v>
      </x:c>
      <x:c r="N982" s="28" t="n">
        <x:v>3.725290298461914e-9</x:v>
      </x:c>
      <x:c r="O982" s="28" t="n">
        <x:v>2.9802322387695312e-8</x:v>
      </x:c>
      <x:c r="P982" s="28" t="n">
        <x:v>0</x:v>
      </x:c>
      <x:c r="Q982" s="62" t="b">
        <x:v>1</x:v>
      </x:c>
      <x:c r="R982" s="28" t="n">
        <x:v>0</x:v>
      </x:c>
      <x:c r="S982" s="28" t="str">
        <x:v>024c834310b16154</x:v>
      </x:c>
    </x:row>
    <x:row r="983" ht="21" customHeight="1">
      <x:c r="A983" s="60" t="n">
        <x:v>0.63</x:v>
      </x:c>
      <x:c r="B983" s="28" t="str">
        <x:v>level_low</x:v>
      </x:c>
      <x:c r="C983" s="60" t="n">
        <x:v>0.45</x:v>
      </x:c>
      <x:c r="D983" s="60" t="n">
        <x:v>0.45</x:v>
      </x:c>
      <x:c r="E983" s="62" t="b">
        <x:v>1</x:v>
      </x:c>
      <x:c r="F983" s="62" t="b">
        <x:v>1</x:v>
      </x:c>
      <x:c r="G983" s="85" t="n">
        <x:v>0</x:v>
      </x:c>
      <x:c r="H983" s="85" t="n">
        <x:v>0</x:v>
      </x:c>
      <x:c r="I983" s="85" t="n">
        <x:v>31513825.866896115</x:v>
      </x:c>
      <x:c r="J983" s="85" t="n">
        <x:v>50582165.32173368</x:v>
      </x:c>
      <x:c r="K983" s="85" t="n">
        <x:v>0</x:v>
      </x:c>
      <x:c r="L983" s="28" t="n">
        <x:v>3</x:v>
      </x:c>
      <x:c r="M983" s="28" t="n">
        <x:v>0</x:v>
      </x:c>
      <x:c r="N983" s="28" t="n">
        <x:v>3.725290298461914e-9</x:v>
      </x:c>
      <x:c r="O983" s="28" t="n">
        <x:v>2.9802322387695312e-8</x:v>
      </x:c>
      <x:c r="P983" s="28" t="n">
        <x:v>0</x:v>
      </x:c>
      <x:c r="Q983" s="62" t="b">
        <x:v>1</x:v>
      </x:c>
      <x:c r="R983" s="28" t="n">
        <x:v>0</x:v>
      </x:c>
      <x:c r="S983" s="28" t="str">
        <x:v>305821c493cb0bc8</x:v>
      </x:c>
    </x:row>
    <x:row r="984" ht="21" customHeight="1">
      <x:c r="A984" s="60" t="n">
        <x:v>0.63</x:v>
      </x:c>
      <x:c r="B984" s="28" t="str">
        <x:v>level_low</x:v>
      </x:c>
      <x:c r="C984" s="60" t="n">
        <x:v>0.5</x:v>
      </x:c>
      <x:c r="D984" s="60" t="n">
        <x:v>0.5</x:v>
      </x:c>
      <x:c r="E984" s="62" t="b">
        <x:v>1</x:v>
      </x:c>
      <x:c r="F984" s="62" t="b">
        <x:v>1</x:v>
      </x:c>
      <x:c r="G984" s="85" t="n">
        <x:v>0</x:v>
      </x:c>
      <x:c r="H984" s="85" t="n">
        <x:v>0</x:v>
      </x:c>
      <x:c r="I984" s="85" t="n">
        <x:v>37146038.55008062</x:v>
      </x:c>
      <x:c r="J984" s="85" t="n">
        <x:v>57444915.844732836</x:v>
      </x:c>
      <x:c r="K984" s="85" t="n">
        <x:v>0</x:v>
      </x:c>
      <x:c r="L984" s="28" t="n">
        <x:v>8</x:v>
      </x:c>
      <x:c r="M984" s="28" t="n">
        <x:v>0</x:v>
      </x:c>
      <x:c r="N984" s="28" t="n">
        <x:v>9.313225746154785e-10</x:v>
      </x:c>
      <x:c r="O984" s="28" t="n">
        <x:v>1.4901161193847656e-8</x:v>
      </x:c>
      <x:c r="P984" s="28" t="n">
        <x:v>0</x:v>
      </x:c>
      <x:c r="Q984" s="62" t="b">
        <x:v>1</x:v>
      </x:c>
      <x:c r="R984" s="28" t="n">
        <x:v>0</x:v>
      </x:c>
      <x:c r="S984" s="28" t="str">
        <x:v>325c98ae16a4901e</x:v>
      </x:c>
    </x:row>
    <x:row r="985" ht="21" customHeight="1">
      <x:c r="A985" s="60" t="n">
        <x:v>0.63</x:v>
      </x:c>
      <x:c r="B985" s="28" t="str">
        <x:v>level_low</x:v>
      </x:c>
      <x:c r="C985" s="60" t="n">
        <x:v>0.55</x:v>
      </x:c>
      <x:c r="D985" s="60" t="n">
        <x:v>0.55</x:v>
      </x:c>
      <x:c r="E985" s="62" t="b">
        <x:v>1</x:v>
      </x:c>
      <x:c r="F985" s="62" t="b">
        <x:v>1</x:v>
      </x:c>
      <x:c r="G985" s="85" t="n">
        <x:v>0</x:v>
      </x:c>
      <x:c r="H985" s="85" t="n">
        <x:v>0</x:v>
      </x:c>
      <x:c r="I985" s="85" t="n">
        <x:v>41953920.78763398</x:v>
      </x:c>
      <x:c r="J985" s="85" t="n">
        <x:v>65530734.55472244</x:v>
      </x:c>
      <x:c r="K985" s="85" t="n">
        <x:v>0</x:v>
      </x:c>
      <x:c r="L985" s="28" t="n">
        <x:v>11</x:v>
      </x:c>
      <x:c r="M985" s="28" t="n">
        <x:v>0</x:v>
      </x:c>
      <x:c r="N985" s="28" t="n">
        <x:v>1.862645149230957e-9</x:v>
      </x:c>
      <x:c r="O985" s="28" t="n">
        <x:v>2.9802322387695312e-8</x:v>
      </x:c>
      <x:c r="P985" s="28" t="n">
        <x:v>0</x:v>
      </x:c>
      <x:c r="Q985" s="62" t="b">
        <x:v>1</x:v>
      </x:c>
      <x:c r="R985" s="28" t="n">
        <x:v>0</x:v>
      </x:c>
      <x:c r="S985" s="28" t="str">
        <x:v>c07598da4c2cea17</x:v>
      </x:c>
    </x:row>
    <x:row r="986" ht="21" customHeight="1">
      <x:c r="A986" s="60" t="n">
        <x:v>0.63</x:v>
      </x:c>
      <x:c r="B986" s="28" t="str">
        <x:v>level_low</x:v>
      </x:c>
      <x:c r="C986" s="60" t="n">
        <x:v>0.6</x:v>
      </x:c>
      <x:c r="D986" s="60" t="n">
        <x:v>0.6</x:v>
      </x:c>
      <x:c r="E986" s="62" t="b">
        <x:v>1</x:v>
      </x:c>
      <x:c r="F986" s="62" t="b">
        <x:v>1</x:v>
      </x:c>
      <x:c r="G986" s="85" t="n">
        <x:v>0</x:v>
      </x:c>
      <x:c r="H986" s="85" t="n">
        <x:v>0</x:v>
      </x:c>
      <x:c r="I986" s="85" t="n">
        <x:v>46139025.92603247</x:v>
      </x:c>
      <x:c r="J986" s="85" t="n">
        <x:v>74495260.30449598</x:v>
      </x:c>
      <x:c r="K986" s="85" t="n">
        <x:v>0</x:v>
      </x:c>
      <x:c r="L986" s="28" t="n">
        <x:v>14</x:v>
      </x:c>
      <x:c r="M986" s="28" t="n">
        <x:v>0</x:v>
      </x:c>
      <x:c r="N986" s="28" t="n">
        <x:v>1.862645149230957e-9</x:v>
      </x:c>
      <x:c r="O986" s="28" t="n">
        <x:v>2.9802322387695312e-8</x:v>
      </x:c>
      <x:c r="P986" s="28" t="n">
        <x:v>0</x:v>
      </x:c>
      <x:c r="Q986" s="62" t="b">
        <x:v>1</x:v>
      </x:c>
      <x:c r="R986" s="28" t="n">
        <x:v>0</x:v>
      </x:c>
      <x:c r="S986" s="28" t="str">
        <x:v>f2ea86aa15ae2752</x:v>
      </x:c>
    </x:row>
    <x:row r="987" ht="21" customHeight="1">
      <x:c r="A987" s="60" t="n">
        <x:v>0.63</x:v>
      </x:c>
      <x:c r="B987" s="28" t="str">
        <x:v>level_low</x:v>
      </x:c>
      <x:c r="C987" s="60" t="n">
        <x:v>0.65</x:v>
      </x:c>
      <x:c r="D987" s="60" t="n">
        <x:v>0.65</x:v>
      </x:c>
      <x:c r="E987" s="62" t="b">
        <x:v>1</x:v>
      </x:c>
      <x:c r="F987" s="62" t="b">
        <x:v>0</x:v>
      </x:c>
      <x:c r="G987" s="85" t="n">
        <x:v>128758.0290247154</x:v>
      </x:c>
      <x:c r="H987" s="85" t="n">
        <x:v>1922263.7124629521</x:v>
      </x:c>
      <x:c r="I987" s="85" t="n">
        <x:v>49986500.16607915</x:v>
      </x:c>
      <x:c r="J987" s="85" t="n">
        <x:v>81000000</x:v>
      </x:c>
      <x:c r="K987" s="85" t="n">
        <x:v>0</x:v>
      </x:c>
      <x:c r="L987" s="28" t="n">
        <x:v>40</x:v>
      </x:c>
      <x:c r="M987" s="28" t="n">
        <x:v>24</x:v>
      </x:c>
      <x:c r="N987" s="28" t="n">
        <x:v>1.862645149230957e-9</x:v>
      </x:c>
      <x:c r="O987" s="28" t="n">
        <x:v>2.9802322387695312e-8</x:v>
      </x:c>
      <x:c r="P987" s="28" t="n">
        <x:v>0</x:v>
      </x:c>
      <x:c r="Q987" s="62" t="b">
        <x:v>1</x:v>
      </x:c>
      <x:c r="R987" s="28" t="n">
        <x:v>0</x:v>
      </x:c>
      <x:c r="S987" s="28" t="str">
        <x:v>c33fca6b50e370f9</x:v>
      </x:c>
    </x:row>
    <x:row r="988" ht="21" customHeight="1">
      <x:c r="A988" s="60" t="n">
        <x:v>0.63</x:v>
      </x:c>
      <x:c r="B988" s="28" t="str">
        <x:v>level_low</x:v>
      </x:c>
      <x:c r="C988" s="60" t="n">
        <x:v>0.7</x:v>
      </x:c>
      <x:c r="D988" s="60" t="n">
        <x:v>0.7</x:v>
      </x:c>
      <x:c r="E988" s="62" t="b">
        <x:v>1</x:v>
      </x:c>
      <x:c r="F988" s="62" t="b">
        <x:v>0</x:v>
      </x:c>
      <x:c r="G988" s="85" t="n">
        <x:v>778495.0883016115</x:v>
      </x:c>
      <x:c r="H988" s="85" t="n">
        <x:v>11726369.257810486</x:v>
      </x:c>
      <x:c r="I988" s="85" t="n">
        <x:v>51019654.863767095</x:v>
      </x:c>
      <x:c r="J988" s="85" t="n">
        <x:v>81000000</x:v>
      </x:c>
      <x:c r="K988" s="85" t="n">
        <x:v>0</x:v>
      </x:c>
      <x:c r="L988" s="28" t="n">
        <x:v>41</x:v>
      </x:c>
      <x:c r="M988" s="28" t="n">
        <x:v>30</x:v>
      </x:c>
      <x:c r="N988" s="28" t="n">
        <x:v>1.862645149230957e-9</x:v>
      </x:c>
      <x:c r="O988" s="28" t="n">
        <x:v>2.9802322387695312e-8</x:v>
      </x:c>
      <x:c r="P988" s="28" t="n">
        <x:v>0</x:v>
      </x:c>
      <x:c r="Q988" s="62" t="b">
        <x:v>1</x:v>
      </x:c>
      <x:c r="R988" s="28" t="n">
        <x:v>0</x:v>
      </x:c>
      <x:c r="S988" s="28" t="str">
        <x:v>2d5cb1c50528af0d</x:v>
      </x:c>
    </x:row>
    <x:row r="989" ht="21" customHeight="1">
      <x:c r="A989" s="60" t="n">
        <x:v>0.63</x:v>
      </x:c>
      <x:c r="B989" s="28" t="str">
        <x:v>level_low</x:v>
      </x:c>
      <x:c r="C989" s="60" t="n">
        <x:v>0.75</x:v>
      </x:c>
      <x:c r="D989" s="60" t="n">
        <x:v>0.75</x:v>
      </x:c>
      <x:c r="E989" s="62" t="b">
        <x:v>1</x:v>
      </x:c>
      <x:c r="F989" s="62" t="b">
        <x:v>0</x:v>
      </x:c>
      <x:c r="G989" s="85" t="n">
        <x:v>1665540.022710667</x:v>
      </x:c>
      <x:c r="H989" s="85" t="n">
        <x:v>22448303.675014254</x:v>
      </x:c>
      <x:c r="I989" s="85" t="n">
        <x:v>51161385.73544518</x:v>
      </x:c>
      <x:c r="J989" s="85" t="n">
        <x:v>81000000</x:v>
      </x:c>
      <x:c r="K989" s="85" t="n">
        <x:v>0</x:v>
      </x:c>
      <x:c r="L989" s="28" t="n">
        <x:v>41</x:v>
      </x:c>
      <x:c r="M989" s="28" t="n">
        <x:v>32</x:v>
      </x:c>
      <x:c r="N989" s="28" t="n">
        <x:v>1.862645149230957e-9</x:v>
      </x:c>
      <x:c r="O989" s="28" t="n">
        <x:v>2.9802322387695312e-8</x:v>
      </x:c>
      <x:c r="P989" s="28" t="n">
        <x:v>0</x:v>
      </x:c>
      <x:c r="Q989" s="62" t="b">
        <x:v>1</x:v>
      </x:c>
      <x:c r="R989" s="28" t="n">
        <x:v>0</x:v>
      </x:c>
      <x:c r="S989" s="28" t="str">
        <x:v>af0d4c303b4c2512</x:v>
      </x:c>
    </x:row>
    <x:row r="990" ht="21" customHeight="1">
      <x:c r="A990" s="60" t="n">
        <x:v>0.63</x:v>
      </x:c>
      <x:c r="B990" s="28" t="str">
        <x:v>level_low</x:v>
      </x:c>
      <x:c r="C990" s="60" t="n">
        <x:v>0.8</x:v>
      </x:c>
      <x:c r="D990" s="60" t="n">
        <x:v>0.8</x:v>
      </x:c>
      <x:c r="E990" s="62" t="b">
        <x:v>1</x:v>
      </x:c>
      <x:c r="F990" s="62" t="b">
        <x:v>0</x:v>
      </x:c>
      <x:c r="G990" s="85" t="n">
        <x:v>2447942.623436394</x:v>
      </x:c>
      <x:c r="H990" s="85" t="n">
        <x:v>32125711.34851317</x:v>
      </x:c>
      <x:c r="I990" s="85" t="n">
        <x:v>52050984.67527887</x:v>
      </x:c>
      <x:c r="J990" s="85" t="n">
        <x:v>81000000</x:v>
      </x:c>
      <x:c r="K990" s="85" t="n">
        <x:v>0</x:v>
      </x:c>
      <x:c r="L990" s="28" t="n">
        <x:v>42</x:v>
      </x:c>
      <x:c r="M990" s="28" t="n">
        <x:v>32</x:v>
      </x:c>
      <x:c r="N990" s="28" t="n">
        <x:v>1.862645149230957e-9</x:v>
      </x:c>
      <x:c r="O990" s="28" t="n">
        <x:v>2.9802322387695312e-8</x:v>
      </x:c>
      <x:c r="P990" s="28" t="n">
        <x:v>0</x:v>
      </x:c>
      <x:c r="Q990" s="62" t="b">
        <x:v>1</x:v>
      </x:c>
      <x:c r="R990" s="28" t="n">
        <x:v>0</x:v>
      </x:c>
      <x:c r="S990" s="28" t="str">
        <x:v>a3047853ebf6b5bb</x:v>
      </x:c>
    </x:row>
    <x:row r="991" ht="21" customHeight="1">
      <x:c r="A991" s="60" t="n">
        <x:v>0.63</x:v>
      </x:c>
      <x:c r="B991" s="28" t="str">
        <x:v>level_low</x:v>
      </x:c>
      <x:c r="C991" s="60" t="n">
        <x:v>0.85</x:v>
      </x:c>
      <x:c r="D991" s="60" t="n">
        <x:v>0.85</x:v>
      </x:c>
      <x:c r="E991" s="62" t="b">
        <x:v>1</x:v>
      </x:c>
      <x:c r="F991" s="62" t="b">
        <x:v>0</x:v>
      </x:c>
      <x:c r="G991" s="85" t="n">
        <x:v>3435547.9714339175</x:v>
      </x:c>
      <x:c r="H991" s="85" t="n">
        <x:v>41556292.81357849</x:v>
      </x:c>
      <x:c r="I991" s="85" t="n">
        <x:v>53015410.604650654</x:v>
      </x:c>
      <x:c r="J991" s="85" t="n">
        <x:v>81000000</x:v>
      </x:c>
      <x:c r="K991" s="85" t="n">
        <x:v>0</x:v>
      </x:c>
      <x:c r="L991" s="28" t="n">
        <x:v>43</x:v>
      </x:c>
      <x:c r="M991" s="28" t="n">
        <x:v>34</x:v>
      </x:c>
      <x:c r="N991" s="28" t="n">
        <x:v>9.313225746154785e-10</x:v>
      </x:c>
      <x:c r="O991" s="28" t="n">
        <x:v>2.9802322387695312e-8</x:v>
      </x:c>
      <x:c r="P991" s="28" t="n">
        <x:v>0</x:v>
      </x:c>
      <x:c r="Q991" s="62" t="b">
        <x:v>1</x:v>
      </x:c>
      <x:c r="R991" s="28" t="n">
        <x:v>0</x:v>
      </x:c>
      <x:c r="S991" s="28" t="str">
        <x:v>eba3160614f67c4d</x:v>
      </x:c>
    </x:row>
    <x:row r="992" ht="21" customHeight="1">
      <x:c r="A992" s="60" t="n">
        <x:v>0.63</x:v>
      </x:c>
      <x:c r="B992" s="28" t="str">
        <x:v>level_low</x:v>
      </x:c>
      <x:c r="C992" s="60" t="n">
        <x:v>0.9</x:v>
      </x:c>
      <x:c r="D992" s="60" t="n">
        <x:v>0.9</x:v>
      </x:c>
      <x:c r="E992" s="62" t="b">
        <x:v>1</x:v>
      </x:c>
      <x:c r="F992" s="62" t="b">
        <x:v>0</x:v>
      </x:c>
      <x:c r="G992" s="85" t="n">
        <x:v>5469512.539768456</x:v>
      </x:c>
      <x:c r="H992" s="85" t="n">
        <x:v>51297497.195217066</x:v>
      </x:c>
      <x:c r="I992" s="85" t="n">
        <x:v>53085672.32031505</x:v>
      </x:c>
      <x:c r="J992" s="85" t="n">
        <x:v>81000000</x:v>
      </x:c>
      <x:c r="K992" s="85" t="n">
        <x:v>0</x:v>
      </x:c>
      <x:c r="L992" s="28" t="n">
        <x:v>43</x:v>
      </x:c>
      <x:c r="M992" s="28" t="n">
        <x:v>34</x:v>
      </x:c>
      <x:c r="N992" s="28" t="n">
        <x:v>1.862645149230957e-9</x:v>
      </x:c>
      <x:c r="O992" s="28" t="n">
        <x:v>7.450580596923828e-9</x:v>
      </x:c>
      <x:c r="P992" s="28" t="n">
        <x:v>0</x:v>
      </x:c>
      <x:c r="Q992" s="62" t="b">
        <x:v>1</x:v>
      </x:c>
      <x:c r="R992" s="28" t="n">
        <x:v>0</x:v>
      </x:c>
      <x:c r="S992" s="28" t="str">
        <x:v>1f6df8ddb6730f1c</x:v>
      </x:c>
    </x:row>
    <x:row r="993" ht="21" customHeight="1">
      <x:c r="A993" s="60" t="n">
        <x:v>0.63</x:v>
      </x:c>
      <x:c r="B993" s="28" t="str">
        <x:v>level_low</x:v>
      </x:c>
      <x:c r="C993" s="60" t="n">
        <x:v>0.95</x:v>
      </x:c>
      <x:c r="D993" s="60" t="n">
        <x:v>0.9219114501462435</x:v>
      </x:c>
      <x:c r="E993" s="62" t="b">
        <x:v>0</x:v>
      </x:c>
      <x:c r="F993" s="62" t="b">
        <x:v>0</x:v>
      </x:c>
      <x:c r="G993" s="85" t="n">
        <x:v>6201517.431439391</x:v>
      </x:c>
      <x:c r="H993" s="85" t="n">
        <x:v>54374447.199677564</x:v>
      </x:c>
      <x:c r="I993" s="85" t="n">
        <x:v>53948703.69744518</x:v>
      </x:c>
      <x:c r="J993" s="85" t="n">
        <x:v>81000000</x:v>
      </x:c>
      <x:c r="K993" s="85" t="n">
        <x:v>0</x:v>
      </x:c>
      <x:c r="L993" s="28" t="n">
        <x:v>44</x:v>
      </x:c>
      <x:c r="M993" s="28" t="n">
        <x:v>35</x:v>
      </x:c>
      <x:c r="N993" s="28" t="n">
        <x:v>1.862645149230957e-9</x:v>
      </x:c>
      <x:c r="O993" s="28" t="n">
        <x:v>1.4901161193847656e-8</x:v>
      </x:c>
      <x:c r="P993" s="28" t="n">
        <x:v>0</x:v>
      </x:c>
      <x:c r="Q993" s="62" t="b">
        <x:v>1</x:v>
      </x:c>
      <x:c r="R993" s="28" t="n">
        <x:v>8426564.956126928</x:v>
      </x:c>
      <x:c r="S993" s="28" t="str">
        <x:v>ac68128e989474eb</x:v>
      </x:c>
    </x:row>
    <x:row r="994" ht="21" customHeight="1">
      <x:c r="A994" s="60" t="n">
        <x:v>0.63</x:v>
      </x:c>
      <x:c r="B994" s="28" t="str">
        <x:v>level_low</x:v>
      </x:c>
      <x:c r="C994" s="60" t="n">
        <x:v>1</x:v>
      </x:c>
      <x:c r="D994" s="60" t="n">
        <x:v>0.9350574964161632</x:v>
      </x:c>
      <x:c r="E994" s="62" t="b">
        <x:v>0</x:v>
      </x:c>
      <x:c r="F994" s="62" t="b">
        <x:v>0</x:v>
      </x:c>
      <x:c r="G994" s="85" t="n">
        <x:v>6810153.076895627</x:v>
      </x:c>
      <x:c r="H994" s="85" t="n">
        <x:v>57304697.72153224</x:v>
      </x:c>
      <x:c r="I994" s="85" t="n">
        <x:v>54009013.38123285</x:v>
      </x:c>
      <x:c r="J994" s="85" t="n">
        <x:v>81000000</x:v>
      </x:c>
      <x:c r="K994" s="85" t="n">
        <x:v>0</x:v>
      </x:c>
      <x:c r="L994" s="28" t="n">
        <x:v>44</x:v>
      </x:c>
      <x:c r="M994" s="28" t="n">
        <x:v>36</x:v>
      </x:c>
      <x:c r="N994" s="28" t="n">
        <x:v>1.862645149230957e-9</x:v>
      </x:c>
      <x:c r="O994" s="28" t="n">
        <x:v>7.450580596923828e-9</x:v>
      </x:c>
      <x:c r="P994" s="28" t="n">
        <x:v>0</x:v>
      </x:c>
      <x:c r="Q994" s="62" t="b">
        <x:v>1</x:v>
      </x:c>
      <x:c r="R994" s="28" t="n">
        <x:v>19482751.075151026</x:v>
      </x:c>
      <x:c r="S994" s="28" t="str">
        <x:v>42080ac4642f5772</x:v>
      </x:c>
    </x:row>
    <x:row r="995" ht="21" customHeight="1">
      <x:c r="A995" s="60" t="n">
        <x:v>0.63</x:v>
      </x:c>
      <x:c r="B995" s="28" t="str">
        <x:v>level_high</x:v>
      </x:c>
      <x:c r="C995" s="60" t="n">
        <x:v>0</x:v>
      </x:c>
      <x:c r="D995" s="60" t="n">
        <x:v>0</x:v>
      </x:c>
      <x:c r="E995" s="62" t="b">
        <x:v>1</x:v>
      </x:c>
      <x:c r="F995" s="62" t="b">
        <x:v>1</x:v>
      </x:c>
      <x:c r="G995" s="85" t="n">
        <x:v>0</x:v>
      </x:c>
      <x:c r="H995" s="85" t="n">
        <x:v>0</x:v>
      </x:c>
      <x:c r="I995" s="85" t="n">
        <x:v>0</x:v>
      </x:c>
      <x:c r="J995" s="85" t="n">
        <x:v>0</x:v>
      </x:c>
      <x:c r="K995" s="85" t="n">
        <x:v>36813359.44999996</x:v>
      </x:c>
      <x:c r="L995" s="28" t="n">
        <x:v>0</x:v>
      </x:c>
      <x:c r="M995" s="28" t="n">
        <x:v>0</x:v>
      </x:c>
      <x:c r="N995" s="28" t="n">
        <x:v>3.725290298461914e-9</x:v>
      </x:c>
      <x:c r="O995" s="28" t="n">
        <x:v>0</x:v>
      </x:c>
      <x:c r="P995" s="28" t="n">
        <x:v>0</x:v>
      </x:c>
      <x:c r="Q995" s="62" t="b">
        <x:v>1</x:v>
      </x:c>
      <x:c r="R995" s="28" t="n">
        <x:v>0</x:v>
      </x:c>
      <x:c r="S995" s="28" t="str">
        <x:v>a824b50cdfaa5011</x:v>
      </x:c>
    </x:row>
    <x:row r="996" ht="21" customHeight="1">
      <x:c r="A996" s="60" t="n">
        <x:v>0.63</x:v>
      </x:c>
      <x:c r="B996" s="28" t="str">
        <x:v>level_high</x:v>
      </x:c>
      <x:c r="C996" s="60" t="n">
        <x:v>0.05</x:v>
      </x:c>
      <x:c r="D996" s="60" t="n">
        <x:v>0.05</x:v>
      </x:c>
      <x:c r="E996" s="62" t="b">
        <x:v>1</x:v>
      </x:c>
      <x:c r="F996" s="62" t="b">
        <x:v>1</x:v>
      </x:c>
      <x:c r="G996" s="85" t="n">
        <x:v>0</x:v>
      </x:c>
      <x:c r="H996" s="85" t="n">
        <x:v>0</x:v>
      </x:c>
      <x:c r="I996" s="85" t="n">
        <x:v>0</x:v>
      </x:c>
      <x:c r="J996" s="85" t="n">
        <x:v>0</x:v>
      </x:c>
      <x:c r="K996" s="85" t="n">
        <x:v>23484810.433271352</x:v>
      </x:c>
      <x:c r="L996" s="28" t="n">
        <x:v>0</x:v>
      </x:c>
      <x:c r="M996" s="28" t="n">
        <x:v>0</x:v>
      </x:c>
      <x:c r="N996" s="28" t="n">
        <x:v>3.725290298461914e-9</x:v>
      </x:c>
      <x:c r="O996" s="28" t="n">
        <x:v>2.9802322387695312e-8</x:v>
      </x:c>
      <x:c r="P996" s="28" t="n">
        <x:v>0</x:v>
      </x:c>
      <x:c r="Q996" s="62" t="b">
        <x:v>1</x:v>
      </x:c>
      <x:c r="R996" s="28" t="n">
        <x:v>0</x:v>
      </x:c>
      <x:c r="S996" s="28" t="str">
        <x:v>0872b493520503ac</x:v>
      </x:c>
    </x:row>
    <x:row r="997" ht="21" customHeight="1">
      <x:c r="A997" s="60" t="n">
        <x:v>0.63</x:v>
      </x:c>
      <x:c r="B997" s="28" t="str">
        <x:v>level_high</x:v>
      </x:c>
      <x:c r="C997" s="60" t="n">
        <x:v>0.1</x:v>
      </x:c>
      <x:c r="D997" s="60" t="n">
        <x:v>0.1</x:v>
      </x:c>
      <x:c r="E997" s="62" t="b">
        <x:v>1</x:v>
      </x:c>
      <x:c r="F997" s="62" t="b">
        <x:v>1</x:v>
      </x:c>
      <x:c r="G997" s="85" t="n">
        <x:v>0</x:v>
      </x:c>
      <x:c r="H997" s="85" t="n">
        <x:v>0</x:v>
      </x:c>
      <x:c r="I997" s="85" t="n">
        <x:v>0</x:v>
      </x:c>
      <x:c r="J997" s="85" t="n">
        <x:v>0</x:v>
      </x:c>
      <x:c r="K997" s="85" t="n">
        <x:v>9996689.907260038</x:v>
      </x:c>
      <x:c r="L997" s="28" t="n">
        <x:v>0</x:v>
      </x:c>
      <x:c r="M997" s="28" t="n">
        <x:v>0</x:v>
      </x:c>
      <x:c r="N997" s="28" t="n">
        <x:v>3.725290298461914e-9</x:v>
      </x:c>
      <x:c r="O997" s="28" t="n">
        <x:v>5.960464477539063e-8</x:v>
      </x:c>
      <x:c r="P997" s="28" t="n">
        <x:v>0</x:v>
      </x:c>
      <x:c r="Q997" s="62" t="b">
        <x:v>1</x:v>
      </x:c>
      <x:c r="R997" s="28" t="n">
        <x:v>0</x:v>
      </x:c>
      <x:c r="S997" s="28" t="str">
        <x:v>3bda1cd8d44e1597</x:v>
      </x:c>
    </x:row>
    <x:row r="998" ht="21" customHeight="1">
      <x:c r="A998" s="60" t="n">
        <x:v>0.63</x:v>
      </x:c>
      <x:c r="B998" s="28" t="str">
        <x:v>level_high</x:v>
      </x:c>
      <x:c r="C998" s="60" t="n">
        <x:v>0.15</x:v>
      </x:c>
      <x:c r="D998" s="60" t="n">
        <x:v>0.15</x:v>
      </x:c>
      <x:c r="E998" s="62" t="b">
        <x:v>1</x:v>
      </x:c>
      <x:c r="F998" s="62" t="b">
        <x:v>1</x:v>
      </x:c>
      <x:c r="G998" s="85" t="n">
        <x:v>0</x:v>
      </x:c>
      <x:c r="H998" s="85" t="n">
        <x:v>0</x:v>
      </x:c>
      <x:c r="I998" s="85" t="n">
        <x:v>4230617.611811138</x:v>
      </x:c>
      <x:c r="J998" s="85" t="n">
        <x:v>0</x:v>
      </x:c>
      <x:c r="K998" s="85" t="n">
        <x:v>1557219.284735877</x:v>
      </x:c>
      <x:c r="L998" s="28" t="n">
        <x:v>0</x:v>
      </x:c>
      <x:c r="M998" s="28" t="n">
        <x:v>0</x:v>
      </x:c>
      <x:c r="N998" s="28" t="n">
        <x:v>3.725290298461914e-9</x:v>
      </x:c>
      <x:c r="O998" s="28" t="n">
        <x:v>2.9802322387695312e-8</x:v>
      </x:c>
      <x:c r="P998" s="28" t="n">
        <x:v>0</x:v>
      </x:c>
      <x:c r="Q998" s="62" t="b">
        <x:v>1</x:v>
      </x:c>
      <x:c r="R998" s="28" t="n">
        <x:v>0</x:v>
      </x:c>
      <x:c r="S998" s="28" t="str">
        <x:v>9b5008ec7651c13a</x:v>
      </x:c>
    </x:row>
    <x:row r="999" ht="21" customHeight="1">
      <x:c r="A999" s="60" t="n">
        <x:v>0.63</x:v>
      </x:c>
      <x:c r="B999" s="28" t="str">
        <x:v>level_high</x:v>
      </x:c>
      <x:c r="C999" s="60" t="n">
        <x:v>0.2</x:v>
      </x:c>
      <x:c r="D999" s="60" t="n">
        <x:v>0.2</x:v>
      </x:c>
      <x:c r="E999" s="62" t="b">
        <x:v>1</x:v>
      </x:c>
      <x:c r="F999" s="62" t="b">
        <x:v>1</x:v>
      </x:c>
      <x:c r="G999" s="85" t="n">
        <x:v>0</x:v>
      </x:c>
      <x:c r="H999" s="85" t="n">
        <x:v>0</x:v>
      </x:c>
      <x:c r="I999" s="85" t="n">
        <x:v>14613512.317087606</x:v>
      </x:c>
      <x:c r="J999" s="85" t="n">
        <x:v>6323003.272534233</x:v>
      </x:c>
      <x:c r="K999" s="85" t="n">
        <x:v>1061152.7791693157</x:v>
      </x:c>
      <x:c r="L999" s="28" t="n">
        <x:v>0</x:v>
      </x:c>
      <x:c r="M999" s="28" t="n">
        <x:v>0</x:v>
      </x:c>
      <x:c r="N999" s="28" t="n">
        <x:v>1.862645149230957e-9</x:v>
      </x:c>
      <x:c r="O999" s="28" t="n">
        <x:v>2.9802322387695312e-8</x:v>
      </x:c>
      <x:c r="P999" s="28" t="n">
        <x:v>0</x:v>
      </x:c>
      <x:c r="Q999" s="62" t="b">
        <x:v>1</x:v>
      </x:c>
      <x:c r="R999" s="28" t="n">
        <x:v>0</x:v>
      </x:c>
      <x:c r="S999" s="28" t="str">
        <x:v>f9add68a0bfb42a7</x:v>
      </x:c>
    </x:row>
    <x:row r="1000" ht="21" customHeight="1">
      <x:c r="A1000" s="60" t="n">
        <x:v>0.63</x:v>
      </x:c>
      <x:c r="B1000" s="28" t="str">
        <x:v>level_high</x:v>
      </x:c>
      <x:c r="C1000" s="60" t="n">
        <x:v>0.25</x:v>
      </x:c>
      <x:c r="D1000" s="60" t="n">
        <x:v>0.25</x:v>
      </x:c>
      <x:c r="E1000" s="62" t="b">
        <x:v>1</x:v>
      </x:c>
      <x:c r="F1000" s="62" t="b">
        <x:v>1</x:v>
      </x:c>
      <x:c r="G1000" s="85" t="n">
        <x:v>0</x:v>
      </x:c>
      <x:c r="H1000" s="85" t="n">
        <x:v>0</x:v>
      </x:c>
      <x:c r="I1000" s="85" t="n">
        <x:v>23573829.279380023</x:v>
      </x:c>
      <x:c r="J1000" s="85" t="n">
        <x:v>15403754.090667734</x:v>
      </x:c>
      <x:c r="K1000" s="85" t="n">
        <x:v>780872.6577739744</x:v>
      </x:c>
      <x:c r="L1000" s="28" t="n">
        <x:v>0</x:v>
      </x:c>
      <x:c r="M1000" s="28" t="n">
        <x:v>0</x:v>
      </x:c>
      <x:c r="N1000" s="28" t="n">
        <x:v>3.725290298461914e-9</x:v>
      </x:c>
      <x:c r="O1000" s="28" t="n">
        <x:v>2.9802322387695312e-8</x:v>
      </x:c>
      <x:c r="P1000" s="28" t="n">
        <x:v>0</x:v>
      </x:c>
      <x:c r="Q1000" s="62" t="b">
        <x:v>1</x:v>
      </x:c>
      <x:c r="R1000" s="28" t="n">
        <x:v>0</x:v>
      </x:c>
      <x:c r="S1000" s="28" t="str">
        <x:v>6b13e90b8d0cd655</x:v>
      </x:c>
    </x:row>
    <x:row r="1001" ht="21" customHeight="1">
      <x:c r="A1001" s="60" t="n">
        <x:v>0.63</x:v>
      </x:c>
      <x:c r="B1001" s="28" t="str">
        <x:v>level_high</x:v>
      </x:c>
      <x:c r="C1001" s="60" t="n">
        <x:v>0.3</x:v>
      </x:c>
      <x:c r="D1001" s="60" t="n">
        <x:v>0.3</x:v>
      </x:c>
      <x:c r="E1001" s="62" t="b">
        <x:v>1</x:v>
      </x:c>
      <x:c r="F1001" s="62" t="b">
        <x:v>1</x:v>
      </x:c>
      <x:c r="G1001" s="85" t="n">
        <x:v>0</x:v>
      </x:c>
      <x:c r="H1001" s="85" t="n">
        <x:v>0</x:v>
      </x:c>
      <x:c r="I1001" s="85" t="n">
        <x:v>32710418.431447193</x:v>
      </x:c>
      <x:c r="J1001" s="85" t="n">
        <x:v>24484504.90880119</x:v>
      </x:c>
      <x:c r="K1001" s="85" t="n">
        <x:v>620720.0893287568</x:v>
      </x:c>
      <x:c r="L1001" s="28" t="n">
        <x:v>0</x:v>
      </x:c>
      <x:c r="M1001" s="28" t="n">
        <x:v>0</x:v>
      </x:c>
      <x:c r="N1001" s="28" t="n">
        <x:v>1.862645149230957e-9</x:v>
      </x:c>
      <x:c r="O1001" s="28" t="n">
        <x:v>7.450580596923828e-9</x:v>
      </x:c>
      <x:c r="P1001" s="28" t="n">
        <x:v>0</x:v>
      </x:c>
      <x:c r="Q1001" s="62" t="b">
        <x:v>1</x:v>
      </x:c>
      <x:c r="R1001" s="28" t="n">
        <x:v>0</x:v>
      </x:c>
      <x:c r="S1001" s="28" t="str">
        <x:v>76966b1922354308</x:v>
      </x:c>
    </x:row>
    <x:row r="1002" ht="21" customHeight="1">
      <x:c r="A1002" s="60" t="n">
        <x:v>0.63</x:v>
      </x:c>
      <x:c r="B1002" s="28" t="str">
        <x:v>level_high</x:v>
      </x:c>
      <x:c r="C1002" s="60" t="n">
        <x:v>0.35</x:v>
      </x:c>
      <x:c r="D1002" s="60" t="n">
        <x:v>0.35</x:v>
      </x:c>
      <x:c r="E1002" s="62" t="b">
        <x:v>1</x:v>
      </x:c>
      <x:c r="F1002" s="62" t="b">
        <x:v>1</x:v>
      </x:c>
      <x:c r="G1002" s="85" t="n">
        <x:v>0</x:v>
      </x:c>
      <x:c r="H1002" s="85" t="n">
        <x:v>0</x:v>
      </x:c>
      <x:c r="I1002" s="85" t="n">
        <x:v>41996820.88174168</x:v>
      </x:c>
      <x:c r="J1002" s="85" t="n">
        <x:v>33565255.726934746</x:v>
      </x:c>
      <x:c r="K1002" s="85" t="n">
        <x:v>460567.5208835561</x:v>
      </x:c>
      <x:c r="L1002" s="28" t="n">
        <x:v>0</x:v>
      </x:c>
      <x:c r="M1002" s="28" t="n">
        <x:v>0</x:v>
      </x:c>
      <x:c r="N1002" s="28" t="n">
        <x:v>1.862645149230957e-9</x:v>
      </x:c>
      <x:c r="O1002" s="28" t="n">
        <x:v>2.9802322387695312e-8</x:v>
      </x:c>
      <x:c r="P1002" s="28" t="n">
        <x:v>0</x:v>
      </x:c>
      <x:c r="Q1002" s="62" t="b">
        <x:v>1</x:v>
      </x:c>
      <x:c r="R1002" s="28" t="n">
        <x:v>0</x:v>
      </x:c>
      <x:c r="S1002" s="28" t="str">
        <x:v>71c0798ae5ef03a1</x:v>
      </x:c>
    </x:row>
    <x:row r="1003" ht="21" customHeight="1">
      <x:c r="A1003" s="60" t="n">
        <x:v>0.63</x:v>
      </x:c>
      <x:c r="B1003" s="28" t="str">
        <x:v>level_high</x:v>
      </x:c>
      <x:c r="C1003" s="60" t="n">
        <x:v>0.4</x:v>
      </x:c>
      <x:c r="D1003" s="60" t="n">
        <x:v>0.4</x:v>
      </x:c>
      <x:c r="E1003" s="62" t="b">
        <x:v>1</x:v>
      </x:c>
      <x:c r="F1003" s="62" t="b">
        <x:v>1</x:v>
      </x:c>
      <x:c r="G1003" s="85" t="n">
        <x:v>0</x:v>
      </x:c>
      <x:c r="H1003" s="85" t="n">
        <x:v>0</x:v>
      </x:c>
      <x:c r="I1003" s="85" t="n">
        <x:v>51250452.381579585</x:v>
      </x:c>
      <x:c r="J1003" s="85" t="n">
        <x:v>42646006.545068316</x:v>
      </x:c>
      <x:c r="K1003" s="85" t="n">
        <x:v>397441.98871232825</x:v>
      </x:c>
      <x:c r="L1003" s="28" t="n">
        <x:v>0</x:v>
      </x:c>
      <x:c r="M1003" s="28" t="n">
        <x:v>0</x:v>
      </x:c>
      <x:c r="N1003" s="28" t="n">
        <x:v>1.862645149230957e-9</x:v>
      </x:c>
      <x:c r="O1003" s="28" t="n">
        <x:v>2.9802322387695312e-8</x:v>
      </x:c>
      <x:c r="P1003" s="28" t="n">
        <x:v>0</x:v>
      </x:c>
      <x:c r="Q1003" s="62" t="b">
        <x:v>1</x:v>
      </x:c>
      <x:c r="R1003" s="28" t="n">
        <x:v>0</x:v>
      </x:c>
      <x:c r="S1003" s="28" t="str">
        <x:v>bb7f493e6a9d3f2d</x:v>
      </x:c>
    </x:row>
    <x:row r="1004" ht="21" customHeight="1">
      <x:c r="A1004" s="60" t="n">
        <x:v>0.63</x:v>
      </x:c>
      <x:c r="B1004" s="28" t="str">
        <x:v>level_high</x:v>
      </x:c>
      <x:c r="C1004" s="60" t="n">
        <x:v>0.45</x:v>
      </x:c>
      <x:c r="D1004" s="60" t="n">
        <x:v>0.45</x:v>
      </x:c>
      <x:c r="E1004" s="62" t="b">
        <x:v>1</x:v>
      </x:c>
      <x:c r="F1004" s="62" t="b">
        <x:v>1</x:v>
      </x:c>
      <x:c r="G1004" s="85" t="n">
        <x:v>0</x:v>
      </x:c>
      <x:c r="H1004" s="85" t="n">
        <x:v>0</x:v>
      </x:c>
      <x:c r="I1004" s="85" t="n">
        <x:v>60766393.50190342</x:v>
      </x:c>
      <x:c r="J1004" s="85" t="n">
        <x:v>50614298.26790567</x:v>
      </x:c>
      <x:c r="K1004" s="85" t="n">
        <x:v>349082.50254108524</x:v>
      </x:c>
      <x:c r="L1004" s="28" t="n">
        <x:v>2</x:v>
      </x:c>
      <x:c r="M1004" s="28" t="n">
        <x:v>0</x:v>
      </x:c>
      <x:c r="N1004" s="28" t="n">
        <x:v>1.862645149230957e-9</x:v>
      </x:c>
      <x:c r="O1004" s="28" t="n">
        <x:v>2.9802322387695312e-8</x:v>
      </x:c>
      <x:c r="P1004" s="28" t="n">
        <x:v>0</x:v>
      </x:c>
      <x:c r="Q1004" s="62" t="b">
        <x:v>1</x:v>
      </x:c>
      <x:c r="R1004" s="28" t="n">
        <x:v>0</x:v>
      </x:c>
      <x:c r="S1004" s="28" t="str">
        <x:v>0bdbc47c61633d62</x:v>
      </x:c>
    </x:row>
    <x:row r="1005" ht="21" customHeight="1">
      <x:c r="A1005" s="60" t="n">
        <x:v>0.63</x:v>
      </x:c>
      <x:c r="B1005" s="28" t="str">
        <x:v>level_high</x:v>
      </x:c>
      <x:c r="C1005" s="60" t="n">
        <x:v>0.5</x:v>
      </x:c>
      <x:c r="D1005" s="60" t="n">
        <x:v>0.5</x:v>
      </x:c>
      <x:c r="E1005" s="62" t="b">
        <x:v>1</x:v>
      </x:c>
      <x:c r="F1005" s="62" t="b">
        <x:v>1</x:v>
      </x:c>
      <x:c r="G1005" s="85" t="n">
        <x:v>0</x:v>
      </x:c>
      <x:c r="H1005" s="85" t="n">
        <x:v>0</x:v>
      </x:c>
      <x:c r="I1005" s="85" t="n">
        <x:v>70671981.87466156</x:v>
      </x:c>
      <x:c r="J1005" s="85" t="n">
        <x:v>56104374.47165042</x:v>
      </x:c>
      <x:c r="K1005" s="85" t="n">
        <x:v>300723.01636986656</x:v>
      </x:c>
      <x:c r="L1005" s="28" t="n">
        <x:v>7</x:v>
      </x:c>
      <x:c r="M1005" s="28" t="n">
        <x:v>0</x:v>
      </x:c>
      <x:c r="N1005" s="28" t="n">
        <x:v>3.725290298461914e-9</x:v>
      </x:c>
      <x:c r="O1005" s="28" t="n">
        <x:v>1.4901161193847656e-8</x:v>
      </x:c>
      <x:c r="P1005" s="28" t="n">
        <x:v>0</x:v>
      </x:c>
      <x:c r="Q1005" s="62" t="b">
        <x:v>1</x:v>
      </x:c>
      <x:c r="R1005" s="28" t="n">
        <x:v>0</x:v>
      </x:c>
      <x:c r="S1005" s="28" t="str">
        <x:v>d3c244b0f7af6862</x:v>
      </x:c>
    </x:row>
    <x:row r="1006" ht="21" customHeight="1">
      <x:c r="A1006" s="60" t="n">
        <x:v>0.63</x:v>
      </x:c>
      <x:c r="B1006" s="28" t="str">
        <x:v>level_high</x:v>
      </x:c>
      <x:c r="C1006" s="60" t="n">
        <x:v>0.55</x:v>
      </x:c>
      <x:c r="D1006" s="60" t="n">
        <x:v>0.55</x:v>
      </x:c>
      <x:c r="E1006" s="62" t="b">
        <x:v>1</x:v>
      </x:c>
      <x:c r="F1006" s="62" t="b">
        <x:v>1</x:v>
      </x:c>
      <x:c r="G1006" s="85" t="n">
        <x:v>0</x:v>
      </x:c>
      <x:c r="H1006" s="85" t="n">
        <x:v>0</x:v>
      </x:c>
      <x:c r="I1006" s="85" t="n">
        <x:v>80087774.14359643</x:v>
      </x:c>
      <x:c r="J1006" s="85" t="n">
        <x:v>63773367.5946775</x:v>
      </x:c>
      <x:c r="K1006" s="85" t="n">
        <x:v>252363.53019863015</x:v>
      </x:c>
      <x:c r="L1006" s="28" t="n">
        <x:v>11</x:v>
      </x:c>
      <x:c r="M1006" s="28" t="n">
        <x:v>4</x:v>
      </x:c>
      <x:c r="N1006" s="28" t="n">
        <x:v>1.862645149230957e-9</x:v>
      </x:c>
      <x:c r="O1006" s="28" t="n">
        <x:v>2.9802322387695312e-8</x:v>
      </x:c>
      <x:c r="P1006" s="28" t="n">
        <x:v>0</x:v>
      </x:c>
      <x:c r="Q1006" s="62" t="b">
        <x:v>1</x:v>
      </x:c>
      <x:c r="R1006" s="28" t="n">
        <x:v>0</x:v>
      </x:c>
      <x:c r="S1006" s="28" t="str">
        <x:v>ad7b2493ba81f98d</x:v>
      </x:c>
    </x:row>
    <x:row r="1007" ht="21" customHeight="1">
      <x:c r="A1007" s="60" t="n">
        <x:v>0.63</x:v>
      </x:c>
      <x:c r="B1007" s="28" t="str">
        <x:v>level_high</x:v>
      </x:c>
      <x:c r="C1007" s="60" t="n">
        <x:v>0.6</x:v>
      </x:c>
      <x:c r="D1007" s="60" t="n">
        <x:v>0.6</x:v>
      </x:c>
      <x:c r="E1007" s="62" t="b">
        <x:v>1</x:v>
      </x:c>
      <x:c r="F1007" s="62" t="b">
        <x:v>1</x:v>
      </x:c>
      <x:c r="G1007" s="85" t="n">
        <x:v>0</x:v>
      </x:c>
      <x:c r="H1007" s="85" t="n">
        <x:v>0</x:v>
      </x:c>
      <x:c r="I1007" s="85" t="n">
        <x:v>88974496.7228492</x:v>
      </x:c>
      <x:c r="J1007" s="85" t="n">
        <x:v>73696605.34586929</x:v>
      </x:c>
      <x:c r="K1007" s="85" t="n">
        <x:v>204004.04402739654</x:v>
      </x:c>
      <x:c r="L1007" s="28" t="n">
        <x:v>14</x:v>
      </x:c>
      <x:c r="M1007" s="28" t="n">
        <x:v>8</x:v>
      </x:c>
      <x:c r="N1007" s="28" t="n">
        <x:v>1.862645149230957e-9</x:v>
      </x:c>
      <x:c r="O1007" s="28" t="n">
        <x:v>2.9802322387695312e-8</x:v>
      </x:c>
      <x:c r="P1007" s="28" t="n">
        <x:v>0</x:v>
      </x:c>
      <x:c r="Q1007" s="62" t="b">
        <x:v>1</x:v>
      </x:c>
      <x:c r="R1007" s="28" t="n">
        <x:v>0</x:v>
      </x:c>
      <x:c r="S1007" s="28" t="str">
        <x:v>6e0c1f3fe629818f</x:v>
      </x:c>
    </x:row>
    <x:row r="1008" ht="21" customHeight="1">
      <x:c r="A1008" s="60" t="n">
        <x:v>0.63</x:v>
      </x:c>
      <x:c r="B1008" s="28" t="str">
        <x:v>level_high</x:v>
      </x:c>
      <x:c r="C1008" s="60" t="n">
        <x:v>0.65</x:v>
      </x:c>
      <x:c r="D1008" s="60" t="n">
        <x:v>0.65</x:v>
      </x:c>
      <x:c r="E1008" s="62" t="b">
        <x:v>1</x:v>
      </x:c>
      <x:c r="F1008" s="62" t="b">
        <x:v>0</x:v>
      </x:c>
      <x:c r="G1008" s="85" t="n">
        <x:v>535726.6500684405</x:v>
      </x:c>
      <x:c r="H1008" s="85" t="n">
        <x:v>2056880.7058158908</x:v>
      </x:c>
      <x:c r="I1008" s="85" t="n">
        <x:v>96588503.57514217</x:v>
      </x:c>
      <x:c r="J1008" s="85" t="n">
        <x:v>81000000</x:v>
      </x:c>
      <x:c r="K1008" s="85" t="n">
        <x:v>155644.5578561694</x:v>
      </x:c>
      <x:c r="L1008" s="28" t="n">
        <x:v>40</x:v>
      </x:c>
      <x:c r="M1008" s="28" t="n">
        <x:v>34</x:v>
      </x:c>
      <x:c r="N1008" s="28" t="n">
        <x:v>1.862645149230957e-9</x:v>
      </x:c>
      <x:c r="O1008" s="28" t="n">
        <x:v>2.9802322387695312e-8</x:v>
      </x:c>
      <x:c r="P1008" s="28" t="n">
        <x:v>0</x:v>
      </x:c>
      <x:c r="Q1008" s="62" t="b">
        <x:v>1</x:v>
      </x:c>
      <x:c r="R1008" s="28" t="n">
        <x:v>0</x:v>
      </x:c>
      <x:c r="S1008" s="28" t="str">
        <x:v>ab33e0e418a6cb35</x:v>
      </x:c>
    </x:row>
    <x:row r="1009" ht="21" customHeight="1">
      <x:c r="A1009" s="60" t="n">
        <x:v>0.63</x:v>
      </x:c>
      <x:c r="B1009" s="28" t="str">
        <x:v>level_high</x:v>
      </x:c>
      <x:c r="C1009" s="60" t="n">
        <x:v>0.7</x:v>
      </x:c>
      <x:c r="D1009" s="60" t="n">
        <x:v>0.7</x:v>
      </x:c>
      <x:c r="E1009" s="62" t="b">
        <x:v>1</x:v>
      </x:c>
      <x:c r="F1009" s="62" t="b">
        <x:v>0</x:v>
      </x:c>
      <x:c r="G1009" s="85" t="n">
        <x:v>4277453.523405994</x:v>
      </x:c>
      <x:c r="H1009" s="85" t="n">
        <x:v>14469996.259822352</x:v>
      </x:c>
      <x:c r="I1009" s="85" t="n">
        <x:v>98422404.27198628</x:v>
      </x:c>
      <x:c r="J1009" s="85" t="n">
        <x:v>81000000</x:v>
      </x:c>
      <x:c r="K1009" s="85" t="n">
        <x:v>107285.0716849293</x:v>
      </x:c>
      <x:c r="L1009" s="28" t="n">
        <x:v>41</x:v>
      </x:c>
      <x:c r="M1009" s="28" t="n">
        <x:v>35</x:v>
      </x:c>
      <x:c r="N1009" s="28" t="n">
        <x:v>1.862645149230957e-9</x:v>
      </x:c>
      <x:c r="O1009" s="28" t="n">
        <x:v>2.9802322387695312e-8</x:v>
      </x:c>
      <x:c r="P1009" s="28" t="n">
        <x:v>0</x:v>
      </x:c>
      <x:c r="Q1009" s="62" t="b">
        <x:v>1</x:v>
      </x:c>
      <x:c r="R1009" s="28" t="n">
        <x:v>0</x:v>
      </x:c>
      <x:c r="S1009" s="28" t="str">
        <x:v>bfcb17fe950d1885</x:v>
      </x:c>
    </x:row>
    <x:row r="1010" ht="21" customHeight="1">
      <x:c r="A1010" s="60" t="n">
        <x:v>0.63</x:v>
      </x:c>
      <x:c r="B1010" s="28" t="str">
        <x:v>level_high</x:v>
      </x:c>
      <x:c r="C1010" s="60" t="n">
        <x:v>0.75</x:v>
      </x:c>
      <x:c r="D1010" s="60" t="n">
        <x:v>0.75</x:v>
      </x:c>
      <x:c r="E1010" s="62" t="b">
        <x:v>1</x:v>
      </x:c>
      <x:c r="F1010" s="62" t="b">
        <x:v>0</x:v>
      </x:c>
      <x:c r="G1010" s="85" t="n">
        <x:v>9104164.52845063</x:v>
      </x:c>
      <x:c r="H1010" s="85" t="n">
        <x:v>28349082.439512867</x:v>
      </x:c>
      <x:c r="I1010" s="85" t="n">
        <x:v>98805561.58476025</x:v>
      </x:c>
      <x:c r="J1010" s="85" t="n">
        <x:v>81000000</x:v>
      </x:c>
      <x:c r="K1010" s="85" t="n">
        <x:v>90908.84897260161</x:v>
      </x:c>
      <x:c r="L1010" s="28" t="n">
        <x:v>41</x:v>
      </x:c>
      <x:c r="M1010" s="28" t="n">
        <x:v>36</x:v>
      </x:c>
      <x:c r="N1010" s="28" t="n">
        <x:v>3.725290298461914e-9</x:v>
      </x:c>
      <x:c r="O1010" s="28" t="n">
        <x:v>2.9802322387695312e-8</x:v>
      </x:c>
      <x:c r="P1010" s="28" t="n">
        <x:v>0</x:v>
      </x:c>
      <x:c r="Q1010" s="62" t="b">
        <x:v>1</x:v>
      </x:c>
      <x:c r="R1010" s="28" t="n">
        <x:v>0</x:v>
      </x:c>
      <x:c r="S1010" s="28" t="str">
        <x:v>de9ad93b97404e64</x:v>
      </x:c>
    </x:row>
    <x:row r="1011" ht="21" customHeight="1">
      <x:c r="A1011" s="60" t="n">
        <x:v>0.63</x:v>
      </x:c>
      <x:c r="B1011" s="28" t="str">
        <x:v>level_high</x:v>
      </x:c>
      <x:c r="C1011" s="60" t="n">
        <x:v>0.8</x:v>
      </x:c>
      <x:c r="D1011" s="60" t="n">
        <x:v>0.8</x:v>
      </x:c>
      <x:c r="E1011" s="62" t="b">
        <x:v>1</x:v>
      </x:c>
      <x:c r="F1011" s="62" t="b">
        <x:v>0</x:v>
      </x:c>
      <x:c r="G1011" s="85" t="n">
        <x:v>13217359.08508474</x:v>
      </x:c>
      <x:c r="H1011" s="85" t="n">
        <x:v>40097919.9483789</x:v>
      </x:c>
      <x:c r="I1011" s="85" t="n">
        <x:v>100385477.87444599</x:v>
      </x:c>
      <x:c r="J1011" s="85" t="n">
        <x:v>81000000</x:v>
      </x:c>
      <x:c r="K1011" s="85" t="n">
        <x:v>74788.78684931787</x:v>
      </x:c>
      <x:c r="L1011" s="28" t="n">
        <x:v>42</x:v>
      </x:c>
      <x:c r="M1011" s="28" t="n">
        <x:v>37</x:v>
      </x:c>
      <x:c r="N1011" s="28" t="n">
        <x:v>1.862645149230957e-9</x:v>
      </x:c>
      <x:c r="O1011" s="28" t="n">
        <x:v>2.9802322387695312e-8</x:v>
      </x:c>
      <x:c r="P1011" s="28" t="n">
        <x:v>0</x:v>
      </x:c>
      <x:c r="Q1011" s="62" t="b">
        <x:v>1</x:v>
      </x:c>
      <x:c r="R1011" s="28" t="n">
        <x:v>0</x:v>
      </x:c>
      <x:c r="S1011" s="28" t="str">
        <x:v>a3d71330498bcfa2</x:v>
      </x:c>
    </x:row>
    <x:row r="1012" ht="21" customHeight="1">
      <x:c r="A1012" s="60" t="n">
        <x:v>0.63</x:v>
      </x:c>
      <x:c r="B1012" s="28" t="str">
        <x:v>level_high</x:v>
      </x:c>
      <x:c r="C1012" s="60" t="n">
        <x:v>0.85</x:v>
      </x:c>
      <x:c r="D1012" s="60" t="n">
        <x:v>0.85</x:v>
      </x:c>
      <x:c r="E1012" s="62" t="b">
        <x:v>1</x:v>
      </x:c>
      <x:c r="F1012" s="62" t="b">
        <x:v>0</x:v>
      </x:c>
      <x:c r="G1012" s="85" t="n">
        <x:v>18641852.63900848</x:v>
      </x:c>
      <x:c r="H1012" s="85" t="n">
        <x:v>50844868.34633445</x:v>
      </x:c>
      <x:c r="I1012" s="85" t="n">
        <x:v>102011938.68910271</x:v>
      </x:c>
      <x:c r="J1012" s="85" t="n">
        <x:v>81000000</x:v>
      </x:c>
      <x:c r="K1012" s="85" t="n">
        <x:v>58668.72472603133</x:v>
      </x:c>
      <x:c r="L1012" s="28" t="n">
        <x:v>43</x:v>
      </x:c>
      <x:c r="M1012" s="28" t="n">
        <x:v>38</x:v>
      </x:c>
      <x:c r="N1012" s="28" t="n">
        <x:v>9.313225746154785e-10</x:v>
      </x:c>
      <x:c r="O1012" s="28" t="n">
        <x:v>2.9802322387695312e-8</x:v>
      </x:c>
      <x:c r="P1012" s="28" t="n">
        <x:v>0</x:v>
      </x:c>
      <x:c r="Q1012" s="62" t="b">
        <x:v>1</x:v>
      </x:c>
      <x:c r="R1012" s="28" t="n">
        <x:v>0</x:v>
      </x:c>
      <x:c r="S1012" s="28" t="str">
        <x:v>273d6e77767d87fa</x:v>
      </x:c>
    </x:row>
    <x:row r="1013" ht="21" customHeight="1">
      <x:c r="A1013" s="60" t="n">
        <x:v>0.63</x:v>
      </x:c>
      <x:c r="B1013" s="28" t="str">
        <x:v>level_high</x:v>
      </x:c>
      <x:c r="C1013" s="60" t="n">
        <x:v>0.9</x:v>
      </x:c>
      <x:c r="D1013" s="60" t="n">
        <x:v>0.9</x:v>
      </x:c>
      <x:c r="E1013" s="62" t="b">
        <x:v>1</x:v>
      </x:c>
      <x:c r="F1013" s="62" t="b">
        <x:v>0</x:v>
      </x:c>
      <x:c r="G1013" s="85" t="n">
        <x:v>26263687.891830657</x:v>
      </x:c>
      <x:c r="H1013" s="85" t="n">
        <x:v>59676018.957751386</x:v>
      </x:c>
      <x:c r="I1013" s="85" t="n">
        <x:v>102225586.02591778</x:v>
      </x:c>
      <x:c r="J1013" s="85" t="n">
        <x:v>81000000</x:v>
      </x:c>
      <x:c r="K1013" s="85" t="n">
        <x:v>42548.662602740136</x:v>
      </x:c>
      <x:c r="L1013" s="28" t="n">
        <x:v>43</x:v>
      </x:c>
      <x:c r="M1013" s="28" t="n">
        <x:v>39</x:v>
      </x:c>
      <x:c r="N1013" s="28" t="n">
        <x:v>1.862645149230957e-9</x:v>
      </x:c>
      <x:c r="O1013" s="28" t="n">
        <x:v>7.450580596923828e-9</x:v>
      </x:c>
      <x:c r="P1013" s="28" t="n">
        <x:v>0</x:v>
      </x:c>
      <x:c r="Q1013" s="62" t="b">
        <x:v>1</x:v>
      </x:c>
      <x:c r="R1013" s="28" t="n">
        <x:v>0</x:v>
      </x:c>
      <x:c r="S1013" s="28" t="str">
        <x:v>5234273385cfedfd</x:v>
      </x:c>
    </x:row>
    <x:row r="1014" ht="21" customHeight="1">
      <x:c r="A1014" s="60" t="n">
        <x:v>0.63</x:v>
      </x:c>
      <x:c r="B1014" s="28" t="str">
        <x:v>level_high</x:v>
      </x:c>
      <x:c r="C1014" s="60" t="n">
        <x:v>0.95</x:v>
      </x:c>
      <x:c r="D1014" s="60" t="n">
        <x:v>0.9219114501462435</x:v>
      </x:c>
      <x:c r="E1014" s="62" t="b">
        <x:v>0</x:v>
      </x:c>
      <x:c r="F1014" s="62" t="b">
        <x:v>0</x:v>
      </x:c>
      <x:c r="G1014" s="85" t="n">
        <x:v>28276249.435812168</x:v>
      </x:c>
      <x:c r="H1014" s="85" t="n">
        <x:v>63656179.72832005</x:v>
      </x:c>
      <x:c r="I1014" s="85" t="n">
        <x:v>103722479.91463695</x:v>
      </x:c>
      <x:c r="J1014" s="85" t="n">
        <x:v>81000000</x:v>
      </x:c>
      <x:c r="K1014" s="85" t="n">
        <x:v>26428.60047945453</x:v>
      </x:c>
      <x:c r="L1014" s="28" t="n">
        <x:v>44</x:v>
      </x:c>
      <x:c r="M1014" s="28" t="n">
        <x:v>40</x:v>
      </x:c>
      <x:c r="N1014" s="28" t="n">
        <x:v>1.862645149230957e-9</x:v>
      </x:c>
      <x:c r="O1014" s="28" t="n">
        <x:v>1.4901161193847656e-8</x:v>
      </x:c>
      <x:c r="P1014" s="28" t="n">
        <x:v>0</x:v>
      </x:c>
      <x:c r="Q1014" s="62" t="b">
        <x:v>1</x:v>
      </x:c>
      <x:c r="R1014" s="28" t="n">
        <x:v>8426564.956126928</x:v>
      </x:c>
      <x:c r="S1014" s="28" t="str">
        <x:v>5b9ff8cf6aa1df24</x:v>
      </x:c>
    </x:row>
    <x:row r="1015" ht="21" customHeight="1">
      <x:c r="A1015" s="60" t="n">
        <x:v>0.63</x:v>
      </x:c>
      <x:c r="B1015" s="28" t="str">
        <x:v>level_high</x:v>
      </x:c>
      <x:c r="C1015" s="60" t="n">
        <x:v>1</x:v>
      </x:c>
      <x:c r="D1015" s="60" t="n">
        <x:v>0.9350574964161632</x:v>
      </x:c>
      <x:c r="E1015" s="62" t="b">
        <x:v>0</x:v>
      </x:c>
      <x:c r="F1015" s="62" t="b">
        <x:v>0</x:v>
      </x:c>
      <x:c r="G1015" s="85" t="n">
        <x:v>31153841.81465798</x:v>
      </x:c>
      <x:c r="H1015" s="85" t="n">
        <x:v>67308024.42465557</x:v>
      </x:c>
      <x:c r="I1015" s="85" t="n">
        <x:v>103868210.70863011</x:v>
      </x:c>
      <x:c r="J1015" s="85" t="n">
        <x:v>81000000</x:v>
      </x:c>
      <x:c r="K1015" s="85" t="n">
        <x:v>10308.53835616706</x:v>
      </x:c>
      <x:c r="L1015" s="28" t="n">
        <x:v>44</x:v>
      </x:c>
      <x:c r="M1015" s="28" t="n">
        <x:v>40</x:v>
      </x:c>
      <x:c r="N1015" s="28" t="n">
        <x:v>1.862645149230957e-9</x:v>
      </x:c>
      <x:c r="O1015" s="28" t="n">
        <x:v>7.450580596923828e-9</x:v>
      </x:c>
      <x:c r="P1015" s="28" t="n">
        <x:v>0</x:v>
      </x:c>
      <x:c r="Q1015" s="62" t="b">
        <x:v>1</x:v>
      </x:c>
      <x:c r="R1015" s="28" t="n">
        <x:v>19482751.075151026</x:v>
      </x:c>
      <x:c r="S1015" s="28" t="str">
        <x:v>d7ef2964ffc08c8c</x:v>
      </x:c>
    </x:row>
    <x:row r="1016" ht="21" customHeight="1">
      <x:c r="A1016" s="60" t="n">
        <x:v>0.64</x:v>
      </x:c>
      <x:c r="B1016" s="28" t="str">
        <x:v>front_flat</x:v>
      </x:c>
      <x:c r="C1016" s="60" t="n">
        <x:v>0</x:v>
      </x:c>
      <x:c r="D1016" s="60" t="n">
        <x:v>0</x:v>
      </x:c>
      <x:c r="E1016" s="62" t="b">
        <x:v>1</x:v>
      </x:c>
      <x:c r="F1016" s="62" t="b">
        <x:v>1</x:v>
      </x:c>
      <x:c r="G1016" s="85" t="n">
        <x:v>0</x:v>
      </x:c>
      <x:c r="H1016" s="85" t="n">
        <x:v>0</x:v>
      </x:c>
      <x:c r="I1016" s="85" t="n">
        <x:v>0</x:v>
      </x:c>
      <x:c r="J1016" s="85" t="n">
        <x:v>0</x:v>
      </x:c>
      <x:c r="K1016" s="85" t="n">
        <x:v>32734320.682876706</x:v>
      </x:c>
      <x:c r="L1016" s="28" t="n">
        <x:v>0</x:v>
      </x:c>
      <x:c r="M1016" s="28" t="n">
        <x:v>0</x:v>
      </x:c>
      <x:c r="N1016" s="28" t="n">
        <x:v>3.725290298461914e-9</x:v>
      </x:c>
      <x:c r="O1016" s="28" t="n">
        <x:v>0</x:v>
      </x:c>
      <x:c r="P1016" s="28" t="n">
        <x:v>0</x:v>
      </x:c>
      <x:c r="Q1016" s="62" t="b">
        <x:v>1</x:v>
      </x:c>
      <x:c r="R1016" s="28" t="n">
        <x:v>0</x:v>
      </x:c>
      <x:c r="S1016" s="28" t="str">
        <x:v>145d8ba1127806ae</x:v>
      </x:c>
    </x:row>
    <x:row r="1017" ht="21" customHeight="1">
      <x:c r="A1017" s="60" t="n">
        <x:v>0.64</x:v>
      </x:c>
      <x:c r="B1017" s="28" t="str">
        <x:v>front_flat</x:v>
      </x:c>
      <x:c r="C1017" s="60" t="n">
        <x:v>0.05</x:v>
      </x:c>
      <x:c r="D1017" s="60" t="n">
        <x:v>0.05</x:v>
      </x:c>
      <x:c r="E1017" s="62" t="b">
        <x:v>1</x:v>
      </x:c>
      <x:c r="F1017" s="62" t="b">
        <x:v>1</x:v>
      </x:c>
      <x:c r="G1017" s="85" t="n">
        <x:v>0</x:v>
      </x:c>
      <x:c r="H1017" s="85" t="n">
        <x:v>0</x:v>
      </x:c>
      <x:c r="I1017" s="85" t="n">
        <x:v>0</x:v>
      </x:c>
      <x:c r="J1017" s="85" t="n">
        <x:v>0</x:v>
      </x:c>
      <x:c r="K1017" s="85" t="n">
        <x:v>20489818.4441033</x:v>
      </x:c>
      <x:c r="L1017" s="28" t="n">
        <x:v>0</x:v>
      </x:c>
      <x:c r="M1017" s="28" t="n">
        <x:v>0</x:v>
      </x:c>
      <x:c r="N1017" s="28" t="n">
        <x:v>3.725290298461914e-9</x:v>
      </x:c>
      <x:c r="O1017" s="28" t="n">
        <x:v>5.960464477539063e-8</x:v>
      </x:c>
      <x:c r="P1017" s="28" t="n">
        <x:v>0</x:v>
      </x:c>
      <x:c r="Q1017" s="62" t="b">
        <x:v>1</x:v>
      </x:c>
      <x:c r="R1017" s="28" t="n">
        <x:v>0</x:v>
      </x:c>
      <x:c r="S1017" s="28" t="str">
        <x:v>944d662097e827e6</x:v>
      </x:c>
    </x:row>
    <x:row r="1018" ht="21" customHeight="1">
      <x:c r="A1018" s="60" t="n">
        <x:v>0.64</x:v>
      </x:c>
      <x:c r="B1018" s="28" t="str">
        <x:v>front_flat</x:v>
      </x:c>
      <x:c r="C1018" s="60" t="n">
        <x:v>0.1</x:v>
      </x:c>
      <x:c r="D1018" s="60" t="n">
        <x:v>0.1</x:v>
      </x:c>
      <x:c r="E1018" s="62" t="b">
        <x:v>1</x:v>
      </x:c>
      <x:c r="F1018" s="62" t="b">
        <x:v>1</x:v>
      </x:c>
      <x:c r="G1018" s="85" t="n">
        <x:v>0</x:v>
      </x:c>
      <x:c r="H1018" s="85" t="n">
        <x:v>0</x:v>
      </x:c>
      <x:c r="I1018" s="85" t="n">
        <x:v>0</x:v>
      </x:c>
      <x:c r="J1018" s="85" t="n">
        <x:v>0</x:v>
      </x:c>
      <x:c r="K1018" s="85" t="n">
        <x:v>8125928.800968525</x:v>
      </x:c>
      <x:c r="L1018" s="28" t="n">
        <x:v>0</x:v>
      </x:c>
      <x:c r="M1018" s="28" t="n">
        <x:v>0</x:v>
      </x:c>
      <x:c r="N1018" s="28" t="n">
        <x:v>3.725290298461914e-9</x:v>
      </x:c>
      <x:c r="O1018" s="28" t="n">
        <x:v>5.960464477539063e-8</x:v>
      </x:c>
      <x:c r="P1018" s="28" t="n">
        <x:v>0</x:v>
      </x:c>
      <x:c r="Q1018" s="62" t="b">
        <x:v>1</x:v>
      </x:c>
      <x:c r="R1018" s="28" t="n">
        <x:v>0</x:v>
      </x:c>
      <x:c r="S1018" s="28" t="str">
        <x:v>6288b164ea1dd7e8</x:v>
      </x:c>
    </x:row>
    <x:row r="1019" ht="21" customHeight="1">
      <x:c r="A1019" s="60" t="n">
        <x:v>0.64</x:v>
      </x:c>
      <x:c r="B1019" s="28" t="str">
        <x:v>front_flat</x:v>
      </x:c>
      <x:c r="C1019" s="60" t="n">
        <x:v>0.15</x:v>
      </x:c>
      <x:c r="D1019" s="60" t="n">
        <x:v>0.15</x:v>
      </x:c>
      <x:c r="E1019" s="62" t="b">
        <x:v>1</x:v>
      </x:c>
      <x:c r="F1019" s="62" t="b">
        <x:v>1</x:v>
      </x:c>
      <x:c r="G1019" s="85" t="n">
        <x:v>0</x:v>
      </x:c>
      <x:c r="H1019" s="85" t="n">
        <x:v>0</x:v>
      </x:c>
      <x:c r="I1019" s="85" t="n">
        <x:v>3353996.4616655456</x:v>
      </x:c>
      <x:c r="J1019" s="85" t="n">
        <x:v>0</x:v>
      </x:c>
      <x:c r="K1019" s="85" t="n">
        <x:v>361924.49610240094</x:v>
      </x:c>
      <x:c r="L1019" s="28" t="n">
        <x:v>0</x:v>
      </x:c>
      <x:c r="M1019" s="28" t="n">
        <x:v>0</x:v>
      </x:c>
      <x:c r="N1019" s="28" t="n">
        <x:v>3.725290298461914e-9</x:v>
      </x:c>
      <x:c r="O1019" s="28" t="n">
        <x:v>2.9802322387695312e-8</x:v>
      </x:c>
      <x:c r="P1019" s="28" t="n">
        <x:v>0</x:v>
      </x:c>
      <x:c r="Q1019" s="62" t="b">
        <x:v>1</x:v>
      </x:c>
      <x:c r="R1019" s="28" t="n">
        <x:v>0</x:v>
      </x:c>
      <x:c r="S1019" s="28" t="str">
        <x:v>8bfa121665396f97</x:v>
      </x:c>
    </x:row>
    <x:row r="1020" ht="21" customHeight="1">
      <x:c r="A1020" s="60" t="n">
        <x:v>0.64</x:v>
      </x:c>
      <x:c r="B1020" s="28" t="str">
        <x:v>front_flat</x:v>
      </x:c>
      <x:c r="C1020" s="60" t="n">
        <x:v>0.2</x:v>
      </x:c>
      <x:c r="D1020" s="60" t="n">
        <x:v>0.2</x:v>
      </x:c>
      <x:c r="E1020" s="62" t="b">
        <x:v>1</x:v>
      </x:c>
      <x:c r="F1020" s="62" t="b">
        <x:v>1</x:v>
      </x:c>
      <x:c r="G1020" s="85" t="n">
        <x:v>0</x:v>
      </x:c>
      <x:c r="H1020" s="85" t="n">
        <x:v>0</x:v>
      </x:c>
      <x:c r="I1020" s="85" t="n">
        <x:v>11922736.350876644</x:v>
      </x:c>
      <x:c r="J1020" s="85" t="n">
        <x:v>6284479.497374657</x:v>
      </x:c>
      <x:c r="K1020" s="85" t="n">
        <x:v>234469.74786438324</x:v>
      </x:c>
      <x:c r="L1020" s="28" t="n">
        <x:v>0</x:v>
      </x:c>
      <x:c r="M1020" s="28" t="n">
        <x:v>0</x:v>
      </x:c>
      <x:c r="N1020" s="28" t="n">
        <x:v>3.725290298461914e-9</x:v>
      </x:c>
      <x:c r="O1020" s="28" t="n">
        <x:v>2.9802322387695312e-8</x:v>
      </x:c>
      <x:c r="P1020" s="28" t="n">
        <x:v>0</x:v>
      </x:c>
      <x:c r="Q1020" s="62" t="b">
        <x:v>1</x:v>
      </x:c>
      <x:c r="R1020" s="28" t="n">
        <x:v>0</x:v>
      </x:c>
      <x:c r="S1020" s="28" t="str">
        <x:v>500e82cee7da3eb6</x:v>
      </x:c>
    </x:row>
    <x:row r="1021" ht="21" customHeight="1">
      <x:c r="A1021" s="60" t="n">
        <x:v>0.64</x:v>
      </x:c>
      <x:c r="B1021" s="28" t="str">
        <x:v>front_flat</x:v>
      </x:c>
      <x:c r="C1021" s="60" t="n">
        <x:v>0.25</x:v>
      </x:c>
      <x:c r="D1021" s="60" t="n">
        <x:v>0.25</x:v>
      </x:c>
      <x:c r="E1021" s="62" t="b">
        <x:v>1</x:v>
      </x:c>
      <x:c r="F1021" s="62" t="b">
        <x:v>1</x:v>
      </x:c>
      <x:c r="G1021" s="85" t="n">
        <x:v>0</x:v>
      </x:c>
      <x:c r="H1021" s="85" t="n">
        <x:v>0</x:v>
      </x:c>
      <x:c r="I1021" s="85" t="n">
        <x:v>18777634.792992987</x:v>
      </x:c>
      <x:c r="J1021" s="85" t="n">
        <x:v>15355599.371718248</x:v>
      </x:c>
      <x:c r="K1021" s="85" t="n">
        <x:v>172246.68791266897</x:v>
      </x:c>
      <x:c r="L1021" s="28" t="n">
        <x:v>0</x:v>
      </x:c>
      <x:c r="M1021" s="28" t="n">
        <x:v>0</x:v>
      </x:c>
      <x:c r="N1021" s="28" t="n">
        <x:v>1.862645149230957e-9</x:v>
      </x:c>
      <x:c r="O1021" s="28" t="n">
        <x:v>1.4901161193847656e-8</x:v>
      </x:c>
      <x:c r="P1021" s="28" t="n">
        <x:v>0</x:v>
      </x:c>
      <x:c r="Q1021" s="62" t="b">
        <x:v>1</x:v>
      </x:c>
      <x:c r="R1021" s="28" t="n">
        <x:v>0</x:v>
      </x:c>
      <x:c r="S1021" s="28" t="str">
        <x:v>066d6b587959a334</x:v>
      </x:c>
    </x:row>
    <x:row r="1022" ht="21" customHeight="1">
      <x:c r="A1022" s="60" t="n">
        <x:v>0.64</x:v>
      </x:c>
      <x:c r="B1022" s="28" t="str">
        <x:v>front_flat</x:v>
      </x:c>
      <x:c r="C1022" s="60" t="n">
        <x:v>0.3</x:v>
      </x:c>
      <x:c r="D1022" s="60" t="n">
        <x:v>0.3</x:v>
      </x:c>
      <x:c r="E1022" s="62" t="b">
        <x:v>1</x:v>
      </x:c>
      <x:c r="F1022" s="62" t="b">
        <x:v>1</x:v>
      </x:c>
      <x:c r="G1022" s="85" t="n">
        <x:v>0</x:v>
      </x:c>
      <x:c r="H1022" s="85" t="n">
        <x:v>0</x:v>
      </x:c>
      <x:c r="I1022" s="85" t="n">
        <x:v>25763713.195908345</x:v>
      </x:c>
      <x:c r="J1022" s="85" t="n">
        <x:v>24426719.246061895</x:v>
      </x:c>
      <x:c r="K1022" s="85" t="n">
        <x:v>110023.62796095843</x:v>
      </x:c>
      <x:c r="L1022" s="28" t="n">
        <x:v>0</x:v>
      </x:c>
      <x:c r="M1022" s="28" t="n">
        <x:v>0</x:v>
      </x:c>
      <x:c r="N1022" s="28" t="n">
        <x:v>1.862645149230957e-9</x:v>
      </x:c>
      <x:c r="O1022" s="28" t="n">
        <x:v>2.9802322387695312e-8</x:v>
      </x:c>
      <x:c r="P1022" s="28" t="n">
        <x:v>0</x:v>
      </x:c>
      <x:c r="Q1022" s="62" t="b">
        <x:v>1</x:v>
      </x:c>
      <x:c r="R1022" s="28" t="n">
        <x:v>0</x:v>
      </x:c>
      <x:c r="S1022" s="28" t="str">
        <x:v>dc49b8aa955a9976</x:v>
      </x:c>
    </x:row>
    <x:row r="1023" ht="21" customHeight="1">
      <x:c r="A1023" s="60" t="n">
        <x:v>0.64</x:v>
      </x:c>
      <x:c r="B1023" s="28" t="str">
        <x:v>front_flat</x:v>
      </x:c>
      <x:c r="C1023" s="60" t="n">
        <x:v>0.35</x:v>
      </x:c>
      <x:c r="D1023" s="60" t="n">
        <x:v>0.35</x:v>
      </x:c>
      <x:c r="E1023" s="62" t="b">
        <x:v>1</x:v>
      </x:c>
      <x:c r="F1023" s="62" t="b">
        <x:v>1</x:v>
      </x:c>
      <x:c r="G1023" s="85" t="n">
        <x:v>0</x:v>
      </x:c>
      <x:c r="H1023" s="85" t="n">
        <x:v>0</x:v>
      </x:c>
      <x:c r="I1023" s="85" t="n">
        <x:v>32708163.98986112</x:v>
      </x:c>
      <x:c r="J1023" s="85" t="n">
        <x:v>33497839.120405544</x:v>
      </x:c>
      <x:c r="K1023" s="85" t="n">
        <x:v>47800.56800925628</x:v>
      </x:c>
      <x:c r="L1023" s="28" t="n">
        <x:v>0</x:v>
      </x:c>
      <x:c r="M1023" s="28" t="n">
        <x:v>0</x:v>
      </x:c>
      <x:c r="N1023" s="28" t="n">
        <x:v>3.725290298461914e-9</x:v>
      </x:c>
      <x:c r="O1023" s="28" t="n">
        <x:v>7.450580596923828e-9</x:v>
      </x:c>
      <x:c r="P1023" s="28" t="n">
        <x:v>0</x:v>
      </x:c>
      <x:c r="Q1023" s="62" t="b">
        <x:v>1</x:v>
      </x:c>
      <x:c r="R1023" s="28" t="n">
        <x:v>0</x:v>
      </x:c>
      <x:c r="S1023" s="28" t="str">
        <x:v>3bbef4adfcf9b7d2</x:v>
      </x:c>
    </x:row>
    <x:row r="1024" ht="21" customHeight="1">
      <x:c r="A1024" s="60" t="n">
        <x:v>0.64</x:v>
      </x:c>
      <x:c r="B1024" s="28" t="str">
        <x:v>front_flat</x:v>
      </x:c>
      <x:c r="C1024" s="60" t="n">
        <x:v>0.4</x:v>
      </x:c>
      <x:c r="D1024" s="60" t="n">
        <x:v>0.4</x:v>
      </x:c>
      <x:c r="E1024" s="62" t="b">
        <x:v>1</x:v>
      </x:c>
      <x:c r="F1024" s="62" t="b">
        <x:v>1</x:v>
      </x:c>
      <x:c r="G1024" s="85" t="n">
        <x:v>0</x:v>
      </x:c>
      <x:c r="H1024" s="85" t="n">
        <x:v>0</x:v>
      </x:c>
      <x:c r="I1024" s="85" t="n">
        <x:v>39652614.783813916</x:v>
      </x:c>
      <x:c r="J1024" s="85" t="n">
        <x:v>42568958.994749226</x:v>
      </x:c>
      <x:c r="K1024" s="85" t="n">
        <x:v>16502.425397257117</x:v>
      </x:c>
      <x:c r="L1024" s="28" t="n">
        <x:v>0</x:v>
      </x:c>
      <x:c r="M1024" s="28" t="n">
        <x:v>0</x:v>
      </x:c>
      <x:c r="N1024" s="28" t="n">
        <x:v>3.725290298461914e-9</x:v>
      </x:c>
      <x:c r="O1024" s="28" t="n">
        <x:v>2.9802322387695312e-8</x:v>
      </x:c>
      <x:c r="P1024" s="28" t="n">
        <x:v>0</x:v>
      </x:c>
      <x:c r="Q1024" s="62" t="b">
        <x:v>1</x:v>
      </x:c>
      <x:c r="R1024" s="28" t="n">
        <x:v>0</x:v>
      </x:c>
      <x:c r="S1024" s="28" t="str">
        <x:v>6d9c8c652f3f3f7b</x:v>
      </x:c>
    </x:row>
    <x:row r="1025" ht="21" customHeight="1">
      <x:c r="A1025" s="60" t="n">
        <x:v>0.64</x:v>
      </x:c>
      <x:c r="B1025" s="28" t="str">
        <x:v>front_flat</x:v>
      </x:c>
      <x:c r="C1025" s="60" t="n">
        <x:v>0.45</x:v>
      </x:c>
      <x:c r="D1025" s="60" t="n">
        <x:v>0.45</x:v>
      </x:c>
      <x:c r="E1025" s="62" t="b">
        <x:v>1</x:v>
      </x:c>
      <x:c r="F1025" s="62" t="b">
        <x:v>1</x:v>
      </x:c>
      <x:c r="G1025" s="85" t="n">
        <x:v>0</x:v>
      </x:c>
      <x:c r="H1025" s="85" t="n">
        <x:v>0</x:v>
      </x:c>
      <x:c r="I1025" s="85" t="n">
        <x:v>47850085.88227783</x:v>
      </x:c>
      <x:c r="J1025" s="85" t="n">
        <x:v>48224807.0407981</x:v>
      </x:c>
      <x:c r="K1025" s="85" t="n">
        <x:v>0</x:v>
      </x:c>
      <x:c r="L1025" s="28" t="n">
        <x:v>4</x:v>
      </x:c>
      <x:c r="M1025" s="28" t="n">
        <x:v>0</x:v>
      </x:c>
      <x:c r="N1025" s="28" t="n">
        <x:v>1.862645149230957e-9</x:v>
      </x:c>
      <x:c r="O1025" s="28" t="n">
        <x:v>2.9802322387695312e-8</x:v>
      </x:c>
      <x:c r="P1025" s="28" t="n">
        <x:v>0</x:v>
      </x:c>
      <x:c r="Q1025" s="62" t="b">
        <x:v>1</x:v>
      </x:c>
      <x:c r="R1025" s="28" t="n">
        <x:v>0</x:v>
      </x:c>
      <x:c r="S1025" s="28" t="str">
        <x:v>42e7a00b804e8689</x:v>
      </x:c>
    </x:row>
    <x:row r="1026" ht="21" customHeight="1">
      <x:c r="A1026" s="60" t="n">
        <x:v>0.64</x:v>
      </x:c>
      <x:c r="B1026" s="28" t="str">
        <x:v>front_flat</x:v>
      </x:c>
      <x:c r="C1026" s="60" t="n">
        <x:v>0.5</x:v>
      </x:c>
      <x:c r="D1026" s="60" t="n">
        <x:v>0.5</x:v>
      </x:c>
      <x:c r="E1026" s="62" t="b">
        <x:v>1</x:v>
      </x:c>
      <x:c r="F1026" s="62" t="b">
        <x:v>1</x:v>
      </x:c>
      <x:c r="G1026" s="85" t="n">
        <x:v>0</x:v>
      </x:c>
      <x:c r="H1026" s="85" t="n">
        <x:v>0</x:v>
      </x:c>
      <x:c r="I1026" s="85" t="n">
        <x:v>56872809.68651965</x:v>
      </x:c>
      <x:c r="J1026" s="85" t="n">
        <x:v>50910073.197114356</x:v>
      </x:c>
      <x:c r="K1026" s="85" t="n">
        <x:v>0</x:v>
      </x:c>
      <x:c r="L1026" s="28" t="n">
        <x:v>11</x:v>
      </x:c>
      <x:c r="M1026" s="28" t="n">
        <x:v>0</x:v>
      </x:c>
      <x:c r="N1026" s="28" t="n">
        <x:v>1.862645149230957e-9</x:v>
      </x:c>
      <x:c r="O1026" s="28" t="n">
        <x:v>2.9802322387695312e-8</x:v>
      </x:c>
      <x:c r="P1026" s="28" t="n">
        <x:v>0</x:v>
      </x:c>
      <x:c r="Q1026" s="62" t="b">
        <x:v>1</x:v>
      </x:c>
      <x:c r="R1026" s="28" t="n">
        <x:v>0</x:v>
      </x:c>
      <x:c r="S1026" s="28" t="str">
        <x:v>0848fdce45e196a5</x:v>
      </x:c>
    </x:row>
    <x:row r="1027" ht="21" customHeight="1">
      <x:c r="A1027" s="60" t="n">
        <x:v>0.64</x:v>
      </x:c>
      <x:c r="B1027" s="28" t="str">
        <x:v>front_flat</x:v>
      </x:c>
      <x:c r="C1027" s="60" t="n">
        <x:v>0.55</x:v>
      </x:c>
      <x:c r="D1027" s="60" t="n">
        <x:v>0.55</x:v>
      </x:c>
      <x:c r="E1027" s="62" t="b">
        <x:v>1</x:v>
      </x:c>
      <x:c r="F1027" s="62" t="b">
        <x:v>1</x:v>
      </x:c>
      <x:c r="G1027" s="85" t="n">
        <x:v>0</x:v>
      </x:c>
      <x:c r="H1027" s="85" t="n">
        <x:v>0</x:v>
      </x:c>
      <x:c r="I1027" s="85" t="n">
        <x:v>64580027.61063109</x:v>
      </x:c>
      <x:c r="J1027" s="85" t="n">
        <x:v>57988001.97562932</x:v>
      </x:c>
      <x:c r="K1027" s="85" t="n">
        <x:v>0</x:v>
      </x:c>
      <x:c r="L1027" s="28" t="n">
        <x:v>17</x:v>
      </x:c>
      <x:c r="M1027" s="28" t="n">
        <x:v>0</x:v>
      </x:c>
      <x:c r="N1027" s="28" t="n">
        <x:v>1.862645149230957e-9</x:v>
      </x:c>
      <x:c r="O1027" s="28" t="n">
        <x:v>2.9802322387695312e-8</x:v>
      </x:c>
      <x:c r="P1027" s="28" t="n">
        <x:v>0</x:v>
      </x:c>
      <x:c r="Q1027" s="62" t="b">
        <x:v>1</x:v>
      </x:c>
      <x:c r="R1027" s="28" t="n">
        <x:v>0</x:v>
      </x:c>
      <x:c r="S1027" s="28" t="str">
        <x:v>26e78c83807c686b</x:v>
      </x:c>
    </x:row>
    <x:row r="1028" ht="21" customHeight="1">
      <x:c r="A1028" s="60" t="n">
        <x:v>0.64</x:v>
      </x:c>
      <x:c r="B1028" s="28" t="str">
        <x:v>front_flat</x:v>
      </x:c>
      <x:c r="C1028" s="60" t="n">
        <x:v>0.6</x:v>
      </x:c>
      <x:c r="D1028" s="60" t="n">
        <x:v>0.6</x:v>
      </x:c>
      <x:c r="E1028" s="62" t="b">
        <x:v>1</x:v>
      </x:c>
      <x:c r="F1028" s="62" t="b">
        <x:v>1</x:v>
      </x:c>
      <x:c r="G1028" s="85" t="n">
        <x:v>0</x:v>
      </x:c>
      <x:c r="H1028" s="85" t="n">
        <x:v>0</x:v>
      </x:c>
      <x:c r="I1028" s="85" t="n">
        <x:v>70776692.1432923</x:v>
      </x:c>
      <x:c r="J1028" s="85" t="n">
        <x:v>68730858.15428215</x:v>
      </x:c>
      <x:c r="K1028" s="85" t="n">
        <x:v>0</x:v>
      </x:c>
      <x:c r="L1028" s="28" t="n">
        <x:v>20</x:v>
      </x:c>
      <x:c r="M1028" s="28" t="n">
        <x:v>1</x:v>
      </x:c>
      <x:c r="N1028" s="28" t="n">
        <x:v>1.862645149230957e-9</x:v>
      </x:c>
      <x:c r="O1028" s="28" t="n">
        <x:v>2.9802322387695312e-8</x:v>
      </x:c>
      <x:c r="P1028" s="28" t="n">
        <x:v>0</x:v>
      </x:c>
      <x:c r="Q1028" s="62" t="b">
        <x:v>1</x:v>
      </x:c>
      <x:c r="R1028" s="28" t="n">
        <x:v>0</x:v>
      </x:c>
      <x:c r="S1028" s="28" t="str">
        <x:v>31b1d93b7b47d52d</x:v>
      </x:c>
    </x:row>
    <x:row r="1029" ht="21" customHeight="1">
      <x:c r="A1029" s="60" t="n">
        <x:v>0.64</x:v>
      </x:c>
      <x:c r="B1029" s="28" t="str">
        <x:v>front_flat</x:v>
      </x:c>
      <x:c r="C1029" s="60" t="n">
        <x:v>0.65</x:v>
      </x:c>
      <x:c r="D1029" s="60" t="n">
        <x:v>0.65</x:v>
      </x:c>
      <x:c r="E1029" s="62" t="b">
        <x:v>1</x:v>
      </x:c>
      <x:c r="F1029" s="62" t="b">
        <x:v>0</x:v>
      </x:c>
      <x:c r="G1029" s="85" t="n">
        <x:v>405841.36283749086</x:v>
      </x:c>
      <x:c r="H1029" s="85" t="n">
        <x:v>2619377.012269915</x:v>
      </x:c>
      <x:c r="I1029" s="85" t="n">
        <x:v>75284401.151888</x:v>
      </x:c>
      <x:c r="J1029" s="85" t="n">
        <x:v>78000000</x:v>
      </x:c>
      <x:c r="K1029" s="85" t="n">
        <x:v>0</x:v>
      </x:c>
      <x:c r="L1029" s="28" t="n">
        <x:v>45</x:v>
      </x:c>
      <x:c r="M1029" s="28" t="n">
        <x:v>34</x:v>
      </x:c>
      <x:c r="N1029" s="28" t="n">
        <x:v>1.862645149230957e-9</x:v>
      </x:c>
      <x:c r="O1029" s="28" t="n">
        <x:v>2.9802322387695312e-8</x:v>
      </x:c>
      <x:c r="P1029" s="28" t="n">
        <x:v>0</x:v>
      </x:c>
      <x:c r="Q1029" s="62" t="b">
        <x:v>1</x:v>
      </x:c>
      <x:c r="R1029" s="28" t="n">
        <x:v>0</x:v>
      </x:c>
      <x:c r="S1029" s="28" t="str">
        <x:v>41b8821fe6ed9f4c</x:v>
      </x:c>
    </x:row>
    <x:row r="1030" ht="21" customHeight="1">
      <x:c r="A1030" s="60" t="n">
        <x:v>0.64</x:v>
      </x:c>
      <x:c r="B1030" s="28" t="str">
        <x:v>front_flat</x:v>
      </x:c>
      <x:c r="C1030" s="60" t="n">
        <x:v>0.7</x:v>
      </x:c>
      <x:c r="D1030" s="60" t="n">
        <x:v>0.7</x:v>
      </x:c>
      <x:c r="E1030" s="62" t="b">
        <x:v>1</x:v>
      </x:c>
      <x:c r="F1030" s="62" t="b">
        <x:v>0</x:v>
      </x:c>
      <x:c r="G1030" s="85" t="n">
        <x:v>2435514.443896349</x:v>
      </x:c>
      <x:c r="H1030" s="85" t="n">
        <x:v>14331247.729195014</x:v>
      </x:c>
      <x:c r="I1030" s="85" t="n">
        <x:v>76501547.72623491</x:v>
      </x:c>
      <x:c r="J1030" s="85" t="n">
        <x:v>78000000</x:v>
      </x:c>
      <x:c r="K1030" s="85" t="n">
        <x:v>0</x:v>
      </x:c>
      <x:c r="L1030" s="28" t="n">
        <x:v>46</x:v>
      </x:c>
      <x:c r="M1030" s="28" t="n">
        <x:v>36</x:v>
      </x:c>
      <x:c r="N1030" s="28" t="n">
        <x:v>1.862645149230957e-9</x:v>
      </x:c>
      <x:c r="O1030" s="28" t="n">
        <x:v>2.9802322387695312e-8</x:v>
      </x:c>
      <x:c r="P1030" s="28" t="n">
        <x:v>0</x:v>
      </x:c>
      <x:c r="Q1030" s="62" t="b">
        <x:v>1</x:v>
      </x:c>
      <x:c r="R1030" s="28" t="n">
        <x:v>0</x:v>
      </x:c>
      <x:c r="S1030" s="28" t="str">
        <x:v>84abcaac8fa87b81</x:v>
      </x:c>
    </x:row>
    <x:row r="1031" ht="21" customHeight="1">
      <x:c r="A1031" s="60" t="n">
        <x:v>0.64</x:v>
      </x:c>
      <x:c r="B1031" s="28" t="str">
        <x:v>front_flat</x:v>
      </x:c>
      <x:c r="C1031" s="60" t="n">
        <x:v>0.75</x:v>
      </x:c>
      <x:c r="D1031" s="60" t="n">
        <x:v>0.75</x:v>
      </x:c>
      <x:c r="E1031" s="62" t="b">
        <x:v>1</x:v>
      </x:c>
      <x:c r="F1031" s="62" t="b">
        <x:v>0</x:v>
      </x:c>
      <x:c r="G1031" s="85" t="n">
        <x:v>4825863.606419897</x:v>
      </x:c>
      <x:c r="H1031" s="85" t="n">
        <x:v>27193863.35142314</x:v>
      </x:c>
      <x:c r="I1031" s="85" t="n">
        <x:v>76561776.97667293</x:v>
      </x:c>
      <x:c r="J1031" s="85" t="n">
        <x:v>78000000</x:v>
      </x:c>
      <x:c r="K1031" s="85" t="n">
        <x:v>0</x:v>
      </x:c>
      <x:c r="L1031" s="28" t="n">
        <x:v>46</x:v>
      </x:c>
      <x:c r="M1031" s="28" t="n">
        <x:v>38</x:v>
      </x:c>
      <x:c r="N1031" s="28" t="n">
        <x:v>1.862645149230957e-9</x:v>
      </x:c>
      <x:c r="O1031" s="28" t="n">
        <x:v>2.9802322387695312e-8</x:v>
      </x:c>
      <x:c r="P1031" s="28" t="n">
        <x:v>0</x:v>
      </x:c>
      <x:c r="Q1031" s="62" t="b">
        <x:v>1</x:v>
      </x:c>
      <x:c r="R1031" s="28" t="n">
        <x:v>0</x:v>
      </x:c>
      <x:c r="S1031" s="28" t="str">
        <x:v>fcf3afe3afa166db</x:v>
      </x:c>
    </x:row>
    <x:row r="1032" ht="21" customHeight="1">
      <x:c r="A1032" s="60" t="n">
        <x:v>0.64</x:v>
      </x:c>
      <x:c r="B1032" s="28" t="str">
        <x:v>front_flat</x:v>
      </x:c>
      <x:c r="C1032" s="60" t="n">
        <x:v>0.8</x:v>
      </x:c>
      <x:c r="D1032" s="60" t="n">
        <x:v>0.8</x:v>
      </x:c>
      <x:c r="E1032" s="62" t="b">
        <x:v>1</x:v>
      </x:c>
      <x:c r="F1032" s="62" t="b">
        <x:v>0</x:v>
      </x:c>
      <x:c r="G1032" s="85" t="n">
        <x:v>7551708.315387739</x:v>
      </x:c>
      <x:c r="H1032" s="85" t="n">
        <x:v>39747896.59351791</x:v>
      </x:c>
      <x:c r="I1032" s="85" t="n">
        <x:v>76624546.97155616</x:v>
      </x:c>
      <x:c r="J1032" s="85" t="n">
        <x:v>78000000</x:v>
      </x:c>
      <x:c r="K1032" s="85" t="n">
        <x:v>0</x:v>
      </x:c>
      <x:c r="L1032" s="28" t="n">
        <x:v>46</x:v>
      </x:c>
      <x:c r="M1032" s="28" t="n">
        <x:v>41</x:v>
      </x:c>
      <x:c r="N1032" s="28" t="n">
        <x:v>1.862645149230957e-9</x:v>
      </x:c>
      <x:c r="O1032" s="28" t="n">
        <x:v>1.4901161193847656e-8</x:v>
      </x:c>
      <x:c r="P1032" s="28" t="n">
        <x:v>0</x:v>
      </x:c>
      <x:c r="Q1032" s="62" t="b">
        <x:v>1</x:v>
      </x:c>
      <x:c r="R1032" s="28" t="n">
        <x:v>0</x:v>
      </x:c>
      <x:c r="S1032" s="28" t="str">
        <x:v>408a8daca3195150</x:v>
      </x:c>
    </x:row>
    <x:row r="1033" ht="21" customHeight="1">
      <x:c r="A1033" s="60" t="n">
        <x:v>0.64</x:v>
      </x:c>
      <x:c r="B1033" s="28" t="str">
        <x:v>front_flat</x:v>
      </x:c>
      <x:c r="C1033" s="60" t="n">
        <x:v>0.85</x:v>
      </x:c>
      <x:c r="D1033" s="60" t="n">
        <x:v>0.85</x:v>
      </x:c>
      <x:c r="E1033" s="62" t="b">
        <x:v>1</x:v>
      </x:c>
      <x:c r="F1033" s="62" t="b">
        <x:v>0</x:v>
      </x:c>
      <x:c r="G1033" s="85" t="n">
        <x:v>10209046.736597346</x:v>
      </x:c>
      <x:c r="H1033" s="85" t="n">
        <x:v>52141776.10954337</x:v>
      </x:c>
      <x:c r="I1033" s="85" t="n">
        <x:v>76687316.96643937</x:v>
      </x:c>
      <x:c r="J1033" s="85" t="n">
        <x:v>78000000</x:v>
      </x:c>
      <x:c r="K1033" s="85" t="n">
        <x:v>0</x:v>
      </x:c>
      <x:c r="L1033" s="28" t="n">
        <x:v>46</x:v>
      </x:c>
      <x:c r="M1033" s="28" t="n">
        <x:v>42</x:v>
      </x:c>
      <x:c r="N1033" s="28" t="n">
        <x:v>1.862645149230957e-9</x:v>
      </x:c>
      <x:c r="O1033" s="28" t="n">
        <x:v>1.862645149230957e-9</x:v>
      </x:c>
      <x:c r="P1033" s="28" t="n">
        <x:v>0</x:v>
      </x:c>
      <x:c r="Q1033" s="62" t="b">
        <x:v>1</x:v>
      </x:c>
      <x:c r="R1033" s="28" t="n">
        <x:v>0</x:v>
      </x:c>
      <x:c r="S1033" s="28" t="str">
        <x:v>7786f69a8ab09f56</x:v>
      </x:c>
    </x:row>
    <x:row r="1034" ht="21" customHeight="1">
      <x:c r="A1034" s="60" t="n">
        <x:v>0.64</x:v>
      </x:c>
      <x:c r="B1034" s="28" t="str">
        <x:v>front_flat</x:v>
      </x:c>
      <x:c r="C1034" s="60" t="n">
        <x:v>0.9</x:v>
      </x:c>
      <x:c r="D1034" s="60" t="n">
        <x:v>0.9</x:v>
      </x:c>
      <x:c r="E1034" s="62" t="b">
        <x:v>1</x:v>
      </x:c>
      <x:c r="F1034" s="62" t="b">
        <x:v>0</x:v>
      </x:c>
      <x:c r="G1034" s="85" t="n">
        <x:v>13864617.559837636</x:v>
      </x:c>
      <x:c r="H1034" s="85" t="n">
        <x:v>63899655.51876529</x:v>
      </x:c>
      <x:c r="I1034" s="85" t="n">
        <x:v>76750086.96132259</x:v>
      </x:c>
      <x:c r="J1034" s="85" t="n">
        <x:v>78000000</x:v>
      </x:c>
      <x:c r="K1034" s="85" t="n">
        <x:v>0</x:v>
      </x:c>
      <x:c r="L1034" s="28" t="n">
        <x:v>46</x:v>
      </x:c>
      <x:c r="M1034" s="28" t="n">
        <x:v>44</x:v>
      </x:c>
      <x:c r="N1034" s="28" t="n">
        <x:v>9.313225746154785e-10</x:v>
      </x:c>
      <x:c r="O1034" s="28" t="n">
        <x:v>1.4901161193847656e-8</x:v>
      </x:c>
      <x:c r="P1034" s="28" t="n">
        <x:v>0</x:v>
      </x:c>
      <x:c r="Q1034" s="62" t="b">
        <x:v>1</x:v>
      </x:c>
      <x:c r="R1034" s="28" t="n">
        <x:v>0</x:v>
      </x:c>
      <x:c r="S1034" s="28" t="str">
        <x:v>7368ce89330d854a</x:v>
      </x:c>
    </x:row>
    <x:row r="1035" ht="21" customHeight="1">
      <x:c r="A1035" s="60" t="n">
        <x:v>0.64</x:v>
      </x:c>
      <x:c r="B1035" s="28" t="str">
        <x:v>front_flat</x:v>
      </x:c>
      <x:c r="C1035" s="60" t="n">
        <x:v>0.95</x:v>
      </x:c>
      <x:c r="D1035" s="60" t="n">
        <x:v>0.9497739906324524</x:v>
      </x:c>
      <x:c r="E1035" s="62" t="b">
        <x:v>0</x:v>
      </x:c>
      <x:c r="F1035" s="62" t="b">
        <x:v>0</x:v>
      </x:c>
      <x:c r="G1035" s="85" t="n">
        <x:v>19019627.689214397</x:v>
      </x:c>
      <x:c r="H1035" s="85" t="n">
        <x:v>72011162.46798114</x:v>
      </x:c>
      <x:c r="I1035" s="85" t="n">
        <x:v>76812856.9562058</x:v>
      </x:c>
      <x:c r="J1035" s="85" t="n">
        <x:v>78000000</x:v>
      </x:c>
      <x:c r="K1035" s="85" t="n">
        <x:v>0</x:v>
      </x:c>
      <x:c r="L1035" s="28" t="n">
        <x:v>46</x:v>
      </x:c>
      <x:c r="M1035" s="28" t="n">
        <x:v>44</x:v>
      </x:c>
      <x:c r="N1035" s="28" t="n">
        <x:v>9.313225746154785e-10</x:v>
      </x:c>
      <x:c r="O1035" s="28" t="n">
        <x:v>1.4901161193847656e-8</x:v>
      </x:c>
      <x:c r="P1035" s="28" t="n">
        <x:v>0</x:v>
      </x:c>
      <x:c r="Q1035" s="62" t="b">
        <x:v>1</x:v>
      </x:c>
      <x:c r="R1035" s="28" t="n">
        <x:v>67802.81026428938</x:v>
      </x:c>
      <x:c r="S1035" s="28" t="str">
        <x:v>4556800c72416ac5</x:v>
      </x:c>
    </x:row>
    <x:row r="1036" ht="21" customHeight="1">
      <x:c r="A1036" s="60" t="n">
        <x:v>0.64</x:v>
      </x:c>
      <x:c r="B1036" s="28" t="str">
        <x:v>front_flat</x:v>
      </x:c>
      <x:c r="C1036" s="60" t="n">
        <x:v>1</x:v>
      </x:c>
      <x:c r="D1036" s="60" t="n">
        <x:v>0.9646994850752131</x:v>
      </x:c>
      <x:c r="E1036" s="62" t="b">
        <x:v>0</x:v>
      </x:c>
      <x:c r="F1036" s="62" t="b">
        <x:v>0</x:v>
      </x:c>
      <x:c r="G1036" s="85" t="n">
        <x:v>20900790.194893267</x:v>
      </x:c>
      <x:c r="H1036" s="85" t="n">
        <x:v>75944614.55357824</x:v>
      </x:c>
      <x:c r="I1036" s="85" t="n">
        <x:v>76875626.95108902</x:v>
      </x:c>
      <x:c r="J1036" s="85" t="n">
        <x:v>78000000</x:v>
      </x:c>
      <x:c r="K1036" s="85" t="n">
        <x:v>0</x:v>
      </x:c>
      <x:c r="L1036" s="28" t="n">
        <x:v>46</x:v>
      </x:c>
      <x:c r="M1036" s="28" t="n">
        <x:v>44</x:v>
      </x:c>
      <x:c r="N1036" s="28" t="n">
        <x:v>1.862645149230957e-9</x:v>
      </x:c>
      <x:c r="O1036" s="28" t="n">
        <x:v>3.725290298461914e-9</x:v>
      </x:c>
      <x:c r="P1036" s="28" t="n">
        <x:v>0</x:v>
      </x:c>
      <x:c r="Q1036" s="62" t="b">
        <x:v>1</x:v>
      </x:c>
      <x:c r="R1036" s="28" t="n">
        <x:v>10590154.477436066</x:v>
      </x:c>
      <x:c r="S1036" s="28" t="str">
        <x:v>99b8b9733d137af3</x:v>
      </x:c>
    </x:row>
    <x:row r="1037" ht="21" customHeight="1">
      <x:c r="A1037" s="60" t="n">
        <x:v>0.64</x:v>
      </x:c>
      <x:c r="B1037" s="28" t="str">
        <x:v>front_low</x:v>
      </x:c>
      <x:c r="C1037" s="60" t="n">
        <x:v>0</x:v>
      </x:c>
      <x:c r="D1037" s="60" t="n">
        <x:v>0</x:v>
      </x:c>
      <x:c r="E1037" s="62" t="b">
        <x:v>1</x:v>
      </x:c>
      <x:c r="F1037" s="62" t="b">
        <x:v>1</x:v>
      </x:c>
      <x:c r="G1037" s="85" t="n">
        <x:v>0</x:v>
      </x:c>
      <x:c r="H1037" s="85" t="n">
        <x:v>0</x:v>
      </x:c>
      <x:c r="I1037" s="85" t="n">
        <x:v>0</x:v>
      </x:c>
      <x:c r="J1037" s="85" t="n">
        <x:v>0</x:v>
      </x:c>
      <x:c r="K1037" s="85" t="n">
        <x:v>28741494.148630124</x:v>
      </x:c>
      <x:c r="L1037" s="28" t="n">
        <x:v>0</x:v>
      </x:c>
      <x:c r="M1037" s="28" t="n">
        <x:v>0</x:v>
      </x:c>
      <x:c r="N1037" s="28" t="n">
        <x:v>1.862645149230957e-9</x:v>
      </x:c>
      <x:c r="O1037" s="28" t="n">
        <x:v>0</x:v>
      </x:c>
      <x:c r="P1037" s="28" t="n">
        <x:v>0</x:v>
      </x:c>
      <x:c r="Q1037" s="62" t="b">
        <x:v>1</x:v>
      </x:c>
      <x:c r="R1037" s="28" t="n">
        <x:v>0</x:v>
      </x:c>
      <x:c r="S1037" s="28" t="str">
        <x:v>fa2ab93f250b78d5</x:v>
      </x:c>
    </x:row>
    <x:row r="1038" ht="21" customHeight="1">
      <x:c r="A1038" s="60" t="n">
        <x:v>0.64</x:v>
      </x:c>
      <x:c r="B1038" s="28" t="str">
        <x:v>front_low</x:v>
      </x:c>
      <x:c r="C1038" s="60" t="n">
        <x:v>0.05</x:v>
      </x:c>
      <x:c r="D1038" s="60" t="n">
        <x:v>0.05</x:v>
      </x:c>
      <x:c r="E1038" s="62" t="b">
        <x:v>1</x:v>
      </x:c>
      <x:c r="F1038" s="62" t="b">
        <x:v>1</x:v>
      </x:c>
      <x:c r="G1038" s="85" t="n">
        <x:v>0</x:v>
      </x:c>
      <x:c r="H1038" s="85" t="n">
        <x:v>0</x:v>
      </x:c>
      <x:c r="I1038" s="85" t="n">
        <x:v>0</x:v>
      </x:c>
      <x:c r="J1038" s="85" t="n">
        <x:v>0</x:v>
      </x:c>
      <x:c r="K1038" s="85" t="n">
        <x:v>17833246.110336185</x:v>
      </x:c>
      <x:c r="L1038" s="28" t="n">
        <x:v>0</x:v>
      </x:c>
      <x:c r="M1038" s="28" t="n">
        <x:v>0</x:v>
      </x:c>
      <x:c r="N1038" s="28" t="n">
        <x:v>3.725290298461914e-9</x:v>
      </x:c>
      <x:c r="O1038" s="28" t="n">
        <x:v>5.960464477539063e-8</x:v>
      </x:c>
      <x:c r="P1038" s="28" t="n">
        <x:v>0</x:v>
      </x:c>
      <x:c r="Q1038" s="62" t="b">
        <x:v>1</x:v>
      </x:c>
      <x:c r="R1038" s="28" t="n">
        <x:v>0</x:v>
      </x:c>
      <x:c r="S1038" s="28" t="str">
        <x:v>dff73e06922f7220</x:v>
      </x:c>
    </x:row>
    <x:row r="1039" ht="21" customHeight="1">
      <x:c r="A1039" s="60" t="n">
        <x:v>0.64</x:v>
      </x:c>
      <x:c r="B1039" s="28" t="str">
        <x:v>front_low</x:v>
      </x:c>
      <x:c r="C1039" s="60" t="n">
        <x:v>0.1</x:v>
      </x:c>
      <x:c r="D1039" s="60" t="n">
        <x:v>0.1</x:v>
      </x:c>
      <x:c r="E1039" s="62" t="b">
        <x:v>1</x:v>
      </x:c>
      <x:c r="F1039" s="62" t="b">
        <x:v>1</x:v>
      </x:c>
      <x:c r="G1039" s="85" t="n">
        <x:v>0</x:v>
      </x:c>
      <x:c r="H1039" s="85" t="n">
        <x:v>0</x:v>
      </x:c>
      <x:c r="I1039" s="85" t="n">
        <x:v>0</x:v>
      </x:c>
      <x:c r="J1039" s="85" t="n">
        <x:v>0</x:v>
      </x:c>
      <x:c r="K1039" s="85" t="n">
        <x:v>6840724.610140061</x:v>
      </x:c>
      <x:c r="L1039" s="28" t="n">
        <x:v>0</x:v>
      </x:c>
      <x:c r="M1039" s="28" t="n">
        <x:v>0</x:v>
      </x:c>
      <x:c r="N1039" s="28" t="n">
        <x:v>3.725290298461914e-9</x:v>
      </x:c>
      <x:c r="O1039" s="28" t="n">
        <x:v>5.960464477539063e-8</x:v>
      </x:c>
      <x:c r="P1039" s="28" t="n">
        <x:v>0</x:v>
      </x:c>
      <x:c r="Q1039" s="62" t="b">
        <x:v>1</x:v>
      </x:c>
      <x:c r="R1039" s="28" t="n">
        <x:v>0</x:v>
      </x:c>
      <x:c r="S1039" s="28" t="str">
        <x:v>92228d37b7a4db49</x:v>
      </x:c>
    </x:row>
    <x:row r="1040" ht="21" customHeight="1">
      <x:c r="A1040" s="60" t="n">
        <x:v>0.64</x:v>
      </x:c>
      <x:c r="B1040" s="28" t="str">
        <x:v>front_low</x:v>
      </x:c>
      <x:c r="C1040" s="60" t="n">
        <x:v>0.15</x:v>
      </x:c>
      <x:c r="D1040" s="60" t="n">
        <x:v>0.15</x:v>
      </x:c>
      <x:c r="E1040" s="62" t="b">
        <x:v>1</x:v>
      </x:c>
      <x:c r="F1040" s="62" t="b">
        <x:v>1</x:v>
      </x:c>
      <x:c r="G1040" s="85" t="n">
        <x:v>0</x:v>
      </x:c>
      <x:c r="H1040" s="85" t="n">
        <x:v>0</x:v>
      </x:c>
      <x:c r="I1040" s="85" t="n">
        <x:v>2770153.2028981154</x:v>
      </x:c>
      <x:c r="J1040" s="85" t="n">
        <x:v>0</x:v>
      </x:c>
      <x:c r="K1040" s="85" t="n">
        <x:v>77027.68063801408</x:v>
      </x:c>
      <x:c r="L1040" s="28" t="n">
        <x:v>0</x:v>
      </x:c>
      <x:c r="M1040" s="28" t="n">
        <x:v>0</x:v>
      </x:c>
      <x:c r="N1040" s="28" t="n">
        <x:v>3.725290298461914e-9</x:v>
      </x:c>
      <x:c r="O1040" s="28" t="n">
        <x:v>2.9802322387695312e-8</x:v>
      </x:c>
      <x:c r="P1040" s="28" t="n">
        <x:v>0</x:v>
      </x:c>
      <x:c r="Q1040" s="62" t="b">
        <x:v>1</x:v>
      </x:c>
      <x:c r="R1040" s="28" t="n">
        <x:v>0</x:v>
      </x:c>
      <x:c r="S1040" s="28" t="str">
        <x:v>cdf83cc3c75adccb</x:v>
      </x:c>
    </x:row>
    <x:row r="1041" ht="21" customHeight="1">
      <x:c r="A1041" s="60" t="n">
        <x:v>0.64</x:v>
      </x:c>
      <x:c r="B1041" s="28" t="str">
        <x:v>front_low</x:v>
      </x:c>
      <x:c r="C1041" s="60" t="n">
        <x:v>0.2</x:v>
      </x:c>
      <x:c r="D1041" s="60" t="n">
        <x:v>0.2</x:v>
      </x:c>
      <x:c r="E1041" s="62" t="b">
        <x:v>1</x:v>
      </x:c>
      <x:c r="F1041" s="62" t="b">
        <x:v>1</x:v>
      </x:c>
      <x:c r="G1041" s="85" t="n">
        <x:v>0</x:v>
      </x:c>
      <x:c r="H1041" s="85" t="n">
        <x:v>0</x:v>
      </x:c>
      <x:c r="I1041" s="85" t="n">
        <x:v>9309323.590667581</x:v>
      </x:c>
      <x:c r="J1041" s="85" t="n">
        <x:v>6284479.497374657</x:v>
      </x:c>
      <x:c r="K1041" s="85" t="n">
        <x:v>41523.01208356042</x:v>
      </x:c>
      <x:c r="L1041" s="28" t="n">
        <x:v>0</x:v>
      </x:c>
      <x:c r="M1041" s="28" t="n">
        <x:v>0</x:v>
      </x:c>
      <x:c r="N1041" s="28" t="n">
        <x:v>1.862645149230957e-9</x:v>
      </x:c>
      <x:c r="O1041" s="28" t="n">
        <x:v>2.9802322387695312e-8</x:v>
      </x:c>
      <x:c r="P1041" s="28" t="n">
        <x:v>0</x:v>
      </x:c>
      <x:c r="Q1041" s="62" t="b">
        <x:v>1</x:v>
      </x:c>
      <x:c r="R1041" s="28" t="n">
        <x:v>0</x:v>
      </x:c>
      <x:c r="S1041" s="28" t="str">
        <x:v>105142269d9715fe</x:v>
      </x:c>
    </x:row>
    <x:row r="1042" ht="21" customHeight="1">
      <x:c r="A1042" s="60" t="n">
        <x:v>0.64</x:v>
      </x:c>
      <x:c r="B1042" s="28" t="str">
        <x:v>front_low</x:v>
      </x:c>
      <x:c r="C1042" s="60" t="n">
        <x:v>0.25</x:v>
      </x:c>
      <x:c r="D1042" s="60" t="n">
        <x:v>0.25</x:v>
      </x:c>
      <x:c r="E1042" s="62" t="b">
        <x:v>1</x:v>
      </x:c>
      <x:c r="F1042" s="62" t="b">
        <x:v>1</x:v>
      </x:c>
      <x:c r="G1042" s="85" t="n">
        <x:v>0</x:v>
      </x:c>
      <x:c r="H1042" s="85" t="n">
        <x:v>0</x:v>
      </x:c>
      <x:c r="I1042" s="85" t="n">
        <x:v>13792973.183711136</x:v>
      </x:c>
      <x:c r="J1042" s="85" t="n">
        <x:v>15355599.371718248</x:v>
      </x:c>
      <x:c r="K1042" s="85" t="n">
        <x:v>6018.343529108155</x:v>
      </x:c>
      <x:c r="L1042" s="28" t="n">
        <x:v>0</x:v>
      </x:c>
      <x:c r="M1042" s="28" t="n">
        <x:v>0</x:v>
      </x:c>
      <x:c r="N1042" s="28" t="n">
        <x:v>1.862645149230957e-9</x:v>
      </x:c>
      <x:c r="O1042" s="28" t="n">
        <x:v>1.4901161193847656e-8</x:v>
      </x:c>
      <x:c r="P1042" s="28" t="n">
        <x:v>0</x:v>
      </x:c>
      <x:c r="Q1042" s="62" t="b">
        <x:v>1</x:v>
      </x:c>
      <x:c r="R1042" s="28" t="n">
        <x:v>0</x:v>
      </x:c>
      <x:c r="S1042" s="28" t="str">
        <x:v>9b525cfa6b2e8412</x:v>
      </x:c>
    </x:row>
    <x:row r="1043" ht="21" customHeight="1">
      <x:c r="A1043" s="60" t="n">
        <x:v>0.64</x:v>
      </x:c>
      <x:c r="B1043" s="28" t="str">
        <x:v>front_low</x:v>
      </x:c>
      <x:c r="C1043" s="60" t="n">
        <x:v>0.3</x:v>
      </x:c>
      <x:c r="D1043" s="60" t="n">
        <x:v>0.3</x:v>
      </x:c>
      <x:c r="E1043" s="62" t="b">
        <x:v>1</x:v>
      </x:c>
      <x:c r="F1043" s="62" t="b">
        <x:v>1</x:v>
      </x:c>
      <x:c r="G1043" s="85" t="n">
        <x:v>0</x:v>
      </x:c>
      <x:c r="H1043" s="85" t="n">
        <x:v>0</x:v>
      </x:c>
      <x:c r="I1043" s="85" t="n">
        <x:v>18344708.463622183</x:v>
      </x:c>
      <x:c r="J1043" s="85" t="n">
        <x:v>24426719.246061895</x:v>
      </x:c>
      <x:c r="K1043" s="85" t="n">
        <x:v>0</x:v>
      </x:c>
      <x:c r="L1043" s="28" t="n">
        <x:v>0</x:v>
      </x:c>
      <x:c r="M1043" s="28" t="n">
        <x:v>0</x:v>
      </x:c>
      <x:c r="N1043" s="28" t="n">
        <x:v>3.725290298461914e-9</x:v>
      </x:c>
      <x:c r="O1043" s="28" t="n">
        <x:v>2.9802322387695312e-8</x:v>
      </x:c>
      <x:c r="P1043" s="28" t="n">
        <x:v>0</x:v>
      </x:c>
      <x:c r="Q1043" s="62" t="b">
        <x:v>1</x:v>
      </x:c>
      <x:c r="R1043" s="28" t="n">
        <x:v>0</x:v>
      </x:c>
      <x:c r="S1043" s="28" t="str">
        <x:v>e4cbbcbee93c044b</x:v>
      </x:c>
    </x:row>
    <x:row r="1044" ht="21" customHeight="1">
      <x:c r="A1044" s="60" t="n">
        <x:v>0.64</x:v>
      </x:c>
      <x:c r="B1044" s="28" t="str">
        <x:v>front_low</x:v>
      </x:c>
      <x:c r="C1044" s="60" t="n">
        <x:v>0.35</x:v>
      </x:c>
      <x:c r="D1044" s="60" t="n">
        <x:v>0.35</x:v>
      </x:c>
      <x:c r="E1044" s="62" t="b">
        <x:v>1</x:v>
      </x:c>
      <x:c r="F1044" s="62" t="b">
        <x:v>1</x:v>
      </x:c>
      <x:c r="G1044" s="85" t="n">
        <x:v>0</x:v>
      </x:c>
      <x:c r="H1044" s="85" t="n">
        <x:v>0</x:v>
      </x:c>
      <x:c r="I1044" s="85" t="n">
        <x:v>22860487.86383776</x:v>
      </x:c>
      <x:c r="J1044" s="85" t="n">
        <x:v>33497839.120405544</x:v>
      </x:c>
      <x:c r="K1044" s="85" t="n">
        <x:v>0</x:v>
      </x:c>
      <x:c r="L1044" s="28" t="n">
        <x:v>0</x:v>
      </x:c>
      <x:c r="M1044" s="28" t="n">
        <x:v>0</x:v>
      </x:c>
      <x:c r="N1044" s="28" t="n">
        <x:v>3.725290298461914e-9</x:v>
      </x:c>
      <x:c r="O1044" s="28" t="n">
        <x:v>7.450580596923828e-9</x:v>
      </x:c>
      <x:c r="P1044" s="28" t="n">
        <x:v>0</x:v>
      </x:c>
      <x:c r="Q1044" s="62" t="b">
        <x:v>1</x:v>
      </x:c>
      <x:c r="R1044" s="28" t="n">
        <x:v>0</x:v>
      </x:c>
      <x:c r="S1044" s="28" t="str">
        <x:v>56948ef45f7ab6c8</x:v>
      </x:c>
    </x:row>
    <x:row r="1045" ht="21" customHeight="1">
      <x:c r="A1045" s="60" t="n">
        <x:v>0.64</x:v>
      </x:c>
      <x:c r="B1045" s="28" t="str">
        <x:v>front_low</x:v>
      </x:c>
      <x:c r="C1045" s="60" t="n">
        <x:v>0.4</x:v>
      </x:c>
      <x:c r="D1045" s="60" t="n">
        <x:v>0.4</x:v>
      </x:c>
      <x:c r="E1045" s="62" t="b">
        <x:v>1</x:v>
      </x:c>
      <x:c r="F1045" s="62" t="b">
        <x:v>1</x:v>
      </x:c>
      <x:c r="G1045" s="85" t="n">
        <x:v>0</x:v>
      </x:c>
      <x:c r="H1045" s="85" t="n">
        <x:v>0</x:v>
      </x:c>
      <x:c r="I1045" s="85" t="n">
        <x:v>27376267.26405334</x:v>
      </x:c>
      <x:c r="J1045" s="85" t="n">
        <x:v>42568958.994749226</x:v>
      </x:c>
      <x:c r="K1045" s="85" t="n">
        <x:v>0</x:v>
      </x:c>
      <x:c r="L1045" s="28" t="n">
        <x:v>0</x:v>
      </x:c>
      <x:c r="M1045" s="28" t="n">
        <x:v>0</x:v>
      </x:c>
      <x:c r="N1045" s="28" t="n">
        <x:v>1.862645149230957e-9</x:v>
      </x:c>
      <x:c r="O1045" s="28" t="n">
        <x:v>2.9802322387695312e-8</x:v>
      </x:c>
      <x:c r="P1045" s="28" t="n">
        <x:v>0</x:v>
      </x:c>
      <x:c r="Q1045" s="62" t="b">
        <x:v>1</x:v>
      </x:c>
      <x:c r="R1045" s="28" t="n">
        <x:v>0</x:v>
      </x:c>
      <x:c r="S1045" s="28" t="str">
        <x:v>7f2f9d2169dd3708</x:v>
      </x:c>
    </x:row>
    <x:row r="1046" ht="21" customHeight="1">
      <x:c r="A1046" s="60" t="n">
        <x:v>0.64</x:v>
      </x:c>
      <x:c r="B1046" s="28" t="str">
        <x:v>front_low</x:v>
      </x:c>
      <x:c r="C1046" s="60" t="n">
        <x:v>0.45</x:v>
      </x:c>
      <x:c r="D1046" s="60" t="n">
        <x:v>0.45</x:v>
      </x:c>
      <x:c r="E1046" s="62" t="b">
        <x:v>1</x:v>
      </x:c>
      <x:c r="F1046" s="62" t="b">
        <x:v>1</x:v>
      </x:c>
      <x:c r="G1046" s="85" t="n">
        <x:v>0</x:v>
      </x:c>
      <x:c r="H1046" s="85" t="n">
        <x:v>0</x:v>
      </x:c>
      <x:c r="I1046" s="85" t="n">
        <x:v>33788355.77847746</x:v>
      </x:c>
      <x:c r="J1046" s="85" t="n">
        <x:v>48427223.446252525</x:v>
      </x:c>
      <x:c r="K1046" s="85" t="n">
        <x:v>0</x:v>
      </x:c>
      <x:c r="L1046" s="28" t="n">
        <x:v>5</x:v>
      </x:c>
      <x:c r="M1046" s="28" t="n">
        <x:v>0</x:v>
      </x:c>
      <x:c r="N1046" s="28" t="n">
        <x:v>1.862645149230957e-9</x:v>
      </x:c>
      <x:c r="O1046" s="28" t="n">
        <x:v>2.9802322387695312e-8</x:v>
      </x:c>
      <x:c r="P1046" s="28" t="n">
        <x:v>0</x:v>
      </x:c>
      <x:c r="Q1046" s="62" t="b">
        <x:v>1</x:v>
      </x:c>
      <x:c r="R1046" s="28" t="n">
        <x:v>0</x:v>
      </x:c>
      <x:c r="S1046" s="28" t="str">
        <x:v>3066ad39724955a0</x:v>
      </x:c>
    </x:row>
    <x:row r="1047" ht="21" customHeight="1">
      <x:c r="A1047" s="60" t="n">
        <x:v>0.64</x:v>
      </x:c>
      <x:c r="B1047" s="28" t="str">
        <x:v>front_low</x:v>
      </x:c>
      <x:c r="C1047" s="60" t="n">
        <x:v>0.5</x:v>
      </x:c>
      <x:c r="D1047" s="60" t="n">
        <x:v>0.5</x:v>
      </x:c>
      <x:c r="E1047" s="62" t="b">
        <x:v>1</x:v>
      </x:c>
      <x:c r="F1047" s="62" t="b">
        <x:v>1</x:v>
      </x:c>
      <x:c r="G1047" s="85" t="n">
        <x:v>0</x:v>
      </x:c>
      <x:c r="H1047" s="85" t="n">
        <x:v>0</x:v>
      </x:c>
      <x:c r="I1047" s="85" t="n">
        <x:v>41654916.57387742</x:v>
      </x:c>
      <x:c r="J1047" s="85" t="n">
        <x:v>51722582.51468497</x:v>
      </x:c>
      <x:c r="K1047" s="85" t="n">
        <x:v>0</x:v>
      </x:c>
      <x:c r="L1047" s="28" t="n">
        <x:v>14</x:v>
      </x:c>
      <x:c r="M1047" s="28" t="n">
        <x:v>0</x:v>
      </x:c>
      <x:c r="N1047" s="28" t="n">
        <x:v>1.862645149230957e-9</x:v>
      </x:c>
      <x:c r="O1047" s="28" t="n">
        <x:v>2.9802322387695312e-8</x:v>
      </x:c>
      <x:c r="P1047" s="28" t="n">
        <x:v>0</x:v>
      </x:c>
      <x:c r="Q1047" s="62" t="b">
        <x:v>1</x:v>
      </x:c>
      <x:c r="R1047" s="28" t="n">
        <x:v>0</x:v>
      </x:c>
      <x:c r="S1047" s="28" t="str">
        <x:v>b36b8e715e07f328</x:v>
      </x:c>
    </x:row>
    <x:row r="1048" ht="21" customHeight="1">
      <x:c r="A1048" s="60" t="n">
        <x:v>0.64</x:v>
      </x:c>
      <x:c r="B1048" s="28" t="str">
        <x:v>front_low</x:v>
      </x:c>
      <x:c r="C1048" s="60" t="n">
        <x:v>0.55</x:v>
      </x:c>
      <x:c r="D1048" s="60" t="n">
        <x:v>0.55</x:v>
      </x:c>
      <x:c r="E1048" s="62" t="b">
        <x:v>1</x:v>
      </x:c>
      <x:c r="F1048" s="62" t="b">
        <x:v>1</x:v>
      </x:c>
      <x:c r="G1048" s="85" t="n">
        <x:v>0</x:v>
      </x:c>
      <x:c r="H1048" s="85" t="n">
        <x:v>0</x:v>
      </x:c>
      <x:c r="I1048" s="85" t="n">
        <x:v>46530694.15583063</x:v>
      </x:c>
      <x:c r="J1048" s="85" t="n">
        <x:v>60033696.98069819</x:v>
      </x:c>
      <x:c r="K1048" s="85" t="n">
        <x:v>0</x:v>
      </x:c>
      <x:c r="L1048" s="28" t="n">
        <x:v>18</x:v>
      </x:c>
      <x:c r="M1048" s="28" t="n">
        <x:v>0</x:v>
      </x:c>
      <x:c r="N1048" s="28" t="n">
        <x:v>1.862645149230957e-9</x:v>
      </x:c>
      <x:c r="O1048" s="28" t="n">
        <x:v>2.9802322387695312e-8</x:v>
      </x:c>
      <x:c r="P1048" s="28" t="n">
        <x:v>0</x:v>
      </x:c>
      <x:c r="Q1048" s="62" t="b">
        <x:v>1</x:v>
      </x:c>
      <x:c r="R1048" s="28" t="n">
        <x:v>0</x:v>
      </x:c>
      <x:c r="S1048" s="28" t="str">
        <x:v>098cccda947ba3a9</x:v>
      </x:c>
    </x:row>
    <x:row r="1049" ht="21" customHeight="1">
      <x:c r="A1049" s="60" t="n">
        <x:v>0.64</x:v>
      </x:c>
      <x:c r="B1049" s="28" t="str">
        <x:v>front_low</x:v>
      </x:c>
      <x:c r="C1049" s="60" t="n">
        <x:v>0.6</x:v>
      </x:c>
      <x:c r="D1049" s="60" t="n">
        <x:v>0.6</x:v>
      </x:c>
      <x:c r="E1049" s="62" t="b">
        <x:v>1</x:v>
      </x:c>
      <x:c r="F1049" s="62" t="b">
        <x:v>1</x:v>
      </x:c>
      <x:c r="G1049" s="85" t="n">
        <x:v>0</x:v>
      </x:c>
      <x:c r="H1049" s="85" t="n">
        <x:v>0</x:v>
      </x:c>
      <x:c r="I1049" s="85" t="n">
        <x:v>50391052.192446634</x:v>
      </x:c>
      <x:c r="J1049" s="85" t="n">
        <x:v>69934308.2287758</x:v>
      </x:c>
      <x:c r="K1049" s="85" t="n">
        <x:v>0</x:v>
      </x:c>
      <x:c r="L1049" s="28" t="n">
        <x:v>21</x:v>
      </x:c>
      <x:c r="M1049" s="28" t="n">
        <x:v>0</x:v>
      </x:c>
      <x:c r="N1049" s="28" t="n">
        <x:v>9.313225746154785e-10</x:v>
      </x:c>
      <x:c r="O1049" s="28" t="n">
        <x:v>2.9802322387695312e-8</x:v>
      </x:c>
      <x:c r="P1049" s="28" t="n">
        <x:v>0</x:v>
      </x:c>
      <x:c r="Q1049" s="62" t="b">
        <x:v>1</x:v>
      </x:c>
      <x:c r="R1049" s="28" t="n">
        <x:v>0</x:v>
      </x:c>
      <x:c r="S1049" s="28" t="str">
        <x:v>58a421be4c14bbfe</x:v>
      </x:c>
    </x:row>
    <x:row r="1050" ht="21" customHeight="1">
      <x:c r="A1050" s="60" t="n">
        <x:v>0.64</x:v>
      </x:c>
      <x:c r="B1050" s="28" t="str">
        <x:v>front_low</x:v>
      </x:c>
      <x:c r="C1050" s="60" t="n">
        <x:v>0.65</x:v>
      </x:c>
      <x:c r="D1050" s="60" t="n">
        <x:v>0.65</x:v>
      </x:c>
      <x:c r="E1050" s="62" t="b">
        <x:v>1</x:v>
      </x:c>
      <x:c r="F1050" s="62" t="b">
        <x:v>0</x:v>
      </x:c>
      <x:c r="G1050" s="85" t="n">
        <x:v>161910.80862227135</x:v>
      </x:c>
      <x:c r="H1050" s="85" t="n">
        <x:v>2420298.811890255</x:v>
      </x:c>
      <x:c r="I1050" s="85" t="n">
        <x:v>53055935.109946236</x:v>
      </x:c>
      <x:c r="J1050" s="85" t="n">
        <x:v>78000000</x:v>
      </x:c>
      <x:c r="K1050" s="85" t="n">
        <x:v>0</x:v>
      </x:c>
      <x:c r="L1050" s="28" t="n">
        <x:v>45</x:v>
      </x:c>
      <x:c r="M1050" s="28" t="n">
        <x:v>21</x:v>
      </x:c>
      <x:c r="N1050" s="28" t="n">
        <x:v>9.313225746154785e-10</x:v>
      </x:c>
      <x:c r="O1050" s="28" t="n">
        <x:v>2.9802322387695312e-8</x:v>
      </x:c>
      <x:c r="P1050" s="28" t="n">
        <x:v>0</x:v>
      </x:c>
      <x:c r="Q1050" s="62" t="b">
        <x:v>1</x:v>
      </x:c>
      <x:c r="R1050" s="28" t="n">
        <x:v>0</x:v>
      </x:c>
      <x:c r="S1050" s="28" t="str">
        <x:v>cbd615e0eddcec78</x:v>
      </x:c>
    </x:row>
    <x:row r="1051" ht="21" customHeight="1">
      <x:c r="A1051" s="60" t="n">
        <x:v>0.64</x:v>
      </x:c>
      <x:c r="B1051" s="28" t="str">
        <x:v>front_low</x:v>
      </x:c>
      <x:c r="C1051" s="60" t="n">
        <x:v>0.7</x:v>
      </x:c>
      <x:c r="D1051" s="60" t="n">
        <x:v>0.7</x:v>
      </x:c>
      <x:c r="E1051" s="62" t="b">
        <x:v>1</x:v>
      </x:c>
      <x:c r="F1051" s="62" t="b">
        <x:v>0</x:v>
      </x:c>
      <x:c r="G1051" s="85" t="n">
        <x:v>835959.9919844408</x:v>
      </x:c>
      <x:c r="H1051" s="85" t="n">
        <x:v>12590960.193367187</x:v>
      </x:c>
      <x:c r="I1051" s="85" t="n">
        <x:v>53975728.70770753</x:v>
      </x:c>
      <x:c r="J1051" s="85" t="n">
        <x:v>78000000</x:v>
      </x:c>
      <x:c r="K1051" s="85" t="n">
        <x:v>0</x:v>
      </x:c>
      <x:c r="L1051" s="28" t="n">
        <x:v>46</x:v>
      </x:c>
      <x:c r="M1051" s="28" t="n">
        <x:v>30</x:v>
      </x:c>
      <x:c r="N1051" s="28" t="n">
        <x:v>1.862645149230957e-9</x:v>
      </x:c>
      <x:c r="O1051" s="28" t="n">
        <x:v>2.9802322387695312e-8</x:v>
      </x:c>
      <x:c r="P1051" s="28" t="n">
        <x:v>0</x:v>
      </x:c>
      <x:c r="Q1051" s="62" t="b">
        <x:v>1</x:v>
      </x:c>
      <x:c r="R1051" s="28" t="n">
        <x:v>0</x:v>
      </x:c>
      <x:c r="S1051" s="28" t="str">
        <x:v>53ce7e2c780cddb7</x:v>
      </x:c>
    </x:row>
    <x:row r="1052" ht="21" customHeight="1">
      <x:c r="A1052" s="60" t="n">
        <x:v>0.64</x:v>
      </x:c>
      <x:c r="B1052" s="28" t="str">
        <x:v>front_low</x:v>
      </x:c>
      <x:c r="C1052" s="60" t="n">
        <x:v>0.75</x:v>
      </x:c>
      <x:c r="D1052" s="60" t="n">
        <x:v>0.75</x:v>
      </x:c>
      <x:c r="E1052" s="62" t="b">
        <x:v>1</x:v>
      </x:c>
      <x:c r="F1052" s="62" t="b">
        <x:v>0</x:v>
      </x:c>
      <x:c r="G1052" s="85" t="n">
        <x:v>1684439.7774848498</x:v>
      </x:c>
      <x:c r="H1052" s="85" t="n">
        <x:v>23733043.61593286</x:v>
      </x:c>
      <x:c r="I1052" s="85" t="n">
        <x:v>54011780.31119349</x:v>
      </x:c>
      <x:c r="J1052" s="85" t="n">
        <x:v>78000000</x:v>
      </x:c>
      <x:c r="K1052" s="85" t="n">
        <x:v>0</x:v>
      </x:c>
      <x:c r="L1052" s="28" t="n">
        <x:v>46</x:v>
      </x:c>
      <x:c r="M1052" s="28" t="n">
        <x:v>32</x:v>
      </x:c>
      <x:c r="N1052" s="28" t="n">
        <x:v>1.862645149230957e-9</x:v>
      </x:c>
      <x:c r="O1052" s="28" t="n">
        <x:v>2.9802322387695312e-8</x:v>
      </x:c>
      <x:c r="P1052" s="28" t="n">
        <x:v>0</x:v>
      </x:c>
      <x:c r="Q1052" s="62" t="b">
        <x:v>1</x:v>
      </x:c>
      <x:c r="R1052" s="28" t="n">
        <x:v>0</x:v>
      </x:c>
      <x:c r="S1052" s="28" t="str">
        <x:v>41c9beaa80f00d88</x:v>
      </x:c>
    </x:row>
    <x:row r="1053" ht="21" customHeight="1">
      <x:c r="A1053" s="60" t="n">
        <x:v>0.64</x:v>
      </x:c>
      <x:c r="B1053" s="28" t="str">
        <x:v>front_low</x:v>
      </x:c>
      <x:c r="C1053" s="60" t="n">
        <x:v>0.8</x:v>
      </x:c>
      <x:c r="D1053" s="60" t="n">
        <x:v>0.8</x:v>
      </x:c>
      <x:c r="E1053" s="62" t="b">
        <x:v>1</x:v>
      </x:c>
      <x:c r="F1053" s="62" t="b">
        <x:v>0</x:v>
      </x:c>
      <x:c r="G1053" s="85" t="n">
        <x:v>2631814.851578949</x:v>
      </x:c>
      <x:c r="H1053" s="85" t="n">
        <x:v>34631503.985782325</x:v>
      </x:c>
      <x:c r="I1053" s="85" t="n">
        <x:v>54047831.91467945</x:v>
      </x:c>
      <x:c r="J1053" s="85" t="n">
        <x:v>78000000</x:v>
      </x:c>
      <x:c r="K1053" s="85" t="n">
        <x:v>0</x:v>
      </x:c>
      <x:c r="L1053" s="28" t="n">
        <x:v>46</x:v>
      </x:c>
      <x:c r="M1053" s="28" t="n">
        <x:v>34</x:v>
      </x:c>
      <x:c r="N1053" s="28" t="n">
        <x:v>1.862645149230957e-9</x:v>
      </x:c>
      <x:c r="O1053" s="28" t="n">
        <x:v>1.4901161193847656e-8</x:v>
      </x:c>
      <x:c r="P1053" s="28" t="n">
        <x:v>0</x:v>
      </x:c>
      <x:c r="Q1053" s="62" t="b">
        <x:v>1</x:v>
      </x:c>
      <x:c r="R1053" s="28" t="n">
        <x:v>0</x:v>
      </x:c>
      <x:c r="S1053" s="28" t="str">
        <x:v>7a9f0f64a28a99f9</x:v>
      </x:c>
    </x:row>
    <x:row r="1054" ht="21" customHeight="1">
      <x:c r="A1054" s="60" t="n">
        <x:v>0.64</x:v>
      </x:c>
      <x:c r="B1054" s="28" t="str">
        <x:v>front_low</x:v>
      </x:c>
      <x:c r="C1054" s="60" t="n">
        <x:v>0.85</x:v>
      </x:c>
      <x:c r="D1054" s="60" t="n">
        <x:v>0.85</x:v>
      </x:c>
      <x:c r="E1054" s="62" t="b">
        <x:v>1</x:v>
      </x:c>
      <x:c r="F1054" s="62" t="b">
        <x:v>0</x:v>
      </x:c>
      <x:c r="G1054" s="85" t="n">
        <x:v>3605555.6111652926</x:v>
      </x:c>
      <x:c r="H1054" s="85" t="n">
        <x:v>45472137.45106384</x:v>
      </x:c>
      <x:c r="I1054" s="85" t="n">
        <x:v>54083883.51816541</x:v>
      </x:c>
      <x:c r="J1054" s="85" t="n">
        <x:v>78000000</x:v>
      </x:c>
      <x:c r="K1054" s="85" t="n">
        <x:v>0</x:v>
      </x:c>
      <x:c r="L1054" s="28" t="n">
        <x:v>46</x:v>
      </x:c>
      <x:c r="M1054" s="28" t="n">
        <x:v>36</x:v>
      </x:c>
      <x:c r="N1054" s="28" t="n">
        <x:v>9.313225746154785e-10</x:v>
      </x:c>
      <x:c r="O1054" s="28" t="n">
        <x:v>1.862645149230957e-9</x:v>
      </x:c>
      <x:c r="P1054" s="28" t="n">
        <x:v>0</x:v>
      </x:c>
      <x:c r="Q1054" s="62" t="b">
        <x:v>1</x:v>
      </x:c>
      <x:c r="R1054" s="28" t="n">
        <x:v>0</x:v>
      </x:c>
      <x:c r="S1054" s="28" t="str">
        <x:v>3f6cb46a9f0b4f54</x:v>
      </x:c>
    </x:row>
    <x:row r="1055" ht="21" customHeight="1">
      <x:c r="A1055" s="60" t="n">
        <x:v>0.64</x:v>
      </x:c>
      <x:c r="B1055" s="28" t="str">
        <x:v>front_low</x:v>
      </x:c>
      <x:c r="C1055" s="60" t="n">
        <x:v>0.9</x:v>
      </x:c>
      <x:c r="D1055" s="60" t="n">
        <x:v>0.9</x:v>
      </x:c>
      <x:c r="E1055" s="62" t="b">
        <x:v>1</x:v>
      </x:c>
      <x:c r="F1055" s="62" t="b">
        <x:v>0</x:v>
      </x:c>
      <x:c r="G1055" s="85" t="n">
        <x:v>4738313.911437461</x:v>
      </x:c>
      <x:c r="H1055" s="85" t="n">
        <x:v>56078762.976341665</x:v>
      </x:c>
      <x:c r="I1055" s="85" t="n">
        <x:v>54119935.12165137</x:v>
      </x:c>
      <x:c r="J1055" s="85" t="n">
        <x:v>78000000</x:v>
      </x:c>
      <x:c r="K1055" s="85" t="n">
        <x:v>0</x:v>
      </x:c>
      <x:c r="L1055" s="28" t="n">
        <x:v>46</x:v>
      </x:c>
      <x:c r="M1055" s="28" t="n">
        <x:v>38</x:v>
      </x:c>
      <x:c r="N1055" s="28" t="n">
        <x:v>9.313225746154785e-10</x:v>
      </x:c>
      <x:c r="O1055" s="28" t="n">
        <x:v>1.4901161193847656e-8</x:v>
      </x:c>
      <x:c r="P1055" s="28" t="n">
        <x:v>0</x:v>
      </x:c>
      <x:c r="Q1055" s="62" t="b">
        <x:v>1</x:v>
      </x:c>
      <x:c r="R1055" s="28" t="n">
        <x:v>0</x:v>
      </x:c>
      <x:c r="S1055" s="28" t="str">
        <x:v>c8a637a7268ba9b4</x:v>
      </x:c>
    </x:row>
    <x:row r="1056" ht="21" customHeight="1">
      <x:c r="A1056" s="60" t="n">
        <x:v>0.64</x:v>
      </x:c>
      <x:c r="B1056" s="28" t="str">
        <x:v>front_low</x:v>
      </x:c>
      <x:c r="C1056" s="60" t="n">
        <x:v>0.95</x:v>
      </x:c>
      <x:c r="D1056" s="60" t="n">
        <x:v>0.9497739906324524</x:v>
      </x:c>
      <x:c r="E1056" s="62" t="b">
        <x:v>0</x:v>
      </x:c>
      <x:c r="F1056" s="62" t="b">
        <x:v>0</x:v>
      </x:c>
      <x:c r="G1056" s="85" t="n">
        <x:v>7388217.2052684715</x:v>
      </x:c>
      <x:c r="H1056" s="85" t="n">
        <x:v>64779343.244444795</x:v>
      </x:c>
      <x:c r="I1056" s="85" t="n">
        <x:v>54155986.72513732</x:v>
      </x:c>
      <x:c r="J1056" s="85" t="n">
        <x:v>78000000</x:v>
      </x:c>
      <x:c r="K1056" s="85" t="n">
        <x:v>0</x:v>
      </x:c>
      <x:c r="L1056" s="28" t="n">
        <x:v>46</x:v>
      </x:c>
      <x:c r="M1056" s="28" t="n">
        <x:v>39</x:v>
      </x:c>
      <x:c r="N1056" s="28" t="n">
        <x:v>1.862645149230957e-9</x:v>
      </x:c>
      <x:c r="O1056" s="28" t="n">
        <x:v>1.4901161193847656e-8</x:v>
      </x:c>
      <x:c r="P1056" s="28" t="n">
        <x:v>0</x:v>
      </x:c>
      <x:c r="Q1056" s="62" t="b">
        <x:v>1</x:v>
      </x:c>
      <x:c r="R1056" s="28" t="n">
        <x:v>67802.81026428938</x:v>
      </x:c>
      <x:c r="S1056" s="28" t="str">
        <x:v>3983506a60a24412</x:v>
      </x:c>
    </x:row>
    <x:row r="1057" ht="21" customHeight="1">
      <x:c r="A1057" s="60" t="n">
        <x:v>0.64</x:v>
      </x:c>
      <x:c r="B1057" s="28" t="str">
        <x:v>front_low</x:v>
      </x:c>
      <x:c r="C1057" s="60" t="n">
        <x:v>1</x:v>
      </x:c>
      <x:c r="D1057" s="60" t="n">
        <x:v>0.9646994850752131</x:v>
      </x:c>
      <x:c r="E1057" s="62" t="b">
        <x:v>0</x:v>
      </x:c>
      <x:c r="F1057" s="62" t="b">
        <x:v>0</x:v>
      </x:c>
      <x:c r="G1057" s="85" t="n">
        <x:v>8112119.704001235</x:v>
      </x:c>
      <x:c r="H1057" s="85" t="n">
        <x:v>68260222.97439772</x:v>
      </x:c>
      <x:c r="I1057" s="85" t="n">
        <x:v>54192038.32862329</x:v>
      </x:c>
      <x:c r="J1057" s="85" t="n">
        <x:v>78000000</x:v>
      </x:c>
      <x:c r="K1057" s="85" t="n">
        <x:v>0</x:v>
      </x:c>
      <x:c r="L1057" s="28" t="n">
        <x:v>46</x:v>
      </x:c>
      <x:c r="M1057" s="28" t="n">
        <x:v>40</x:v>
      </x:c>
      <x:c r="N1057" s="28" t="n">
        <x:v>9.313225746154785e-10</x:v>
      </x:c>
      <x:c r="O1057" s="28" t="n">
        <x:v>3.725290298461914e-9</x:v>
      </x:c>
      <x:c r="P1057" s="28" t="n">
        <x:v>0</x:v>
      </x:c>
      <x:c r="Q1057" s="62" t="b">
        <x:v>1</x:v>
      </x:c>
      <x:c r="R1057" s="28" t="n">
        <x:v>10590154.477436066</x:v>
      </x:c>
      <x:c r="S1057" s="28" t="str">
        <x:v>57f28db1079d7290</x:v>
      </x:c>
    </x:row>
    <x:row r="1058" ht="21" customHeight="1">
      <x:c r="A1058" s="60" t="n">
        <x:v>0.64</x:v>
      </x:c>
      <x:c r="B1058" s="28" t="str">
        <x:v>front_high</x:v>
      </x:c>
      <x:c r="C1058" s="60" t="n">
        <x:v>0</x:v>
      </x:c>
      <x:c r="D1058" s="60" t="n">
        <x:v>0</x:v>
      </x:c>
      <x:c r="E1058" s="62" t="b">
        <x:v>1</x:v>
      </x:c>
      <x:c r="F1058" s="62" t="b">
        <x:v>1</x:v>
      </x:c>
      <x:c r="G1058" s="85" t="n">
        <x:v>0</x:v>
      </x:c>
      <x:c r="H1058" s="85" t="n">
        <x:v>0</x:v>
      </x:c>
      <x:c r="I1058" s="85" t="n">
        <x:v>0</x:v>
      </x:c>
      <x:c r="J1058" s="85" t="n">
        <x:v>0</x:v>
      </x:c>
      <x:c r="K1058" s="85" t="n">
        <x:v>37552033.422602706</x:v>
      </x:c>
      <x:c r="L1058" s="28" t="n">
        <x:v>0</x:v>
      </x:c>
      <x:c r="M1058" s="28" t="n">
        <x:v>0</x:v>
      </x:c>
      <x:c r="N1058" s="28" t="n">
        <x:v>3.725290298461914e-9</x:v>
      </x:c>
      <x:c r="O1058" s="28" t="n">
        <x:v>0</x:v>
      </x:c>
      <x:c r="P1058" s="28" t="n">
        <x:v>0</x:v>
      </x:c>
      <x:c r="Q1058" s="62" t="b">
        <x:v>1</x:v>
      </x:c>
      <x:c r="R1058" s="28" t="n">
        <x:v>0</x:v>
      </x:c>
      <x:c r="S1058" s="28" t="str">
        <x:v>9858cd529ad446f8</x:v>
      </x:c>
    </x:row>
    <x:row r="1059" ht="21" customHeight="1">
      <x:c r="A1059" s="60" t="n">
        <x:v>0.64</x:v>
      </x:c>
      <x:c r="B1059" s="28" t="str">
        <x:v>front_high</x:v>
      </x:c>
      <x:c r="C1059" s="60" t="n">
        <x:v>0.05</x:v>
      </x:c>
      <x:c r="D1059" s="60" t="n">
        <x:v>0.05</x:v>
      </x:c>
      <x:c r="E1059" s="62" t="b">
        <x:v>1</x:v>
      </x:c>
      <x:c r="F1059" s="62" t="b">
        <x:v>1</x:v>
      </x:c>
      <x:c r="G1059" s="85" t="n">
        <x:v>0</x:v>
      </x:c>
      <x:c r="H1059" s="85" t="n">
        <x:v>0</x:v>
      </x:c>
      <x:c r="I1059" s="85" t="n">
        <x:v>0</x:v>
      </x:c>
      <x:c r="J1059" s="85" t="n">
        <x:v>0</x:v>
      </x:c>
      <x:c r="K1059" s="85" t="n">
        <x:v>23703060.323113196</x:v>
      </x:c>
      <x:c r="L1059" s="28" t="n">
        <x:v>0</x:v>
      </x:c>
      <x:c r="M1059" s="28" t="n">
        <x:v>0</x:v>
      </x:c>
      <x:c r="N1059" s="28" t="n">
        <x:v>3.725290298461914e-9</x:v>
      </x:c>
      <x:c r="O1059" s="28" t="n">
        <x:v>5.960464477539063e-8</x:v>
      </x:c>
      <x:c r="P1059" s="28" t="n">
        <x:v>0</x:v>
      </x:c>
      <x:c r="Q1059" s="62" t="b">
        <x:v>1</x:v>
      </x:c>
      <x:c r="R1059" s="28" t="n">
        <x:v>0</x:v>
      </x:c>
      <x:c r="S1059" s="28" t="str">
        <x:v>2d3f13b4884efa38</x:v>
      </x:c>
    </x:row>
    <x:row r="1060" ht="21" customHeight="1">
      <x:c r="A1060" s="60" t="n">
        <x:v>0.64</x:v>
      </x:c>
      <x:c r="B1060" s="28" t="str">
        <x:v>front_high</x:v>
      </x:c>
      <x:c r="C1060" s="60" t="n">
        <x:v>0.1</x:v>
      </x:c>
      <x:c r="D1060" s="60" t="n">
        <x:v>0.1</x:v>
      </x:c>
      <x:c r="E1060" s="62" t="b">
        <x:v>1</x:v>
      </x:c>
      <x:c r="F1060" s="62" t="b">
        <x:v>1</x:v>
      </x:c>
      <x:c r="G1060" s="85" t="n">
        <x:v>0</x:v>
      </x:c>
      <x:c r="H1060" s="85" t="n">
        <x:v>0</x:v>
      </x:c>
      <x:c r="I1060" s="85" t="n">
        <x:v>0</x:v>
      </x:c>
      <x:c r="J1060" s="85" t="n">
        <x:v>0</x:v>
      </x:c>
      <x:c r="K1060" s="85" t="n">
        <x:v>9692563.088311065</x:v>
      </x:c>
      <x:c r="L1060" s="28" t="n">
        <x:v>0</x:v>
      </x:c>
      <x:c r="M1060" s="28" t="n">
        <x:v>0</x:v>
      </x:c>
      <x:c r="N1060" s="28" t="n">
        <x:v>3.725290298461914e-9</x:v>
      </x:c>
      <x:c r="O1060" s="28" t="n">
        <x:v>5.960464477539063e-8</x:v>
      </x:c>
      <x:c r="P1060" s="28" t="n">
        <x:v>0</x:v>
      </x:c>
      <x:c r="Q1060" s="62" t="b">
        <x:v>1</x:v>
      </x:c>
      <x:c r="R1060" s="28" t="n">
        <x:v>0</x:v>
      </x:c>
      <x:c r="S1060" s="28" t="str">
        <x:v>448e3963ed5e5cea</x:v>
      </x:c>
    </x:row>
    <x:row r="1061" ht="21" customHeight="1">
      <x:c r="A1061" s="60" t="n">
        <x:v>0.64</x:v>
      </x:c>
      <x:c r="B1061" s="28" t="str">
        <x:v>front_high</x:v>
      </x:c>
      <x:c r="C1061" s="60" t="n">
        <x:v>0.15</x:v>
      </x:c>
      <x:c r="D1061" s="60" t="n">
        <x:v>0.15</x:v>
      </x:c>
      <x:c r="E1061" s="62" t="b">
        <x:v>1</x:v>
      </x:c>
      <x:c r="F1061" s="62" t="b">
        <x:v>1</x:v>
      </x:c>
      <x:c r="G1061" s="85" t="n">
        <x:v>0</x:v>
      </x:c>
      <x:c r="H1061" s="85" t="n">
        <x:v>0</x:v>
      </x:c>
      <x:c r="I1061" s="85" t="n">
        <x:v>4039425.821178888</x:v>
      </x:c>
      <x:c r="J1061" s="85" t="n">
        <x:v>0</x:v>
      </x:c>
      <x:c r="K1061" s="85" t="n">
        <x:v>767742.9745955443</x:v>
      </x:c>
      <x:c r="L1061" s="28" t="n">
        <x:v>0</x:v>
      </x:c>
      <x:c r="M1061" s="28" t="n">
        <x:v>0</x:v>
      </x:c>
      <x:c r="N1061" s="28" t="n">
        <x:v>3.725290298461914e-9</x:v>
      </x:c>
      <x:c r="O1061" s="28" t="n">
        <x:v>2.9802322387695312e-8</x:v>
      </x:c>
      <x:c r="P1061" s="28" t="n">
        <x:v>0</x:v>
      </x:c>
      <x:c r="Q1061" s="62" t="b">
        <x:v>1</x:v>
      </x:c>
      <x:c r="R1061" s="28" t="n">
        <x:v>0</x:v>
      </x:c>
      <x:c r="S1061" s="28" t="str">
        <x:v>71b373191066e693</x:v>
      </x:c>
    </x:row>
    <x:row r="1062" ht="21" customHeight="1">
      <x:c r="A1062" s="60" t="n">
        <x:v>0.64</x:v>
      </x:c>
      <x:c r="B1062" s="28" t="str">
        <x:v>front_high</x:v>
      </x:c>
      <x:c r="C1062" s="60" t="n">
        <x:v>0.2</x:v>
      </x:c>
      <x:c r="D1062" s="60" t="n">
        <x:v>0.2</x:v>
      </x:c>
      <x:c r="E1062" s="62" t="b">
        <x:v>1</x:v>
      </x:c>
      <x:c r="F1062" s="62" t="b">
        <x:v>1</x:v>
      </x:c>
      <x:c r="G1062" s="85" t="n">
        <x:v>0</x:v>
      </x:c>
      <x:c r="H1062" s="85" t="n">
        <x:v>0</x:v>
      </x:c>
      <x:c r="I1062" s="85" t="n">
        <x:v>15040528.288304651</x:v>
      </x:c>
      <x:c r="J1062" s="85" t="n">
        <x:v>6284479.497374657</x:v>
      </x:c>
      <x:c r="K1062" s="85" t="n">
        <x:v>468367.797217814</x:v>
      </x:c>
      <x:c r="L1062" s="28" t="n">
        <x:v>0</x:v>
      </x:c>
      <x:c r="M1062" s="28" t="n">
        <x:v>0</x:v>
      </x:c>
      <x:c r="N1062" s="28" t="n">
        <x:v>1.862645149230957e-9</x:v>
      </x:c>
      <x:c r="O1062" s="28" t="n">
        <x:v>2.9802322387695312e-8</x:v>
      </x:c>
      <x:c r="P1062" s="28" t="n">
        <x:v>0</x:v>
      </x:c>
      <x:c r="Q1062" s="62" t="b">
        <x:v>1</x:v>
      </x:c>
      <x:c r="R1062" s="28" t="n">
        <x:v>0</x:v>
      </x:c>
      <x:c r="S1062" s="28" t="str">
        <x:v>4a42cc3c9c5df53f</x:v>
      </x:c>
    </x:row>
    <x:row r="1063" ht="21" customHeight="1">
      <x:c r="A1063" s="60" t="n">
        <x:v>0.64</x:v>
      </x:c>
      <x:c r="B1063" s="28" t="str">
        <x:v>front_high</x:v>
      </x:c>
      <x:c r="C1063" s="60" t="n">
        <x:v>0.25</x:v>
      </x:c>
      <x:c r="D1063" s="60" t="n">
        <x:v>0.25</x:v>
      </x:c>
      <x:c r="E1063" s="62" t="b">
        <x:v>1</x:v>
      </x:c>
      <x:c r="F1063" s="62" t="b">
        <x:v>1</x:v>
      </x:c>
      <x:c r="G1063" s="85" t="n">
        <x:v>0</x:v>
      </x:c>
      <x:c r="H1063" s="85" t="n">
        <x:v>0</x:v>
      </x:c>
      <x:c r="I1063" s="85" t="n">
        <x:v>24762072.634688925</x:v>
      </x:c>
      <x:c r="J1063" s="85" t="n">
        <x:v>15355599.371718248</x:v>
      </x:c>
      <x:c r="K1063" s="85" t="n">
        <x:v>373807.40846060816</x:v>
      </x:c>
      <x:c r="L1063" s="28" t="n">
        <x:v>0</x:v>
      </x:c>
      <x:c r="M1063" s="28" t="n">
        <x:v>0</x:v>
      </x:c>
      <x:c r="N1063" s="28" t="n">
        <x:v>1.862645149230957e-9</x:v>
      </x:c>
      <x:c r="O1063" s="28" t="n">
        <x:v>1.4901161193847656e-8</x:v>
      </x:c>
      <x:c r="P1063" s="28" t="n">
        <x:v>0</x:v>
      </x:c>
      <x:c r="Q1063" s="62" t="b">
        <x:v>1</x:v>
      </x:c>
      <x:c r="R1063" s="28" t="n">
        <x:v>0</x:v>
      </x:c>
      <x:c r="S1063" s="28" t="str">
        <x:v>6106b4418d6be82d</x:v>
      </x:c>
    </x:row>
    <x:row r="1064" ht="21" customHeight="1">
      <x:c r="A1064" s="60" t="n">
        <x:v>0.64</x:v>
      </x:c>
      <x:c r="B1064" s="28" t="str">
        <x:v>front_high</x:v>
      </x:c>
      <x:c r="C1064" s="60" t="n">
        <x:v>0.3</x:v>
      </x:c>
      <x:c r="D1064" s="60" t="n">
        <x:v>0.3</x:v>
      </x:c>
      <x:c r="E1064" s="62" t="b">
        <x:v>1</x:v>
      </x:c>
      <x:c r="F1064" s="62" t="b">
        <x:v>1</x:v>
      </x:c>
      <x:c r="G1064" s="85" t="n">
        <x:v>0</x:v>
      </x:c>
      <x:c r="H1064" s="85" t="n">
        <x:v>0</x:v>
      </x:c>
      <x:c r="I1064" s="85" t="n">
        <x:v>34648063.735748984</x:v>
      </x:c>
      <x:c r="J1064" s="85" t="n">
        <x:v>24426719.246061895</x:v>
      </x:c>
      <x:c r="K1064" s="85" t="n">
        <x:v>279506.41042671155</x:v>
      </x:c>
      <x:c r="L1064" s="28" t="n">
        <x:v>0</x:v>
      </x:c>
      <x:c r="M1064" s="28" t="n">
        <x:v>0</x:v>
      </x:c>
      <x:c r="N1064" s="28" t="n">
        <x:v>3.725290298461914e-9</x:v>
      </x:c>
      <x:c r="O1064" s="28" t="n">
        <x:v>2.9802322387695312e-8</x:v>
      </x:c>
      <x:c r="P1064" s="28" t="n">
        <x:v>0</x:v>
      </x:c>
      <x:c r="Q1064" s="62" t="b">
        <x:v>1</x:v>
      </x:c>
      <x:c r="R1064" s="28" t="n">
        <x:v>0</x:v>
      </x:c>
      <x:c r="S1064" s="28" t="str">
        <x:v>a63948acecf6ae76</x:v>
      </x:c>
    </x:row>
    <x:row r="1065" ht="21" customHeight="1">
      <x:c r="A1065" s="60" t="n">
        <x:v>0.64</x:v>
      </x:c>
      <x:c r="B1065" s="28" t="str">
        <x:v>front_high</x:v>
      </x:c>
      <x:c r="C1065" s="60" t="n">
        <x:v>0.35</x:v>
      </x:c>
      <x:c r="D1065" s="60" t="n">
        <x:v>0.35</x:v>
      </x:c>
      <x:c r="E1065" s="62" t="b">
        <x:v>1</x:v>
      </x:c>
      <x:c r="F1065" s="62" t="b">
        <x:v>1</x:v>
      </x:c>
      <x:c r="G1065" s="85" t="n">
        <x:v>0</x:v>
      </x:c>
      <x:c r="H1065" s="85" t="n">
        <x:v>0</x:v>
      </x:c>
      <x:c r="I1065" s="85" t="n">
        <x:v>44507870.153921746</x:v>
      </x:c>
      <x:c r="J1065" s="85" t="n">
        <x:v>33497839.120405544</x:v>
      </x:c>
      <x:c r="K1065" s="85" t="n">
        <x:v>185205.4123927945</x:v>
      </x:c>
      <x:c r="L1065" s="28" t="n">
        <x:v>0</x:v>
      </x:c>
      <x:c r="M1065" s="28" t="n">
        <x:v>0</x:v>
      </x:c>
      <x:c r="N1065" s="28" t="n">
        <x:v>3.725290298461914e-9</x:v>
      </x:c>
      <x:c r="O1065" s="28" t="n">
        <x:v>7.450580596923828e-9</x:v>
      </x:c>
      <x:c r="P1065" s="28" t="n">
        <x:v>0</x:v>
      </x:c>
      <x:c r="Q1065" s="62" t="b">
        <x:v>1</x:v>
      </x:c>
      <x:c r="R1065" s="28" t="n">
        <x:v>0</x:v>
      </x:c>
      <x:c r="S1065" s="28" t="str">
        <x:v>fb32e0d0cbd48cdb</x:v>
      </x:c>
    </x:row>
    <x:row r="1066" ht="21" customHeight="1">
      <x:c r="A1066" s="60" t="n">
        <x:v>0.64</x:v>
      </x:c>
      <x:c r="B1066" s="28" t="str">
        <x:v>front_high</x:v>
      </x:c>
      <x:c r="C1066" s="60" t="n">
        <x:v>0.4</x:v>
      </x:c>
      <x:c r="D1066" s="60" t="n">
        <x:v>0.4</x:v>
      </x:c>
      <x:c r="E1066" s="62" t="b">
        <x:v>1</x:v>
      </x:c>
      <x:c r="F1066" s="62" t="b">
        <x:v>1</x:v>
      </x:c>
      <x:c r="G1066" s="85" t="n">
        <x:v>0</x:v>
      </x:c>
      <x:c r="H1066" s="85" t="n">
        <x:v>0</x:v>
      </x:c>
      <x:c r="I1066" s="85" t="n">
        <x:v>54367676.57209453</x:v>
      </x:c>
      <x:c r="J1066" s="85" t="n">
        <x:v>42568958.994749226</x:v>
      </x:c>
      <x:c r="K1066" s="85" t="n">
        <x:v>111565.57882191593</x:v>
      </x:c>
      <x:c r="L1066" s="28" t="n">
        <x:v>0</x:v>
      </x:c>
      <x:c r="M1066" s="28" t="n">
        <x:v>0</x:v>
      </x:c>
      <x:c r="N1066" s="28" t="n">
        <x:v>3.725290298461914e-9</x:v>
      </x:c>
      <x:c r="O1066" s="28" t="n">
        <x:v>2.9802322387695312e-8</x:v>
      </x:c>
      <x:c r="P1066" s="28" t="n">
        <x:v>0</x:v>
      </x:c>
      <x:c r="Q1066" s="62" t="b">
        <x:v>1</x:v>
      </x:c>
      <x:c r="R1066" s="28" t="n">
        <x:v>0</x:v>
      </x:c>
      <x:c r="S1066" s="28" t="str">
        <x:v>7f25cc89d4ae423f</x:v>
      </x:c>
    </x:row>
    <x:row r="1067" ht="21" customHeight="1">
      <x:c r="A1067" s="60" t="n">
        <x:v>0.64</x:v>
      </x:c>
      <x:c r="B1067" s="28" t="str">
        <x:v>front_high</x:v>
      </x:c>
      <x:c r="C1067" s="60" t="n">
        <x:v>0.45</x:v>
      </x:c>
      <x:c r="D1067" s="60" t="n">
        <x:v>0.45</x:v>
      </x:c>
      <x:c r="E1067" s="62" t="b">
        <x:v>1</x:v>
      </x:c>
      <x:c r="F1067" s="62" t="b">
        <x:v>1</x:v>
      </x:c>
      <x:c r="G1067" s="85" t="n">
        <x:v>0</x:v>
      </x:c>
      <x:c r="H1067" s="85" t="n">
        <x:v>0</x:v>
      </x:c>
      <x:c r="I1067" s="85" t="n">
        <x:v>64523891.05218485</x:v>
      </x:c>
      <x:c r="J1067" s="85" t="n">
        <x:v>48362526.00156471</x:v>
      </x:c>
      <x:c r="K1067" s="85" t="n">
        <x:v>80131.4576815048</x:v>
      </x:c>
      <x:c r="L1067" s="28" t="n">
        <x:v>3</x:v>
      </x:c>
      <x:c r="M1067" s="28" t="n">
        <x:v>0</x:v>
      </x:c>
      <x:c r="N1067" s="28" t="n">
        <x:v>3.725290298461914e-9</x:v>
      </x:c>
      <x:c r="O1067" s="28" t="n">
        <x:v>2.9802322387695312e-8</x:v>
      </x:c>
      <x:c r="P1067" s="28" t="n">
        <x:v>0</x:v>
      </x:c>
      <x:c r="Q1067" s="62" t="b">
        <x:v>1</x:v>
      </x:c>
      <x:c r="R1067" s="28" t="n">
        <x:v>0</x:v>
      </x:c>
      <x:c r="S1067" s="28" t="str">
        <x:v>dcd7ac11b515484a</x:v>
      </x:c>
    </x:row>
    <x:row r="1068" ht="21" customHeight="1">
      <x:c r="A1068" s="60" t="n">
        <x:v>0.64</x:v>
      </x:c>
      <x:c r="B1068" s="28" t="str">
        <x:v>front_high</x:v>
      </x:c>
      <x:c r="C1068" s="60" t="n">
        <x:v>0.5</x:v>
      </x:c>
      <x:c r="D1068" s="60" t="n">
        <x:v>0.5</x:v>
      </x:c>
      <x:c r="E1068" s="62" t="b">
        <x:v>1</x:v>
      </x:c>
      <x:c r="F1068" s="62" t="b">
        <x:v>1</x:v>
      </x:c>
      <x:c r="G1068" s="85" t="n">
        <x:v>0</x:v>
      </x:c>
      <x:c r="H1068" s="85" t="n">
        <x:v>0</x:v>
      </x:c>
      <x:c r="I1068" s="85" t="n">
        <x:v>74644562.79283647</x:v>
      </x:c>
      <x:c r="J1068" s="85" t="n">
        <x:v>50555424.71333776</x:v>
      </x:c>
      <x:c r="K1068" s="85" t="n">
        <x:v>48697.336541095545</x:v>
      </x:c>
      <x:c r="L1068" s="28" t="n">
        <x:v>9</x:v>
      </x:c>
      <x:c r="M1068" s="28" t="n">
        <x:v>0</x:v>
      </x:c>
      <x:c r="N1068" s="28" t="n">
        <x:v>1.862645149230957e-9</x:v>
      </x:c>
      <x:c r="O1068" s="28" t="n">
        <x:v>2.9802322387695312e-8</x:v>
      </x:c>
      <x:c r="P1068" s="28" t="n">
        <x:v>0</x:v>
      </x:c>
      <x:c r="Q1068" s="62" t="b">
        <x:v>1</x:v>
      </x:c>
      <x:c r="R1068" s="28" t="n">
        <x:v>0</x:v>
      </x:c>
      <x:c r="S1068" s="28" t="str">
        <x:v>29f088cbb55cda44</x:v>
      </x:c>
    </x:row>
    <x:row r="1069" ht="21" customHeight="1">
      <x:c r="A1069" s="60" t="n">
        <x:v>0.64</x:v>
      </x:c>
      <x:c r="B1069" s="28" t="str">
        <x:v>front_high</x:v>
      </x:c>
      <x:c r="C1069" s="60" t="n">
        <x:v>0.55</x:v>
      </x:c>
      <x:c r="D1069" s="60" t="n">
        <x:v>0.55</x:v>
      </x:c>
      <x:c r="E1069" s="62" t="b">
        <x:v>1</x:v>
      </x:c>
      <x:c r="F1069" s="62" t="b">
        <x:v>1</x:v>
      </x:c>
      <x:c r="G1069" s="85" t="n">
        <x:v>0</x:v>
      </x:c>
      <x:c r="H1069" s="85" t="n">
        <x:v>0</x:v>
      </x:c>
      <x:c r="I1069" s="85" t="n">
        <x:v>85028253.38998725</x:v>
      </x:c>
      <x:c r="J1069" s="85" t="n">
        <x:v>54841199.414587535</x:v>
      </x:c>
      <x:c r="K1069" s="85" t="n">
        <x:v>17263.21540068349</x:v>
      </x:c>
      <x:c r="L1069" s="28" t="n">
        <x:v>17</x:v>
      </x:c>
      <x:c r="M1069" s="28" t="n">
        <x:v>0</x:v>
      </x:c>
      <x:c r="N1069" s="28" t="n">
        <x:v>1.862645149230957e-9</x:v>
      </x:c>
      <x:c r="O1069" s="28" t="n">
        <x:v>2.9802322387695312e-8</x:v>
      </x:c>
      <x:c r="P1069" s="28" t="n">
        <x:v>0</x:v>
      </x:c>
      <x:c r="Q1069" s="62" t="b">
        <x:v>1</x:v>
      </x:c>
      <x:c r="R1069" s="28" t="n">
        <x:v>0</x:v>
      </x:c>
      <x:c r="S1069" s="28" t="str">
        <x:v>29426acd9e99d4f3</x:v>
      </x:c>
    </x:row>
    <x:row r="1070" ht="21" customHeight="1">
      <x:c r="A1070" s="60" t="n">
        <x:v>0.64</x:v>
      </x:c>
      <x:c r="B1070" s="28" t="str">
        <x:v>front_high</x:v>
      </x:c>
      <x:c r="C1070" s="60" t="n">
        <x:v>0.6</x:v>
      </x:c>
      <x:c r="D1070" s="60" t="n">
        <x:v>0.6</x:v>
      </x:c>
      <x:c r="E1070" s="62" t="b">
        <x:v>1</x:v>
      </x:c>
      <x:c r="F1070" s="62" t="b">
        <x:v>1</x:v>
      </x:c>
      <x:c r="G1070" s="85" t="n">
        <x:v>0</x:v>
      </x:c>
      <x:c r="H1070" s="85" t="n">
        <x:v>0</x:v>
      </x:c>
      <x:c r="I1070" s="85" t="n">
        <x:v>94528126.96061136</x:v>
      </x:c>
      <x:c r="J1070" s="85" t="n">
        <x:v>66758916.86994747</x:v>
      </x:c>
      <x:c r="K1070" s="85" t="n">
        <x:v>0</x:v>
      </x:c>
      <x:c r="L1070" s="28" t="n">
        <x:v>20</x:v>
      </x:c>
      <x:c r="M1070" s="28" t="n">
        <x:v>5</x:v>
      </x:c>
      <x:c r="N1070" s="28" t="n">
        <x:v>1.862645149230957e-9</x:v>
      </x:c>
      <x:c r="O1070" s="28" t="n">
        <x:v>2.9802322387695312e-8</x:v>
      </x:c>
      <x:c r="P1070" s="28" t="n">
        <x:v>0</x:v>
      </x:c>
      <x:c r="Q1070" s="62" t="b">
        <x:v>1</x:v>
      </x:c>
      <x:c r="R1070" s="28" t="n">
        <x:v>0</x:v>
      </x:c>
      <x:c r="S1070" s="28" t="str">
        <x:v>40aa15a5e0dd8f90</x:v>
      </x:c>
    </x:row>
    <x:row r="1071" ht="21" customHeight="1">
      <x:c r="A1071" s="60" t="n">
        <x:v>0.64</x:v>
      </x:c>
      <x:c r="B1071" s="28" t="str">
        <x:v>front_high</x:v>
      </x:c>
      <x:c r="C1071" s="60" t="n">
        <x:v>0.65</x:v>
      </x:c>
      <x:c r="D1071" s="60" t="n">
        <x:v>0.65</x:v>
      </x:c>
      <x:c r="E1071" s="62" t="b">
        <x:v>1</x:v>
      </x:c>
      <x:c r="F1071" s="62" t="b">
        <x:v>0</x:v>
      </x:c>
      <x:c r="G1071" s="85" t="n">
        <x:v>677909.403893027</x:v>
      </x:c>
      <x:c r="H1071" s="85" t="n">
        <x:v>2608181.8305564336</x:v>
      </x:c>
      <x:c r="I1071" s="85" t="n">
        <x:v>101969669.01469624</x:v>
      </x:c>
      <x:c r="J1071" s="85" t="n">
        <x:v>78000000</x:v>
      </x:c>
      <x:c r="K1071" s="85" t="n">
        <x:v>0</x:v>
      </x:c>
      <x:c r="L1071" s="28" t="n">
        <x:v>45</x:v>
      </x:c>
      <x:c r="M1071" s="28" t="n">
        <x:v>38</x:v>
      </x:c>
      <x:c r="N1071" s="28" t="n">
        <x:v>1.862645149230957e-9</x:v>
      </x:c>
      <x:c r="O1071" s="28" t="n">
        <x:v>2.9802322387695312e-8</x:v>
      </x:c>
      <x:c r="P1071" s="28" t="n">
        <x:v>0</x:v>
      </x:c>
      <x:c r="Q1071" s="62" t="b">
        <x:v>1</x:v>
      </x:c>
      <x:c r="R1071" s="28" t="n">
        <x:v>0</x:v>
      </x:c>
      <x:c r="S1071" s="28" t="str">
        <x:v>9690ffd346b7827b</x:v>
      </x:c>
    </x:row>
    <x:row r="1072" ht="21" customHeight="1">
      <x:c r="A1072" s="60" t="n">
        <x:v>0.64</x:v>
      </x:c>
      <x:c r="B1072" s="28" t="str">
        <x:v>front_high</x:v>
      </x:c>
      <x:c r="C1072" s="60" t="n">
        <x:v>0.7</x:v>
      </x:c>
      <x:c r="D1072" s="60" t="n">
        <x:v>0.7</x:v>
      </x:c>
      <x:c r="E1072" s="62" t="b">
        <x:v>1</x:v>
      </x:c>
      <x:c r="F1072" s="62" t="b">
        <x:v>0</x:v>
      </x:c>
      <x:c r="G1072" s="85" t="n">
        <x:v>4758616.248899078</x:v>
      </x:c>
      <x:c r="H1072" s="85" t="n">
        <x:v>16098376.728030244</x:v>
      </x:c>
      <x:c r="I1072" s="85" t="n">
        <x:v>103558916.77513905</x:v>
      </x:c>
      <x:c r="J1072" s="85" t="n">
        <x:v>78000000</x:v>
      </x:c>
      <x:c r="K1072" s="85" t="n">
        <x:v>0</x:v>
      </x:c>
      <x:c r="L1072" s="28" t="n">
        <x:v>46</x:v>
      </x:c>
      <x:c r="M1072" s="28" t="n">
        <x:v>40</x:v>
      </x:c>
      <x:c r="N1072" s="28" t="n">
        <x:v>1.862645149230957e-9</x:v>
      </x:c>
      <x:c r="O1072" s="28" t="n">
        <x:v>2.9802322387695312e-8</x:v>
      </x:c>
      <x:c r="P1072" s="28" t="n">
        <x:v>0</x:v>
      </x:c>
      <x:c r="Q1072" s="62" t="b">
        <x:v>1</x:v>
      </x:c>
      <x:c r="R1072" s="28" t="n">
        <x:v>0</x:v>
      </x:c>
      <x:c r="S1072" s="28" t="str">
        <x:v>58bc7ca35fe31e14</x:v>
      </x:c>
    </x:row>
    <x:row r="1073" ht="21" customHeight="1">
      <x:c r="A1073" s="60" t="n">
        <x:v>0.64</x:v>
      </x:c>
      <x:c r="B1073" s="28" t="str">
        <x:v>front_high</x:v>
      </x:c>
      <x:c r="C1073" s="60" t="n">
        <x:v>0.75</x:v>
      </x:c>
      <x:c r="D1073" s="60" t="n">
        <x:v>0.75</x:v>
      </x:c>
      <x:c r="E1073" s="62" t="b">
        <x:v>1</x:v>
      </x:c>
      <x:c r="F1073" s="62" t="b">
        <x:v>0</x:v>
      </x:c>
      <x:c r="G1073" s="85" t="n">
        <x:v>10009299.471777132</x:v>
      </x:c>
      <x:c r="H1073" s="85" t="n">
        <x:v>31395646.78050106</x:v>
      </x:c>
      <x:c r="I1073" s="85" t="n">
        <x:v>103622330.58696406</x:v>
      </x:c>
      <x:c r="J1073" s="85" t="n">
        <x:v>78000000</x:v>
      </x:c>
      <x:c r="K1073" s="85" t="n">
        <x:v>0</x:v>
      </x:c>
      <x:c r="L1073" s="28" t="n">
        <x:v>46</x:v>
      </x:c>
      <x:c r="M1073" s="28" t="n">
        <x:v>44</x:v>
      </x:c>
      <x:c r="N1073" s="28" t="n">
        <x:v>1.862645149230957e-9</x:v>
      </x:c>
      <x:c r="O1073" s="28" t="n">
        <x:v>2.9802322387695312e-8</x:v>
      </x:c>
      <x:c r="P1073" s="28" t="n">
        <x:v>0</x:v>
      </x:c>
      <x:c r="Q1073" s="62" t="b">
        <x:v>1</x:v>
      </x:c>
      <x:c r="R1073" s="28" t="n">
        <x:v>0</x:v>
      </x:c>
      <x:c r="S1073" s="28" t="str">
        <x:v>a78523efe59e667e</x:v>
      </x:c>
    </x:row>
    <x:row r="1074" ht="21" customHeight="1">
      <x:c r="A1074" s="60" t="n">
        <x:v>0.64</x:v>
      </x:c>
      <x:c r="B1074" s="28" t="str">
        <x:v>front_high</x:v>
      </x:c>
      <x:c r="C1074" s="60" t="n">
        <x:v>0.8</x:v>
      </x:c>
      <x:c r="D1074" s="60" t="n">
        <x:v>0.8</x:v>
      </x:c>
      <x:c r="E1074" s="62" t="b">
        <x:v>1</x:v>
      </x:c>
      <x:c r="F1074" s="62" t="b">
        <x:v>0</x:v>
      </x:c>
      <x:c r="G1074" s="85" t="n">
        <x:v>15250973.832081668</x:v>
      </x:c>
      <x:c r="H1074" s="85" t="n">
        <x:v>46333347.69645904</x:v>
      </x:c>
      <x:c r="I1074" s="85" t="n">
        <x:v>103714692.88498084</x:v>
      </x:c>
      <x:c r="J1074" s="85" t="n">
        <x:v>78000000</x:v>
      </x:c>
      <x:c r="K1074" s="85" t="n">
        <x:v>0</x:v>
      </x:c>
      <x:c r="L1074" s="28" t="n">
        <x:v>46</x:v>
      </x:c>
      <x:c r="M1074" s="28" t="n">
        <x:v>44</x:v>
      </x:c>
      <x:c r="N1074" s="28" t="n">
        <x:v>1.862645149230957e-9</x:v>
      </x:c>
      <x:c r="O1074" s="28" t="n">
        <x:v>1.4901161193847656e-8</x:v>
      </x:c>
      <x:c r="P1074" s="28" t="n">
        <x:v>0</x:v>
      </x:c>
      <x:c r="Q1074" s="62" t="b">
        <x:v>1</x:v>
      </x:c>
      <x:c r="R1074" s="28" t="n">
        <x:v>0</x:v>
      </x:c>
      <x:c r="S1074" s="28" t="str">
        <x:v>62cb0606d7189773</x:v>
      </x:c>
    </x:row>
    <x:row r="1075" ht="21" customHeight="1">
      <x:c r="A1075" s="60" t="n">
        <x:v>0.64</x:v>
      </x:c>
      <x:c r="B1075" s="28" t="str">
        <x:v>front_high</x:v>
      </x:c>
      <x:c r="C1075" s="60" t="n">
        <x:v>0.85</x:v>
      </x:c>
      <x:c r="D1075" s="60" t="n">
        <x:v>0.85</x:v>
      </x:c>
      <x:c r="E1075" s="62" t="b">
        <x:v>1</x:v>
      </x:c>
      <x:c r="F1075" s="62" t="b">
        <x:v>0</x:v>
      </x:c>
      <x:c r="G1075" s="85" t="n">
        <x:v>21140238.10199628</x:v>
      </x:c>
      <x:c r="H1075" s="85" t="n">
        <x:v>60596117.56674615</x:v>
      </x:c>
      <x:c r="I1075" s="85" t="n">
        <x:v>103809540.81794624</x:v>
      </x:c>
      <x:c r="J1075" s="85" t="n">
        <x:v>78000000</x:v>
      </x:c>
      <x:c r="K1075" s="85" t="n">
        <x:v>0</x:v>
      </x:c>
      <x:c r="L1075" s="28" t="n">
        <x:v>46</x:v>
      </x:c>
      <x:c r="M1075" s="28" t="n">
        <x:v>44</x:v>
      </x:c>
      <x:c r="N1075" s="28" t="n">
        <x:v>1.862645149230957e-9</x:v>
      </x:c>
      <x:c r="O1075" s="28" t="n">
        <x:v>1.862645149230957e-9</x:v>
      </x:c>
      <x:c r="P1075" s="28" t="n">
        <x:v>0</x:v>
      </x:c>
      <x:c r="Q1075" s="62" t="b">
        <x:v>1</x:v>
      </x:c>
      <x:c r="R1075" s="28" t="n">
        <x:v>0</x:v>
      </x:c>
      <x:c r="S1075" s="28" t="str">
        <x:v>65c55e284ad63486</x:v>
      </x:c>
    </x:row>
    <x:row r="1076" ht="21" customHeight="1">
      <x:c r="A1076" s="60" t="n">
        <x:v>0.64</x:v>
      </x:c>
      <x:c r="B1076" s="28" t="str">
        <x:v>front_high</x:v>
      </x:c>
      <x:c r="C1076" s="60" t="n">
        <x:v>0.9</x:v>
      </x:c>
      <x:c r="D1076" s="60" t="n">
        <x:v>0.9</x:v>
      </x:c>
      <x:c r="E1076" s="62" t="b">
        <x:v>1</x:v>
      </x:c>
      <x:c r="F1076" s="62" t="b">
        <x:v>0</x:v>
      </x:c>
      <x:c r="G1076" s="85" t="n">
        <x:v>30656997.672284253</x:v>
      </x:c>
      <x:c r="H1076" s="85" t="n">
        <x:v>72195252.55569182</x:v>
      </x:c>
      <x:c r="I1076" s="85" t="n">
        <x:v>103904388.75091165</x:v>
      </x:c>
      <x:c r="J1076" s="85" t="n">
        <x:v>78000000</x:v>
      </x:c>
      <x:c r="K1076" s="85" t="n">
        <x:v>0</x:v>
      </x:c>
      <x:c r="L1076" s="28" t="n">
        <x:v>46</x:v>
      </x:c>
      <x:c r="M1076" s="28" t="n">
        <x:v>45</x:v>
      </x:c>
      <x:c r="N1076" s="28" t="n">
        <x:v>9.313225746154785e-10</x:v>
      </x:c>
      <x:c r="O1076" s="28" t="n">
        <x:v>1.4901161193847656e-8</x:v>
      </x:c>
      <x:c r="P1076" s="28" t="n">
        <x:v>0</x:v>
      </x:c>
      <x:c r="Q1076" s="62" t="b">
        <x:v>1</x:v>
      </x:c>
      <x:c r="R1076" s="28" t="n">
        <x:v>0</x:v>
      </x:c>
      <x:c r="S1076" s="28" t="str">
        <x:v>b0d4782272e59193</x:v>
      </x:c>
    </x:row>
    <x:row r="1077" ht="21" customHeight="1">
      <x:c r="A1077" s="60" t="n">
        <x:v>0.64</x:v>
      </x:c>
      <x:c r="B1077" s="28" t="str">
        <x:v>front_high</x:v>
      </x:c>
      <x:c r="C1077" s="60" t="n">
        <x:v>0.95</x:v>
      </x:c>
      <x:c r="D1077" s="60" t="n">
        <x:v>0.9497739906324524</x:v>
      </x:c>
      <x:c r="E1077" s="62" t="b">
        <x:v>0</x:v>
      </x:c>
      <x:c r="F1077" s="62" t="b">
        <x:v>0</x:v>
      </x:c>
      <x:c r="G1077" s="85" t="n">
        <x:v>36260864.01606801</x:v>
      </x:c>
      <x:c r="H1077" s="85" t="n">
        <x:v>81631338.0652104</x:v>
      </x:c>
      <x:c r="I1077" s="85" t="n">
        <x:v>103999236.68387707</x:v>
      </x:c>
      <x:c r="J1077" s="85" t="n">
        <x:v>78000000</x:v>
      </x:c>
      <x:c r="K1077" s="85" t="n">
        <x:v>0</x:v>
      </x:c>
      <x:c r="L1077" s="28" t="n">
        <x:v>46</x:v>
      </x:c>
      <x:c r="M1077" s="28" t="n">
        <x:v>45</x:v>
      </x:c>
      <x:c r="N1077" s="28" t="n">
        <x:v>1.862645149230957e-9</x:v>
      </x:c>
      <x:c r="O1077" s="28" t="n">
        <x:v>1.4901161193847656e-8</x:v>
      </x:c>
      <x:c r="P1077" s="28" t="n">
        <x:v>0</x:v>
      </x:c>
      <x:c r="Q1077" s="62" t="b">
        <x:v>1</x:v>
      </x:c>
      <x:c r="R1077" s="28" t="n">
        <x:v>67802.81026428938</x:v>
      </x:c>
      <x:c r="S1077" s="28" t="str">
        <x:v>0bfc67187d54a554</x:v>
      </x:c>
    </x:row>
    <x:row r="1078" ht="21" customHeight="1">
      <x:c r="A1078" s="60" t="n">
        <x:v>0.64</x:v>
      </x:c>
      <x:c r="B1078" s="28" t="str">
        <x:v>front_high</x:v>
      </x:c>
      <x:c r="C1078" s="60" t="n">
        <x:v>1</x:v>
      </x:c>
      <x:c r="D1078" s="60" t="n">
        <x:v>0.9646994850752131</x:v>
      </x:c>
      <x:c r="E1078" s="62" t="b">
        <x:v>0</x:v>
      </x:c>
      <x:c r="F1078" s="62" t="b">
        <x:v>0</x:v>
      </x:c>
      <x:c r="G1078" s="85" t="n">
        <x:v>39883224.46658901</x:v>
      </x:c>
      <x:c r="H1078" s="85" t="n">
        <x:v>86167897.44589855</x:v>
      </x:c>
      <x:c r="I1078" s="85" t="n">
        <x:v>104094084.61684248</x:v>
      </x:c>
      <x:c r="J1078" s="85" t="n">
        <x:v>78000000</x:v>
      </x:c>
      <x:c r="K1078" s="85" t="n">
        <x:v>0</x:v>
      </x:c>
      <x:c r="L1078" s="28" t="n">
        <x:v>46</x:v>
      </x:c>
      <x:c r="M1078" s="28" t="n">
        <x:v>45</x:v>
      </x:c>
      <x:c r="N1078" s="28" t="n">
        <x:v>1.862645149230957e-9</x:v>
      </x:c>
      <x:c r="O1078" s="28" t="n">
        <x:v>3.725290298461914e-9</x:v>
      </x:c>
      <x:c r="P1078" s="28" t="n">
        <x:v>0</x:v>
      </x:c>
      <x:c r="Q1078" s="62" t="b">
        <x:v>1</x:v>
      </x:c>
      <x:c r="R1078" s="28" t="n">
        <x:v>10590154.477436066</x:v>
      </x:c>
      <x:c r="S1078" s="28" t="str">
        <x:v>07cf2c67a342f4b5</x:v>
      </x:c>
    </x:row>
    <x:row r="1079" ht="21" customHeight="1">
      <x:c r="A1079" s="60" t="n">
        <x:v>0.64</x:v>
      </x:c>
      <x:c r="B1079" s="28" t="str">
        <x:v>middle_flat</x:v>
      </x:c>
      <x:c r="C1079" s="60" t="n">
        <x:v>0</x:v>
      </x:c>
      <x:c r="D1079" s="60" t="n">
        <x:v>0</x:v>
      </x:c>
      <x:c r="E1079" s="62" t="b">
        <x:v>1</x:v>
      </x:c>
      <x:c r="F1079" s="62" t="b">
        <x:v>1</x:v>
      </x:c>
      <x:c r="G1079" s="85" t="n">
        <x:v>0</x:v>
      </x:c>
      <x:c r="H1079" s="85" t="n">
        <x:v>0</x:v>
      </x:c>
      <x:c r="I1079" s="85" t="n">
        <x:v>0</x:v>
      </x:c>
      <x:c r="J1079" s="85" t="n">
        <x:v>0</x:v>
      </x:c>
      <x:c r="K1079" s="85" t="n">
        <x:v>32734320.682876706</x:v>
      </x:c>
      <x:c r="L1079" s="28" t="n">
        <x:v>0</x:v>
      </x:c>
      <x:c r="M1079" s="28" t="n">
        <x:v>0</x:v>
      </x:c>
      <x:c r="N1079" s="28" t="n">
        <x:v>3.725290298461914e-9</x:v>
      </x:c>
      <x:c r="O1079" s="28" t="n">
        <x:v>0</x:v>
      </x:c>
      <x:c r="P1079" s="28" t="n">
        <x:v>0</x:v>
      </x:c>
      <x:c r="Q1079" s="62" t="b">
        <x:v>1</x:v>
      </x:c>
      <x:c r="R1079" s="28" t="n">
        <x:v>0</x:v>
      </x:c>
      <x:c r="S1079" s="28" t="str">
        <x:v>1722360b2713d71b</x:v>
      </x:c>
    </x:row>
    <x:row r="1080" ht="21" customHeight="1">
      <x:c r="A1080" s="60" t="n">
        <x:v>0.64</x:v>
      </x:c>
      <x:c r="B1080" s="28" t="str">
        <x:v>middle_flat</x:v>
      </x:c>
      <x:c r="C1080" s="60" t="n">
        <x:v>0.05</x:v>
      </x:c>
      <x:c r="D1080" s="60" t="n">
        <x:v>0.05</x:v>
      </x:c>
      <x:c r="E1080" s="62" t="b">
        <x:v>1</x:v>
      </x:c>
      <x:c r="F1080" s="62" t="b">
        <x:v>1</x:v>
      </x:c>
      <x:c r="G1080" s="85" t="n">
        <x:v>0</x:v>
      </x:c>
      <x:c r="H1080" s="85" t="n">
        <x:v>0</x:v>
      </x:c>
      <x:c r="I1080" s="85" t="n">
        <x:v>0</x:v>
      </x:c>
      <x:c r="J1080" s="85" t="n">
        <x:v>0</x:v>
      </x:c>
      <x:c r="K1080" s="85" t="n">
        <x:v>20800579.57956393</x:v>
      </x:c>
      <x:c r="L1080" s="28" t="n">
        <x:v>0</x:v>
      </x:c>
      <x:c r="M1080" s="28" t="n">
        <x:v>0</x:v>
      </x:c>
      <x:c r="N1080" s="28" t="n">
        <x:v>3.725290298461914e-9</x:v>
      </x:c>
      <x:c r="O1080" s="28" t="n">
        <x:v>2.9802322387695312e-8</x:v>
      </x:c>
      <x:c r="P1080" s="28" t="n">
        <x:v>0</x:v>
      </x:c>
      <x:c r="Q1080" s="62" t="b">
        <x:v>1</x:v>
      </x:c>
      <x:c r="R1080" s="28" t="n">
        <x:v>0</x:v>
      </x:c>
      <x:c r="S1080" s="28" t="str">
        <x:v>c48f3e829e588e8b</x:v>
      </x:c>
    </x:row>
    <x:row r="1081" ht="21" customHeight="1">
      <x:c r="A1081" s="60" t="n">
        <x:v>0.64</x:v>
      </x:c>
      <x:c r="B1081" s="28" t="str">
        <x:v>middle_flat</x:v>
      </x:c>
      <x:c r="C1081" s="60" t="n">
        <x:v>0.1</x:v>
      </x:c>
      <x:c r="D1081" s="60" t="n">
        <x:v>0.1</x:v>
      </x:c>
      <x:c r="E1081" s="62" t="b">
        <x:v>1</x:v>
      </x:c>
      <x:c r="F1081" s="62" t="b">
        <x:v>1</x:v>
      </x:c>
      <x:c r="G1081" s="85" t="n">
        <x:v>0</x:v>
      </x:c>
      <x:c r="H1081" s="85" t="n">
        <x:v>0</x:v>
      </x:c>
      <x:c r="I1081" s="85" t="n">
        <x:v>0</x:v>
      </x:c>
      <x:c r="J1081" s="85" t="n">
        <x:v>0</x:v>
      </x:c>
      <x:c r="K1081" s="85" t="n">
        <x:v>8748001.682716623</x:v>
      </x:c>
      <x:c r="L1081" s="28" t="n">
        <x:v>0</x:v>
      </x:c>
      <x:c r="M1081" s="28" t="n">
        <x:v>0</x:v>
      </x:c>
      <x:c r="N1081" s="28" t="n">
        <x:v>3.725290298461914e-9</x:v>
      </x:c>
      <x:c r="O1081" s="28" t="n">
        <x:v>5.960464477539063e-8</x:v>
      </x:c>
      <x:c r="P1081" s="28" t="n">
        <x:v>0</x:v>
      </x:c>
      <x:c r="Q1081" s="62" t="b">
        <x:v>1</x:v>
      </x:c>
      <x:c r="R1081" s="28" t="n">
        <x:v>0</x:v>
      </x:c>
      <x:c r="S1081" s="28" t="str">
        <x:v>8af7e25a59777991</x:v>
      </x:c>
    </x:row>
    <x:row r="1082" ht="21" customHeight="1">
      <x:c r="A1082" s="60" t="n">
        <x:v>0.64</x:v>
      </x:c>
      <x:c r="B1082" s="28" t="str">
        <x:v>middle_flat</x:v>
      </x:c>
      <x:c r="C1082" s="60" t="n">
        <x:v>0.15</x:v>
      </x:c>
      <x:c r="D1082" s="60" t="n">
        <x:v>0.15</x:v>
      </x:c>
      <x:c r="E1082" s="62" t="b">
        <x:v>1</x:v>
      </x:c>
      <x:c r="F1082" s="62" t="b">
        <x:v>1</x:v>
      </x:c>
      <x:c r="G1082" s="85" t="n">
        <x:v>0</x:v>
      </x:c>
      <x:c r="H1082" s="85" t="n">
        <x:v>0</x:v>
      </x:c>
      <x:c r="I1082" s="85" t="n">
        <x:v>3349753.0018953267</x:v>
      </x:c>
      <x:c r="J1082" s="85" t="n">
        <x:v>0</x:v>
      </x:c>
      <x:c r="K1082" s="85" t="n">
        <x:v>999967.0981689184</x:v>
      </x:c>
      <x:c r="L1082" s="28" t="n">
        <x:v>0</x:v>
      </x:c>
      <x:c r="M1082" s="28" t="n">
        <x:v>0</x:v>
      </x:c>
      <x:c r="N1082" s="28" t="n">
        <x:v>3.725290298461914e-9</x:v>
      </x:c>
      <x:c r="O1082" s="28" t="n">
        <x:v>2.9802322387695312e-8</x:v>
      </x:c>
      <x:c r="P1082" s="28" t="n">
        <x:v>0</x:v>
      </x:c>
      <x:c r="Q1082" s="62" t="b">
        <x:v>1</x:v>
      </x:c>
      <x:c r="R1082" s="28" t="n">
        <x:v>0</x:v>
      </x:c>
      <x:c r="S1082" s="28" t="str">
        <x:v>12e916edf8d20436</x:v>
      </x:c>
    </x:row>
    <x:row r="1083" ht="21" customHeight="1">
      <x:c r="A1083" s="60" t="n">
        <x:v>0.64</x:v>
      </x:c>
      <x:c r="B1083" s="28" t="str">
        <x:v>middle_flat</x:v>
      </x:c>
      <x:c r="C1083" s="60" t="n">
        <x:v>0.2</x:v>
      </x:c>
      <x:c r="D1083" s="60" t="n">
        <x:v>0.2</x:v>
      </x:c>
      <x:c r="E1083" s="62" t="b">
        <x:v>1</x:v>
      </x:c>
      <x:c r="F1083" s="62" t="b">
        <x:v>1</x:v>
      </x:c>
      <x:c r="G1083" s="85" t="n">
        <x:v>0</x:v>
      </x:c>
      <x:c r="H1083" s="85" t="n">
        <x:v>0</x:v>
      </x:c>
      <x:c r="I1083" s="85" t="n">
        <x:v>11567455.887229407</x:v>
      </x:c>
      <x:c r="J1083" s="85" t="n">
        <x:v>6318282.052720856</x:v>
      </x:c>
      <x:c r="K1083" s="85" t="n">
        <x:v>732505.0107373707</x:v>
      </x:c>
      <x:c r="L1083" s="28" t="n">
        <x:v>0</x:v>
      </x:c>
      <x:c r="M1083" s="28" t="n">
        <x:v>0</x:v>
      </x:c>
      <x:c r="N1083" s="28" t="n">
        <x:v>1.862645149230957e-9</x:v>
      </x:c>
      <x:c r="O1083" s="28" t="n">
        <x:v>2.9802322387695312e-8</x:v>
      </x:c>
      <x:c r="P1083" s="28" t="n">
        <x:v>0</x:v>
      </x:c>
      <x:c r="Q1083" s="62" t="b">
        <x:v>1</x:v>
      </x:c>
      <x:c r="R1083" s="28" t="n">
        <x:v>0</x:v>
      </x:c>
      <x:c r="S1083" s="28" t="str">
        <x:v>1ef4ed9fb1a67bac</x:v>
      </x:c>
    </x:row>
    <x:row r="1084" ht="21" customHeight="1">
      <x:c r="A1084" s="60" t="n">
        <x:v>0.64</x:v>
      </x:c>
      <x:c r="B1084" s="28" t="str">
        <x:v>middle_flat</x:v>
      </x:c>
      <x:c r="C1084" s="60" t="n">
        <x:v>0.25</x:v>
      </x:c>
      <x:c r="D1084" s="60" t="n">
        <x:v>0.25</x:v>
      </x:c>
      <x:c r="E1084" s="62" t="b">
        <x:v>1</x:v>
      </x:c>
      <x:c r="F1084" s="62" t="b">
        <x:v>1</x:v>
      </x:c>
      <x:c r="G1084" s="85" t="n">
        <x:v>0</x:v>
      </x:c>
      <x:c r="H1084" s="85" t="n">
        <x:v>0</x:v>
      </x:c>
      <x:c r="I1084" s="85" t="n">
        <x:v>17970537.316057287</x:v>
      </x:c>
      <x:c r="J1084" s="85" t="n">
        <x:v>15397852.565901024</x:v>
      </x:c>
      <x:c r="K1084" s="85" t="n">
        <x:v>555719.4289589042</x:v>
      </x:c>
      <x:c r="L1084" s="28" t="n">
        <x:v>0</x:v>
      </x:c>
      <x:c r="M1084" s="28" t="n">
        <x:v>0</x:v>
      </x:c>
      <x:c r="N1084" s="28" t="n">
        <x:v>3.725290298461914e-9</x:v>
      </x:c>
      <x:c r="O1084" s="28" t="n">
        <x:v>2.9802322387695312e-8</x:v>
      </x:c>
      <x:c r="P1084" s="28" t="n">
        <x:v>0</x:v>
      </x:c>
      <x:c r="Q1084" s="62" t="b">
        <x:v>1</x:v>
      </x:c>
      <x:c r="R1084" s="28" t="n">
        <x:v>0</x:v>
      </x:c>
      <x:c r="S1084" s="28" t="str">
        <x:v>6bef5444cb9f7aa1</x:v>
      </x:c>
    </x:row>
    <x:row r="1085" ht="21" customHeight="1">
      <x:c r="A1085" s="60" t="n">
        <x:v>0.64</x:v>
      </x:c>
      <x:c r="B1085" s="28" t="str">
        <x:v>middle_flat</x:v>
      </x:c>
      <x:c r="C1085" s="60" t="n">
        <x:v>0.3</x:v>
      </x:c>
      <x:c r="D1085" s="60" t="n">
        <x:v>0.3</x:v>
      </x:c>
      <x:c r="E1085" s="62" t="b">
        <x:v>1</x:v>
      </x:c>
      <x:c r="F1085" s="62" t="b">
        <x:v>1</x:v>
      </x:c>
      <x:c r="G1085" s="85" t="n">
        <x:v>0</x:v>
      </x:c>
      <x:c r="H1085" s="85" t="n">
        <x:v>0</x:v>
      </x:c>
      <x:c r="I1085" s="85" t="n">
        <x:v>24485015.889558174</x:v>
      </x:c>
      <x:c r="J1085" s="85" t="n">
        <x:v>24477423.079081103</x:v>
      </x:c>
      <x:c r="K1085" s="85" t="n">
        <x:v>471916.21475068876</x:v>
      </x:c>
      <x:c r="L1085" s="28" t="n">
        <x:v>0</x:v>
      </x:c>
      <x:c r="M1085" s="28" t="n">
        <x:v>0</x:v>
      </x:c>
      <x:c r="N1085" s="28" t="n">
        <x:v>1.862645149230957e-9</x:v>
      </x:c>
      <x:c r="O1085" s="28" t="n">
        <x:v>2.9802322387695312e-8</x:v>
      </x:c>
      <x:c r="P1085" s="28" t="n">
        <x:v>0</x:v>
      </x:c>
      <x:c r="Q1085" s="62" t="b">
        <x:v>1</x:v>
      </x:c>
      <x:c r="R1085" s="28" t="n">
        <x:v>0</x:v>
      </x:c>
      <x:c r="S1085" s="28" t="str">
        <x:v>989ecf689d479abe</x:v>
      </x:c>
    </x:row>
    <x:row r="1086" ht="21" customHeight="1">
      <x:c r="A1086" s="60" t="n">
        <x:v>0.64</x:v>
      </x:c>
      <x:c r="B1086" s="28" t="str">
        <x:v>middle_flat</x:v>
      </x:c>
      <x:c r="C1086" s="60" t="n">
        <x:v>0.35</x:v>
      </x:c>
      <x:c r="D1086" s="60" t="n">
        <x:v>0.35</x:v>
      </x:c>
      <x:c r="E1086" s="62" t="b">
        <x:v>1</x:v>
      </x:c>
      <x:c r="F1086" s="62" t="b">
        <x:v>1</x:v>
      </x:c>
      <x:c r="G1086" s="85" t="n">
        <x:v>0</x:v>
      </x:c>
      <x:c r="H1086" s="85" t="n">
        <x:v>0</x:v>
      </x:c>
      <x:c r="I1086" s="85" t="n">
        <x:v>30978243.984963987</x:v>
      </x:c>
      <x:c r="J1086" s="85" t="n">
        <x:v>33556993.59226131</x:v>
      </x:c>
      <x:c r="K1086" s="85" t="n">
        <x:v>388113.0005424668</x:v>
      </x:c>
      <x:c r="L1086" s="28" t="n">
        <x:v>0</x:v>
      </x:c>
      <x:c r="M1086" s="28" t="n">
        <x:v>0</x:v>
      </x:c>
      <x:c r="N1086" s="28" t="n">
        <x:v>3.725290298461914e-9</x:v>
      </x:c>
      <x:c r="O1086" s="28" t="n">
        <x:v>2.9802322387695312e-8</x:v>
      </x:c>
      <x:c r="P1086" s="28" t="n">
        <x:v>0</x:v>
      </x:c>
      <x:c r="Q1086" s="62" t="b">
        <x:v>1</x:v>
      </x:c>
      <x:c r="R1086" s="28" t="n">
        <x:v>0</x:v>
      </x:c>
      <x:c r="S1086" s="28" t="str">
        <x:v>6874e80a243ca0e6</x:v>
      </x:c>
    </x:row>
    <x:row r="1087" ht="21" customHeight="1">
      <x:c r="A1087" s="60" t="n">
        <x:v>0.64</x:v>
      </x:c>
      <x:c r="B1087" s="28" t="str">
        <x:v>middle_flat</x:v>
      </x:c>
      <x:c r="C1087" s="60" t="n">
        <x:v>0.4</x:v>
      </x:c>
      <x:c r="D1087" s="60" t="n">
        <x:v>0.4</x:v>
      </x:c>
      <x:c r="E1087" s="62" t="b">
        <x:v>1</x:v>
      </x:c>
      <x:c r="F1087" s="62" t="b">
        <x:v>1</x:v>
      </x:c>
      <x:c r="G1087" s="85" t="n">
        <x:v>0</x:v>
      </x:c>
      <x:c r="H1087" s="85" t="n">
        <x:v>0</x:v>
      </x:c>
      <x:c r="I1087" s="85" t="n">
        <x:v>37564097.238380045</x:v>
      </x:c>
      <x:c r="J1087" s="85" t="n">
        <x:v>42636564.10544153</x:v>
      </x:c>
      <x:c r="K1087" s="85" t="n">
        <x:v>304309.7863342458</x:v>
      </x:c>
      <x:c r="L1087" s="28" t="n">
        <x:v>0</x:v>
      </x:c>
      <x:c r="M1087" s="28" t="n">
        <x:v>0</x:v>
      </x:c>
      <x:c r="N1087" s="28" t="n">
        <x:v>1.862645149230957e-9</x:v>
      </x:c>
      <x:c r="O1087" s="28" t="n">
        <x:v>2.9802322387695312e-8</x:v>
      </x:c>
      <x:c r="P1087" s="28" t="n">
        <x:v>0</x:v>
      </x:c>
      <x:c r="Q1087" s="62" t="b">
        <x:v>1</x:v>
      </x:c>
      <x:c r="R1087" s="28" t="n">
        <x:v>0</x:v>
      </x:c>
      <x:c r="S1087" s="28" t="str">
        <x:v>9f9fec6be209b369</x:v>
      </x:c>
    </x:row>
    <x:row r="1088" ht="21" customHeight="1">
      <x:c r="A1088" s="60" t="n">
        <x:v>0.64</x:v>
      </x:c>
      <x:c r="B1088" s="28" t="str">
        <x:v>middle_flat</x:v>
      </x:c>
      <x:c r="C1088" s="60" t="n">
        <x:v>0.45</x:v>
      </x:c>
      <x:c r="D1088" s="60" t="n">
        <x:v>0.45</x:v>
      </x:c>
      <x:c r="E1088" s="62" t="b">
        <x:v>1</x:v>
      </x:c>
      <x:c r="F1088" s="62" t="b">
        <x:v>1</x:v>
      </x:c>
      <x:c r="G1088" s="85" t="n">
        <x:v>0</x:v>
      </x:c>
      <x:c r="H1088" s="85" t="n">
        <x:v>0</x:v>
      </x:c>
      <x:c r="I1088" s="85" t="n">
        <x:v>45961317.20666905</x:v>
      </x:c>
      <x:c r="J1088" s="85" t="n">
        <x:v>47109214.590756886</x:v>
      </x:c>
      <x:c r="K1088" s="85" t="n">
        <x:v>253615.30477260766</x:v>
      </x:c>
      <x:c r="L1088" s="28" t="n">
        <x:v>6</x:v>
      </x:c>
      <x:c r="M1088" s="28" t="n">
        <x:v>0</x:v>
      </x:c>
      <x:c r="N1088" s="28" t="n">
        <x:v>3.725290298461914e-9</x:v>
      </x:c>
      <x:c r="O1088" s="28" t="n">
        <x:v>2.9802322387695312e-8</x:v>
      </x:c>
      <x:c r="P1088" s="28" t="n">
        <x:v>0</x:v>
      </x:c>
      <x:c r="Q1088" s="62" t="b">
        <x:v>1</x:v>
      </x:c>
      <x:c r="R1088" s="28" t="n">
        <x:v>0</x:v>
      </x:c>
      <x:c r="S1088" s="28" t="str">
        <x:v>9582a77b63bd117a</x:v>
      </x:c>
    </x:row>
    <x:row r="1089" ht="21" customHeight="1">
      <x:c r="A1089" s="60" t="n">
        <x:v>0.64</x:v>
      </x:c>
      <x:c r="B1089" s="28" t="str">
        <x:v>middle_flat</x:v>
      </x:c>
      <x:c r="C1089" s="60" t="n">
        <x:v>0.5</x:v>
      </x:c>
      <x:c r="D1089" s="60" t="n">
        <x:v>0.5</x:v>
      </x:c>
      <x:c r="E1089" s="62" t="b">
        <x:v>1</x:v>
      </x:c>
      <x:c r="F1089" s="62" t="b">
        <x:v>1</x:v>
      </x:c>
      <x:c r="G1089" s="85" t="n">
        <x:v>0</x:v>
      </x:c>
      <x:c r="H1089" s="85" t="n">
        <x:v>0</x:v>
      </x:c>
      <x:c r="I1089" s="85" t="n">
        <x:v>53028399.6176381</x:v>
      </x:c>
      <x:c r="J1089" s="85" t="n">
        <x:v>54908182.26628847</x:v>
      </x:c>
      <x:c r="K1089" s="85" t="n">
        <x:v>228087.89556164734</x:v>
      </x:c>
      <x:c r="L1089" s="28" t="n">
        <x:v>10</x:v>
      </x:c>
      <x:c r="M1089" s="28" t="n">
        <x:v>0</x:v>
      </x:c>
      <x:c r="N1089" s="28" t="n">
        <x:v>3.725290298461914e-9</x:v>
      </x:c>
      <x:c r="O1089" s="28" t="n">
        <x:v>1.4901161193847656e-8</x:v>
      </x:c>
      <x:c r="P1089" s="28" t="n">
        <x:v>0</x:v>
      </x:c>
      <x:c r="Q1089" s="62" t="b">
        <x:v>1</x:v>
      </x:c>
      <x:c r="R1089" s="28" t="n">
        <x:v>0</x:v>
      </x:c>
      <x:c r="S1089" s="28" t="str">
        <x:v>3dc32d8609b3a375</x:v>
      </x:c>
    </x:row>
    <x:row r="1090" ht="21" customHeight="1">
      <x:c r="A1090" s="60" t="n">
        <x:v>0.64</x:v>
      </x:c>
      <x:c r="B1090" s="28" t="str">
        <x:v>middle_flat</x:v>
      </x:c>
      <x:c r="C1090" s="60" t="n">
        <x:v>0.55</x:v>
      </x:c>
      <x:c r="D1090" s="60" t="n">
        <x:v>0.55</x:v>
      </x:c>
      <x:c r="E1090" s="62" t="b">
        <x:v>1</x:v>
      </x:c>
      <x:c r="F1090" s="62" t="b">
        <x:v>1</x:v>
      </x:c>
      <x:c r="G1090" s="85" t="n">
        <x:v>0</x:v>
      </x:c>
      <x:c r="H1090" s="85" t="n">
        <x:v>0</x:v>
      </x:c>
      <x:c r="I1090" s="85" t="n">
        <x:v>59547292.24993967</x:v>
      </x:c>
      <x:c r="J1090" s="85" t="n">
        <x:v>63759932.26672546</x:v>
      </x:c>
      <x:c r="K1090" s="85" t="n">
        <x:v>202560.48635068376</x:v>
      </x:c>
      <x:c r="L1090" s="28" t="n">
        <x:v>13</x:v>
      </x:c>
      <x:c r="M1090" s="28" t="n">
        <x:v>1</x:v>
      </x:c>
      <x:c r="N1090" s="28" t="n">
        <x:v>1.862645149230957e-9</x:v>
      </x:c>
      <x:c r="O1090" s="28" t="n">
        <x:v>2.9802322387695312e-8</x:v>
      </x:c>
      <x:c r="P1090" s="28" t="n">
        <x:v>0</x:v>
      </x:c>
      <x:c r="Q1090" s="62" t="b">
        <x:v>1</x:v>
      </x:c>
      <x:c r="R1090" s="28" t="n">
        <x:v>0</x:v>
      </x:c>
      <x:c r="S1090" s="28" t="str">
        <x:v>e65cb707e6c3ff53</x:v>
      </x:c>
    </x:row>
    <x:row r="1091" ht="21" customHeight="1">
      <x:c r="A1091" s="60" t="n">
        <x:v>0.64</x:v>
      </x:c>
      <x:c r="B1091" s="28" t="str">
        <x:v>middle_flat</x:v>
      </x:c>
      <x:c r="C1091" s="60" t="n">
        <x:v>0.6</x:v>
      </x:c>
      <x:c r="D1091" s="60" t="n">
        <x:v>0.6</x:v>
      </x:c>
      <x:c r="E1091" s="62" t="b">
        <x:v>1</x:v>
      </x:c>
      <x:c r="F1091" s="62" t="b">
        <x:v>1</x:v>
      </x:c>
      <x:c r="G1091" s="85" t="n">
        <x:v>0</x:v>
      </x:c>
      <x:c r="H1091" s="85" t="n">
        <x:v>0</x:v>
      </x:c>
      <x:c r="I1091" s="85" t="n">
        <x:v>65677230.532067955</x:v>
      </x:c>
      <x:c r="J1091" s="85" t="n">
        <x:v>73254108.02573507</x:v>
      </x:c>
      <x:c r="K1091" s="85" t="n">
        <x:v>177033.07713972765</x:v>
      </x:c>
      <x:c r="L1091" s="28" t="n">
        <x:v>17</x:v>
      </x:c>
      <x:c r="M1091" s="28" t="n">
        <x:v>8</x:v>
      </x:c>
      <x:c r="N1091" s="28" t="n">
        <x:v>1.862645149230957e-9</x:v>
      </x:c>
      <x:c r="O1091" s="28" t="n">
        <x:v>2.9802322387695312e-8</x:v>
      </x:c>
      <x:c r="P1091" s="28" t="n">
        <x:v>0</x:v>
      </x:c>
      <x:c r="Q1091" s="62" t="b">
        <x:v>1</x:v>
      </x:c>
      <x:c r="R1091" s="28" t="n">
        <x:v>0</x:v>
      </x:c>
      <x:c r="S1091" s="28" t="str">
        <x:v>9015c70308c95431</x:v>
      </x:c>
    </x:row>
    <x:row r="1092" ht="21" customHeight="1">
      <x:c r="A1092" s="60" t="n">
        <x:v>0.64</x:v>
      </x:c>
      <x:c r="B1092" s="28" t="str">
        <x:v>middle_flat</x:v>
      </x:c>
      <x:c r="C1092" s="60" t="n">
        <x:v>0.65</x:v>
      </x:c>
      <x:c r="D1092" s="60" t="n">
        <x:v>0.65</x:v>
      </x:c>
      <x:c r="E1092" s="62" t="b">
        <x:v>1</x:v>
      </x:c>
      <x:c r="F1092" s="62" t="b">
        <x:v>0</x:v>
      </x:c>
      <x:c r="G1092" s="85" t="n">
        <x:v>888747.1009847294</x:v>
      </x:c>
      <x:c r="H1092" s="85" t="n">
        <x:v>5776852.682613328</x:v>
      </x:c>
      <x:c r="I1092" s="85" t="n">
        <x:v>69183199.1862147</x:v>
      </x:c>
      <x:c r="J1092" s="85" t="n">
        <x:v>78000000</x:v>
      </x:c>
      <x:c r="K1092" s="85" t="n">
        <x:v>151505.6679287636</x:v>
      </x:c>
      <x:c r="L1092" s="28" t="n">
        <x:v>41</x:v>
      </x:c>
      <x:c r="M1092" s="28" t="n">
        <x:v>34</x:v>
      </x:c>
      <x:c r="N1092" s="28" t="n">
        <x:v>1.862645149230957e-9</x:v>
      </x:c>
      <x:c r="O1092" s="28" t="n">
        <x:v>2.9802322387695312e-8</x:v>
      </x:c>
      <x:c r="P1092" s="28" t="n">
        <x:v>0</x:v>
      </x:c>
      <x:c r="Q1092" s="62" t="b">
        <x:v>1</x:v>
      </x:c>
      <x:c r="R1092" s="28" t="n">
        <x:v>0</x:v>
      </x:c>
      <x:c r="S1092" s="28" t="str">
        <x:v>ad4dce434b6a9970</x:v>
      </x:c>
    </x:row>
    <x:row r="1093" ht="21" customHeight="1">
      <x:c r="A1093" s="60" t="n">
        <x:v>0.64</x:v>
      </x:c>
      <x:c r="B1093" s="28" t="str">
        <x:v>middle_flat</x:v>
      </x:c>
      <x:c r="C1093" s="60" t="n">
        <x:v>0.7</x:v>
      </x:c>
      <x:c r="D1093" s="60" t="n">
        <x:v>0.7</x:v>
      </x:c>
      <x:c r="E1093" s="62" t="b">
        <x:v>1</x:v>
      </x:c>
      <x:c r="F1093" s="62" t="b">
        <x:v>0</x:v>
      </x:c>
      <x:c r="G1093" s="85" t="n">
        <x:v>3209871.3983319816</x:v>
      </x:c>
      <x:c r="H1093" s="85" t="n">
        <x:v>18258793.76087916</x:v>
      </x:c>
      <x:c r="I1093" s="85" t="n">
        <x:v>69406656.25933765</x:v>
      </x:c>
      <x:c r="J1093" s="85" t="n">
        <x:v>78000000</x:v>
      </x:c>
      <x:c r="K1093" s="85" t="n">
        <x:v>125978.25871780934</x:v>
      </x:c>
      <x:c r="L1093" s="28" t="n">
        <x:v>41</x:v>
      </x:c>
      <x:c r="M1093" s="28" t="n">
        <x:v>36</x:v>
      </x:c>
      <x:c r="N1093" s="28" t="n">
        <x:v>1.862645149230957e-9</x:v>
      </x:c>
      <x:c r="O1093" s="28" t="n">
        <x:v>1.4901161193847656e-8</x:v>
      </x:c>
      <x:c r="P1093" s="28" t="n">
        <x:v>0</x:v>
      </x:c>
      <x:c r="Q1093" s="62" t="b">
        <x:v>1</x:v>
      </x:c>
      <x:c r="R1093" s="28" t="n">
        <x:v>0</x:v>
      </x:c>
      <x:c r="S1093" s="28" t="str">
        <x:v>91833cb3b75c7516</x:v>
      </x:c>
    </x:row>
    <x:row r="1094" ht="21" customHeight="1">
      <x:c r="A1094" s="60" t="n">
        <x:v>0.64</x:v>
      </x:c>
      <x:c r="B1094" s="28" t="str">
        <x:v>middle_flat</x:v>
      </x:c>
      <x:c r="C1094" s="60" t="n">
        <x:v>0.75</x:v>
      </x:c>
      <x:c r="D1094" s="60" t="n">
        <x:v>0.75</x:v>
      </x:c>
      <x:c r="E1094" s="62" t="b">
        <x:v>1</x:v>
      </x:c>
      <x:c r="F1094" s="62" t="b">
        <x:v>0</x:v>
      </x:c>
      <x:c r="G1094" s="85" t="n">
        <x:v>5202542.2853645645</x:v>
      </x:c>
      <x:c r="H1094" s="85" t="n">
        <x:v>29099952.988467757</x:v>
      </x:c>
      <x:c r="I1094" s="85" t="n">
        <x:v>70646789.51026908</x:v>
      </x:c>
      <x:c r="J1094" s="85" t="n">
        <x:v>78000000</x:v>
      </x:c>
      <x:c r="K1094" s="85" t="n">
        <x:v>100450.84950684995</x:v>
      </x:c>
      <x:c r="L1094" s="28" t="n">
        <x:v>42</x:v>
      </x:c>
      <x:c r="M1094" s="28" t="n">
        <x:v>36</x:v>
      </x:c>
      <x:c r="N1094" s="28" t="n">
        <x:v>1.862645149230957e-9</x:v>
      </x:c>
      <x:c r="O1094" s="28" t="n">
        <x:v>2.9802322387695312e-8</x:v>
      </x:c>
      <x:c r="P1094" s="28" t="n">
        <x:v>0</x:v>
      </x:c>
      <x:c r="Q1094" s="62" t="b">
        <x:v>1</x:v>
      </x:c>
      <x:c r="R1094" s="28" t="n">
        <x:v>0</x:v>
      </x:c>
      <x:c r="S1094" s="28" t="str">
        <x:v>1a2053a627e37294</x:v>
      </x:c>
    </x:row>
    <x:row r="1095" ht="21" customHeight="1">
      <x:c r="A1095" s="60" t="n">
        <x:v>0.64</x:v>
      </x:c>
      <x:c r="B1095" s="28" t="str">
        <x:v>middle_flat</x:v>
      </x:c>
      <x:c r="C1095" s="60" t="n">
        <x:v>0.8</x:v>
      </x:c>
      <x:c r="D1095" s="60" t="n">
        <x:v>0.8</x:v>
      </x:c>
      <x:c r="E1095" s="62" t="b">
        <x:v>1</x:v>
      </x:c>
      <x:c r="F1095" s="62" t="b">
        <x:v>0</x:v>
      </x:c>
      <x:c r="G1095" s="85" t="n">
        <x:v>7892142.499172095</x:v>
      </x:c>
      <x:c r="H1095" s="85" t="n">
        <x:v>40962359.23250615</x:v>
      </x:c>
      <x:c r="I1095" s="85" t="n">
        <x:v>70806579.71378475</x:v>
      </x:c>
      <x:c r="J1095" s="85" t="n">
        <x:v>78000000</x:v>
      </x:c>
      <x:c r="K1095" s="85" t="n">
        <x:v>74923.44029588543</x:v>
      </x:c>
      <x:c r="L1095" s="28" t="n">
        <x:v>42</x:v>
      </x:c>
      <x:c r="M1095" s="28" t="n">
        <x:v>38</x:v>
      </x:c>
      <x:c r="N1095" s="28" t="n">
        <x:v>1.862645149230957e-9</x:v>
      </x:c>
      <x:c r="O1095" s="28" t="n">
        <x:v>1.4901161193847656e-8</x:v>
      </x:c>
      <x:c r="P1095" s="28" t="n">
        <x:v>0</x:v>
      </x:c>
      <x:c r="Q1095" s="62" t="b">
        <x:v>1</x:v>
      </x:c>
      <x:c r="R1095" s="28" t="n">
        <x:v>0</x:v>
      </x:c>
      <x:c r="S1095" s="28" t="str">
        <x:v>1c5af14e32e62484</x:v>
      </x:c>
    </x:row>
    <x:row r="1096" ht="21" customHeight="1">
      <x:c r="A1096" s="60" t="n">
        <x:v>0.64</x:v>
      </x:c>
      <x:c r="B1096" s="28" t="str">
        <x:v>middle_flat</x:v>
      </x:c>
      <x:c r="C1096" s="60" t="n">
        <x:v>0.85</x:v>
      </x:c>
      <x:c r="D1096" s="60" t="n">
        <x:v>0.85</x:v>
      </x:c>
      <x:c r="E1096" s="62" t="b">
        <x:v>1</x:v>
      </x:c>
      <x:c r="F1096" s="62" t="b">
        <x:v>0</x:v>
      </x:c>
      <x:c r="G1096" s="85" t="n">
        <x:v>10066479.211285552</x:v>
      </x:c>
      <x:c r="H1096" s="85" t="n">
        <x:v>51305340.76947775</x:v>
      </x:c>
      <x:c r="I1096" s="85" t="n">
        <x:v>72088726.1545243</x:v>
      </x:c>
      <x:c r="J1096" s="85" t="n">
        <x:v>78000000</x:v>
      </x:c>
      <x:c r="K1096" s="85" t="n">
        <x:v>49396.03108492978</x:v>
      </x:c>
      <x:c r="L1096" s="28" t="n">
        <x:v>43</x:v>
      </x:c>
      <x:c r="M1096" s="28" t="n">
        <x:v>38</x:v>
      </x:c>
      <x:c r="N1096" s="28" t="n">
        <x:v>1.862645149230957e-9</x:v>
      </x:c>
      <x:c r="O1096" s="28" t="n">
        <x:v>2.9802322387695312e-8</x:v>
      </x:c>
      <x:c r="P1096" s="28" t="n">
        <x:v>0</x:v>
      </x:c>
      <x:c r="Q1096" s="62" t="b">
        <x:v>1</x:v>
      </x:c>
      <x:c r="R1096" s="28" t="n">
        <x:v>0</x:v>
      </x:c>
      <x:c r="S1096" s="28" t="str">
        <x:v>66c448e0f2fbe4be</x:v>
      </x:c>
    </x:row>
    <x:row r="1097" ht="21" customHeight="1">
      <x:c r="A1097" s="60" t="n">
        <x:v>0.64</x:v>
      </x:c>
      <x:c r="B1097" s="28" t="str">
        <x:v>middle_flat</x:v>
      </x:c>
      <x:c r="C1097" s="60" t="n">
        <x:v>0.9</x:v>
      </x:c>
      <x:c r="D1097" s="60" t="n">
        <x:v>0.9</x:v>
      </x:c>
      <x:c r="E1097" s="62" t="b">
        <x:v>1</x:v>
      </x:c>
      <x:c r="F1097" s="62" t="b">
        <x:v>0</x:v>
      </x:c>
      <x:c r="G1097" s="85" t="n">
        <x:v>15182900.264989711</x:v>
      </x:c>
      <x:c r="H1097" s="85" t="n">
        <x:v>61604107.27989475</x:v>
      </x:c>
      <x:c r="I1097" s="85" t="n">
        <x:v>72193002.84612806</x:v>
      </x:c>
      <x:c r="J1097" s="85" t="n">
        <x:v>78000000</x:v>
      </x:c>
      <x:c r="K1097" s="85" t="n">
        <x:v>29314.79309589209</x:v>
      </x:c>
      <x:c r="L1097" s="28" t="n">
        <x:v>43</x:v>
      </x:c>
      <x:c r="M1097" s="28" t="n">
        <x:v>38</x:v>
      </x:c>
      <x:c r="N1097" s="28" t="n">
        <x:v>1.862645149230957e-9</x:v>
      </x:c>
      <x:c r="O1097" s="28" t="n">
        <x:v>2.9802322387695312e-8</x:v>
      </x:c>
      <x:c r="P1097" s="28" t="n">
        <x:v>0</x:v>
      </x:c>
      <x:c r="Q1097" s="62" t="b">
        <x:v>1</x:v>
      </x:c>
      <x:c r="R1097" s="28" t="n">
        <x:v>0</x:v>
      </x:c>
      <x:c r="S1097" s="28" t="str">
        <x:v>27639fce131f70f5</x:v>
      </x:c>
    </x:row>
    <x:row r="1098" ht="21" customHeight="1">
      <x:c r="A1098" s="60" t="n">
        <x:v>0.64</x:v>
      </x:c>
      <x:c r="B1098" s="28" t="str">
        <x:v>middle_flat</x:v>
      </x:c>
      <x:c r="C1098" s="60" t="n">
        <x:v>0.95</x:v>
      </x:c>
      <x:c r="D1098" s="60" t="n">
        <x:v>0.9361238209331334</x:v>
      </x:c>
      <x:c r="E1098" s="62" t="b">
        <x:v>0</x:v>
      </x:c>
      <x:c r="F1098" s="62" t="b">
        <x:v>0</x:v>
      </x:c>
      <x:c r="G1098" s="85" t="n">
        <x:v>17857219.250741113</x:v>
      </x:c>
      <x:c r="H1098" s="85" t="n">
        <x:v>67610109.81412084</x:v>
      </x:c>
      <x:c r="I1098" s="85" t="n">
        <x:v>72297279.53773183</x:v>
      </x:c>
      <x:c r="J1098" s="85" t="n">
        <x:v>78000000</x:v>
      </x:c>
      <x:c r="K1098" s="85" t="n">
        <x:v>20773.214630135597</x:v>
      </x:c>
      <x:c r="L1098" s="28" t="n">
        <x:v>43</x:v>
      </x:c>
      <x:c r="M1098" s="28" t="n">
        <x:v>39</x:v>
      </x:c>
      <x:c r="N1098" s="28" t="n">
        <x:v>1.862645149230957e-9</x:v>
      </x:c>
      <x:c r="O1098" s="28" t="n">
        <x:v>1.4901161193847656e-8</x:v>
      </x:c>
      <x:c r="P1098" s="28" t="n">
        <x:v>0</x:v>
      </x:c>
      <x:c r="Q1098" s="62" t="b">
        <x:v>1</x:v>
      </x:c>
      <x:c r="R1098" s="28" t="n">
        <x:v>4162853.720059991</x:v>
      </x:c>
      <x:c r="S1098" s="28" t="str">
        <x:v>d10823c7c9b1de80</x:v>
      </x:c>
    </x:row>
    <x:row r="1099" ht="21" customHeight="1">
      <x:c r="A1099" s="60" t="n">
        <x:v>0.64</x:v>
      </x:c>
      <x:c r="B1099" s="28" t="str">
        <x:v>middle_flat</x:v>
      </x:c>
      <x:c r="C1099" s="60" t="n">
        <x:v>1</x:v>
      </x:c>
      <x:c r="D1099" s="60" t="n">
        <x:v>0.9498342654879072</x:v>
      </x:c>
      <x:c r="E1099" s="62" t="b">
        <x:v>0</x:v>
      </x:c>
      <x:c r="F1099" s="62" t="b">
        <x:v>0</x:v>
      </x:c>
      <x:c r="G1099" s="85" t="n">
        <x:v>19146430.169884313</x:v>
      </x:c>
      <x:c r="H1099" s="85" t="n">
        <x:v>69570013.65834205</x:v>
      </x:c>
      <x:c r="I1099" s="85" t="n">
        <x:v>73454471.3547397</x:v>
      </x:c>
      <x:c r="J1099" s="85" t="n">
        <x:v>78000000</x:v>
      </x:c>
      <x:c r="K1099" s="85" t="n">
        <x:v>12231.636164386087</x:v>
      </x:c>
      <x:c r="L1099" s="28" t="n">
        <x:v>44</x:v>
      </x:c>
      <x:c r="M1099" s="28" t="n">
        <x:v>40</x:v>
      </x:c>
      <x:c r="N1099" s="28" t="n">
        <x:v>1.862645149230957e-9</x:v>
      </x:c>
      <x:c r="O1099" s="28" t="n">
        <x:v>1.4901161193847656e-8</x:v>
      </x:c>
      <x:c r="P1099" s="28" t="n">
        <x:v>0</x:v>
      </x:c>
      <x:c r="Q1099" s="62" t="b">
        <x:v>1</x:v>
      </x:c>
      <x:c r="R1099" s="28" t="n">
        <x:v>15049720.35362786</x:v>
      </x:c>
      <x:c r="S1099" s="28" t="str">
        <x:v>9f4c098cf0f9c7fb</x:v>
      </x:c>
    </x:row>
    <x:row r="1100" ht="21" customHeight="1">
      <x:c r="A1100" s="60" t="n">
        <x:v>0.64</x:v>
      </x:c>
      <x:c r="B1100" s="28" t="str">
        <x:v>middle_low</x:v>
      </x:c>
      <x:c r="C1100" s="60" t="n">
        <x:v>0</x:v>
      </x:c>
      <x:c r="D1100" s="60" t="n">
        <x:v>0</x:v>
      </x:c>
      <x:c r="E1100" s="62" t="b">
        <x:v>1</x:v>
      </x:c>
      <x:c r="F1100" s="62" t="b">
        <x:v>1</x:v>
      </x:c>
      <x:c r="G1100" s="85" t="n">
        <x:v>0</x:v>
      </x:c>
      <x:c r="H1100" s="85" t="n">
        <x:v>0</x:v>
      </x:c>
      <x:c r="I1100" s="85" t="n">
        <x:v>0</x:v>
      </x:c>
      <x:c r="J1100" s="85" t="n">
        <x:v>0</x:v>
      </x:c>
      <x:c r="K1100" s="85" t="n">
        <x:v>28741494.148630124</x:v>
      </x:c>
      <x:c r="L1100" s="28" t="n">
        <x:v>0</x:v>
      </x:c>
      <x:c r="M1100" s="28" t="n">
        <x:v>0</x:v>
      </x:c>
      <x:c r="N1100" s="28" t="n">
        <x:v>1.862645149230957e-9</x:v>
      </x:c>
      <x:c r="O1100" s="28" t="n">
        <x:v>0</x:v>
      </x:c>
      <x:c r="P1100" s="28" t="n">
        <x:v>0</x:v>
      </x:c>
      <x:c r="Q1100" s="62" t="b">
        <x:v>1</x:v>
      </x:c>
      <x:c r="R1100" s="28" t="n">
        <x:v>0</x:v>
      </x:c>
      <x:c r="S1100" s="28" t="str">
        <x:v>c90e62642e49eb8e</x:v>
      </x:c>
    </x:row>
    <x:row r="1101" ht="21" customHeight="1">
      <x:c r="A1101" s="60" t="n">
        <x:v>0.64</x:v>
      </x:c>
      <x:c r="B1101" s="28" t="str">
        <x:v>middle_low</x:v>
      </x:c>
      <x:c r="C1101" s="60" t="n">
        <x:v>0.05</x:v>
      </x:c>
      <x:c r="D1101" s="60" t="n">
        <x:v>0.05</x:v>
      </x:c>
      <x:c r="E1101" s="62" t="b">
        <x:v>1</x:v>
      </x:c>
      <x:c r="F1101" s="62" t="b">
        <x:v>1</x:v>
      </x:c>
      <x:c r="G1101" s="85" t="n">
        <x:v>0</x:v>
      </x:c>
      <x:c r="H1101" s="85" t="n">
        <x:v>0</x:v>
      </x:c>
      <x:c r="I1101" s="85" t="n">
        <x:v>0</x:v>
      </x:c>
      <x:c r="J1101" s="85" t="n">
        <x:v>0</x:v>
      </x:c>
      <x:c r="K1101" s="85" t="n">
        <x:v>18012772.543337792</x:v>
      </x:c>
      <x:c r="L1101" s="28" t="n">
        <x:v>0</x:v>
      </x:c>
      <x:c r="M1101" s="28" t="n">
        <x:v>0</x:v>
      </x:c>
      <x:c r="N1101" s="28" t="n">
        <x:v>3.725290298461914e-9</x:v>
      </x:c>
      <x:c r="O1101" s="28" t="n">
        <x:v>2.9802322387695312e-8</x:v>
      </x:c>
      <x:c r="P1101" s="28" t="n">
        <x:v>0</x:v>
      </x:c>
      <x:c r="Q1101" s="62" t="b">
        <x:v>1</x:v>
      </x:c>
      <x:c r="R1101" s="28" t="n">
        <x:v>0</x:v>
      </x:c>
      <x:c r="S1101" s="28" t="str">
        <x:v>2f07d2255861f2ea</x:v>
      </x:c>
    </x:row>
    <x:row r="1102" ht="21" customHeight="1">
      <x:c r="A1102" s="60" t="n">
        <x:v>0.64</x:v>
      </x:c>
      <x:c r="B1102" s="28" t="str">
        <x:v>middle_low</x:v>
      </x:c>
      <x:c r="C1102" s="60" t="n">
        <x:v>0.1</x:v>
      </x:c>
      <x:c r="D1102" s="60" t="n">
        <x:v>0.1</x:v>
      </x:c>
      <x:c r="E1102" s="62" t="b">
        <x:v>1</x:v>
      </x:c>
      <x:c r="F1102" s="62" t="b">
        <x:v>1</x:v>
      </x:c>
      <x:c r="G1102" s="85" t="n">
        <x:v>0</x:v>
      </x:c>
      <x:c r="H1102" s="85" t="n">
        <x:v>0</x:v>
      </x:c>
      <x:c r="I1102" s="85" t="n">
        <x:v>0</x:v>
      </x:c>
      <x:c r="J1102" s="85" t="n">
        <x:v>0</x:v>
      </x:c>
      <x:c r="K1102" s="85" t="n">
        <x:v>7200166.142609374</x:v>
      </x:c>
      <x:c r="L1102" s="28" t="n">
        <x:v>0</x:v>
      </x:c>
      <x:c r="M1102" s="28" t="n">
        <x:v>0</x:v>
      </x:c>
      <x:c r="N1102" s="28" t="n">
        <x:v>3.725290298461914e-9</x:v>
      </x:c>
      <x:c r="O1102" s="28" t="n">
        <x:v>5.960464477539063e-8</x:v>
      </x:c>
      <x:c r="P1102" s="28" t="n">
        <x:v>0</x:v>
      </x:c>
      <x:c r="Q1102" s="62" t="b">
        <x:v>1</x:v>
      </x:c>
      <x:c r="R1102" s="28" t="n">
        <x:v>0</x:v>
      </x:c>
      <x:c r="S1102" s="28" t="str">
        <x:v>2607c3ba714f4f18</x:v>
      </x:c>
    </x:row>
    <x:row r="1103" ht="21" customHeight="1">
      <x:c r="A1103" s="60" t="n">
        <x:v>0.64</x:v>
      </x:c>
      <x:c r="B1103" s="28" t="str">
        <x:v>middle_low</x:v>
      </x:c>
      <x:c r="C1103" s="60" t="n">
        <x:v>0.15</x:v>
      </x:c>
      <x:c r="D1103" s="60" t="n">
        <x:v>0.15</x:v>
      </x:c>
      <x:c r="E1103" s="62" t="b">
        <x:v>1</x:v>
      </x:c>
      <x:c r="F1103" s="62" t="b">
        <x:v>1</x:v>
      </x:c>
      <x:c r="G1103" s="85" t="n">
        <x:v>0</x:v>
      </x:c>
      <x:c r="H1103" s="85" t="n">
        <x:v>0</x:v>
      </x:c>
      <x:c r="I1103" s="85" t="n">
        <x:v>2738706.090676706</x:v>
      </x:c>
      <x:c r="J1103" s="85" t="n">
        <x:v>0</x:v>
      </x:c>
      <x:c r="K1103" s="85" t="n">
        <x:v>250238.75391124352</x:v>
      </x:c>
      <x:c r="L1103" s="28" t="n">
        <x:v>0</x:v>
      </x:c>
      <x:c r="M1103" s="28" t="n">
        <x:v>0</x:v>
      </x:c>
      <x:c r="N1103" s="28" t="n">
        <x:v>1.862645149230957e-9</x:v>
      </x:c>
      <x:c r="O1103" s="28" t="n">
        <x:v>2.9802322387695312e-8</x:v>
      </x:c>
      <x:c r="P1103" s="28" t="n">
        <x:v>0</x:v>
      </x:c>
      <x:c r="Q1103" s="62" t="b">
        <x:v>1</x:v>
      </x:c>
      <x:c r="R1103" s="28" t="n">
        <x:v>0</x:v>
      </x:c>
      <x:c r="S1103" s="28" t="str">
        <x:v>41c7d6932eed5aee</x:v>
      </x:c>
    </x:row>
    <x:row r="1104" ht="21" customHeight="1">
      <x:c r="A1104" s="60" t="n">
        <x:v>0.64</x:v>
      </x:c>
      <x:c r="B1104" s="28" t="str">
        <x:v>middle_low</x:v>
      </x:c>
      <x:c r="C1104" s="60" t="n">
        <x:v>0.2</x:v>
      </x:c>
      <x:c r="D1104" s="60" t="n">
        <x:v>0.2</x:v>
      </x:c>
      <x:c r="E1104" s="62" t="b">
        <x:v>1</x:v>
      </x:c>
      <x:c r="F1104" s="62" t="b">
        <x:v>1</x:v>
      </x:c>
      <x:c r="G1104" s="85" t="n">
        <x:v>0</x:v>
      </x:c>
      <x:c r="H1104" s="85" t="n">
        <x:v>0</x:v>
      </x:c>
      <x:c r="I1104" s="85" t="n">
        <x:v>9070104.626997393</x:v>
      </x:c>
      <x:c r="J1104" s="85" t="n">
        <x:v>6318282.052720856</x:v>
      </x:c>
      <x:c r="K1104" s="85" t="n">
        <x:v>182569.03242739377</x:v>
      </x:c>
      <x:c r="L1104" s="28" t="n">
        <x:v>0</x:v>
      </x:c>
      <x:c r="M1104" s="28" t="n">
        <x:v>0</x:v>
      </x:c>
      <x:c r="N1104" s="28" t="n">
        <x:v>1.862645149230957e-9</x:v>
      </x:c>
      <x:c r="O1104" s="28" t="n">
        <x:v>2.9802322387695312e-8</x:v>
      </x:c>
      <x:c r="P1104" s="28" t="n">
        <x:v>0</x:v>
      </x:c>
      <x:c r="Q1104" s="62" t="b">
        <x:v>1</x:v>
      </x:c>
      <x:c r="R1104" s="28" t="n">
        <x:v>0</x:v>
      </x:c>
      <x:c r="S1104" s="28" t="str">
        <x:v>b09855adcba314f0</x:v>
      </x:c>
    </x:row>
    <x:row r="1105" ht="21" customHeight="1">
      <x:c r="A1105" s="60" t="n">
        <x:v>0.64</x:v>
      </x:c>
      <x:c r="B1105" s="28" t="str">
        <x:v>middle_low</x:v>
      </x:c>
      <x:c r="C1105" s="60" t="n">
        <x:v>0.25</x:v>
      </x:c>
      <x:c r="D1105" s="60" t="n">
        <x:v>0.25</x:v>
      </x:c>
      <x:c r="E1105" s="62" t="b">
        <x:v>1</x:v>
      </x:c>
      <x:c r="F1105" s="62" t="b">
        <x:v>1</x:v>
      </x:c>
      <x:c r="G1105" s="85" t="n">
        <x:v>0</x:v>
      </x:c>
      <x:c r="H1105" s="85" t="n">
        <x:v>0</x:v>
      </x:c>
      <x:c r="I1105" s="85" t="n">
        <x:v>13288356.374328911</x:v>
      </x:c>
      <x:c r="J1105" s="85" t="n">
        <x:v>15397852.565901024</x:v>
      </x:c>
      <x:c r="K1105" s="85" t="n">
        <x:v>135679.91553424712</x:v>
      </x:c>
      <x:c r="L1105" s="28" t="n">
        <x:v>0</x:v>
      </x:c>
      <x:c r="M1105" s="28" t="n">
        <x:v>0</x:v>
      </x:c>
      <x:c r="N1105" s="28" t="n">
        <x:v>9.313225746154785e-10</x:v>
      </x:c>
      <x:c r="O1105" s="28" t="n">
        <x:v>2.9802322387695312e-8</x:v>
      </x:c>
      <x:c r="P1105" s="28" t="n">
        <x:v>0</x:v>
      </x:c>
      <x:c r="Q1105" s="62" t="b">
        <x:v>1</x:v>
      </x:c>
      <x:c r="R1105" s="28" t="n">
        <x:v>0</x:v>
      </x:c>
      <x:c r="S1105" s="28" t="str">
        <x:v>c451b7c06eebd53e</x:v>
      </x:c>
    </x:row>
    <x:row r="1106" ht="21" customHeight="1">
      <x:c r="A1106" s="60" t="n">
        <x:v>0.64</x:v>
      </x:c>
      <x:c r="B1106" s="28" t="str">
        <x:v>middle_low</x:v>
      </x:c>
      <x:c r="C1106" s="60" t="n">
        <x:v>0.3</x:v>
      </x:c>
      <x:c r="D1106" s="60" t="n">
        <x:v>0.3</x:v>
      </x:c>
      <x:c r="E1106" s="62" t="b">
        <x:v>1</x:v>
      </x:c>
      <x:c r="F1106" s="62" t="b">
        <x:v>1</x:v>
      </x:c>
      <x:c r="G1106" s="85" t="n">
        <x:v>0</x:v>
      </x:c>
      <x:c r="H1106" s="85" t="n">
        <x:v>0</x:v>
      </x:c>
      <x:c r="I1106" s="85" t="n">
        <x:v>17565938.449210178</x:v>
      </x:c>
      <x:c r="J1106" s="85" t="n">
        <x:v>24477423.079081103</x:v>
      </x:c>
      <x:c r="K1106" s="85" t="n">
        <x:v>96145.57909041242</x:v>
      </x:c>
      <x:c r="L1106" s="28" t="n">
        <x:v>0</x:v>
      </x:c>
      <x:c r="M1106" s="28" t="n">
        <x:v>0</x:v>
      </x:c>
      <x:c r="N1106" s="28" t="n">
        <x:v>1.862645149230957e-9</x:v>
      </x:c>
      <x:c r="O1106" s="28" t="n">
        <x:v>2.9802322387695312e-8</x:v>
      </x:c>
      <x:c r="P1106" s="28" t="n">
        <x:v>0</x:v>
      </x:c>
      <x:c r="Q1106" s="62" t="b">
        <x:v>1</x:v>
      </x:c>
      <x:c r="R1106" s="28" t="n">
        <x:v>0</x:v>
      </x:c>
      <x:c r="S1106" s="28" t="str">
        <x:v>8f0ec8ac458f760b</x:v>
      </x:c>
    </x:row>
    <x:row r="1107" ht="21" customHeight="1">
      <x:c r="A1107" s="60" t="n">
        <x:v>0.64</x:v>
      </x:c>
      <x:c r="B1107" s="28" t="str">
        <x:v>middle_low</x:v>
      </x:c>
      <x:c r="C1107" s="60" t="n">
        <x:v>0.35</x:v>
      </x:c>
      <x:c r="D1107" s="60" t="n">
        <x:v>0.35</x:v>
      </x:c>
      <x:c r="E1107" s="62" t="b">
        <x:v>1</x:v>
      </x:c>
      <x:c r="F1107" s="62" t="b">
        <x:v>1</x:v>
      </x:c>
      <x:c r="G1107" s="85" t="n">
        <x:v>0</x:v>
      </x:c>
      <x:c r="H1107" s="85" t="n">
        <x:v>0</x:v>
      </x:c>
      <x:c r="I1107" s="85" t="n">
        <x:v>21814860.77716074</x:v>
      </x:c>
      <x:c r="J1107" s="85" t="n">
        <x:v>33556993.59226131</x:v>
      </x:c>
      <x:c r="K1107" s="85" t="n">
        <x:v>81579.5612219188</x:v>
      </x:c>
      <x:c r="L1107" s="28" t="n">
        <x:v>0</x:v>
      </x:c>
      <x:c r="M1107" s="28" t="n">
        <x:v>0</x:v>
      </x:c>
      <x:c r="N1107" s="28" t="n">
        <x:v>3.725290298461914e-9</x:v>
      </x:c>
      <x:c r="O1107" s="28" t="n">
        <x:v>2.9802322387695312e-8</x:v>
      </x:c>
      <x:c r="P1107" s="28" t="n">
        <x:v>0</x:v>
      </x:c>
      <x:c r="Q1107" s="62" t="b">
        <x:v>1</x:v>
      </x:c>
      <x:c r="R1107" s="28" t="n">
        <x:v>0</x:v>
      </x:c>
      <x:c r="S1107" s="28" t="str">
        <x:v>b8d3913998909c01</x:v>
      </x:c>
    </x:row>
    <x:row r="1108" ht="21" customHeight="1">
      <x:c r="A1108" s="60" t="n">
        <x:v>0.64</x:v>
      </x:c>
      <x:c r="B1108" s="28" t="str">
        <x:v>middle_low</x:v>
      </x:c>
      <x:c r="C1108" s="60" t="n">
        <x:v>0.4</x:v>
      </x:c>
      <x:c r="D1108" s="60" t="n">
        <x:v>0.4</x:v>
      </x:c>
      <x:c r="E1108" s="62" t="b">
        <x:v>1</x:v>
      </x:c>
      <x:c r="F1108" s="62" t="b">
        <x:v>1</x:v>
      </x:c>
      <x:c r="G1108" s="85" t="n">
        <x:v>0</x:v>
      </x:c>
      <x:c r="H1108" s="85" t="n">
        <x:v>0</x:v>
      </x:c>
      <x:c r="I1108" s="85" t="n">
        <x:v>26108518.438074935</x:v>
      </x:c>
      <x:c r="J1108" s="85" t="n">
        <x:v>42636564.10544153</x:v>
      </x:c>
      <x:c r="K1108" s="85" t="n">
        <x:v>67013.54335342471</x:v>
      </x:c>
      <x:c r="L1108" s="28" t="n">
        <x:v>0</x:v>
      </x:c>
      <x:c r="M1108" s="28" t="n">
        <x:v>0</x:v>
      </x:c>
      <x:c r="N1108" s="28" t="n">
        <x:v>1.862645149230957e-9</x:v>
      </x:c>
      <x:c r="O1108" s="28" t="n">
        <x:v>2.9802322387695312e-8</x:v>
      </x:c>
      <x:c r="P1108" s="28" t="n">
        <x:v>0</x:v>
      </x:c>
      <x:c r="Q1108" s="62" t="b">
        <x:v>1</x:v>
      </x:c>
      <x:c r="R1108" s="28" t="n">
        <x:v>0</x:v>
      </x:c>
      <x:c r="S1108" s="28" t="str">
        <x:v>736383389a5e546c</x:v>
      </x:c>
    </x:row>
    <x:row r="1109" ht="21" customHeight="1">
      <x:c r="A1109" s="60" t="n">
        <x:v>0.64</x:v>
      </x:c>
      <x:c r="B1109" s="28" t="str">
        <x:v>middle_low</x:v>
      </x:c>
      <x:c r="C1109" s="60" t="n">
        <x:v>0.45</x:v>
      </x:c>
      <x:c r="D1109" s="60" t="n">
        <x:v>0.45</x:v>
      </x:c>
      <x:c r="E1109" s="62" t="b">
        <x:v>1</x:v>
      </x:c>
      <x:c r="F1109" s="62" t="b">
        <x:v>1</x:v>
      </x:c>
      <x:c r="G1109" s="85" t="n">
        <x:v>0</x:v>
      </x:c>
      <x:c r="H1109" s="85" t="n">
        <x:v>0</x:v>
      </x:c>
      <x:c r="I1109" s="85" t="n">
        <x:v>32878771.92971118</x:v>
      </x:c>
      <x:c r="J1109" s="85" t="n">
        <x:v>47631792.7124519</x:v>
      </x:c>
      <x:c r="K1109" s="85" t="n">
        <x:v>52447.52548492784</x:v>
      </x:c>
      <x:c r="L1109" s="28" t="n">
        <x:v>7</x:v>
      </x:c>
      <x:c r="M1109" s="28" t="n">
        <x:v>0</x:v>
      </x:c>
      <x:c r="N1109" s="28" t="n">
        <x:v>1.862645149230957e-9</x:v>
      </x:c>
      <x:c r="O1109" s="28" t="n">
        <x:v>2.9802322387695312e-8</x:v>
      </x:c>
      <x:c r="P1109" s="28" t="n">
        <x:v>0</x:v>
      </x:c>
      <x:c r="Q1109" s="62" t="b">
        <x:v>1</x:v>
      </x:c>
      <x:c r="R1109" s="28" t="n">
        <x:v>0</x:v>
      </x:c>
      <x:c r="S1109" s="28" t="str">
        <x:v>be2fc6b56a3eae55</x:v>
      </x:c>
    </x:row>
    <x:row r="1110" ht="21" customHeight="1">
      <x:c r="A1110" s="60" t="n">
        <x:v>0.64</x:v>
      </x:c>
      <x:c r="B1110" s="28" t="str">
        <x:v>middle_low</x:v>
      </x:c>
      <x:c r="C1110" s="60" t="n">
        <x:v>0.5</x:v>
      </x:c>
      <x:c r="D1110" s="60" t="n">
        <x:v>0.5</x:v>
      </x:c>
      <x:c r="E1110" s="62" t="b">
        <x:v>1</x:v>
      </x:c>
      <x:c r="F1110" s="62" t="b">
        <x:v>1</x:v>
      </x:c>
      <x:c r="G1110" s="85" t="n">
        <x:v>0</x:v>
      </x:c>
      <x:c r="H1110" s="85" t="n">
        <x:v>0</x:v>
      </x:c>
      <x:c r="I1110" s="85" t="n">
        <x:v>37603710.47937724</x:v>
      </x:c>
      <x:c r="J1110" s="85" t="n">
        <x:v>55912163.09484515</x:v>
      </x:c>
      <x:c r="K1110" s="85" t="n">
        <x:v>37881.50761643934</x:v>
      </x:c>
      <x:c r="L1110" s="28" t="n">
        <x:v>10</x:v>
      </x:c>
      <x:c r="M1110" s="28" t="n">
        <x:v>0</x:v>
      </x:c>
      <x:c r="N1110" s="28" t="n">
        <x:v>1.862645149230957e-9</x:v>
      </x:c>
      <x:c r="O1110" s="28" t="n">
        <x:v>1.4901161193847656e-8</x:v>
      </x:c>
      <x:c r="P1110" s="28" t="n">
        <x:v>0</x:v>
      </x:c>
      <x:c r="Q1110" s="62" t="b">
        <x:v>1</x:v>
      </x:c>
      <x:c r="R1110" s="28" t="n">
        <x:v>0</x:v>
      </x:c>
      <x:c r="S1110" s="28" t="str">
        <x:v>bd92feba1d3a08c6</x:v>
      </x:c>
    </x:row>
    <x:row r="1111" ht="21" customHeight="1">
      <x:c r="A1111" s="60" t="n">
        <x:v>0.64</x:v>
      </x:c>
      <x:c r="B1111" s="28" t="str">
        <x:v>middle_low</x:v>
      </x:c>
      <x:c r="C1111" s="60" t="n">
        <x:v>0.55</x:v>
      </x:c>
      <x:c r="D1111" s="60" t="n">
        <x:v>0.55</x:v>
      </x:c>
      <x:c r="E1111" s="62" t="b">
        <x:v>1</x:v>
      </x:c>
      <x:c r="F1111" s="62" t="b">
        <x:v>1</x:v>
      </x:c>
      <x:c r="G1111" s="85" t="n">
        <x:v>0</x:v>
      </x:c>
      <x:c r="H1111" s="85" t="n">
        <x:v>0</x:v>
      </x:c>
      <x:c r="I1111" s="85" t="n">
        <x:v>42184575.481381275</x:v>
      </x:c>
      <x:c r="J1111" s="85" t="n">
        <x:v>64322471.149803765</x:v>
      </x:c>
      <x:c r="K1111" s="85" t="n">
        <x:v>23315.48974794292</x:v>
      </x:c>
      <x:c r="L1111" s="28" t="n">
        <x:v>14</x:v>
      </x:c>
      <x:c r="M1111" s="28" t="n">
        <x:v>0</x:v>
      </x:c>
      <x:c r="N1111" s="28" t="n">
        <x:v>1.862645149230957e-9</x:v>
      </x:c>
      <x:c r="O1111" s="28" t="n">
        <x:v>2.9802322387695312e-8</x:v>
      </x:c>
      <x:c r="P1111" s="28" t="n">
        <x:v>0</x:v>
      </x:c>
      <x:c r="Q1111" s="62" t="b">
        <x:v>1</x:v>
      </x:c>
      <x:c r="R1111" s="28" t="n">
        <x:v>0</x:v>
      </x:c>
      <x:c r="S1111" s="28" t="str">
        <x:v>eaa6dcd13874e07a</x:v>
      </x:c>
    </x:row>
    <x:row r="1112" ht="21" customHeight="1">
      <x:c r="A1112" s="60" t="n">
        <x:v>0.64</x:v>
      </x:c>
      <x:c r="B1112" s="28" t="str">
        <x:v>middle_low</x:v>
      </x:c>
      <x:c r="C1112" s="60" t="n">
        <x:v>0.6</x:v>
      </x:c>
      <x:c r="D1112" s="60" t="n">
        <x:v>0.6</x:v>
      </x:c>
      <x:c r="E1112" s="62" t="b">
        <x:v>1</x:v>
      </x:c>
      <x:c r="F1112" s="62" t="b">
        <x:v>1</x:v>
      </x:c>
      <x:c r="G1112" s="85" t="n">
        <x:v>0</x:v>
      </x:c>
      <x:c r="H1112" s="85" t="n">
        <x:v>0</x:v>
      </x:c>
      <x:c r="I1112" s="85" t="n">
        <x:v>46212471.92574341</x:v>
      </x:c>
      <x:c r="J1112" s="85" t="n">
        <x:v>73454654.07887524</x:v>
      </x:c>
      <x:c r="K1112" s="85" t="n">
        <x:v>8749.471879451652</x:v>
      </x:c>
      <x:c r="L1112" s="28" t="n">
        <x:v>17</x:v>
      </x:c>
      <x:c r="M1112" s="28" t="n">
        <x:v>0</x:v>
      </x:c>
      <x:c r="N1112" s="28" t="n">
        <x:v>1.862645149230957e-9</x:v>
      </x:c>
      <x:c r="O1112" s="28" t="n">
        <x:v>2.9802322387695312e-8</x:v>
      </x:c>
      <x:c r="P1112" s="28" t="n">
        <x:v>0</x:v>
      </x:c>
      <x:c r="Q1112" s="62" t="b">
        <x:v>1</x:v>
      </x:c>
      <x:c r="R1112" s="28" t="n">
        <x:v>0</x:v>
      </x:c>
      <x:c r="S1112" s="28" t="str">
        <x:v>068f8400da91c369</x:v>
      </x:c>
    </x:row>
    <x:row r="1113" ht="21" customHeight="1">
      <x:c r="A1113" s="60" t="n">
        <x:v>0.64</x:v>
      </x:c>
      <x:c r="B1113" s="28" t="str">
        <x:v>middle_low</x:v>
      </x:c>
      <x:c r="C1113" s="60" t="n">
        <x:v>0.65</x:v>
      </x:c>
      <x:c r="D1113" s="60" t="n">
        <x:v>0.65</x:v>
      </x:c>
      <x:c r="E1113" s="62" t="b">
        <x:v>1</x:v>
      </x:c>
      <x:c r="F1113" s="62" t="b">
        <x:v>0</x:v>
      </x:c>
      <x:c r="G1113" s="85" t="n">
        <x:v>324576.6296808576</x:v>
      </x:c>
      <x:c r="H1113" s="85" t="n">
        <x:v>4874858.010799539</x:v>
      </x:c>
      <x:c r="I1113" s="85" t="n">
        <x:v>48672871.98631404</x:v>
      </x:c>
      <x:c r="J1113" s="85" t="n">
        <x:v>78000000</x:v>
      </x:c>
      <x:c r="K1113" s="85" t="n">
        <x:v>0</x:v>
      </x:c>
      <x:c r="L1113" s="28" t="n">
        <x:v>41</x:v>
      </x:c>
      <x:c r="M1113" s="28" t="n">
        <x:v>28</x:v>
      </x:c>
      <x:c r="N1113" s="28" t="n">
        <x:v>1.862645149230957e-9</x:v>
      </x:c>
      <x:c r="O1113" s="28" t="n">
        <x:v>2.9802322387695312e-8</x:v>
      </x:c>
      <x:c r="P1113" s="28" t="n">
        <x:v>0</x:v>
      </x:c>
      <x:c r="Q1113" s="62" t="b">
        <x:v>1</x:v>
      </x:c>
      <x:c r="R1113" s="28" t="n">
        <x:v>0</x:v>
      </x:c>
      <x:c r="S1113" s="28" t="str">
        <x:v>d7b66630666b5102</x:v>
      </x:c>
    </x:row>
    <x:row r="1114" ht="21" customHeight="1">
      <x:c r="A1114" s="60" t="n">
        <x:v>0.64</x:v>
      </x:c>
      <x:c r="B1114" s="28" t="str">
        <x:v>middle_low</x:v>
      </x:c>
      <x:c r="C1114" s="60" t="n">
        <x:v>0.7</x:v>
      </x:c>
      <x:c r="D1114" s="60" t="n">
        <x:v>0.7</x:v>
      </x:c>
      <x:c r="E1114" s="62" t="b">
        <x:v>1</x:v>
      </x:c>
      <x:c r="F1114" s="62" t="b">
        <x:v>0</x:v>
      </x:c>
      <x:c r="G1114" s="85" t="n">
        <x:v>1044497.9772544682</x:v>
      </x:c>
      <x:c r="H1114" s="85" t="n">
        <x:v>15737507.77476255</x:v>
      </x:c>
      <x:c r="I1114" s="85" t="n">
        <x:v>48798883.156810276</x:v>
      </x:c>
      <x:c r="J1114" s="85" t="n">
        <x:v>78000000</x:v>
      </x:c>
      <x:c r="K1114" s="85" t="n">
        <x:v>0</x:v>
      </x:c>
      <x:c r="L1114" s="28" t="n">
        <x:v>41</x:v>
      </x:c>
      <x:c r="M1114" s="28" t="n">
        <x:v>32</x:v>
      </x:c>
      <x:c r="N1114" s="28" t="n">
        <x:v>1.862645149230957e-9</x:v>
      </x:c>
      <x:c r="O1114" s="28" t="n">
        <x:v>1.4901161193847656e-8</x:v>
      </x:c>
      <x:c r="P1114" s="28" t="n">
        <x:v>0</x:v>
      </x:c>
      <x:c r="Q1114" s="62" t="b">
        <x:v>1</x:v>
      </x:c>
      <x:c r="R1114" s="28" t="n">
        <x:v>0</x:v>
      </x:c>
      <x:c r="S1114" s="28" t="str">
        <x:v>887dbe249e59254a</x:v>
      </x:c>
    </x:row>
    <x:row r="1115" ht="21" customHeight="1">
      <x:c r="A1115" s="60" t="n">
        <x:v>0.64</x:v>
      </x:c>
      <x:c r="B1115" s="28" t="str">
        <x:v>middle_low</x:v>
      </x:c>
      <x:c r="C1115" s="60" t="n">
        <x:v>0.75</x:v>
      </x:c>
      <x:c r="D1115" s="60" t="n">
        <x:v>0.75</x:v>
      </x:c>
      <x:c r="E1115" s="62" t="b">
        <x:v>1</x:v>
      </x:c>
      <x:c r="F1115" s="62" t="b">
        <x:v>0</x:v>
      </x:c>
      <x:c r="G1115" s="85" t="n">
        <x:v>1915947.9315659867</x:v>
      </x:c>
      <x:c r="H1115" s="85" t="n">
        <x:v>25566035.35848902</x:v>
      </x:c>
      <x:c r="I1115" s="85" t="n">
        <x:v>49715004.395978004</x:v>
      </x:c>
      <x:c r="J1115" s="85" t="n">
        <x:v>78000000</x:v>
      </x:c>
      <x:c r="K1115" s="85" t="n">
        <x:v>0</x:v>
      </x:c>
      <x:c r="L1115" s="28" t="n">
        <x:v>42</x:v>
      </x:c>
      <x:c r="M1115" s="28" t="n">
        <x:v>34</x:v>
      </x:c>
      <x:c r="N1115" s="28" t="n">
        <x:v>1.862645149230957e-9</x:v>
      </x:c>
      <x:c r="O1115" s="28" t="n">
        <x:v>2.9802322387695312e-8</x:v>
      </x:c>
      <x:c r="P1115" s="28" t="n">
        <x:v>0</x:v>
      </x:c>
      <x:c r="Q1115" s="62" t="b">
        <x:v>1</x:v>
      </x:c>
      <x:c r="R1115" s="28" t="n">
        <x:v>0</x:v>
      </x:c>
      <x:c r="S1115" s="28" t="str">
        <x:v>47214732f87f6186</x:v>
      </x:c>
    </x:row>
    <x:row r="1116" ht="21" customHeight="1">
      <x:c r="A1116" s="60" t="n">
        <x:v>0.64</x:v>
      </x:c>
      <x:c r="B1116" s="28" t="str">
        <x:v>middle_low</x:v>
      </x:c>
      <x:c r="C1116" s="60" t="n">
        <x:v>0.8</x:v>
      </x:c>
      <x:c r="D1116" s="60" t="n">
        <x:v>0.8</x:v>
      </x:c>
      <x:c r="E1116" s="62" t="b">
        <x:v>1</x:v>
      </x:c>
      <x:c r="F1116" s="62" t="b">
        <x:v>0</x:v>
      </x:c>
      <x:c r="G1116" s="85" t="n">
        <x:v>2752279.9884083252</x:v>
      </x:c>
      <x:c r="H1116" s="85" t="n">
        <x:v>36167796.42339659</x:v>
      </x:c>
      <x:c r="I1116" s="85" t="n">
        <x:v>49805171.069499835</x:v>
      </x:c>
      <x:c r="J1116" s="85" t="n">
        <x:v>78000000</x:v>
      </x:c>
      <x:c r="K1116" s="85" t="n">
        <x:v>0</x:v>
      </x:c>
      <x:c r="L1116" s="28" t="n">
        <x:v>42</x:v>
      </x:c>
      <x:c r="M1116" s="28" t="n">
        <x:v>34</x:v>
      </x:c>
      <x:c r="N1116" s="28" t="n">
        <x:v>1.862645149230957e-9</x:v>
      </x:c>
      <x:c r="O1116" s="28" t="n">
        <x:v>1.4901161193847656e-8</x:v>
      </x:c>
      <x:c r="P1116" s="28" t="n">
        <x:v>0</x:v>
      </x:c>
      <x:c r="Q1116" s="62" t="b">
        <x:v>1</x:v>
      </x:c>
      <x:c r="R1116" s="28" t="n">
        <x:v>0</x:v>
      </x:c>
      <x:c r="S1116" s="28" t="str">
        <x:v>f14c12a02d758b8d</x:v>
      </x:c>
    </x:row>
    <x:row r="1117" ht="21" customHeight="1">
      <x:c r="A1117" s="60" t="n">
        <x:v>0.64</x:v>
      </x:c>
      <x:c r="B1117" s="28" t="str">
        <x:v>middle_low</x:v>
      </x:c>
      <x:c r="C1117" s="60" t="n">
        <x:v>0.85</x:v>
      </x:c>
      <x:c r="D1117" s="60" t="n">
        <x:v>0.85</x:v>
      </x:c>
      <x:c r="E1117" s="62" t="b">
        <x:v>1</x:v>
      </x:c>
      <x:c r="F1117" s="62" t="b">
        <x:v>0</x:v>
      </x:c>
      <x:c r="G1117" s="85" t="n">
        <x:v>3710647.6536254357</x:v>
      </x:c>
      <x:c r="H1117" s="85" t="n">
        <x:v>45637136.56660501</x:v>
      </x:c>
      <x:c r="I1117" s="85" t="n">
        <x:v>50784205.63063048</x:v>
      </x:c>
      <x:c r="J1117" s="85" t="n">
        <x:v>78000000</x:v>
      </x:c>
      <x:c r="K1117" s="85" t="n">
        <x:v>0</x:v>
      </x:c>
      <x:c r="L1117" s="28" t="n">
        <x:v>43</x:v>
      </x:c>
      <x:c r="M1117" s="28" t="n">
        <x:v>35</x:v>
      </x:c>
      <x:c r="N1117" s="28" t="n">
        <x:v>1.862645149230957e-9</x:v>
      </x:c>
      <x:c r="O1117" s="28" t="n">
        <x:v>2.9802322387695312e-8</x:v>
      </x:c>
      <x:c r="P1117" s="28" t="n">
        <x:v>0</x:v>
      </x:c>
      <x:c r="Q1117" s="62" t="b">
        <x:v>1</x:v>
      </x:c>
      <x:c r="R1117" s="28" t="n">
        <x:v>0</x:v>
      </x:c>
      <x:c r="S1117" s="28" t="str">
        <x:v>345f38df766e7969</x:v>
      </x:c>
    </x:row>
    <x:row r="1118" ht="21" customHeight="1">
      <x:c r="A1118" s="60" t="n">
        <x:v>0.64</x:v>
      </x:c>
      <x:c r="B1118" s="28" t="str">
        <x:v>middle_low</x:v>
      </x:c>
      <x:c r="C1118" s="60" t="n">
        <x:v>0.9</x:v>
      </x:c>
      <x:c r="D1118" s="60" t="n">
        <x:v>0.9</x:v>
      </x:c>
      <x:c r="E1118" s="62" t="b">
        <x:v>1</x:v>
      </x:c>
      <x:c r="F1118" s="62" t="b">
        <x:v>0</x:v>
      </x:c>
      <x:c r="G1118" s="85" t="n">
        <x:v>4852829.621449338</x:v>
      </x:c>
      <x:c r="H1118" s="85" t="n">
        <x:v>55924694.57336599</x:v>
      </x:c>
      <x:c r="I1118" s="85" t="n">
        <x:v>50842589.052093826</x:v>
      </x:c>
      <x:c r="J1118" s="85" t="n">
        <x:v>78000000</x:v>
      </x:c>
      <x:c r="K1118" s="85" t="n">
        <x:v>0</x:v>
      </x:c>
      <x:c r="L1118" s="28" t="n">
        <x:v>43</x:v>
      </x:c>
      <x:c r="M1118" s="28" t="n">
        <x:v>36</x:v>
      </x:c>
      <x:c r="N1118" s="28" t="n">
        <x:v>1.862645149230957e-9</x:v>
      </x:c>
      <x:c r="O1118" s="28" t="n">
        <x:v>2.9802322387695312e-8</x:v>
      </x:c>
      <x:c r="P1118" s="28" t="n">
        <x:v>0</x:v>
      </x:c>
      <x:c r="Q1118" s="62" t="b">
        <x:v>1</x:v>
      </x:c>
      <x:c r="R1118" s="28" t="n">
        <x:v>0</x:v>
      </x:c>
      <x:c r="S1118" s="28" t="str">
        <x:v>2e3a71fa9b00dd4e</x:v>
      </x:c>
    </x:row>
    <x:row r="1119" ht="21" customHeight="1">
      <x:c r="A1119" s="60" t="n">
        <x:v>0.64</x:v>
      </x:c>
      <x:c r="B1119" s="28" t="str">
        <x:v>middle_low</x:v>
      </x:c>
      <x:c r="C1119" s="60" t="n">
        <x:v>0.95</x:v>
      </x:c>
      <x:c r="D1119" s="60" t="n">
        <x:v>0.9361238209331334</x:v>
      </x:c>
      <x:c r="E1119" s="62" t="b">
        <x:v>0</x:v>
      </x:c>
      <x:c r="F1119" s="62" t="b">
        <x:v>0</x:v>
      </x:c>
      <x:c r="G1119" s="85" t="n">
        <x:v>7060790.745857039</x:v>
      </x:c>
      <x:c r="H1119" s="85" t="n">
        <x:v>61908492.21066609</x:v>
      </x:c>
      <x:c r="I1119" s="85" t="n">
        <x:v>50900972.47355719</x:v>
      </x:c>
      <x:c r="J1119" s="85" t="n">
        <x:v>78000000</x:v>
      </x:c>
      <x:c r="K1119" s="85" t="n">
        <x:v>0</x:v>
      </x:c>
      <x:c r="L1119" s="28" t="n">
        <x:v>43</x:v>
      </x:c>
      <x:c r="M1119" s="28" t="n">
        <x:v>37</x:v>
      </x:c>
      <x:c r="N1119" s="28" t="n">
        <x:v>1.862645149230957e-9</x:v>
      </x:c>
      <x:c r="O1119" s="28" t="n">
        <x:v>1.4901161193847656e-8</x:v>
      </x:c>
      <x:c r="P1119" s="28" t="n">
        <x:v>0</x:v>
      </x:c>
      <x:c r="Q1119" s="62" t="b">
        <x:v>1</x:v>
      </x:c>
      <x:c r="R1119" s="28" t="n">
        <x:v>4162853.720059991</x:v>
      </x:c>
      <x:c r="S1119" s="28" t="str">
        <x:v>0390fd8fdc37bc18</x:v>
      </x:c>
    </x:row>
    <x:row r="1120" ht="21" customHeight="1">
      <x:c r="A1120" s="60" t="n">
        <x:v>0.64</x:v>
      </x:c>
      <x:c r="B1120" s="28" t="str">
        <x:v>middle_low</x:v>
      </x:c>
      <x:c r="C1120" s="60" t="n">
        <x:v>1</x:v>
      </x:c>
      <x:c r="D1120" s="60" t="n">
        <x:v>0.9498342654879072</x:v>
      </x:c>
      <x:c r="E1120" s="62" t="b">
        <x:v>0</x:v>
      </x:c>
      <x:c r="F1120" s="62" t="b">
        <x:v>0</x:v>
      </x:c>
      <x:c r="G1120" s="85" t="n">
        <x:v>7608457.57653564</x:v>
      </x:c>
      <x:c r="H1120" s="85" t="n">
        <x:v>64022108.846520245</x:v>
      </x:c>
      <x:c r="I1120" s="85" t="n">
        <x:v>51774179.536657535</x:v>
      </x:c>
      <x:c r="J1120" s="85" t="n">
        <x:v>78000000</x:v>
      </x:c>
      <x:c r="K1120" s="85" t="n">
        <x:v>0</x:v>
      </x:c>
      <x:c r="L1120" s="28" t="n">
        <x:v>44</x:v>
      </x:c>
      <x:c r="M1120" s="28" t="n">
        <x:v>37</x:v>
      </x:c>
      <x:c r="N1120" s="28" t="n">
        <x:v>1.862645149230957e-9</x:v>
      </x:c>
      <x:c r="O1120" s="28" t="n">
        <x:v>1.4901161193847656e-8</x:v>
      </x:c>
      <x:c r="P1120" s="28" t="n">
        <x:v>0</x:v>
      </x:c>
      <x:c r="Q1120" s="62" t="b">
        <x:v>1</x:v>
      </x:c>
      <x:c r="R1120" s="28" t="n">
        <x:v>15049720.35362786</x:v>
      </x:c>
      <x:c r="S1120" s="28" t="str">
        <x:v>75b55030d128207f</x:v>
      </x:c>
    </x:row>
    <x:row r="1121" ht="21" customHeight="1">
      <x:c r="A1121" s="60" t="n">
        <x:v>0.64</x:v>
      </x:c>
      <x:c r="B1121" s="28" t="str">
        <x:v>middle_high</x:v>
      </x:c>
      <x:c r="C1121" s="60" t="n">
        <x:v>0</x:v>
      </x:c>
      <x:c r="D1121" s="60" t="n">
        <x:v>0</x:v>
      </x:c>
      <x:c r="E1121" s="62" t="b">
        <x:v>1</x:v>
      </x:c>
      <x:c r="F1121" s="62" t="b">
        <x:v>1</x:v>
      </x:c>
      <x:c r="G1121" s="85" t="n">
        <x:v>0</x:v>
      </x:c>
      <x:c r="H1121" s="85" t="n">
        <x:v>0</x:v>
      </x:c>
      <x:c r="I1121" s="85" t="n">
        <x:v>0</x:v>
      </x:c>
      <x:c r="J1121" s="85" t="n">
        <x:v>0</x:v>
      </x:c>
      <x:c r="K1121" s="85" t="n">
        <x:v>37552033.422602706</x:v>
      </x:c>
      <x:c r="L1121" s="28" t="n">
        <x:v>0</x:v>
      </x:c>
      <x:c r="M1121" s="28" t="n">
        <x:v>0</x:v>
      </x:c>
      <x:c r="N1121" s="28" t="n">
        <x:v>3.725290298461914e-9</x:v>
      </x:c>
      <x:c r="O1121" s="28" t="n">
        <x:v>0</x:v>
      </x:c>
      <x:c r="P1121" s="28" t="n">
        <x:v>0</x:v>
      </x:c>
      <x:c r="Q1121" s="62" t="b">
        <x:v>1</x:v>
      </x:c>
      <x:c r="R1121" s="28" t="n">
        <x:v>0</x:v>
      </x:c>
      <x:c r="S1121" s="28" t="str">
        <x:v>429839c29b05d317</x:v>
      </x:c>
    </x:row>
    <x:row r="1122" ht="21" customHeight="1">
      <x:c r="A1122" s="60" t="n">
        <x:v>0.64</x:v>
      </x:c>
      <x:c r="B1122" s="28" t="str">
        <x:v>middle_high</x:v>
      </x:c>
      <x:c r="C1122" s="60" t="n">
        <x:v>0.05</x:v>
      </x:c>
      <x:c r="D1122" s="60" t="n">
        <x:v>0.05</x:v>
      </x:c>
      <x:c r="E1122" s="62" t="b">
        <x:v>1</x:v>
      </x:c>
      <x:c r="F1122" s="62" t="b">
        <x:v>1</x:v>
      </x:c>
      <x:c r="G1122" s="85" t="n">
        <x:v>0</x:v>
      </x:c>
      <x:c r="H1122" s="85" t="n">
        <x:v>0</x:v>
      </x:c>
      <x:c r="I1122" s="85" t="n">
        <x:v>0</x:v>
      </x:c>
      <x:c r="J1122" s="85" t="n">
        <x:v>0</x:v>
      </x:c>
      <x:c r="K1122" s="85" t="n">
        <x:v>24171424.15980065</x:v>
      </x:c>
      <x:c r="L1122" s="28" t="n">
        <x:v>0</x:v>
      </x:c>
      <x:c r="M1122" s="28" t="n">
        <x:v>0</x:v>
      </x:c>
      <x:c r="N1122" s="28" t="n">
        <x:v>3.725290298461914e-9</x:v>
      </x:c>
      <x:c r="O1122" s="28" t="n">
        <x:v>2.9802322387695312e-8</x:v>
      </x:c>
      <x:c r="P1122" s="28" t="n">
        <x:v>0</x:v>
      </x:c>
      <x:c r="Q1122" s="62" t="b">
        <x:v>1</x:v>
      </x:c>
      <x:c r="R1122" s="28" t="n">
        <x:v>0</x:v>
      </x:c>
      <x:c r="S1122" s="28" t="str">
        <x:v>7ddb9ce3d3f895a6</x:v>
      </x:c>
    </x:row>
    <x:row r="1123" ht="21" customHeight="1">
      <x:c r="A1123" s="60" t="n">
        <x:v>0.64</x:v>
      </x:c>
      <x:c r="B1123" s="28" t="str">
        <x:v>middle_high</x:v>
      </x:c>
      <x:c r="C1123" s="60" t="n">
        <x:v>0.1</x:v>
      </x:c>
      <x:c r="D1123" s="60" t="n">
        <x:v>0.1</x:v>
      </x:c>
      <x:c r="E1123" s="62" t="b">
        <x:v>1</x:v>
      </x:c>
      <x:c r="F1123" s="62" t="b">
        <x:v>1</x:v>
      </x:c>
      <x:c r="G1123" s="85" t="n">
        <x:v>0</x:v>
      </x:c>
      <x:c r="H1123" s="85" t="n">
        <x:v>0</x:v>
      </x:c>
      <x:c r="I1123" s="85" t="n">
        <x:v>0</x:v>
      </x:c>
      <x:c r="J1123" s="85" t="n">
        <x:v>0</x:v>
      </x:c>
      <x:c r="K1123" s="85" t="n">
        <x:v>10630035.70574585</x:v>
      </x:c>
      <x:c r="L1123" s="28" t="n">
        <x:v>0</x:v>
      </x:c>
      <x:c r="M1123" s="28" t="n">
        <x:v>0</x:v>
      </x:c>
      <x:c r="N1123" s="28" t="n">
        <x:v>3.725290298461914e-9</x:v>
      </x:c>
      <x:c r="O1123" s="28" t="n">
        <x:v>5.960464477539063e-8</x:v>
      </x:c>
      <x:c r="P1123" s="28" t="n">
        <x:v>0</x:v>
      </x:c>
      <x:c r="Q1123" s="62" t="b">
        <x:v>1</x:v>
      </x:c>
      <x:c r="R1123" s="28" t="n">
        <x:v>0</x:v>
      </x:c>
      <x:c r="S1123" s="28" t="str">
        <x:v>1db6bc02e175beb3</x:v>
      </x:c>
    </x:row>
    <x:row r="1124" ht="21" customHeight="1">
      <x:c r="A1124" s="60" t="n">
        <x:v>0.64</x:v>
      </x:c>
      <x:c r="B1124" s="28" t="str">
        <x:v>middle_high</x:v>
      </x:c>
      <x:c r="C1124" s="60" t="n">
        <x:v>0.15</x:v>
      </x:c>
      <x:c r="D1124" s="60" t="n">
        <x:v>0.15</x:v>
      </x:c>
      <x:c r="E1124" s="62" t="b">
        <x:v>1</x:v>
      </x:c>
      <x:c r="F1124" s="62" t="b">
        <x:v>1</x:v>
      </x:c>
      <x:c r="G1124" s="85" t="n">
        <x:v>0</x:v>
      </x:c>
      <x:c r="H1124" s="85" t="n">
        <x:v>0</x:v>
      </x:c>
      <x:c r="I1124" s="85" t="n">
        <x:v>4069712.601035732</x:v>
      </x:c>
      <x:c r="J1124" s="85" t="n">
        <x:v>0</x:v>
      </x:c>
      <x:c r="K1124" s="85" t="n">
        <x:v>1957281.6579390594</x:v>
      </x:c>
      <x:c r="L1124" s="28" t="n">
        <x:v>0</x:v>
      </x:c>
      <x:c r="M1124" s="28" t="n">
        <x:v>0</x:v>
      </x:c>
      <x:c r="N1124" s="28" t="n">
        <x:v>3.725290298461914e-9</x:v>
      </x:c>
      <x:c r="O1124" s="28" t="n">
        <x:v>2.9802322387695312e-8</x:v>
      </x:c>
      <x:c r="P1124" s="28" t="n">
        <x:v>0</x:v>
      </x:c>
      <x:c r="Q1124" s="62" t="b">
        <x:v>1</x:v>
      </x:c>
      <x:c r="R1124" s="28" t="n">
        <x:v>0</x:v>
      </x:c>
      <x:c r="S1124" s="28" t="str">
        <x:v>58ffc4be450db456</x:v>
      </x:c>
    </x:row>
    <x:row r="1125" ht="21" customHeight="1">
      <x:c r="A1125" s="60" t="n">
        <x:v>0.64</x:v>
      </x:c>
      <x:c r="B1125" s="28" t="str">
        <x:v>middle_high</x:v>
      </x:c>
      <x:c r="C1125" s="60" t="n">
        <x:v>0.2</x:v>
      </x:c>
      <x:c r="D1125" s="60" t="n">
        <x:v>0.2</x:v>
      </x:c>
      <x:c r="E1125" s="62" t="b">
        <x:v>1</x:v>
      </x:c>
      <x:c r="F1125" s="62" t="b">
        <x:v>1</x:v>
      </x:c>
      <x:c r="G1125" s="85" t="n">
        <x:v>0</x:v>
      </x:c>
      <x:c r="H1125" s="85" t="n">
        <x:v>0</x:v>
      </x:c>
      <x:c r="I1125" s="85" t="n">
        <x:v>14549729.46213417</x:v>
      </x:c>
      <x:c r="J1125" s="85" t="n">
        <x:v>6318282.052720856</x:v>
      </x:c>
      <x:c r="K1125" s="85" t="n">
        <x:v>1471728.4658365515</x:v>
      </x:c>
      <x:c r="L1125" s="28" t="n">
        <x:v>0</x:v>
      </x:c>
      <x:c r="M1125" s="28" t="n">
        <x:v>0</x:v>
      </x:c>
      <x:c r="N1125" s="28" t="n">
        <x:v>3.725290298461914e-9</x:v>
      </x:c>
      <x:c r="O1125" s="28" t="n">
        <x:v>2.9802322387695312e-8</x:v>
      </x:c>
      <x:c r="P1125" s="28" t="n">
        <x:v>0</x:v>
      </x:c>
      <x:c r="Q1125" s="62" t="b">
        <x:v>1</x:v>
      </x:c>
      <x:c r="R1125" s="28" t="n">
        <x:v>0</x:v>
      </x:c>
      <x:c r="S1125" s="28" t="str">
        <x:v>efb13188cbdfd068</x:v>
      </x:c>
    </x:row>
    <x:row r="1126" ht="21" customHeight="1">
      <x:c r="A1126" s="60" t="n">
        <x:v>0.64</x:v>
      </x:c>
      <x:c r="B1126" s="28" t="str">
        <x:v>middle_high</x:v>
      </x:c>
      <x:c r="C1126" s="60" t="n">
        <x:v>0.25</x:v>
      </x:c>
      <x:c r="D1126" s="60" t="n">
        <x:v>0.25</x:v>
      </x:c>
      <x:c r="E1126" s="62" t="b">
        <x:v>1</x:v>
      </x:c>
      <x:c r="F1126" s="62" t="b">
        <x:v>1</x:v>
      </x:c>
      <x:c r="G1126" s="85" t="n">
        <x:v>0</x:v>
      </x:c>
      <x:c r="H1126" s="85" t="n">
        <x:v>0</x:v>
      </x:c>
      <x:c r="I1126" s="85" t="n">
        <x:v>23575362.75729096</x:v>
      </x:c>
      <x:c r="J1126" s="85" t="n">
        <x:v>15397852.565901024</x:v>
      </x:c>
      <x:c r="K1126" s="85" t="n">
        <x:v>1160536.1704312994</x:v>
      </x:c>
      <x:c r="L1126" s="28" t="n">
        <x:v>0</x:v>
      </x:c>
      <x:c r="M1126" s="28" t="n">
        <x:v>0</x:v>
      </x:c>
      <x:c r="N1126" s="28" t="n">
        <x:v>3.725290298461914e-9</x:v>
      </x:c>
      <x:c r="O1126" s="28" t="n">
        <x:v>2.9802322387695312e-8</x:v>
      </x:c>
      <x:c r="P1126" s="28" t="n">
        <x:v>0</x:v>
      </x:c>
      <x:c r="Q1126" s="62" t="b">
        <x:v>1</x:v>
      </x:c>
      <x:c r="R1126" s="28" t="n">
        <x:v>0</x:v>
      </x:c>
      <x:c r="S1126" s="28" t="str">
        <x:v>34a54eaf3687e871</x:v>
      </x:c>
    </x:row>
    <x:row r="1127" ht="21" customHeight="1">
      <x:c r="A1127" s="60" t="n">
        <x:v>0.64</x:v>
      </x:c>
      <x:c r="B1127" s="28" t="str">
        <x:v>middle_high</x:v>
      </x:c>
      <x:c r="C1127" s="60" t="n">
        <x:v>0.3</x:v>
      </x:c>
      <x:c r="D1127" s="60" t="n">
        <x:v>0.3</x:v>
      </x:c>
      <x:c r="E1127" s="62" t="b">
        <x:v>1</x:v>
      </x:c>
      <x:c r="F1127" s="62" t="b">
        <x:v>1</x:v>
      </x:c>
      <x:c r="G1127" s="85" t="n">
        <x:v>0</x:v>
      </x:c>
      <x:c r="H1127" s="85" t="n">
        <x:v>0</x:v>
      </x:c>
      <x:c r="I1127" s="85" t="n">
        <x:v>32772910.063389264</x:v>
      </x:c>
      <x:c r="J1127" s="85" t="n">
        <x:v>24477423.079081103</x:v>
      </x:c>
      <x:c r="K1127" s="85" t="n">
        <x:v>935903.1714630235</x:v>
      </x:c>
      <x:c r="L1127" s="28" t="n">
        <x:v>0</x:v>
      </x:c>
      <x:c r="M1127" s="28" t="n">
        <x:v>0</x:v>
      </x:c>
      <x:c r="N1127" s="28" t="n">
        <x:v>3.725290298461914e-9</x:v>
      </x:c>
      <x:c r="O1127" s="28" t="n">
        <x:v>2.9802322387695312e-8</x:v>
      </x:c>
      <x:c r="P1127" s="28" t="n">
        <x:v>0</x:v>
      </x:c>
      <x:c r="Q1127" s="62" t="b">
        <x:v>1</x:v>
      </x:c>
      <x:c r="R1127" s="28" t="n">
        <x:v>0</x:v>
      </x:c>
      <x:c r="S1127" s="28" t="str">
        <x:v>e22119e823706cae</x:v>
      </x:c>
    </x:row>
    <x:row r="1128" ht="21" customHeight="1">
      <x:c r="A1128" s="60" t="n">
        <x:v>0.64</x:v>
      </x:c>
      <x:c r="B1128" s="28" t="str">
        <x:v>middle_high</x:v>
      </x:c>
      <x:c r="C1128" s="60" t="n">
        <x:v>0.35</x:v>
      </x:c>
      <x:c r="D1128" s="60" t="n">
        <x:v>0.35</x:v>
      </x:c>
      <x:c r="E1128" s="62" t="b">
        <x:v>1</x:v>
      </x:c>
      <x:c r="F1128" s="62" t="b">
        <x:v>1</x:v>
      </x:c>
      <x:c r="G1128" s="85" t="n">
        <x:v>0</x:v>
      </x:c>
      <x:c r="H1128" s="85" t="n">
        <x:v>0</x:v>
      </x:c>
      <x:c r="I1128" s="85" t="n">
        <x:v>41960101.10100892</x:v>
      </x:c>
      <x:c r="J1128" s="85" t="n">
        <x:v>33556993.59226131</x:v>
      </x:c>
      <x:c r="K1128" s="85" t="n">
        <x:v>807781.1167068367</x:v>
      </x:c>
      <x:c r="L1128" s="28" t="n">
        <x:v>0</x:v>
      </x:c>
      <x:c r="M1128" s="28" t="n">
        <x:v>0</x:v>
      </x:c>
      <x:c r="N1128" s="28" t="n">
        <x:v>1.862645149230957e-9</x:v>
      </x:c>
      <x:c r="O1128" s="28" t="n">
        <x:v>2.9802322387695312e-8</x:v>
      </x:c>
      <x:c r="P1128" s="28" t="n">
        <x:v>0</x:v>
      </x:c>
      <x:c r="Q1128" s="62" t="b">
        <x:v>1</x:v>
      </x:c>
      <x:c r="R1128" s="28" t="n">
        <x:v>0</x:v>
      </x:c>
      <x:c r="S1128" s="28" t="str">
        <x:v>e60876fbbe55d992</x:v>
      </x:c>
    </x:row>
    <x:row r="1129" ht="21" customHeight="1">
      <x:c r="A1129" s="60" t="n">
        <x:v>0.64</x:v>
      </x:c>
      <x:c r="B1129" s="28" t="str">
        <x:v>middle_high</x:v>
      </x:c>
      <x:c r="C1129" s="60" t="n">
        <x:v>0.4</x:v>
      </x:c>
      <x:c r="D1129" s="60" t="n">
        <x:v>0.4</x:v>
      </x:c>
      <x:c r="E1129" s="62" t="b">
        <x:v>1</x:v>
      </x:c>
      <x:c r="F1129" s="62" t="b">
        <x:v>1</x:v>
      </x:c>
      <x:c r="G1129" s="85" t="n">
        <x:v>0</x:v>
      </x:c>
      <x:c r="H1129" s="85" t="n">
        <x:v>0</x:v>
      </x:c>
      <x:c r="I1129" s="85" t="n">
        <x:v>51295421.604875535</x:v>
      </x:c>
      <x:c r="J1129" s="85" t="n">
        <x:v>42636564.10544153</x:v>
      </x:c>
      <x:c r="K1129" s="85" t="n">
        <x:v>679659.0619506768</x:v>
      </x:c>
      <x:c r="L1129" s="28" t="n">
        <x:v>0</x:v>
      </x:c>
      <x:c r="M1129" s="28" t="n">
        <x:v>0</x:v>
      </x:c>
      <x:c r="N1129" s="28" t="n">
        <x:v>1.862645149230957e-9</x:v>
      </x:c>
      <x:c r="O1129" s="28" t="n">
        <x:v>2.9802322387695312e-8</x:v>
      </x:c>
      <x:c r="P1129" s="28" t="n">
        <x:v>0</x:v>
      </x:c>
      <x:c r="Q1129" s="62" t="b">
        <x:v>1</x:v>
      </x:c>
      <x:c r="R1129" s="28" t="n">
        <x:v>0</x:v>
      </x:c>
      <x:c r="S1129" s="28" t="str">
        <x:v>15793b6a4f78554d</x:v>
      </x:c>
    </x:row>
    <x:row r="1130" ht="21" customHeight="1">
      <x:c r="A1130" s="60" t="n">
        <x:v>0.64</x:v>
      </x:c>
      <x:c r="B1130" s="28" t="str">
        <x:v>middle_high</x:v>
      </x:c>
      <x:c r="C1130" s="60" t="n">
        <x:v>0.45</x:v>
      </x:c>
      <x:c r="D1130" s="60" t="n">
        <x:v>0.45</x:v>
      </x:c>
      <x:c r="E1130" s="62" t="b">
        <x:v>1</x:v>
      </x:c>
      <x:c r="F1130" s="62" t="b">
        <x:v>1</x:v>
      </x:c>
      <x:c r="G1130" s="85" t="n">
        <x:v>0</x:v>
      </x:c>
      <x:c r="H1130" s="85" t="n">
        <x:v>0</x:v>
      </x:c>
      <x:c r="I1130" s="85" t="n">
        <x:v>61298281.46347176</x:v>
      </x:c>
      <x:c r="J1130" s="85" t="n">
        <x:v>46653677.418796815</x:v>
      </x:c>
      <x:c r="K1130" s="85" t="n">
        <x:v>551537.007194517</x:v>
      </x:c>
      <x:c r="L1130" s="28" t="n">
        <x:v>5</x:v>
      </x:c>
      <x:c r="M1130" s="28" t="n">
        <x:v>0</x:v>
      </x:c>
      <x:c r="N1130" s="28" t="n">
        <x:v>3.725290298461914e-9</x:v>
      </x:c>
      <x:c r="O1130" s="28" t="n">
        <x:v>2.9802322387695312e-8</x:v>
      </x:c>
      <x:c r="P1130" s="28" t="n">
        <x:v>0</x:v>
      </x:c>
      <x:c r="Q1130" s="62" t="b">
        <x:v>1</x:v>
      </x:c>
      <x:c r="R1130" s="28" t="n">
        <x:v>0</x:v>
      </x:c>
      <x:c r="S1130" s="28" t="str">
        <x:v>0db9bf96e0abdd4b</x:v>
      </x:c>
    </x:row>
    <x:row r="1131" ht="21" customHeight="1">
      <x:c r="A1131" s="60" t="n">
        <x:v>0.64</x:v>
      </x:c>
      <x:c r="B1131" s="28" t="str">
        <x:v>middle_high</x:v>
      </x:c>
      <x:c r="C1131" s="60" t="n">
        <x:v>0.5</x:v>
      </x:c>
      <x:c r="D1131" s="60" t="n">
        <x:v>0.5</x:v>
      </x:c>
      <x:c r="E1131" s="62" t="b">
        <x:v>1</x:v>
      </x:c>
      <x:c r="F1131" s="62" t="b">
        <x:v>1</x:v>
      </x:c>
      <x:c r="G1131" s="85" t="n">
        <x:v>0</x:v>
      </x:c>
      <x:c r="H1131" s="85" t="n">
        <x:v>0</x:v>
      </x:c>
      <x:c r="I1131" s="85" t="n">
        <x:v>70974022.88027908</x:v>
      </x:c>
      <x:c r="J1131" s="85" t="n">
        <x:v>53592645.05274928</x:v>
      </x:c>
      <x:c r="K1131" s="85" t="n">
        <x:v>458436.5092602733</x:v>
      </x:c>
      <x:c r="L1131" s="28" t="n">
        <x:v>10</x:v>
      </x:c>
      <x:c r="M1131" s="28" t="n">
        <x:v>0</x:v>
      </x:c>
      <x:c r="N1131" s="28" t="n">
        <x:v>3.725290298461914e-9</x:v>
      </x:c>
      <x:c r="O1131" s="28" t="n">
        <x:v>1.4901161193847656e-8</x:v>
      </x:c>
      <x:c r="P1131" s="28" t="n">
        <x:v>0</x:v>
      </x:c>
      <x:c r="Q1131" s="62" t="b">
        <x:v>1</x:v>
      </x:c>
      <x:c r="R1131" s="28" t="n">
        <x:v>0</x:v>
      </x:c>
      <x:c r="S1131" s="28" t="str">
        <x:v>f1acf39595a97f18</x:v>
      </x:c>
    </x:row>
    <x:row r="1132" ht="21" customHeight="1">
      <x:c r="A1132" s="60" t="n">
        <x:v>0.64</x:v>
      </x:c>
      <x:c r="B1132" s="28" t="str">
        <x:v>middle_high</x:v>
      </x:c>
      <x:c r="C1132" s="60" t="n">
        <x:v>0.55</x:v>
      </x:c>
      <x:c r="D1132" s="60" t="n">
        <x:v>0.55</x:v>
      </x:c>
      <x:c r="E1132" s="62" t="b">
        <x:v>1</x:v>
      </x:c>
      <x:c r="F1132" s="62" t="b">
        <x:v>1</x:v>
      </x:c>
      <x:c r="G1132" s="85" t="n">
        <x:v>0</x:v>
      </x:c>
      <x:c r="H1132" s="85" t="n">
        <x:v>0</x:v>
      </x:c>
      <x:c r="I1132" s="85" t="n">
        <x:v>80104636.69815207</x:v>
      </x:c>
      <x:c r="J1132" s="85" t="n">
        <x:v>62744566.571615644</x:v>
      </x:c>
      <x:c r="K1132" s="85" t="n">
        <x:v>419748.9203232869</x:v>
      </x:c>
      <x:c r="L1132" s="28" t="n">
        <x:v>13</x:v>
      </x:c>
      <x:c r="M1132" s="28" t="n">
        <x:v>5</x:v>
      </x:c>
      <x:c r="N1132" s="28" t="n">
        <x:v>1.862645149230957e-9</x:v>
      </x:c>
      <x:c r="O1132" s="28" t="n">
        <x:v>2.9802322387695312e-8</x:v>
      </x:c>
      <x:c r="P1132" s="28" t="n">
        <x:v>0</x:v>
      </x:c>
      <x:c r="Q1132" s="62" t="b">
        <x:v>1</x:v>
      </x:c>
      <x:c r="R1132" s="28" t="n">
        <x:v>0</x:v>
      </x:c>
      <x:c r="S1132" s="28" t="str">
        <x:v>ed3620adb2be677d</x:v>
      </x:c>
    </x:row>
    <x:row r="1133" ht="21" customHeight="1">
      <x:c r="A1133" s="60" t="n">
        <x:v>0.64</x:v>
      </x:c>
      <x:c r="B1133" s="28" t="str">
        <x:v>middle_high</x:v>
      </x:c>
      <x:c r="C1133" s="60" t="n">
        <x:v>0.6</x:v>
      </x:c>
      <x:c r="D1133" s="60" t="n">
        <x:v>0.6</x:v>
      </x:c>
      <x:c r="E1133" s="62" t="b">
        <x:v>1</x:v>
      </x:c>
      <x:c r="F1133" s="62" t="b">
        <x:v>1</x:v>
      </x:c>
      <x:c r="G1133" s="85" t="n">
        <x:v>0</x:v>
      </x:c>
      <x:c r="H1133" s="85" t="n">
        <x:v>0</x:v>
      </x:c>
      <x:c r="I1133" s="85" t="n">
        <x:v>88890919.89108235</x:v>
      </x:c>
      <x:c r="J1133" s="85" t="n">
        <x:v>72872440.1277679</x:v>
      </x:c>
      <x:c r="K1133" s="85" t="n">
        <x:v>381061.3313863006</x:v>
      </x:c>
      <x:c r="L1133" s="28" t="n">
        <x:v>17</x:v>
      </x:c>
      <x:c r="M1133" s="28" t="n">
        <x:v>10</x:v>
      </x:c>
      <x:c r="N1133" s="28" t="n">
        <x:v>1.862645149230957e-9</x:v>
      </x:c>
      <x:c r="O1133" s="28" t="n">
        <x:v>2.9802322387695312e-8</x:v>
      </x:c>
      <x:c r="P1133" s="28" t="n">
        <x:v>0</x:v>
      </x:c>
      <x:c r="Q1133" s="62" t="b">
        <x:v>1</x:v>
      </x:c>
      <x:c r="R1133" s="28" t="n">
        <x:v>0</x:v>
      </x:c>
      <x:c r="S1133" s="28" t="str">
        <x:v>206898eb5f8e7da5</x:v>
      </x:c>
    </x:row>
    <x:row r="1134" ht="21" customHeight="1">
      <x:c r="A1134" s="60" t="n">
        <x:v>0.64</x:v>
      </x:c>
      <x:c r="B1134" s="28" t="str">
        <x:v>middle_high</x:v>
      </x:c>
      <x:c r="C1134" s="60" t="n">
        <x:v>0.65</x:v>
      </x:c>
      <x:c r="D1134" s="60" t="n">
        <x:v>0.65</x:v>
      </x:c>
      <x:c r="E1134" s="62" t="b">
        <x:v>1</x:v>
      </x:c>
      <x:c r="F1134" s="62" t="b">
        <x:v>0</x:v>
      </x:c>
      <x:c r="G1134" s="85" t="n">
        <x:v>1766547.771377637</x:v>
      </x:c>
      <x:c r="H1134" s="85" t="n">
        <x:v>6856728.364374432</x:v>
      </x:c>
      <x:c r="I1134" s="85" t="n">
        <x:v>93790897.82819417</x:v>
      </x:c>
      <x:c r="J1134" s="85" t="n">
        <x:v>78000000</x:v>
      </x:c>
      <x:c r="K1134" s="85" t="n">
        <x:v>342373.7424493133</x:v>
      </x:c>
      <x:c r="L1134" s="28" t="n">
        <x:v>41</x:v>
      </x:c>
      <x:c r="M1134" s="28" t="n">
        <x:v>36</x:v>
      </x:c>
      <x:c r="N1134" s="28" t="n">
        <x:v>1.862645149230957e-9</x:v>
      </x:c>
      <x:c r="O1134" s="28" t="n">
        <x:v>2.9802322387695312e-8</x:v>
      </x:c>
      <x:c r="P1134" s="28" t="n">
        <x:v>0</x:v>
      </x:c>
      <x:c r="Q1134" s="62" t="b">
        <x:v>1</x:v>
      </x:c>
      <x:c r="R1134" s="28" t="n">
        <x:v>0</x:v>
      </x:c>
      <x:c r="S1134" s="28" t="str">
        <x:v>4a97ff5d1cfcee37</x:v>
      </x:c>
    </x:row>
    <x:row r="1135" ht="21" customHeight="1">
      <x:c r="A1135" s="60" t="n">
        <x:v>0.64</x:v>
      </x:c>
      <x:c r="B1135" s="28" t="str">
        <x:v>middle_high</x:v>
      </x:c>
      <x:c r="C1135" s="60" t="n">
        <x:v>0.7</x:v>
      </x:c>
      <x:c r="D1135" s="60" t="n">
        <x:v>0.7</x:v>
      </x:c>
      <x:c r="E1135" s="62" t="b">
        <x:v>1</x:v>
      </x:c>
      <x:c r="F1135" s="62" t="b">
        <x:v>0</x:v>
      </x:c>
      <x:c r="G1135" s="85" t="n">
        <x:v>6403994.8817390185</x:v>
      </x:c>
      <x:c r="H1135" s="85" t="n">
        <x:v>21367026.249004256</x:v>
      </x:c>
      <x:c r="I1135" s="85" t="n">
        <x:v>94131350.51866645</x:v>
      </x:c>
      <x:c r="J1135" s="85" t="n">
        <x:v>78000000</x:v>
      </x:c>
      <x:c r="K1135" s="85" t="n">
        <x:v>303686.153512327</x:v>
      </x:c>
      <x:c r="L1135" s="28" t="n">
        <x:v>41</x:v>
      </x:c>
      <x:c r="M1135" s="28" t="n">
        <x:v>38</x:v>
      </x:c>
      <x:c r="N1135" s="28" t="n">
        <x:v>1.862645149230957e-9</x:v>
      </x:c>
      <x:c r="O1135" s="28" t="n">
        <x:v>1.4901161193847656e-8</x:v>
      </x:c>
      <x:c r="P1135" s="28" t="n">
        <x:v>0</x:v>
      </x:c>
      <x:c r="Q1135" s="62" t="b">
        <x:v>1</x:v>
      </x:c>
      <x:c r="R1135" s="28" t="n">
        <x:v>0</x:v>
      </x:c>
      <x:c r="S1135" s="28" t="str">
        <x:v>3d5222e1fdccbdb7</x:v>
      </x:c>
    </x:row>
    <x:row r="1136" ht="21" customHeight="1">
      <x:c r="A1136" s="60" t="n">
        <x:v>0.64</x:v>
      </x:c>
      <x:c r="B1136" s="28" t="str">
        <x:v>middle_high</x:v>
      </x:c>
      <x:c r="C1136" s="60" t="n">
        <x:v>0.75</x:v>
      </x:c>
      <x:c r="D1136" s="60" t="n">
        <x:v>0.75</x:v>
      </x:c>
      <x:c r="E1136" s="62" t="b">
        <x:v>1</x:v>
      </x:c>
      <x:c r="F1136" s="62" t="b">
        <x:v>0</x:v>
      </x:c>
      <x:c r="G1136" s="85" t="n">
        <x:v>10741541.974975932</x:v>
      </x:c>
      <x:c r="H1136" s="85" t="n">
        <x:v>33241588.73061186</x:v>
      </x:c>
      <x:c r="I1136" s="85" t="n">
        <x:v>95761185.13752802</x:v>
      </x:c>
      <x:c r="J1136" s="85" t="n">
        <x:v>78000000</x:v>
      </x:c>
      <x:c r="K1136" s="85" t="n">
        <x:v>264998.5645753416</x:v>
      </x:c>
      <x:c r="L1136" s="28" t="n">
        <x:v>42</x:v>
      </x:c>
      <x:c r="M1136" s="28" t="n">
        <x:v>38</x:v>
      </x:c>
      <x:c r="N1136" s="28" t="n">
        <x:v>3.725290298461914e-9</x:v>
      </x:c>
      <x:c r="O1136" s="28" t="n">
        <x:v>2.9802322387695312e-8</x:v>
      </x:c>
      <x:c r="P1136" s="28" t="n">
        <x:v>0</x:v>
      </x:c>
      <x:c r="Q1136" s="62" t="b">
        <x:v>1</x:v>
      </x:c>
      <x:c r="R1136" s="28" t="n">
        <x:v>0</x:v>
      </x:c>
      <x:c r="S1136" s="28" t="str">
        <x:v>ba1dbb36787e34be</x:v>
      </x:c>
    </x:row>
    <x:row r="1137" ht="21" customHeight="1">
      <x:c r="A1137" s="60" t="n">
        <x:v>0.64</x:v>
      </x:c>
      <x:c r="B1137" s="28" t="str">
        <x:v>middle_high</x:v>
      </x:c>
      <x:c r="C1137" s="60" t="n">
        <x:v>0.8</x:v>
      </x:c>
      <x:c r="D1137" s="60" t="n">
        <x:v>0.8</x:v>
      </x:c>
      <x:c r="E1137" s="62" t="b">
        <x:v>1</x:v>
      </x:c>
      <x:c r="F1137" s="62" t="b">
        <x:v>0</x:v>
      </x:c>
      <x:c r="G1137" s="85" t="n">
        <x:v>15534226.25838922</x:v>
      </x:c>
      <x:c r="H1137" s="85" t="n">
        <x:v>47115173.86166651</x:v>
      </x:c>
      <x:c r="I1137" s="85" t="n">
        <x:v>96004565.80751847</x:v>
      </x:c>
      <x:c r="J1137" s="85" t="n">
        <x:v>78000000</x:v>
      </x:c>
      <x:c r="K1137" s="85" t="n">
        <x:v>226310.97563835245</x:v>
      </x:c>
      <x:c r="L1137" s="28" t="n">
        <x:v>42</x:v>
      </x:c>
      <x:c r="M1137" s="28" t="n">
        <x:v>39</x:v>
      </x:c>
      <x:c r="N1137" s="28" t="n">
        <x:v>1.862645149230957e-9</x:v>
      </x:c>
      <x:c r="O1137" s="28" t="n">
        <x:v>1.4901161193847656e-8</x:v>
      </x:c>
      <x:c r="P1137" s="28" t="n">
        <x:v>0</x:v>
      </x:c>
      <x:c r="Q1137" s="62" t="b">
        <x:v>1</x:v>
      </x:c>
      <x:c r="R1137" s="28" t="n">
        <x:v>0</x:v>
      </x:c>
      <x:c r="S1137" s="28" t="str">
        <x:v>5382a6ccb18f152e</x:v>
      </x:c>
    </x:row>
    <x:row r="1138" ht="21" customHeight="1">
      <x:c r="A1138" s="60" t="n">
        <x:v>0.64</x:v>
      </x:c>
      <x:c r="B1138" s="28" t="str">
        <x:v>middle_high</x:v>
      </x:c>
      <x:c r="C1138" s="60" t="n">
        <x:v>0.85</x:v>
      </x:c>
      <x:c r="D1138" s="60" t="n">
        <x:v>0.85</x:v>
      </x:c>
      <x:c r="E1138" s="62" t="b">
        <x:v>1</x:v>
      </x:c>
      <x:c r="F1138" s="62" t="b">
        <x:v>0</x:v>
      </x:c>
      <x:c r="G1138" s="85" t="n">
        <x:v>20672230.32590097</x:v>
      </x:c>
      <x:c r="H1138" s="85" t="n">
        <x:v>57950236.796644755</x:v>
      </x:c>
      <x:c r="I1138" s="85" t="n">
        <x:v>97651323.18681884</x:v>
      </x:c>
      <x:c r="J1138" s="85" t="n">
        <x:v>78000000</x:v>
      </x:c>
      <x:c r="K1138" s="85" t="n">
        <x:v>187623.38670136983</x:v>
      </x:c>
      <x:c r="L1138" s="28" t="n">
        <x:v>43</x:v>
      </x:c>
      <x:c r="M1138" s="28" t="n">
        <x:v>40</x:v>
      </x:c>
      <x:c r="N1138" s="28" t="n">
        <x:v>1.862645149230957e-9</x:v>
      </x:c>
      <x:c r="O1138" s="28" t="n">
        <x:v>2.9802322387695312e-8</x:v>
      </x:c>
      <x:c r="P1138" s="28" t="n">
        <x:v>0</x:v>
      </x:c>
      <x:c r="Q1138" s="62" t="b">
        <x:v>1</x:v>
      </x:c>
      <x:c r="R1138" s="28" t="n">
        <x:v>0</x:v>
      </x:c>
      <x:c r="S1138" s="28" t="str">
        <x:v>5f36177ca275564e</x:v>
      </x:c>
    </x:row>
    <x:row r="1139" ht="21" customHeight="1">
      <x:c r="A1139" s="60" t="n">
        <x:v>0.64</x:v>
      </x:c>
      <x:c r="B1139" s="28" t="str">
        <x:v>middle_high</x:v>
      </x:c>
      <x:c r="C1139" s="60" t="n">
        <x:v>0.9</x:v>
      </x:c>
      <x:c r="D1139" s="60" t="n">
        <x:v>0.9</x:v>
      </x:c>
      <x:c r="E1139" s="62" t="b">
        <x:v>1</x:v>
      </x:c>
      <x:c r="F1139" s="62" t="b">
        <x:v>0</x:v>
      </x:c>
      <x:c r="G1139" s="85" t="n">
        <x:v>29392266.392956555</x:v>
      </x:c>
      <x:c r="H1139" s="85" t="n">
        <x:v>67674700.26644106</x:v>
      </x:c>
      <x:c r="I1139" s="85" t="n">
        <x:v>97810699.05921027</x:v>
      </x:c>
      <x:c r="J1139" s="85" t="n">
        <x:v>78000000</x:v>
      </x:c>
      <x:c r="K1139" s="85" t="n">
        <x:v>148935.79776438442</x:v>
      </x:c>
      <x:c r="L1139" s="28" t="n">
        <x:v>43</x:v>
      </x:c>
      <x:c r="M1139" s="28" t="n">
        <x:v>40</x:v>
      </x:c>
      <x:c r="N1139" s="28" t="n">
        <x:v>1.862645149230957e-9</x:v>
      </x:c>
      <x:c r="O1139" s="28" t="n">
        <x:v>2.9802322387695312e-8</x:v>
      </x:c>
      <x:c r="P1139" s="28" t="n">
        <x:v>0</x:v>
      </x:c>
      <x:c r="Q1139" s="62" t="b">
        <x:v>1</x:v>
      </x:c>
      <x:c r="R1139" s="28" t="n">
        <x:v>0</x:v>
      </x:c>
      <x:c r="S1139" s="28" t="str">
        <x:v>22bd92a4b347e15a</x:v>
      </x:c>
    </x:row>
    <x:row r="1140" ht="21" customHeight="1">
      <x:c r="A1140" s="60" t="n">
        <x:v>0.64</x:v>
      </x:c>
      <x:c r="B1140" s="28" t="str">
        <x:v>middle_high</x:v>
      </x:c>
      <x:c r="C1140" s="60" t="n">
        <x:v>0.95</x:v>
      </x:c>
      <x:c r="D1140" s="60" t="n">
        <x:v>0.9361238209331334</x:v>
      </x:c>
      <x:c r="E1140" s="62" t="b">
        <x:v>0</x:v>
      </x:c>
      <x:c r="F1140" s="62" t="b">
        <x:v>0</x:v>
      </x:c>
      <x:c r="G1140" s="85" t="n">
        <x:v>33295031.89887211</x:v>
      </x:c>
      <x:c r="H1140" s="85" t="n">
        <x:v>74954584.74526206</x:v>
      </x:c>
      <x:c r="I1140" s="85" t="n">
        <x:v>97970074.93160172</x:v>
      </x:c>
      <x:c r="J1140" s="85" t="n">
        <x:v>78000000</x:v>
      </x:c>
      <x:c r="K1140" s="85" t="n">
        <x:v>118013.60367122645</x:v>
      </x:c>
      <x:c r="L1140" s="28" t="n">
        <x:v>43</x:v>
      </x:c>
      <x:c r="M1140" s="28" t="n">
        <x:v>40</x:v>
      </x:c>
      <x:c r="N1140" s="28" t="n">
        <x:v>1.862645149230957e-9</x:v>
      </x:c>
      <x:c r="O1140" s="28" t="n">
        <x:v>1.4901161193847656e-8</x:v>
      </x:c>
      <x:c r="P1140" s="28" t="n">
        <x:v>0</x:v>
      </x:c>
      <x:c r="Q1140" s="62" t="b">
        <x:v>1</x:v>
      </x:c>
      <x:c r="R1140" s="28" t="n">
        <x:v>4162853.720059991</x:v>
      </x:c>
      <x:c r="S1140" s="28" t="str">
        <x:v>b818a5beec20f458</x:v>
      </x:c>
    </x:row>
    <x:row r="1141" ht="21" customHeight="1">
      <x:c r="A1141" s="60" t="n">
        <x:v>0.64</x:v>
      </x:c>
      <x:c r="B1141" s="28" t="str">
        <x:v>middle_high</x:v>
      </x:c>
      <x:c r="C1141" s="60" t="n">
        <x:v>1</x:v>
      </x:c>
      <x:c r="D1141" s="60" t="n">
        <x:v>0.9498342654879072</x:v>
      </x:c>
      <x:c r="E1141" s="62" t="b">
        <x:v>0</x:v>
      </x:c>
      <x:c r="F1141" s="62" t="b">
        <x:v>0</x:v>
      </x:c>
      <x:c r="G1141" s="85" t="n">
        <x:v>35476042.34654418</x:v>
      </x:c>
      <x:c r="H1141" s="85" t="n">
        <x:v>76646159.37119618</x:v>
      </x:c>
      <x:c r="I1141" s="85" t="n">
        <x:v>99468927.85884933</x:v>
      </x:c>
      <x:c r="J1141" s="85" t="n">
        <x:v>78000000</x:v>
      </x:c>
      <x:c r="K1141" s="85" t="n">
        <x:v>105117.55397260541</x:v>
      </x:c>
      <x:c r="L1141" s="28" t="n">
        <x:v>44</x:v>
      </x:c>
      <x:c r="M1141" s="28" t="n">
        <x:v>40</x:v>
      </x:c>
      <x:c r="N1141" s="28" t="n">
        <x:v>1.862645149230957e-9</x:v>
      </x:c>
      <x:c r="O1141" s="28" t="n">
        <x:v>1.4901161193847656e-8</x:v>
      </x:c>
      <x:c r="P1141" s="28" t="n">
        <x:v>0</x:v>
      </x:c>
      <x:c r="Q1141" s="62" t="b">
        <x:v>1</x:v>
      </x:c>
      <x:c r="R1141" s="28" t="n">
        <x:v>15049720.35362786</x:v>
      </x:c>
      <x:c r="S1141" s="28" t="str">
        <x:v>fb97fc90026f2c31</x:v>
      </x:c>
    </x:row>
    <x:row r="1142" ht="21" customHeight="1">
      <x:c r="A1142" s="60" t="n">
        <x:v>0.64</x:v>
      </x:c>
      <x:c r="B1142" s="28" t="str">
        <x:v>back_flat</x:v>
      </x:c>
      <x:c r="C1142" s="60" t="n">
        <x:v>0</x:v>
      </x:c>
      <x:c r="D1142" s="60" t="n">
        <x:v>0</x:v>
      </x:c>
      <x:c r="E1142" s="62" t="b">
        <x:v>1</x:v>
      </x:c>
      <x:c r="F1142" s="62" t="b">
        <x:v>1</x:v>
      </x:c>
      <x:c r="G1142" s="85" t="n">
        <x:v>0</x:v>
      </x:c>
      <x:c r="H1142" s="85" t="n">
        <x:v>0</x:v>
      </x:c>
      <x:c r="I1142" s="85" t="n">
        <x:v>0</x:v>
      </x:c>
      <x:c r="J1142" s="85" t="n">
        <x:v>0</x:v>
      </x:c>
      <x:c r="K1142" s="85" t="n">
        <x:v>32734320.682876706</x:v>
      </x:c>
      <x:c r="L1142" s="28" t="n">
        <x:v>0</x:v>
      </x:c>
      <x:c r="M1142" s="28" t="n">
        <x:v>0</x:v>
      </x:c>
      <x:c r="N1142" s="28" t="n">
        <x:v>3.725290298461914e-9</x:v>
      </x:c>
      <x:c r="O1142" s="28" t="n">
        <x:v>0</x:v>
      </x:c>
      <x:c r="P1142" s="28" t="n">
        <x:v>0</x:v>
      </x:c>
      <x:c r="Q1142" s="62" t="b">
        <x:v>1</x:v>
      </x:c>
      <x:c r="R1142" s="28" t="n">
        <x:v>0</x:v>
      </x:c>
      <x:c r="S1142" s="28" t="str">
        <x:v>58219c1124d3eef7</x:v>
      </x:c>
    </x:row>
    <x:row r="1143" ht="21" customHeight="1">
      <x:c r="A1143" s="60" t="n">
        <x:v>0.64</x:v>
      </x:c>
      <x:c r="B1143" s="28" t="str">
        <x:v>back_flat</x:v>
      </x:c>
      <x:c r="C1143" s="60" t="n">
        <x:v>0.05</x:v>
      </x:c>
      <x:c r="D1143" s="60" t="n">
        <x:v>0.05</x:v>
      </x:c>
      <x:c r="E1143" s="62" t="b">
        <x:v>1</x:v>
      </x:c>
      <x:c r="F1143" s="62" t="b">
        <x:v>1</x:v>
      </x:c>
      <x:c r="G1143" s="85" t="n">
        <x:v>0</x:v>
      </x:c>
      <x:c r="H1143" s="85" t="n">
        <x:v>0</x:v>
      </x:c>
      <x:c r="I1143" s="85" t="n">
        <x:v>0</x:v>
      </x:c>
      <x:c r="J1143" s="85" t="n">
        <x:v>0</x:v>
      </x:c>
      <x:c r="K1143" s="85" t="n">
        <x:v>20993284.655058704</x:v>
      </x:c>
      <x:c r="L1143" s="28" t="n">
        <x:v>0</x:v>
      </x:c>
      <x:c r="M1143" s="28" t="n">
        <x:v>0</x:v>
      </x:c>
      <x:c r="N1143" s="28" t="n">
        <x:v>9.313225746154785e-10</x:v>
      </x:c>
      <x:c r="O1143" s="28" t="n">
        <x:v>5.960464477539063e-8</x:v>
      </x:c>
      <x:c r="P1143" s="28" t="n">
        <x:v>0</x:v>
      </x:c>
      <x:c r="Q1143" s="62" t="b">
        <x:v>1</x:v>
      </x:c>
      <x:c r="R1143" s="28" t="n">
        <x:v>0</x:v>
      </x:c>
      <x:c r="S1143" s="28" t="str">
        <x:v>a2254046f821b99f</x:v>
      </x:c>
    </x:row>
    <x:row r="1144" ht="21" customHeight="1">
      <x:c r="A1144" s="60" t="n">
        <x:v>0.64</x:v>
      </x:c>
      <x:c r="B1144" s="28" t="str">
        <x:v>back_flat</x:v>
      </x:c>
      <x:c r="C1144" s="60" t="n">
        <x:v>0.1</x:v>
      </x:c>
      <x:c r="D1144" s="60" t="n">
        <x:v>0.1</x:v>
      </x:c>
      <x:c r="E1144" s="62" t="b">
        <x:v>1</x:v>
      </x:c>
      <x:c r="F1144" s="62" t="b">
        <x:v>1</x:v>
      </x:c>
      <x:c r="G1144" s="85" t="n">
        <x:v>0</x:v>
      </x:c>
      <x:c r="H1144" s="85" t="n">
        <x:v>0</x:v>
      </x:c>
      <x:c r="I1144" s="85" t="n">
        <x:v>0</x:v>
      </x:c>
      <x:c r="J1144" s="85" t="n">
        <x:v>0</x:v>
      </x:c>
      <x:c r="K1144" s="85" t="n">
        <x:v>9135017.089476358</x:v>
      </x:c>
      <x:c r="L1144" s="28" t="n">
        <x:v>0</x:v>
      </x:c>
      <x:c r="M1144" s="28" t="n">
        <x:v>0</x:v>
      </x:c>
      <x:c r="N1144" s="28" t="n">
        <x:v>1.862645149230957e-9</x:v>
      </x:c>
      <x:c r="O1144" s="28" t="n">
        <x:v>5.960464477539063e-8</x:v>
      </x:c>
      <x:c r="P1144" s="28" t="n">
        <x:v>0</x:v>
      </x:c>
      <x:c r="Q1144" s="62" t="b">
        <x:v>1</x:v>
      </x:c>
      <x:c r="R1144" s="28" t="n">
        <x:v>0</x:v>
      </x:c>
      <x:c r="S1144" s="28" t="str">
        <x:v>e2c7852f048e5921</x:v>
      </x:c>
    </x:row>
    <x:row r="1145" ht="21" customHeight="1">
      <x:c r="A1145" s="60" t="n">
        <x:v>0.64</x:v>
      </x:c>
      <x:c r="B1145" s="28" t="str">
        <x:v>back_flat</x:v>
      </x:c>
      <x:c r="C1145" s="60" t="n">
        <x:v>0.15</x:v>
      </x:c>
      <x:c r="D1145" s="60" t="n">
        <x:v>0.15</x:v>
      </x:c>
      <x:c r="E1145" s="62" t="b">
        <x:v>1</x:v>
      </x:c>
      <x:c r="F1145" s="62" t="b">
        <x:v>1</x:v>
      </x:c>
      <x:c r="G1145" s="85" t="n">
        <x:v>0</x:v>
      </x:c>
      <x:c r="H1145" s="85" t="n">
        <x:v>0</x:v>
      </x:c>
      <x:c r="I1145" s="85" t="n">
        <x:v>3158033.620682767</x:v>
      </x:c>
      <x:c r="J1145" s="85" t="n">
        <x:v>0</x:v>
      </x:c>
      <x:c r="K1145" s="85" t="n">
        <x:v>1238098.6124114946</x:v>
      </x:c>
      <x:c r="L1145" s="28" t="n">
        <x:v>0</x:v>
      </x:c>
      <x:c r="M1145" s="28" t="n">
        <x:v>0</x:v>
      </x:c>
      <x:c r="N1145" s="28" t="n">
        <x:v>3.725290298461914e-9</x:v>
      </x:c>
      <x:c r="O1145" s="28" t="n">
        <x:v>5.960464477539063e-8</x:v>
      </x:c>
      <x:c r="P1145" s="28" t="n">
        <x:v>0</x:v>
      </x:c>
      <x:c r="Q1145" s="62" t="b">
        <x:v>1</x:v>
      </x:c>
      <x:c r="R1145" s="28" t="n">
        <x:v>0</x:v>
      </x:c>
      <x:c r="S1145" s="28" t="str">
        <x:v>956558f43768533d</x:v>
      </x:c>
    </x:row>
    <x:row r="1146" ht="21" customHeight="1">
      <x:c r="A1146" s="60" t="n">
        <x:v>0.64</x:v>
      </x:c>
      <x:c r="B1146" s="28" t="str">
        <x:v>back_flat</x:v>
      </x:c>
      <x:c r="C1146" s="60" t="n">
        <x:v>0.2</x:v>
      </x:c>
      <x:c r="D1146" s="60" t="n">
        <x:v>0.2</x:v>
      </x:c>
      <x:c r="E1146" s="62" t="b">
        <x:v>1</x:v>
      </x:c>
      <x:c r="F1146" s="62" t="b">
        <x:v>1</x:v>
      </x:c>
      <x:c r="G1146" s="85" t="n">
        <x:v>0</x:v>
      </x:c>
      <x:c r="H1146" s="85" t="n">
        <x:v>0</x:v>
      </x:c>
      <x:c r="I1146" s="85" t="n">
        <x:v>11139799.126006769</x:v>
      </x:c>
      <x:c r="J1146" s="85" t="n">
        <x:v>6341080.834812429</x:v>
      </x:c>
      <x:c r="K1146" s="85" t="n">
        <x:v>984235.7231952869</x:v>
      </x:c>
      <x:c r="L1146" s="28" t="n">
        <x:v>0</x:v>
      </x:c>
      <x:c r="M1146" s="28" t="n">
        <x:v>0</x:v>
      </x:c>
      <x:c r="N1146" s="28" t="n">
        <x:v>1.862645149230957e-9</x:v>
      </x:c>
      <x:c r="O1146" s="28" t="n">
        <x:v>2.9802322387695312e-8</x:v>
      </x:c>
      <x:c r="P1146" s="28" t="n">
        <x:v>0</x:v>
      </x:c>
      <x:c r="Q1146" s="62" t="b">
        <x:v>1</x:v>
      </x:c>
      <x:c r="R1146" s="28" t="n">
        <x:v>0</x:v>
      </x:c>
      <x:c r="S1146" s="28" t="str">
        <x:v>9b51efdb968aa5fa</x:v>
      </x:c>
    </x:row>
    <x:row r="1147" ht="21" customHeight="1">
      <x:c r="A1147" s="60" t="n">
        <x:v>0.64</x:v>
      </x:c>
      <x:c r="B1147" s="28" t="str">
        <x:v>back_flat</x:v>
      </x:c>
      <x:c r="C1147" s="60" t="n">
        <x:v>0.25</x:v>
      </x:c>
      <x:c r="D1147" s="60" t="n">
        <x:v>0.25</x:v>
      </x:c>
      <x:c r="E1147" s="62" t="b">
        <x:v>1</x:v>
      </x:c>
      <x:c r="F1147" s="62" t="b">
        <x:v>1</x:v>
      </x:c>
      <x:c r="G1147" s="85" t="n">
        <x:v>0</x:v>
      </x:c>
      <x:c r="H1147" s="85" t="n">
        <x:v>0</x:v>
      </x:c>
      <x:c r="I1147" s="85" t="n">
        <x:v>17330179.679283727</x:v>
      </x:c>
      <x:c r="J1147" s="85" t="n">
        <x:v>15426351.043515662</x:v>
      </x:c>
      <x:c r="K1147" s="85" t="n">
        <x:v>772015.6203886342</x:v>
      </x:c>
      <x:c r="L1147" s="28" t="n">
        <x:v>0</x:v>
      </x:c>
      <x:c r="M1147" s="28" t="n">
        <x:v>0</x:v>
      </x:c>
      <x:c r="N1147" s="28" t="n">
        <x:v>3.725290298461914e-9</x:v>
      </x:c>
      <x:c r="O1147" s="28" t="n">
        <x:v>2.9802322387695312e-8</x:v>
      </x:c>
      <x:c r="P1147" s="28" t="n">
        <x:v>0</x:v>
      </x:c>
      <x:c r="Q1147" s="62" t="b">
        <x:v>1</x:v>
      </x:c>
      <x:c r="R1147" s="28" t="n">
        <x:v>0</x:v>
      </x:c>
      <x:c r="S1147" s="28" t="str">
        <x:v>3ce058737f191f43</x:v>
      </x:c>
    </x:row>
    <x:row r="1148" ht="21" customHeight="1">
      <x:c r="A1148" s="60" t="n">
        <x:v>0.64</x:v>
      </x:c>
      <x:c r="B1148" s="28" t="str">
        <x:v>back_flat</x:v>
      </x:c>
      <x:c r="C1148" s="60" t="n">
        <x:v>0.3</x:v>
      </x:c>
      <x:c r="D1148" s="60" t="n">
        <x:v>0.3</x:v>
      </x:c>
      <x:c r="E1148" s="62" t="b">
        <x:v>1</x:v>
      </x:c>
      <x:c r="F1148" s="62" t="b">
        <x:v>1</x:v>
      </x:c>
      <x:c r="G1148" s="85" t="n">
        <x:v>0</x:v>
      </x:c>
      <x:c r="H1148" s="85" t="n">
        <x:v>0</x:v>
      </x:c>
      <x:c r="I1148" s="85" t="n">
        <x:v>23605189.58075683</x:v>
      </x:c>
      <x:c r="J1148" s="85" t="n">
        <x:v>24511621.252218686</x:v>
      </x:c>
      <x:c r="K1148" s="85" t="n">
        <x:v>634265.1452882751</x:v>
      </x:c>
      <x:c r="L1148" s="28" t="n">
        <x:v>0</x:v>
      </x:c>
      <x:c r="M1148" s="28" t="n">
        <x:v>0</x:v>
      </x:c>
      <x:c r="N1148" s="28" t="n">
        <x:v>1.862645149230957e-9</x:v>
      </x:c>
      <x:c r="O1148" s="28" t="n">
        <x:v>2.9802322387695312e-8</x:v>
      </x:c>
      <x:c r="P1148" s="28" t="n">
        <x:v>0</x:v>
      </x:c>
      <x:c r="Q1148" s="62" t="b">
        <x:v>1</x:v>
      </x:c>
      <x:c r="R1148" s="28" t="n">
        <x:v>0</x:v>
      </x:c>
      <x:c r="S1148" s="28" t="str">
        <x:v>9a68bc2256bacb39</x:v>
      </x:c>
    </x:row>
    <x:row r="1149" ht="21" customHeight="1">
      <x:c r="A1149" s="60" t="n">
        <x:v>0.64</x:v>
      </x:c>
      <x:c r="B1149" s="28" t="str">
        <x:v>back_flat</x:v>
      </x:c>
      <x:c r="C1149" s="60" t="n">
        <x:v>0.35</x:v>
      </x:c>
      <x:c r="D1149" s="60" t="n">
        <x:v>0.35</x:v>
      </x:c>
      <x:c r="E1149" s="62" t="b">
        <x:v>1</x:v>
      </x:c>
      <x:c r="F1149" s="62" t="b">
        <x:v>1</x:v>
      </x:c>
      <x:c r="G1149" s="85" t="n">
        <x:v>0</x:v>
      </x:c>
      <x:c r="H1149" s="85" t="n">
        <x:v>0</x:v>
      </x:c>
      <x:c r="I1149" s="85" t="n">
        <x:v>29870590.40058879</x:v>
      </x:c>
      <x:c r="J1149" s="85" t="n">
        <x:v>33596891.460921764</x:v>
      </x:c>
      <x:c r="K1149" s="85" t="n">
        <x:v>534768.6254068525</x:v>
      </x:c>
      <x:c r="L1149" s="28" t="n">
        <x:v>0</x:v>
      </x:c>
      <x:c r="M1149" s="28" t="n">
        <x:v>0</x:v>
      </x:c>
      <x:c r="N1149" s="28" t="n">
        <x:v>3.725290298461914e-9</x:v>
      </x:c>
      <x:c r="O1149" s="28" t="n">
        <x:v>2.9802322387695312e-8</x:v>
      </x:c>
      <x:c r="P1149" s="28" t="n">
        <x:v>0</x:v>
      </x:c>
      <x:c r="Q1149" s="62" t="b">
        <x:v>1</x:v>
      </x:c>
      <x:c r="R1149" s="28" t="n">
        <x:v>0</x:v>
      </x:c>
      <x:c r="S1149" s="28" t="str">
        <x:v>754eaed1395c7042</x:v>
      </x:c>
    </x:row>
    <x:row r="1150" ht="21" customHeight="1">
      <x:c r="A1150" s="60" t="n">
        <x:v>0.64</x:v>
      </x:c>
      <x:c r="B1150" s="28" t="str">
        <x:v>back_flat</x:v>
      </x:c>
      <x:c r="C1150" s="60" t="n">
        <x:v>0.4</x:v>
      </x:c>
      <x:c r="D1150" s="60" t="n">
        <x:v>0.4</x:v>
      </x:c>
      <x:c r="E1150" s="62" t="b">
        <x:v>1</x:v>
      </x:c>
      <x:c r="F1150" s="62" t="b">
        <x:v>1</x:v>
      </x:c>
      <x:c r="G1150" s="85" t="n">
        <x:v>0</x:v>
      </x:c>
      <x:c r="H1150" s="85" t="n">
        <x:v>0</x:v>
      </x:c>
      <x:c r="I1150" s="85" t="n">
        <x:v>36205582.269655354</x:v>
      </x:c>
      <x:c r="J1150" s="85" t="n">
        <x:v>42682161.66962495</x:v>
      </x:c>
      <x:c r="K1150" s="85" t="n">
        <x:v>471916.21475068876</x:v>
      </x:c>
      <x:c r="L1150" s="28" t="n">
        <x:v>0</x:v>
      </x:c>
      <x:c r="M1150" s="28" t="n">
        <x:v>0</x:v>
      </x:c>
      <x:c r="N1150" s="28" t="n">
        <x:v>1.862645149230957e-9</x:v>
      </x:c>
      <x:c r="O1150" s="28" t="n">
        <x:v>2.9802322387695312e-8</x:v>
      </x:c>
      <x:c r="P1150" s="28" t="n">
        <x:v>0</x:v>
      </x:c>
      <x:c r="Q1150" s="62" t="b">
        <x:v>1</x:v>
      </x:c>
      <x:c r="R1150" s="28" t="n">
        <x:v>0</x:v>
      </x:c>
      <x:c r="S1150" s="28" t="str">
        <x:v>c9d54146aa73253a</x:v>
      </x:c>
    </x:row>
    <x:row r="1151" ht="21" customHeight="1">
      <x:c r="A1151" s="60" t="n">
        <x:v>0.64</x:v>
      </x:c>
      <x:c r="B1151" s="28" t="str">
        <x:v>back_flat</x:v>
      </x:c>
      <x:c r="C1151" s="60" t="n">
        <x:v>0.45</x:v>
      </x:c>
      <x:c r="D1151" s="60" t="n">
        <x:v>0.45</x:v>
      </x:c>
      <x:c r="E1151" s="62" t="b">
        <x:v>1</x:v>
      </x:c>
      <x:c r="F1151" s="62" t="b">
        <x:v>1</x:v>
      </x:c>
      <x:c r="G1151" s="85" t="n">
        <x:v>0</x:v>
      </x:c>
      <x:c r="H1151" s="85" t="n">
        <x:v>0</x:v>
      </x:c>
      <x:c r="I1151" s="85" t="n">
        <x:v>43335841.553612344</x:v>
      </x:c>
      <x:c r="J1151" s="85" t="n">
        <x:v>49901744.37987377</x:v>
      </x:c>
      <x:c r="K1151" s="85" t="n">
        <x:v>409063.80409451434</x:v>
      </x:c>
      <x:c r="L1151" s="28" t="n">
        <x:v>4</x:v>
      </x:c>
      <x:c r="M1151" s="28" t="n">
        <x:v>0</x:v>
      </x:c>
      <x:c r="N1151" s="28" t="n">
        <x:v>3.725290298461914e-9</x:v>
      </x:c>
      <x:c r="O1151" s="28" t="n">
        <x:v>1.4901161193847656e-8</x:v>
      </x:c>
      <x:c r="P1151" s="28" t="n">
        <x:v>0</x:v>
      </x:c>
      <x:c r="Q1151" s="62" t="b">
        <x:v>1</x:v>
      </x:c>
      <x:c r="R1151" s="28" t="n">
        <x:v>0</x:v>
      </x:c>
      <x:c r="S1151" s="28" t="str">
        <x:v>cc6469c0ffa3a72c</x:v>
      </x:c>
    </x:row>
    <x:row r="1152" ht="21" customHeight="1">
      <x:c r="A1152" s="60" t="n">
        <x:v>0.64</x:v>
      </x:c>
      <x:c r="B1152" s="28" t="str">
        <x:v>back_flat</x:v>
      </x:c>
      <x:c r="C1152" s="60" t="n">
        <x:v>0.5</x:v>
      </x:c>
      <x:c r="D1152" s="60" t="n">
        <x:v>0.5</x:v>
      </x:c>
      <x:c r="E1152" s="62" t="b">
        <x:v>1</x:v>
      </x:c>
      <x:c r="F1152" s="62" t="b">
        <x:v>1</x:v>
      </x:c>
      <x:c r="G1152" s="85" t="n">
        <x:v>0</x:v>
      </x:c>
      <x:c r="H1152" s="85" t="n">
        <x:v>0</x:v>
      </x:c>
      <x:c r="I1152" s="85" t="n">
        <x:v>50626215.68107863</x:v>
      </x:c>
      <x:c r="J1152" s="85" t="n">
        <x:v>56668526.16692407</x:v>
      </x:c>
      <x:c r="K1152" s="85" t="n">
        <x:v>346211.39343835856</x:v>
      </x:c>
      <x:c r="L1152" s="28" t="n">
        <x:v>9</x:v>
      </x:c>
      <x:c r="M1152" s="28" t="n">
        <x:v>0</x:v>
      </x:c>
      <x:c r="N1152" s="28" t="n">
        <x:v>3.725290298461914e-9</x:v>
      </x:c>
      <x:c r="O1152" s="28" t="n">
        <x:v>2.9802322387695312e-8</x:v>
      </x:c>
      <x:c r="P1152" s="28" t="n">
        <x:v>0</x:v>
      </x:c>
      <x:c r="Q1152" s="62" t="b">
        <x:v>1</x:v>
      </x:c>
      <x:c r="R1152" s="28" t="n">
        <x:v>0</x:v>
      </x:c>
      <x:c r="S1152" s="28" t="str">
        <x:v>f9aed43fe5e893dd</x:v>
      </x:c>
    </x:row>
    <x:row r="1153" ht="21" customHeight="1">
      <x:c r="A1153" s="60" t="n">
        <x:v>0.64</x:v>
      </x:c>
      <x:c r="B1153" s="28" t="str">
        <x:v>back_flat</x:v>
      </x:c>
      <x:c r="C1153" s="60" t="n">
        <x:v>0.55</x:v>
      </x:c>
      <x:c r="D1153" s="60" t="n">
        <x:v>0.55</x:v>
      </x:c>
      <x:c r="E1153" s="62" t="b">
        <x:v>1</x:v>
      </x:c>
      <x:c r="F1153" s="62" t="b">
        <x:v>1</x:v>
      </x:c>
      <x:c r="G1153" s="85" t="n">
        <x:v>0</x:v>
      </x:c>
      <x:c r="H1153" s="85" t="n">
        <x:v>0</x:v>
      </x:c>
      <x:c r="I1153" s="85" t="n">
        <x:v>57229492.77820912</x:v>
      </x:c>
      <x:c r="J1153" s="85" t="n">
        <x:v>64800082.48309345</x:v>
      </x:c>
      <x:c r="K1153" s="85" t="n">
        <x:v>283358.98278218706</x:v>
      </x:c>
      <x:c r="L1153" s="28" t="n">
        <x:v>12</x:v>
      </x:c>
      <x:c r="M1153" s="28" t="n">
        <x:v>3</x:v>
      </x:c>
      <x:c r="N1153" s="28" t="n">
        <x:v>1.862645149230957e-9</x:v>
      </x:c>
      <x:c r="O1153" s="28" t="n">
        <x:v>2.9802322387695312e-8</x:v>
      </x:c>
      <x:c r="P1153" s="28" t="n">
        <x:v>0</x:v>
      </x:c>
      <x:c r="Q1153" s="62" t="b">
        <x:v>1</x:v>
      </x:c>
      <x:c r="R1153" s="28" t="n">
        <x:v>0</x:v>
      </x:c>
      <x:c r="S1153" s="28" t="str">
        <x:v>738f230249d455ef</x:v>
      </x:c>
    </x:row>
    <x:row r="1154" ht="21" customHeight="1">
      <x:c r="A1154" s="60" t="n">
        <x:v>0.64</x:v>
      </x:c>
      <x:c r="B1154" s="28" t="str">
        <x:v>back_flat</x:v>
      </x:c>
      <x:c r="C1154" s="60" t="n">
        <x:v>0.6</x:v>
      </x:c>
      <x:c r="D1154" s="60" t="n">
        <x:v>0.6</x:v>
      </x:c>
      <x:c r="E1154" s="62" t="b">
        <x:v>1</x:v>
      </x:c>
      <x:c r="F1154" s="62" t="b">
        <x:v>1</x:v>
      </x:c>
      <x:c r="G1154" s="85" t="n">
        <x:v>0</x:v>
      </x:c>
      <x:c r="H1154" s="85" t="n">
        <x:v>0</x:v>
      </x:c>
      <x:c r="I1154" s="85" t="n">
        <x:v>63227046.65418347</x:v>
      </x:c>
      <x:c r="J1154" s="85" t="n">
        <x:v>74170039.19350587</x:v>
      </x:c>
      <x:c r="K1154" s="85" t="n">
        <x:v>253615.30477260766</x:v>
      </x:c>
      <x:c r="L1154" s="28" t="n">
        <x:v>16</x:v>
      </x:c>
      <x:c r="M1154" s="28" t="n">
        <x:v>7</x:v>
      </x:c>
      <x:c r="N1154" s="28" t="n">
        <x:v>1.862645149230957e-9</x:v>
      </x:c>
      <x:c r="O1154" s="28" t="n">
        <x:v>2.9802322387695312e-8</x:v>
      </x:c>
      <x:c r="P1154" s="28" t="n">
        <x:v>0</x:v>
      </x:c>
      <x:c r="Q1154" s="62" t="b">
        <x:v>1</x:v>
      </x:c>
      <x:c r="R1154" s="28" t="n">
        <x:v>0</x:v>
      </x:c>
      <x:c r="S1154" s="28" t="str">
        <x:v>c540c1f3a9fff5f4</x:v>
      </x:c>
    </x:row>
    <x:row r="1155" ht="21" customHeight="1">
      <x:c r="A1155" s="60" t="n">
        <x:v>0.64</x:v>
      </x:c>
      <x:c r="B1155" s="28" t="str">
        <x:v>back_flat</x:v>
      </x:c>
      <x:c r="C1155" s="60" t="n">
        <x:v>0.65</x:v>
      </x:c>
      <x:c r="D1155" s="60" t="n">
        <x:v>0.65</x:v>
      </x:c>
      <x:c r="E1155" s="62" t="b">
        <x:v>1</x:v>
      </x:c>
      <x:c r="F1155" s="62" t="b">
        <x:v>0</x:v>
      </x:c>
      <x:c r="G1155" s="85" t="n">
        <x:v>1239003.187346749</x:v>
      </x:c>
      <x:c r="H1155" s="85" t="n">
        <x:v>8068960.725150442</x:v>
      </x:c>
      <x:c r="I1155" s="85" t="n">
        <x:v>65164408.990406126</x:v>
      </x:c>
      <x:c r="J1155" s="85" t="n">
        <x:v>78000000</x:v>
      </x:c>
      <x:c r="K1155" s="85" t="n">
        <x:v>234469.74786438324</x:v>
      </x:c>
      <x:c r="L1155" s="28" t="n">
        <x:v>38</x:v>
      </x:c>
      <x:c r="M1155" s="28" t="n">
        <x:v>32</x:v>
      </x:c>
      <x:c r="N1155" s="28" t="n">
        <x:v>1.862645149230957e-9</x:v>
      </x:c>
      <x:c r="O1155" s="28" t="n">
        <x:v>1.4901161193847656e-8</x:v>
      </x:c>
      <x:c r="P1155" s="28" t="n">
        <x:v>0</x:v>
      </x:c>
      <x:c r="Q1155" s="62" t="b">
        <x:v>1</x:v>
      </x:c>
      <x:c r="R1155" s="28" t="n">
        <x:v>0</x:v>
      </x:c>
      <x:c r="S1155" s="28" t="str">
        <x:v>879edddea875cd3a</x:v>
      </x:c>
    </x:row>
    <x:row r="1156" ht="21" customHeight="1">
      <x:c r="A1156" s="60" t="n">
        <x:v>0.64</x:v>
      </x:c>
      <x:c r="B1156" s="28" t="str">
        <x:v>back_flat</x:v>
      </x:c>
      <x:c r="C1156" s="60" t="n">
        <x:v>0.7</x:v>
      </x:c>
      <x:c r="D1156" s="60" t="n">
        <x:v>0.7</x:v>
      </x:c>
      <x:c r="E1156" s="62" t="b">
        <x:v>1</x:v>
      </x:c>
      <x:c r="F1156" s="62" t="b">
        <x:v>0</x:v>
      </x:c>
      <x:c r="G1156" s="85" t="n">
        <x:v>3291450.4687532904</x:v>
      </x:c>
      <x:c r="H1156" s="85" t="n">
        <x:v>18717761.124559686</x:v>
      </x:c>
      <x:c r="I1156" s="85" t="n">
        <x:v>66470183.15664441</x:v>
      </x:c>
      <x:c r="J1156" s="85" t="n">
        <x:v>78000000</x:v>
      </x:c>
      <x:c r="K1156" s="85" t="n">
        <x:v>215324.19095616578</x:v>
      </x:c>
      <x:c r="L1156" s="28" t="n">
        <x:v>39</x:v>
      </x:c>
      <x:c r="M1156" s="28" t="n">
        <x:v>34</x:v>
      </x:c>
      <x:c r="N1156" s="28" t="n">
        <x:v>1.862645149230957e-9</x:v>
      </x:c>
      <x:c r="O1156" s="28" t="n">
        <x:v>2.9802322387695312e-8</x:v>
      </x:c>
      <x:c r="P1156" s="28" t="n">
        <x:v>0</x:v>
      </x:c>
      <x:c r="Q1156" s="62" t="b">
        <x:v>1</x:v>
      </x:c>
      <x:c r="R1156" s="28" t="n">
        <x:v>0</x:v>
      </x:c>
      <x:c r="S1156" s="28" t="str">
        <x:v>27ed252b8174f5d6</x:v>
      </x:c>
    </x:row>
    <x:row r="1157" ht="21" customHeight="1">
      <x:c r="A1157" s="60" t="n">
        <x:v>0.64</x:v>
      </x:c>
      <x:c r="B1157" s="28" t="str">
        <x:v>back_flat</x:v>
      </x:c>
      <x:c r="C1157" s="60" t="n">
        <x:v>0.75</x:v>
      </x:c>
      <x:c r="D1157" s="60" t="n">
        <x:v>0.75</x:v>
      </x:c>
      <x:c r="E1157" s="62" t="b">
        <x:v>1</x:v>
      </x:c>
      <x:c r="F1157" s="62" t="b">
        <x:v>0</x:v>
      </x:c>
      <x:c r="G1157" s="85" t="n">
        <x:v>5348329.841597162</x:v>
      </x:c>
      <x:c r="H1157" s="85" t="n">
        <x:v>29283826.42408588</x:v>
      </x:c>
      <x:c r="I1157" s="85" t="n">
        <x:v>67658088.25865464</x:v>
      </x:c>
      <x:c r="J1157" s="85" t="n">
        <x:v>78000000</x:v>
      </x:c>
      <x:c r="K1157" s="85" t="n">
        <x:v>196178.63404794928</x:v>
      </x:c>
      <x:c r="L1157" s="28" t="n">
        <x:v>40</x:v>
      </x:c>
      <x:c r="M1157" s="28" t="n">
        <x:v>34</x:v>
      </x:c>
      <x:c r="N1157" s="28" t="n">
        <x:v>1.862645149230957e-9</x:v>
      </x:c>
      <x:c r="O1157" s="28" t="n">
        <x:v>2.9802322387695312e-8</x:v>
      </x:c>
      <x:c r="P1157" s="28" t="n">
        <x:v>0</x:v>
      </x:c>
      <x:c r="Q1157" s="62" t="b">
        <x:v>1</x:v>
      </x:c>
      <x:c r="R1157" s="28" t="n">
        <x:v>0</x:v>
      </x:c>
      <x:c r="S1157" s="28" t="str">
        <x:v>a58e4c4a09487344</x:v>
      </x:c>
    </x:row>
    <x:row r="1158" ht="21" customHeight="1">
      <x:c r="A1158" s="60" t="n">
        <x:v>0.64</x:v>
      </x:c>
      <x:c r="B1158" s="28" t="str">
        <x:v>back_flat</x:v>
      </x:c>
      <x:c r="C1158" s="60" t="n">
        <x:v>0.8</x:v>
      </x:c>
      <x:c r="D1158" s="60" t="n">
        <x:v>0.8</x:v>
      </x:c>
      <x:c r="E1158" s="62" t="b">
        <x:v>1</x:v>
      </x:c>
      <x:c r="F1158" s="62" t="b">
        <x:v>0</x:v>
      </x:c>
      <x:c r="G1158" s="85" t="n">
        <x:v>7950760.345610192</x:v>
      </x:c>
      <x:c r="H1158" s="85" t="n">
        <x:v>40748401.0938328</x:v>
      </x:c>
      <x:c r="I1158" s="85" t="n">
        <x:v>67841448.15041883</x:v>
      </x:c>
      <x:c r="J1158" s="85" t="n">
        <x:v>78000000</x:v>
      </x:c>
      <x:c r="K1158" s="85" t="n">
        <x:v>177033.07713972765</x:v>
      </x:c>
      <x:c r="L1158" s="28" t="n">
        <x:v>40</x:v>
      </x:c>
      <x:c r="M1158" s="28" t="n">
        <x:v>35</x:v>
      </x:c>
      <x:c r="N1158" s="28" t="n">
        <x:v>1.862645149230957e-9</x:v>
      </x:c>
      <x:c r="O1158" s="28" t="n">
        <x:v>1.4901161193847656e-8</x:v>
      </x:c>
      <x:c r="P1158" s="28" t="n">
        <x:v>0</x:v>
      </x:c>
      <x:c r="Q1158" s="62" t="b">
        <x:v>1</x:v>
      </x:c>
      <x:c r="R1158" s="28" t="n">
        <x:v>0</x:v>
      </x:c>
      <x:c r="S1158" s="28" t="str">
        <x:v>977b32d532cae130</x:v>
      </x:c>
    </x:row>
    <x:row r="1159" ht="21" customHeight="1">
      <x:c r="A1159" s="60" t="n">
        <x:v>0.64</x:v>
      </x:c>
      <x:c r="B1159" s="28" t="str">
        <x:v>back_flat</x:v>
      </x:c>
      <x:c r="C1159" s="60" t="n">
        <x:v>0.85</x:v>
      </x:c>
      <x:c r="D1159" s="60" t="n">
        <x:v>0.85</x:v>
      </x:c>
      <x:c r="E1159" s="62" t="b">
        <x:v>1</x:v>
      </x:c>
      <x:c r="F1159" s="62" t="b">
        <x:v>0</x:v>
      </x:c>
      <x:c r="G1159" s="85" t="n">
        <x:v>10603749.170315806</x:v>
      </x:c>
      <x:c r="H1159" s="85" t="n">
        <x:v>50410063.40499839</x:v>
      </x:c>
      <x:c r="I1159" s="85" t="n">
        <x:v>69167963.42160067</x:v>
      </x:c>
      <x:c r="J1159" s="85" t="n">
        <x:v>78000000</x:v>
      </x:c>
      <x:c r="K1159" s="85" t="n">
        <x:v>157887.520231506</x:v>
      </x:c>
      <x:c r="L1159" s="28" t="n">
        <x:v>41</x:v>
      </x:c>
      <x:c r="M1159" s="28" t="n">
        <x:v>36</x:v>
      </x:c>
      <x:c r="N1159" s="28" t="n">
        <x:v>1.862645149230957e-9</x:v>
      </x:c>
      <x:c r="O1159" s="28" t="n">
        <x:v>2.9802322387695312e-8</x:v>
      </x:c>
      <x:c r="P1159" s="28" t="n">
        <x:v>0</x:v>
      </x:c>
      <x:c r="Q1159" s="62" t="b">
        <x:v>1</x:v>
      </x:c>
      <x:c r="R1159" s="28" t="n">
        <x:v>0</x:v>
      </x:c>
      <x:c r="S1159" s="28" t="str">
        <x:v>cdfe4c5816588c8b</x:v>
      </x:c>
    </x:row>
    <x:row r="1160" ht="21" customHeight="1">
      <x:c r="A1160" s="60" t="n">
        <x:v>0.64</x:v>
      </x:c>
      <x:c r="B1160" s="28" t="str">
        <x:v>back_flat</x:v>
      </x:c>
      <x:c r="C1160" s="60" t="n">
        <x:v>0.9</x:v>
      </x:c>
      <x:c r="D1160" s="60" t="n">
        <x:v>0.8948658400492392</x:v>
      </x:c>
      <x:c r="E1160" s="62" t="b">
        <x:v>0</x:v>
      </x:c>
      <x:c r="F1160" s="62" t="b">
        <x:v>0</x:v>
      </x:c>
      <x:c r="G1160" s="85" t="n">
        <x:v>15160944.987354433</x:v>
      </x:c>
      <x:c r="H1160" s="85" t="n">
        <x:v>57401611.140454404</x:v>
      </x:c>
      <x:c r="I1160" s="85" t="n">
        <x:v>69337946.13842328</x:v>
      </x:c>
      <x:c r="J1160" s="85" t="n">
        <x:v>78000000</x:v>
      </x:c>
      <x:c r="K1160" s="85" t="n">
        <x:v>138741.9633232848</x:v>
      </x:c>
      <x:c r="L1160" s="28" t="n">
        <x:v>41</x:v>
      </x:c>
      <x:c r="M1160" s="28" t="n">
        <x:v>36</x:v>
      </x:c>
      <x:c r="N1160" s="28" t="n">
        <x:v>1.862645149230957e-9</x:v>
      </x:c>
      <x:c r="O1160" s="28" t="n">
        <x:v>2.9802322387695312e-8</x:v>
      </x:c>
      <x:c r="P1160" s="28" t="n">
        <x:v>0</x:v>
      </x:c>
      <x:c r="Q1160" s="62" t="b">
        <x:v>1</x:v>
      </x:c>
      <x:c r="R1160" s="28" t="n">
        <x:v>1540247.9852282405</x:v>
      </x:c>
      <x:c r="S1160" s="28" t="str">
        <x:v>c9a5848972f3be05</x:v>
      </x:c>
    </x:row>
    <x:row r="1161" ht="21" customHeight="1">
      <x:c r="A1161" s="60" t="n">
        <x:v>0.64</x:v>
      </x:c>
      <x:c r="B1161" s="28" t="str">
        <x:v>back_flat</x:v>
      </x:c>
      <x:c r="C1161" s="60" t="n">
        <x:v>0.95</x:v>
      </x:c>
      <x:c r="D1161" s="60" t="n">
        <x:v>0.9083032015334562</x:v>
      </x:c>
      <x:c r="E1161" s="62" t="b">
        <x:v>0</x:v>
      </x:c>
      <x:c r="F1161" s="62" t="b">
        <x:v>0</x:v>
      </x:c>
      <x:c r="G1161" s="85" t="n">
        <x:v>15812530.789740944</x:v>
      </x:c>
      <x:c r="H1161" s="85" t="n">
        <x:v>59868612.695069134</x:v>
      </x:c>
      <x:c r="I1161" s="85" t="n">
        <x:v>70549968.84154099</x:v>
      </x:c>
      <x:c r="J1161" s="85" t="n">
        <x:v>78000000</x:v>
      </x:c>
      <x:c r="K1161" s="85" t="n">
        <x:v>119596.40641506693</x:v>
      </x:c>
      <x:c r="L1161" s="28" t="n">
        <x:v>42</x:v>
      </x:c>
      <x:c r="M1161" s="28" t="n">
        <x:v>37</x:v>
      </x:c>
      <x:c r="N1161" s="28" t="n">
        <x:v>1.862645149230957e-9</x:v>
      </x:c>
      <x:c r="O1161" s="28" t="n">
        <x:v>2.9802322387695312e-8</x:v>
      </x:c>
      <x:c r="P1161" s="28" t="n">
        <x:v>0</x:v>
      </x:c>
      <x:c r="Q1161" s="62" t="b">
        <x:v>1</x:v>
      </x:c>
      <x:c r="R1161" s="28" t="n">
        <x:v>12509039.539963126</x:v>
      </x:c>
      <x:c r="S1161" s="28" t="str">
        <x:v>ac4d658563238ff8</x:v>
      </x:c>
    </x:row>
    <x:row r="1162" ht="21" customHeight="1">
      <x:c r="A1162" s="60" t="n">
        <x:v>0.64</x:v>
      </x:c>
      <x:c r="B1162" s="28" t="str">
        <x:v>back_flat</x:v>
      </x:c>
      <x:c r="C1162" s="60" t="n">
        <x:v>1</x:v>
      </x:c>
      <x:c r="D1162" s="60" t="n">
        <x:v>0.920601109498915</x:v>
      </x:c>
      <x:c r="E1162" s="62" t="b">
        <x:v>0</x:v>
      </x:c>
      <x:c r="F1162" s="62" t="b">
        <x:v>0</x:v>
      </x:c>
      <x:c r="G1162" s="85" t="n">
        <x:v>17248667.85164945</x:v>
      </x:c>
      <x:c r="H1162" s="85" t="n">
        <x:v>62674349.59833601</x:v>
      </x:c>
      <x:c r="I1162" s="85" t="n">
        <x:v>70671023.17754135</x:v>
      </x:c>
      <x:c r="J1162" s="85" t="n">
        <x:v>78000000</x:v>
      </x:c>
      <x:c r="K1162" s="85" t="n">
        <x:v>100450.84950684995</x:v>
      </x:c>
      <x:c r="L1162" s="28" t="n">
        <x:v>42</x:v>
      </x:c>
      <x:c r="M1162" s="28" t="n">
        <x:v>38</x:v>
      </x:c>
      <x:c r="N1162" s="28" t="n">
        <x:v>1.862645149230957e-9</x:v>
      </x:c>
      <x:c r="O1162" s="28" t="n">
        <x:v>2.9802322387695312e-8</x:v>
      </x:c>
      <x:c r="P1162" s="28" t="n">
        <x:v>0</x:v>
      </x:c>
      <x:c r="Q1162" s="62" t="b">
        <x:v>1</x:v>
      </x:c>
      <x:c r="R1162" s="28" t="n">
        <x:v>23819667.150325477</x:v>
      </x:c>
      <x:c r="S1162" s="28" t="str">
        <x:v>955c5024882cab79</x:v>
      </x:c>
    </x:row>
    <x:row r="1163" ht="21" customHeight="1">
      <x:c r="A1163" s="60" t="n">
        <x:v>0.64</x:v>
      </x:c>
      <x:c r="B1163" s="28" t="str">
        <x:v>back_low</x:v>
      </x:c>
      <x:c r="C1163" s="60" t="n">
        <x:v>0</x:v>
      </x:c>
      <x:c r="D1163" s="60" t="n">
        <x:v>0</x:v>
      </x:c>
      <x:c r="E1163" s="62" t="b">
        <x:v>1</x:v>
      </x:c>
      <x:c r="F1163" s="62" t="b">
        <x:v>1</x:v>
      </x:c>
      <x:c r="G1163" s="85" t="n">
        <x:v>0</x:v>
      </x:c>
      <x:c r="H1163" s="85" t="n">
        <x:v>0</x:v>
      </x:c>
      <x:c r="I1163" s="85" t="n">
        <x:v>0</x:v>
      </x:c>
      <x:c r="J1163" s="85" t="n">
        <x:v>0</x:v>
      </x:c>
      <x:c r="K1163" s="85" t="n">
        <x:v>28741494.148630124</x:v>
      </x:c>
      <x:c r="L1163" s="28" t="n">
        <x:v>0</x:v>
      </x:c>
      <x:c r="M1163" s="28" t="n">
        <x:v>0</x:v>
      </x:c>
      <x:c r="N1163" s="28" t="n">
        <x:v>1.862645149230957e-9</x:v>
      </x:c>
      <x:c r="O1163" s="28" t="n">
        <x:v>0</x:v>
      </x:c>
      <x:c r="P1163" s="28" t="n">
        <x:v>0</x:v>
      </x:c>
      <x:c r="Q1163" s="62" t="b">
        <x:v>1</x:v>
      </x:c>
      <x:c r="R1163" s="28" t="n">
        <x:v>0</x:v>
      </x:c>
      <x:c r="S1163" s="28" t="str">
        <x:v>0665606b451aec52</x:v>
      </x:c>
    </x:row>
    <x:row r="1164" ht="21" customHeight="1">
      <x:c r="A1164" s="60" t="n">
        <x:v>0.64</x:v>
      </x:c>
      <x:c r="B1164" s="28" t="str">
        <x:v>back_low</x:v>
      </x:c>
      <x:c r="C1164" s="60" t="n">
        <x:v>0.05</x:v>
      </x:c>
      <x:c r="D1164" s="60" t="n">
        <x:v>0.05</x:v>
      </x:c>
      <x:c r="E1164" s="62" t="b">
        <x:v>1</x:v>
      </x:c>
      <x:c r="F1164" s="62" t="b">
        <x:v>1</x:v>
      </x:c>
      <x:c r="G1164" s="85" t="n">
        <x:v>0</x:v>
      </x:c>
      <x:c r="H1164" s="85" t="n">
        <x:v>0</x:v>
      </x:c>
      <x:c r="I1164" s="85" t="n">
        <x:v>0</x:v>
      </x:c>
      <x:c r="J1164" s="85" t="n">
        <x:v>0</x:v>
      </x:c>
      <x:c r="K1164" s="85" t="n">
        <x:v>18122274.85001842</x:v>
      </x:c>
      <x:c r="L1164" s="28" t="n">
        <x:v>0</x:v>
      </x:c>
      <x:c r="M1164" s="28" t="n">
        <x:v>0</x:v>
      </x:c>
      <x:c r="N1164" s="28" t="n">
        <x:v>3.725290298461914e-9</x:v>
      </x:c>
      <x:c r="O1164" s="28" t="n">
        <x:v>5.960464477539063e-8</x:v>
      </x:c>
      <x:c r="P1164" s="28" t="n">
        <x:v>0</x:v>
      </x:c>
      <x:c r="Q1164" s="62" t="b">
        <x:v>1</x:v>
      </x:c>
      <x:c r="R1164" s="28" t="n">
        <x:v>0</x:v>
      </x:c>
      <x:c r="S1164" s="28" t="str">
        <x:v>37cf5634205eca89</x:v>
      </x:c>
    </x:row>
    <x:row r="1165" ht="21" customHeight="1">
      <x:c r="A1165" s="60" t="n">
        <x:v>0.64</x:v>
      </x:c>
      <x:c r="B1165" s="28" t="str">
        <x:v>back_low</x:v>
      </x:c>
      <x:c r="C1165" s="60" t="n">
        <x:v>0.1</x:v>
      </x:c>
      <x:c r="D1165" s="60" t="n">
        <x:v>0.1</x:v>
      </x:c>
      <x:c r="E1165" s="62" t="b">
        <x:v>1</x:v>
      </x:c>
      <x:c r="F1165" s="62" t="b">
        <x:v>1</x:v>
      </x:c>
      <x:c r="G1165" s="85" t="n">
        <x:v>0</x:v>
      </x:c>
      <x:c r="H1165" s="85" t="n">
        <x:v>0</x:v>
      </x:c>
      <x:c r="I1165" s="85" t="n">
        <x:v>0</x:v>
      </x:c>
      <x:c r="J1165" s="85" t="n">
        <x:v>0</x:v>
      </x:c>
      <x:c r="K1165" s="85" t="n">
        <x:v>7420303.877690723</x:v>
      </x:c>
      <x:c r="L1165" s="28" t="n">
        <x:v>0</x:v>
      </x:c>
      <x:c r="M1165" s="28" t="n">
        <x:v>0</x:v>
      </x:c>
      <x:c r="N1165" s="28" t="n">
        <x:v>3.725290298461914e-9</x:v>
      </x:c>
      <x:c r="O1165" s="28" t="n">
        <x:v>5.960464477539063e-8</x:v>
      </x:c>
      <x:c r="P1165" s="28" t="n">
        <x:v>0</x:v>
      </x:c>
      <x:c r="Q1165" s="62" t="b">
        <x:v>1</x:v>
      </x:c>
      <x:c r="R1165" s="28" t="n">
        <x:v>0</x:v>
      </x:c>
      <x:c r="S1165" s="28" t="str">
        <x:v>063b9c82a9edfef0</x:v>
      </x:c>
    </x:row>
    <x:row r="1166" ht="21" customHeight="1">
      <x:c r="A1166" s="60" t="n">
        <x:v>0.64</x:v>
      </x:c>
      <x:c r="B1166" s="28" t="str">
        <x:v>back_low</x:v>
      </x:c>
      <x:c r="C1166" s="60" t="n">
        <x:v>0.15</x:v>
      </x:c>
      <x:c r="D1166" s="60" t="n">
        <x:v>0.15</x:v>
      </x:c>
      <x:c r="E1166" s="62" t="b">
        <x:v>1</x:v>
      </x:c>
      <x:c r="F1166" s="62" t="b">
        <x:v>1</x:v>
      </x:c>
      <x:c r="G1166" s="85" t="n">
        <x:v>0</x:v>
      </x:c>
      <x:c r="H1166" s="85" t="n">
        <x:v>0</x:v>
      </x:c>
      <x:c r="I1166" s="85" t="n">
        <x:v>2588711.2794651194</x:v>
      </x:c>
      <x:c r="J1166" s="85" t="n">
        <x:v>0</x:v>
      </x:c>
      <x:c r="K1166" s="85" t="n">
        <x:v>335669.6821265998</x:v>
      </x:c>
      <x:c r="L1166" s="28" t="n">
        <x:v>0</x:v>
      </x:c>
      <x:c r="M1166" s="28" t="n">
        <x:v>0</x:v>
      </x:c>
      <x:c r="N1166" s="28" t="n">
        <x:v>1.862645149230957e-9</x:v>
      </x:c>
      <x:c r="O1166" s="28" t="n">
        <x:v>5.960464477539063e-8</x:v>
      </x:c>
      <x:c r="P1166" s="28" t="n">
        <x:v>0</x:v>
      </x:c>
      <x:c r="Q1166" s="62" t="b">
        <x:v>1</x:v>
      </x:c>
      <x:c r="R1166" s="28" t="n">
        <x:v>0</x:v>
      </x:c>
      <x:c r="S1166" s="28" t="str">
        <x:v>40627e429b94c169</x:v>
      </x:c>
    </x:row>
    <x:row r="1167" ht="21" customHeight="1">
      <x:c r="A1167" s="60" t="n">
        <x:v>0.64</x:v>
      </x:c>
      <x:c r="B1167" s="28" t="str">
        <x:v>back_low</x:v>
      </x:c>
      <x:c r="C1167" s="60" t="n">
        <x:v>0.2</x:v>
      </x:c>
      <x:c r="D1167" s="60" t="n">
        <x:v>0.2</x:v>
      </x:c>
      <x:c r="E1167" s="62" t="b">
        <x:v>1</x:v>
      </x:c>
      <x:c r="F1167" s="62" t="b">
        <x:v>1</x:v>
      </x:c>
      <x:c r="G1167" s="85" t="n">
        <x:v>0</x:v>
      </x:c>
      <x:c r="H1167" s="85" t="n">
        <x:v>0</x:v>
      </x:c>
      <x:c r="I1167" s="85" t="n">
        <x:v>8800742.00572234</x:v>
      </x:c>
      <x:c r="J1167" s="85" t="n">
        <x:v>6341080.834812429</x:v>
      </x:c>
      <x:c r="K1167" s="85" t="n">
        <x:v>247496.90935747355</x:v>
      </x:c>
      <x:c r="L1167" s="28" t="n">
        <x:v>0</x:v>
      </x:c>
      <x:c r="M1167" s="28" t="n">
        <x:v>0</x:v>
      </x:c>
      <x:c r="N1167" s="28" t="n">
        <x:v>1.862645149230957e-9</x:v>
      </x:c>
      <x:c r="O1167" s="28" t="n">
        <x:v>2.9802322387695312e-8</x:v>
      </x:c>
      <x:c r="P1167" s="28" t="n">
        <x:v>0</x:v>
      </x:c>
      <x:c r="Q1167" s="62" t="b">
        <x:v>1</x:v>
      </x:c>
      <x:c r="R1167" s="28" t="n">
        <x:v>0</x:v>
      </x:c>
      <x:c r="S1167" s="28" t="str">
        <x:v>c3e62e546f641608</x:v>
      </x:c>
    </x:row>
    <x:row r="1168" ht="21" customHeight="1">
      <x:c r="A1168" s="60" t="n">
        <x:v>0.64</x:v>
      </x:c>
      <x:c r="B1168" s="28" t="str">
        <x:v>back_low</x:v>
      </x:c>
      <x:c r="C1168" s="60" t="n">
        <x:v>0.25</x:v>
      </x:c>
      <x:c r="D1168" s="60" t="n">
        <x:v>0.25</x:v>
      </x:c>
      <x:c r="E1168" s="62" t="b">
        <x:v>1</x:v>
      </x:c>
      <x:c r="F1168" s="62" t="b">
        <x:v>1</x:v>
      </x:c>
      <x:c r="G1168" s="85" t="n">
        <x:v>0</x:v>
      </x:c>
      <x:c r="H1168" s="85" t="n">
        <x:v>0</x:v>
      </x:c>
      <x:c r="I1168" s="85" t="n">
        <x:v>12897307.505717376</x:v>
      </x:c>
      <x:c r="J1168" s="85" t="n">
        <x:v>15426351.043515662</x:v>
      </x:c>
      <x:c r="K1168" s="85" t="n">
        <x:v>194291.3116506875</x:v>
      </x:c>
      <x:c r="L1168" s="28" t="n">
        <x:v>0</x:v>
      </x:c>
      <x:c r="M1168" s="28" t="n">
        <x:v>0</x:v>
      </x:c>
      <x:c r="N1168" s="28" t="n">
        <x:v>9.313225746154785e-10</x:v>
      </x:c>
      <x:c r="O1168" s="28" t="n">
        <x:v>2.9802322387695312e-8</x:v>
      </x:c>
      <x:c r="P1168" s="28" t="n">
        <x:v>0</x:v>
      </x:c>
      <x:c r="Q1168" s="62" t="b">
        <x:v>1</x:v>
      </x:c>
      <x:c r="R1168" s="28" t="n">
        <x:v>0</x:v>
      </x:c>
      <x:c r="S1168" s="28" t="str">
        <x:v>d9f04f5f6cab0813</x:v>
      </x:c>
    </x:row>
    <x:row r="1169" ht="21" customHeight="1">
      <x:c r="A1169" s="60" t="n">
        <x:v>0.64</x:v>
      </x:c>
      <x:c r="B1169" s="28" t="str">
        <x:v>back_low</x:v>
      </x:c>
      <x:c r="C1169" s="60" t="n">
        <x:v>0.3</x:v>
      </x:c>
      <x:c r="D1169" s="60" t="n">
        <x:v>0.3</x:v>
      </x:c>
      <x:c r="E1169" s="62" t="b">
        <x:v>1</x:v>
      </x:c>
      <x:c r="F1169" s="62" t="b">
        <x:v>1</x:v>
      </x:c>
      <x:c r="G1169" s="85" t="n">
        <x:v>0</x:v>
      </x:c>
      <x:c r="H1169" s="85" t="n">
        <x:v>0</x:v>
      </x:c>
      <x:c r="I1169" s="85" t="n">
        <x:v>17037349.479326572</x:v>
      </x:c>
      <x:c r="J1169" s="85" t="n">
        <x:v>24511621.252218686</x:v>
      </x:c>
      <x:c r="K1169" s="85" t="n">
        <x:v>159124.47398083136</x:v>
      </x:c>
      <x:c r="L1169" s="28" t="n">
        <x:v>0</x:v>
      </x:c>
      <x:c r="M1169" s="28" t="n">
        <x:v>0</x:v>
      </x:c>
      <x:c r="N1169" s="28" t="n">
        <x:v>1.862645149230957e-9</x:v>
      </x:c>
      <x:c r="O1169" s="28" t="n">
        <x:v>2.9802322387695312e-8</x:v>
      </x:c>
      <x:c r="P1169" s="28" t="n">
        <x:v>0</x:v>
      </x:c>
      <x:c r="Q1169" s="62" t="b">
        <x:v>1</x:v>
      </x:c>
      <x:c r="R1169" s="28" t="n">
        <x:v>0</x:v>
      </x:c>
      <x:c r="S1169" s="28" t="str">
        <x:v>c5a63f086fe4e661</x:v>
      </x:c>
    </x:row>
    <x:row r="1170" ht="21" customHeight="1">
      <x:c r="A1170" s="60" t="n">
        <x:v>0.64</x:v>
      </x:c>
      <x:c r="B1170" s="28" t="str">
        <x:v>back_low</x:v>
      </x:c>
      <x:c r="C1170" s="60" t="n">
        <x:v>0.35</x:v>
      </x:c>
      <x:c r="D1170" s="60" t="n">
        <x:v>0.35</x:v>
      </x:c>
      <x:c r="E1170" s="62" t="b">
        <x:v>1</x:v>
      </x:c>
      <x:c r="F1170" s="62" t="b">
        <x:v>1</x:v>
      </x:c>
      <x:c r="G1170" s="85" t="n">
        <x:v>0</x:v>
      </x:c>
      <x:c r="H1170" s="85" t="n">
        <x:v>0</x:v>
      </x:c>
      <x:c r="I1170" s="85" t="n">
        <x:v>21151806.88699322</x:v>
      </x:c>
      <x:c r="J1170" s="85" t="n">
        <x:v>33596891.460921764</x:v>
      </x:c>
      <x:c r="K1170" s="85" t="n">
        <x:v>123957.63631095803</x:v>
      </x:c>
      <x:c r="L1170" s="28" t="n">
        <x:v>0</x:v>
      </x:c>
      <x:c r="M1170" s="28" t="n">
        <x:v>0</x:v>
      </x:c>
      <x:c r="N1170" s="28" t="n">
        <x:v>1.862645149230957e-9</x:v>
      </x:c>
      <x:c r="O1170" s="28" t="n">
        <x:v>2.9802322387695312e-8</x:v>
      </x:c>
      <x:c r="P1170" s="28" t="n">
        <x:v>0</x:v>
      </x:c>
      <x:c r="Q1170" s="62" t="b">
        <x:v>1</x:v>
      </x:c>
      <x:c r="R1170" s="28" t="n">
        <x:v>0</x:v>
      </x:c>
      <x:c r="S1170" s="28" t="str">
        <x:v>2ef4b33cad6d213c</x:v>
      </x:c>
    </x:row>
    <x:row r="1171" ht="21" customHeight="1">
      <x:c r="A1171" s="60" t="n">
        <x:v>0.64</x:v>
      </x:c>
      <x:c r="B1171" s="28" t="str">
        <x:v>back_low</x:v>
      </x:c>
      <x:c r="C1171" s="60" t="n">
        <x:v>0.4</x:v>
      </x:c>
      <x:c r="D1171" s="60" t="n">
        <x:v>0.4</x:v>
      </x:c>
      <x:c r="E1171" s="62" t="b">
        <x:v>1</x:v>
      </x:c>
      <x:c r="F1171" s="62" t="b">
        <x:v>1</x:v>
      </x:c>
      <x:c r="G1171" s="85" t="n">
        <x:v>0</x:v>
      </x:c>
      <x:c r="H1171" s="85" t="n">
        <x:v>0</x:v>
      </x:c>
      <x:c r="I1171" s="85" t="n">
        <x:v>25306007.230634168</x:v>
      </x:c>
      <x:c r="J1171" s="85" t="n">
        <x:v>42682161.66962495</x:v>
      </x:c>
      <x:c r="K1171" s="85" t="n">
        <x:v>96145.57909041242</x:v>
      </x:c>
      <x:c r="L1171" s="28" t="n">
        <x:v>0</x:v>
      </x:c>
      <x:c r="M1171" s="28" t="n">
        <x:v>0</x:v>
      </x:c>
      <x:c r="N1171" s="28" t="n">
        <x:v>3.725290298461914e-9</x:v>
      </x:c>
      <x:c r="O1171" s="28" t="n">
        <x:v>2.9802322387695312e-8</x:v>
      </x:c>
      <x:c r="P1171" s="28" t="n">
        <x:v>0</x:v>
      </x:c>
      <x:c r="Q1171" s="62" t="b">
        <x:v>1</x:v>
      </x:c>
      <x:c r="R1171" s="28" t="n">
        <x:v>0</x:v>
      </x:c>
      <x:c r="S1171" s="28" t="str">
        <x:v>480f7ea7017996d5</x:v>
      </x:c>
    </x:row>
    <x:row r="1172" ht="21" customHeight="1">
      <x:c r="A1172" s="60" t="n">
        <x:v>0.64</x:v>
      </x:c>
      <x:c r="B1172" s="28" t="str">
        <x:v>back_low</x:v>
      </x:c>
      <x:c r="C1172" s="60" t="n">
        <x:v>0.45</x:v>
      </x:c>
      <x:c r="D1172" s="60" t="n">
        <x:v>0.45</x:v>
      </x:c>
      <x:c r="E1172" s="62" t="b">
        <x:v>1</x:v>
      </x:c>
      <x:c r="F1172" s="62" t="b">
        <x:v>1</x:v>
      </x:c>
      <x:c r="G1172" s="85" t="n">
        <x:v>0</x:v>
      </x:c>
      <x:c r="H1172" s="85" t="n">
        <x:v>0</x:v>
      </x:c>
      <x:c r="I1172" s="85" t="n">
        <x:v>30408955.9361699</x:v>
      </x:c>
      <x:c r="J1172" s="85" t="n">
        <x:v>50208983.63176678</x:v>
      </x:c>
      <x:c r="K1172" s="85" t="n">
        <x:v>85221.06568904081</x:v>
      </x:c>
      <x:c r="L1172" s="28" t="n">
        <x:v>4</x:v>
      </x:c>
      <x:c r="M1172" s="28" t="n">
        <x:v>0</x:v>
      </x:c>
      <x:c r="N1172" s="28" t="n">
        <x:v>3.725290298461914e-9</x:v>
      </x:c>
      <x:c r="O1172" s="28" t="n">
        <x:v>1.4901161193847656e-8</x:v>
      </x:c>
      <x:c r="P1172" s="28" t="n">
        <x:v>0</x:v>
      </x:c>
      <x:c r="Q1172" s="62" t="b">
        <x:v>1</x:v>
      </x:c>
      <x:c r="R1172" s="28" t="n">
        <x:v>0</x:v>
      </x:c>
      <x:c r="S1172" s="28" t="str">
        <x:v>3e262f3515296095</x:v>
      </x:c>
    </x:row>
    <x:row r="1173" ht="21" customHeight="1">
      <x:c r="A1173" s="60" t="n">
        <x:v>0.64</x:v>
      </x:c>
      <x:c r="B1173" s="28" t="str">
        <x:v>back_low</x:v>
      </x:c>
      <x:c r="C1173" s="60" t="n">
        <x:v>0.5</x:v>
      </x:c>
      <x:c r="D1173" s="60" t="n">
        <x:v>0.5</x:v>
      </x:c>
      <x:c r="E1173" s="62" t="b">
        <x:v>1</x:v>
      </x:c>
      <x:c r="F1173" s="62" t="b">
        <x:v>1</x:v>
      </x:c>
      <x:c r="G1173" s="85" t="n">
        <x:v>0</x:v>
      </x:c>
      <x:c r="H1173" s="85" t="n">
        <x:v>0</x:v>
      </x:c>
      <x:c r="I1173" s="85" t="n">
        <x:v>35746496.45610395</x:v>
      </x:c>
      <x:c r="J1173" s="85" t="n">
        <x:v>57308705.71191702</x:v>
      </x:c>
      <x:c r="K1173" s="85" t="n">
        <x:v>74296.55228766966</x:v>
      </x:c>
      <x:c r="L1173" s="28" t="n">
        <x:v>9</x:v>
      </x:c>
      <x:c r="M1173" s="28" t="n">
        <x:v>0</x:v>
      </x:c>
      <x:c r="N1173" s="28" t="n">
        <x:v>3.725290298461914e-9</x:v>
      </x:c>
      <x:c r="O1173" s="28" t="n">
        <x:v>2.9802322387695312e-8</x:v>
      </x:c>
      <x:c r="P1173" s="28" t="n">
        <x:v>0</x:v>
      </x:c>
      <x:c r="Q1173" s="62" t="b">
        <x:v>1</x:v>
      </x:c>
      <x:c r="R1173" s="28" t="n">
        <x:v>0</x:v>
      </x:c>
      <x:c r="S1173" s="28" t="str">
        <x:v>fc59bf5ff8e7eea1</x:v>
      </x:c>
    </x:row>
    <x:row r="1174" ht="21" customHeight="1">
      <x:c r="A1174" s="60" t="n">
        <x:v>0.64</x:v>
      </x:c>
      <x:c r="B1174" s="28" t="str">
        <x:v>back_low</x:v>
      </x:c>
      <x:c r="C1174" s="60" t="n">
        <x:v>0.55</x:v>
      </x:c>
      <x:c r="D1174" s="60" t="n">
        <x:v>0.55</x:v>
      </x:c>
      <x:c r="E1174" s="62" t="b">
        <x:v>1</x:v>
      </x:c>
      <x:c r="F1174" s="62" t="b">
        <x:v>1</x:v>
      </x:c>
      <x:c r="G1174" s="85" t="n">
        <x:v>0</x:v>
      </x:c>
      <x:c r="H1174" s="85" t="n">
        <x:v>0</x:v>
      </x:c>
      <x:c r="I1174" s="85" t="n">
        <x:v>40393677.90346226</x:v>
      </x:c>
      <x:c r="J1174" s="85" t="n">
        <x:v>65418794.84888489</x:v>
      </x:c>
      <x:c r="K1174" s="85" t="n">
        <x:v>63372.038886300375</x:v>
      </x:c>
      <x:c r="L1174" s="28" t="n">
        <x:v>12</x:v>
      </x:c>
      <x:c r="M1174" s="28" t="n">
        <x:v>0</x:v>
      </x:c>
      <x:c r="N1174" s="28" t="n">
        <x:v>1.862645149230957e-9</x:v>
      </x:c>
      <x:c r="O1174" s="28" t="n">
        <x:v>2.9802322387695312e-8</x:v>
      </x:c>
      <x:c r="P1174" s="28" t="n">
        <x:v>0</x:v>
      </x:c>
      <x:c r="Q1174" s="62" t="b">
        <x:v>1</x:v>
      </x:c>
      <x:c r="R1174" s="28" t="n">
        <x:v>0</x:v>
      </x:c>
      <x:c r="S1174" s="28" t="str">
        <x:v>0891f155441098a7</x:v>
      </x:c>
    </x:row>
    <x:row r="1175" ht="21" customHeight="1">
      <x:c r="A1175" s="60" t="n">
        <x:v>0.64</x:v>
      </x:c>
      <x:c r="B1175" s="28" t="str">
        <x:v>back_low</x:v>
      </x:c>
      <x:c r="C1175" s="60" t="n">
        <x:v>0.6</x:v>
      </x:c>
      <x:c r="D1175" s="60" t="n">
        <x:v>0.6</x:v>
      </x:c>
      <x:c r="E1175" s="62" t="b">
        <x:v>1</x:v>
      </x:c>
      <x:c r="F1175" s="62" t="b">
        <x:v>1</x:v>
      </x:c>
      <x:c r="G1175" s="85" t="n">
        <x:v>0</x:v>
      </x:c>
      <x:c r="H1175" s="85" t="n">
        <x:v>0</x:v>
      </x:c>
      <x:c r="I1175" s="85" t="n">
        <x:v>44444078.518005356</x:v>
      </x:c>
      <x:c r="J1175" s="85" t="n">
        <x:v>74356326.33172537</x:v>
      </x:c>
      <x:c r="K1175" s="85" t="n">
        <x:v>52447.52548492784</x:v>
      </x:c>
      <x:c r="L1175" s="28" t="n">
        <x:v>16</x:v>
      </x:c>
      <x:c r="M1175" s="28" t="n">
        <x:v>2</x:v>
      </x:c>
      <x:c r="N1175" s="28" t="n">
        <x:v>1.862645149230957e-9</x:v>
      </x:c>
      <x:c r="O1175" s="28" t="n">
        <x:v>2.9802322387695312e-8</x:v>
      </x:c>
      <x:c r="P1175" s="28" t="n">
        <x:v>0</x:v>
      </x:c>
      <x:c r="Q1175" s="62" t="b">
        <x:v>1</x:v>
      </x:c>
      <x:c r="R1175" s="28" t="n">
        <x:v>0</x:v>
      </x:c>
      <x:c r="S1175" s="28" t="str">
        <x:v>594abb91a4581f03</x:v>
      </x:c>
    </x:row>
    <x:row r="1176" ht="21" customHeight="1">
      <x:c r="A1176" s="60" t="n">
        <x:v>0.64</x:v>
      </x:c>
      <x:c r="B1176" s="28" t="str">
        <x:v>back_low</x:v>
      </x:c>
      <x:c r="C1176" s="60" t="n">
        <x:v>0.65</x:v>
      </x:c>
      <x:c r="D1176" s="60" t="n">
        <x:v>0.65</x:v>
      </x:c>
      <x:c r="E1176" s="62" t="b">
        <x:v>1</x:v>
      </x:c>
      <x:c r="F1176" s="62" t="b">
        <x:v>0</x:v>
      </x:c>
      <x:c r="G1176" s="85" t="n">
        <x:v>448208.1716957854</x:v>
      </x:c>
      <x:c r="H1176" s="85" t="n">
        <x:v>6741673.805360374</x:v>
      </x:c>
      <x:c r="I1176" s="85" t="n">
        <x:v>45710480.36824576</x:v>
      </x:c>
      <x:c r="J1176" s="85" t="n">
        <x:v>78000000</x:v>
      </x:c>
      <x:c r="K1176" s="85" t="n">
        <x:v>41523.01208356042</x:v>
      </x:c>
      <x:c r="L1176" s="28" t="n">
        <x:v>38</x:v>
      </x:c>
      <x:c r="M1176" s="28" t="n">
        <x:v>30</x:v>
      </x:c>
      <x:c r="N1176" s="28" t="n">
        <x:v>1.862645149230957e-9</x:v>
      </x:c>
      <x:c r="O1176" s="28" t="n">
        <x:v>1.4901161193847656e-8</x:v>
      </x:c>
      <x:c r="P1176" s="28" t="n">
        <x:v>0</x:v>
      </x:c>
      <x:c r="Q1176" s="62" t="b">
        <x:v>1</x:v>
      </x:c>
      <x:c r="R1176" s="28" t="n">
        <x:v>0</x:v>
      </x:c>
      <x:c r="S1176" s="28" t="str">
        <x:v>bf40fc1b132803cc</x:v>
      </x:c>
    </x:row>
    <x:row r="1177" ht="21" customHeight="1">
      <x:c r="A1177" s="60" t="n">
        <x:v>0.64</x:v>
      </x:c>
      <x:c r="B1177" s="28" t="str">
        <x:v>back_low</x:v>
      </x:c>
      <x:c r="C1177" s="60" t="n">
        <x:v>0.7</x:v>
      </x:c>
      <x:c r="D1177" s="60" t="n">
        <x:v>0.7</x:v>
      </x:c>
      <x:c r="E1177" s="62" t="b">
        <x:v>1</x:v>
      </x:c>
      <x:c r="F1177" s="62" t="b">
        <x:v>0</x:v>
      </x:c>
      <x:c r="G1177" s="85" t="n">
        <x:v>1094155.6406901146</x:v>
      </x:c>
      <x:c r="H1177" s="85" t="n">
        <x:v>16488695.17736911</x:v>
      </x:c>
      <x:c r="I1177" s="85" t="n">
        <x:v>46688486.63283074</x:v>
      </x:c>
      <x:c r="J1177" s="85" t="n">
        <x:v>78000000</x:v>
      </x:c>
      <x:c r="K1177" s="85" t="n">
        <x:v>30598.498682192992</x:v>
      </x:c>
      <x:c r="L1177" s="28" t="n">
        <x:v>39</x:v>
      </x:c>
      <x:c r="M1177" s="28" t="n">
        <x:v>31</x:v>
      </x:c>
      <x:c r="N1177" s="28" t="n">
        <x:v>1.862645149230957e-9</x:v>
      </x:c>
      <x:c r="O1177" s="28" t="n">
        <x:v>2.9802322387695312e-8</x:v>
      </x:c>
      <x:c r="P1177" s="28" t="n">
        <x:v>0</x:v>
      </x:c>
      <x:c r="Q1177" s="62" t="b">
        <x:v>1</x:v>
      </x:c>
      <x:c r="R1177" s="28" t="n">
        <x:v>0</x:v>
      </x:c>
      <x:c r="S1177" s="28" t="str">
        <x:v>076352e696f5bc91</x:v>
      </x:c>
    </x:row>
    <x:row r="1178" ht="21" customHeight="1">
      <x:c r="A1178" s="60" t="n">
        <x:v>0.64</x:v>
      </x:c>
      <x:c r="B1178" s="28" t="str">
        <x:v>back_low</x:v>
      </x:c>
      <x:c r="C1178" s="60" t="n">
        <x:v>0.75</x:v>
      </x:c>
      <x:c r="D1178" s="60" t="n">
        <x:v>0.75</x:v>
      </x:c>
      <x:c r="E1178" s="62" t="b">
        <x:v>1</x:v>
      </x:c>
      <x:c r="F1178" s="62" t="b">
        <x:v>0</x:v>
      </x:c>
      <x:c r="G1178" s="85" t="n">
        <x:v>1986208.2156380739</x:v>
      </x:c>
      <x:c r="H1178" s="85" t="n">
        <x:v>26142909.52550023</x:v>
      </x:c>
      <x:c r="I1178" s="85" t="n">
        <x:v>47567283.49555192</x:v>
      </x:c>
      <x:c r="J1178" s="85" t="n">
        <x:v>78000000</x:v>
      </x:c>
      <x:c r="K1178" s="85" t="n">
        <x:v>19673.9852808265</x:v>
      </x:c>
      <x:c r="L1178" s="28" t="n">
        <x:v>40</x:v>
      </x:c>
      <x:c r="M1178" s="28" t="n">
        <x:v>32</x:v>
      </x:c>
      <x:c r="N1178" s="28" t="n">
        <x:v>1.862645149230957e-9</x:v>
      </x:c>
      <x:c r="O1178" s="28" t="n">
        <x:v>2.9802322387695312e-8</x:v>
      </x:c>
      <x:c r="P1178" s="28" t="n">
        <x:v>0</x:v>
      </x:c>
      <x:c r="Q1178" s="62" t="b">
        <x:v>1</x:v>
      </x:c>
      <x:c r="R1178" s="28" t="n">
        <x:v>0</x:v>
      </x:c>
      <x:c r="S1178" s="28" t="str">
        <x:v>12d6610bdf080bf4</x:v>
      </x:c>
    </x:row>
    <x:row r="1179" ht="21" customHeight="1">
      <x:c r="A1179" s="60" t="n">
        <x:v>0.64</x:v>
      </x:c>
      <x:c r="B1179" s="28" t="str">
        <x:v>back_low</x:v>
      </x:c>
      <x:c r="C1179" s="60" t="n">
        <x:v>0.8</x:v>
      </x:c>
      <x:c r="D1179" s="60" t="n">
        <x:v>0.8</x:v>
      </x:c>
      <x:c r="E1179" s="62" t="b">
        <x:v>1</x:v>
      </x:c>
      <x:c r="F1179" s="62" t="b">
        <x:v>0</x:v>
      </x:c>
      <x:c r="G1179" s="85" t="n">
        <x:v>2828751.571377513</x:v>
      </x:c>
      <x:c r="H1179" s="85" t="n">
        <x:v>36575318.65040433</x:v>
      </x:c>
      <x:c r="I1179" s="85" t="n">
        <x:v>47671550.96749283</x:v>
      </x:c>
      <x:c r="J1179" s="85" t="n">
        <x:v>78000000</x:v>
      </x:c>
      <x:c r="K1179" s="85" t="n">
        <x:v>8749.471879451652</x:v>
      </x:c>
      <x:c r="L1179" s="28" t="n">
        <x:v>40</x:v>
      </x:c>
      <x:c r="M1179" s="28" t="n">
        <x:v>32</x:v>
      </x:c>
      <x:c r="N1179" s="28" t="n">
        <x:v>1.862645149230957e-9</x:v>
      </x:c>
      <x:c r="O1179" s="28" t="n">
        <x:v>1.4901161193847656e-8</x:v>
      </x:c>
      <x:c r="P1179" s="28" t="n">
        <x:v>0</x:v>
      </x:c>
      <x:c r="Q1179" s="62" t="b">
        <x:v>1</x:v>
      </x:c>
      <x:c r="R1179" s="28" t="n">
        <x:v>0</x:v>
      </x:c>
      <x:c r="S1179" s="28" t="str">
        <x:v>11fbc49eca992caa</x:v>
      </x:c>
    </x:row>
    <x:row r="1180" ht="21" customHeight="1">
      <x:c r="A1180" s="60" t="n">
        <x:v>0.64</x:v>
      </x:c>
      <x:c r="B1180" s="28" t="str">
        <x:v>back_low</x:v>
      </x:c>
      <x:c r="C1180" s="60" t="n">
        <x:v>0.85</x:v>
      </x:c>
      <x:c r="D1180" s="60" t="n">
        <x:v>0.85</x:v>
      </x:c>
      <x:c r="E1180" s="62" t="b">
        <x:v>1</x:v>
      </x:c>
      <x:c r="F1180" s="62" t="b">
        <x:v>0</x:v>
      </x:c>
      <x:c r="G1180" s="85" t="n">
        <x:v>3859941.0228243875</x:v>
      </x:c>
      <x:c r="H1180" s="85" t="n">
        <x:v>45761629.076254345</x:v>
      </x:c>
      <x:c r="I1180" s="85" t="n">
        <x:v>48664367.41264863</x:v>
      </x:c>
      <x:c r="J1180" s="85" t="n">
        <x:v>78000000</x:v>
      </x:c>
      <x:c r="K1180" s="85" t="n">
        <x:v>0</x:v>
      </x:c>
      <x:c r="L1180" s="28" t="n">
        <x:v>41</x:v>
      </x:c>
      <x:c r="M1180" s="28" t="n">
        <x:v>33</x:v>
      </x:c>
      <x:c r="N1180" s="28" t="n">
        <x:v>1.862645149230957e-9</x:v>
      </x:c>
      <x:c r="O1180" s="28" t="n">
        <x:v>2.9802322387695312e-8</x:v>
      </x:c>
      <x:c r="P1180" s="28" t="n">
        <x:v>0</x:v>
      </x:c>
      <x:c r="Q1180" s="62" t="b">
        <x:v>1</x:v>
      </x:c>
      <x:c r="R1180" s="28" t="n">
        <x:v>0</x:v>
      </x:c>
      <x:c r="S1180" s="28" t="str">
        <x:v>c2d17a21614d6c24</x:v>
      </x:c>
    </x:row>
    <x:row r="1181" ht="21" customHeight="1">
      <x:c r="A1181" s="60" t="n">
        <x:v>0.64</x:v>
      </x:c>
      <x:c r="B1181" s="28" t="str">
        <x:v>back_low</x:v>
      </x:c>
      <x:c r="C1181" s="60" t="n">
        <x:v>0.9</x:v>
      </x:c>
      <x:c r="D1181" s="60" t="n">
        <x:v>0.8948658400492392</x:v>
      </x:c>
      <x:c r="E1181" s="62" t="b">
        <x:v>0</x:v>
      </x:c>
      <x:c r="F1181" s="62" t="b">
        <x:v>0</x:v>
      </x:c>
      <x:c r="G1181" s="85" t="n">
        <x:v>6092662.571067946</x:v>
      </x:c>
      <x:c r="H1181" s="85" t="n">
        <x:v>53420015.81685366</x:v>
      </x:c>
      <x:c r="I1181" s="85" t="n">
        <x:v>48760228.62693014</x:v>
      </x:c>
      <x:c r="J1181" s="85" t="n">
        <x:v>78000000</x:v>
      </x:c>
      <x:c r="K1181" s="85" t="n">
        <x:v>0</x:v>
      </x:c>
      <x:c r="L1181" s="28" t="n">
        <x:v>41</x:v>
      </x:c>
      <x:c r="M1181" s="28" t="n">
        <x:v>34</x:v>
      </x:c>
      <x:c r="N1181" s="28" t="n">
        <x:v>1.862645149230957e-9</x:v>
      </x:c>
      <x:c r="O1181" s="28" t="n">
        <x:v>2.9802322387695312e-8</x:v>
      </x:c>
      <x:c r="P1181" s="28" t="n">
        <x:v>0</x:v>
      </x:c>
      <x:c r="Q1181" s="62" t="b">
        <x:v>1</x:v>
      </x:c>
      <x:c r="R1181" s="28" t="n">
        <x:v>1540247.9852282405</x:v>
      </x:c>
      <x:c r="S1181" s="28" t="str">
        <x:v>c2ece49933fb2849</x:v>
      </x:c>
    </x:row>
    <x:row r="1182" ht="21" customHeight="1">
      <x:c r="A1182" s="60" t="n">
        <x:v>0.64</x:v>
      </x:c>
      <x:c r="B1182" s="28" t="str">
        <x:v>back_low</x:v>
      </x:c>
      <x:c r="C1182" s="60" t="n">
        <x:v>0.95</x:v>
      </x:c>
      <x:c r="D1182" s="60" t="n">
        <x:v>0.9083032015334562</x:v>
      </x:c>
      <x:c r="E1182" s="62" t="b">
        <x:v>0</x:v>
      </x:c>
      <x:c r="F1182" s="62" t="b">
        <x:v>0</x:v>
      </x:c>
      <x:c r="G1182" s="85" t="n">
        <x:v>6350419.985599329</x:v>
      </x:c>
      <x:c r="H1182" s="85" t="n">
        <x:v>55680013.806331046</x:v>
      </x:c>
      <x:c r="I1182" s="85" t="n">
        <x:v>49660602.994076625</x:v>
      </x:c>
      <x:c r="J1182" s="85" t="n">
        <x:v>78000000</x:v>
      </x:c>
      <x:c r="K1182" s="85" t="n">
        <x:v>0</x:v>
      </x:c>
      <x:c r="L1182" s="28" t="n">
        <x:v>42</x:v>
      </x:c>
      <x:c r="M1182" s="28" t="n">
        <x:v>34</x:v>
      </x:c>
      <x:c r="N1182" s="28" t="n">
        <x:v>1.862645149230957e-9</x:v>
      </x:c>
      <x:c r="O1182" s="28" t="n">
        <x:v>2.9802322387695312e-8</x:v>
      </x:c>
      <x:c r="P1182" s="28" t="n">
        <x:v>0</x:v>
      </x:c>
      <x:c r="Q1182" s="62" t="b">
        <x:v>1</x:v>
      </x:c>
      <x:c r="R1182" s="28" t="n">
        <x:v>12509039.539963126</x:v>
      </x:c>
      <x:c r="S1182" s="28" t="str">
        <x:v>90f18e6229469ab0</x:v>
      </x:c>
    </x:row>
    <x:row r="1183" ht="21" customHeight="1">
      <x:c r="A1183" s="60" t="n">
        <x:v>0.64</x:v>
      </x:c>
      <x:c r="B1183" s="28" t="str">
        <x:v>back_low</x:v>
      </x:c>
      <x:c r="C1183" s="60" t="n">
        <x:v>1</x:v>
      </x:c>
      <x:c r="D1183" s="60" t="n">
        <x:v>0.920601109498915</x:v>
      </x:c>
      <x:c r="E1183" s="62" t="b">
        <x:v>0</x:v>
      </x:c>
      <x:c r="F1183" s="62" t="b">
        <x:v>0</x:v>
      </x:c>
      <x:c r="G1183" s="85" t="n">
        <x:v>6930122.731348984</x:v>
      </x:c>
      <x:c r="H1183" s="85" t="n">
        <x:v>58314194.087704994</x:v>
      </x:c>
      <x:c r="I1183" s="85" t="n">
        <x:v>49728923.97833589</x:v>
      </x:c>
      <x:c r="J1183" s="85" t="n">
        <x:v>78000000</x:v>
      </x:c>
      <x:c r="K1183" s="85" t="n">
        <x:v>0</x:v>
      </x:c>
      <x:c r="L1183" s="28" t="n">
        <x:v>42</x:v>
      </x:c>
      <x:c r="M1183" s="28" t="n">
        <x:v>35</x:v>
      </x:c>
      <x:c r="N1183" s="28" t="n">
        <x:v>1.862645149230957e-9</x:v>
      </x:c>
      <x:c r="O1183" s="28" t="n">
        <x:v>2.9802322387695312e-8</x:v>
      </x:c>
      <x:c r="P1183" s="28" t="n">
        <x:v>0</x:v>
      </x:c>
      <x:c r="Q1183" s="62" t="b">
        <x:v>1</x:v>
      </x:c>
      <x:c r="R1183" s="28" t="n">
        <x:v>23819667.150325477</x:v>
      </x:c>
      <x:c r="S1183" s="28" t="str">
        <x:v>0fda72496f16480a</x:v>
      </x:c>
    </x:row>
    <x:row r="1184" ht="21" customHeight="1">
      <x:c r="A1184" s="60" t="n">
        <x:v>0.64</x:v>
      </x:c>
      <x:c r="B1184" s="28" t="str">
        <x:v>back_high</x:v>
      </x:c>
      <x:c r="C1184" s="60" t="n">
        <x:v>0</x:v>
      </x:c>
      <x:c r="D1184" s="60" t="n">
        <x:v>0</x:v>
      </x:c>
      <x:c r="E1184" s="62" t="b">
        <x:v>1</x:v>
      </x:c>
      <x:c r="F1184" s="62" t="b">
        <x:v>1</x:v>
      </x:c>
      <x:c r="G1184" s="85" t="n">
        <x:v>0</x:v>
      </x:c>
      <x:c r="H1184" s="85" t="n">
        <x:v>0</x:v>
      </x:c>
      <x:c r="I1184" s="85" t="n">
        <x:v>0</x:v>
      </x:c>
      <x:c r="J1184" s="85" t="n">
        <x:v>0</x:v>
      </x:c>
      <x:c r="K1184" s="85" t="n">
        <x:v>37552033.422602706</x:v>
      </x:c>
      <x:c r="L1184" s="28" t="n">
        <x:v>0</x:v>
      </x:c>
      <x:c r="M1184" s="28" t="n">
        <x:v>0</x:v>
      </x:c>
      <x:c r="N1184" s="28" t="n">
        <x:v>3.725290298461914e-9</x:v>
      </x:c>
      <x:c r="O1184" s="28" t="n">
        <x:v>0</x:v>
      </x:c>
      <x:c r="P1184" s="28" t="n">
        <x:v>0</x:v>
      </x:c>
      <x:c r="Q1184" s="62" t="b">
        <x:v>1</x:v>
      </x:c>
      <x:c r="R1184" s="28" t="n">
        <x:v>0</x:v>
      </x:c>
      <x:c r="S1184" s="28" t="str">
        <x:v>420889b2946810c3</x:v>
      </x:c>
    </x:row>
    <x:row r="1185" ht="21" customHeight="1">
      <x:c r="A1185" s="60" t="n">
        <x:v>0.64</x:v>
      </x:c>
      <x:c r="B1185" s="28" t="str">
        <x:v>back_high</x:v>
      </x:c>
      <x:c r="C1185" s="60" t="n">
        <x:v>0.05</x:v>
      </x:c>
      <x:c r="D1185" s="60" t="n">
        <x:v>0.05</x:v>
      </x:c>
      <x:c r="E1185" s="62" t="b">
        <x:v>1</x:v>
      </x:c>
      <x:c r="F1185" s="62" t="b">
        <x:v>1</x:v>
      </x:c>
      <x:c r="G1185" s="85" t="n">
        <x:v>0</x:v>
      </x:c>
      <x:c r="H1185" s="85" t="n">
        <x:v>0</x:v>
      </x:c>
      <x:c r="I1185" s="85" t="n">
        <x:v>0</x:v>
      </x:c>
      <x:c r="J1185" s="85" t="n">
        <x:v>0</x:v>
      </x:c>
      <x:c r="K1185" s="85" t="n">
        <x:v>24464040.295073222</x:v>
      </x:c>
      <x:c r="L1185" s="28" t="n">
        <x:v>0</x:v>
      </x:c>
      <x:c r="M1185" s="28" t="n">
        <x:v>0</x:v>
      </x:c>
      <x:c r="N1185" s="28" t="n">
        <x:v>3.725290298461914e-9</x:v>
      </x:c>
      <x:c r="O1185" s="28" t="n">
        <x:v>5.960464477539063e-8</x:v>
      </x:c>
      <x:c r="P1185" s="28" t="n">
        <x:v>0</x:v>
      </x:c>
      <x:c r="Q1185" s="62" t="b">
        <x:v>1</x:v>
      </x:c>
      <x:c r="R1185" s="28" t="n">
        <x:v>0</x:v>
      </x:c>
      <x:c r="S1185" s="28" t="str">
        <x:v>b47ff385f5c5e111</x:v>
      </x:c>
    </x:row>
    <x:row r="1186" ht="21" customHeight="1">
      <x:c r="A1186" s="60" t="n">
        <x:v>0.64</x:v>
      </x:c>
      <x:c r="B1186" s="28" t="str">
        <x:v>back_high</x:v>
      </x:c>
      <x:c r="C1186" s="60" t="n">
        <x:v>0.1</x:v>
      </x:c>
      <x:c r="D1186" s="60" t="n">
        <x:v>0.1</x:v>
      </x:c>
      <x:c r="E1186" s="62" t="b">
        <x:v>1</x:v>
      </x:c>
      <x:c r="F1186" s="62" t="b">
        <x:v>1</x:v>
      </x:c>
      <x:c r="G1186" s="85" t="n">
        <x:v>0</x:v>
      </x:c>
      <x:c r="H1186" s="85" t="n">
        <x:v>0</x:v>
      </x:c>
      <x:c r="I1186" s="85" t="n">
        <x:v>0</x:v>
      </x:c>
      <x:c r="J1186" s="85" t="n">
        <x:v>0</x:v>
      </x:c>
      <x:c r="K1186" s="85" t="n">
        <x:v>11217439.792921271</x:v>
      </x:c>
      <x:c r="L1186" s="28" t="n">
        <x:v>0</x:v>
      </x:c>
      <x:c r="M1186" s="28" t="n">
        <x:v>0</x:v>
      </x:c>
      <x:c r="N1186" s="28" t="n">
        <x:v>3.725290298461914e-9</x:v>
      </x:c>
      <x:c r="O1186" s="28" t="n">
        <x:v>5.960464477539063e-8</x:v>
      </x:c>
      <x:c r="P1186" s="28" t="n">
        <x:v>0</x:v>
      </x:c>
      <x:c r="Q1186" s="62" t="b">
        <x:v>1</x:v>
      </x:c>
      <x:c r="R1186" s="28" t="n">
        <x:v>0</x:v>
      </x:c>
      <x:c r="S1186" s="28" t="str">
        <x:v>5131e76a36de9138</x:v>
      </x:c>
    </x:row>
    <x:row r="1187" ht="21" customHeight="1">
      <x:c r="A1187" s="60" t="n">
        <x:v>0.64</x:v>
      </x:c>
      <x:c r="B1187" s="28" t="str">
        <x:v>back_high</x:v>
      </x:c>
      <x:c r="C1187" s="60" t="n">
        <x:v>0.15</x:v>
      </x:c>
      <x:c r="D1187" s="60" t="n">
        <x:v>0.15</x:v>
      </x:c>
      <x:c r="E1187" s="62" t="b">
        <x:v>1</x:v>
      </x:c>
      <x:c r="F1187" s="62" t="b">
        <x:v>1</x:v>
      </x:c>
      <x:c r="G1187" s="85" t="n">
        <x:v>0</x:v>
      </x:c>
      <x:c r="H1187" s="85" t="n">
        <x:v>0</x:v>
      </x:c>
      <x:c r="I1187" s="85" t="n">
        <x:v>3829856.4335136516</x:v>
      </x:c>
      <x:c r="J1187" s="85" t="n">
        <x:v>0</x:v>
      </x:c>
      <x:c r="K1187" s="85" t="n">
        <x:v>2437313.4546890752</x:v>
      </x:c>
      <x:c r="L1187" s="28" t="n">
        <x:v>0</x:v>
      </x:c>
      <x:c r="M1187" s="28" t="n">
        <x:v>0</x:v>
      </x:c>
      <x:c r="N1187" s="28" t="n">
        <x:v>3.725290298461914e-9</x:v>
      </x:c>
      <x:c r="O1187" s="28" t="n">
        <x:v>5.960464477539063e-8</x:v>
      </x:c>
      <x:c r="P1187" s="28" t="n">
        <x:v>0</x:v>
      </x:c>
      <x:c r="Q1187" s="62" t="b">
        <x:v>1</x:v>
      </x:c>
      <x:c r="R1187" s="28" t="n">
        <x:v>0</x:v>
      </x:c>
      <x:c r="S1187" s="28" t="str">
        <x:v>4dcf10fbd3a91e72</x:v>
      </x:c>
    </x:row>
    <x:row r="1188" ht="21" customHeight="1">
      <x:c r="A1188" s="60" t="n">
        <x:v>0.64</x:v>
      </x:c>
      <x:c r="B1188" s="28" t="str">
        <x:v>back_high</x:v>
      </x:c>
      <x:c r="C1188" s="60" t="n">
        <x:v>0.2</x:v>
      </x:c>
      <x:c r="D1188" s="60" t="n">
        <x:v>0.2</x:v>
      </x:c>
      <x:c r="E1188" s="62" t="b">
        <x:v>1</x:v>
      </x:c>
      <x:c r="F1188" s="62" t="b">
        <x:v>1</x:v>
      </x:c>
      <x:c r="G1188" s="85" t="n">
        <x:v>0</x:v>
      </x:c>
      <x:c r="H1188" s="85" t="n">
        <x:v>0</x:v>
      </x:c>
      <x:c r="I1188" s="85" t="n">
        <x:v>13933933.342274882</x:v>
      </x:c>
      <x:c r="J1188" s="85" t="n">
        <x:v>6341080.834812429</x:v>
      </x:c>
      <x:c r="K1188" s="85" t="n">
        <x:v>1933231.4285476245</x:v>
      </x:c>
      <x:c r="L1188" s="28" t="n">
        <x:v>0</x:v>
      </x:c>
      <x:c r="M1188" s="28" t="n">
        <x:v>0</x:v>
      </x:c>
      <x:c r="N1188" s="28" t="n">
        <x:v>1.862645149230957e-9</x:v>
      </x:c>
      <x:c r="O1188" s="28" t="n">
        <x:v>2.9802322387695312e-8</x:v>
      </x:c>
      <x:c r="P1188" s="28" t="n">
        <x:v>0</x:v>
      </x:c>
      <x:c r="Q1188" s="62" t="b">
        <x:v>1</x:v>
      </x:c>
      <x:c r="R1188" s="28" t="n">
        <x:v>0</x:v>
      </x:c>
      <x:c r="S1188" s="28" t="str">
        <x:v>e639e94925820197</x:v>
      </x:c>
    </x:row>
    <x:row r="1189" ht="21" customHeight="1">
      <x:c r="A1189" s="60" t="n">
        <x:v>0.64</x:v>
      </x:c>
      <x:c r="B1189" s="28" t="str">
        <x:v>back_high</x:v>
      </x:c>
      <x:c r="C1189" s="60" t="n">
        <x:v>0.25</x:v>
      </x:c>
      <x:c r="D1189" s="60" t="n">
        <x:v>0.25</x:v>
      </x:c>
      <x:c r="E1189" s="62" t="b">
        <x:v>1</x:v>
      </x:c>
      <x:c r="F1189" s="62" t="b">
        <x:v>1</x:v>
      </x:c>
      <x:c r="G1189" s="85" t="n">
        <x:v>0</x:v>
      </x:c>
      <x:c r="H1189" s="85" t="n">
        <x:v>0</x:v>
      </x:c>
      <x:c r="I1189" s="85" t="n">
        <x:v>22635601.410390053</x:v>
      </x:c>
      <x:c r="J1189" s="85" t="n">
        <x:v>15426351.043515662</x:v>
      </x:c>
      <x:c r="K1189" s="85" t="n">
        <x:v>1563053.9771228717</x:v>
      </x:c>
      <x:c r="L1189" s="28" t="n">
        <x:v>0</x:v>
      </x:c>
      <x:c r="M1189" s="28" t="n">
        <x:v>0</x:v>
      </x:c>
      <x:c r="N1189" s="28" t="n">
        <x:v>3.725290298461914e-9</x:v>
      </x:c>
      <x:c r="O1189" s="28" t="n">
        <x:v>2.9802322387695312e-8</x:v>
      </x:c>
      <x:c r="P1189" s="28" t="n">
        <x:v>0</x:v>
      </x:c>
      <x:c r="Q1189" s="62" t="b">
        <x:v>1</x:v>
      </x:c>
      <x:c r="R1189" s="28" t="n">
        <x:v>0</x:v>
      </x:c>
      <x:c r="S1189" s="28" t="str">
        <x:v>3b1928f969a30c67</x:v>
      </x:c>
    </x:row>
    <x:row r="1190" ht="21" customHeight="1">
      <x:c r="A1190" s="60" t="n">
        <x:v>0.64</x:v>
      </x:c>
      <x:c r="B1190" s="28" t="str">
        <x:v>back_high</x:v>
      </x:c>
      <x:c r="C1190" s="60" t="n">
        <x:v>0.3</x:v>
      </x:c>
      <x:c r="D1190" s="60" t="n">
        <x:v>0.3</x:v>
      </x:c>
      <x:c r="E1190" s="62" t="b">
        <x:v>1</x:v>
      </x:c>
      <x:c r="F1190" s="62" t="b">
        <x:v>1</x:v>
      </x:c>
      <x:c r="G1190" s="85" t="n">
        <x:v>0</x:v>
      </x:c>
      <x:c r="H1190" s="85" t="n">
        <x:v>0</x:v>
      </x:c>
      <x:c r="I1190" s="85" t="n">
        <x:v>31473282.436166584</x:v>
      </x:c>
      <x:c r="J1190" s="85" t="n">
        <x:v>24511621.252218686</x:v>
      </x:c>
      <x:c r="K1190" s="85" t="n">
        <x:v>1289022.466100333</x:v>
      </x:c>
      <x:c r="L1190" s="28" t="n">
        <x:v>0</x:v>
      </x:c>
      <x:c r="M1190" s="28" t="n">
        <x:v>0</x:v>
      </x:c>
      <x:c r="N1190" s="28" t="n">
        <x:v>3.725290298461914e-9</x:v>
      </x:c>
      <x:c r="O1190" s="28" t="n">
        <x:v>2.9802322387695312e-8</x:v>
      </x:c>
      <x:c r="P1190" s="28" t="n">
        <x:v>0</x:v>
      </x:c>
      <x:c r="Q1190" s="62" t="b">
        <x:v>1</x:v>
      </x:c>
      <x:c r="R1190" s="28" t="n">
        <x:v>0</x:v>
      </x:c>
      <x:c r="S1190" s="28" t="str">
        <x:v>51fa3404a371a247</x:v>
      </x:c>
    </x:row>
    <x:row r="1191" ht="21" customHeight="1">
      <x:c r="A1191" s="60" t="n">
        <x:v>0.64</x:v>
      </x:c>
      <x:c r="B1191" s="28" t="str">
        <x:v>back_high</x:v>
      </x:c>
      <x:c r="C1191" s="60" t="n">
        <x:v>0.35</x:v>
      </x:c>
      <x:c r="D1191" s="60" t="n">
        <x:v>0.35</x:v>
      </x:c>
      <x:c r="E1191" s="62" t="b">
        <x:v>1</x:v>
      </x:c>
      <x:c r="F1191" s="62" t="b">
        <x:v>1</x:v>
      </x:c>
      <x:c r="G1191" s="85" t="n">
        <x:v>0</x:v>
      </x:c>
      <x:c r="H1191" s="85" t="n">
        <x:v>0</x:v>
      </x:c>
      <x:c r="I1191" s="85" t="n">
        <x:v>40318536.875239015</x:v>
      </x:c>
      <x:c r="J1191" s="85" t="n">
        <x:v>33596891.460921764</x:v>
      </x:c>
      <x:c r="K1191" s="85" t="n">
        <x:v>1078089.8549709222</x:v>
      </x:c>
      <x:c r="L1191" s="28" t="n">
        <x:v>0</x:v>
      </x:c>
      <x:c r="M1191" s="28" t="n">
        <x:v>0</x:v>
      </x:c>
      <x:c r="N1191" s="28" t="n">
        <x:v>1.862645149230957e-9</x:v>
      </x:c>
      <x:c r="O1191" s="28" t="n">
        <x:v>2.9802322387695312e-8</x:v>
      </x:c>
      <x:c r="P1191" s="28" t="n">
        <x:v>0</x:v>
      </x:c>
      <x:c r="Q1191" s="62" t="b">
        <x:v>1</x:v>
      </x:c>
      <x:c r="R1191" s="28" t="n">
        <x:v>0</x:v>
      </x:c>
      <x:c r="S1191" s="28" t="str">
        <x:v>59b6c376ec4a5414</x:v>
      </x:c>
    </x:row>
    <x:row r="1192" ht="21" customHeight="1">
      <x:c r="A1192" s="60" t="n">
        <x:v>0.64</x:v>
      </x:c>
      <x:c r="B1192" s="28" t="str">
        <x:v>back_high</x:v>
      </x:c>
      <x:c r="C1192" s="60" t="n">
        <x:v>0.4</x:v>
      </x:c>
      <x:c r="D1192" s="60" t="n">
        <x:v>0.4</x:v>
      </x:c>
      <x:c r="E1192" s="62" t="b">
        <x:v>1</x:v>
      </x:c>
      <x:c r="F1192" s="62" t="b">
        <x:v>1</x:v>
      </x:c>
      <x:c r="G1192" s="85" t="n">
        <x:v>0</x:v>
      </x:c>
      <x:c r="H1192" s="85" t="n">
        <x:v>0</x:v>
      </x:c>
      <x:c r="I1192" s="85" t="n">
        <x:v>49271218.7377487</x:v>
      </x:c>
      <x:c r="J1192" s="85" t="n">
        <x:v>42682161.66962495</x:v>
      </x:c>
      <x:c r="K1192" s="85" t="n">
        <x:v>935903.1714630235</x:v>
      </x:c>
      <x:c r="L1192" s="28" t="n">
        <x:v>0</x:v>
      </x:c>
      <x:c r="M1192" s="28" t="n">
        <x:v>0</x:v>
      </x:c>
      <x:c r="N1192" s="28" t="n">
        <x:v>3.725290298461914e-9</x:v>
      </x:c>
      <x:c r="O1192" s="28" t="n">
        <x:v>2.9802322387695312e-8</x:v>
      </x:c>
      <x:c r="P1192" s="28" t="n">
        <x:v>0</x:v>
      </x:c>
      <x:c r="Q1192" s="62" t="b">
        <x:v>1</x:v>
      </x:c>
      <x:c r="R1192" s="28" t="n">
        <x:v>0</x:v>
      </x:c>
      <x:c r="S1192" s="28" t="str">
        <x:v>d82a7e2248b2dc55</x:v>
      </x:c>
    </x:row>
    <x:row r="1193" ht="21" customHeight="1">
      <x:c r="A1193" s="60" t="n">
        <x:v>0.64</x:v>
      </x:c>
      <x:c r="B1193" s="28" t="str">
        <x:v>back_high</x:v>
      </x:c>
      <x:c r="C1193" s="60" t="n">
        <x:v>0.45</x:v>
      </x:c>
      <x:c r="D1193" s="60" t="n">
        <x:v>0.45</x:v>
      </x:c>
      <x:c r="E1193" s="62" t="b">
        <x:v>1</x:v>
      </x:c>
      <x:c r="F1193" s="62" t="b">
        <x:v>1</x:v>
      </x:c>
      <x:c r="G1193" s="85" t="n">
        <x:v>0</x:v>
      </x:c>
      <x:c r="H1193" s="85" t="n">
        <x:v>0</x:v>
      </x:c>
      <x:c r="I1193" s="85" t="n">
        <x:v>58685712.809473</x:v>
      </x:c>
      <x:c r="J1193" s="85" t="n">
        <x:v>49520082.149809524</x:v>
      </x:c>
      <x:c r="K1193" s="85" t="n">
        <x:v>839811.6303958823</x:v>
      </x:c>
      <x:c r="L1193" s="28" t="n">
        <x:v>4</x:v>
      </x:c>
      <x:c r="M1193" s="28" t="n">
        <x:v>0</x:v>
      </x:c>
      <x:c r="N1193" s="28" t="n">
        <x:v>3.725290298461914e-9</x:v>
      </x:c>
      <x:c r="O1193" s="28" t="n">
        <x:v>1.4901161193847656e-8</x:v>
      </x:c>
      <x:c r="P1193" s="28" t="n">
        <x:v>0</x:v>
      </x:c>
      <x:c r="Q1193" s="62" t="b">
        <x:v>1</x:v>
      </x:c>
      <x:c r="R1193" s="28" t="n">
        <x:v>0</x:v>
      </x:c>
      <x:c r="S1193" s="28" t="str">
        <x:v>eeb31edffd94e1b0</x:v>
      </x:c>
    </x:row>
    <x:row r="1194" ht="21" customHeight="1">
      <x:c r="A1194" s="60" t="n">
        <x:v>0.64</x:v>
      </x:c>
      <x:c r="B1194" s="28" t="str">
        <x:v>back_high</x:v>
      </x:c>
      <x:c r="C1194" s="60" t="n">
        <x:v>0.5</x:v>
      </x:c>
      <x:c r="D1194" s="60" t="n">
        <x:v>0.5</x:v>
      </x:c>
      <x:c r="E1194" s="62" t="b">
        <x:v>1</x:v>
      </x:c>
      <x:c r="F1194" s="62" t="b">
        <x:v>1</x:v>
      </x:c>
      <x:c r="G1194" s="85" t="n">
        <x:v>0</x:v>
      </x:c>
      <x:c r="H1194" s="85" t="n">
        <x:v>0</x:v>
      </x:c>
      <x:c r="I1194" s="85" t="n">
        <x:v>68046415.85177845</x:v>
      </x:c>
      <x:c r="J1194" s="85" t="n">
        <x:v>56157658.00571618</x:v>
      </x:c>
      <x:c r="K1194" s="85" t="n">
        <x:v>743720.0893287568</x:v>
      </x:c>
      <x:c r="L1194" s="28" t="n">
        <x:v>8</x:v>
      </x:c>
      <x:c r="M1194" s="28" t="n">
        <x:v>3</x:v>
      </x:c>
      <x:c r="N1194" s="28" t="n">
        <x:v>3.725290298461914e-9</x:v>
      </x:c>
      <x:c r="O1194" s="28" t="n">
        <x:v>2.9802322387695312e-8</x:v>
      </x:c>
      <x:c r="P1194" s="28" t="n">
        <x:v>0</x:v>
      </x:c>
      <x:c r="Q1194" s="62" t="b">
        <x:v>1</x:v>
      </x:c>
      <x:c r="R1194" s="28" t="n">
        <x:v>0</x:v>
      </x:c>
      <x:c r="S1194" s="28" t="str">
        <x:v>da39c9e50adcdced</x:v>
      </x:c>
    </x:row>
    <x:row r="1195" ht="21" customHeight="1">
      <x:c r="A1195" s="60" t="n">
        <x:v>0.64</x:v>
      </x:c>
      <x:c r="B1195" s="28" t="str">
        <x:v>back_high</x:v>
      </x:c>
      <x:c r="C1195" s="60" t="n">
        <x:v>0.55</x:v>
      </x:c>
      <x:c r="D1195" s="60" t="n">
        <x:v>0.55</x:v>
      </x:c>
      <x:c r="E1195" s="62" t="b">
        <x:v>1</x:v>
      </x:c>
      <x:c r="F1195" s="62" t="b">
        <x:v>1</x:v>
      </x:c>
      <x:c r="G1195" s="85" t="n">
        <x:v>0</x:v>
      </x:c>
      <x:c r="H1195" s="85" t="n">
        <x:v>0</x:v>
      </x:c>
      <x:c r="I1195" s="85" t="n">
        <x:v>77084224.37685266</x:v>
      </x:c>
      <x:c r="J1195" s="85" t="n">
        <x:v>63928838.40227621</x:v>
      </x:c>
      <x:c r="K1195" s="85" t="n">
        <x:v>647628.5482616333</x:v>
      </x:c>
      <x:c r="L1195" s="28" t="n">
        <x:v>12</x:v>
      </x:c>
      <x:c r="M1195" s="28" t="n">
        <x:v>6</x:v>
      </x:c>
      <x:c r="N1195" s="28" t="n">
        <x:v>3.725290298461914e-9</x:v>
      </x:c>
      <x:c r="O1195" s="28" t="n">
        <x:v>2.9802322387695312e-8</x:v>
      </x:c>
      <x:c r="P1195" s="28" t="n">
        <x:v>0</x:v>
      </x:c>
      <x:c r="Q1195" s="62" t="b">
        <x:v>1</x:v>
      </x:c>
      <x:c r="R1195" s="28" t="n">
        <x:v>0</x:v>
      </x:c>
      <x:c r="S1195" s="28" t="str">
        <x:v>bcade7af65b1b6e7</x:v>
      </x:c>
    </x:row>
    <x:row r="1196" ht="21" customHeight="1">
      <x:c r="A1196" s="60" t="n">
        <x:v>0.64</x:v>
      </x:c>
      <x:c r="B1196" s="28" t="str">
        <x:v>back_high</x:v>
      </x:c>
      <x:c r="C1196" s="60" t="n">
        <x:v>0.6</x:v>
      </x:c>
      <x:c r="D1196" s="60" t="n">
        <x:v>0.6</x:v>
      </x:c>
      <x:c r="E1196" s="62" t="b">
        <x:v>1</x:v>
      </x:c>
      <x:c r="F1196" s="62" t="b">
        <x:v>1</x:v>
      </x:c>
      <x:c r="G1196" s="85" t="n">
        <x:v>0</x:v>
      </x:c>
      <x:c r="H1196" s="85" t="n">
        <x:v>0</x:v>
      </x:c>
      <x:c r="I1196" s="85" t="n">
        <x:v>85569345.22790545</x:v>
      </x:c>
      <x:c r="J1196" s="85" t="n">
        <x:v>73899804.34282073</x:v>
      </x:c>
      <x:c r="K1196" s="85" t="n">
        <x:v>551537.007194517</x:v>
      </x:c>
      <x:c r="L1196" s="28" t="n">
        <x:v>15</x:v>
      </x:c>
      <x:c r="M1196" s="28" t="n">
        <x:v>9</x:v>
      </x:c>
      <x:c r="N1196" s="28" t="n">
        <x:v>1.862645149230957e-9</x:v>
      </x:c>
      <x:c r="O1196" s="28" t="n">
        <x:v>2.9802322387695312e-8</x:v>
      </x:c>
      <x:c r="P1196" s="28" t="n">
        <x:v>0</x:v>
      </x:c>
      <x:c r="Q1196" s="62" t="b">
        <x:v>1</x:v>
      </x:c>
      <x:c r="R1196" s="28" t="n">
        <x:v>0</x:v>
      </x:c>
      <x:c r="S1196" s="28" t="str">
        <x:v>9f029ff363164419</x:v>
      </x:c>
    </x:row>
    <x:row r="1197" ht="21" customHeight="1">
      <x:c r="A1197" s="60" t="n">
        <x:v>0.64</x:v>
      </x:c>
      <x:c r="B1197" s="28" t="str">
        <x:v>back_high</x:v>
      </x:c>
      <x:c r="C1197" s="60" t="n">
        <x:v>0.65</x:v>
      </x:c>
      <x:c r="D1197" s="60" t="n">
        <x:v>0.65</x:v>
      </x:c>
      <x:c r="E1197" s="62" t="b">
        <x:v>1</x:v>
      </x:c>
      <x:c r="F1197" s="62" t="b">
        <x:v>0</x:v>
      </x:c>
      <x:c r="G1197" s="85" t="n">
        <x:v>2797025.6021267343</x:v>
      </x:c>
      <x:c r="H1197" s="85" t="n">
        <x:v>9617579.798632605</x:v>
      </x:c>
      <x:c r="I1197" s="85" t="n">
        <x:v>88503779.08355029</x:v>
      </x:c>
      <x:c r="J1197" s="85" t="n">
        <x:v>78000000</x:v>
      </x:c>
      <x:c r="K1197" s="85" t="n">
        <x:v>468367.797217814</x:v>
      </x:c>
      <x:c r="L1197" s="28" t="n">
        <x:v>38</x:v>
      </x:c>
      <x:c r="M1197" s="28" t="n">
        <x:v>34</x:v>
      </x:c>
      <x:c r="N1197" s="28" t="n">
        <x:v>1.862645149230957e-9</x:v>
      </x:c>
      <x:c r="O1197" s="28" t="n">
        <x:v>1.4901161193847656e-8</x:v>
      </x:c>
      <x:c r="P1197" s="28" t="n">
        <x:v>0</x:v>
      </x:c>
      <x:c r="Q1197" s="62" t="b">
        <x:v>1</x:v>
      </x:c>
      <x:c r="R1197" s="28" t="n">
        <x:v>0</x:v>
      </x:c>
      <x:c r="S1197" s="28" t="str">
        <x:v>08a0cc9eeb37793a</x:v>
      </x:c>
    </x:row>
    <x:row r="1198" ht="21" customHeight="1">
      <x:c r="A1198" s="60" t="n">
        <x:v>0.64</x:v>
      </x:c>
      <x:c r="B1198" s="28" t="str">
        <x:v>back_high</x:v>
      </x:c>
      <x:c r="C1198" s="60" t="n">
        <x:v>0.7</x:v>
      </x:c>
      <x:c r="D1198" s="60" t="n">
        <x:v>0.7</x:v>
      </x:c>
      <x:c r="E1198" s="62" t="b">
        <x:v>1</x:v>
      </x:c>
      <x:c r="F1198" s="62" t="b">
        <x:v>0</x:v>
      </x:c>
      <x:c r="G1198" s="85" t="n">
        <x:v>6480099.426153048</x:v>
      </x:c>
      <x:c r="H1198" s="85" t="n">
        <x:v>21475779.90197996</x:v>
      </x:c>
      <x:c r="I1198" s="85" t="n">
        <x:v>90203743.21529211</x:v>
      </x:c>
      <x:c r="J1198" s="85" t="n">
        <x:v>78000000</x:v>
      </x:c>
      <x:c r="K1198" s="85" t="n">
        <x:v>439092.7147917815</x:v>
      </x:c>
      <x:c r="L1198" s="28" t="n">
        <x:v>39</x:v>
      </x:c>
      <x:c r="M1198" s="28" t="n">
        <x:v>35</x:v>
      </x:c>
      <x:c r="N1198" s="28" t="n">
        <x:v>1.862645149230957e-9</x:v>
      </x:c>
      <x:c r="O1198" s="28" t="n">
        <x:v>2.9802322387695312e-8</x:v>
      </x:c>
      <x:c r="P1198" s="28" t="n">
        <x:v>0</x:v>
      </x:c>
      <x:c r="Q1198" s="62" t="b">
        <x:v>1</x:v>
      </x:c>
      <x:c r="R1198" s="28" t="n">
        <x:v>0</x:v>
      </x:c>
      <x:c r="S1198" s="28" t="str">
        <x:v>066e01a19a7bea2a</x:v>
      </x:c>
    </x:row>
    <x:row r="1199" ht="21" customHeight="1">
      <x:c r="A1199" s="60" t="n">
        <x:v>0.64</x:v>
      </x:c>
      <x:c r="B1199" s="28" t="str">
        <x:v>back_high</x:v>
      </x:c>
      <x:c r="C1199" s="60" t="n">
        <x:v>0.75</x:v>
      </x:c>
      <x:c r="D1199" s="60" t="n">
        <x:v>0.75</x:v>
      </x:c>
      <x:c r="E1199" s="62" t="b">
        <x:v>1</x:v>
      </x:c>
      <x:c r="F1199" s="62" t="b">
        <x:v>0</x:v>
      </x:c>
      <x:c r="G1199" s="85" t="n">
        <x:v>10760019.450906103</x:v>
      </x:c>
      <x:c r="H1199" s="85" t="n">
        <x:v>32877122.210723862</x:v>
      </x:c>
      <x:c r="I1199" s="85" t="n">
        <x:v>91763438.57180262</x:v>
      </x:c>
      <x:c r="J1199" s="85" t="n">
        <x:v>78000000</x:v>
      </x:c>
      <x:c r="K1199" s="85" t="n">
        <x:v>410077.0230890303</x:v>
      </x:c>
      <x:c r="L1199" s="28" t="n">
        <x:v>40</x:v>
      </x:c>
      <x:c r="M1199" s="28" t="n">
        <x:v>36</x:v>
      </x:c>
      <x:c r="N1199" s="28" t="n">
        <x:v>1.862645149230957e-9</x:v>
      </x:c>
      <x:c r="O1199" s="28" t="n">
        <x:v>2.9802322387695312e-8</x:v>
      </x:c>
      <x:c r="P1199" s="28" t="n">
        <x:v>0</x:v>
      </x:c>
      <x:c r="Q1199" s="62" t="b">
        <x:v>1</x:v>
      </x:c>
      <x:c r="R1199" s="28" t="n">
        <x:v>0</x:v>
      </x:c>
      <x:c r="S1199" s="28" t="str">
        <x:v>5a863052861d5e26</x:v>
      </x:c>
    </x:row>
    <x:row r="1200" ht="21" customHeight="1">
      <x:c r="A1200" s="60" t="n">
        <x:v>0.64</x:v>
      </x:c>
      <x:c r="B1200" s="28" t="str">
        <x:v>back_high</x:v>
      </x:c>
      <x:c r="C1200" s="60" t="n">
        <x:v>0.8</x:v>
      </x:c>
      <x:c r="D1200" s="60" t="n">
        <x:v>0.8</x:v>
      </x:c>
      <x:c r="E1200" s="62" t="b">
        <x:v>1</x:v>
      </x:c>
      <x:c r="F1200" s="62" t="b">
        <x:v>0</x:v>
      </x:c>
      <x:c r="G1200" s="85" t="n">
        <x:v>15494980.615780642</x:v>
      </x:c>
      <x:c r="H1200" s="85" t="n">
        <x:v>46014414.85400149</x:v>
      </x:c>
      <x:c r="I1200" s="85" t="n">
        <x:v>92065072.13212188</x:v>
      </x:c>
      <x:c r="J1200" s="85" t="n">
        <x:v>78000000</x:v>
      </x:c>
      <x:c r="K1200" s="85" t="n">
        <x:v>381061.3313863006</x:v>
      </x:c>
      <x:c r="L1200" s="28" t="n">
        <x:v>40</x:v>
      </x:c>
      <x:c r="M1200" s="28" t="n">
        <x:v>36</x:v>
      </x:c>
      <x:c r="N1200" s="28" t="n">
        <x:v>1.862645149230957e-9</x:v>
      </x:c>
      <x:c r="O1200" s="28" t="n">
        <x:v>1.4901161193847656e-8</x:v>
      </x:c>
      <x:c r="P1200" s="28" t="n">
        <x:v>0</x:v>
      </x:c>
      <x:c r="Q1200" s="62" t="b">
        <x:v>1</x:v>
      </x:c>
      <x:c r="R1200" s="28" t="n">
        <x:v>0</x:v>
      </x:c>
      <x:c r="S1200" s="28" t="str">
        <x:v>f60a9352663ecd91</x:v>
      </x:c>
    </x:row>
    <x:row r="1201" ht="21" customHeight="1">
      <x:c r="A1201" s="60" t="n">
        <x:v>0.64</x:v>
      </x:c>
      <x:c r="B1201" s="28" t="str">
        <x:v>back_high</x:v>
      </x:c>
      <x:c r="C1201" s="60" t="n">
        <x:v>0.85</x:v>
      </x:c>
      <x:c r="D1201" s="60" t="n">
        <x:v>0.85</x:v>
      </x:c>
      <x:c r="E1201" s="62" t="b">
        <x:v>1</x:v>
      </x:c>
      <x:c r="F1201" s="62" t="b">
        <x:v>0</x:v>
      </x:c>
      <x:c r="G1201" s="85" t="n">
        <x:v>22712074.86663863</x:v>
      </x:c>
      <x:c r="H1201" s="85" t="n">
        <x:v>55013521.71316838</x:v>
      </x:c>
      <x:c r="I1201" s="85" t="n">
        <x:v>93767579.97175138</x:v>
      </x:c>
      <x:c r="J1201" s="85" t="n">
        <x:v>78000000</x:v>
      </x:c>
      <x:c r="K1201" s="85" t="n">
        <x:v>352045.6396835736</x:v>
      </x:c>
      <x:c r="L1201" s="28" t="n">
        <x:v>41</x:v>
      </x:c>
      <x:c r="M1201" s="28" t="n">
        <x:v>37</x:v>
      </x:c>
      <x:c r="N1201" s="28" t="n">
        <x:v>1.862645149230957e-9</x:v>
      </x:c>
      <x:c r="O1201" s="28" t="n">
        <x:v>2.9802322387695312e-8</x:v>
      </x:c>
      <x:c r="P1201" s="28" t="n">
        <x:v>0</x:v>
      </x:c>
      <x:c r="Q1201" s="62" t="b">
        <x:v>1</x:v>
      </x:c>
      <x:c r="R1201" s="28" t="n">
        <x:v>0</x:v>
      </x:c>
      <x:c r="S1201" s="28" t="str">
        <x:v>d3fbeba1289fbce9</x:v>
      </x:c>
    </x:row>
    <x:row r="1202" ht="21" customHeight="1">
      <x:c r="A1202" s="60" t="n">
        <x:v>0.64</x:v>
      </x:c>
      <x:c r="B1202" s="28" t="str">
        <x:v>back_high</x:v>
      </x:c>
      <x:c r="C1202" s="60" t="n">
        <x:v>0.9</x:v>
      </x:c>
      <x:c r="D1202" s="60" t="n">
        <x:v>0.8948658400492392</x:v>
      </x:c>
      <x:c r="E1202" s="62" t="b">
        <x:v>0</x:v>
      </x:c>
      <x:c r="F1202" s="62" t="b">
        <x:v>0</x:v>
      </x:c>
      <x:c r="G1202" s="85" t="n">
        <x:v>27714224.360448144</x:v>
      </x:c>
      <x:c r="H1202" s="85" t="n">
        <x:v>62390935.2237259</x:v>
      </x:c>
      <x:c r="I1202" s="85" t="n">
        <x:v>94026554.50820412</x:v>
      </x:c>
      <x:c r="J1202" s="85" t="n">
        <x:v>78000000</x:v>
      </x:c>
      <x:c r="K1202" s="85" t="n">
        <x:v>323029.94798082067</x:v>
      </x:c>
      <x:c r="L1202" s="28" t="n">
        <x:v>41</x:v>
      </x:c>
      <x:c r="M1202" s="28" t="n">
        <x:v>38</x:v>
      </x:c>
      <x:c r="N1202" s="28" t="n">
        <x:v>1.862645149230957e-9</x:v>
      </x:c>
      <x:c r="O1202" s="28" t="n">
        <x:v>2.9802322387695312e-8</x:v>
      </x:c>
      <x:c r="P1202" s="28" t="n">
        <x:v>0</x:v>
      </x:c>
      <x:c r="Q1202" s="62" t="b">
        <x:v>1</x:v>
      </x:c>
      <x:c r="R1202" s="28" t="n">
        <x:v>1540247.9852282405</x:v>
      </x:c>
      <x:c r="S1202" s="28" t="str">
        <x:v>ee3ecbb2df564dd8</x:v>
      </x:c>
    </x:row>
    <x:row r="1203" ht="21" customHeight="1">
      <x:c r="A1203" s="60" t="n">
        <x:v>0.64</x:v>
      </x:c>
      <x:c r="B1203" s="28" t="str">
        <x:v>back_high</x:v>
      </x:c>
      <x:c r="C1203" s="60" t="n">
        <x:v>0.95</x:v>
      </x:c>
      <x:c r="D1203" s="60" t="n">
        <x:v>0.9083032015334562</x:v>
      </x:c>
      <x:c r="E1203" s="62" t="b">
        <x:v>0</x:v>
      </x:c>
      <x:c r="F1203" s="62" t="b">
        <x:v>0</x:v>
      </x:c>
      <x:c r="G1203" s="85" t="n">
        <x:v>28919907.362042237</x:v>
      </x:c>
      <x:c r="H1203" s="85" t="n">
        <x:v>65105198.090131745</x:v>
      </x:c>
      <x:c r="I1203" s="85" t="n">
        <x:v>95613435.4951339</x:v>
      </x:c>
      <x:c r="J1203" s="85" t="n">
        <x:v>78000000</x:v>
      </x:c>
      <x:c r="K1203" s="85" t="n">
        <x:v>294014.25627808063</x:v>
      </x:c>
      <x:c r="L1203" s="28" t="n">
        <x:v>42</x:v>
      </x:c>
      <x:c r="M1203" s="28" t="n">
        <x:v>38</x:v>
      </x:c>
      <x:c r="N1203" s="28" t="n">
        <x:v>3.725290298461914e-9</x:v>
      </x:c>
      <x:c r="O1203" s="28" t="n">
        <x:v>2.9802322387695312e-8</x:v>
      </x:c>
      <x:c r="P1203" s="28" t="n">
        <x:v>0</x:v>
      </x:c>
      <x:c r="Q1203" s="62" t="b">
        <x:v>1</x:v>
      </x:c>
      <x:c r="R1203" s="28" t="n">
        <x:v>12509039.539963126</x:v>
      </x:c>
      <x:c r="S1203" s="28" t="str">
        <x:v>945fa29502be613d</x:v>
      </x:c>
    </x:row>
    <x:row r="1204" ht="21" customHeight="1">
      <x:c r="A1204" s="60" t="n">
        <x:v>0.64</x:v>
      </x:c>
      <x:c r="B1204" s="28" t="str">
        <x:v>back_high</x:v>
      </x:c>
      <x:c r="C1204" s="60" t="n">
        <x:v>1</x:v>
      </x:c>
      <x:c r="D1204" s="60" t="n">
        <x:v>0.920601109498915</x:v>
      </x:c>
      <x:c r="E1204" s="62" t="b">
        <x:v>0</x:v>
      </x:c>
      <x:c r="F1204" s="62" t="b">
        <x:v>0</x:v>
      </x:c>
      <x:c r="G1204" s="85" t="n">
        <x:v>31540139.306953244</x:v>
      </x:c>
      <x:c r="H1204" s="85" t="n">
        <x:v>68142622.00659363</x:v>
      </x:c>
      <x:c r="I1204" s="85" t="n">
        <x:v>95797801.83236878</x:v>
      </x:c>
      <x:c r="J1204" s="85" t="n">
        <x:v>78000000</x:v>
      </x:c>
      <x:c r="K1204" s="85" t="n">
        <x:v>264998.5645753416</x:v>
      </x:c>
      <x:c r="L1204" s="28" t="n">
        <x:v>42</x:v>
      </x:c>
      <x:c r="M1204" s="28" t="n">
        <x:v>39</x:v>
      </x:c>
      <x:c r="N1204" s="28" t="n">
        <x:v>1.862645149230957e-9</x:v>
      </x:c>
      <x:c r="O1204" s="28" t="n">
        <x:v>2.9802322387695312e-8</x:v>
      </x:c>
      <x:c r="P1204" s="28" t="n">
        <x:v>0</x:v>
      </x:c>
      <x:c r="Q1204" s="62" t="b">
        <x:v>1</x:v>
      </x:c>
      <x:c r="R1204" s="28" t="n">
        <x:v>23819667.150325477</x:v>
      </x:c>
      <x:c r="S1204" s="28" t="str">
        <x:v>40a21965d4fd7395</x:v>
      </x:c>
    </x:row>
    <x:row r="1205" ht="21" customHeight="1">
      <x:c r="A1205" s="60" t="n">
        <x:v>0.64</x:v>
      </x:c>
      <x:c r="B1205" s="28" t="str">
        <x:v>level_flat</x:v>
      </x:c>
      <x:c r="C1205" s="60" t="n">
        <x:v>0</x:v>
      </x:c>
      <x:c r="D1205" s="60" t="n">
        <x:v>0</x:v>
      </x:c>
      <x:c r="E1205" s="62" t="b">
        <x:v>1</x:v>
      </x:c>
      <x:c r="F1205" s="62" t="b">
        <x:v>1</x:v>
      </x:c>
      <x:c r="G1205" s="85" t="n">
        <x:v>0</x:v>
      </x:c>
      <x:c r="H1205" s="85" t="n">
        <x:v>0</x:v>
      </x:c>
      <x:c r="I1205" s="85" t="n">
        <x:v>0</x:v>
      </x:c>
      <x:c r="J1205" s="85" t="n">
        <x:v>0</x:v>
      </x:c>
      <x:c r="K1205" s="85" t="n">
        <x:v>32734320.682876706</x:v>
      </x:c>
      <x:c r="L1205" s="28" t="n">
        <x:v>0</x:v>
      </x:c>
      <x:c r="M1205" s="28" t="n">
        <x:v>0</x:v>
      </x:c>
      <x:c r="N1205" s="28" t="n">
        <x:v>3.725290298461914e-9</x:v>
      </x:c>
      <x:c r="O1205" s="28" t="n">
        <x:v>0</x:v>
      </x:c>
      <x:c r="P1205" s="28" t="n">
        <x:v>0</x:v>
      </x:c>
      <x:c r="Q1205" s="62" t="b">
        <x:v>1</x:v>
      </x:c>
      <x:c r="R1205" s="28" t="n">
        <x:v>0</x:v>
      </x:c>
      <x:c r="S1205" s="28" t="str">
        <x:v>ad2a89e020c5b2df</x:v>
      </x:c>
    </x:row>
    <x:row r="1206" ht="21" customHeight="1">
      <x:c r="A1206" s="60" t="n">
        <x:v>0.64</x:v>
      </x:c>
      <x:c r="B1206" s="28" t="str">
        <x:v>level_flat</x:v>
      </x:c>
      <x:c r="C1206" s="60" t="n">
        <x:v>0.05</x:v>
      </x:c>
      <x:c r="D1206" s="60" t="n">
        <x:v>0.05</x:v>
      </x:c>
      <x:c r="E1206" s="62" t="b">
        <x:v>1</x:v>
      </x:c>
      <x:c r="F1206" s="62" t="b">
        <x:v>1</x:v>
      </x:c>
      <x:c r="G1206" s="85" t="n">
        <x:v>0</x:v>
      </x:c>
      <x:c r="H1206" s="85" t="n">
        <x:v>0</x:v>
      </x:c>
      <x:c r="I1206" s="85" t="n">
        <x:v>0</x:v>
      </x:c>
      <x:c r="J1206" s="85" t="n">
        <x:v>0</x:v>
      </x:c>
      <x:c r="K1206" s="85" t="n">
        <x:v>20834182.55768352</x:v>
      </x:c>
      <x:c r="L1206" s="28" t="n">
        <x:v>0</x:v>
      </x:c>
      <x:c r="M1206" s="28" t="n">
        <x:v>0</x:v>
      </x:c>
      <x:c r="N1206" s="28" t="n">
        <x:v>1.862645149230957e-9</x:v>
      </x:c>
      <x:c r="O1206" s="28" t="n">
        <x:v>2.9802322387695312e-8</x:v>
      </x:c>
      <x:c r="P1206" s="28" t="n">
        <x:v>0</x:v>
      </x:c>
      <x:c r="Q1206" s="62" t="b">
        <x:v>1</x:v>
      </x:c>
      <x:c r="R1206" s="28" t="n">
        <x:v>0</x:v>
      </x:c>
      <x:c r="S1206" s="28" t="str">
        <x:v>8d537f211138973f</x:v>
      </x:c>
    </x:row>
    <x:row r="1207" ht="21" customHeight="1">
      <x:c r="A1207" s="60" t="n">
        <x:v>0.64</x:v>
      </x:c>
      <x:c r="B1207" s="28" t="str">
        <x:v>level_flat</x:v>
      </x:c>
      <x:c r="C1207" s="60" t="n">
        <x:v>0.1</x:v>
      </x:c>
      <x:c r="D1207" s="60" t="n">
        <x:v>0.1</x:v>
      </x:c>
      <x:c r="E1207" s="62" t="b">
        <x:v>1</x:v>
      </x:c>
      <x:c r="F1207" s="62" t="b">
        <x:v>1</x:v>
      </x:c>
      <x:c r="G1207" s="85" t="n">
        <x:v>0</x:v>
      </x:c>
      <x:c r="H1207" s="85" t="n">
        <x:v>0</x:v>
      </x:c>
      <x:c r="I1207" s="85" t="n">
        <x:v>0</x:v>
      </x:c>
      <x:c r="J1207" s="85" t="n">
        <x:v>0</x:v>
      </x:c>
      <x:c r="K1207" s="85" t="n">
        <x:v>8816100.273455296</x:v>
      </x:c>
      <x:c r="L1207" s="28" t="n">
        <x:v>0</x:v>
      </x:c>
      <x:c r="M1207" s="28" t="n">
        <x:v>0</x:v>
      </x:c>
      <x:c r="N1207" s="28" t="n">
        <x:v>3.725290298461914e-9</x:v>
      </x:c>
      <x:c r="O1207" s="28" t="n">
        <x:v>5.960464477539063e-8</x:v>
      </x:c>
      <x:c r="P1207" s="28" t="n">
        <x:v>0</x:v>
      </x:c>
      <x:c r="Q1207" s="62" t="b">
        <x:v>1</x:v>
      </x:c>
      <x:c r="R1207" s="28" t="n">
        <x:v>0</x:v>
      </x:c>
      <x:c r="S1207" s="28" t="str">
        <x:v>b0548f23e4d3342f</x:v>
      </x:c>
    </x:row>
    <x:row r="1208" ht="21" customHeight="1">
      <x:c r="A1208" s="60" t="n">
        <x:v>0.64</x:v>
      </x:c>
      <x:c r="B1208" s="28" t="str">
        <x:v>level_flat</x:v>
      </x:c>
      <x:c r="C1208" s="60" t="n">
        <x:v>0.15</x:v>
      </x:c>
      <x:c r="D1208" s="60" t="n">
        <x:v>0.15</x:v>
      </x:c>
      <x:c r="E1208" s="62" t="b">
        <x:v>1</x:v>
      </x:c>
      <x:c r="F1208" s="62" t="b">
        <x:v>1</x:v>
      </x:c>
      <x:c r="G1208" s="85" t="n">
        <x:v>0</x:v>
      </x:c>
      <x:c r="H1208" s="85" t="n">
        <x:v>0</x:v>
      </x:c>
      <x:c r="I1208" s="85" t="n">
        <x:v>3176548.9469850557</x:v>
      </x:c>
      <x:c r="J1208" s="85" t="n">
        <x:v>0</x:v>
      </x:c>
      <x:c r="K1208" s="85" t="n">
        <x:v>899573.0266756263</x:v>
      </x:c>
      <x:c r="L1208" s="28" t="n">
        <x:v>0</x:v>
      </x:c>
      <x:c r="M1208" s="28" t="n">
        <x:v>0</x:v>
      </x:c>
      <x:c r="N1208" s="28" t="n">
        <x:v>1.862645149230957e-9</x:v>
      </x:c>
      <x:c r="O1208" s="28" t="n">
        <x:v>2.9802322387695312e-8</x:v>
      </x:c>
      <x:c r="P1208" s="28" t="n">
        <x:v>0</x:v>
      </x:c>
      <x:c r="Q1208" s="62" t="b">
        <x:v>1</x:v>
      </x:c>
      <x:c r="R1208" s="28" t="n">
        <x:v>0</x:v>
      </x:c>
      <x:c r="S1208" s="28" t="str">
        <x:v>a2fbbdf7c0aa12df</x:v>
      </x:c>
    </x:row>
    <x:row r="1209" ht="21" customHeight="1">
      <x:c r="A1209" s="60" t="n">
        <x:v>0.64</x:v>
      </x:c>
      <x:c r="B1209" s="28" t="str">
        <x:v>level_flat</x:v>
      </x:c>
      <x:c r="C1209" s="60" t="n">
        <x:v>0.2</x:v>
      </x:c>
      <x:c r="D1209" s="60" t="n">
        <x:v>0.2</x:v>
      </x:c>
      <x:c r="E1209" s="62" t="b">
        <x:v>1</x:v>
      </x:c>
      <x:c r="F1209" s="62" t="b">
        <x:v>1</x:v>
      </x:c>
      <x:c r="G1209" s="85" t="n">
        <x:v>0</x:v>
      </x:c>
      <x:c r="H1209" s="85" t="n">
        <x:v>0</x:v>
      </x:c>
      <x:c r="I1209" s="85" t="n">
        <x:v>11284736.449248837</x:v>
      </x:c>
      <x:c r="J1209" s="85" t="n">
        <x:v>6323003.272534233</x:v>
      </x:c>
      <x:c r="K1209" s="85" t="n">
        <x:v>606493.6490432919</x:v>
      </x:c>
      <x:c r="L1209" s="28" t="n">
        <x:v>0</x:v>
      </x:c>
      <x:c r="M1209" s="28" t="n">
        <x:v>0</x:v>
      </x:c>
      <x:c r="N1209" s="28" t="n">
        <x:v>9.313225746154785e-10</x:v>
      </x:c>
      <x:c r="O1209" s="28" t="n">
        <x:v>2.9802322387695312e-8</x:v>
      </x:c>
      <x:c r="P1209" s="28" t="n">
        <x:v>0</x:v>
      </x:c>
      <x:c r="Q1209" s="62" t="b">
        <x:v>1</x:v>
      </x:c>
      <x:c r="R1209" s="28" t="n">
        <x:v>0</x:v>
      </x:c>
      <x:c r="S1209" s="28" t="str">
        <x:v>6a67c96cee50bea3</x:v>
      </x:c>
    </x:row>
    <x:row r="1210" ht="21" customHeight="1">
      <x:c r="A1210" s="60" t="n">
        <x:v>0.64</x:v>
      </x:c>
      <x:c r="B1210" s="28" t="str">
        <x:v>level_flat</x:v>
      </x:c>
      <x:c r="C1210" s="60" t="n">
        <x:v>0.25</x:v>
      </x:c>
      <x:c r="D1210" s="60" t="n">
        <x:v>0.25</x:v>
      </x:c>
      <x:c r="E1210" s="62" t="b">
        <x:v>1</x:v>
      </x:c>
      <x:c r="F1210" s="62" t="b">
        <x:v>1</x:v>
      </x:c>
      <x:c r="G1210" s="85" t="n">
        <x:v>0</x:v>
      </x:c>
      <x:c r="H1210" s="85" t="n">
        <x:v>0</x:v>
      </x:c>
      <x:c r="I1210" s="85" t="n">
        <x:v>17617138.01858157</x:v>
      </x:c>
      <x:c r="J1210" s="85" t="n">
        <x:v>15403754.090667734</x:v>
      </x:c>
      <x:c r="K1210" s="85" t="n">
        <x:v>450965.41119863046</x:v>
      </x:c>
      <x:c r="L1210" s="28" t="n">
        <x:v>0</x:v>
      </x:c>
      <x:c r="M1210" s="28" t="n">
        <x:v>0</x:v>
      </x:c>
      <x:c r="N1210" s="28" t="n">
        <x:v>3.725290298461914e-9</x:v>
      </x:c>
      <x:c r="O1210" s="28" t="n">
        <x:v>2.9802322387695312e-8</x:v>
      </x:c>
      <x:c r="P1210" s="28" t="n">
        <x:v>0</x:v>
      </x:c>
      <x:c r="Q1210" s="62" t="b">
        <x:v>1</x:v>
      </x:c>
      <x:c r="R1210" s="28" t="n">
        <x:v>0</x:v>
      </x:c>
      <x:c r="S1210" s="28" t="str">
        <x:v>583e9f3c9d3bb409</x:v>
      </x:c>
    </x:row>
    <x:row r="1211" ht="21" customHeight="1">
      <x:c r="A1211" s="60" t="n">
        <x:v>0.64</x:v>
      </x:c>
      <x:c r="B1211" s="28" t="str">
        <x:v>level_flat</x:v>
      </x:c>
      <x:c r="C1211" s="60" t="n">
        <x:v>0.3</x:v>
      </x:c>
      <x:c r="D1211" s="60" t="n">
        <x:v>0.3</x:v>
      </x:c>
      <x:c r="E1211" s="62" t="b">
        <x:v>1</x:v>
      </x:c>
      <x:c r="F1211" s="62" t="b">
        <x:v>1</x:v>
      </x:c>
      <x:c r="G1211" s="85" t="n">
        <x:v>0</x:v>
      </x:c>
      <x:c r="H1211" s="85" t="n">
        <x:v>0</x:v>
      </x:c>
      <x:c r="I1211" s="85" t="n">
        <x:v>24077160.011552602</x:v>
      </x:c>
      <x:c r="J1211" s="85" t="n">
        <x:v>24484504.90880119</x:v>
      </x:c>
      <x:c r="K1211" s="85" t="n">
        <x:v>346211.39343835856</x:v>
      </x:c>
      <x:c r="L1211" s="28" t="n">
        <x:v>0</x:v>
      </x:c>
      <x:c r="M1211" s="28" t="n">
        <x:v>0</x:v>
      </x:c>
      <x:c r="N1211" s="28" t="n">
        <x:v>3.725290298461914e-9</x:v>
      </x:c>
      <x:c r="O1211" s="28" t="n">
        <x:v>7.450580596923828e-9</x:v>
      </x:c>
      <x:c r="P1211" s="28" t="n">
        <x:v>0</x:v>
      </x:c>
      <x:c r="Q1211" s="62" t="b">
        <x:v>1</x:v>
      </x:c>
      <x:c r="R1211" s="28" t="n">
        <x:v>0</x:v>
      </x:c>
      <x:c r="S1211" s="28" t="str">
        <x:v>2d876297c56b9453</x:v>
      </x:c>
    </x:row>
    <x:row r="1212" ht="21" customHeight="1">
      <x:c r="A1212" s="60" t="n">
        <x:v>0.64</x:v>
      </x:c>
      <x:c r="B1212" s="28" t="str">
        <x:v>level_flat</x:v>
      </x:c>
      <x:c r="C1212" s="60" t="n">
        <x:v>0.35</x:v>
      </x:c>
      <x:c r="D1212" s="60" t="n">
        <x:v>0.35</x:v>
      </x:c>
      <x:c r="E1212" s="62" t="b">
        <x:v>1</x:v>
      </x:c>
      <x:c r="F1212" s="62" t="b">
        <x:v>1</x:v>
      </x:c>
      <x:c r="G1212" s="85" t="n">
        <x:v>0</x:v>
      </x:c>
      <x:c r="H1212" s="85" t="n">
        <x:v>0</x:v>
      </x:c>
      <x:c r="I1212" s="85" t="n">
        <x:v>30574217.471785463</x:v>
      </x:c>
      <x:c r="J1212" s="85" t="n">
        <x:v>33565255.726934746</x:v>
      </x:c>
      <x:c r="K1212" s="85" t="n">
        <x:v>259997.1570753412</x:v>
      </x:c>
      <x:c r="L1212" s="28" t="n">
        <x:v>0</x:v>
      </x:c>
      <x:c r="M1212" s="28" t="n">
        <x:v>0</x:v>
      </x:c>
      <x:c r="N1212" s="28" t="n">
        <x:v>3.725290298461914e-9</x:v>
      </x:c>
      <x:c r="O1212" s="28" t="n">
        <x:v>2.9802322387695312e-8</x:v>
      </x:c>
      <x:c r="P1212" s="28" t="n">
        <x:v>0</x:v>
      </x:c>
      <x:c r="Q1212" s="62" t="b">
        <x:v>1</x:v>
      </x:c>
      <x:c r="R1212" s="28" t="n">
        <x:v>0</x:v>
      </x:c>
      <x:c r="S1212" s="28" t="str">
        <x:v>a9e1419a2a3f86c0</x:v>
      </x:c>
    </x:row>
    <x:row r="1213" ht="21" customHeight="1">
      <x:c r="A1213" s="60" t="n">
        <x:v>0.64</x:v>
      </x:c>
      <x:c r="B1213" s="28" t="str">
        <x:v>level_flat</x:v>
      </x:c>
      <x:c r="C1213" s="60" t="n">
        <x:v>0.4</x:v>
      </x:c>
      <x:c r="D1213" s="60" t="n">
        <x:v>0.4</x:v>
      </x:c>
      <x:c r="E1213" s="62" t="b">
        <x:v>1</x:v>
      </x:c>
      <x:c r="F1213" s="62" t="b">
        <x:v>1</x:v>
      </x:c>
      <x:c r="G1213" s="85" t="n">
        <x:v>0</x:v>
      </x:c>
      <x:c r="H1213" s="85" t="n">
        <x:v>0</x:v>
      </x:c>
      <x:c r="I1213" s="85" t="n">
        <x:v>37111215.50209929</x:v>
      </x:c>
      <x:c r="J1213" s="85" t="n">
        <x:v>42646006.545068316</x:v>
      </x:c>
      <x:c r="K1213" s="85" t="n">
        <x:v>228087.89556164734</x:v>
      </x:c>
      <x:c r="L1213" s="28" t="n">
        <x:v>0</x:v>
      </x:c>
      <x:c r="M1213" s="28" t="n">
        <x:v>0</x:v>
      </x:c>
      <x:c r="N1213" s="28" t="n">
        <x:v>3.725290298461914e-9</x:v>
      </x:c>
      <x:c r="O1213" s="28" t="n">
        <x:v>2.9802322387695312e-8</x:v>
      </x:c>
      <x:c r="P1213" s="28" t="n">
        <x:v>0</x:v>
      </x:c>
      <x:c r="Q1213" s="62" t="b">
        <x:v>1</x:v>
      </x:c>
      <x:c r="R1213" s="28" t="n">
        <x:v>0</x:v>
      </x:c>
      <x:c r="S1213" s="28" t="str">
        <x:v>ee3c64d4fe026be2</x:v>
      </x:c>
    </x:row>
    <x:row r="1214" ht="21" customHeight="1">
      <x:c r="A1214" s="60" t="n">
        <x:v>0.64</x:v>
      </x:c>
      <x:c r="B1214" s="28" t="str">
        <x:v>level_flat</x:v>
      </x:c>
      <x:c r="C1214" s="60" t="n">
        <x:v>0.45</x:v>
      </x:c>
      <x:c r="D1214" s="60" t="n">
        <x:v>0.45</x:v>
      </x:c>
      <x:c r="E1214" s="62" t="b">
        <x:v>1</x:v>
      </x:c>
      <x:c r="F1214" s="62" t="b">
        <x:v>1</x:v>
      </x:c>
      <x:c r="G1214" s="85" t="n">
        <x:v>0</x:v>
      </x:c>
      <x:c r="H1214" s="85" t="n">
        <x:v>0</x:v>
      </x:c>
      <x:c r="I1214" s="85" t="n">
        <x:v>44794593.12573386</x:v>
      </x:c>
      <x:c r="J1214" s="85" t="n">
        <x:v>49023433.13911492</x:v>
      </x:c>
      <x:c r="K1214" s="85" t="n">
        <x:v>196178.63404794928</x:v>
      </x:c>
      <x:c r="L1214" s="28" t="n">
        <x:v>5</x:v>
      </x:c>
      <x:c r="M1214" s="28" t="n">
        <x:v>0</x:v>
      </x:c>
      <x:c r="N1214" s="28" t="n">
        <x:v>1.862645149230957e-9</x:v>
      </x:c>
      <x:c r="O1214" s="28" t="n">
        <x:v>2.9802322387695312e-8</x:v>
      </x:c>
      <x:c r="P1214" s="28" t="n">
        <x:v>0</x:v>
      </x:c>
      <x:c r="Q1214" s="62" t="b">
        <x:v>1</x:v>
      </x:c>
      <x:c r="R1214" s="28" t="n">
        <x:v>0</x:v>
      </x:c>
      <x:c r="S1214" s="28" t="str">
        <x:v>ba633171f949dc1e</x:v>
      </x:c>
    </x:row>
    <x:row r="1215" ht="21" customHeight="1">
      <x:c r="A1215" s="60" t="n">
        <x:v>0.64</x:v>
      </x:c>
      <x:c r="B1215" s="28" t="str">
        <x:v>level_flat</x:v>
      </x:c>
      <x:c r="C1215" s="60" t="n">
        <x:v>0.5</x:v>
      </x:c>
      <x:c r="D1215" s="60" t="n">
        <x:v>0.5</x:v>
      </x:c>
      <x:c r="E1215" s="62" t="b">
        <x:v>1</x:v>
      </x:c>
      <x:c r="F1215" s="62" t="b">
        <x:v>1</x:v>
      </x:c>
      <x:c r="G1215" s="85" t="n">
        <x:v>0</x:v>
      </x:c>
      <x:c r="H1215" s="85" t="n">
        <x:v>0</x:v>
      </x:c>
      <x:c r="I1215" s="85" t="n">
        <x:v>52091169.17192232</x:v>
      </x:c>
      <x:c r="J1215" s="85" t="n">
        <x:v>56081421.692438394</x:v>
      </x:c>
      <x:c r="K1215" s="85" t="n">
        <x:v>164269.37253424607</x:v>
      </x:c>
      <x:c r="L1215" s="28" t="n">
        <x:v>9</x:v>
      </x:c>
      <x:c r="M1215" s="28" t="n">
        <x:v>0</x:v>
      </x:c>
      <x:c r="N1215" s="28" t="n">
        <x:v>1.862645149230957e-9</x:v>
      </x:c>
      <x:c r="O1215" s="28" t="n">
        <x:v>1.4901161193847656e-8</x:v>
      </x:c>
      <x:c r="P1215" s="28" t="n">
        <x:v>0</x:v>
      </x:c>
      <x:c r="Q1215" s="62" t="b">
        <x:v>1</x:v>
      </x:c>
      <x:c r="R1215" s="28" t="n">
        <x:v>0</x:v>
      </x:c>
      <x:c r="S1215" s="28" t="str">
        <x:v>69de388add77a64b</x:v>
      </x:c>
    </x:row>
    <x:row r="1216" ht="21" customHeight="1">
      <x:c r="A1216" s="60" t="n">
        <x:v>0.64</x:v>
      </x:c>
      <x:c r="B1216" s="28" t="str">
        <x:v>level_flat</x:v>
      </x:c>
      <x:c r="C1216" s="60" t="n">
        <x:v>0.55</x:v>
      </x:c>
      <x:c r="D1216" s="60" t="n">
        <x:v>0.55</x:v>
      </x:c>
      <x:c r="E1216" s="62" t="b">
        <x:v>1</x:v>
      </x:c>
      <x:c r="F1216" s="62" t="b">
        <x:v>1</x:v>
      </x:c>
      <x:c r="G1216" s="85" t="n">
        <x:v>0</x:v>
      </x:c>
      <x:c r="H1216" s="85" t="n">
        <x:v>0</x:v>
      </x:c>
      <x:c r="I1216" s="85" t="n">
        <x:v>59003495.17290552</x:v>
      </x:c>
      <x:c r="J1216" s="85" t="n">
        <x:v>63979684.75442695</x:v>
      </x:c>
      <x:c r="K1216" s="85" t="n">
        <x:v>132360.111020548</x:v>
      </x:c>
      <x:c r="L1216" s="28" t="n">
        <x:v>13</x:v>
      </x:c>
      <x:c r="M1216" s="28" t="n">
        <x:v>2</x:v>
      </x:c>
      <x:c r="N1216" s="28" t="n">
        <x:v>1.862645149230957e-9</x:v>
      </x:c>
      <x:c r="O1216" s="28" t="n">
        <x:v>2.9802322387695312e-8</x:v>
      </x:c>
      <x:c r="P1216" s="28" t="n">
        <x:v>0</x:v>
      </x:c>
      <x:c r="Q1216" s="62" t="b">
        <x:v>1</x:v>
      </x:c>
      <x:c r="R1216" s="28" t="n">
        <x:v>0</x:v>
      </x:c>
      <x:c r="S1216" s="28" t="str">
        <x:v>d408dce4b0fe6b87</x:v>
      </x:c>
    </x:row>
    <x:row r="1217" ht="21" customHeight="1">
      <x:c r="A1217" s="60" t="n">
        <x:v>0.64</x:v>
      </x:c>
      <x:c r="B1217" s="28" t="str">
        <x:v>level_flat</x:v>
      </x:c>
      <x:c r="C1217" s="60" t="n">
        <x:v>0.6</x:v>
      </x:c>
      <x:c r="D1217" s="60" t="n">
        <x:v>0.6</x:v>
      </x:c>
      <x:c r="E1217" s="62" t="b">
        <x:v>1</x:v>
      </x:c>
      <x:c r="F1217" s="62" t="b">
        <x:v>1</x:v>
      </x:c>
      <x:c r="G1217" s="85" t="n">
        <x:v>0</x:v>
      </x:c>
      <x:c r="H1217" s="85" t="n">
        <x:v>0</x:v>
      </x:c>
      <x:c r="I1217" s="85" t="n">
        <x:v>65136512.1760178</x:v>
      </x:c>
      <x:c r="J1217" s="85" t="n">
        <x:v>73470771.7149822</x:v>
      </x:c>
      <x:c r="K1217" s="85" t="n">
        <x:v>100450.84950684995</x:v>
      </x:c>
      <x:c r="L1217" s="28" t="n">
        <x:v>16</x:v>
      </x:c>
      <x:c r="M1217" s="28" t="n">
        <x:v>7</x:v>
      </x:c>
      <x:c r="N1217" s="28" t="n">
        <x:v>1.862645149230957e-9</x:v>
      </x:c>
      <x:c r="O1217" s="28" t="n">
        <x:v>2.9802322387695312e-8</x:v>
      </x:c>
      <x:c r="P1217" s="28" t="n">
        <x:v>0</x:v>
      </x:c>
      <x:c r="Q1217" s="62" t="b">
        <x:v>1</x:v>
      </x:c>
      <x:c r="R1217" s="28" t="n">
        <x:v>0</x:v>
      </x:c>
      <x:c r="S1217" s="28" t="str">
        <x:v>650c97b1a984c92f</x:v>
      </x:c>
    </x:row>
    <x:row r="1218" ht="21" customHeight="1">
      <x:c r="A1218" s="60" t="n">
        <x:v>0.64</x:v>
      </x:c>
      <x:c r="B1218" s="28" t="str">
        <x:v>level_flat</x:v>
      </x:c>
      <x:c r="C1218" s="60" t="n">
        <x:v>0.65</x:v>
      </x:c>
      <x:c r="D1218" s="60" t="n">
        <x:v>0.65</x:v>
      </x:c>
      <x:c r="E1218" s="62" t="b">
        <x:v>1</x:v>
      </x:c>
      <x:c r="F1218" s="62" t="b">
        <x:v>0</x:v>
      </x:c>
      <x:c r="G1218" s="85" t="n">
        <x:v>945189.1042474755</x:v>
      </x:c>
      <x:c r="H1218" s="85" t="n">
        <x:v>6147279.104340101</x:v>
      </x:c>
      <x:c r="I1218" s="85" t="n">
        <x:v>68434946.26235312</x:v>
      </x:c>
      <x:c r="J1218" s="85" t="n">
        <x:v>78000000</x:v>
      </x:c>
      <x:c r="K1218" s="85" t="n">
        <x:v>68541.58799314768</x:v>
      </x:c>
      <x:c r="L1218" s="28" t="n">
        <x:v>40</x:v>
      </x:c>
      <x:c r="M1218" s="28" t="n">
        <x:v>32</x:v>
      </x:c>
      <x:c r="N1218" s="28" t="n">
        <x:v>1.862645149230957e-9</x:v>
      </x:c>
      <x:c r="O1218" s="28" t="n">
        <x:v>2.9802322387695312e-8</x:v>
      </x:c>
      <x:c r="P1218" s="28" t="n">
        <x:v>0</x:v>
      </x:c>
      <x:c r="Q1218" s="62" t="b">
        <x:v>1</x:v>
      </x:c>
      <x:c r="R1218" s="28" t="n">
        <x:v>0</x:v>
      </x:c>
      <x:c r="S1218" s="28" t="str">
        <x:v>cb8bfed1ca96d25b</x:v>
      </x:c>
    </x:row>
    <x:row r="1219" ht="21" customHeight="1">
      <x:c r="A1219" s="60" t="n">
        <x:v>0.64</x:v>
      </x:c>
      <x:c r="B1219" s="28" t="str">
        <x:v>level_flat</x:v>
      </x:c>
      <x:c r="C1219" s="60" t="n">
        <x:v>0.7</x:v>
      </x:c>
      <x:c r="D1219" s="60" t="n">
        <x:v>0.7</x:v>
      </x:c>
      <x:c r="E1219" s="62" t="b">
        <x:v>1</x:v>
      </x:c>
      <x:c r="F1219" s="62" t="b">
        <x:v>0</x:v>
      </x:c>
      <x:c r="G1219" s="85" t="n">
        <x:v>2998107.940571926</x:v>
      </x:c>
      <x:c r="H1219" s="85" t="n">
        <x:v>17054253.474442046</x:v>
      </x:c>
      <x:c r="I1219" s="85" t="n">
        <x:v>69798403.72513697</x:v>
      </x:c>
      <x:c r="J1219" s="85" t="n">
        <x:v>78000000</x:v>
      </x:c>
      <x:c r="K1219" s="85" t="n">
        <x:v>36632.326479456606</x:v>
      </x:c>
      <x:c r="L1219" s="28" t="n">
        <x:v>41</x:v>
      </x:c>
      <x:c r="M1219" s="28" t="n">
        <x:v>34</x:v>
      </x:c>
      <x:c r="N1219" s="28" t="n">
        <x:v>1.862645149230957e-9</x:v>
      </x:c>
      <x:c r="O1219" s="28" t="n">
        <x:v>2.9802322387695312e-8</x:v>
      </x:c>
      <x:c r="P1219" s="28" t="n">
        <x:v>0</x:v>
      </x:c>
      <x:c r="Q1219" s="62" t="b">
        <x:v>1</x:v>
      </x:c>
      <x:c r="R1219" s="28" t="n">
        <x:v>0</x:v>
      </x:c>
      <x:c r="S1219" s="28" t="str">
        <x:v>654f2b53c0432511</x:v>
      </x:c>
    </x:row>
    <x:row r="1220" ht="21" customHeight="1">
      <x:c r="A1220" s="60" t="n">
        <x:v>0.64</x:v>
      </x:c>
      <x:c r="B1220" s="28" t="str">
        <x:v>level_flat</x:v>
      </x:c>
      <x:c r="C1220" s="60" t="n">
        <x:v>0.75</x:v>
      </x:c>
      <x:c r="D1220" s="60" t="n">
        <x:v>0.75</x:v>
      </x:c>
      <x:c r="E1220" s="62" t="b">
        <x:v>1</x:v>
      </x:c>
      <x:c r="F1220" s="62" t="b">
        <x:v>0</x:v>
      </x:c>
      <x:c r="G1220" s="85" t="n">
        <x:v>4990364.468526992</x:v>
      </x:c>
      <x:c r="H1220" s="85" t="n">
        <x:v>27852106.260007072</x:v>
      </x:c>
      <x:c r="I1220" s="85" t="n">
        <x:v>71033958.18482053</x:v>
      </x:c>
      <x:c r="J1220" s="85" t="n">
        <x:v>78000000</x:v>
      </x:c>
      <x:c r="K1220" s="85" t="n">
        <x:v>22908.609246577864</x:v>
      </x:c>
      <x:c r="L1220" s="28" t="n">
        <x:v>42</x:v>
      </x:c>
      <x:c r="M1220" s="28" t="n">
        <x:v>34</x:v>
      </x:c>
      <x:c r="N1220" s="28" t="n">
        <x:v>1.862645149230957e-9</x:v>
      </x:c>
      <x:c r="O1220" s="28" t="n">
        <x:v>2.9802322387695312e-8</x:v>
      </x:c>
      <x:c r="P1220" s="28" t="n">
        <x:v>0</x:v>
      </x:c>
      <x:c r="Q1220" s="62" t="b">
        <x:v>1</x:v>
      </x:c>
      <x:c r="R1220" s="28" t="n">
        <x:v>0</x:v>
      </x:c>
      <x:c r="S1220" s="28" t="str">
        <x:v>05a4f77a8a91e2e4</x:v>
      </x:c>
    </x:row>
    <x:row r="1221" ht="21" customHeight="1">
      <x:c r="A1221" s="60" t="n">
        <x:v>0.64</x:v>
      </x:c>
      <x:c r="B1221" s="28" t="str">
        <x:v>level_flat</x:v>
      </x:c>
      <x:c r="C1221" s="60" t="n">
        <x:v>0.8</x:v>
      </x:c>
      <x:c r="D1221" s="60" t="n">
        <x:v>0.8</x:v>
      </x:c>
      <x:c r="E1221" s="62" t="b">
        <x:v>1</x:v>
      </x:c>
      <x:c r="F1221" s="62" t="b">
        <x:v>0</x:v>
      </x:c>
      <x:c r="G1221" s="85" t="n">
        <x:v>7394196.795671469</x:v>
      </x:c>
      <x:c r="H1221" s="85" t="n">
        <x:v>38155997.83879977</x:v>
      </x:c>
      <x:c r="I1221" s="85" t="n">
        <x:v>72325986.98652053</x:v>
      </x:c>
      <x:c r="J1221" s="85" t="n">
        <x:v>78000000</x:v>
      </x:c>
      <x:c r="K1221" s="85" t="n">
        <x:v>12231.636164386087</x:v>
      </x:c>
      <x:c r="L1221" s="28" t="n">
        <x:v>43</x:v>
      </x:c>
      <x:c r="M1221" s="28" t="n">
        <x:v>36</x:v>
      </x:c>
      <x:c r="N1221" s="28" t="n">
        <x:v>1.862645149230957e-9</x:v>
      </x:c>
      <x:c r="O1221" s="28" t="n">
        <x:v>2.9802322387695312e-8</x:v>
      </x:c>
      <x:c r="P1221" s="28" t="n">
        <x:v>0</x:v>
      </x:c>
      <x:c r="Q1221" s="62" t="b">
        <x:v>1</x:v>
      </x:c>
      <x:c r="R1221" s="28" t="n">
        <x:v>0</x:v>
      </x:c>
      <x:c r="S1221" s="28" t="str">
        <x:v>46ee72b151d57e87</x:v>
      </x:c>
    </x:row>
    <x:row r="1222" ht="21" customHeight="1">
      <x:c r="A1222" s="60" t="n">
        <x:v>0.64</x:v>
      </x:c>
      <x:c r="B1222" s="28" t="str">
        <x:v>level_flat</x:v>
      </x:c>
      <x:c r="C1222" s="60" t="n">
        <x:v>0.85</x:v>
      </x:c>
      <x:c r="D1222" s="60" t="n">
        <x:v>0.85</x:v>
      </x:c>
      <x:c r="E1222" s="62" t="b">
        <x:v>1</x:v>
      </x:c>
      <x:c r="F1222" s="62" t="b">
        <x:v>0</x:v>
      </x:c>
      <x:c r="G1222" s="85" t="n">
        <x:v>10005399.603739172</x:v>
      </x:c>
      <x:c r="H1222" s="85" t="n">
        <x:v>49839537.45093656</x:v>
      </x:c>
      <x:c r="I1222" s="85" t="n">
        <x:v>72451609.7733493</x:v>
      </x:c>
      <x:c r="J1222" s="85" t="n">
        <x:v>78000000</x:v>
      </x:c>
      <x:c r="K1222" s="85" t="n">
        <x:v>1554.6630821938452</x:v>
      </x:c>
      <x:c r="L1222" s="28" t="n">
        <x:v>43</x:v>
      </x:c>
      <x:c r="M1222" s="28" t="n">
        <x:v>36</x:v>
      </x:c>
      <x:c r="N1222" s="28" t="n">
        <x:v>9.313225746154785e-10</x:v>
      </x:c>
      <x:c r="O1222" s="28" t="n">
        <x:v>2.9802322387695312e-8</x:v>
      </x:c>
      <x:c r="P1222" s="28" t="n">
        <x:v>0</x:v>
      </x:c>
      <x:c r="Q1222" s="62" t="b">
        <x:v>1</x:v>
      </x:c>
      <x:c r="R1222" s="28" t="n">
        <x:v>0</x:v>
      </x:c>
      <x:c r="S1222" s="28" t="str">
        <x:v>f68c4abf487a4e5d</x:v>
      </x:c>
    </x:row>
    <x:row r="1223" ht="21" customHeight="1">
      <x:c r="A1223" s="60" t="n">
        <x:v>0.64</x:v>
      </x:c>
      <x:c r="B1223" s="28" t="str">
        <x:v>level_flat</x:v>
      </x:c>
      <x:c r="C1223" s="60" t="n">
        <x:v>0.9</x:v>
      </x:c>
      <x:c r="D1223" s="60" t="n">
        <x:v>0.9</x:v>
      </x:c>
      <x:c r="E1223" s="62" t="b">
        <x:v>1</x:v>
      </x:c>
      <x:c r="F1223" s="62" t="b">
        <x:v>0</x:v>
      </x:c>
      <x:c r="G1223" s="85" t="n">
        <x:v>14937231.972866705</x:v>
      </x:c>
      <x:c r="H1223" s="85" t="n">
        <x:v>57457822.81540123</x:v>
      </x:c>
      <x:c r="I1223" s="85" t="n">
        <x:v>73602996.4836712</x:v>
      </x:c>
      <x:c r="J1223" s="85" t="n">
        <x:v>78000000</x:v>
      </x:c>
      <x:c r="K1223" s="85" t="n">
        <x:v>0</x:v>
      </x:c>
      <x:c r="L1223" s="28" t="n">
        <x:v>44</x:v>
      </x:c>
      <x:c r="M1223" s="28" t="n">
        <x:v>38</x:v>
      </x:c>
      <x:c r="N1223" s="28" t="n">
        <x:v>1.862645149230957e-9</x:v>
      </x:c>
      <x:c r="O1223" s="28" t="n">
        <x:v>7.450580596923828e-9</x:v>
      </x:c>
      <x:c r="P1223" s="28" t="n">
        <x:v>0</x:v>
      </x:c>
      <x:c r="Q1223" s="62" t="b">
        <x:v>1</x:v>
      </x:c>
      <x:c r="R1223" s="28" t="n">
        <x:v>0</x:v>
      </x:c>
      <x:c r="S1223" s="28" t="str">
        <x:v>d25a6aac353ebe56</x:v>
      </x:c>
    </x:row>
    <x:row r="1224" ht="21" customHeight="1">
      <x:c r="A1224" s="60" t="n">
        <x:v>0.64</x:v>
      </x:c>
      <x:c r="B1224" s="28" t="str">
        <x:v>level_flat</x:v>
      </x:c>
      <x:c r="C1224" s="60" t="n">
        <x:v>0.95</x:v>
      </x:c>
      <x:c r="D1224" s="60" t="n">
        <x:v>0.9219114501462435</x:v>
      </x:c>
      <x:c r="E1224" s="62" t="b">
        <x:v>0</x:v>
      </x:c>
      <x:c r="F1224" s="62" t="b">
        <x:v>0</x:v>
      </x:c>
      <x:c r="G1224" s="85" t="n">
        <x:v>16438478.328820847</x:v>
      </x:c>
      <x:c r="H1224" s="85" t="n">
        <x:v>62238543.94028887</x:v>
      </x:c>
      <x:c r="I1224" s="85" t="n">
        <x:v>73677259.04813696</x:v>
      </x:c>
      <x:c r="J1224" s="85" t="n">
        <x:v>78000000</x:v>
      </x:c>
      <x:c r="K1224" s="85" t="n">
        <x:v>0</x:v>
      </x:c>
      <x:c r="L1224" s="28" t="n">
        <x:v>44</x:v>
      </x:c>
      <x:c r="M1224" s="28" t="n">
        <x:v>38</x:v>
      </x:c>
      <x:c r="N1224" s="28" t="n">
        <x:v>1.862645149230957e-9</x:v>
      </x:c>
      <x:c r="O1224" s="28" t="n">
        <x:v>1.4901161193847656e-8</x:v>
      </x:c>
      <x:c r="P1224" s="28" t="n">
        <x:v>0</x:v>
      </x:c>
      <x:c r="Q1224" s="62" t="b">
        <x:v>1</x:v>
      </x:c>
      <x:c r="R1224" s="28" t="n">
        <x:v>8426564.956126928</x:v>
      </x:c>
      <x:c r="S1224" s="28" t="str">
        <x:v>c63dadb18a040d81</x:v>
      </x:c>
    </x:row>
    <x:row r="1225" ht="21" customHeight="1">
      <x:c r="A1225" s="60" t="n">
        <x:v>0.64</x:v>
      </x:c>
      <x:c r="B1225" s="28" t="str">
        <x:v>level_flat</x:v>
      </x:c>
      <x:c r="C1225" s="60" t="n">
        <x:v>1</x:v>
      </x:c>
      <x:c r="D1225" s="60" t="n">
        <x:v>0.9350574964161632</x:v>
      </x:c>
      <x:c r="E1225" s="62" t="b">
        <x:v>0</x:v>
      </x:c>
      <x:c r="F1225" s="62" t="b">
        <x:v>0</x:v>
      </x:c>
      <x:c r="G1225" s="85" t="n">
        <x:v>18006987.06989136</x:v>
      </x:c>
      <x:c r="H1225" s="85" t="n">
        <x:v>65429760.288598984</x:v>
      </x:c>
      <x:c r="I1225" s="85" t="n">
        <x:v>73769286.40726025</x:v>
      </x:c>
      <x:c r="J1225" s="85" t="n">
        <x:v>78000000</x:v>
      </x:c>
      <x:c r="K1225" s="85" t="n">
        <x:v>0</x:v>
      </x:c>
      <x:c r="L1225" s="28" t="n">
        <x:v>44</x:v>
      </x:c>
      <x:c r="M1225" s="28" t="n">
        <x:v>39</x:v>
      </x:c>
      <x:c r="N1225" s="28" t="n">
        <x:v>1.862645149230957e-9</x:v>
      </x:c>
      <x:c r="O1225" s="28" t="n">
        <x:v>7.450580596923828e-9</x:v>
      </x:c>
      <x:c r="P1225" s="28" t="n">
        <x:v>0</x:v>
      </x:c>
      <x:c r="Q1225" s="62" t="b">
        <x:v>1</x:v>
      </x:c>
      <x:c r="R1225" s="28" t="n">
        <x:v>19482751.075151026</x:v>
      </x:c>
      <x:c r="S1225" s="28" t="str">
        <x:v>c75eb8520da2bdf3</x:v>
      </x:c>
    </x:row>
    <x:row r="1226" ht="21" customHeight="1">
      <x:c r="A1226" s="60" t="n">
        <x:v>0.64</x:v>
      </x:c>
      <x:c r="B1226" s="28" t="str">
        <x:v>level_low</x:v>
      </x:c>
      <x:c r="C1226" s="60" t="n">
        <x:v>0</x:v>
      </x:c>
      <x:c r="D1226" s="60" t="n">
        <x:v>0</x:v>
      </x:c>
      <x:c r="E1226" s="62" t="b">
        <x:v>1</x:v>
      </x:c>
      <x:c r="F1226" s="62" t="b">
        <x:v>1</x:v>
      </x:c>
      <x:c r="G1226" s="85" t="n">
        <x:v>0</x:v>
      </x:c>
      <x:c r="H1226" s="85" t="n">
        <x:v>0</x:v>
      </x:c>
      <x:c r="I1226" s="85" t="n">
        <x:v>0</x:v>
      </x:c>
      <x:c r="J1226" s="85" t="n">
        <x:v>0</x:v>
      </x:c>
      <x:c r="K1226" s="85" t="n">
        <x:v>28741494.148630124</x:v>
      </x:c>
      <x:c r="L1226" s="28" t="n">
        <x:v>0</x:v>
      </x:c>
      <x:c r="M1226" s="28" t="n">
        <x:v>0</x:v>
      </x:c>
      <x:c r="N1226" s="28" t="n">
        <x:v>1.862645149230957e-9</x:v>
      </x:c>
      <x:c r="O1226" s="28" t="n">
        <x:v>0</x:v>
      </x:c>
      <x:c r="P1226" s="28" t="n">
        <x:v>0</x:v>
      </x:c>
      <x:c r="Q1226" s="62" t="b">
        <x:v>1</x:v>
      </x:c>
      <x:c r="R1226" s="28" t="n">
        <x:v>0</x:v>
      </x:c>
      <x:c r="S1226" s="28" t="str">
        <x:v>ca9aadc73d447928</x:v>
      </x:c>
    </x:row>
    <x:row r="1227" ht="21" customHeight="1">
      <x:c r="A1227" s="60" t="n">
        <x:v>0.64</x:v>
      </x:c>
      <x:c r="B1227" s="28" t="str">
        <x:v>level_low</x:v>
      </x:c>
      <x:c r="C1227" s="60" t="n">
        <x:v>0.05</x:v>
      </x:c>
      <x:c r="D1227" s="60" t="n">
        <x:v>0.05</x:v>
      </x:c>
      <x:c r="E1227" s="62" t="b">
        <x:v>1</x:v>
      </x:c>
      <x:c r="F1227" s="62" t="b">
        <x:v>1</x:v>
      </x:c>
      <x:c r="G1227" s="85" t="n">
        <x:v>0</x:v>
      </x:c>
      <x:c r="H1227" s="85" t="n">
        <x:v>0</x:v>
      </x:c>
      <x:c r="I1227" s="85" t="n">
        <x:v>0</x:v>
      </x:c>
      <x:c r="J1227" s="85" t="n">
        <x:v>0</x:v>
      </x:c>
      <x:c r="K1227" s="85" t="n">
        <x:v>18031001.346899804</x:v>
      </x:c>
      <x:c r="L1227" s="28" t="n">
        <x:v>0</x:v>
      </x:c>
      <x:c r="M1227" s="28" t="n">
        <x:v>0</x:v>
      </x:c>
      <x:c r="N1227" s="28" t="n">
        <x:v>3.725290298461914e-9</x:v>
      </x:c>
      <x:c r="O1227" s="28" t="n">
        <x:v>2.9802322387695312e-8</x:v>
      </x:c>
      <x:c r="P1227" s="28" t="n">
        <x:v>0</x:v>
      </x:c>
      <x:c r="Q1227" s="62" t="b">
        <x:v>1</x:v>
      </x:c>
      <x:c r="R1227" s="28" t="n">
        <x:v>0</x:v>
      </x:c>
      <x:c r="S1227" s="28" t="str">
        <x:v>a590f1d57727b27c</x:v>
      </x:c>
    </x:row>
    <x:row r="1228" ht="21" customHeight="1">
      <x:c r="A1228" s="60" t="n">
        <x:v>0.64</x:v>
      </x:c>
      <x:c r="B1228" s="28" t="str">
        <x:v>level_low</x:v>
      </x:c>
      <x:c r="C1228" s="60" t="n">
        <x:v>0.1</x:v>
      </x:c>
      <x:c r="D1228" s="60" t="n">
        <x:v>0.1</x:v>
      </x:c>
      <x:c r="E1228" s="62" t="b">
        <x:v>1</x:v>
      </x:c>
      <x:c r="F1228" s="62" t="b">
        <x:v>1</x:v>
      </x:c>
      <x:c r="G1228" s="85" t="n">
        <x:v>0</x:v>
      </x:c>
      <x:c r="H1228" s="85" t="n">
        <x:v>0</x:v>
      </x:c>
      <x:c r="I1228" s="85" t="n">
        <x:v>0</x:v>
      </x:c>
      <x:c r="J1228" s="85" t="n">
        <x:v>0</x:v>
      </x:c>
      <x:c r="K1228" s="85" t="n">
        <x:v>7237253.84467414</x:v>
      </x:c>
      <x:c r="L1228" s="28" t="n">
        <x:v>0</x:v>
      </x:c>
      <x:c r="M1228" s="28" t="n">
        <x:v>0</x:v>
      </x:c>
      <x:c r="N1228" s="28" t="n">
        <x:v>3.725290298461914e-9</x:v>
      </x:c>
      <x:c r="O1228" s="28" t="n">
        <x:v>5.960464477539063e-8</x:v>
      </x:c>
      <x:c r="P1228" s="28" t="n">
        <x:v>0</x:v>
      </x:c>
      <x:c r="Q1228" s="62" t="b">
        <x:v>1</x:v>
      </x:c>
      <x:c r="R1228" s="28" t="n">
        <x:v>0</x:v>
      </x:c>
      <x:c r="S1228" s="28" t="str">
        <x:v>613f08b08290d0ff</x:v>
      </x:c>
    </x:row>
    <x:row r="1229" ht="21" customHeight="1">
      <x:c r="A1229" s="60" t="n">
        <x:v>0.64</x:v>
      </x:c>
      <x:c r="B1229" s="28" t="str">
        <x:v>level_low</x:v>
      </x:c>
      <x:c r="C1229" s="60" t="n">
        <x:v>0.15</x:v>
      </x:c>
      <x:c r="D1229" s="60" t="n">
        <x:v>0.15</x:v>
      </x:c>
      <x:c r="E1229" s="62" t="b">
        <x:v>1</x:v>
      </x:c>
      <x:c r="F1229" s="62" t="b">
        <x:v>1</x:v>
      </x:c>
      <x:c r="G1229" s="85" t="n">
        <x:v>0</x:v>
      </x:c>
      <x:c r="H1229" s="85" t="n">
        <x:v>0</x:v>
      </x:c>
      <x:c r="I1229" s="85" t="n">
        <x:v>2636613.0487020668</x:v>
      </x:c>
      <x:c r="J1229" s="85" t="n">
        <x:v>0</x:v>
      </x:c>
      <x:c r="K1229" s="85" t="n">
        <x:v>198119.27504274502</x:v>
      </x:c>
      <x:c r="L1229" s="28" t="n">
        <x:v>0</x:v>
      </x:c>
      <x:c r="M1229" s="28" t="n">
        <x:v>0</x:v>
      </x:c>
      <x:c r="N1229" s="28" t="n">
        <x:v>9.313225746154785e-10</x:v>
      </x:c>
      <x:c r="O1229" s="28" t="n">
        <x:v>2.9802322387695312e-8</x:v>
      </x:c>
      <x:c r="P1229" s="28" t="n">
        <x:v>0</x:v>
      </x:c>
      <x:c r="Q1229" s="62" t="b">
        <x:v>1</x:v>
      </x:c>
      <x:c r="R1229" s="28" t="n">
        <x:v>0</x:v>
      </x:c>
      <x:c r="S1229" s="28" t="str">
        <x:v>ef3a6a507b4efe58</x:v>
      </x:c>
    </x:row>
    <x:row r="1230" ht="21" customHeight="1">
      <x:c r="A1230" s="60" t="n">
        <x:v>0.64</x:v>
      </x:c>
      <x:c r="B1230" s="28" t="str">
        <x:v>level_low</x:v>
      </x:c>
      <x:c r="C1230" s="60" t="n">
        <x:v>0.2</x:v>
      </x:c>
      <x:c r="D1230" s="60" t="n">
        <x:v>0.2</x:v>
      </x:c>
      <x:c r="E1230" s="62" t="b">
        <x:v>1</x:v>
      </x:c>
      <x:c r="F1230" s="62" t="b">
        <x:v>1</x:v>
      </x:c>
      <x:c r="G1230" s="85" t="n">
        <x:v>0</x:v>
      </x:c>
      <x:c r="H1230" s="85" t="n">
        <x:v>0</x:v>
      </x:c>
      <x:c r="I1230" s="85" t="n">
        <x:v>8908852.819599697</x:v>
      </x:c>
      <x:c r="J1230" s="85" t="n">
        <x:v>6323003.272534233</x:v>
      </x:c>
      <x:c r="K1230" s="85" t="n">
        <x:v>135679.91553424712</x:v>
      </x:c>
      <x:c r="L1230" s="28" t="n">
        <x:v>0</x:v>
      </x:c>
      <x:c r="M1230" s="28" t="n">
        <x:v>0</x:v>
      </x:c>
      <x:c r="N1230" s="28" t="n">
        <x:v>3.725290298461914e-9</x:v>
      </x:c>
      <x:c r="O1230" s="28" t="n">
        <x:v>2.9802322387695312e-8</x:v>
      </x:c>
      <x:c r="P1230" s="28" t="n">
        <x:v>0</x:v>
      </x:c>
      <x:c r="Q1230" s="62" t="b">
        <x:v>1</x:v>
      </x:c>
      <x:c r="R1230" s="28" t="n">
        <x:v>0</x:v>
      </x:c>
      <x:c r="S1230" s="28" t="str">
        <x:v>782c74dc70cc39df</x:v>
      </x:c>
    </x:row>
    <x:row r="1231" ht="21" customHeight="1">
      <x:c r="A1231" s="60" t="n">
        <x:v>0.64</x:v>
      </x:c>
      <x:c r="B1231" s="28" t="str">
        <x:v>level_low</x:v>
      </x:c>
      <x:c r="C1231" s="60" t="n">
        <x:v>0.25</x:v>
      </x:c>
      <x:c r="D1231" s="60" t="n">
        <x:v>0.25</x:v>
      </x:c>
      <x:c r="E1231" s="62" t="b">
        <x:v>1</x:v>
      </x:c>
      <x:c r="F1231" s="62" t="b">
        <x:v>1</x:v>
      </x:c>
      <x:c r="G1231" s="85" t="n">
        <x:v>0</x:v>
      </x:c>
      <x:c r="H1231" s="85" t="n">
        <x:v>0</x:v>
      </x:c>
      <x:c r="I1231" s="85" t="n">
        <x:v>13086791.615081789</x:v>
      </x:c>
      <x:c r="J1231" s="85" t="n">
        <x:v>15403754.090667734</x:v>
      </x:c>
      <x:c r="K1231" s="85" t="n">
        <x:v>92504.07462328763</x:v>
      </x:c>
      <x:c r="L1231" s="28" t="n">
        <x:v>0</x:v>
      </x:c>
      <x:c r="M1231" s="28" t="n">
        <x:v>0</x:v>
      </x:c>
      <x:c r="N1231" s="28" t="n">
        <x:v>1.862645149230957e-9</x:v>
      </x:c>
      <x:c r="O1231" s="28" t="n">
        <x:v>2.9802322387695312e-8</x:v>
      </x:c>
      <x:c r="P1231" s="28" t="n">
        <x:v>0</x:v>
      </x:c>
      <x:c r="Q1231" s="62" t="b">
        <x:v>1</x:v>
      </x:c>
      <x:c r="R1231" s="28" t="n">
        <x:v>0</x:v>
      </x:c>
      <x:c r="S1231" s="28" t="str">
        <x:v>b8027e46710026b5</x:v>
      </x:c>
    </x:row>
    <x:row r="1232" ht="21" customHeight="1">
      <x:c r="A1232" s="60" t="n">
        <x:v>0.64</x:v>
      </x:c>
      <x:c r="B1232" s="28" t="str">
        <x:v>level_low</x:v>
      </x:c>
      <x:c r="C1232" s="60" t="n">
        <x:v>0.3</x:v>
      </x:c>
      <x:c r="D1232" s="60" t="n">
        <x:v>0.3</x:v>
      </x:c>
      <x:c r="E1232" s="62" t="b">
        <x:v>1</x:v>
      </x:c>
      <x:c r="F1232" s="62" t="b">
        <x:v>1</x:v>
      </x:c>
      <x:c r="G1232" s="85" t="n">
        <x:v>0</x:v>
      </x:c>
      <x:c r="H1232" s="85" t="n">
        <x:v>0</x:v>
      </x:c>
      <x:c r="I1232" s="85" t="n">
        <x:v>17336227.204613183</x:v>
      </x:c>
      <x:c r="J1232" s="85" t="n">
        <x:v>24484504.90880119</x:v>
      </x:c>
      <x:c r="K1232" s="85" t="n">
        <x:v>74296.55228766966</x:v>
      </x:c>
      <x:c r="L1232" s="28" t="n">
        <x:v>0</x:v>
      </x:c>
      <x:c r="M1232" s="28" t="n">
        <x:v>0</x:v>
      </x:c>
      <x:c r="N1232" s="28" t="n">
        <x:v>3.725290298461914e-9</x:v>
      </x:c>
      <x:c r="O1232" s="28" t="n">
        <x:v>7.450580596923828e-9</x:v>
      </x:c>
      <x:c r="P1232" s="28" t="n">
        <x:v>0</x:v>
      </x:c>
      <x:c r="Q1232" s="62" t="b">
        <x:v>1</x:v>
      </x:c>
      <x:c r="R1232" s="28" t="n">
        <x:v>0</x:v>
      </x:c>
      <x:c r="S1232" s="28" t="str">
        <x:v>07155c5df0d8cc2a</x:v>
      </x:c>
    </x:row>
    <x:row r="1233" ht="21" customHeight="1">
      <x:c r="A1233" s="60" t="n">
        <x:v>0.64</x:v>
      </x:c>
      <x:c r="B1233" s="28" t="str">
        <x:v>level_low</x:v>
      </x:c>
      <x:c r="C1233" s="60" t="n">
        <x:v>0.35</x:v>
      </x:c>
      <x:c r="D1233" s="60" t="n">
        <x:v>0.35</x:v>
      </x:c>
      <x:c r="E1233" s="62" t="b">
        <x:v>1</x:v>
      </x:c>
      <x:c r="F1233" s="62" t="b">
        <x:v>1</x:v>
      </x:c>
      <x:c r="G1233" s="85" t="n">
        <x:v>0</x:v>
      </x:c>
      <x:c r="H1233" s="85" t="n">
        <x:v>0</x:v>
      </x:c>
      <x:c r="I1233" s="85" t="n">
        <x:v>21580142.57329682</x:v>
      </x:c>
      <x:c r="J1233" s="85" t="n">
        <x:v>33565255.726934746</x:v>
      </x:c>
      <x:c r="K1233" s="85" t="n">
        <x:v>56089.02995205356</x:v>
      </x:c>
      <x:c r="L1233" s="28" t="n">
        <x:v>0</x:v>
      </x:c>
      <x:c r="M1233" s="28" t="n">
        <x:v>0</x:v>
      </x:c>
      <x:c r="N1233" s="28" t="n">
        <x:v>9.313225746154785e-10</x:v>
      </x:c>
      <x:c r="O1233" s="28" t="n">
        <x:v>2.9802322387695312e-8</x:v>
      </x:c>
      <x:c r="P1233" s="28" t="n">
        <x:v>0</x:v>
      </x:c>
      <x:c r="Q1233" s="62" t="b">
        <x:v>1</x:v>
      </x:c>
      <x:c r="R1233" s="28" t="n">
        <x:v>0</x:v>
      </x:c>
      <x:c r="S1233" s="28" t="str">
        <x:v>ca87702335f8f222</x:v>
      </x:c>
    </x:row>
    <x:row r="1234" ht="21" customHeight="1">
      <x:c r="A1234" s="60" t="n">
        <x:v>0.64</x:v>
      </x:c>
      <x:c r="B1234" s="28" t="str">
        <x:v>level_low</x:v>
      </x:c>
      <x:c r="C1234" s="60" t="n">
        <x:v>0.4</x:v>
      </x:c>
      <x:c r="D1234" s="60" t="n">
        <x:v>0.4</x:v>
      </x:c>
      <x:c r="E1234" s="62" t="b">
        <x:v>1</x:v>
      </x:c>
      <x:c r="F1234" s="62" t="b">
        <x:v>1</x:v>
      </x:c>
      <x:c r="G1234" s="85" t="n">
        <x:v>0</x:v>
      </x:c>
      <x:c r="H1234" s="85" t="n">
        <x:v>0</x:v>
      </x:c>
      <x:c r="I1234" s="85" t="n">
        <x:v>25853953.627896957</x:v>
      </x:c>
      <x:c r="J1234" s="85" t="n">
        <x:v>42646006.545068316</x:v>
      </x:c>
      <x:c r="K1234" s="85" t="n">
        <x:v>37881.50761643934</x:v>
      </x:c>
      <x:c r="L1234" s="28" t="n">
        <x:v>0</x:v>
      </x:c>
      <x:c r="M1234" s="28" t="n">
        <x:v>0</x:v>
      </x:c>
      <x:c r="N1234" s="28" t="n">
        <x:v>3.725290298461914e-9</x:v>
      </x:c>
      <x:c r="O1234" s="28" t="n">
        <x:v>2.9802322387695312e-8</x:v>
      </x:c>
      <x:c r="P1234" s="28" t="n">
        <x:v>0</x:v>
      </x:c>
      <x:c r="Q1234" s="62" t="b">
        <x:v>1</x:v>
      </x:c>
      <x:c r="R1234" s="28" t="n">
        <x:v>0</x:v>
      </x:c>
      <x:c r="S1234" s="28" t="str">
        <x:v>024c834310b16154</x:v>
      </x:c>
    </x:row>
    <x:row r="1235" ht="21" customHeight="1">
      <x:c r="A1235" s="60" t="n">
        <x:v>0.64</x:v>
      </x:c>
      <x:c r="B1235" s="28" t="str">
        <x:v>level_low</x:v>
      </x:c>
      <x:c r="C1235" s="60" t="n">
        <x:v>0.45</x:v>
      </x:c>
      <x:c r="D1235" s="60" t="n">
        <x:v>0.45</x:v>
      </x:c>
      <x:c r="E1235" s="62" t="b">
        <x:v>1</x:v>
      </x:c>
      <x:c r="F1235" s="62" t="b">
        <x:v>1</x:v>
      </x:c>
      <x:c r="G1235" s="85" t="n">
        <x:v>0</x:v>
      </x:c>
      <x:c r="H1235" s="85" t="n">
        <x:v>0</x:v>
      </x:c>
      <x:c r="I1235" s="85" t="n">
        <x:v>31465066.881556194</x:v>
      </x:c>
      <x:c r="J1235" s="85" t="n">
        <x:v>49535653.719176576</x:v>
      </x:c>
      <x:c r="K1235" s="85" t="n">
        <x:v>19673.9852808265</x:v>
      </x:c>
      <x:c r="L1235" s="28" t="n">
        <x:v>5</x:v>
      </x:c>
      <x:c r="M1235" s="28" t="n">
        <x:v>0</x:v>
      </x:c>
      <x:c r="N1235" s="28" t="n">
        <x:v>1.862645149230957e-9</x:v>
      </x:c>
      <x:c r="O1235" s="28" t="n">
        <x:v>2.9802322387695312e-8</x:v>
      </x:c>
      <x:c r="P1235" s="28" t="n">
        <x:v>0</x:v>
      </x:c>
      <x:c r="Q1235" s="62" t="b">
        <x:v>1</x:v>
      </x:c>
      <x:c r="R1235" s="28" t="n">
        <x:v>0</x:v>
      </x:c>
      <x:c r="S1235" s="28" t="str">
        <x:v>305821c493cb0bc8</x:v>
      </x:c>
    </x:row>
    <x:row r="1236" ht="21" customHeight="1">
      <x:c r="A1236" s="60" t="n">
        <x:v>0.64</x:v>
      </x:c>
      <x:c r="B1236" s="28" t="str">
        <x:v>level_low</x:v>
      </x:c>
      <x:c r="C1236" s="60" t="n">
        <x:v>0.5</x:v>
      </x:c>
      <x:c r="D1236" s="60" t="n">
        <x:v>0.5</x:v>
      </x:c>
      <x:c r="E1236" s="62" t="b">
        <x:v>1</x:v>
      </x:c>
      <x:c r="F1236" s="62" t="b">
        <x:v>1</x:v>
      </x:c>
      <x:c r="G1236" s="85" t="n">
        <x:v>0</x:v>
      </x:c>
      <x:c r="H1236" s="85" t="n">
        <x:v>0</x:v>
      </x:c>
      <x:c r="I1236" s="85" t="n">
        <x:v>36720917.54679686</x:v>
      </x:c>
      <x:c r="J1236" s="85" t="n">
        <x:v>56897694.840586394</x:v>
      </x:c>
      <x:c r="K1236" s="85" t="n">
        <x:v>1466.4629452048102</x:v>
      </x:c>
      <x:c r="L1236" s="28" t="n">
        <x:v>9</x:v>
      </x:c>
      <x:c r="M1236" s="28" t="n">
        <x:v>0</x:v>
      </x:c>
      <x:c r="N1236" s="28" t="n">
        <x:v>9.313225746154785e-10</x:v>
      </x:c>
      <x:c r="O1236" s="28" t="n">
        <x:v>1.4901161193847656e-8</x:v>
      </x:c>
      <x:c r="P1236" s="28" t="n">
        <x:v>0</x:v>
      </x:c>
      <x:c r="Q1236" s="62" t="b">
        <x:v>1</x:v>
      </x:c>
      <x:c r="R1236" s="28" t="n">
        <x:v>0</x:v>
      </x:c>
      <x:c r="S1236" s="28" t="str">
        <x:v>325c98ae16a4901e</x:v>
      </x:c>
    </x:row>
    <x:row r="1237" ht="21" customHeight="1">
      <x:c r="A1237" s="60" t="n">
        <x:v>0.64</x:v>
      </x:c>
      <x:c r="B1237" s="28" t="str">
        <x:v>level_low</x:v>
      </x:c>
      <x:c r="C1237" s="60" t="n">
        <x:v>0.55</x:v>
      </x:c>
      <x:c r="D1237" s="60" t="n">
        <x:v>0.55</x:v>
      </x:c>
      <x:c r="E1237" s="62" t="b">
        <x:v>1</x:v>
      </x:c>
      <x:c r="F1237" s="62" t="b">
        <x:v>1</x:v>
      </x:c>
      <x:c r="G1237" s="85" t="n">
        <x:v>0</x:v>
      </x:c>
      <x:c r="H1237" s="85" t="n">
        <x:v>0</x:v>
      </x:c>
      <x:c r="I1237" s="85" t="n">
        <x:v>41619697.79904738</x:v>
      </x:c>
      <x:c r="J1237" s="85" t="n">
        <x:v>64796639.262589075</x:v>
      </x:c>
      <x:c r="K1237" s="85" t="n">
        <x:v>0</x:v>
      </x:c>
      <x:c r="L1237" s="28" t="n">
        <x:v>13</x:v>
      </x:c>
      <x:c r="M1237" s="28" t="n">
        <x:v>0</x:v>
      </x:c>
      <x:c r="N1237" s="28" t="n">
        <x:v>1.862645149230957e-9</x:v>
      </x:c>
      <x:c r="O1237" s="28" t="n">
        <x:v>2.9802322387695312e-8</x:v>
      </x:c>
      <x:c r="P1237" s="28" t="n">
        <x:v>0</x:v>
      </x:c>
      <x:c r="Q1237" s="62" t="b">
        <x:v>1</x:v>
      </x:c>
      <x:c r="R1237" s="28" t="n">
        <x:v>0</x:v>
      </x:c>
      <x:c r="S1237" s="28" t="str">
        <x:v>c07598da4c2cea17</x:v>
      </x:c>
    </x:row>
    <x:row r="1238" ht="21" customHeight="1">
      <x:c r="A1238" s="60" t="n">
        <x:v>0.64</x:v>
      </x:c>
      <x:c r="B1238" s="28" t="str">
        <x:v>level_low</x:v>
      </x:c>
      <x:c r="C1238" s="60" t="n">
        <x:v>0.6</x:v>
      </x:c>
      <x:c r="D1238" s="60" t="n">
        <x:v>0.6</x:v>
      </x:c>
      <x:c r="E1238" s="62" t="b">
        <x:v>1</x:v>
      </x:c>
      <x:c r="F1238" s="62" t="b">
        <x:v>1</x:v>
      </x:c>
      <x:c r="G1238" s="85" t="n">
        <x:v>0</x:v>
      </x:c>
      <x:c r="H1238" s="85" t="n">
        <x:v>0</x:v>
      </x:c>
      <x:c r="I1238" s="85" t="n">
        <x:v>45746287.631183796</x:v>
      </x:c>
      <x:c r="J1238" s="85" t="n">
        <x:v>73792375.38606708</x:v>
      </x:c>
      <x:c r="K1238" s="85" t="n">
        <x:v>0</x:v>
      </x:c>
      <x:c r="L1238" s="28" t="n">
        <x:v>16</x:v>
      </x:c>
      <x:c r="M1238" s="28" t="n">
        <x:v>0</x:v>
      </x:c>
      <x:c r="N1238" s="28" t="n">
        <x:v>1.862645149230957e-9</x:v>
      </x:c>
      <x:c r="O1238" s="28" t="n">
        <x:v>2.9802322387695312e-8</x:v>
      </x:c>
      <x:c r="P1238" s="28" t="n">
        <x:v>0</x:v>
      </x:c>
      <x:c r="Q1238" s="62" t="b">
        <x:v>1</x:v>
      </x:c>
      <x:c r="R1238" s="28" t="n">
        <x:v>0</x:v>
      </x:c>
      <x:c r="S1238" s="28" t="str">
        <x:v>f2ea86aa15ae2752</x:v>
      </x:c>
    </x:row>
    <x:row r="1239" ht="21" customHeight="1">
      <x:c r="A1239" s="60" t="n">
        <x:v>0.64</x:v>
      </x:c>
      <x:c r="B1239" s="28" t="str">
        <x:v>level_low</x:v>
      </x:c>
      <x:c r="C1239" s="60" t="n">
        <x:v>0.65</x:v>
      </x:c>
      <x:c r="D1239" s="60" t="n">
        <x:v>0.65</x:v>
      </x:c>
      <x:c r="E1239" s="62" t="b">
        <x:v>1</x:v>
      </x:c>
      <x:c r="F1239" s="62" t="b">
        <x:v>0</x:v>
      </x:c>
      <x:c r="G1239" s="85" t="n">
        <x:v>355868.73127766454</x:v>
      </x:c>
      <x:c r="H1239" s="85" t="n">
        <x:v>5347884.549168126</x:v>
      </x:c>
      <x:c r="I1239" s="85" t="n">
        <x:v>48000171.39895589</x:v>
      </x:c>
      <x:c r="J1239" s="85" t="n">
        <x:v>78000000</x:v>
      </x:c>
      <x:c r="K1239" s="85" t="n">
        <x:v>0</x:v>
      </x:c>
      <x:c r="L1239" s="28" t="n">
        <x:v>40</x:v>
      </x:c>
      <x:c r="M1239" s="28" t="n">
        <x:v>30</x:v>
      </x:c>
      <x:c r="N1239" s="28" t="n">
        <x:v>1.862645149230957e-9</x:v>
      </x:c>
      <x:c r="O1239" s="28" t="n">
        <x:v>2.9802322387695312e-8</x:v>
      </x:c>
      <x:c r="P1239" s="28" t="n">
        <x:v>0</x:v>
      </x:c>
      <x:c r="Q1239" s="62" t="b">
        <x:v>1</x:v>
      </x:c>
      <x:c r="R1239" s="28" t="n">
        <x:v>0</x:v>
      </x:c>
      <x:c r="S1239" s="28" t="str">
        <x:v>c33fca6b50e370f9</x:v>
      </x:c>
    </x:row>
    <x:row r="1240" ht="21" customHeight="1">
      <x:c r="A1240" s="60" t="n">
        <x:v>0.64</x:v>
      </x:c>
      <x:c r="B1240" s="28" t="str">
        <x:v>level_low</x:v>
      </x:c>
      <x:c r="C1240" s="60" t="n">
        <x:v>0.7</x:v>
      </x:c>
      <x:c r="D1240" s="60" t="n">
        <x:v>0.7</x:v>
      </x:c>
      <x:c r="E1240" s="62" t="b">
        <x:v>1</x:v>
      </x:c>
      <x:c r="F1240" s="62" t="b">
        <x:v>0</x:v>
      </x:c>
      <x:c r="G1240" s="85" t="n">
        <x:v>1006693.4330409571</x:v>
      </x:c>
      <x:c r="H1240" s="85" t="n">
        <x:v>15168395.53348144</x:v>
      </x:c>
      <x:c r="I1240" s="85" t="n">
        <x:v>49018958.97335616</x:v>
      </x:c>
      <x:c r="J1240" s="85" t="n">
        <x:v>78000000</x:v>
      </x:c>
      <x:c r="K1240" s="85" t="n">
        <x:v>0</x:v>
      </x:c>
      <x:c r="L1240" s="28" t="n">
        <x:v>41</x:v>
      </x:c>
      <x:c r="M1240" s="28" t="n">
        <x:v>31</x:v>
      </x:c>
      <x:c r="N1240" s="28" t="n">
        <x:v>1.862645149230957e-9</x:v>
      </x:c>
      <x:c r="O1240" s="28" t="n">
        <x:v>2.9802322387695312e-8</x:v>
      </x:c>
      <x:c r="P1240" s="28" t="n">
        <x:v>0</x:v>
      </x:c>
      <x:c r="Q1240" s="62" t="b">
        <x:v>1</x:v>
      </x:c>
      <x:c r="R1240" s="28" t="n">
        <x:v>0</x:v>
      </x:c>
      <x:c r="S1240" s="28" t="str">
        <x:v>2d5cb1c50528af0d</x:v>
      </x:c>
    </x:row>
    <x:row r="1241" ht="21" customHeight="1">
      <x:c r="A1241" s="60" t="n">
        <x:v>0.64</x:v>
      </x:c>
      <x:c r="B1241" s="28" t="str">
        <x:v>level_low</x:v>
      </x:c>
      <x:c r="C1241" s="60" t="n">
        <x:v>0.75</x:v>
      </x:c>
      <x:c r="D1241" s="60" t="n">
        <x:v>0.75</x:v>
      </x:c>
      <x:c r="E1241" s="62" t="b">
        <x:v>1</x:v>
      </x:c>
      <x:c r="F1241" s="62" t="b">
        <x:v>0</x:v>
      </x:c>
      <x:c r="G1241" s="85" t="n">
        <x:v>1887882.0527742505</x:v>
      </x:c>
      <x:c r="H1241" s="85" t="n">
        <x:v>24958278.196988814</x:v>
      </x:c>
      <x:c r="I1241" s="85" t="n">
        <x:v>49931333.076053426</x:v>
      </x:c>
      <x:c r="J1241" s="85" t="n">
        <x:v>78000000</x:v>
      </x:c>
      <x:c r="K1241" s="85" t="n">
        <x:v>0</x:v>
      </x:c>
      <x:c r="L1241" s="28" t="n">
        <x:v>42</x:v>
      </x:c>
      <x:c r="M1241" s="28" t="n">
        <x:v>32</x:v>
      </x:c>
      <x:c r="N1241" s="28" t="n">
        <x:v>1.862645149230957e-9</x:v>
      </x:c>
      <x:c r="O1241" s="28" t="n">
        <x:v>2.9802322387695312e-8</x:v>
      </x:c>
      <x:c r="P1241" s="28" t="n">
        <x:v>0</x:v>
      </x:c>
      <x:c r="Q1241" s="62" t="b">
        <x:v>1</x:v>
      </x:c>
      <x:c r="R1241" s="28" t="n">
        <x:v>0</x:v>
      </x:c>
      <x:c r="S1241" s="28" t="str">
        <x:v>af0d4c303b4c2512</x:v>
      </x:c>
    </x:row>
    <x:row r="1242" ht="21" customHeight="1">
      <x:c r="A1242" s="60" t="n">
        <x:v>0.64</x:v>
      </x:c>
      <x:c r="B1242" s="28" t="str">
        <x:v>level_low</x:v>
      </x:c>
      <x:c r="C1242" s="60" t="n">
        <x:v>0.8</x:v>
      </x:c>
      <x:c r="D1242" s="60" t="n">
        <x:v>0.8</x:v>
      </x:c>
      <x:c r="E1242" s="62" t="b">
        <x:v>1</x:v>
      </x:c>
      <x:c r="F1242" s="62" t="b">
        <x:v>0</x:v>
      </x:c>
      <x:c r="G1242" s="85" t="n">
        <x:v>2641713.38145847</x:v>
      </x:c>
      <x:c r="H1242" s="85" t="n">
        <x:v>34523993.07618246</x:v>
      </x:c>
      <x:c r="I1242" s="85" t="n">
        <x:v>50915874.91638355</x:v>
      </x:c>
      <x:c r="J1242" s="85" t="n">
        <x:v>78000000</x:v>
      </x:c>
      <x:c r="K1242" s="85" t="n">
        <x:v>0</x:v>
      </x:c>
      <x:c r="L1242" s="28" t="n">
        <x:v>43</x:v>
      </x:c>
      <x:c r="M1242" s="28" t="n">
        <x:v>32</x:v>
      </x:c>
      <x:c r="N1242" s="28" t="n">
        <x:v>1.862645149230957e-9</x:v>
      </x:c>
      <x:c r="O1242" s="28" t="n">
        <x:v>2.9802322387695312e-8</x:v>
      </x:c>
      <x:c r="P1242" s="28" t="n">
        <x:v>0</x:v>
      </x:c>
      <x:c r="Q1242" s="62" t="b">
        <x:v>1</x:v>
      </x:c>
      <x:c r="R1242" s="28" t="n">
        <x:v>0</x:v>
      </x:c>
      <x:c r="S1242" s="28" t="str">
        <x:v>a3047853ebf6b5bb</x:v>
      </x:c>
    </x:row>
    <x:row r="1243" ht="21" customHeight="1">
      <x:c r="A1243" s="60" t="n">
        <x:v>0.64</x:v>
      </x:c>
      <x:c r="B1243" s="28" t="str">
        <x:v>level_low</x:v>
      </x:c>
      <x:c r="C1243" s="60" t="n">
        <x:v>0.85</x:v>
      </x:c>
      <x:c r="D1243" s="60" t="n">
        <x:v>0.85</x:v>
      </x:c>
      <x:c r="E1243" s="62" t="b">
        <x:v>1</x:v>
      </x:c>
      <x:c r="F1243" s="62" t="b">
        <x:v>0</x:v>
      </x:c>
      <x:c r="G1243" s="85" t="n">
        <x:v>3740933.918073905</x:v>
      </x:c>
      <x:c r="H1243" s="85" t="n">
        <x:v>44933739.425207585</x:v>
      </x:c>
      <x:c r="I1243" s="85" t="n">
        <x:v>50986136.63204794</x:v>
      </x:c>
      <x:c r="J1243" s="85" t="n">
        <x:v>78000000</x:v>
      </x:c>
      <x:c r="K1243" s="85" t="n">
        <x:v>0</x:v>
      </x:c>
      <x:c r="L1243" s="28" t="n">
        <x:v>43</x:v>
      </x:c>
      <x:c r="M1243" s="28" t="n">
        <x:v>34</x:v>
      </x:c>
      <x:c r="N1243" s="28" t="n">
        <x:v>9.313225746154785e-10</x:v>
      </x:c>
      <x:c r="O1243" s="28" t="n">
        <x:v>2.9802322387695312e-8</x:v>
      </x:c>
      <x:c r="P1243" s="28" t="n">
        <x:v>0</x:v>
      </x:c>
      <x:c r="Q1243" s="62" t="b">
        <x:v>1</x:v>
      </x:c>
      <x:c r="R1243" s="28" t="n">
        <x:v>0</x:v>
      </x:c>
      <x:c r="S1243" s="28" t="str">
        <x:v>eba3160614f67c4d</x:v>
      </x:c>
    </x:row>
    <x:row r="1244" ht="21" customHeight="1">
      <x:c r="A1244" s="60" t="n">
        <x:v>0.64</x:v>
      </x:c>
      <x:c r="B1244" s="28" t="str">
        <x:v>level_low</x:v>
      </x:c>
      <x:c r="C1244" s="60" t="n">
        <x:v>0.9</x:v>
      </x:c>
      <x:c r="D1244" s="60" t="n">
        <x:v>0.9</x:v>
      </x:c>
      <x:c r="E1244" s="62" t="b">
        <x:v>1</x:v>
      </x:c>
      <x:c r="F1244" s="62" t="b">
        <x:v>0</x:v>
      </x:c>
      <x:c r="G1244" s="85" t="n">
        <x:v>5777861.906199229</x:v>
      </x:c>
      <x:c r="H1244" s="85" t="n">
        <x:v>53703489.72904137</x:v>
      </x:c>
      <x:c r="I1244" s="85" t="n">
        <x:v>51857822.900657535</x:v>
      </x:c>
      <x:c r="J1244" s="85" t="n">
        <x:v>78000000</x:v>
      </x:c>
      <x:c r="K1244" s="85" t="n">
        <x:v>0</x:v>
      </x:c>
      <x:c r="L1244" s="28" t="n">
        <x:v>44</x:v>
      </x:c>
      <x:c r="M1244" s="28" t="n">
        <x:v>34</x:v>
      </x:c>
      <x:c r="N1244" s="28" t="n">
        <x:v>1.862645149230957e-9</x:v>
      </x:c>
      <x:c r="O1244" s="28" t="n">
        <x:v>7.450580596923828e-9</x:v>
      </x:c>
      <x:c r="P1244" s="28" t="n">
        <x:v>0</x:v>
      </x:c>
      <x:c r="Q1244" s="62" t="b">
        <x:v>1</x:v>
      </x:c>
      <x:c r="R1244" s="28" t="n">
        <x:v>0</x:v>
      </x:c>
      <x:c r="S1244" s="28" t="str">
        <x:v>1f6df8ddb6730f1c</x:v>
      </x:c>
    </x:row>
    <x:row r="1245" ht="21" customHeight="1">
      <x:c r="A1245" s="60" t="n">
        <x:v>0.64</x:v>
      </x:c>
      <x:c r="B1245" s="28" t="str">
        <x:v>level_low</x:v>
      </x:c>
      <x:c r="C1245" s="60" t="n">
        <x:v>0.95</x:v>
      </x:c>
      <x:c r="D1245" s="60" t="n">
        <x:v>0.9219114501462435</x:v>
      </x:c>
      <x:c r="E1245" s="62" t="b">
        <x:v>0</x:v>
      </x:c>
      <x:c r="F1245" s="62" t="b">
        <x:v>0</x:v>
      </x:c>
      <x:c r="G1245" s="85" t="n">
        <x:v>6577726.846678148</x:v>
      </x:c>
      <x:c r="H1245" s="85" t="n">
        <x:v>57673023.59022614</x:v>
      </x:c>
      <x:c r="I1245" s="85" t="n">
        <x:v>51899644.58265753</x:v>
      </x:c>
      <x:c r="J1245" s="85" t="n">
        <x:v>78000000</x:v>
      </x:c>
      <x:c r="K1245" s="85" t="n">
        <x:v>0</x:v>
      </x:c>
      <x:c r="L1245" s="28" t="n">
        <x:v>44</x:v>
      </x:c>
      <x:c r="M1245" s="28" t="n">
        <x:v>35</x:v>
      </x:c>
      <x:c r="N1245" s="28" t="n">
        <x:v>1.862645149230957e-9</x:v>
      </x:c>
      <x:c r="O1245" s="28" t="n">
        <x:v>1.4901161193847656e-8</x:v>
      </x:c>
      <x:c r="P1245" s="28" t="n">
        <x:v>0</x:v>
      </x:c>
      <x:c r="Q1245" s="62" t="b">
        <x:v>1</x:v>
      </x:c>
      <x:c r="R1245" s="28" t="n">
        <x:v>8426564.956126928</x:v>
      </x:c>
      <x:c r="S1245" s="28" t="str">
        <x:v>ac68128e989474eb</x:v>
      </x:c>
    </x:row>
    <x:row r="1246" ht="21" customHeight="1">
      <x:c r="A1246" s="60" t="n">
        <x:v>0.64</x:v>
      </x:c>
      <x:c r="B1246" s="28" t="str">
        <x:v>level_low</x:v>
      </x:c>
      <x:c r="C1246" s="60" t="n">
        <x:v>1</x:v>
      </x:c>
      <x:c r="D1246" s="60" t="n">
        <x:v>0.9350574964161632</x:v>
      </x:c>
      <x:c r="E1246" s="62" t="b">
        <x:v>0</x:v>
      </x:c>
      <x:c r="F1246" s="62" t="b">
        <x:v>0</x:v>
      </x:c>
      <x:c r="G1246" s="85" t="n">
        <x:v>7200291.122891304</x:v>
      </x:c>
      <x:c r="H1246" s="85" t="n">
        <x:v>60587552.38617992</x:v>
      </x:c>
      <x:c r="I1246" s="85" t="n">
        <x:v>51941466.264657535</x:v>
      </x:c>
      <x:c r="J1246" s="85" t="n">
        <x:v>78000000</x:v>
      </x:c>
      <x:c r="K1246" s="85" t="n">
        <x:v>0</x:v>
      </x:c>
      <x:c r="L1246" s="28" t="n">
        <x:v>44</x:v>
      </x:c>
      <x:c r="M1246" s="28" t="n">
        <x:v>36</x:v>
      </x:c>
      <x:c r="N1246" s="28" t="n">
        <x:v>1.862645149230957e-9</x:v>
      </x:c>
      <x:c r="O1246" s="28" t="n">
        <x:v>7.450580596923828e-9</x:v>
      </x:c>
      <x:c r="P1246" s="28" t="n">
        <x:v>0</x:v>
      </x:c>
      <x:c r="Q1246" s="62" t="b">
        <x:v>1</x:v>
      </x:c>
      <x:c r="R1246" s="28" t="n">
        <x:v>19482751.075151026</x:v>
      </x:c>
      <x:c r="S1246" s="28" t="str">
        <x:v>42080ac4642f5772</x:v>
      </x:c>
    </x:row>
    <x:row r="1247" ht="21" customHeight="1">
      <x:c r="A1247" s="60" t="n">
        <x:v>0.64</x:v>
      </x:c>
      <x:c r="B1247" s="28" t="str">
        <x:v>level_high</x:v>
      </x:c>
      <x:c r="C1247" s="60" t="n">
        <x:v>0</x:v>
      </x:c>
      <x:c r="D1247" s="60" t="n">
        <x:v>0</x:v>
      </x:c>
      <x:c r="E1247" s="62" t="b">
        <x:v>1</x:v>
      </x:c>
      <x:c r="F1247" s="62" t="b">
        <x:v>1</x:v>
      </x:c>
      <x:c r="G1247" s="85" t="n">
        <x:v>0</x:v>
      </x:c>
      <x:c r="H1247" s="85" t="n">
        <x:v>0</x:v>
      </x:c>
      <x:c r="I1247" s="85" t="n">
        <x:v>0</x:v>
      </x:c>
      <x:c r="J1247" s="85" t="n">
        <x:v>0</x:v>
      </x:c>
      <x:c r="K1247" s="85" t="n">
        <x:v>37552033.422602706</x:v>
      </x:c>
      <x:c r="L1247" s="28" t="n">
        <x:v>0</x:v>
      </x:c>
      <x:c r="M1247" s="28" t="n">
        <x:v>0</x:v>
      </x:c>
      <x:c r="N1247" s="28" t="n">
        <x:v>3.725290298461914e-9</x:v>
      </x:c>
      <x:c r="O1247" s="28" t="n">
        <x:v>0</x:v>
      </x:c>
      <x:c r="P1247" s="28" t="n">
        <x:v>0</x:v>
      </x:c>
      <x:c r="Q1247" s="62" t="b">
        <x:v>1</x:v>
      </x:c>
      <x:c r="R1247" s="28" t="n">
        <x:v>0</x:v>
      </x:c>
      <x:c r="S1247" s="28" t="str">
        <x:v>a824b50cdfaa5011</x:v>
      </x:c>
    </x:row>
    <x:row r="1248" ht="21" customHeight="1">
      <x:c r="A1248" s="60" t="n">
        <x:v>0.64</x:v>
      </x:c>
      <x:c r="B1248" s="28" t="str">
        <x:v>level_high</x:v>
      </x:c>
      <x:c r="C1248" s="60" t="n">
        <x:v>0.05</x:v>
      </x:c>
      <x:c r="D1248" s="60" t="n">
        <x:v>0.05</x:v>
      </x:c>
      <x:c r="E1248" s="62" t="b">
        <x:v>1</x:v>
      </x:c>
      <x:c r="F1248" s="62" t="b">
        <x:v>1</x:v>
      </x:c>
      <x:c r="G1248" s="85" t="n">
        <x:v>0</x:v>
      </x:c>
      <x:c r="H1248" s="85" t="n">
        <x:v>0</x:v>
      </x:c>
      <x:c r="I1248" s="85" t="n">
        <x:v>0</x:v>
      </x:c>
      <x:c r="J1248" s="85" t="n">
        <x:v>0</x:v>
      </x:c>
      <x:c r="K1248" s="85" t="n">
        <x:v>24223484.405874092</x:v>
      </x:c>
      <x:c r="L1248" s="28" t="n">
        <x:v>0</x:v>
      </x:c>
      <x:c r="M1248" s="28" t="n">
        <x:v>0</x:v>
      </x:c>
      <x:c r="N1248" s="28" t="n">
        <x:v>3.725290298461914e-9</x:v>
      </x:c>
      <x:c r="O1248" s="28" t="n">
        <x:v>2.9802322387695312e-8</x:v>
      </x:c>
      <x:c r="P1248" s="28" t="n">
        <x:v>0</x:v>
      </x:c>
      <x:c r="Q1248" s="62" t="b">
        <x:v>1</x:v>
      </x:c>
      <x:c r="R1248" s="28" t="n">
        <x:v>0</x:v>
      </x:c>
      <x:c r="S1248" s="28" t="str">
        <x:v>0872b493520503ac</x:v>
      </x:c>
    </x:row>
    <x:row r="1249" ht="21" customHeight="1">
      <x:c r="A1249" s="60" t="n">
        <x:v>0.64</x:v>
      </x:c>
      <x:c r="B1249" s="28" t="str">
        <x:v>level_high</x:v>
      </x:c>
      <x:c r="C1249" s="60" t="n">
        <x:v>0.1</x:v>
      </x:c>
      <x:c r="D1249" s="60" t="n">
        <x:v>0.1</x:v>
      </x:c>
      <x:c r="E1249" s="62" t="b">
        <x:v>1</x:v>
      </x:c>
      <x:c r="F1249" s="62" t="b">
        <x:v>1</x:v>
      </x:c>
      <x:c r="G1249" s="85" t="n">
        <x:v>0</x:v>
      </x:c>
      <x:c r="H1249" s="85" t="n">
        <x:v>0</x:v>
      </x:c>
      <x:c r="I1249" s="85" t="n">
        <x:v>0</x:v>
      </x:c>
      <x:c r="J1249" s="85" t="n">
        <x:v>0</x:v>
      </x:c>
      <x:c r="K1249" s="85" t="n">
        <x:v>10735363.879862778</x:v>
      </x:c>
      <x:c r="L1249" s="28" t="n">
        <x:v>0</x:v>
      </x:c>
      <x:c r="M1249" s="28" t="n">
        <x:v>0</x:v>
      </x:c>
      <x:c r="N1249" s="28" t="n">
        <x:v>3.725290298461914e-9</x:v>
      </x:c>
      <x:c r="O1249" s="28" t="n">
        <x:v>5.960464477539063e-8</x:v>
      </x:c>
      <x:c r="P1249" s="28" t="n">
        <x:v>0</x:v>
      </x:c>
      <x:c r="Q1249" s="62" t="b">
        <x:v>1</x:v>
      </x:c>
      <x:c r="R1249" s="28" t="n">
        <x:v>0</x:v>
      </x:c>
      <x:c r="S1249" s="28" t="str">
        <x:v>3bda1cd8d44e1597</x:v>
      </x:c>
    </x:row>
    <x:row r="1250" ht="21" customHeight="1">
      <x:c r="A1250" s="60" t="n">
        <x:v>0.64</x:v>
      </x:c>
      <x:c r="B1250" s="28" t="str">
        <x:v>level_high</x:v>
      </x:c>
      <x:c r="C1250" s="60" t="n">
        <x:v>0.15</x:v>
      </x:c>
      <x:c r="D1250" s="60" t="n">
        <x:v>0.15</x:v>
      </x:c>
      <x:c r="E1250" s="62" t="b">
        <x:v>1</x:v>
      </x:c>
      <x:c r="F1250" s="62" t="b">
        <x:v>1</x:v>
      </x:c>
      <x:c r="G1250" s="85" t="n">
        <x:v>0</x:v>
      </x:c>
      <x:c r="H1250" s="85" t="n">
        <x:v>0</x:v>
      </x:c>
      <x:c r="I1250" s="85" t="n">
        <x:v>3851848.7029552935</x:v>
      </x:c>
      <x:c r="J1250" s="85" t="n">
        <x:v>0</x:v>
      </x:c>
      <x:c r="K1250" s="85" t="n">
        <x:v>1822207.1969695652</x:v>
      </x:c>
      <x:c r="L1250" s="28" t="n">
        <x:v>0</x:v>
      </x:c>
      <x:c r="M1250" s="28" t="n">
        <x:v>0</x:v>
      </x:c>
      <x:c r="N1250" s="28" t="n">
        <x:v>3.725290298461914e-9</x:v>
      </x:c>
      <x:c r="O1250" s="28" t="n">
        <x:v>2.9802322387695312e-8</x:v>
      </x:c>
      <x:c r="P1250" s="28" t="n">
        <x:v>0</x:v>
      </x:c>
      <x:c r="Q1250" s="62" t="b">
        <x:v>1</x:v>
      </x:c>
      <x:c r="R1250" s="28" t="n">
        <x:v>0</x:v>
      </x:c>
      <x:c r="S1250" s="28" t="str">
        <x:v>9b5008ec7651c13a</x:v>
      </x:c>
    </x:row>
    <x:row r="1251" ht="21" customHeight="1">
      <x:c r="A1251" s="60" t="n">
        <x:v>0.64</x:v>
      </x:c>
      <x:c r="B1251" s="28" t="str">
        <x:v>level_high</x:v>
      </x:c>
      <x:c r="C1251" s="60" t="n">
        <x:v>0.2</x:v>
      </x:c>
      <x:c r="D1251" s="60" t="n">
        <x:v>0.2</x:v>
      </x:c>
      <x:c r="E1251" s="62" t="b">
        <x:v>1</x:v>
      </x:c>
      <x:c r="F1251" s="62" t="b">
        <x:v>1</x:v>
      </x:c>
      <x:c r="G1251" s="85" t="n">
        <x:v>0</x:v>
      </x:c>
      <x:c r="H1251" s="85" t="n">
        <x:v>0</x:v>
      </x:c>
      <x:c r="I1251" s="85" t="n">
        <x:v>14121175.330786236</x:v>
      </x:c>
      <x:c r="J1251" s="85" t="n">
        <x:v>6323003.272534233</x:v>
      </x:c>
      <x:c r="K1251" s="85" t="n">
        <x:v>1266761.2833008212</x:v>
      </x:c>
      <x:c r="L1251" s="28" t="n">
        <x:v>0</x:v>
      </x:c>
      <x:c r="M1251" s="28" t="n">
        <x:v>0</x:v>
      </x:c>
      <x:c r="N1251" s="28" t="n">
        <x:v>3.725290298461914e-9</x:v>
      </x:c>
      <x:c r="O1251" s="28" t="n">
        <x:v>2.9802322387695312e-8</x:v>
      </x:c>
      <x:c r="P1251" s="28" t="n">
        <x:v>0</x:v>
      </x:c>
      <x:c r="Q1251" s="62" t="b">
        <x:v>1</x:v>
      </x:c>
      <x:c r="R1251" s="28" t="n">
        <x:v>0</x:v>
      </x:c>
      <x:c r="S1251" s="28" t="str">
        <x:v>f9add68a0bfb42a7</x:v>
      </x:c>
    </x:row>
    <x:row r="1252" ht="21" customHeight="1">
      <x:c r="A1252" s="60" t="n">
        <x:v>0.64</x:v>
      </x:c>
      <x:c r="B1252" s="28" t="str">
        <x:v>level_high</x:v>
      </x:c>
      <x:c r="C1252" s="60" t="n">
        <x:v>0.25</x:v>
      </x:c>
      <x:c r="D1252" s="60" t="n">
        <x:v>0.25</x:v>
      </x:c>
      <x:c r="E1252" s="62" t="b">
        <x:v>1</x:v>
      </x:c>
      <x:c r="F1252" s="62" t="b">
        <x:v>1</x:v>
      </x:c>
      <x:c r="G1252" s="85" t="n">
        <x:v>0</x:v>
      </x:c>
      <x:c r="H1252" s="85" t="n">
        <x:v>0</x:v>
      </x:c>
      <x:c r="I1252" s="85" t="n">
        <x:v>23039670.093106046</x:v>
      </x:c>
      <x:c r="J1252" s="85" t="n">
        <x:v>15403754.090667734</x:v>
      </x:c>
      <x:c r="K1252" s="85" t="n">
        <x:v>918200.8243041082</x:v>
      </x:c>
      <x:c r="L1252" s="28" t="n">
        <x:v>0</x:v>
      </x:c>
      <x:c r="M1252" s="28" t="n">
        <x:v>0</x:v>
      </x:c>
      <x:c r="N1252" s="28" t="n">
        <x:v>3.725290298461914e-9</x:v>
      </x:c>
      <x:c r="O1252" s="28" t="n">
        <x:v>2.9802322387695312e-8</x:v>
      </x:c>
      <x:c r="P1252" s="28" t="n">
        <x:v>0</x:v>
      </x:c>
      <x:c r="Q1252" s="62" t="b">
        <x:v>1</x:v>
      </x:c>
      <x:c r="R1252" s="28" t="n">
        <x:v>0</x:v>
      </x:c>
      <x:c r="S1252" s="28" t="str">
        <x:v>6b13e90b8d0cd655</x:v>
      </x:c>
    </x:row>
    <x:row r="1253" ht="21" customHeight="1">
      <x:c r="A1253" s="60" t="n">
        <x:v>0.64</x:v>
      </x:c>
      <x:c r="B1253" s="28" t="str">
        <x:v>level_high</x:v>
      </x:c>
      <x:c r="C1253" s="60" t="n">
        <x:v>0.3</x:v>
      </x:c>
      <x:c r="D1253" s="60" t="n">
        <x:v>0.3</x:v>
      </x:c>
      <x:c r="E1253" s="62" t="b">
        <x:v>1</x:v>
      </x:c>
      <x:c r="F1253" s="62" t="b">
        <x:v>1</x:v>
      </x:c>
      <x:c r="G1253" s="85" t="n">
        <x:v>0</x:v>
      </x:c>
      <x:c r="H1253" s="85" t="n">
        <x:v>0</x:v>
      </x:c>
      <x:c r="I1253" s="85" t="n">
        <x:v>32151179.40333814</x:v>
      </x:c>
      <x:c r="J1253" s="85" t="n">
        <x:v>24484504.90880119</x:v>
      </x:c>
      <x:c r="K1253" s="85" t="n">
        <x:v>743720.0893287568</x:v>
      </x:c>
      <x:c r="L1253" s="28" t="n">
        <x:v>0</x:v>
      </x:c>
      <x:c r="M1253" s="28" t="n">
        <x:v>0</x:v>
      </x:c>
      <x:c r="N1253" s="28" t="n">
        <x:v>1.862645149230957e-9</x:v>
      </x:c>
      <x:c r="O1253" s="28" t="n">
        <x:v>7.450580596923828e-9</x:v>
      </x:c>
      <x:c r="P1253" s="28" t="n">
        <x:v>0</x:v>
      </x:c>
      <x:c r="Q1253" s="62" t="b">
        <x:v>1</x:v>
      </x:c>
      <x:c r="R1253" s="28" t="n">
        <x:v>0</x:v>
      </x:c>
      <x:c r="S1253" s="28" t="str">
        <x:v>76966b1922354308</x:v>
      </x:c>
    </x:row>
    <x:row r="1254" ht="21" customHeight="1">
      <x:c r="A1254" s="60" t="n">
        <x:v>0.64</x:v>
      </x:c>
      <x:c r="B1254" s="28" t="str">
        <x:v>level_high</x:v>
      </x:c>
      <x:c r="C1254" s="60" t="n">
        <x:v>0.35</x:v>
      </x:c>
      <x:c r="D1254" s="60" t="n">
        <x:v>0.35</x:v>
      </x:c>
      <x:c r="E1254" s="62" t="b">
        <x:v>1</x:v>
      </x:c>
      <x:c r="F1254" s="62" t="b">
        <x:v>1</x:v>
      </x:c>
      <x:c r="G1254" s="85" t="n">
        <x:v>0</x:v>
      </x:c>
      <x:c r="H1254" s="85" t="n">
        <x:v>0</x:v>
      </x:c>
      <x:c r="I1254" s="85" t="n">
        <x:v>41350818.14201565</x:v>
      </x:c>
      <x:c r="J1254" s="85" t="n">
        <x:v>33565255.726934746</x:v>
      </x:c>
      <x:c r="K1254" s="85" t="n">
        <x:v>583567.5208835561</x:v>
      </x:c>
      <x:c r="L1254" s="28" t="n">
        <x:v>0</x:v>
      </x:c>
      <x:c r="M1254" s="28" t="n">
        <x:v>0</x:v>
      </x:c>
      <x:c r="N1254" s="28" t="n">
        <x:v>1.862645149230957e-9</x:v>
      </x:c>
      <x:c r="O1254" s="28" t="n">
        <x:v>2.9802322387695312e-8</x:v>
      </x:c>
      <x:c r="P1254" s="28" t="n">
        <x:v>0</x:v>
      </x:c>
      <x:c r="Q1254" s="62" t="b">
        <x:v>1</x:v>
      </x:c>
      <x:c r="R1254" s="28" t="n">
        <x:v>0</x:v>
      </x:c>
      <x:c r="S1254" s="28" t="str">
        <x:v>71c0798ae5ef03a1</x:v>
      </x:c>
    </x:row>
    <x:row r="1255" ht="21" customHeight="1">
      <x:c r="A1255" s="60" t="n">
        <x:v>0.64</x:v>
      </x:c>
      <x:c r="B1255" s="28" t="str">
        <x:v>level_high</x:v>
      </x:c>
      <x:c r="C1255" s="60" t="n">
        <x:v>0.4</x:v>
      </x:c>
      <x:c r="D1255" s="60" t="n">
        <x:v>0.4</x:v>
      </x:c>
      <x:c r="E1255" s="62" t="b">
        <x:v>1</x:v>
      </x:c>
      <x:c r="F1255" s="62" t="b">
        <x:v>1</x:v>
      </x:c>
      <x:c r="G1255" s="85" t="n">
        <x:v>0</x:v>
      </x:c>
      <x:c r="H1255" s="85" t="n">
        <x:v>0</x:v>
      </x:c>
      <x:c r="I1255" s="85" t="n">
        <x:v>50604449.64185355</x:v>
      </x:c>
      <x:c r="J1255" s="85" t="n">
        <x:v>42646006.545068316</x:v>
      </x:c>
      <x:c r="K1255" s="85" t="n">
        <x:v>458436.5092602733</x:v>
      </x:c>
      <x:c r="L1255" s="28" t="n">
        <x:v>0</x:v>
      </x:c>
      <x:c r="M1255" s="28" t="n">
        <x:v>0</x:v>
      </x:c>
      <x:c r="N1255" s="28" t="n">
        <x:v>1.862645149230957e-9</x:v>
      </x:c>
      <x:c r="O1255" s="28" t="n">
        <x:v>2.9802322387695312e-8</x:v>
      </x:c>
      <x:c r="P1255" s="28" t="n">
        <x:v>0</x:v>
      </x:c>
      <x:c r="Q1255" s="62" t="b">
        <x:v>1</x:v>
      </x:c>
      <x:c r="R1255" s="28" t="n">
        <x:v>0</x:v>
      </x:c>
      <x:c r="S1255" s="28" t="str">
        <x:v>bb7f493e6a9d3f2d</x:v>
      </x:c>
    </x:row>
    <x:row r="1256" ht="21" customHeight="1">
      <x:c r="A1256" s="60" t="n">
        <x:v>0.64</x:v>
      </x:c>
      <x:c r="B1256" s="28" t="str">
        <x:v>level_high</x:v>
      </x:c>
      <x:c r="C1256" s="60" t="n">
        <x:v>0.45</x:v>
      </x:c>
      <x:c r="D1256" s="60" t="n">
        <x:v>0.45</x:v>
      </x:c>
      <x:c r="E1256" s="62" t="b">
        <x:v>1</x:v>
      </x:c>
      <x:c r="F1256" s="62" t="b">
        <x:v>1</x:v>
      </x:c>
      <x:c r="G1256" s="85" t="n">
        <x:v>0</x:v>
      </x:c>
      <x:c r="H1256" s="85" t="n">
        <x:v>0</x:v>
      </x:c>
      <x:c r="I1256" s="85" t="n">
        <x:v>60523206.52299773</x:v>
      </x:c>
      <x:c r="J1256" s="85" t="n">
        <x:v>48384000.448030874</x:v>
      </x:c>
      <x:c r="K1256" s="85" t="n">
        <x:v>410077.0230890303</x:v>
      </x:c>
      <x:c r="L1256" s="28" t="n">
        <x:v>5</x:v>
      </x:c>
      <x:c r="M1256" s="28" t="n">
        <x:v>0</x:v>
      </x:c>
      <x:c r="N1256" s="28" t="n">
        <x:v>1.862645149230957e-9</x:v>
      </x:c>
      <x:c r="O1256" s="28" t="n">
        <x:v>2.9802322387695312e-8</x:v>
      </x:c>
      <x:c r="P1256" s="28" t="n">
        <x:v>0</x:v>
      </x:c>
      <x:c r="Q1256" s="62" t="b">
        <x:v>1</x:v>
      </x:c>
      <x:c r="R1256" s="28" t="n">
        <x:v>0</x:v>
      </x:c>
      <x:c r="S1256" s="28" t="str">
        <x:v>0bdbc47c61633d62</x:v>
      </x:c>
    </x:row>
    <x:row r="1257" ht="21" customHeight="1">
      <x:c r="A1257" s="60" t="n">
        <x:v>0.64</x:v>
      </x:c>
      <x:c r="B1257" s="28" t="str">
        <x:v>level_high</x:v>
      </x:c>
      <x:c r="C1257" s="60" t="n">
        <x:v>0.5</x:v>
      </x:c>
      <x:c r="D1257" s="60" t="n">
        <x:v>0.5</x:v>
      </x:c>
      <x:c r="E1257" s="62" t="b">
        <x:v>1</x:v>
      </x:c>
      <x:c r="F1257" s="62" t="b">
        <x:v>1</x:v>
      </x:c>
      <x:c r="G1257" s="85" t="n">
        <x:v>0</x:v>
      </x:c>
      <x:c r="H1257" s="85" t="n">
        <x:v>0</x:v>
      </x:c>
      <x:c r="I1257" s="85" t="n">
        <x:v>70101124.39683107</x:v>
      </x:c>
      <x:c r="J1257" s="85" t="n">
        <x:v>55016623.106273115</x:v>
      </x:c>
      <x:c r="K1257" s="85" t="n">
        <x:v>361717.5369178116</x:v>
      </x:c>
      <x:c r="L1257" s="28" t="n">
        <x:v>9</x:v>
      </x:c>
      <x:c r="M1257" s="28" t="n">
        <x:v>1</x:v>
      </x:c>
      <x:c r="N1257" s="28" t="n">
        <x:v>3.725290298461914e-9</x:v>
      </x:c>
      <x:c r="O1257" s="28" t="n">
        <x:v>1.4901161193847656e-8</x:v>
      </x:c>
      <x:c r="P1257" s="28" t="n">
        <x:v>0</x:v>
      </x:c>
      <x:c r="Q1257" s="62" t="b">
        <x:v>1</x:v>
      </x:c>
      <x:c r="R1257" s="28" t="n">
        <x:v>0</x:v>
      </x:c>
      <x:c r="S1257" s="28" t="str">
        <x:v>d3c244b0f7af6862</x:v>
      </x:c>
    </x:row>
    <x:row r="1258" ht="21" customHeight="1">
      <x:c r="A1258" s="60" t="n">
        <x:v>0.64</x:v>
      </x:c>
      <x:c r="B1258" s="28" t="str">
        <x:v>level_high</x:v>
      </x:c>
      <x:c r="C1258" s="60" t="n">
        <x:v>0.55</x:v>
      </x:c>
      <x:c r="D1258" s="60" t="n">
        <x:v>0.55</x:v>
      </x:c>
      <x:c r="E1258" s="62" t="b">
        <x:v>1</x:v>
      </x:c>
      <x:c r="F1258" s="62" t="b">
        <x:v>1</x:v>
      </x:c>
      <x:c r="G1258" s="85" t="n">
        <x:v>0</x:v>
      </x:c>
      <x:c r="H1258" s="85" t="n">
        <x:v>0</x:v>
      </x:c>
      <x:c r="I1258" s="85" t="n">
        <x:v>79342514.8481094</x:v>
      </x:c>
      <x:c r="J1258" s="85" t="n">
        <x:v>63049798.68863209</x:v>
      </x:c>
      <x:c r="K1258" s="85" t="n">
        <x:v>313358.05074657523</x:v>
      </x:c>
      <x:c r="L1258" s="28" t="n">
        <x:v>12</x:v>
      </x:c>
      <x:c r="M1258" s="28" t="n">
        <x:v>4</x:v>
      </x:c>
      <x:c r="N1258" s="28" t="n">
        <x:v>1.862645149230957e-9</x:v>
      </x:c>
      <x:c r="O1258" s="28" t="n">
        <x:v>2.9802322387695312e-8</x:v>
      </x:c>
      <x:c r="P1258" s="28" t="n">
        <x:v>0</x:v>
      </x:c>
      <x:c r="Q1258" s="62" t="b">
        <x:v>1</x:v>
      </x:c>
      <x:c r="R1258" s="28" t="n">
        <x:v>0</x:v>
      </x:c>
      <x:c r="S1258" s="28" t="str">
        <x:v>ad7b2493ba81f98d</x:v>
      </x:c>
    </x:row>
    <x:row r="1259" ht="21" customHeight="1">
      <x:c r="A1259" s="60" t="n">
        <x:v>0.64</x:v>
      </x:c>
      <x:c r="B1259" s="28" t="str">
        <x:v>level_high</x:v>
      </x:c>
      <x:c r="C1259" s="60" t="n">
        <x:v>0.6</x:v>
      </x:c>
      <x:c r="D1259" s="60" t="n">
        <x:v>0.6</x:v>
      </x:c>
      <x:c r="E1259" s="62" t="b">
        <x:v>1</x:v>
      </x:c>
      <x:c r="F1259" s="62" t="b">
        <x:v>1</x:v>
      </x:c>
      <x:c r="G1259" s="85" t="n">
        <x:v>0</x:v>
      </x:c>
      <x:c r="H1259" s="85" t="n">
        <x:v>0</x:v>
      </x:c>
      <x:c r="I1259" s="85" t="n">
        <x:v>88176693.00647531</x:v>
      </x:c>
      <x:c r="J1259" s="85" t="n">
        <x:v>72924406.66875528</x:v>
      </x:c>
      <x:c r="K1259" s="85" t="n">
        <x:v>264998.5645753416</x:v>
      </x:c>
      <x:c r="L1259" s="28" t="n">
        <x:v>16</x:v>
      </x:c>
      <x:c r="M1259" s="28" t="n">
        <x:v>8</x:v>
      </x:c>
      <x:c r="N1259" s="28" t="n">
        <x:v>1.862645149230957e-9</x:v>
      </x:c>
      <x:c r="O1259" s="28" t="n">
        <x:v>2.9802322387695312e-8</x:v>
      </x:c>
      <x:c r="P1259" s="28" t="n">
        <x:v>0</x:v>
      </x:c>
      <x:c r="Q1259" s="62" t="b">
        <x:v>1</x:v>
      </x:c>
      <x:c r="R1259" s="28" t="n">
        <x:v>0</x:v>
      </x:c>
      <x:c r="S1259" s="28" t="str">
        <x:v>6e0c1f3fe629818f</x:v>
      </x:c>
    </x:row>
    <x:row r="1260" ht="21" customHeight="1">
      <x:c r="A1260" s="60" t="n">
        <x:v>0.64</x:v>
      </x:c>
      <x:c r="B1260" s="28" t="str">
        <x:v>level_high</x:v>
      </x:c>
      <x:c r="C1260" s="60" t="n">
        <x:v>0.65</x:v>
      </x:c>
      <x:c r="D1260" s="60" t="n">
        <x:v>0.65</x:v>
      </x:c>
      <x:c r="E1260" s="62" t="b">
        <x:v>1</x:v>
      </x:c>
      <x:c r="F1260" s="62" t="b">
        <x:v>0</x:v>
      </x:c>
      <x:c r="G1260" s="85" t="n">
        <x:v>1819551.938382618</x:v>
      </x:c>
      <x:c r="H1260" s="85" t="n">
        <x:v>7065221.923172792</x:v>
      </x:c>
      <x:c r="I1260" s="85" t="n">
        <x:v>92951270.69842988</x:v>
      </x:c>
      <x:c r="J1260" s="85" t="n">
        <x:v>78000000</x:v>
      </x:c>
      <x:c r="K1260" s="85" t="n">
        <x:v>216639.07840411447</x:v>
      </x:c>
      <x:c r="L1260" s="28" t="n">
        <x:v>40</x:v>
      </x:c>
      <x:c r="M1260" s="28" t="n">
        <x:v>34</x:v>
      </x:c>
      <x:c r="N1260" s="28" t="n">
        <x:v>1.862645149230957e-9</x:v>
      </x:c>
      <x:c r="O1260" s="28" t="n">
        <x:v>2.9802322387695312e-8</x:v>
      </x:c>
      <x:c r="P1260" s="28" t="n">
        <x:v>0</x:v>
      </x:c>
      <x:c r="Q1260" s="62" t="b">
        <x:v>1</x:v>
      </x:c>
      <x:c r="R1260" s="28" t="n">
        <x:v>0</x:v>
      </x:c>
      <x:c r="S1260" s="28" t="str">
        <x:v>ab33e0e418a6cb35</x:v>
      </x:c>
    </x:row>
    <x:row r="1261" ht="21" customHeight="1">
      <x:c r="A1261" s="60" t="n">
        <x:v>0.64</x:v>
      </x:c>
      <x:c r="B1261" s="28" t="str">
        <x:v>level_high</x:v>
      </x:c>
      <x:c r="C1261" s="60" t="n">
        <x:v>0.7</x:v>
      </x:c>
      <x:c r="D1261" s="60" t="n">
        <x:v>0.7</x:v>
      </x:c>
      <x:c r="E1261" s="62" t="b">
        <x:v>1</x:v>
      </x:c>
      <x:c r="F1261" s="62" t="b">
        <x:v>0</x:v>
      </x:c>
      <x:c r="G1261" s="85" t="n">
        <x:v>5747728.007980373</x:v>
      </x:c>
      <x:c r="H1261" s="85" t="n">
        <x:v>19214462.50560201</x:v>
      </x:c>
      <x:c r="I1261" s="85" t="n">
        <x:v>94729215.23089041</x:v>
      </x:c>
      <x:c r="J1261" s="85" t="n">
        <x:v>78000000</x:v>
      </x:c>
      <x:c r="K1261" s="85" t="n">
        <x:v>168279.59223287436</x:v>
      </x:c>
      <x:c r="L1261" s="28" t="n">
        <x:v>41</x:v>
      </x:c>
      <x:c r="M1261" s="28" t="n">
        <x:v>36</x:v>
      </x:c>
      <x:c r="N1261" s="28" t="n">
        <x:v>1.862645149230957e-9</x:v>
      </x:c>
      <x:c r="O1261" s="28" t="n">
        <x:v>2.9802322387695312e-8</x:v>
      </x:c>
      <x:c r="P1261" s="28" t="n">
        <x:v>0</x:v>
      </x:c>
      <x:c r="Q1261" s="62" t="b">
        <x:v>1</x:v>
      </x:c>
      <x:c r="R1261" s="28" t="n">
        <x:v>0</x:v>
      </x:c>
      <x:c r="S1261" s="28" t="str">
        <x:v>bfcb17fe950d1885</x:v>
      </x:c>
    </x:row>
    <x:row r="1262" ht="21" customHeight="1">
      <x:c r="A1262" s="60" t="n">
        <x:v>0.64</x:v>
      </x:c>
      <x:c r="B1262" s="28" t="str">
        <x:v>level_high</x:v>
      </x:c>
      <x:c r="C1262" s="60" t="n">
        <x:v>0.75</x:v>
      </x:c>
      <x:c r="D1262" s="60" t="n">
        <x:v>0.75</x:v>
      </x:c>
      <x:c r="E1262" s="62" t="b">
        <x:v>1</x:v>
      </x:c>
      <x:c r="F1262" s="62" t="b">
        <x:v>0</x:v>
      </x:c>
      <x:c r="G1262" s="85" t="n">
        <x:v>10048457.054733034</x:v>
      </x:c>
      <x:c r="H1262" s="85" t="n">
        <x:v>31030521.174307846</x:v>
      </x:c>
      <x:c r="I1262" s="85" t="n">
        <x:v>96353466.57013562</x:v>
      </x:c>
      <x:c r="J1262" s="85" t="n">
        <x:v>78000000</x:v>
      </x:c>
      <x:c r="K1262" s="85" t="n">
        <x:v>121237.61609588916</x:v>
      </x:c>
      <x:c r="L1262" s="28" t="n">
        <x:v>42</x:v>
      </x:c>
      <x:c r="M1262" s="28" t="n">
        <x:v>36</x:v>
      </x:c>
      <x:c r="N1262" s="28" t="n">
        <x:v>1.862645149230957e-9</x:v>
      </x:c>
      <x:c r="O1262" s="28" t="n">
        <x:v>2.9802322387695312e-8</x:v>
      </x:c>
      <x:c r="P1262" s="28" t="n">
        <x:v>0</x:v>
      </x:c>
      <x:c r="Q1262" s="62" t="b">
        <x:v>1</x:v>
      </x:c>
      <x:c r="R1262" s="28" t="n">
        <x:v>0</x:v>
      </x:c>
      <x:c r="S1262" s="28" t="str">
        <x:v>de9ad93b97404e64</x:v>
      </x:c>
    </x:row>
    <x:row r="1263" ht="21" customHeight="1">
      <x:c r="A1263" s="60" t="n">
        <x:v>0.64</x:v>
      </x:c>
      <x:c r="B1263" s="28" t="str">
        <x:v>level_high</x:v>
      </x:c>
      <x:c r="C1263" s="60" t="n">
        <x:v>0.8</x:v>
      </x:c>
      <x:c r="D1263" s="60" t="n">
        <x:v>0.8</x:v>
      </x:c>
      <x:c r="E1263" s="62" t="b">
        <x:v>1</x:v>
      </x:c>
      <x:c r="F1263" s="62" t="b">
        <x:v>0</x:v>
      </x:c>
      <x:c r="G1263" s="85" t="n">
        <x:v>14056881.864844255</x:v>
      </x:c>
      <x:c r="H1263" s="85" t="n">
        <x:v>42615177.934185386</x:v>
      </x:c>
      <x:c r="I1263" s="85" t="n">
        <x:v>98015356.58652055</x:v>
      </x:c>
      <x:c r="J1263" s="85" t="n">
        <x:v>78000000</x:v>
      </x:c>
      <x:c r="K1263" s="85" t="n">
        <x:v>105117.55397260541</x:v>
      </x:c>
      <x:c r="L1263" s="28" t="n">
        <x:v>43</x:v>
      </x:c>
      <x:c r="M1263" s="28" t="n">
        <x:v>38</x:v>
      </x:c>
      <x:c r="N1263" s="28" t="n">
        <x:v>1.862645149230957e-9</x:v>
      </x:c>
      <x:c r="O1263" s="28" t="n">
        <x:v>2.9802322387695312e-8</x:v>
      </x:c>
      <x:c r="P1263" s="28" t="n">
        <x:v>0</x:v>
      </x:c>
      <x:c r="Q1263" s="62" t="b">
        <x:v>1</x:v>
      </x:c>
      <x:c r="R1263" s="28" t="n">
        <x:v>0</x:v>
      </x:c>
      <x:c r="S1263" s="28" t="str">
        <x:v>a3d71330498bcfa2</x:v>
      </x:c>
    </x:row>
    <x:row r="1264" ht="21" customHeight="1">
      <x:c r="A1264" s="60" t="n">
        <x:v>0.64</x:v>
      </x:c>
      <x:c r="B1264" s="28" t="str">
        <x:v>level_high</x:v>
      </x:c>
      <x:c r="C1264" s="60" t="n">
        <x:v>0.85</x:v>
      </x:c>
      <x:c r="D1264" s="60" t="n">
        <x:v>0.85</x:v>
      </x:c>
      <x:c r="E1264" s="62" t="b">
        <x:v>1</x:v>
      </x:c>
      <x:c r="F1264" s="62" t="b">
        <x:v>0</x:v>
      </x:c>
      <x:c r="G1264" s="85" t="n">
        <x:v>20924549.22450406</x:v>
      </x:c>
      <x:c r="H1264" s="85" t="n">
        <x:v>55238078.04048057</x:v>
      </x:c>
      <x:c r="I1264" s="85" t="n">
        <x:v>98207445.53841782</x:v>
      </x:c>
      <x:c r="J1264" s="85" t="n">
        <x:v>78000000</x:v>
      </x:c>
      <x:c r="K1264" s="85" t="n">
        <x:v>88997.49184931887</x:v>
      </x:c>
      <x:c r="L1264" s="28" t="n">
        <x:v>43</x:v>
      </x:c>
      <x:c r="M1264" s="28" t="n">
        <x:v>38</x:v>
      </x:c>
      <x:c r="N1264" s="28" t="n">
        <x:v>9.313225746154785e-10</x:v>
      </x:c>
      <x:c r="O1264" s="28" t="n">
        <x:v>2.9802322387695312e-8</x:v>
      </x:c>
      <x:c r="P1264" s="28" t="n">
        <x:v>0</x:v>
      </x:c>
      <x:c r="Q1264" s="62" t="b">
        <x:v>1</x:v>
      </x:c>
      <x:c r="R1264" s="28" t="n">
        <x:v>0</x:v>
      </x:c>
      <x:c r="S1264" s="28" t="str">
        <x:v>273d6e77767d87fa</x:v>
      </x:c>
    </x:row>
    <x:row r="1265" ht="21" customHeight="1">
      <x:c r="A1265" s="60" t="n">
        <x:v>0.64</x:v>
      </x:c>
      <x:c r="B1265" s="28" t="str">
        <x:v>level_high</x:v>
      </x:c>
      <x:c r="C1265" s="60" t="n">
        <x:v>0.9</x:v>
      </x:c>
      <x:c r="D1265" s="60" t="n">
        <x:v>0.9</x:v>
      </x:c>
      <x:c r="E1265" s="62" t="b">
        <x:v>1</x:v>
      </x:c>
      <x:c r="F1265" s="62" t="b">
        <x:v>0</x:v>
      </x:c>
      <x:c r="G1265" s="85" t="n">
        <x:v>27336569.957728546</x:v>
      </x:c>
      <x:c r="H1265" s="85" t="n">
        <x:v>62091317.13119266</x:v>
      </x:c>
      <x:c r="I1265" s="85" t="n">
        <x:v>99695349.63983566</x:v>
      </x:c>
      <x:c r="J1265" s="85" t="n">
        <x:v>78000000</x:v>
      </x:c>
      <x:c r="K1265" s="85" t="n">
        <x:v>72877.42972602768</x:v>
      </x:c>
      <x:c r="L1265" s="28" t="n">
        <x:v>44</x:v>
      </x:c>
      <x:c r="M1265" s="28" t="n">
        <x:v>39</x:v>
      </x:c>
      <x:c r="N1265" s="28" t="n">
        <x:v>1.862645149230957e-9</x:v>
      </x:c>
      <x:c r="O1265" s="28" t="n">
        <x:v>7.450580596923828e-9</x:v>
      </x:c>
      <x:c r="P1265" s="28" t="n">
        <x:v>0</x:v>
      </x:c>
      <x:c r="Q1265" s="62" t="b">
        <x:v>1</x:v>
      </x:c>
      <x:c r="R1265" s="28" t="n">
        <x:v>0</x:v>
      </x:c>
      <x:c r="S1265" s="28" t="str">
        <x:v>5234273385cfedfd</x:v>
      </x:c>
    </x:row>
    <x:row r="1266" ht="21" customHeight="1">
      <x:c r="A1266" s="60" t="n">
        <x:v>0.64</x:v>
      </x:c>
      <x:c r="B1266" s="28" t="str">
        <x:v>level_high</x:v>
      </x:c>
      <x:c r="C1266" s="60" t="n">
        <x:v>0.95</x:v>
      </x:c>
      <x:c r="D1266" s="60" t="n">
        <x:v>0.9219114501462435</x:v>
      </x:c>
      <x:c r="E1266" s="62" t="b">
        <x:v>0</x:v>
      </x:c>
      <x:c r="F1266" s="62" t="b">
        <x:v>0</x:v>
      </x:c>
      <x:c r="G1266" s="85" t="n">
        <x:v>30199766.13329171</x:v>
      </x:c>
      <x:c r="H1266" s="85" t="n">
        <x:v>67986447.25135675</x:v>
      </x:c>
      <x:c r="I1266" s="85" t="n">
        <x:v>99831973.06532194</x:v>
      </x:c>
      <x:c r="J1266" s="85" t="n">
        <x:v>78000000</x:v>
      </x:c>
      <x:c r="K1266" s="85" t="n">
        <x:v>56757.36760274207</x:v>
      </x:c>
      <x:c r="L1266" s="28" t="n">
        <x:v>44</x:v>
      </x:c>
      <x:c r="M1266" s="28" t="n">
        <x:v>40</x:v>
      </x:c>
      <x:c r="N1266" s="28" t="n">
        <x:v>1.862645149230957e-9</x:v>
      </x:c>
      <x:c r="O1266" s="28" t="n">
        <x:v>1.4901161193847656e-8</x:v>
      </x:c>
      <x:c r="P1266" s="28" t="n">
        <x:v>0</x:v>
      </x:c>
      <x:c r="Q1266" s="62" t="b">
        <x:v>1</x:v>
      </x:c>
      <x:c r="R1266" s="28" t="n">
        <x:v>8426564.956126928</x:v>
      </x:c>
      <x:c r="S1266" s="28" t="str">
        <x:v>5b9ff8cf6aa1df24</x:v>
      </x:c>
    </x:row>
    <x:row r="1267" ht="21" customHeight="1">
      <x:c r="A1267" s="60" t="n">
        <x:v>0.64</x:v>
      </x:c>
      <x:c r="B1267" s="28" t="str">
        <x:v>level_high</x:v>
      </x:c>
      <x:c r="C1267" s="60" t="n">
        <x:v>1</x:v>
      </x:c>
      <x:c r="D1267" s="60" t="n">
        <x:v>0.9350574964161632</x:v>
      </x:c>
      <x:c r="E1267" s="62" t="b">
        <x:v>0</x:v>
      </x:c>
      <x:c r="F1267" s="62" t="b">
        <x:v>0</x:v>
      </x:c>
      <x:c r="G1267" s="85" t="n">
        <x:v>33121427.38537421</x:v>
      </x:c>
      <x:c r="H1267" s="85" t="n">
        <x:v>71559002.47221881</x:v>
      </x:c>
      <x:c r="I1267" s="85" t="n">
        <x:v>99977703.8593151</x:v>
      </x:c>
      <x:c r="J1267" s="85" t="n">
        <x:v>78000000</x:v>
      </x:c>
      <x:c r="K1267" s="85" t="n">
        <x:v>40637.305479454604</x:v>
      </x:c>
      <x:c r="L1267" s="28" t="n">
        <x:v>44</x:v>
      </x:c>
      <x:c r="M1267" s="28" t="n">
        <x:v>40</x:v>
      </x:c>
      <x:c r="N1267" s="28" t="n">
        <x:v>9.313225746154785e-10</x:v>
      </x:c>
      <x:c r="O1267" s="28" t="n">
        <x:v>7.450580596923828e-9</x:v>
      </x:c>
      <x:c r="P1267" s="28" t="n">
        <x:v>0</x:v>
      </x:c>
      <x:c r="Q1267" s="62" t="b">
        <x:v>1</x:v>
      </x:c>
      <x:c r="R1267" s="28" t="n">
        <x:v>19482751.075151026</x:v>
      </x:c>
      <x:c r="S1267" s="28" t="str">
        <x:v>d7ef2964ffc08c8c</x:v>
      </x:c>
    </x:row>
    <x:row r="1268" ht="21" customHeight="1">
      <x:c r="A1268" s="60" t="n">
        <x:v>0.65</x:v>
      </x:c>
      <x:c r="B1268" s="28" t="str">
        <x:v>front_flat</x:v>
      </x:c>
      <x:c r="C1268" s="60" t="n">
        <x:v>0</x:v>
      </x:c>
      <x:c r="D1268" s="60" t="n">
        <x:v>0</x:v>
      </x:c>
      <x:c r="E1268" s="62" t="b">
        <x:v>1</x:v>
      </x:c>
      <x:c r="F1268" s="62" t="b">
        <x:v>1</x:v>
      </x:c>
      <x:c r="G1268" s="85" t="n">
        <x:v>0</x:v>
      </x:c>
      <x:c r="H1268" s="85" t="n">
        <x:v>0</x:v>
      </x:c>
      <x:c r="I1268" s="85" t="n">
        <x:v>0</x:v>
      </x:c>
      <x:c r="J1268" s="85" t="n">
        <x:v>0</x:v>
      </x:c>
      <x:c r="K1268" s="85" t="n">
        <x:v>33472994.65547947</x:v>
      </x:c>
      <x:c r="L1268" s="28" t="n">
        <x:v>0</x:v>
      </x:c>
      <x:c r="M1268" s="28" t="n">
        <x:v>0</x:v>
      </x:c>
      <x:c r="N1268" s="28" t="n">
        <x:v>3.725290298461914e-9</x:v>
      </x:c>
      <x:c r="O1268" s="28" t="n">
        <x:v>0</x:v>
      </x:c>
      <x:c r="P1268" s="28" t="n">
        <x:v>0</x:v>
      </x:c>
      <x:c r="Q1268" s="62" t="b">
        <x:v>1</x:v>
      </x:c>
      <x:c r="R1268" s="28" t="n">
        <x:v>0</x:v>
      </x:c>
      <x:c r="S1268" s="28" t="str">
        <x:v>145d8ba1127806ae</x:v>
      </x:c>
    </x:row>
    <x:row r="1269" ht="21" customHeight="1">
      <x:c r="A1269" s="60" t="n">
        <x:v>0.65</x:v>
      </x:c>
      <x:c r="B1269" s="28" t="str">
        <x:v>front_flat</x:v>
      </x:c>
      <x:c r="C1269" s="60" t="n">
        <x:v>0.05</x:v>
      </x:c>
      <x:c r="D1269" s="60" t="n">
        <x:v>0.05</x:v>
      </x:c>
      <x:c r="E1269" s="62" t="b">
        <x:v>1</x:v>
      </x:c>
      <x:c r="F1269" s="62" t="b">
        <x:v>1</x:v>
      </x:c>
      <x:c r="G1269" s="85" t="n">
        <x:v>0</x:v>
      </x:c>
      <x:c r="H1269" s="85" t="n">
        <x:v>0</x:v>
      </x:c>
      <x:c r="I1269" s="85" t="n">
        <x:v>0</x:v>
      </x:c>
      <x:c r="J1269" s="85" t="n">
        <x:v>0</x:v>
      </x:c>
      <x:c r="K1269" s="85" t="n">
        <x:v>21228492.416706044</x:v>
      </x:c>
      <x:c r="L1269" s="28" t="n">
        <x:v>0</x:v>
      </x:c>
      <x:c r="M1269" s="28" t="n">
        <x:v>0</x:v>
      </x:c>
      <x:c r="N1269" s="28" t="n">
        <x:v>3.725290298461914e-9</x:v>
      </x:c>
      <x:c r="O1269" s="28" t="n">
        <x:v>5.960464477539063e-8</x:v>
      </x:c>
      <x:c r="P1269" s="28" t="n">
        <x:v>0</x:v>
      </x:c>
      <x:c r="Q1269" s="62" t="b">
        <x:v>1</x:v>
      </x:c>
      <x:c r="R1269" s="28" t="n">
        <x:v>0</x:v>
      </x:c>
      <x:c r="S1269" s="28" t="str">
        <x:v>944d662097e827e6</x:v>
      </x:c>
    </x:row>
    <x:row r="1270" ht="21" customHeight="1">
      <x:c r="A1270" s="60" t="n">
        <x:v>0.65</x:v>
      </x:c>
      <x:c r="B1270" s="28" t="str">
        <x:v>front_flat</x:v>
      </x:c>
      <x:c r="C1270" s="60" t="n">
        <x:v>0.1</x:v>
      </x:c>
      <x:c r="D1270" s="60" t="n">
        <x:v>0.1</x:v>
      </x:c>
      <x:c r="E1270" s="62" t="b">
        <x:v>1</x:v>
      </x:c>
      <x:c r="F1270" s="62" t="b">
        <x:v>1</x:v>
      </x:c>
      <x:c r="G1270" s="85" t="n">
        <x:v>0</x:v>
      </x:c>
      <x:c r="H1270" s="85" t="n">
        <x:v>0</x:v>
      </x:c>
      <x:c r="I1270" s="85" t="n">
        <x:v>0</x:v>
      </x:c>
      <x:c r="J1270" s="85" t="n">
        <x:v>0</x:v>
      </x:c>
      <x:c r="K1270" s="85" t="n">
        <x:v>8864602.773571284</x:v>
      </x:c>
      <x:c r="L1270" s="28" t="n">
        <x:v>0</x:v>
      </x:c>
      <x:c r="M1270" s="28" t="n">
        <x:v>0</x:v>
      </x:c>
      <x:c r="N1270" s="28" t="n">
        <x:v>3.725290298461914e-9</x:v>
      </x:c>
      <x:c r="O1270" s="28" t="n">
        <x:v>5.960464477539063e-8</x:v>
      </x:c>
      <x:c r="P1270" s="28" t="n">
        <x:v>0</x:v>
      </x:c>
      <x:c r="Q1270" s="62" t="b">
        <x:v>1</x:v>
      </x:c>
      <x:c r="R1270" s="28" t="n">
        <x:v>0</x:v>
      </x:c>
      <x:c r="S1270" s="28" t="str">
        <x:v>6288b164ea1dd7e8</x:v>
      </x:c>
    </x:row>
    <x:row r="1271" ht="21" customHeight="1">
      <x:c r="A1271" s="60" t="n">
        <x:v>0.65</x:v>
      </x:c>
      <x:c r="B1271" s="28" t="str">
        <x:v>front_flat</x:v>
      </x:c>
      <x:c r="C1271" s="60" t="n">
        <x:v>0.15</x:v>
      </x:c>
      <x:c r="D1271" s="60" t="n">
        <x:v>0.15</x:v>
      </x:c>
      <x:c r="E1271" s="62" t="b">
        <x:v>1</x:v>
      </x:c>
      <x:c r="F1271" s="62" t="b">
        <x:v>1</x:v>
      </x:c>
      <x:c r="G1271" s="85" t="n">
        <x:v>0</x:v>
      </x:c>
      <x:c r="H1271" s="85" t="n">
        <x:v>0</x:v>
      </x:c>
      <x:c r="I1271" s="85" t="n">
        <x:v>2904075.8032806898</x:v>
      </x:c>
      <x:c r="J1271" s="85" t="n">
        <x:v>0</x:v>
      </x:c>
      <x:c r="K1271" s="85" t="n">
        <x:v>484924.49610240094</x:v>
      </x:c>
      <x:c r="L1271" s="28" t="n">
        <x:v>0</x:v>
      </x:c>
      <x:c r="M1271" s="28" t="n">
        <x:v>0</x:v>
      </x:c>
      <x:c r="N1271" s="28" t="n">
        <x:v>3.725290298461914e-9</x:v>
      </x:c>
      <x:c r="O1271" s="28" t="n">
        <x:v>2.9802322387695312e-8</x:v>
      </x:c>
      <x:c r="P1271" s="28" t="n">
        <x:v>0</x:v>
      </x:c>
      <x:c r="Q1271" s="62" t="b">
        <x:v>1</x:v>
      </x:c>
      <x:c r="R1271" s="28" t="n">
        <x:v>0</x:v>
      </x:c>
      <x:c r="S1271" s="28" t="str">
        <x:v>8bfa121665396f97</x:v>
      </x:c>
    </x:row>
    <x:row r="1272" ht="21" customHeight="1">
      <x:c r="A1272" s="60" t="n">
        <x:v>0.65</x:v>
      </x:c>
      <x:c r="B1272" s="28" t="str">
        <x:v>front_flat</x:v>
      </x:c>
      <x:c r="C1272" s="60" t="n">
        <x:v>0.2</x:v>
      </x:c>
      <x:c r="D1272" s="60" t="n">
        <x:v>0.2</x:v>
      </x:c>
      <x:c r="E1272" s="62" t="b">
        <x:v>1</x:v>
      </x:c>
      <x:c r="F1272" s="62" t="b">
        <x:v>1</x:v>
      </x:c>
      <x:c r="G1272" s="85" t="n">
        <x:v>0</x:v>
      </x:c>
      <x:c r="H1272" s="85" t="n">
        <x:v>0</x:v>
      </x:c>
      <x:c r="I1272" s="85" t="n">
        <x:v>11320225.93893571</x:v>
      </x:c>
      <x:c r="J1272" s="85" t="n">
        <x:v>6284479.497374642</x:v>
      </x:c>
      <x:c r="K1272" s="85" t="n">
        <x:v>295464.2684123283</x:v>
      </x:c>
      <x:c r="L1272" s="28" t="n">
        <x:v>0</x:v>
      </x:c>
      <x:c r="M1272" s="28" t="n">
        <x:v>0</x:v>
      </x:c>
      <x:c r="N1272" s="28" t="n">
        <x:v>3.725290298461914e-9</x:v>
      </x:c>
      <x:c r="O1272" s="28" t="n">
        <x:v>2.9802322387695312e-8</x:v>
      </x:c>
      <x:c r="P1272" s="28" t="n">
        <x:v>0</x:v>
      </x:c>
      <x:c r="Q1272" s="62" t="b">
        <x:v>1</x:v>
      </x:c>
      <x:c r="R1272" s="28" t="n">
        <x:v>0</x:v>
      </x:c>
      <x:c r="S1272" s="28" t="str">
        <x:v>500e82cee7da3eb6</x:v>
      </x:c>
    </x:row>
    <x:row r="1273" ht="21" customHeight="1">
      <x:c r="A1273" s="60" t="n">
        <x:v>0.65</x:v>
      </x:c>
      <x:c r="B1273" s="28" t="str">
        <x:v>front_flat</x:v>
      </x:c>
      <x:c r="C1273" s="60" t="n">
        <x:v>0.25</x:v>
      </x:c>
      <x:c r="D1273" s="60" t="n">
        <x:v>0.25</x:v>
      </x:c>
      <x:c r="E1273" s="62" t="b">
        <x:v>1</x:v>
      </x:c>
      <x:c r="F1273" s="62" t="b">
        <x:v>1</x:v>
      </x:c>
      <x:c r="G1273" s="85" t="n">
        <x:v>0</x:v>
      </x:c>
      <x:c r="H1273" s="85" t="n">
        <x:v>0</x:v>
      </x:c>
      <x:c r="I1273" s="85" t="n">
        <x:v>18156123.644246407</x:v>
      </x:c>
      <x:c r="J1273" s="85" t="n">
        <x:v>15355599.371718219</x:v>
      </x:c>
      <x:c r="K1273" s="85" t="n">
        <x:v>233241.20846061403</x:v>
      </x:c>
      <x:c r="L1273" s="28" t="n">
        <x:v>0</x:v>
      </x:c>
      <x:c r="M1273" s="28" t="n">
        <x:v>0</x:v>
      </x:c>
      <x:c r="N1273" s="28" t="n">
        <x:v>1.862645149230957e-9</x:v>
      </x:c>
      <x:c r="O1273" s="28" t="n">
        <x:v>1.4901161193847656e-8</x:v>
      </x:c>
      <x:c r="P1273" s="28" t="n">
        <x:v>0</x:v>
      </x:c>
      <x:c r="Q1273" s="62" t="b">
        <x:v>1</x:v>
      </x:c>
      <x:c r="R1273" s="28" t="n">
        <x:v>0</x:v>
      </x:c>
      <x:c r="S1273" s="28" t="str">
        <x:v>066d6b587959a334</x:v>
      </x:c>
    </x:row>
    <x:row r="1274" ht="21" customHeight="1">
      <x:c r="A1274" s="60" t="n">
        <x:v>0.65</x:v>
      </x:c>
      <x:c r="B1274" s="28" t="str">
        <x:v>front_flat</x:v>
      </x:c>
      <x:c r="C1274" s="60" t="n">
        <x:v>0.3</x:v>
      </x:c>
      <x:c r="D1274" s="60" t="n">
        <x:v>0.3</x:v>
      </x:c>
      <x:c r="E1274" s="62" t="b">
        <x:v>1</x:v>
      </x:c>
      <x:c r="F1274" s="62" t="b">
        <x:v>1</x:v>
      </x:c>
      <x:c r="G1274" s="85" t="n">
        <x:v>0</x:v>
      </x:c>
      <x:c r="H1274" s="85" t="n">
        <x:v>0</x:v>
      </x:c>
      <x:c r="I1274" s="85" t="n">
        <x:v>25055704.97673026</x:v>
      </x:c>
      <x:c r="J1274" s="85" t="n">
        <x:v>24426719.24606188</x:v>
      </x:c>
      <x:c r="K1274" s="85" t="n">
        <x:v>171018.14850890348</x:v>
      </x:c>
      <x:c r="L1274" s="28" t="n">
        <x:v>0</x:v>
      </x:c>
      <x:c r="M1274" s="28" t="n">
        <x:v>0</x:v>
      </x:c>
      <x:c r="N1274" s="28" t="n">
        <x:v>1.862645149230957e-9</x:v>
      </x:c>
      <x:c r="O1274" s="28" t="n">
        <x:v>2.9802322387695312e-8</x:v>
      </x:c>
      <x:c r="P1274" s="28" t="n">
        <x:v>0</x:v>
      </x:c>
      <x:c r="Q1274" s="62" t="b">
        <x:v>1</x:v>
      </x:c>
      <x:c r="R1274" s="28" t="n">
        <x:v>0</x:v>
      </x:c>
      <x:c r="S1274" s="28" t="str">
        <x:v>dc49b8aa955a9976</x:v>
      </x:c>
    </x:row>
    <x:row r="1275" ht="21" customHeight="1">
      <x:c r="A1275" s="60" t="n">
        <x:v>0.65</x:v>
      </x:c>
      <x:c r="B1275" s="28" t="str">
        <x:v>front_flat</x:v>
      </x:c>
      <x:c r="C1275" s="60" t="n">
        <x:v>0.35</x:v>
      </x:c>
      <x:c r="D1275" s="60" t="n">
        <x:v>0.35</x:v>
      </x:c>
      <x:c r="E1275" s="62" t="b">
        <x:v>1</x:v>
      </x:c>
      <x:c r="F1275" s="62" t="b">
        <x:v>1</x:v>
      </x:c>
      <x:c r="G1275" s="85" t="n">
        <x:v>0</x:v>
      </x:c>
      <x:c r="H1275" s="85" t="n">
        <x:v>0</x:v>
      </x:c>
      <x:c r="I1275" s="85" t="n">
        <x:v>32000155.770683035</x:v>
      </x:c>
      <x:c r="J1275" s="85" t="n">
        <x:v>33497839.12040553</x:v>
      </x:c>
      <x:c r="K1275" s="85" t="n">
        <x:v>108795.08855720134</x:v>
      </x:c>
      <x:c r="L1275" s="28" t="n">
        <x:v>0</x:v>
      </x:c>
      <x:c r="M1275" s="28" t="n">
        <x:v>0</x:v>
      </x:c>
      <x:c r="N1275" s="28" t="n">
        <x:v>3.725290298461914e-9</x:v>
      </x:c>
      <x:c r="O1275" s="28" t="n">
        <x:v>7.450580596923828e-9</x:v>
      </x:c>
      <x:c r="P1275" s="28" t="n">
        <x:v>0</x:v>
      </x:c>
      <x:c r="Q1275" s="62" t="b">
        <x:v>1</x:v>
      </x:c>
      <x:c r="R1275" s="28" t="n">
        <x:v>0</x:v>
      </x:c>
      <x:c r="S1275" s="28" t="str">
        <x:v>3bbef4adfcf9b7d2</x:v>
      </x:c>
    </x:row>
    <x:row r="1276" ht="21" customHeight="1">
      <x:c r="A1276" s="60" t="n">
        <x:v>0.65</x:v>
      </x:c>
      <x:c r="B1276" s="28" t="str">
        <x:v>front_flat</x:v>
      </x:c>
      <x:c r="C1276" s="60" t="n">
        <x:v>0.4</x:v>
      </x:c>
      <x:c r="D1276" s="60" t="n">
        <x:v>0.4</x:v>
      </x:c>
      <x:c r="E1276" s="62" t="b">
        <x:v>1</x:v>
      </x:c>
      <x:c r="F1276" s="62" t="b">
        <x:v>1</x:v>
      </x:c>
      <x:c r="G1276" s="85" t="n">
        <x:v>0</x:v>
      </x:c>
      <x:c r="H1276" s="85" t="n">
        <x:v>0</x:v>
      </x:c>
      <x:c r="I1276" s="85" t="n">
        <x:v>38919363.12886496</x:v>
      </x:c>
      <x:c r="J1276" s="85" t="n">
        <x:v>42568958.99474921</x:v>
      </x:c>
      <x:c r="K1276" s="85" t="n">
        <x:v>46831.19252054466</x:v>
      </x:c>
      <x:c r="L1276" s="28" t="n">
        <x:v>0</x:v>
      </x:c>
      <x:c r="M1276" s="28" t="n">
        <x:v>0</x:v>
      </x:c>
      <x:c r="N1276" s="28" t="n">
        <x:v>3.725290298461914e-9</x:v>
      </x:c>
      <x:c r="O1276" s="28" t="n">
        <x:v>2.9802322387695312e-8</x:v>
      </x:c>
      <x:c r="P1276" s="28" t="n">
        <x:v>0</x:v>
      </x:c>
      <x:c r="Q1276" s="62" t="b">
        <x:v>1</x:v>
      </x:c>
      <x:c r="R1276" s="28" t="n">
        <x:v>0</x:v>
      </x:c>
      <x:c r="S1276" s="28" t="str">
        <x:v>6d9c8c652f3f3f7b</x:v>
      </x:c>
    </x:row>
    <x:row r="1277" ht="21" customHeight="1">
      <x:c r="A1277" s="60" t="n">
        <x:v>0.65</x:v>
      </x:c>
      <x:c r="B1277" s="28" t="str">
        <x:v>front_flat</x:v>
      </x:c>
      <x:c r="C1277" s="60" t="n">
        <x:v>0.45</x:v>
      </x:c>
      <x:c r="D1277" s="60" t="n">
        <x:v>0.45</x:v>
      </x:c>
      <x:c r="E1277" s="62" t="b">
        <x:v>1</x:v>
      </x:c>
      <x:c r="F1277" s="62" t="b">
        <x:v>1</x:v>
      </x:c>
      <x:c r="G1277" s="85" t="n">
        <x:v>0</x:v>
      </x:c>
      <x:c r="H1277" s="85" t="n">
        <x:v>0</x:v>
      </x:c>
      <x:c r="I1277" s="85" t="n">
        <x:v>48156065.772723384</x:v>
      </x:c>
      <x:c r="J1277" s="85" t="n">
        <x:v>45128398.76866634</x:v>
      </x:c>
      <x:c r="K1277" s="85" t="n">
        <x:v>26011.095010273886</x:v>
      </x:c>
      <x:c r="L1277" s="28" t="n">
        <x:v>7</x:v>
      </x:c>
      <x:c r="M1277" s="28" t="n">
        <x:v>0</x:v>
      </x:c>
      <x:c r="N1277" s="28" t="n">
        <x:v>1.862645149230957e-9</x:v>
      </x:c>
      <x:c r="O1277" s="28" t="n">
        <x:v>2.9802322387695312e-8</x:v>
      </x:c>
      <x:c r="P1277" s="28" t="n">
        <x:v>0</x:v>
      </x:c>
      <x:c r="Q1277" s="62" t="b">
        <x:v>1</x:v>
      </x:c>
      <x:c r="R1277" s="28" t="n">
        <x:v>0</x:v>
      </x:c>
      <x:c r="S1277" s="28" t="str">
        <x:v>42e7a00b804e8689</x:v>
      </x:c>
    </x:row>
    <x:row r="1278" ht="21" customHeight="1">
      <x:c r="A1278" s="60" t="n">
        <x:v>0.65</x:v>
      </x:c>
      <x:c r="B1278" s="28" t="str">
        <x:v>front_flat</x:v>
      </x:c>
      <x:c r="C1278" s="60" t="n">
        <x:v>0.5</x:v>
      </x:c>
      <x:c r="D1278" s="60" t="n">
        <x:v>0.5</x:v>
      </x:c>
      <x:c r="E1278" s="62" t="b">
        <x:v>1</x:v>
      </x:c>
      <x:c r="F1278" s="62" t="b">
        <x:v>1</x:v>
      </x:c>
      <x:c r="G1278" s="85" t="n">
        <x:v>0</x:v>
      </x:c>
      <x:c r="H1278" s="85" t="n">
        <x:v>0</x:v>
      </x:c>
      <x:c r="I1278" s="85" t="n">
        <x:v>57122796.8556542</x:v>
      </x:c>
      <x:c r="J1278" s="85" t="n">
        <x:v>48243195.441152655</x:v>
      </x:c>
      <x:c r="K1278" s="85" t="n">
        <x:v>5190.9974999993865</x:v>
      </x:c>
      <x:c r="L1278" s="28" t="n">
        <x:v>15</x:v>
      </x:c>
      <x:c r="M1278" s="28" t="n">
        <x:v>0</x:v>
      </x:c>
      <x:c r="N1278" s="28" t="n">
        <x:v>1.862645149230957e-9</x:v>
      </x:c>
      <x:c r="O1278" s="28" t="n">
        <x:v>2.9802322387695312e-8</x:v>
      </x:c>
      <x:c r="P1278" s="28" t="n">
        <x:v>0</x:v>
      </x:c>
      <x:c r="Q1278" s="62" t="b">
        <x:v>1</x:v>
      </x:c>
      <x:c r="R1278" s="28" t="n">
        <x:v>0</x:v>
      </x:c>
      <x:c r="S1278" s="28" t="str">
        <x:v>0848fdce45e196a5</x:v>
      </x:c>
    </x:row>
    <x:row r="1279" ht="21" customHeight="1">
      <x:c r="A1279" s="60" t="n">
        <x:v>0.65</x:v>
      </x:c>
      <x:c r="B1279" s="28" t="str">
        <x:v>front_flat</x:v>
      </x:c>
      <x:c r="C1279" s="60" t="n">
        <x:v>0.55</x:v>
      </x:c>
      <x:c r="D1279" s="60" t="n">
        <x:v>0.55</x:v>
      </x:c>
      <x:c r="E1279" s="62" t="b">
        <x:v>1</x:v>
      </x:c>
      <x:c r="F1279" s="62" t="b">
        <x:v>1</x:v>
      </x:c>
      <x:c r="G1279" s="85" t="n">
        <x:v>0</x:v>
      </x:c>
      <x:c r="H1279" s="85" t="n">
        <x:v>0</x:v>
      </x:c>
      <x:c r="I1279" s="85" t="n">
        <x:v>63661963.57411165</x:v>
      </x:c>
      <x:c r="J1279" s="85" t="n">
        <x:v>58350765.44233102</x:v>
      </x:c>
      <x:c r="K1279" s="85" t="n">
        <x:v>0</x:v>
      </x:c>
      <x:c r="L1279" s="28" t="n">
        <x:v>18</x:v>
      </x:c>
      <x:c r="M1279" s="28" t="n">
        <x:v>0</x:v>
      </x:c>
      <x:c r="N1279" s="28" t="n">
        <x:v>1.862645149230957e-9</x:v>
      </x:c>
      <x:c r="O1279" s="28" t="n">
        <x:v>2.9802322387695312e-8</x:v>
      </x:c>
      <x:c r="P1279" s="28" t="n">
        <x:v>0</x:v>
      </x:c>
      <x:c r="Q1279" s="62" t="b">
        <x:v>1</x:v>
      </x:c>
      <x:c r="R1279" s="28" t="n">
        <x:v>0</x:v>
      </x:c>
      <x:c r="S1279" s="28" t="str">
        <x:v>26e78c83807c686b</x:v>
      </x:c>
    </x:row>
    <x:row r="1280" ht="21" customHeight="1">
      <x:c r="A1280" s="60" t="n">
        <x:v>0.65</x:v>
      </x:c>
      <x:c r="B1280" s="28" t="str">
        <x:v>front_flat</x:v>
      </x:c>
      <x:c r="C1280" s="60" t="n">
        <x:v>0.6</x:v>
      </x:c>
      <x:c r="D1280" s="60" t="n">
        <x:v>0.6</x:v>
      </x:c>
      <x:c r="E1280" s="62" t="b">
        <x:v>1</x:v>
      </x:c>
      <x:c r="F1280" s="62" t="b">
        <x:v>1</x:v>
      </x:c>
      <x:c r="G1280" s="85" t="n">
        <x:v>0</x:v>
      </x:c>
      <x:c r="H1280" s="85" t="n">
        <x:v>0</x:v>
      </x:c>
      <x:c r="I1280" s="85" t="n">
        <x:v>69716514.30991507</x:v>
      </x:c>
      <x:c r="J1280" s="85" t="n">
        <x:v>69289589.31565963</x:v>
      </x:c>
      <x:c r="K1280" s="85" t="n">
        <x:v>0</x:v>
      </x:c>
      <x:c r="L1280" s="28" t="n">
        <x:v>22</x:v>
      </x:c>
      <x:c r="M1280" s="28" t="n">
        <x:v>5</x:v>
      </x:c>
      <x:c r="N1280" s="28" t="n">
        <x:v>1.862645149230957e-9</x:v>
      </x:c>
      <x:c r="O1280" s="28" t="n">
        <x:v>2.9802322387695312e-8</x:v>
      </x:c>
      <x:c r="P1280" s="28" t="n">
        <x:v>0</x:v>
      </x:c>
      <x:c r="Q1280" s="62" t="b">
        <x:v>1</x:v>
      </x:c>
      <x:c r="R1280" s="28" t="n">
        <x:v>0</x:v>
      </x:c>
      <x:c r="S1280" s="28" t="str">
        <x:v>31b1d93b7b47d52d</x:v>
      </x:c>
    </x:row>
    <x:row r="1281" ht="21" customHeight="1">
      <x:c r="A1281" s="60" t="n">
        <x:v>0.65</x:v>
      </x:c>
      <x:c r="B1281" s="28" t="str">
        <x:v>front_flat</x:v>
      </x:c>
      <x:c r="C1281" s="60" t="n">
        <x:v>0.65</x:v>
      </x:c>
      <x:c r="D1281" s="60" t="n">
        <x:v>0.65</x:v>
      </x:c>
      <x:c r="E1281" s="62" t="b">
        <x:v>1</x:v>
      </x:c>
      <x:c r="F1281" s="62" t="b">
        <x:v>0</x:v>
      </x:c>
      <x:c r="G1281" s="85" t="n">
        <x:v>813755.8955223241</x:v>
      </x:c>
      <x:c r="H1281" s="85" t="n">
        <x:v>5285261.345671728</x:v>
      </x:c>
      <x:c r="I1281" s="85" t="n">
        <x:v>73493288.2398209</x:v>
      </x:c>
      <x:c r="J1281" s="85" t="n">
        <x:v>74999999.99999999</x:v>
      </x:c>
      <x:c r="K1281" s="85" t="n">
        <x:v>0</x:v>
      </x:c>
      <x:c r="L1281" s="28" t="n">
        <x:v>46</x:v>
      </x:c>
      <x:c r="M1281" s="28" t="n">
        <x:v>34</x:v>
      </x:c>
      <x:c r="N1281" s="28" t="n">
        <x:v>1.862645149230957e-9</x:v>
      </x:c>
      <x:c r="O1281" s="28" t="n">
        <x:v>2.9802322387695312e-8</x:v>
      </x:c>
      <x:c r="P1281" s="28" t="n">
        <x:v>0</x:v>
      </x:c>
      <x:c r="Q1281" s="62" t="b">
        <x:v>1</x:v>
      </x:c>
      <x:c r="R1281" s="28" t="n">
        <x:v>0</x:v>
      </x:c>
      <x:c r="S1281" s="28" t="str">
        <x:v>41b8821fe6ed9f4c</x:v>
      </x:c>
    </x:row>
    <x:row r="1282" ht="21" customHeight="1">
      <x:c r="A1282" s="60" t="n">
        <x:v>0.65</x:v>
      </x:c>
      <x:c r="B1282" s="28" t="str">
        <x:v>front_flat</x:v>
      </x:c>
      <x:c r="C1282" s="60" t="n">
        <x:v>0.7</x:v>
      </x:c>
      <x:c r="D1282" s="60" t="n">
        <x:v>0.7</x:v>
      </x:c>
      <x:c r="E1282" s="62" t="b">
        <x:v>1</x:v>
      </x:c>
      <x:c r="F1282" s="62" t="b">
        <x:v>0</x:v>
      </x:c>
      <x:c r="G1282" s="85" t="n">
        <x:v>3251701.391177405</x:v>
      </x:c>
      <x:c r="H1282" s="85" t="n">
        <x:v>18498378.329489034</x:v>
      </x:c>
      <x:c r="I1282" s="85" t="n">
        <x:v>73535238.13719384</x:v>
      </x:c>
      <x:c r="J1282" s="85" t="n">
        <x:v>74999999.99999999</x:v>
      </x:c>
      <x:c r="K1282" s="85" t="n">
        <x:v>0</x:v>
      </x:c>
      <x:c r="L1282" s="28" t="n">
        <x:v>46</x:v>
      </x:c>
      <x:c r="M1282" s="28" t="n">
        <x:v>36</x:v>
      </x:c>
      <x:c r="N1282" s="28" t="n">
        <x:v>1.862645149230957e-9</x:v>
      </x:c>
      <x:c r="O1282" s="28" t="n">
        <x:v>2.9802322387695312e-8</x:v>
      </x:c>
      <x:c r="P1282" s="28" t="n">
        <x:v>0</x:v>
      </x:c>
      <x:c r="Q1282" s="62" t="b">
        <x:v>1</x:v>
      </x:c>
      <x:c r="R1282" s="28" t="n">
        <x:v>0</x:v>
      </x:c>
      <x:c r="S1282" s="28" t="str">
        <x:v>84abcaac8fa87b81</x:v>
      </x:c>
    </x:row>
    <x:row r="1283" ht="21" customHeight="1">
      <x:c r="A1283" s="60" t="n">
        <x:v>0.65</x:v>
      </x:c>
      <x:c r="B1283" s="28" t="str">
        <x:v>front_flat</x:v>
      </x:c>
      <x:c r="C1283" s="60" t="n">
        <x:v>0.75</x:v>
      </x:c>
      <x:c r="D1283" s="60" t="n">
        <x:v>0.75</x:v>
      </x:c>
      <x:c r="E1283" s="62" t="b">
        <x:v>1</x:v>
      </x:c>
      <x:c r="F1283" s="62" t="b">
        <x:v>0</x:v>
      </x:c>
      <x:c r="G1283" s="85" t="n">
        <x:v>5604899.5350113595</x:v>
      </x:c>
      <x:c r="H1283" s="85" t="n">
        <x:v>31360492.58857085</x:v>
      </x:c>
      <x:c r="I1283" s="85" t="n">
        <x:v>73577188.03456679</x:v>
      </x:c>
      <x:c r="J1283" s="85" t="n">
        <x:v>74999999.99999999</x:v>
      </x:c>
      <x:c r="K1283" s="85" t="n">
        <x:v>0</x:v>
      </x:c>
      <x:c r="L1283" s="28" t="n">
        <x:v>46</x:v>
      </x:c>
      <x:c r="M1283" s="28" t="n">
        <x:v>39</x:v>
      </x:c>
      <x:c r="N1283" s="28" t="n">
        <x:v>1.862645149230957e-9</x:v>
      </x:c>
      <x:c r="O1283" s="28" t="n">
        <x:v>2.9802322387695312e-8</x:v>
      </x:c>
      <x:c r="P1283" s="28" t="n">
        <x:v>0</x:v>
      </x:c>
      <x:c r="Q1283" s="62" t="b">
        <x:v>1</x:v>
      </x:c>
      <x:c r="R1283" s="28" t="n">
        <x:v>0</x:v>
      </x:c>
      <x:c r="S1283" s="28" t="str">
        <x:v>fcf3afe3afa166db</x:v>
      </x:c>
    </x:row>
    <x:row r="1284" ht="21" customHeight="1">
      <x:c r="A1284" s="60" t="n">
        <x:v>0.65</x:v>
      </x:c>
      <x:c r="B1284" s="28" t="str">
        <x:v>front_flat</x:v>
      </x:c>
      <x:c r="C1284" s="60" t="n">
        <x:v>0.8</x:v>
      </x:c>
      <x:c r="D1284" s="60" t="n">
        <x:v>0.8</x:v>
      </x:c>
      <x:c r="E1284" s="62" t="b">
        <x:v>1</x:v>
      </x:c>
      <x:c r="F1284" s="62" t="b">
        <x:v>0</x:v>
      </x:c>
      <x:c r="G1284" s="85" t="n">
        <x:v>8405234.323001642</x:v>
      </x:c>
      <x:c r="H1284" s="85" t="n">
        <x:v>43824112.02214452</x:v>
      </x:c>
      <x:c r="I1284" s="85" t="n">
        <x:v>73627908.61539179</x:v>
      </x:c>
      <x:c r="J1284" s="85" t="n">
        <x:v>74999999.99999999</x:v>
      </x:c>
      <x:c r="K1284" s="85" t="n">
        <x:v>0</x:v>
      </x:c>
      <x:c r="L1284" s="28" t="n">
        <x:v>46</x:v>
      </x:c>
      <x:c r="M1284" s="28" t="n">
        <x:v>42</x:v>
      </x:c>
      <x:c r="N1284" s="28" t="n">
        <x:v>1.862645149230957e-9</x:v>
      </x:c>
      <x:c r="O1284" s="28" t="n">
        <x:v>1.4901161193847656e-8</x:v>
      </x:c>
      <x:c r="P1284" s="28" t="n">
        <x:v>0</x:v>
      </x:c>
      <x:c r="Q1284" s="62" t="b">
        <x:v>1</x:v>
      </x:c>
      <x:c r="R1284" s="28" t="n">
        <x:v>0</x:v>
      </x:c>
      <x:c r="S1284" s="28" t="str">
        <x:v>408a8daca3195150</x:v>
      </x:c>
    </x:row>
    <x:row r="1285" ht="21" customHeight="1">
      <x:c r="A1285" s="60" t="n">
        <x:v>0.65</x:v>
      </x:c>
      <x:c r="B1285" s="28" t="str">
        <x:v>front_flat</x:v>
      </x:c>
      <x:c r="C1285" s="60" t="n">
        <x:v>0.85</x:v>
      </x:c>
      <x:c r="D1285" s="60" t="n">
        <x:v>0.85</x:v>
      </x:c>
      <x:c r="E1285" s="62" t="b">
        <x:v>1</x:v>
      </x:c>
      <x:c r="F1285" s="62" t="b">
        <x:v>0</x:v>
      </x:c>
      <x:c r="G1285" s="85" t="n">
        <x:v>11017365.839950753</x:v>
      </x:c>
      <x:c r="H1285" s="85" t="n">
        <x:v>56217991.53816999</x:v>
      </x:c>
      <x:c r="I1285" s="85" t="n">
        <x:v>73690678.610275</x:v>
      </x:c>
      <x:c r="J1285" s="85" t="n">
        <x:v>74999999.99999999</x:v>
      </x:c>
      <x:c r="K1285" s="85" t="n">
        <x:v>0</x:v>
      </x:c>
      <x:c r="L1285" s="28" t="n">
        <x:v>46</x:v>
      </x:c>
      <x:c r="M1285" s="28" t="n">
        <x:v>44</x:v>
      </x:c>
      <x:c r="N1285" s="28" t="n">
        <x:v>1.862645149230957e-9</x:v>
      </x:c>
      <x:c r="O1285" s="28" t="n">
        <x:v>1.862645149230957e-9</x:v>
      </x:c>
      <x:c r="P1285" s="28" t="n">
        <x:v>0</x:v>
      </x:c>
      <x:c r="Q1285" s="62" t="b">
        <x:v>1</x:v>
      </x:c>
      <x:c r="R1285" s="28" t="n">
        <x:v>0</x:v>
      </x:c>
      <x:c r="S1285" s="28" t="str">
        <x:v>7786f69a8ab09f56</x:v>
      </x:c>
    </x:row>
    <x:row r="1286" ht="21" customHeight="1">
      <x:c r="A1286" s="60" t="n">
        <x:v>0.65</x:v>
      </x:c>
      <x:c r="B1286" s="28" t="str">
        <x:v>front_flat</x:v>
      </x:c>
      <x:c r="C1286" s="60" t="n">
        <x:v>0.9</x:v>
      </x:c>
      <x:c r="D1286" s="60" t="n">
        <x:v>0.9</x:v>
      </x:c>
      <x:c r="E1286" s="62" t="b">
        <x:v>1</x:v>
      </x:c>
      <x:c r="F1286" s="62" t="b">
        <x:v>0</x:v>
      </x:c>
      <x:c r="G1286" s="85" t="n">
        <x:v>14986929.07328125</x:v>
      </x:c>
      <x:c r="H1286" s="85" t="n">
        <x:v>67860261.56598511</x:v>
      </x:c>
      <x:c r="I1286" s="85" t="n">
        <x:v>73753448.60515824</x:v>
      </x:c>
      <x:c r="J1286" s="85" t="n">
        <x:v>74999999.99999999</x:v>
      </x:c>
      <x:c r="K1286" s="85" t="n">
        <x:v>0</x:v>
      </x:c>
      <x:c r="L1286" s="28" t="n">
        <x:v>46</x:v>
      </x:c>
      <x:c r="M1286" s="28" t="n">
        <x:v>44</x:v>
      </x:c>
      <x:c r="N1286" s="28" t="n">
        <x:v>9.313225746154785e-10</x:v>
      </x:c>
      <x:c r="O1286" s="28" t="n">
        <x:v>1.4901161193847656e-8</x:v>
      </x:c>
      <x:c r="P1286" s="28" t="n">
        <x:v>0</x:v>
      </x:c>
      <x:c r="Q1286" s="62" t="b">
        <x:v>1</x:v>
      </x:c>
      <x:c r="R1286" s="28" t="n">
        <x:v>0</x:v>
      </x:c>
      <x:c r="S1286" s="28" t="str">
        <x:v>7368ce89330d854a</x:v>
      </x:c>
    </x:row>
    <x:row r="1287" ht="21" customHeight="1">
      <x:c r="A1287" s="60" t="n">
        <x:v>0.65</x:v>
      </x:c>
      <x:c r="B1287" s="28" t="str">
        <x:v>front_flat</x:v>
      </x:c>
      <x:c r="C1287" s="60" t="n">
        <x:v>0.95</x:v>
      </x:c>
      <x:c r="D1287" s="60" t="n">
        <x:v>0.9497739906324524</x:v>
      </x:c>
      <x:c r="E1287" s="62" t="b">
        <x:v>0</x:v>
      </x:c>
      <x:c r="F1287" s="62" t="b">
        <x:v>0</x:v>
      </x:c>
      <x:c r="G1287" s="85" t="n">
        <x:v>20028021.272707045</x:v>
      </x:c>
      <x:c r="H1287" s="85" t="n">
        <x:v>75829091.78600547</x:v>
      </x:c>
      <x:c r="I1287" s="85" t="n">
        <x:v>73816218.60004145</x:v>
      </x:c>
      <x:c r="J1287" s="85" t="n">
        <x:v>74999999.99999999</x:v>
      </x:c>
      <x:c r="K1287" s="85" t="n">
        <x:v>0</x:v>
      </x:c>
      <x:c r="L1287" s="28" t="n">
        <x:v>46</x:v>
      </x:c>
      <x:c r="M1287" s="28" t="n">
        <x:v>44</x:v>
      </x:c>
      <x:c r="N1287" s="28" t="n">
        <x:v>9.313225746154785e-10</x:v>
      </x:c>
      <x:c r="O1287" s="28" t="n">
        <x:v>1.4901161193847656e-8</x:v>
      </x:c>
      <x:c r="P1287" s="28" t="n">
        <x:v>0</x:v>
      </x:c>
      <x:c r="Q1287" s="62" t="b">
        <x:v>1</x:v>
      </x:c>
      <x:c r="R1287" s="28" t="n">
        <x:v>67802.81026428938</x:v>
      </x:c>
      <x:c r="S1287" s="28" t="str">
        <x:v>4556800c72416ac5</x:v>
      </x:c>
    </x:row>
    <x:row r="1288" ht="21" customHeight="1">
      <x:c r="A1288" s="60" t="n">
        <x:v>0.65</x:v>
      </x:c>
      <x:c r="B1288" s="28" t="str">
        <x:v>front_flat</x:v>
      </x:c>
      <x:c r="C1288" s="60" t="n">
        <x:v>1</x:v>
      </x:c>
      <x:c r="D1288" s="60" t="n">
        <x:v>0.9646994850752131</x:v>
      </x:c>
      <x:c r="E1288" s="62" t="b">
        <x:v>0</x:v>
      </x:c>
      <x:c r="F1288" s="62" t="b">
        <x:v>0</x:v>
      </x:c>
      <x:c r="G1288" s="85" t="n">
        <x:v>21526553.722036183</x:v>
      </x:c>
      <x:c r="H1288" s="85" t="n">
        <x:v>78218374.0347948</x:v>
      </x:c>
      <x:c r="I1288" s="85" t="n">
        <x:v>75072530.52554795</x:v>
      </x:c>
      <x:c r="J1288" s="85" t="n">
        <x:v>74999999.99999999</x:v>
      </x:c>
      <x:c r="K1288" s="85" t="n">
        <x:v>0</x:v>
      </x:c>
      <x:c r="L1288" s="28" t="n">
        <x:v>47</x:v>
      </x:c>
      <x:c r="M1288" s="28" t="n">
        <x:v>45</x:v>
      </x:c>
      <x:c r="N1288" s="28" t="n">
        <x:v>1.862645149230957e-9</x:v>
      </x:c>
      <x:c r="O1288" s="28" t="n">
        <x:v>3.725290298461914e-9</x:v>
      </x:c>
      <x:c r="P1288" s="28" t="n">
        <x:v>0</x:v>
      </x:c>
      <x:c r="Q1288" s="62" t="b">
        <x:v>1</x:v>
      </x:c>
      <x:c r="R1288" s="28" t="n">
        <x:v>10590154.477436066</x:v>
      </x:c>
      <x:c r="S1288" s="28" t="str">
        <x:v>99b8b9733d137af3</x:v>
      </x:c>
    </x:row>
    <x:row r="1289" ht="21" customHeight="1">
      <x:c r="A1289" s="60" t="n">
        <x:v>0.65</x:v>
      </x:c>
      <x:c r="B1289" s="28" t="str">
        <x:v>front_low</x:v>
      </x:c>
      <x:c r="C1289" s="60" t="n">
        <x:v>0</x:v>
      </x:c>
      <x:c r="D1289" s="60" t="n">
        <x:v>0</x:v>
      </x:c>
      <x:c r="E1289" s="62" t="b">
        <x:v>1</x:v>
      </x:c>
      <x:c r="F1289" s="62" t="b">
        <x:v>1</x:v>
      </x:c>
      <x:c r="G1289" s="85" t="n">
        <x:v>0</x:v>
      </x:c>
      <x:c r="H1289" s="85" t="n">
        <x:v>0</x:v>
      </x:c>
      <x:c r="I1289" s="85" t="n">
        <x:v>0</x:v>
      </x:c>
      <x:c r="J1289" s="85" t="n">
        <x:v>0</x:v>
      </x:c>
      <x:c r="K1289" s="85" t="n">
        <x:v>29480168.121232886</x:v>
      </x:c>
      <x:c r="L1289" s="28" t="n">
        <x:v>0</x:v>
      </x:c>
      <x:c r="M1289" s="28" t="n">
        <x:v>0</x:v>
      </x:c>
      <x:c r="N1289" s="28" t="n">
        <x:v>9.313225746154785e-10</x:v>
      </x:c>
      <x:c r="O1289" s="28" t="n">
        <x:v>0</x:v>
      </x:c>
      <x:c r="P1289" s="28" t="n">
        <x:v>0</x:v>
      </x:c>
      <x:c r="Q1289" s="62" t="b">
        <x:v>1</x:v>
      </x:c>
      <x:c r="R1289" s="28" t="n">
        <x:v>0</x:v>
      </x:c>
      <x:c r="S1289" s="28" t="str">
        <x:v>fa2ab93f250b78d5</x:v>
      </x:c>
    </x:row>
    <x:row r="1290" ht="21" customHeight="1">
      <x:c r="A1290" s="60" t="n">
        <x:v>0.65</x:v>
      </x:c>
      <x:c r="B1290" s="28" t="str">
        <x:v>front_low</x:v>
      </x:c>
      <x:c r="C1290" s="60" t="n">
        <x:v>0.05</x:v>
      </x:c>
      <x:c r="D1290" s="60" t="n">
        <x:v>0.05</x:v>
      </x:c>
      <x:c r="E1290" s="62" t="b">
        <x:v>1</x:v>
      </x:c>
      <x:c r="F1290" s="62" t="b">
        <x:v>1</x:v>
      </x:c>
      <x:c r="G1290" s="85" t="n">
        <x:v>0</x:v>
      </x:c>
      <x:c r="H1290" s="85" t="n">
        <x:v>0</x:v>
      </x:c>
      <x:c r="I1290" s="85" t="n">
        <x:v>0</x:v>
      </x:c>
      <x:c r="J1290" s="85" t="n">
        <x:v>0</x:v>
      </x:c>
      <x:c r="K1290" s="85" t="n">
        <x:v>18571920.08293893</x:v>
      </x:c>
      <x:c r="L1290" s="28" t="n">
        <x:v>0</x:v>
      </x:c>
      <x:c r="M1290" s="28" t="n">
        <x:v>0</x:v>
      </x:c>
      <x:c r="N1290" s="28" t="n">
        <x:v>3.725290298461914e-9</x:v>
      </x:c>
      <x:c r="O1290" s="28" t="n">
        <x:v>5.960464477539063e-8</x:v>
      </x:c>
      <x:c r="P1290" s="28" t="n">
        <x:v>0</x:v>
      </x:c>
      <x:c r="Q1290" s="62" t="b">
        <x:v>1</x:v>
      </x:c>
      <x:c r="R1290" s="28" t="n">
        <x:v>0</x:v>
      </x:c>
      <x:c r="S1290" s="28" t="str">
        <x:v>dff73e06922f7220</x:v>
      </x:c>
    </x:row>
    <x:row r="1291" ht="21" customHeight="1">
      <x:c r="A1291" s="60" t="n">
        <x:v>0.65</x:v>
      </x:c>
      <x:c r="B1291" s="28" t="str">
        <x:v>front_low</x:v>
      </x:c>
      <x:c r="C1291" s="60" t="n">
        <x:v>0.1</x:v>
      </x:c>
      <x:c r="D1291" s="60" t="n">
        <x:v>0.1</x:v>
      </x:c>
      <x:c r="E1291" s="62" t="b">
        <x:v>1</x:v>
      </x:c>
      <x:c r="F1291" s="62" t="b">
        <x:v>1</x:v>
      </x:c>
      <x:c r="G1291" s="85" t="n">
        <x:v>0</x:v>
      </x:c>
      <x:c r="H1291" s="85" t="n">
        <x:v>0</x:v>
      </x:c>
      <x:c r="I1291" s="85" t="n">
        <x:v>0</x:v>
      </x:c>
      <x:c r="J1291" s="85" t="n">
        <x:v>0</x:v>
      </x:c>
      <x:c r="K1291" s="85" t="n">
        <x:v>7579398.582742823</x:v>
      </x:c>
      <x:c r="L1291" s="28" t="n">
        <x:v>0</x:v>
      </x:c>
      <x:c r="M1291" s="28" t="n">
        <x:v>0</x:v>
      </x:c>
      <x:c r="N1291" s="28" t="n">
        <x:v>3.725290298461914e-9</x:v>
      </x:c>
      <x:c r="O1291" s="28" t="n">
        <x:v>5.960464477539063e-8</x:v>
      </x:c>
      <x:c r="P1291" s="28" t="n">
        <x:v>0</x:v>
      </x:c>
      <x:c r="Q1291" s="62" t="b">
        <x:v>1</x:v>
      </x:c>
      <x:c r="R1291" s="28" t="n">
        <x:v>0</x:v>
      </x:c>
      <x:c r="S1291" s="28" t="str">
        <x:v>92228d37b7a4db49</x:v>
      </x:c>
    </x:row>
    <x:row r="1292" ht="21" customHeight="1">
      <x:c r="A1292" s="60" t="n">
        <x:v>0.65</x:v>
      </x:c>
      <x:c r="B1292" s="28" t="str">
        <x:v>front_low</x:v>
      </x:c>
      <x:c r="C1292" s="60" t="n">
        <x:v>0.15</x:v>
      </x:c>
      <x:c r="D1292" s="60" t="n">
        <x:v>0.15</x:v>
      </x:c>
      <x:c r="E1292" s="62" t="b">
        <x:v>1</x:v>
      </x:c>
      <x:c r="F1292" s="62" t="b">
        <x:v>1</x:v>
      </x:c>
      <x:c r="G1292" s="85" t="n">
        <x:v>0</x:v>
      </x:c>
      <x:c r="H1292" s="85" t="n">
        <x:v>0</x:v>
      </x:c>
      <x:c r="I1292" s="85" t="n">
        <x:v>2315696.9273246736</x:v>
      </x:c>
      <x:c r="J1292" s="85" t="n">
        <x:v>0</x:v>
      </x:c>
      <x:c r="K1292" s="85" t="n">
        <x:v>150248.83271883623</x:v>
      </x:c>
      <x:c r="L1292" s="28" t="n">
        <x:v>0</x:v>
      </x:c>
      <x:c r="M1292" s="28" t="n">
        <x:v>0</x:v>
      </x:c>
      <x:c r="N1292" s="28" t="n">
        <x:v>3.725290298461914e-9</x:v>
      </x:c>
      <x:c r="O1292" s="28" t="n">
        <x:v>2.9802322387695312e-8</x:v>
      </x:c>
      <x:c r="P1292" s="28" t="n">
        <x:v>0</x:v>
      </x:c>
      <x:c r="Q1292" s="62" t="b">
        <x:v>1</x:v>
      </x:c>
      <x:c r="R1292" s="28" t="n">
        <x:v>0</x:v>
      </x:c>
      <x:c r="S1292" s="28" t="str">
        <x:v>cdf83cc3c75adccb</x:v>
      </x:c>
    </x:row>
    <x:row r="1293" ht="21" customHeight="1">
      <x:c r="A1293" s="60" t="n">
        <x:v>0.65</x:v>
      </x:c>
      <x:c r="B1293" s="28" t="str">
        <x:v>front_low</x:v>
      </x:c>
      <x:c r="C1293" s="60" t="n">
        <x:v>0.2</x:v>
      </x:c>
      <x:c r="D1293" s="60" t="n">
        <x:v>0.2</x:v>
      </x:c>
      <x:c r="E1293" s="62" t="b">
        <x:v>1</x:v>
      </x:c>
      <x:c r="F1293" s="62" t="b">
        <x:v>1</x:v>
      </x:c>
      <x:c r="G1293" s="85" t="n">
        <x:v>0</x:v>
      </x:c>
      <x:c r="H1293" s="85" t="n">
        <x:v>0</x:v>
      </x:c>
      <x:c r="I1293" s="85" t="n">
        <x:v>8737440.674504725</x:v>
      </x:c>
      <x:c r="J1293" s="85" t="n">
        <x:v>6284479.497374642</x:v>
      </x:c>
      <x:c r="K1293" s="85" t="n">
        <x:v>102517.5326315064</x:v>
      </x:c>
      <x:c r="L1293" s="28" t="n">
        <x:v>0</x:v>
      </x:c>
      <x:c r="M1293" s="28" t="n">
        <x:v>0</x:v>
      </x:c>
      <x:c r="N1293" s="28" t="n">
        <x:v>1.862645149230957e-9</x:v>
      </x:c>
      <x:c r="O1293" s="28" t="n">
        <x:v>2.9802322387695312e-8</x:v>
      </x:c>
      <x:c r="P1293" s="28" t="n">
        <x:v>0</x:v>
      </x:c>
      <x:c r="Q1293" s="62" t="b">
        <x:v>1</x:v>
      </x:c>
      <x:c r="R1293" s="28" t="n">
        <x:v>0</x:v>
      </x:c>
      <x:c r="S1293" s="28" t="str">
        <x:v>105142269d9715fe</x:v>
      </x:c>
    </x:row>
    <x:row r="1294" ht="21" customHeight="1">
      <x:c r="A1294" s="60" t="n">
        <x:v>0.65</x:v>
      </x:c>
      <x:c r="B1294" s="28" t="str">
        <x:v>front_low</x:v>
      </x:c>
      <x:c r="C1294" s="60" t="n">
        <x:v>0.25</x:v>
      </x:c>
      <x:c r="D1294" s="60" t="n">
        <x:v>0.25</x:v>
      </x:c>
      <x:c r="E1294" s="62" t="b">
        <x:v>1</x:v>
      </x:c>
      <x:c r="F1294" s="62" t="b">
        <x:v>1</x:v>
      </x:c>
      <x:c r="G1294" s="85" t="n">
        <x:v>0</x:v>
      </x:c>
      <x:c r="H1294" s="85" t="n">
        <x:v>0</x:v>
      </x:c>
      <x:c r="I1294" s="85" t="n">
        <x:v>13177299.21110839</x:v>
      </x:c>
      <x:c r="J1294" s="85" t="n">
        <x:v>15355599.371718219</x:v>
      </x:c>
      <x:c r="K1294" s="85" t="n">
        <x:v>67012.86407705414</x:v>
      </x:c>
      <x:c r="L1294" s="28" t="n">
        <x:v>0</x:v>
      </x:c>
      <x:c r="M1294" s="28" t="n">
        <x:v>0</x:v>
      </x:c>
      <x:c r="N1294" s="28" t="n">
        <x:v>1.862645149230957e-9</x:v>
      </x:c>
      <x:c r="O1294" s="28" t="n">
        <x:v>1.4901161193847656e-8</x:v>
      </x:c>
      <x:c r="P1294" s="28" t="n">
        <x:v>0</x:v>
      </x:c>
      <x:c r="Q1294" s="62" t="b">
        <x:v>1</x:v>
      </x:c>
      <x:c r="R1294" s="28" t="n">
        <x:v>0</x:v>
      </x:c>
      <x:c r="S1294" s="28" t="str">
        <x:v>9b525cfa6b2e8412</x:v>
      </x:c>
    </x:row>
    <x:row r="1295" ht="21" customHeight="1">
      <x:c r="A1295" s="60" t="n">
        <x:v>0.65</x:v>
      </x:c>
      <x:c r="B1295" s="28" t="str">
        <x:v>front_low</x:v>
      </x:c>
      <x:c r="C1295" s="60" t="n">
        <x:v>0.3</x:v>
      </x:c>
      <x:c r="D1295" s="60" t="n">
        <x:v>0.3</x:v>
      </x:c>
      <x:c r="E1295" s="62" t="b">
        <x:v>1</x:v>
      </x:c>
      <x:c r="F1295" s="62" t="b">
        <x:v>1</x:v>
      </x:c>
      <x:c r="G1295" s="85" t="n">
        <x:v>0</x:v>
      </x:c>
      <x:c r="H1295" s="85" t="n">
        <x:v>0</x:v>
      </x:c>
      <x:c r="I1295" s="85" t="n">
        <x:v>17636700.244444087</x:v>
      </x:c>
      <x:c r="J1295" s="85" t="n">
        <x:v>24426719.24606188</x:v>
      </x:c>
      <x:c r="K1295" s="85" t="n">
        <x:v>31508.195522606053</x:v>
      </x:c>
      <x:c r="L1295" s="28" t="n">
        <x:v>0</x:v>
      </x:c>
      <x:c r="M1295" s="28" t="n">
        <x:v>0</x:v>
      </x:c>
      <x:c r="N1295" s="28" t="n">
        <x:v>3.725290298461914e-9</x:v>
      </x:c>
      <x:c r="O1295" s="28" t="n">
        <x:v>2.9802322387695312e-8</x:v>
      </x:c>
      <x:c r="P1295" s="28" t="n">
        <x:v>0</x:v>
      </x:c>
      <x:c r="Q1295" s="62" t="b">
        <x:v>1</x:v>
      </x:c>
      <x:c r="R1295" s="28" t="n">
        <x:v>0</x:v>
      </x:c>
      <x:c r="S1295" s="28" t="str">
        <x:v>e4cbbcbee93c044b</x:v>
      </x:c>
    </x:row>
    <x:row r="1296" ht="21" customHeight="1">
      <x:c r="A1296" s="60" t="n">
        <x:v>0.65</x:v>
      </x:c>
      <x:c r="B1296" s="28" t="str">
        <x:v>front_low</x:v>
      </x:c>
      <x:c r="C1296" s="60" t="n">
        <x:v>0.35</x:v>
      </x:c>
      <x:c r="D1296" s="60" t="n">
        <x:v>0.35</x:v>
      </x:c>
      <x:c r="E1296" s="62" t="b">
        <x:v>1</x:v>
      </x:c>
      <x:c r="F1296" s="62" t="b">
        <x:v>1</x:v>
      </x:c>
      <x:c r="G1296" s="85" t="n">
        <x:v>0</x:v>
      </x:c>
      <x:c r="H1296" s="85" t="n">
        <x:v>0</x:v>
      </x:c>
      <x:c r="I1296" s="85" t="n">
        <x:v>22152479.64465967</x:v>
      </x:c>
      <x:c r="J1296" s="85" t="n">
        <x:v>33497839.12040553</x:v>
      </x:c>
      <x:c r="K1296" s="85" t="n">
        <x:v>0</x:v>
      </x:c>
      <x:c r="L1296" s="28" t="n">
        <x:v>0</x:v>
      </x:c>
      <x:c r="M1296" s="28" t="n">
        <x:v>0</x:v>
      </x:c>
      <x:c r="N1296" s="28" t="n">
        <x:v>3.725290298461914e-9</x:v>
      </x:c>
      <x:c r="O1296" s="28" t="n">
        <x:v>7.450580596923828e-9</x:v>
      </x:c>
      <x:c r="P1296" s="28" t="n">
        <x:v>0</x:v>
      </x:c>
      <x:c r="Q1296" s="62" t="b">
        <x:v>1</x:v>
      </x:c>
      <x:c r="R1296" s="28" t="n">
        <x:v>0</x:v>
      </x:c>
      <x:c r="S1296" s="28" t="str">
        <x:v>56948ef45f7ab6c8</x:v>
      </x:c>
    </x:row>
    <x:row r="1297" ht="21" customHeight="1">
      <x:c r="A1297" s="60" t="n">
        <x:v>0.65</x:v>
      </x:c>
      <x:c r="B1297" s="28" t="str">
        <x:v>front_low</x:v>
      </x:c>
      <x:c r="C1297" s="60" t="n">
        <x:v>0.4</x:v>
      </x:c>
      <x:c r="D1297" s="60" t="n">
        <x:v>0.4</x:v>
      </x:c>
      <x:c r="E1297" s="62" t="b">
        <x:v>1</x:v>
      </x:c>
      <x:c r="F1297" s="62" t="b">
        <x:v>1</x:v>
      </x:c>
      <x:c r="G1297" s="85" t="n">
        <x:v>0</x:v>
      </x:c>
      <x:c r="H1297" s="85" t="n">
        <x:v>0</x:v>
      </x:c>
      <x:c r="I1297" s="85" t="n">
        <x:v>26643015.609104376</x:v>
      </x:c>
      <x:c r="J1297" s="85" t="n">
        <x:v>42568958.99474921</x:v>
      </x:c>
      <x:c r="K1297" s="85" t="n">
        <x:v>0</x:v>
      </x:c>
      <x:c r="L1297" s="28" t="n">
        <x:v>0</x:v>
      </x:c>
      <x:c r="M1297" s="28" t="n">
        <x:v>0</x:v>
      </x:c>
      <x:c r="N1297" s="28" t="n">
        <x:v>1.862645149230957e-9</x:v>
      </x:c>
      <x:c r="O1297" s="28" t="n">
        <x:v>2.9802322387695312e-8</x:v>
      </x:c>
      <x:c r="P1297" s="28" t="n">
        <x:v>0</x:v>
      </x:c>
      <x:c r="Q1297" s="62" t="b">
        <x:v>1</x:v>
      </x:c>
      <x:c r="R1297" s="28" t="n">
        <x:v>0</x:v>
      </x:c>
      <x:c r="S1297" s="28" t="str">
        <x:v>7f2f9d2169dd3708</x:v>
      </x:c>
    </x:row>
    <x:row r="1298" ht="21" customHeight="1">
      <x:c r="A1298" s="60" t="n">
        <x:v>0.65</x:v>
      </x:c>
      <x:c r="B1298" s="28" t="str">
        <x:v>front_low</x:v>
      </x:c>
      <x:c r="C1298" s="60" t="n">
        <x:v>0.45</x:v>
      </x:c>
      <x:c r="D1298" s="60" t="n">
        <x:v>0.45</x:v>
      </x:c>
      <x:c r="E1298" s="62" t="b">
        <x:v>1</x:v>
      </x:c>
      <x:c r="F1298" s="62" t="b">
        <x:v>1</x:v>
      </x:c>
      <x:c r="G1298" s="85" t="n">
        <x:v>0</x:v>
      </x:c>
      <x:c r="H1298" s="85" t="n">
        <x:v>0</x:v>
      </x:c>
      <x:c r="I1298" s="85" t="n">
        <x:v>34909678.77595552</x:v>
      </x:c>
      <x:c r="J1298" s="85" t="n">
        <x:v>45255155.317975566</x:v>
      </x:c>
      <x:c r="K1298" s="85" t="n">
        <x:v>0</x:v>
      </x:c>
      <x:c r="L1298" s="28" t="n">
        <x:v>9</x:v>
      </x:c>
      <x:c r="M1298" s="28" t="n">
        <x:v>0</x:v>
      </x:c>
      <x:c r="N1298" s="28" t="n">
        <x:v>1.862645149230957e-9</x:v>
      </x:c>
      <x:c r="O1298" s="28" t="n">
        <x:v>2.9802322387695312e-8</x:v>
      </x:c>
      <x:c r="P1298" s="28" t="n">
        <x:v>0</x:v>
      </x:c>
      <x:c r="Q1298" s="62" t="b">
        <x:v>1</x:v>
      </x:c>
      <x:c r="R1298" s="28" t="n">
        <x:v>0</x:v>
      </x:c>
      <x:c r="S1298" s="28" t="str">
        <x:v>3066ad39724955a0</x:v>
      </x:c>
    </x:row>
    <x:row r="1299" ht="21" customHeight="1">
      <x:c r="A1299" s="60" t="n">
        <x:v>0.65</x:v>
      </x:c>
      <x:c r="B1299" s="28" t="str">
        <x:v>front_low</x:v>
      </x:c>
      <x:c r="C1299" s="60" t="n">
        <x:v>0.5</x:v>
      </x:c>
      <x:c r="D1299" s="60" t="n">
        <x:v>0.5</x:v>
      </x:c>
      <x:c r="E1299" s="62" t="b">
        <x:v>1</x:v>
      </x:c>
      <x:c r="F1299" s="62" t="b">
        <x:v>1</x:v>
      </x:c>
      <x:c r="G1299" s="85" t="n">
        <x:v>0</x:v>
      </x:c>
      <x:c r="H1299" s="85" t="n">
        <x:v>0</x:v>
      </x:c>
      <x:c r="I1299" s="85" t="n">
        <x:v>41783437.79808782</x:v>
      </x:c>
      <x:c r="J1299" s="85" t="n">
        <x:v>50262725.20021158</x:v>
      </x:c>
      <x:c r="K1299" s="85" t="n">
        <x:v>0</x:v>
      </x:c>
      <x:c r="L1299" s="28" t="n">
        <x:v>17</x:v>
      </x:c>
      <x:c r="M1299" s="28" t="n">
        <x:v>0</x:v>
      </x:c>
      <x:c r="N1299" s="28" t="n">
        <x:v>1.862645149230957e-9</x:v>
      </x:c>
      <x:c r="O1299" s="28" t="n">
        <x:v>2.9802322387695312e-8</x:v>
      </x:c>
      <x:c r="P1299" s="28" t="n">
        <x:v>0</x:v>
      </x:c>
      <x:c r="Q1299" s="62" t="b">
        <x:v>1</x:v>
      </x:c>
      <x:c r="R1299" s="28" t="n">
        <x:v>0</x:v>
      </x:c>
      <x:c r="S1299" s="28" t="str">
        <x:v>b36b8e715e07f328</x:v>
      </x:c>
    </x:row>
    <x:row r="1300" ht="21" customHeight="1">
      <x:c r="A1300" s="60" t="n">
        <x:v>0.65</x:v>
      </x:c>
      <x:c r="B1300" s="28" t="str">
        <x:v>front_low</x:v>
      </x:c>
      <x:c r="C1300" s="60" t="n">
        <x:v>0.55</x:v>
      </x:c>
      <x:c r="D1300" s="60" t="n">
        <x:v>0.55</x:v>
      </x:c>
      <x:c r="E1300" s="62" t="b">
        <x:v>1</x:v>
      </x:c>
      <x:c r="F1300" s="62" t="b">
        <x:v>1</x:v>
      </x:c>
      <x:c r="G1300" s="85" t="n">
        <x:v>0</x:v>
      </x:c>
      <x:c r="H1300" s="85" t="n">
        <x:v>0</x:v>
      </x:c>
      <x:c r="I1300" s="85" t="n">
        <x:v>45733743.41144199</x:v>
      </x:c>
      <x:c r="J1300" s="85" t="n">
        <x:v>60075953.79231151</x:v>
      </x:c>
      <x:c r="K1300" s="85" t="n">
        <x:v>0</x:v>
      </x:c>
      <x:c r="L1300" s="28" t="n">
        <x:v>19</x:v>
      </x:c>
      <x:c r="M1300" s="28" t="n">
        <x:v>0</x:v>
      </x:c>
      <x:c r="N1300" s="28" t="n">
        <x:v>1.862645149230957e-9</x:v>
      </x:c>
      <x:c r="O1300" s="28" t="n">
        <x:v>2.9802322387695312e-8</x:v>
      </x:c>
      <x:c r="P1300" s="28" t="n">
        <x:v>0</x:v>
      </x:c>
      <x:c r="Q1300" s="62" t="b">
        <x:v>1</x:v>
      </x:c>
      <x:c r="R1300" s="28" t="n">
        <x:v>0</x:v>
      </x:c>
      <x:c r="S1300" s="28" t="str">
        <x:v>098cccda947ba3a9</x:v>
      </x:c>
    </x:row>
    <x:row r="1301" ht="21" customHeight="1">
      <x:c r="A1301" s="60" t="n">
        <x:v>0.65</x:v>
      </x:c>
      <x:c r="B1301" s="28" t="str">
        <x:v>front_low</x:v>
      </x:c>
      <x:c r="C1301" s="60" t="n">
        <x:v>0.6</x:v>
      </x:c>
      <x:c r="D1301" s="60" t="n">
        <x:v>0.6</x:v>
      </x:c>
      <x:c r="E1301" s="62" t="b">
        <x:v>1</x:v>
      </x:c>
      <x:c r="F1301" s="62" t="b">
        <x:v>1</x:v>
      </x:c>
      <x:c r="G1301" s="85" t="n">
        <x:v>0</x:v>
      </x:c>
      <x:c r="H1301" s="85" t="n">
        <x:v>0</x:v>
      </x:c>
      <x:c r="I1301" s="85" t="n">
        <x:v>49391801.776261166</x:v>
      </x:c>
      <x:c r="J1301" s="85" t="n">
        <x:v>70172657.83641866</x:v>
      </x:c>
      <x:c r="K1301" s="85" t="n">
        <x:v>0</x:v>
      </x:c>
      <x:c r="L1301" s="28" t="n">
        <x:v>22</x:v>
      </x:c>
      <x:c r="M1301" s="28" t="n">
        <x:v>0</x:v>
      </x:c>
      <x:c r="N1301" s="28" t="n">
        <x:v>9.313225746154785e-10</x:v>
      </x:c>
      <x:c r="O1301" s="28" t="n">
        <x:v>2.9802322387695312e-8</x:v>
      </x:c>
      <x:c r="P1301" s="28" t="n">
        <x:v>0</x:v>
      </x:c>
      <x:c r="Q1301" s="62" t="b">
        <x:v>1</x:v>
      </x:c>
      <x:c r="R1301" s="28" t="n">
        <x:v>0</x:v>
      </x:c>
      <x:c r="S1301" s="28" t="str">
        <x:v>58a421be4c14bbfe</x:v>
      </x:c>
    </x:row>
    <x:row r="1302" ht="21" customHeight="1">
      <x:c r="A1302" s="60" t="n">
        <x:v>0.65</x:v>
      </x:c>
      <x:c r="B1302" s="28" t="str">
        <x:v>front_low</x:v>
      </x:c>
      <x:c r="C1302" s="60" t="n">
        <x:v>0.65</x:v>
      </x:c>
      <x:c r="D1302" s="60" t="n">
        <x:v>0.65</x:v>
      </x:c>
      <x:c r="E1302" s="62" t="b">
        <x:v>1</x:v>
      </x:c>
      <x:c r="F1302" s="62" t="b">
        <x:v>0</x:v>
      </x:c>
      <x:c r="G1302" s="85" t="n">
        <x:v>327089.05040191486</x:v>
      </x:c>
      <x:c r="H1302" s="85" t="n">
        <x:v>4911762.319323111</x:v>
      </x:c>
      <x:c r="I1302" s="85" t="n">
        <x:v>51825999.47162229</x:v>
      </x:c>
      <x:c r="J1302" s="85" t="n">
        <x:v>74999999.99999999</x:v>
      </x:c>
      <x:c r="K1302" s="85" t="n">
        <x:v>0</x:v>
      </x:c>
      <x:c r="L1302" s="28" t="n">
        <x:v>46</x:v>
      </x:c>
      <x:c r="M1302" s="28" t="n">
        <x:v>23</x:v>
      </x:c>
      <x:c r="N1302" s="28" t="n">
        <x:v>9.313225746154785e-10</x:v>
      </x:c>
      <x:c r="O1302" s="28" t="n">
        <x:v>2.9802322387695312e-8</x:v>
      </x:c>
      <x:c r="P1302" s="28" t="n">
        <x:v>0</x:v>
      </x:c>
      <x:c r="Q1302" s="62" t="b">
        <x:v>1</x:v>
      </x:c>
      <x:c r="R1302" s="28" t="n">
        <x:v>0</x:v>
      </x:c>
      <x:c r="S1302" s="28" t="str">
        <x:v>cbd615e0eddcec78</x:v>
      </x:c>
    </x:row>
    <x:row r="1303" ht="21" customHeight="1">
      <x:c r="A1303" s="60" t="n">
        <x:v>0.65</x:v>
      </x:c>
      <x:c r="B1303" s="28" t="str">
        <x:v>front_low</x:v>
      </x:c>
      <x:c r="C1303" s="60" t="n">
        <x:v>0.7</x:v>
      </x:c>
      <x:c r="D1303" s="60" t="n">
        <x:v>0.7</x:v>
      </x:c>
      <x:c r="E1303" s="62" t="b">
        <x:v>1</x:v>
      </x:c>
      <x:c r="F1303" s="62" t="b">
        <x:v>0</x:v>
      </x:c>
      <x:c r="G1303" s="85" t="n">
        <x:v>1069650.965925902</x:v>
      </x:c>
      <x:c r="H1303" s="85" t="n">
        <x:v>16115834.458394907</x:v>
      </x:c>
      <x:c r="I1303" s="85" t="n">
        <x:v>51850071.6218103</x:v>
      </x:c>
      <x:c r="J1303" s="85" t="n">
        <x:v>74999999.99999999</x:v>
      </x:c>
      <x:c r="K1303" s="85" t="n">
        <x:v>0</x:v>
      </x:c>
      <x:c r="L1303" s="28" t="n">
        <x:v>46</x:v>
      </x:c>
      <x:c r="M1303" s="28" t="n">
        <x:v>31</x:v>
      </x:c>
      <x:c r="N1303" s="28" t="n">
        <x:v>1.862645149230957e-9</x:v>
      </x:c>
      <x:c r="O1303" s="28" t="n">
        <x:v>2.9802322387695312e-8</x:v>
      </x:c>
      <x:c r="P1303" s="28" t="n">
        <x:v>0</x:v>
      </x:c>
      <x:c r="Q1303" s="62" t="b">
        <x:v>1</x:v>
      </x:c>
      <x:c r="R1303" s="28" t="n">
        <x:v>0</x:v>
      </x:c>
      <x:c r="S1303" s="28" t="str">
        <x:v>53ce7e2c780cddb7</x:v>
      </x:c>
    </x:row>
    <x:row r="1304" ht="21" customHeight="1">
      <x:c r="A1304" s="60" t="n">
        <x:v>0.65</x:v>
      </x:c>
      <x:c r="B1304" s="28" t="str">
        <x:v>front_low</x:v>
      </x:c>
      <x:c r="C1304" s="60" t="n">
        <x:v>0.75</x:v>
      </x:c>
      <x:c r="D1304" s="60" t="n">
        <x:v>0.75</x:v>
      </x:c>
      <x:c r="E1304" s="62" t="b">
        <x:v>1</x:v>
      </x:c>
      <x:c r="F1304" s="62" t="b">
        <x:v>0</x:v>
      </x:c>
      <x:c r="G1304" s="85" t="n">
        <x:v>2029241.920297652</x:v>
      </x:c>
      <x:c r="H1304" s="85" t="n">
        <x:v>27191963.00927277</x:v>
      </x:c>
      <x:c r="I1304" s="85" t="n">
        <x:v>51878566.61256338</x:v>
      </x:c>
      <x:c r="J1304" s="85" t="n">
        <x:v>74999999.99999999</x:v>
      </x:c>
      <x:c r="K1304" s="85" t="n">
        <x:v>0</x:v>
      </x:c>
      <x:c r="L1304" s="28" t="n">
        <x:v>46</x:v>
      </x:c>
      <x:c r="M1304" s="28" t="n">
        <x:v>34</x:v>
      </x:c>
      <x:c r="N1304" s="28" t="n">
        <x:v>1.862645149230957e-9</x:v>
      </x:c>
      <x:c r="O1304" s="28" t="n">
        <x:v>2.9802322387695312e-8</x:v>
      </x:c>
      <x:c r="P1304" s="28" t="n">
        <x:v>0</x:v>
      </x:c>
      <x:c r="Q1304" s="62" t="b">
        <x:v>1</x:v>
      </x:c>
      <x:c r="R1304" s="28" t="n">
        <x:v>0</x:v>
      </x:c>
      <x:c r="S1304" s="28" t="str">
        <x:v>41c9beaa80f00d88</x:v>
      </x:c>
    </x:row>
    <x:row r="1305" ht="21" customHeight="1">
      <x:c r="A1305" s="60" t="n">
        <x:v>0.65</x:v>
      </x:c>
      <x:c r="B1305" s="28" t="str">
        <x:v>front_low</x:v>
      </x:c>
      <x:c r="C1305" s="60" t="n">
        <x:v>0.8</x:v>
      </x:c>
      <x:c r="D1305" s="60" t="n">
        <x:v>0.8</x:v>
      </x:c>
      <x:c r="E1305" s="62" t="b">
        <x:v>1</x:v>
      </x:c>
      <x:c r="F1305" s="62" t="b">
        <x:v>0</x:v>
      </x:c>
      <x:c r="G1305" s="85" t="n">
        <x:v>2894872.778811068</x:v>
      </x:c>
      <x:c r="H1305" s="85" t="n">
        <x:v>38090423.37912225</x:v>
      </x:c>
      <x:c r="I1305" s="85" t="n">
        <x:v>51914618.21604934</x:v>
      </x:c>
      <x:c r="J1305" s="85" t="n">
        <x:v>74999999.99999999</x:v>
      </x:c>
      <x:c r="K1305" s="85" t="n">
        <x:v>0</x:v>
      </x:c>
      <x:c r="L1305" s="28" t="n">
        <x:v>46</x:v>
      </x:c>
      <x:c r="M1305" s="28" t="n">
        <x:v>34</x:v>
      </x:c>
      <x:c r="N1305" s="28" t="n">
        <x:v>1.862645149230957e-9</x:v>
      </x:c>
      <x:c r="O1305" s="28" t="n">
        <x:v>1.4901161193847656e-8</x:v>
      </x:c>
      <x:c r="P1305" s="28" t="n">
        <x:v>0</x:v>
      </x:c>
      <x:c r="Q1305" s="62" t="b">
        <x:v>1</x:v>
      </x:c>
      <x:c r="R1305" s="28" t="n">
        <x:v>0</x:v>
      </x:c>
      <x:c r="S1305" s="28" t="str">
        <x:v>7a9f0f64a28a99f9</x:v>
      </x:c>
    </x:row>
    <x:row r="1306" ht="21" customHeight="1">
      <x:c r="A1306" s="60" t="n">
        <x:v>0.65</x:v>
      </x:c>
      <x:c r="B1306" s="28" t="str">
        <x:v>front_low</x:v>
      </x:c>
      <x:c r="C1306" s="60" t="n">
        <x:v>0.85</x:v>
      </x:c>
      <x:c r="D1306" s="60" t="n">
        <x:v>0.85</x:v>
      </x:c>
      <x:c r="E1306" s="62" t="b">
        <x:v>1</x:v>
      </x:c>
      <x:c r="F1306" s="62" t="b">
        <x:v>0</x:v>
      </x:c>
      <x:c r="G1306" s="85" t="n">
        <x:v>3915334.071467081</x:v>
      </x:c>
      <x:c r="H1306" s="85" t="n">
        <x:v>48898163.509608604</x:v>
      </x:c>
      <x:c r="I1306" s="85" t="n">
        <x:v>51950669.8195353</x:v>
      </x:c>
      <x:c r="J1306" s="85" t="n">
        <x:v>74999999.99999999</x:v>
      </x:c>
      <x:c r="K1306" s="85" t="n">
        <x:v>0</x:v>
      </x:c>
      <x:c r="L1306" s="28" t="n">
        <x:v>46</x:v>
      </x:c>
      <x:c r="M1306" s="28" t="n">
        <x:v>36</x:v>
      </x:c>
      <x:c r="N1306" s="28" t="n">
        <x:v>9.313225746154785e-10</x:v>
      </x:c>
      <x:c r="O1306" s="28" t="n">
        <x:v>1.862645149230957e-9</x:v>
      </x:c>
      <x:c r="P1306" s="28" t="n">
        <x:v>0</x:v>
      </x:c>
      <x:c r="Q1306" s="62" t="b">
        <x:v>1</x:v>
      </x:c>
      <x:c r="R1306" s="28" t="n">
        <x:v>0</x:v>
      </x:c>
      <x:c r="S1306" s="28" t="str">
        <x:v>3f6cb46a9f0b4f54</x:v>
      </x:c>
    </x:row>
    <x:row r="1307" ht="21" customHeight="1">
      <x:c r="A1307" s="60" t="n">
        <x:v>0.65</x:v>
      </x:c>
      <x:c r="B1307" s="28" t="str">
        <x:v>front_low</x:v>
      </x:c>
      <x:c r="C1307" s="60" t="n">
        <x:v>0.9</x:v>
      </x:c>
      <x:c r="D1307" s="60" t="n">
        <x:v>0.9</x:v>
      </x:c>
      <x:c r="E1307" s="62" t="b">
        <x:v>1</x:v>
      </x:c>
      <x:c r="F1307" s="62" t="b">
        <x:v>0</x:v>
      </x:c>
      <x:c r="G1307" s="85" t="n">
        <x:v>5031684.992149288</x:v>
      </x:c>
      <x:c r="H1307" s="85" t="n">
        <x:v>59504789.03488641</x:v>
      </x:c>
      <x:c r="I1307" s="85" t="n">
        <x:v>51986721.423021264</x:v>
      </x:c>
      <x:c r="J1307" s="85" t="n">
        <x:v>74999999.99999999</x:v>
      </x:c>
      <x:c r="K1307" s="85" t="n">
        <x:v>0</x:v>
      </x:c>
      <x:c r="L1307" s="28" t="n">
        <x:v>46</x:v>
      </x:c>
      <x:c r="M1307" s="28" t="n">
        <x:v>38</x:v>
      </x:c>
      <x:c r="N1307" s="28" t="n">
        <x:v>9.313225746154785e-10</x:v>
      </x:c>
      <x:c r="O1307" s="28" t="n">
        <x:v>1.4901161193847656e-8</x:v>
      </x:c>
      <x:c r="P1307" s="28" t="n">
        <x:v>0</x:v>
      </x:c>
      <x:c r="Q1307" s="62" t="b">
        <x:v>1</x:v>
      </x:c>
      <x:c r="R1307" s="28" t="n">
        <x:v>0</x:v>
      </x:c>
      <x:c r="S1307" s="28" t="str">
        <x:v>c8a637a7268ba9b4</x:v>
      </x:c>
    </x:row>
    <x:row r="1308" ht="21" customHeight="1">
      <x:c r="A1308" s="60" t="n">
        <x:v>0.65</x:v>
      </x:c>
      <x:c r="B1308" s="28" t="str">
        <x:v>front_low</x:v>
      </x:c>
      <x:c r="C1308" s="60" t="n">
        <x:v>0.95</x:v>
      </x:c>
      <x:c r="D1308" s="60" t="n">
        <x:v>0.9497739906324524</x:v>
      </x:c>
      <x:c r="E1308" s="62" t="b">
        <x:v>0</x:v>
      </x:c>
      <x:c r="F1308" s="62" t="b">
        <x:v>0</x:v>
      </x:c>
      <x:c r="G1308" s="85" t="n">
        <x:v>7768038.613538512</x:v>
      </x:c>
      <x:c r="H1308" s="85" t="n">
        <x:v>68109589.3233457</x:v>
      </x:c>
      <x:c r="I1308" s="85" t="n">
        <x:v>52022773.02650722</x:v>
      </x:c>
      <x:c r="J1308" s="85" t="n">
        <x:v>74999999.99999999</x:v>
      </x:c>
      <x:c r="K1308" s="85" t="n">
        <x:v>0</x:v>
      </x:c>
      <x:c r="L1308" s="28" t="n">
        <x:v>46</x:v>
      </x:c>
      <x:c r="M1308" s="28" t="n">
        <x:v>40</x:v>
      </x:c>
      <x:c r="N1308" s="28" t="n">
        <x:v>1.862645149230957e-9</x:v>
      </x:c>
      <x:c r="O1308" s="28" t="n">
        <x:v>1.4901161193847656e-8</x:v>
      </x:c>
      <x:c r="P1308" s="28" t="n">
        <x:v>0</x:v>
      </x:c>
      <x:c r="Q1308" s="62" t="b">
        <x:v>1</x:v>
      </x:c>
      <x:c r="R1308" s="28" t="n">
        <x:v>67802.81026428938</x:v>
      </x:c>
      <x:c r="S1308" s="28" t="str">
        <x:v>3983506a60a24412</x:v>
      </x:c>
    </x:row>
    <x:row r="1309" ht="21" customHeight="1">
      <x:c r="A1309" s="60" t="n">
        <x:v>0.65</x:v>
      </x:c>
      <x:c r="B1309" s="28" t="str">
        <x:v>front_low</x:v>
      </x:c>
      <x:c r="C1309" s="60" t="n">
        <x:v>1</x:v>
      </x:c>
      <x:c r="D1309" s="60" t="n">
        <x:v>0.9646994850752131</x:v>
      </x:c>
      <x:c r="E1309" s="62" t="b">
        <x:v>0</x:v>
      </x:c>
      <x:c r="F1309" s="62" t="b">
        <x:v>0</x:v>
      </x:c>
      <x:c r="G1309" s="85" t="n">
        <x:v>8383519.703194572</x:v>
      </x:c>
      <x:c r="H1309" s="85" t="n">
        <x:v>70543944.75565435</x:v>
      </x:c>
      <x:c r="I1309" s="85" t="n">
        <x:v>52991717.3673288</x:v>
      </x:c>
      <x:c r="J1309" s="85" t="n">
        <x:v>74999999.99999999</x:v>
      </x:c>
      <x:c r="K1309" s="85" t="n">
        <x:v>0</x:v>
      </x:c>
      <x:c r="L1309" s="28" t="n">
        <x:v>47</x:v>
      </x:c>
      <x:c r="M1309" s="28" t="n">
        <x:v>40</x:v>
      </x:c>
      <x:c r="N1309" s="28" t="n">
        <x:v>9.313225746154785e-10</x:v>
      </x:c>
      <x:c r="O1309" s="28" t="n">
        <x:v>3.725290298461914e-9</x:v>
      </x:c>
      <x:c r="P1309" s="28" t="n">
        <x:v>0</x:v>
      </x:c>
      <x:c r="Q1309" s="62" t="b">
        <x:v>1</x:v>
      </x:c>
      <x:c r="R1309" s="28" t="n">
        <x:v>10590154.477436066</x:v>
      </x:c>
      <x:c r="S1309" s="28" t="str">
        <x:v>57f28db1079d7290</x:v>
      </x:c>
    </x:row>
    <x:row r="1310" ht="21" customHeight="1">
      <x:c r="A1310" s="60" t="n">
        <x:v>0.65</x:v>
      </x:c>
      <x:c r="B1310" s="28" t="str">
        <x:v>front_high</x:v>
      </x:c>
      <x:c r="C1310" s="60" t="n">
        <x:v>0</x:v>
      </x:c>
      <x:c r="D1310" s="60" t="n">
        <x:v>0</x:v>
      </x:c>
      <x:c r="E1310" s="62" t="b">
        <x:v>1</x:v>
      </x:c>
      <x:c r="F1310" s="62" t="b">
        <x:v>1</x:v>
      </x:c>
      <x:c r="G1310" s="85" t="n">
        <x:v>0</x:v>
      </x:c>
      <x:c r="H1310" s="85" t="n">
        <x:v>0</x:v>
      </x:c>
      <x:c r="I1310" s="85" t="n">
        <x:v>0</x:v>
      </x:c>
      <x:c r="J1310" s="85" t="n">
        <x:v>0</x:v>
      </x:c>
      <x:c r="K1310" s="85" t="n">
        <x:v>38290707.39520547</x:v>
      </x:c>
      <x:c r="L1310" s="28" t="n">
        <x:v>0</x:v>
      </x:c>
      <x:c r="M1310" s="28" t="n">
        <x:v>0</x:v>
      </x:c>
      <x:c r="N1310" s="28" t="n">
        <x:v>3.725290298461914e-9</x:v>
      </x:c>
      <x:c r="O1310" s="28" t="n">
        <x:v>0</x:v>
      </x:c>
      <x:c r="P1310" s="28" t="n">
        <x:v>0</x:v>
      </x:c>
      <x:c r="Q1310" s="62" t="b">
        <x:v>1</x:v>
      </x:c>
      <x:c r="R1310" s="28" t="n">
        <x:v>0</x:v>
      </x:c>
      <x:c r="S1310" s="28" t="str">
        <x:v>9858cd529ad446f8</x:v>
      </x:c>
    </x:row>
    <x:row r="1311" ht="21" customHeight="1">
      <x:c r="A1311" s="60" t="n">
        <x:v>0.65</x:v>
      </x:c>
      <x:c r="B1311" s="28" t="str">
        <x:v>front_high</x:v>
      </x:c>
      <x:c r="C1311" s="60" t="n">
        <x:v>0.05</x:v>
      </x:c>
      <x:c r="D1311" s="60" t="n">
        <x:v>0.05</x:v>
      </x:c>
      <x:c r="E1311" s="62" t="b">
        <x:v>1</x:v>
      </x:c>
      <x:c r="F1311" s="62" t="b">
        <x:v>1</x:v>
      </x:c>
      <x:c r="G1311" s="85" t="n">
        <x:v>0</x:v>
      </x:c>
      <x:c r="H1311" s="85" t="n">
        <x:v>0</x:v>
      </x:c>
      <x:c r="I1311" s="85" t="n">
        <x:v>0</x:v>
      </x:c>
      <x:c r="J1311" s="85" t="n">
        <x:v>0</x:v>
      </x:c>
      <x:c r="K1311" s="85" t="n">
        <x:v>24441734.295715943</x:v>
      </x:c>
      <x:c r="L1311" s="28" t="n">
        <x:v>0</x:v>
      </x:c>
      <x:c r="M1311" s="28" t="n">
        <x:v>0</x:v>
      </x:c>
      <x:c r="N1311" s="28" t="n">
        <x:v>3.725290298461914e-9</x:v>
      </x:c>
      <x:c r="O1311" s="28" t="n">
        <x:v>5.960464477539063e-8</x:v>
      </x:c>
      <x:c r="P1311" s="28" t="n">
        <x:v>0</x:v>
      </x:c>
      <x:c r="Q1311" s="62" t="b">
        <x:v>1</x:v>
      </x:c>
      <x:c r="R1311" s="28" t="n">
        <x:v>0</x:v>
      </x:c>
      <x:c r="S1311" s="28" t="str">
        <x:v>2d3f13b4884efa38</x:v>
      </x:c>
    </x:row>
    <x:row r="1312" ht="21" customHeight="1">
      <x:c r="A1312" s="60" t="n">
        <x:v>0.65</x:v>
      </x:c>
      <x:c r="B1312" s="28" t="str">
        <x:v>front_high</x:v>
      </x:c>
      <x:c r="C1312" s="60" t="n">
        <x:v>0.1</x:v>
      </x:c>
      <x:c r="D1312" s="60" t="n">
        <x:v>0.1</x:v>
      </x:c>
      <x:c r="E1312" s="62" t="b">
        <x:v>1</x:v>
      </x:c>
      <x:c r="F1312" s="62" t="b">
        <x:v>1</x:v>
      </x:c>
      <x:c r="G1312" s="85" t="n">
        <x:v>0</x:v>
      </x:c>
      <x:c r="H1312" s="85" t="n">
        <x:v>0</x:v>
      </x:c>
      <x:c r="I1312" s="85" t="n">
        <x:v>0</x:v>
      </x:c>
      <x:c r="J1312" s="85" t="n">
        <x:v>0</x:v>
      </x:c>
      <x:c r="K1312" s="85" t="n">
        <x:v>10431237.06091383</x:v>
      </x:c>
      <x:c r="L1312" s="28" t="n">
        <x:v>0</x:v>
      </x:c>
      <x:c r="M1312" s="28" t="n">
        <x:v>0</x:v>
      </x:c>
      <x:c r="N1312" s="28" t="n">
        <x:v>3.725290298461914e-9</x:v>
      </x:c>
      <x:c r="O1312" s="28" t="n">
        <x:v>5.960464477539063e-8</x:v>
      </x:c>
      <x:c r="P1312" s="28" t="n">
        <x:v>0</x:v>
      </x:c>
      <x:c r="Q1312" s="62" t="b">
        <x:v>1</x:v>
      </x:c>
      <x:c r="R1312" s="28" t="n">
        <x:v>0</x:v>
      </x:c>
      <x:c r="S1312" s="28" t="str">
        <x:v>448e3963ed5e5cea</x:v>
      </x:c>
    </x:row>
    <x:row r="1313" ht="21" customHeight="1">
      <x:c r="A1313" s="60" t="n">
        <x:v>0.65</x:v>
      </x:c>
      <x:c r="B1313" s="28" t="str">
        <x:v>front_high</x:v>
      </x:c>
      <x:c r="C1313" s="60" t="n">
        <x:v>0.15</x:v>
      </x:c>
      <x:c r="D1313" s="60" t="n">
        <x:v>0.15</x:v>
      </x:c>
      <x:c r="E1313" s="62" t="b">
        <x:v>1</x:v>
      </x:c>
      <x:c r="F1313" s="62" t="b">
        <x:v>1</x:v>
      </x:c>
      <x:c r="G1313" s="85" t="n">
        <x:v>0</x:v>
      </x:c>
      <x:c r="H1313" s="85" t="n">
        <x:v>0</x:v>
      </x:c>
      <x:c r="I1313" s="85" t="n">
        <x:v>3596896.1630107076</x:v>
      </x:c>
      <x:c r="J1313" s="85" t="n">
        <x:v>0</x:v>
      </x:c>
      <x:c r="K1313" s="85" t="n">
        <x:v>948122.9285518974</x:v>
      </x:c>
      <x:c r="L1313" s="28" t="n">
        <x:v>0</x:v>
      </x:c>
      <x:c r="M1313" s="28" t="n">
        <x:v>0</x:v>
      </x:c>
      <x:c r="N1313" s="28" t="n">
        <x:v>3.725290298461914e-9</x:v>
      </x:c>
      <x:c r="O1313" s="28" t="n">
        <x:v>2.9802322387695312e-8</x:v>
      </x:c>
      <x:c r="P1313" s="28" t="n">
        <x:v>0</x:v>
      </x:c>
      <x:c r="Q1313" s="62" t="b">
        <x:v>1</x:v>
      </x:c>
      <x:c r="R1313" s="28" t="n">
        <x:v>0</x:v>
      </x:c>
      <x:c r="S1313" s="28" t="str">
        <x:v>71b373191066e693</x:v>
      </x:c>
    </x:row>
    <x:row r="1314" ht="21" customHeight="1">
      <x:c r="A1314" s="60" t="n">
        <x:v>0.65</x:v>
      </x:c>
      <x:c r="B1314" s="28" t="str">
        <x:v>front_high</x:v>
      </x:c>
      <x:c r="C1314" s="60" t="n">
        <x:v>0.2</x:v>
      </x:c>
      <x:c r="D1314" s="60" t="n">
        <x:v>0.2</x:v>
      </x:c>
      <x:c r="E1314" s="62" t="b">
        <x:v>1</x:v>
      </x:c>
      <x:c r="F1314" s="62" t="b">
        <x:v>1</x:v>
      </x:c>
      <x:c r="G1314" s="85" t="n">
        <x:v>0</x:v>
      </x:c>
      <x:c r="H1314" s="85" t="n">
        <x:v>0</x:v>
      </x:c>
      <x:c r="I1314" s="85" t="n">
        <x:v>14424854.315701894</x:v>
      </x:c>
      <x:c r="J1314" s="85" t="n">
        <x:v>6284479.497374642</x:v>
      </x:c>
      <x:c r="K1314" s="85" t="n">
        <x:v>578445.4661274066</x:v>
      </x:c>
      <x:c r="L1314" s="28" t="n">
        <x:v>0</x:v>
      </x:c>
      <x:c r="M1314" s="28" t="n">
        <x:v>0</x:v>
      </x:c>
      <x:c r="N1314" s="28" t="n">
        <x:v>1.862645149230957e-9</x:v>
      </x:c>
      <x:c r="O1314" s="28" t="n">
        <x:v>2.9802322387695312e-8</x:v>
      </x:c>
      <x:c r="P1314" s="28" t="n">
        <x:v>0</x:v>
      </x:c>
      <x:c r="Q1314" s="62" t="b">
        <x:v>1</x:v>
      </x:c>
      <x:c r="R1314" s="28" t="n">
        <x:v>0</x:v>
      </x:c>
      <x:c r="S1314" s="28" t="str">
        <x:v>4a42cc3c9c5df53f</x:v>
      </x:c>
    </x:row>
    <x:row r="1315" ht="21" customHeight="1">
      <x:c r="A1315" s="60" t="n">
        <x:v>0.65</x:v>
      </x:c>
      <x:c r="B1315" s="28" t="str">
        <x:v>front_high</x:v>
      </x:c>
      <x:c r="C1315" s="60" t="n">
        <x:v>0.25</x:v>
      </x:c>
      <x:c r="D1315" s="60" t="n">
        <x:v>0.25</x:v>
      </x:c>
      <x:c r="E1315" s="62" t="b">
        <x:v>1</x:v>
      </x:c>
      <x:c r="F1315" s="62" t="b">
        <x:v>1</x:v>
      </x:c>
      <x:c r="G1315" s="85" t="n">
        <x:v>0</x:v>
      </x:c>
      <x:c r="H1315" s="85" t="n">
        <x:v>0</x:v>
      </x:c>
      <x:c r="I1315" s="85" t="n">
        <x:v>24115395.92236013</x:v>
      </x:c>
      <x:c r="J1315" s="85" t="n">
        <x:v>15355599.371718219</x:v>
      </x:c>
      <x:c r="K1315" s="85" t="n">
        <x:v>434801.92900855414</x:v>
      </x:c>
      <x:c r="L1315" s="28" t="n">
        <x:v>0</x:v>
      </x:c>
      <x:c r="M1315" s="28" t="n">
        <x:v>0</x:v>
      </x:c>
      <x:c r="N1315" s="28" t="n">
        <x:v>1.862645149230957e-9</x:v>
      </x:c>
      <x:c r="O1315" s="28" t="n">
        <x:v>1.4901161193847656e-8</x:v>
      </x:c>
      <x:c r="P1315" s="28" t="n">
        <x:v>0</x:v>
      </x:c>
      <x:c r="Q1315" s="62" t="b">
        <x:v>1</x:v>
      </x:c>
      <x:c r="R1315" s="28" t="n">
        <x:v>0</x:v>
      </x:c>
      <x:c r="S1315" s="28" t="str">
        <x:v>6106b4418d6be82d</x:v>
      </x:c>
    </x:row>
    <x:row r="1316" ht="21" customHeight="1">
      <x:c r="A1316" s="60" t="n">
        <x:v>0.65</x:v>
      </x:c>
      <x:c r="B1316" s="28" t="str">
        <x:v>front_high</x:v>
      </x:c>
      <x:c r="C1316" s="60" t="n">
        <x:v>0.3</x:v>
      </x:c>
      <x:c r="D1316" s="60" t="n">
        <x:v>0.3</x:v>
      </x:c>
      <x:c r="E1316" s="62" t="b">
        <x:v>1</x:v>
      </x:c>
      <x:c r="F1316" s="62" t="b">
        <x:v>1</x:v>
      </x:c>
      <x:c r="G1316" s="85" t="n">
        <x:v>0</x:v>
      </x:c>
      <x:c r="H1316" s="85" t="n">
        <x:v>0</x:v>
      </x:c>
      <x:c r="I1316" s="85" t="n">
        <x:v>33940055.51657088</x:v>
      </x:c>
      <x:c r="J1316" s="85" t="n">
        <x:v>24426719.24606188</x:v>
      </x:c>
      <x:c r="K1316" s="85" t="n">
        <x:v>340500.93097465753</x:v>
      </x:c>
      <x:c r="L1316" s="28" t="n">
        <x:v>0</x:v>
      </x:c>
      <x:c r="M1316" s="28" t="n">
        <x:v>0</x:v>
      </x:c>
      <x:c r="N1316" s="28" t="n">
        <x:v>3.725290298461914e-9</x:v>
      </x:c>
      <x:c r="O1316" s="28" t="n">
        <x:v>2.9802322387695312e-8</x:v>
      </x:c>
      <x:c r="P1316" s="28" t="n">
        <x:v>0</x:v>
      </x:c>
      <x:c r="Q1316" s="62" t="b">
        <x:v>1</x:v>
      </x:c>
      <x:c r="R1316" s="28" t="n">
        <x:v>0</x:v>
      </x:c>
      <x:c r="S1316" s="28" t="str">
        <x:v>a63948acecf6ae76</x:v>
      </x:c>
    </x:row>
    <x:row r="1317" ht="21" customHeight="1">
      <x:c r="A1317" s="60" t="n">
        <x:v>0.65</x:v>
      </x:c>
      <x:c r="B1317" s="28" t="str">
        <x:v>front_high</x:v>
      </x:c>
      <x:c r="C1317" s="60" t="n">
        <x:v>0.35</x:v>
      </x:c>
      <x:c r="D1317" s="60" t="n">
        <x:v>0.35</x:v>
      </x:c>
      <x:c r="E1317" s="62" t="b">
        <x:v>1</x:v>
      </x:c>
      <x:c r="F1317" s="62" t="b">
        <x:v>1</x:v>
      </x:c>
      <x:c r="G1317" s="85" t="n">
        <x:v>0</x:v>
      </x:c>
      <x:c r="H1317" s="85" t="n">
        <x:v>0</x:v>
      </x:c>
      <x:c r="I1317" s="85" t="n">
        <x:v>43799861.93474364</x:v>
      </x:c>
      <x:c r="J1317" s="85" t="n">
        <x:v>33497839.12040553</x:v>
      </x:c>
      <x:c r="K1317" s="85" t="n">
        <x:v>246199.9329407405</x:v>
      </x:c>
      <x:c r="L1317" s="28" t="n">
        <x:v>0</x:v>
      </x:c>
      <x:c r="M1317" s="28" t="n">
        <x:v>0</x:v>
      </x:c>
      <x:c r="N1317" s="28" t="n">
        <x:v>3.725290298461914e-9</x:v>
      </x:c>
      <x:c r="O1317" s="28" t="n">
        <x:v>7.450580596923828e-9</x:v>
      </x:c>
      <x:c r="P1317" s="28" t="n">
        <x:v>0</x:v>
      </x:c>
      <x:c r="Q1317" s="62" t="b">
        <x:v>1</x:v>
      </x:c>
      <x:c r="R1317" s="28" t="n">
        <x:v>0</x:v>
      </x:c>
      <x:c r="S1317" s="28" t="str">
        <x:v>fb32e0d0cbd48cdb</x:v>
      </x:c>
    </x:row>
    <x:row r="1318" ht="21" customHeight="1">
      <x:c r="A1318" s="60" t="n">
        <x:v>0.65</x:v>
      </x:c>
      <x:c r="B1318" s="28" t="str">
        <x:v>front_high</x:v>
      </x:c>
      <x:c r="C1318" s="60" t="n">
        <x:v>0.4</x:v>
      </x:c>
      <x:c r="D1318" s="60" t="n">
        <x:v>0.4</x:v>
      </x:c>
      <x:c r="E1318" s="62" t="b">
        <x:v>1</x:v>
      </x:c>
      <x:c r="F1318" s="62" t="b">
        <x:v>1</x:v>
      </x:c>
      <x:c r="G1318" s="85" t="n">
        <x:v>0</x:v>
      </x:c>
      <x:c r="H1318" s="85" t="n">
        <x:v>0</x:v>
      </x:c>
      <x:c r="I1318" s="85" t="n">
        <x:v>53634424.91714555</x:v>
      </x:c>
      <x:c r="J1318" s="85" t="n">
        <x:v>42568958.99474921</x:v>
      </x:c>
      <x:c r="K1318" s="85" t="n">
        <x:v>151898.93490684673</x:v>
      </x:c>
      <x:c r="L1318" s="28" t="n">
        <x:v>0</x:v>
      </x:c>
      <x:c r="M1318" s="28" t="n">
        <x:v>0</x:v>
      </x:c>
      <x:c r="N1318" s="28" t="n">
        <x:v>3.725290298461914e-9</x:v>
      </x:c>
      <x:c r="O1318" s="28" t="n">
        <x:v>2.9802322387695312e-8</x:v>
      </x:c>
      <x:c r="P1318" s="28" t="n">
        <x:v>0</x:v>
      </x:c>
      <x:c r="Q1318" s="62" t="b">
        <x:v>1</x:v>
      </x:c>
      <x:c r="R1318" s="28" t="n">
        <x:v>0</x:v>
      </x:c>
      <x:c r="S1318" s="28" t="str">
        <x:v>7f25cc89d4ae423f</x:v>
      </x:c>
    </x:row>
    <x:row r="1319" ht="21" customHeight="1">
      <x:c r="A1319" s="60" t="n">
        <x:v>0.65</x:v>
      </x:c>
      <x:c r="B1319" s="28" t="str">
        <x:v>front_high</x:v>
      </x:c>
      <x:c r="C1319" s="60" t="n">
        <x:v>0.45</x:v>
      </x:c>
      <x:c r="D1319" s="60" t="n">
        <x:v>0.45</x:v>
      </x:c>
      <x:c r="E1319" s="62" t="b">
        <x:v>1</x:v>
      </x:c>
      <x:c r="F1319" s="62" t="b">
        <x:v>1</x:v>
      </x:c>
      <x:c r="G1319" s="85" t="n">
        <x:v>0</x:v>
      </x:c>
      <x:c r="H1319" s="85" t="n">
        <x:v>0</x:v>
      </x:c>
      <x:c r="I1319" s="85" t="n">
        <x:v>63975645.27908992</x:v>
      </x:c>
      <x:c r="J1319" s="85" t="n">
        <x:v>44888225.10867791</x:v>
      </x:c>
      <x:c r="K1319" s="85" t="n">
        <x:v>110460.22480479282</x:v>
      </x:c>
      <x:c r="L1319" s="28" t="n">
        <x:v>6</x:v>
      </x:c>
      <x:c r="M1319" s="28" t="n">
        <x:v>0</x:v>
      </x:c>
      <x:c r="N1319" s="28" t="n">
        <x:v>3.725290298461914e-9</x:v>
      </x:c>
      <x:c r="O1319" s="28" t="n">
        <x:v>2.9802322387695312e-8</x:v>
      </x:c>
      <x:c r="P1319" s="28" t="n">
        <x:v>0</x:v>
      </x:c>
      <x:c r="Q1319" s="62" t="b">
        <x:v>1</x:v>
      </x:c>
      <x:c r="R1319" s="28" t="n">
        <x:v>0</x:v>
      </x:c>
      <x:c r="S1319" s="28" t="str">
        <x:v>dcd7ac11b515484a</x:v>
      </x:c>
    </x:row>
    <x:row r="1320" ht="21" customHeight="1">
      <x:c r="A1320" s="60" t="n">
        <x:v>0.65</x:v>
      </x:c>
      <x:c r="B1320" s="28" t="str">
        <x:v>front_high</x:v>
      </x:c>
      <x:c r="C1320" s="60" t="n">
        <x:v>0.5</x:v>
      </x:c>
      <x:c r="D1320" s="60" t="n">
        <x:v>0.5</x:v>
      </x:c>
      <x:c r="E1320" s="62" t="b">
        <x:v>1</x:v>
      </x:c>
      <x:c r="F1320" s="62" t="b">
        <x:v>1</x:v>
      </x:c>
      <x:c r="G1320" s="85" t="n">
        <x:v>0</x:v>
      </x:c>
      <x:c r="H1320" s="85" t="n">
        <x:v>0</x:v>
      </x:c>
      <x:c r="I1320" s="85" t="n">
        <x:v>73810201.66892973</x:v>
      </x:c>
      <x:c r="J1320" s="85" t="n">
        <x:v>47897966.52777132</x:v>
      </x:c>
      <x:c r="K1320" s="85" t="n">
        <x:v>79026.10366438355</x:v>
      </x:c>
      <x:c r="L1320" s="28" t="n">
        <x:v>11</x:v>
      </x:c>
      <x:c r="M1320" s="28" t="n">
        <x:v>0</x:v>
      </x:c>
      <x:c r="N1320" s="28" t="n">
        <x:v>1.862645149230957e-9</x:v>
      </x:c>
      <x:c r="O1320" s="28" t="n">
        <x:v>2.9802322387695312e-8</x:v>
      </x:c>
      <x:c r="P1320" s="28" t="n">
        <x:v>0</x:v>
      </x:c>
      <x:c r="Q1320" s="62" t="b">
        <x:v>1</x:v>
      </x:c>
      <x:c r="R1320" s="28" t="n">
        <x:v>0</x:v>
      </x:c>
      <x:c r="S1320" s="28" t="str">
        <x:v>29f088cbb55cda44</x:v>
      </x:c>
    </x:row>
    <x:row r="1321" ht="21" customHeight="1">
      <x:c r="A1321" s="60" t="n">
        <x:v>0.65</x:v>
      </x:c>
      <x:c r="B1321" s="28" t="str">
        <x:v>front_high</x:v>
      </x:c>
      <x:c r="C1321" s="60" t="n">
        <x:v>0.55</x:v>
      </x:c>
      <x:c r="D1321" s="60" t="n">
        <x:v>0.55</x:v>
      </x:c>
      <x:c r="E1321" s="62" t="b">
        <x:v>1</x:v>
      </x:c>
      <x:c r="F1321" s="62" t="b">
        <x:v>1</x:v>
      </x:c>
      <x:c r="G1321" s="85" t="n">
        <x:v>0</x:v>
      </x:c>
      <x:c r="H1321" s="85" t="n">
        <x:v>0</x:v>
      </x:c>
      <x:c r="I1321" s="85" t="n">
        <x:v>84207398.88341539</x:v>
      </x:c>
      <x:c r="J1321" s="85" t="n">
        <x:v>55594836.05920351</x:v>
      </x:c>
      <x:c r="K1321" s="85" t="n">
        <x:v>47591.9825239715</x:v>
      </x:c>
      <x:c r="L1321" s="28" t="n">
        <x:v>18</x:v>
      </x:c>
      <x:c r="M1321" s="28" t="n">
        <x:v>0</x:v>
      </x:c>
      <x:c r="N1321" s="28" t="n">
        <x:v>1.862645149230957e-9</x:v>
      </x:c>
      <x:c r="O1321" s="28" t="n">
        <x:v>2.9802322387695312e-8</x:v>
      </x:c>
      <x:c r="P1321" s="28" t="n">
        <x:v>0</x:v>
      </x:c>
      <x:c r="Q1321" s="62" t="b">
        <x:v>1</x:v>
      </x:c>
      <x:c r="R1321" s="28" t="n">
        <x:v>0</x:v>
      </x:c>
      <x:c r="S1321" s="28" t="str">
        <x:v>29426acd9e99d4f3</x:v>
      </x:c>
    </x:row>
    <x:row r="1322" ht="21" customHeight="1">
      <x:c r="A1322" s="60" t="n">
        <x:v>0.65</x:v>
      </x:c>
      <x:c r="B1322" s="28" t="str">
        <x:v>front_high</x:v>
      </x:c>
      <x:c r="C1322" s="60" t="n">
        <x:v>0.6</x:v>
      </x:c>
      <x:c r="D1322" s="60" t="n">
        <x:v>0.6</x:v>
      </x:c>
      <x:c r="E1322" s="62" t="b">
        <x:v>1</x:v>
      </x:c>
      <x:c r="F1322" s="62" t="b">
        <x:v>1</x:v>
      </x:c>
      <x:c r="G1322" s="85" t="n">
        <x:v>0</x:v>
      </x:c>
      <x:c r="H1322" s="85" t="n">
        <x:v>0</x:v>
      </x:c>
      <x:c r="I1322" s="85" t="n">
        <x:v>93503634.34543777</x:v>
      </x:c>
      <x:c r="J1322" s="85" t="n">
        <x:v>67998657.63076991</x:v>
      </x:c>
      <x:c r="K1322" s="85" t="n">
        <x:v>16157.86138356317</x:v>
      </x:c>
      <x:c r="L1322" s="28" t="n">
        <x:v>21</x:v>
      </x:c>
      <x:c r="M1322" s="28" t="n">
        <x:v>10</x:v>
      </x:c>
      <x:c r="N1322" s="28" t="n">
        <x:v>1.862645149230957e-9</x:v>
      </x:c>
      <x:c r="O1322" s="28" t="n">
        <x:v>2.9802322387695312e-8</x:v>
      </x:c>
      <x:c r="P1322" s="28" t="n">
        <x:v>0</x:v>
      </x:c>
      <x:c r="Q1322" s="62" t="b">
        <x:v>1</x:v>
      </x:c>
      <x:c r="R1322" s="28" t="n">
        <x:v>0</x:v>
      </x:c>
      <x:c r="S1322" s="28" t="str">
        <x:v>40aa15a5e0dd8f90</x:v>
      </x:c>
    </x:row>
    <x:row r="1323" ht="21" customHeight="1">
      <x:c r="A1323" s="60" t="n">
        <x:v>0.65</x:v>
      </x:c>
      <x:c r="B1323" s="28" t="str">
        <x:v>front_high</x:v>
      </x:c>
      <x:c r="C1323" s="60" t="n">
        <x:v>0.65</x:v>
      </x:c>
      <x:c r="D1323" s="60" t="n">
        <x:v>0.65</x:v>
      </x:c>
      <x:c r="E1323" s="62" t="b">
        <x:v>1</x:v>
      </x:c>
      <x:c r="F1323" s="62" t="b">
        <x:v>0</x:v>
      </x:c>
      <x:c r="G1323" s="85" t="n">
        <x:v>1395814.8196162733</x:v>
      </x:c>
      <x:c r="H1323" s="85" t="n">
        <x:v>5408808.45511205</x:v>
      </x:c>
      <x:c r="I1323" s="85" t="n">
        <x:v>99493083.78523178</x:v>
      </x:c>
      <x:c r="J1323" s="85" t="n">
        <x:v>74999999.99999999</x:v>
      </x:c>
      <x:c r="K1323" s="85" t="n">
        <x:v>0</x:v>
      </x:c>
      <x:c r="L1323" s="28" t="n">
        <x:v>46</x:v>
      </x:c>
      <x:c r="M1323" s="28" t="n">
        <x:v>38</x:v>
      </x:c>
      <x:c r="N1323" s="28" t="n">
        <x:v>1.862645149230957e-9</x:v>
      </x:c>
      <x:c r="O1323" s="28" t="n">
        <x:v>2.9802322387695312e-8</x:v>
      </x:c>
      <x:c r="P1323" s="28" t="n">
        <x:v>0</x:v>
      </x:c>
      <x:c r="Q1323" s="62" t="b">
        <x:v>1</x:v>
      </x:c>
      <x:c r="R1323" s="28" t="n">
        <x:v>0</x:v>
      </x:c>
      <x:c r="S1323" s="28" t="str">
        <x:v>9690ffd346b7827b</x:v>
      </x:c>
    </x:row>
    <x:row r="1324" ht="21" customHeight="1">
      <x:c r="A1324" s="60" t="n">
        <x:v>0.65</x:v>
      </x:c>
      <x:c r="B1324" s="28" t="str">
        <x:v>front_high</x:v>
      </x:c>
      <x:c r="C1324" s="60" t="n">
        <x:v>0.7</x:v>
      </x:c>
      <x:c r="D1324" s="60" t="n">
        <x:v>0.7</x:v>
      </x:c>
      <x:c r="E1324" s="62" t="b">
        <x:v>1</x:v>
      </x:c>
      <x:c r="F1324" s="62" t="b">
        <x:v>0</x:v>
      </x:c>
      <x:c r="G1324" s="85" t="n">
        <x:v>6363753.221621184</x:v>
      </x:c>
      <x:c r="H1324" s="85" t="n">
        <x:v>21300186.744030293</x:v>
      </x:c>
      <x:c r="I1324" s="85" t="n">
        <x:v>99556497.59705679</x:v>
      </x:c>
      <x:c r="J1324" s="85" t="n">
        <x:v>74999999.99999999</x:v>
      </x:c>
      <x:c r="K1324" s="85" t="n">
        <x:v>0</x:v>
      </x:c>
      <x:c r="L1324" s="28" t="n">
        <x:v>46</x:v>
      </x:c>
      <x:c r="M1324" s="28" t="n">
        <x:v>42</x:v>
      </x:c>
      <x:c r="N1324" s="28" t="n">
        <x:v>1.862645149230957e-9</x:v>
      </x:c>
      <x:c r="O1324" s="28" t="n">
        <x:v>2.9802322387695312e-8</x:v>
      </x:c>
      <x:c r="P1324" s="28" t="n">
        <x:v>0</x:v>
      </x:c>
      <x:c r="Q1324" s="62" t="b">
        <x:v>1</x:v>
      </x:c>
      <x:c r="R1324" s="28" t="n">
        <x:v>0</x:v>
      </x:c>
      <x:c r="S1324" s="28" t="str">
        <x:v>58bc7ca35fe31e14</x:v>
      </x:c>
    </x:row>
    <x:row r="1325" ht="21" customHeight="1">
      <x:c r="A1325" s="60" t="n">
        <x:v>0.65</x:v>
      </x:c>
      <x:c r="B1325" s="28" t="str">
        <x:v>front_high</x:v>
      </x:c>
      <x:c r="C1325" s="60" t="n">
        <x:v>0.75</x:v>
      </x:c>
      <x:c r="D1325" s="60" t="n">
        <x:v>0.75</x:v>
      </x:c>
      <x:c r="E1325" s="62" t="b">
        <x:v>1</x:v>
      </x:c>
      <x:c r="F1325" s="62" t="b">
        <x:v>0</x:v>
      </x:c>
      <x:c r="G1325" s="85" t="n">
        <x:v>11775099.912554316</x:v>
      </x:c>
      <x:c r="H1325" s="85" t="n">
        <x:v>36409861.727704786</x:v>
      </x:c>
      <x:c r="I1325" s="85" t="n">
        <x:v>99619911.4088818</x:v>
      </x:c>
      <x:c r="J1325" s="85" t="n">
        <x:v>74999999.99999999</x:v>
      </x:c>
      <x:c r="K1325" s="85" t="n">
        <x:v>0</x:v>
      </x:c>
      <x:c r="L1325" s="28" t="n">
        <x:v>46</x:v>
      </x:c>
      <x:c r="M1325" s="28" t="n">
        <x:v>44</x:v>
      </x:c>
      <x:c r="N1325" s="28" t="n">
        <x:v>1.862645149230957e-9</x:v>
      </x:c>
      <x:c r="O1325" s="28" t="n">
        <x:v>2.9802322387695312e-8</x:v>
      </x:c>
      <x:c r="P1325" s="28" t="n">
        <x:v>0</x:v>
      </x:c>
      <x:c r="Q1325" s="62" t="b">
        <x:v>1</x:v>
      </x:c>
      <x:c r="R1325" s="28" t="n">
        <x:v>0</x:v>
      </x:c>
      <x:c r="S1325" s="28" t="str">
        <x:v>a78523efe59e667e</x:v>
      </x:c>
    </x:row>
    <x:row r="1326" ht="21" customHeight="1">
      <x:c r="A1326" s="60" t="n">
        <x:v>0.65</x:v>
      </x:c>
      <x:c r="B1326" s="28" t="str">
        <x:v>front_high</x:v>
      </x:c>
      <x:c r="C1326" s="60" t="n">
        <x:v>0.8</x:v>
      </x:c>
      <x:c r="D1326" s="60" t="n">
        <x:v>0.8</x:v>
      </x:c>
      <x:c r="E1326" s="62" t="b">
        <x:v>1</x:v>
      </x:c>
      <x:c r="F1326" s="62" t="b">
        <x:v>0</x:v>
      </x:c>
      <x:c r="G1326" s="85" t="n">
        <x:v>16923248.86091213</x:v>
      </x:c>
      <x:c r="H1326" s="85" t="n">
        <x:v>51347562.64366283</x:v>
      </x:c>
      <x:c r="I1326" s="85" t="n">
        <x:v>99683325.22070679</x:v>
      </x:c>
      <x:c r="J1326" s="85" t="n">
        <x:v>74999999.99999999</x:v>
      </x:c>
      <x:c r="K1326" s="85" t="n">
        <x:v>0</x:v>
      </x:c>
      <x:c r="L1326" s="28" t="n">
        <x:v>46</x:v>
      </x:c>
      <x:c r="M1326" s="28" t="n">
        <x:v>44</x:v>
      </x:c>
      <x:c r="N1326" s="28" t="n">
        <x:v>1.862645149230957e-9</x:v>
      </x:c>
      <x:c r="O1326" s="28" t="n">
        <x:v>1.4901161193847656e-8</x:v>
      </x:c>
      <x:c r="P1326" s="28" t="n">
        <x:v>0</x:v>
      </x:c>
      <x:c r="Q1326" s="62" t="b">
        <x:v>1</x:v>
      </x:c>
      <x:c r="R1326" s="28" t="n">
        <x:v>0</x:v>
      </x:c>
      <x:c r="S1326" s="28" t="str">
        <x:v>62cb0606d7189773</x:v>
      </x:c>
    </x:row>
    <x:row r="1327" ht="21" customHeight="1">
      <x:c r="A1327" s="60" t="n">
        <x:v>0.65</x:v>
      </x:c>
      <x:c r="B1327" s="28" t="str">
        <x:v>front_high</x:v>
      </x:c>
      <x:c r="C1327" s="60" t="n">
        <x:v>0.85</x:v>
      </x:c>
      <x:c r="D1327" s="60" t="n">
        <x:v>0.85</x:v>
      </x:c>
      <x:c r="E1327" s="62" t="b">
        <x:v>1</x:v>
      </x:c>
      <x:c r="F1327" s="62" t="b">
        <x:v>0</x:v>
      </x:c>
      <x:c r="G1327" s="85" t="n">
        <x:v>23084760.091811273</x:v>
      </x:c>
      <x:c r="H1327" s="85" t="n">
        <x:v>65430005.20734163</x:v>
      </x:c>
      <x:c r="I1327" s="85" t="n">
        <x:v>99776792.87274069</x:v>
      </x:c>
      <x:c r="J1327" s="85" t="n">
        <x:v>74999999.99999999</x:v>
      </x:c>
      <x:c r="K1327" s="85" t="n">
        <x:v>0</x:v>
      </x:c>
      <x:c r="L1327" s="28" t="n">
        <x:v>46</x:v>
      </x:c>
      <x:c r="M1327" s="28" t="n">
        <x:v>45</x:v>
      </x:c>
      <x:c r="N1327" s="28" t="n">
        <x:v>1.862645149230957e-9</x:v>
      </x:c>
      <x:c r="O1327" s="28" t="n">
        <x:v>1.862645149230957e-9</x:v>
      </x:c>
      <x:c r="P1327" s="28" t="n">
        <x:v>0</x:v>
      </x:c>
      <x:c r="Q1327" s="62" t="b">
        <x:v>1</x:v>
      </x:c>
      <x:c r="R1327" s="28" t="n">
        <x:v>0</x:v>
      </x:c>
      <x:c r="S1327" s="28" t="str">
        <x:v>65c55e284ad63486</x:v>
      </x:c>
    </x:row>
    <x:row r="1328" ht="21" customHeight="1">
      <x:c r="A1328" s="60" t="n">
        <x:v>0.65</x:v>
      </x:c>
      <x:c r="B1328" s="28" t="str">
        <x:v>front_high</x:v>
      </x:c>
      <x:c r="C1328" s="60" t="n">
        <x:v>0.9</x:v>
      </x:c>
      <x:c r="D1328" s="60" t="n">
        <x:v>0.9</x:v>
      </x:c>
      <x:c r="E1328" s="62" t="b">
        <x:v>1</x:v>
      </x:c>
      <x:c r="F1328" s="62" t="b">
        <x:v>0</x:v>
      </x:c>
      <x:c r="G1328" s="85" t="n">
        <x:v>32734926.171196632</x:v>
      </x:c>
      <x:c r="H1328" s="85" t="n">
        <x:v>76688563.34933981</x:v>
      </x:c>
      <x:c r="I1328" s="85" t="n">
        <x:v>99871640.8057061</x:v>
      </x:c>
      <x:c r="J1328" s="85" t="n">
        <x:v>74999999.99999999</x:v>
      </x:c>
      <x:c r="K1328" s="85" t="n">
        <x:v>0</x:v>
      </x:c>
      <x:c r="L1328" s="28" t="n">
        <x:v>46</x:v>
      </x:c>
      <x:c r="M1328" s="28" t="n">
        <x:v>45</x:v>
      </x:c>
      <x:c r="N1328" s="28" t="n">
        <x:v>1.862645149230957e-9</x:v>
      </x:c>
      <x:c r="O1328" s="28" t="n">
        <x:v>1.4901161193847656e-8</x:v>
      </x:c>
      <x:c r="P1328" s="28" t="n">
        <x:v>0</x:v>
      </x:c>
      <x:c r="Q1328" s="62" t="b">
        <x:v>1</x:v>
      </x:c>
      <x:c r="R1328" s="28" t="n">
        <x:v>0</x:v>
      </x:c>
      <x:c r="S1328" s="28" t="str">
        <x:v>b0d4782272e59193</x:v>
      </x:c>
    </x:row>
    <x:row r="1329" ht="21" customHeight="1">
      <x:c r="A1329" s="60" t="n">
        <x:v>0.65</x:v>
      </x:c>
      <x:c r="B1329" s="28" t="str">
        <x:v>front_high</x:v>
      </x:c>
      <x:c r="C1329" s="60" t="n">
        <x:v>0.95</x:v>
      </x:c>
      <x:c r="D1329" s="60" t="n">
        <x:v>0.9497739906324524</x:v>
      </x:c>
      <x:c r="E1329" s="62" t="b">
        <x:v>0</x:v>
      </x:c>
      <x:c r="F1329" s="62" t="b">
        <x:v>0</x:v>
      </x:c>
      <x:c r="G1329" s="85" t="n">
        <x:v>38256804.98104698</x:v>
      </x:c>
      <x:c r="H1329" s="85" t="n">
        <x:v>86124648.85885839</x:v>
      </x:c>
      <x:c r="I1329" s="85" t="n">
        <x:v>99966488.73867151</x:v>
      </x:c>
      <x:c r="J1329" s="85" t="n">
        <x:v>74999999.99999999</x:v>
      </x:c>
      <x:c r="K1329" s="85" t="n">
        <x:v>0</x:v>
      </x:c>
      <x:c r="L1329" s="28" t="n">
        <x:v>46</x:v>
      </x:c>
      <x:c r="M1329" s="28" t="n">
        <x:v>45</x:v>
      </x:c>
      <x:c r="N1329" s="28" t="n">
        <x:v>1.862645149230957e-9</x:v>
      </x:c>
      <x:c r="O1329" s="28" t="n">
        <x:v>1.4901161193847656e-8</x:v>
      </x:c>
      <x:c r="P1329" s="28" t="n">
        <x:v>0</x:v>
      </x:c>
      <x:c r="Q1329" s="62" t="b">
        <x:v>1</x:v>
      </x:c>
      <x:c r="R1329" s="28" t="n">
        <x:v>67802.81026428938</x:v>
      </x:c>
      <x:c r="S1329" s="28" t="str">
        <x:v>0bfc67187d54a554</x:v>
      </x:c>
    </x:row>
    <x:row r="1330" ht="21" customHeight="1">
      <x:c r="A1330" s="60" t="n">
        <x:v>0.65</x:v>
      </x:c>
      <x:c r="B1330" s="28" t="str">
        <x:v>front_high</x:v>
      </x:c>
      <x:c r="C1330" s="60" t="n">
        <x:v>1</x:v>
      </x:c>
      <x:c r="D1330" s="60" t="n">
        <x:v>0.9646994850752131</x:v>
      </x:c>
      <x:c r="E1330" s="62" t="b">
        <x:v>0</x:v>
      </x:c>
      <x:c r="F1330" s="62" t="b">
        <x:v>0</x:v>
      </x:c>
      <x:c r="G1330" s="85" t="n">
        <x:v>40899160.644291036</x:v>
      </x:c>
      <x:c r="H1330" s="85" t="n">
        <x:v>88362832.42276184</x:v>
      </x:c>
      <x:c r="I1330" s="85" t="n">
        <x:v>101568534.28582186</x:v>
      </x:c>
      <x:c r="J1330" s="85" t="n">
        <x:v>74999999.99999999</x:v>
      </x:c>
      <x:c r="K1330" s="85" t="n">
        <x:v>0</x:v>
      </x:c>
      <x:c r="L1330" s="28" t="n">
        <x:v>47</x:v>
      </x:c>
      <x:c r="M1330" s="28" t="n">
        <x:v>45</x:v>
      </x:c>
      <x:c r="N1330" s="28" t="n">
        <x:v>9.313225746154785e-10</x:v>
      </x:c>
      <x:c r="O1330" s="28" t="n">
        <x:v>3.725290298461914e-9</x:v>
      </x:c>
      <x:c r="P1330" s="28" t="n">
        <x:v>0</x:v>
      </x:c>
      <x:c r="Q1330" s="62" t="b">
        <x:v>1</x:v>
      </x:c>
      <x:c r="R1330" s="28" t="n">
        <x:v>10590154.477436066</x:v>
      </x:c>
      <x:c r="S1330" s="28" t="str">
        <x:v>07cf2c67a342f4b5</x:v>
      </x:c>
    </x:row>
    <x:row r="1331" ht="21" customHeight="1">
      <x:c r="A1331" s="60" t="n">
        <x:v>0.65</x:v>
      </x:c>
      <x:c r="B1331" s="28" t="str">
        <x:v>middle_flat</x:v>
      </x:c>
      <x:c r="C1331" s="60" t="n">
        <x:v>0</x:v>
      </x:c>
      <x:c r="D1331" s="60" t="n">
        <x:v>0</x:v>
      </x:c>
      <x:c r="E1331" s="62" t="b">
        <x:v>1</x:v>
      </x:c>
      <x:c r="F1331" s="62" t="b">
        <x:v>1</x:v>
      </x:c>
      <x:c r="G1331" s="85" t="n">
        <x:v>0</x:v>
      </x:c>
      <x:c r="H1331" s="85" t="n">
        <x:v>0</x:v>
      </x:c>
      <x:c r="I1331" s="85" t="n">
        <x:v>0</x:v>
      </x:c>
      <x:c r="J1331" s="85" t="n">
        <x:v>0</x:v>
      </x:c>
      <x:c r="K1331" s="85" t="n">
        <x:v>33472994.65547947</x:v>
      </x:c>
      <x:c r="L1331" s="28" t="n">
        <x:v>0</x:v>
      </x:c>
      <x:c r="M1331" s="28" t="n">
        <x:v>0</x:v>
      </x:c>
      <x:c r="N1331" s="28" t="n">
        <x:v>3.725290298461914e-9</x:v>
      </x:c>
      <x:c r="O1331" s="28" t="n">
        <x:v>0</x:v>
      </x:c>
      <x:c r="P1331" s="28" t="n">
        <x:v>0</x:v>
      </x:c>
      <x:c r="Q1331" s="62" t="b">
        <x:v>1</x:v>
      </x:c>
      <x:c r="R1331" s="28" t="n">
        <x:v>0</x:v>
      </x:c>
      <x:c r="S1331" s="28" t="str">
        <x:v>1722360b2713d71b</x:v>
      </x:c>
    </x:row>
    <x:row r="1332" ht="21" customHeight="1">
      <x:c r="A1332" s="60" t="n">
        <x:v>0.65</x:v>
      </x:c>
      <x:c r="B1332" s="28" t="str">
        <x:v>middle_flat</x:v>
      </x:c>
      <x:c r="C1332" s="60" t="n">
        <x:v>0.05</x:v>
      </x:c>
      <x:c r="D1332" s="60" t="n">
        <x:v>0.05</x:v>
      </x:c>
      <x:c r="E1332" s="62" t="b">
        <x:v>1</x:v>
      </x:c>
      <x:c r="F1332" s="62" t="b">
        <x:v>1</x:v>
      </x:c>
      <x:c r="G1332" s="85" t="n">
        <x:v>0</x:v>
      </x:c>
      <x:c r="H1332" s="85" t="n">
        <x:v>0</x:v>
      </x:c>
      <x:c r="I1332" s="85" t="n">
        <x:v>0</x:v>
      </x:c>
      <x:c r="J1332" s="85" t="n">
        <x:v>0</x:v>
      </x:c>
      <x:c r="K1332" s="85" t="n">
        <x:v>21539253.552166685</x:v>
      </x:c>
      <x:c r="L1332" s="28" t="n">
        <x:v>0</x:v>
      </x:c>
      <x:c r="M1332" s="28" t="n">
        <x:v>0</x:v>
      </x:c>
      <x:c r="N1332" s="28" t="n">
        <x:v>3.725290298461914e-9</x:v>
      </x:c>
      <x:c r="O1332" s="28" t="n">
        <x:v>2.9802322387695312e-8</x:v>
      </x:c>
      <x:c r="P1332" s="28" t="n">
        <x:v>0</x:v>
      </x:c>
      <x:c r="Q1332" s="62" t="b">
        <x:v>1</x:v>
      </x:c>
      <x:c r="R1332" s="28" t="n">
        <x:v>0</x:v>
      </x:c>
      <x:c r="S1332" s="28" t="str">
        <x:v>c48f3e829e588e8b</x:v>
      </x:c>
    </x:row>
    <x:row r="1333" ht="21" customHeight="1">
      <x:c r="A1333" s="60" t="n">
        <x:v>0.65</x:v>
      </x:c>
      <x:c r="B1333" s="28" t="str">
        <x:v>middle_flat</x:v>
      </x:c>
      <x:c r="C1333" s="60" t="n">
        <x:v>0.1</x:v>
      </x:c>
      <x:c r="D1333" s="60" t="n">
        <x:v>0.1</x:v>
      </x:c>
      <x:c r="E1333" s="62" t="b">
        <x:v>1</x:v>
      </x:c>
      <x:c r="F1333" s="62" t="b">
        <x:v>1</x:v>
      </x:c>
      <x:c r="G1333" s="85" t="n">
        <x:v>0</x:v>
      </x:c>
      <x:c r="H1333" s="85" t="n">
        <x:v>0</x:v>
      </x:c>
      <x:c r="I1333" s="85" t="n">
        <x:v>0</x:v>
      </x:c>
      <x:c r="J1333" s="85" t="n">
        <x:v>0</x:v>
      </x:c>
      <x:c r="K1333" s="85" t="n">
        <x:v>9486675.655319382</x:v>
      </x:c>
      <x:c r="L1333" s="28" t="n">
        <x:v>0</x:v>
      </x:c>
      <x:c r="M1333" s="28" t="n">
        <x:v>0</x:v>
      </x:c>
      <x:c r="N1333" s="28" t="n">
        <x:v>3.725290298461914e-9</x:v>
      </x:c>
      <x:c r="O1333" s="28" t="n">
        <x:v>5.960464477539063e-8</x:v>
      </x:c>
      <x:c r="P1333" s="28" t="n">
        <x:v>0</x:v>
      </x:c>
      <x:c r="Q1333" s="62" t="b">
        <x:v>1</x:v>
      </x:c>
      <x:c r="R1333" s="28" t="n">
        <x:v>0</x:v>
      </x:c>
      <x:c r="S1333" s="28" t="str">
        <x:v>8af7e25a59777991</x:v>
      </x:c>
    </x:row>
    <x:row r="1334" ht="21" customHeight="1">
      <x:c r="A1334" s="60" t="n">
        <x:v>0.65</x:v>
      </x:c>
      <x:c r="B1334" s="28" t="str">
        <x:v>middle_flat</x:v>
      </x:c>
      <x:c r="C1334" s="60" t="n">
        <x:v>0.15</x:v>
      </x:c>
      <x:c r="D1334" s="60" t="n">
        <x:v>0.15</x:v>
      </x:c>
      <x:c r="E1334" s="62" t="b">
        <x:v>1</x:v>
      </x:c>
      <x:c r="F1334" s="62" t="b">
        <x:v>1</x:v>
      </x:c>
      <x:c r="G1334" s="85" t="n">
        <x:v>0</x:v>
      </x:c>
      <x:c r="H1334" s="85" t="n">
        <x:v>0</x:v>
      </x:c>
      <x:c r="I1334" s="85" t="n">
        <x:v>2923734.456518804</x:v>
      </x:c>
      <x:c r="J1334" s="85" t="n">
        <x:v>0</x:v>
      </x:c>
      <x:c r="K1334" s="85" t="n">
        <x:v>1246304.0844702884</x:v>
      </x:c>
      <x:c r="L1334" s="28" t="n">
        <x:v>0</x:v>
      </x:c>
      <x:c r="M1334" s="28" t="n">
        <x:v>0</x:v>
      </x:c>
      <x:c r="N1334" s="28" t="n">
        <x:v>3.725290298461914e-9</x:v>
      </x:c>
      <x:c r="O1334" s="28" t="n">
        <x:v>2.9802322387695312e-8</x:v>
      </x:c>
      <x:c r="P1334" s="28" t="n">
        <x:v>0</x:v>
      </x:c>
      <x:c r="Q1334" s="62" t="b">
        <x:v>1</x:v>
      </x:c>
      <x:c r="R1334" s="28" t="n">
        <x:v>0</x:v>
      </x:c>
      <x:c r="S1334" s="28" t="str">
        <x:v>12e916edf8d20436</x:v>
      </x:c>
    </x:row>
    <x:row r="1335" ht="21" customHeight="1">
      <x:c r="A1335" s="60" t="n">
        <x:v>0.65</x:v>
      </x:c>
      <x:c r="B1335" s="28" t="str">
        <x:v>middle_flat</x:v>
      </x:c>
      <x:c r="C1335" s="60" t="n">
        <x:v>0.2</x:v>
      </x:c>
      <x:c r="D1335" s="60" t="n">
        <x:v>0.2</x:v>
      </x:c>
      <x:c r="E1335" s="62" t="b">
        <x:v>1</x:v>
      </x:c>
      <x:c r="F1335" s="62" t="b">
        <x:v>1</x:v>
      </x:c>
      <x:c r="G1335" s="85" t="n">
        <x:v>0</x:v>
      </x:c>
      <x:c r="H1335" s="85" t="n">
        <x:v>0</x:v>
      </x:c>
      <x:c r="I1335" s="85" t="n">
        <x:v>11075118.900928024</x:v>
      </x:c>
      <x:c r="J1335" s="85" t="n">
        <x:v>6318282.052720841</x:v>
      </x:c>
      <x:c r="K1335" s="85" t="n">
        <x:v>928912.6144535344</x:v>
      </x:c>
      <x:c r="L1335" s="28" t="n">
        <x:v>0</x:v>
      </x:c>
      <x:c r="M1335" s="28" t="n">
        <x:v>0</x:v>
      </x:c>
      <x:c r="N1335" s="28" t="n">
        <x:v>1.862645149230957e-9</x:v>
      </x:c>
      <x:c r="O1335" s="28" t="n">
        <x:v>2.9802322387695312e-8</x:v>
      </x:c>
      <x:c r="P1335" s="28" t="n">
        <x:v>0</x:v>
      </x:c>
      <x:c r="Q1335" s="62" t="b">
        <x:v>1</x:v>
      </x:c>
      <x:c r="R1335" s="28" t="n">
        <x:v>0</x:v>
      </x:c>
      <x:c r="S1335" s="28" t="str">
        <x:v>1ef4ed9fb1a67bac</x:v>
      </x:c>
    </x:row>
    <x:row r="1336" ht="21" customHeight="1">
      <x:c r="A1336" s="60" t="n">
        <x:v>0.65</x:v>
      </x:c>
      <x:c r="B1336" s="28" t="str">
        <x:v>middle_flat</x:v>
      </x:c>
      <x:c r="C1336" s="60" t="n">
        <x:v>0.25</x:v>
      </x:c>
      <x:c r="D1336" s="60" t="n">
        <x:v>0.25</x:v>
      </x:c>
      <x:c r="E1336" s="62" t="b">
        <x:v>1</x:v>
      </x:c>
      <x:c r="F1336" s="62" t="b">
        <x:v>1</x:v>
      </x:c>
      <x:c r="G1336" s="85" t="n">
        <x:v>0</x:v>
      </x:c>
      <x:c r="H1336" s="85" t="n">
        <x:v>0</x:v>
      </x:c>
      <x:c r="I1336" s="85" t="n">
        <x:v>17478200.329755913</x:v>
      </x:c>
      <x:c r="J1336" s="85" t="n">
        <x:v>15397852.56590101</x:v>
      </x:c>
      <x:c r="K1336" s="85" t="n">
        <x:v>734770.771298422</x:v>
      </x:c>
      <x:c r="L1336" s="28" t="n">
        <x:v>0</x:v>
      </x:c>
      <x:c r="M1336" s="28" t="n">
        <x:v>0</x:v>
      </x:c>
      <x:c r="N1336" s="28" t="n">
        <x:v>3.725290298461914e-9</x:v>
      </x:c>
      <x:c r="O1336" s="28" t="n">
        <x:v>2.9802322387695312e-8</x:v>
      </x:c>
      <x:c r="P1336" s="28" t="n">
        <x:v>0</x:v>
      </x:c>
      <x:c r="Q1336" s="62" t="b">
        <x:v>1</x:v>
      </x:c>
      <x:c r="R1336" s="28" t="n">
        <x:v>0</x:v>
      </x:c>
      <x:c r="S1336" s="28" t="str">
        <x:v>6bef5444cb9f7aa1</x:v>
      </x:c>
    </x:row>
    <x:row r="1337" ht="21" customHeight="1">
      <x:c r="A1337" s="60" t="n">
        <x:v>0.65</x:v>
      </x:c>
      <x:c r="B1337" s="28" t="str">
        <x:v>middle_flat</x:v>
      </x:c>
      <x:c r="C1337" s="60" t="n">
        <x:v>0.3</x:v>
      </x:c>
      <x:c r="D1337" s="60" t="n">
        <x:v>0.3</x:v>
      </x:c>
      <x:c r="E1337" s="62" t="b">
        <x:v>1</x:v>
      </x:c>
      <x:c r="F1337" s="62" t="b">
        <x:v>1</x:v>
      </x:c>
      <x:c r="G1337" s="85" t="n">
        <x:v>0</x:v>
      </x:c>
      <x:c r="H1337" s="85" t="n">
        <x:v>0</x:v>
      </x:c>
      <x:c r="I1337" s="85" t="n">
        <x:v>23900344.656681437</x:v>
      </x:c>
      <x:c r="J1337" s="85" t="n">
        <x:v>24477423.07908109</x:v>
      </x:c>
      <x:c r="K1337" s="85" t="n">
        <x:v>594916.2147506888</x:v>
      </x:c>
      <x:c r="L1337" s="28" t="n">
        <x:v>0</x:v>
      </x:c>
      <x:c r="M1337" s="28" t="n">
        <x:v>0</x:v>
      </x:c>
      <x:c r="N1337" s="28" t="n">
        <x:v>1.862645149230957e-9</x:v>
      </x:c>
      <x:c r="O1337" s="28" t="n">
        <x:v>2.9802322387695312e-8</x:v>
      </x:c>
      <x:c r="P1337" s="28" t="n">
        <x:v>0</x:v>
      </x:c>
      <x:c r="Q1337" s="62" t="b">
        <x:v>1</x:v>
      </x:c>
      <x:c r="R1337" s="28" t="n">
        <x:v>0</x:v>
      </x:c>
      <x:c r="S1337" s="28" t="str">
        <x:v>989ecf689d479abe</x:v>
      </x:c>
    </x:row>
    <x:row r="1338" ht="21" customHeight="1">
      <x:c r="A1338" s="60" t="n">
        <x:v>0.65</x:v>
      </x:c>
      <x:c r="B1338" s="28" t="str">
        <x:v>middle_flat</x:v>
      </x:c>
      <x:c r="C1338" s="60" t="n">
        <x:v>0.35</x:v>
      </x:c>
      <x:c r="D1338" s="60" t="n">
        <x:v>0.35</x:v>
      </x:c>
      <x:c r="E1338" s="62" t="b">
        <x:v>1</x:v>
      </x:c>
      <x:c r="F1338" s="62" t="b">
        <x:v>1</x:v>
      </x:c>
      <x:c r="G1338" s="85" t="n">
        <x:v>0</x:v>
      </x:c>
      <x:c r="H1338" s="85" t="n">
        <x:v>0</x:v>
      </x:c>
      <x:c r="I1338" s="85" t="n">
        <x:v>30393572.75208726</x:v>
      </x:c>
      <x:c r="J1338" s="85" t="n">
        <x:v>33556993.59226128</x:v>
      </x:c>
      <x:c r="K1338" s="85" t="n">
        <x:v>511113.0005424668</x:v>
      </x:c>
      <x:c r="L1338" s="28" t="n">
        <x:v>0</x:v>
      </x:c>
      <x:c r="M1338" s="28" t="n">
        <x:v>0</x:v>
      </x:c>
      <x:c r="N1338" s="28" t="n">
        <x:v>3.725290298461914e-9</x:v>
      </x:c>
      <x:c r="O1338" s="28" t="n">
        <x:v>2.9802322387695312e-8</x:v>
      </x:c>
      <x:c r="P1338" s="28" t="n">
        <x:v>0</x:v>
      </x:c>
      <x:c r="Q1338" s="62" t="b">
        <x:v>1</x:v>
      </x:c>
      <x:c r="R1338" s="28" t="n">
        <x:v>0</x:v>
      </x:c>
      <x:c r="S1338" s="28" t="str">
        <x:v>6874e80a243ca0e6</x:v>
      </x:c>
    </x:row>
    <x:row r="1339" ht="21" customHeight="1">
      <x:c r="A1339" s="60" t="n">
        <x:v>0.65</x:v>
      </x:c>
      <x:c r="B1339" s="28" t="str">
        <x:v>middle_flat</x:v>
      </x:c>
      <x:c r="C1339" s="60" t="n">
        <x:v>0.4</x:v>
      </x:c>
      <x:c r="D1339" s="60" t="n">
        <x:v>0.4</x:v>
      </x:c>
      <x:c r="E1339" s="62" t="b">
        <x:v>1</x:v>
      </x:c>
      <x:c r="F1339" s="62" t="b">
        <x:v>1</x:v>
      </x:c>
      <x:c r="G1339" s="85" t="n">
        <x:v>0</x:v>
      </x:c>
      <x:c r="H1339" s="85" t="n">
        <x:v>0</x:v>
      </x:c>
      <x:c r="I1339" s="85" t="n">
        <x:v>37893805.81023009</x:v>
      </x:c>
      <x:c r="J1339" s="85" t="n">
        <x:v>40197399.62167535</x:v>
      </x:c>
      <x:c r="K1339" s="85" t="n">
        <x:v>427309.7863342458</x:v>
      </x:c>
      <x:c r="L1339" s="28" t="n">
        <x:v>3</x:v>
      </x:c>
      <x:c r="M1339" s="28" t="n">
        <x:v>0</x:v>
      </x:c>
      <x:c r="N1339" s="28" t="n">
        <x:v>1.862645149230957e-9</x:v>
      </x:c>
      <x:c r="O1339" s="28" t="n">
        <x:v>2.9802322387695312e-8</x:v>
      </x:c>
      <x:c r="P1339" s="28" t="n">
        <x:v>0</x:v>
      </x:c>
      <x:c r="Q1339" s="62" t="b">
        <x:v>1</x:v>
      </x:c>
      <x:c r="R1339" s="28" t="n">
        <x:v>0</x:v>
      </x:c>
      <x:c r="S1339" s="28" t="str">
        <x:v>9f9fec6be209b369</x:v>
      </x:c>
    </x:row>
    <x:row r="1340" ht="21" customHeight="1">
      <x:c r="A1340" s="60" t="n">
        <x:v>0.65</x:v>
      </x:c>
      <x:c r="B1340" s="28" t="str">
        <x:v>middle_flat</x:v>
      </x:c>
      <x:c r="C1340" s="60" t="n">
        <x:v>0.45</x:v>
      </x:c>
      <x:c r="D1340" s="60" t="n">
        <x:v>0.45</x:v>
      </x:c>
      <x:c r="E1340" s="62" t="b">
        <x:v>1</x:v>
      </x:c>
      <x:c r="F1340" s="62" t="b">
        <x:v>1</x:v>
      </x:c>
      <x:c r="G1340" s="85" t="n">
        <x:v>0</x:v>
      </x:c>
      <x:c r="H1340" s="85" t="n">
        <x:v>0</x:v>
      </x:c>
      <x:c r="I1340" s="85" t="n">
        <x:v>45816838.266998164</x:v>
      </x:c>
      <x:c r="J1340" s="85" t="n">
        <x:v>45753196.3309887</x:v>
      </x:c>
      <x:c r="K1340" s="85" t="n">
        <x:v>343506.57212603034</x:v>
      </x:c>
      <x:c r="L1340" s="28" t="n">
        <x:v>8</x:v>
      </x:c>
      <x:c r="M1340" s="28" t="n">
        <x:v>0</x:v>
      </x:c>
      <x:c r="N1340" s="28" t="n">
        <x:v>3.725290298461914e-9</x:v>
      </x:c>
      <x:c r="O1340" s="28" t="n">
        <x:v>2.9802322387695312e-8</x:v>
      </x:c>
      <x:c r="P1340" s="28" t="n">
        <x:v>0</x:v>
      </x:c>
      <x:c r="Q1340" s="62" t="b">
        <x:v>1</x:v>
      </x:c>
      <x:c r="R1340" s="28" t="n">
        <x:v>0</x:v>
      </x:c>
      <x:c r="S1340" s="28" t="str">
        <x:v>9582a77b63bd117a</x:v>
      </x:c>
    </x:row>
    <x:row r="1341" ht="21" customHeight="1">
      <x:c r="A1341" s="60" t="n">
        <x:v>0.65</x:v>
      </x:c>
      <x:c r="B1341" s="28" t="str">
        <x:v>middle_flat</x:v>
      </x:c>
      <x:c r="C1341" s="60" t="n">
        <x:v>0.5</x:v>
      </x:c>
      <x:c r="D1341" s="60" t="n">
        <x:v>0.5</x:v>
      </x:c>
      <x:c r="E1341" s="62" t="b">
        <x:v>1</x:v>
      </x:c>
      <x:c r="F1341" s="62" t="b">
        <x:v>1</x:v>
      </x:c>
      <x:c r="G1341" s="85" t="n">
        <x:v>0</x:v>
      </x:c>
      <x:c r="H1341" s="85" t="n">
        <x:v>0</x:v>
      </x:c>
      <x:c r="I1341" s="85" t="n">
        <x:v>52758071.768150404</x:v>
      </x:c>
      <x:c r="J1341" s="85" t="n">
        <x:v>53775723.815388806</x:v>
      </x:c>
      <x:c r="K1341" s="85" t="n">
        <x:v>289082.4161095924</x:v>
      </x:c>
      <x:c r="L1341" s="28" t="n">
        <x:v>12</x:v>
      </x:c>
      <x:c r="M1341" s="28" t="n">
        <x:v>0</x:v>
      </x:c>
      <x:c r="N1341" s="28" t="n">
        <x:v>3.725290298461914e-9</x:v>
      </x:c>
      <x:c r="O1341" s="28" t="n">
        <x:v>1.4901161193847656e-8</x:v>
      </x:c>
      <x:c r="P1341" s="28" t="n">
        <x:v>0</x:v>
      </x:c>
      <x:c r="Q1341" s="62" t="b">
        <x:v>1</x:v>
      </x:c>
      <x:c r="R1341" s="28" t="n">
        <x:v>0</x:v>
      </x:c>
      <x:c r="S1341" s="28" t="str">
        <x:v>3dc32d8609b3a375</x:v>
      </x:c>
    </x:row>
    <x:row r="1342" ht="21" customHeight="1">
      <x:c r="A1342" s="60" t="n">
        <x:v>0.65</x:v>
      </x:c>
      <x:c r="B1342" s="28" t="str">
        <x:v>middle_flat</x:v>
      </x:c>
      <x:c r="C1342" s="60" t="n">
        <x:v>0.55</x:v>
      </x:c>
      <x:c r="D1342" s="60" t="n">
        <x:v>0.55</x:v>
      </x:c>
      <x:c r="E1342" s="62" t="b">
        <x:v>1</x:v>
      </x:c>
      <x:c r="F1342" s="62" t="b">
        <x:v>1</x:v>
      </x:c>
      <x:c r="G1342" s="85" t="n">
        <x:v>0</x:v>
      </x:c>
      <x:c r="H1342" s="85" t="n">
        <x:v>0</x:v>
      </x:c>
      <x:c r="I1342" s="85" t="n">
        <x:v>59117288.2785142</x:v>
      </x:c>
      <x:c r="J1342" s="85" t="n">
        <x:v>62922962.85475884</x:v>
      </x:c>
      <x:c r="K1342" s="85" t="n">
        <x:v>263555.0068986288</x:v>
      </x:c>
      <x:c r="L1342" s="28" t="n">
        <x:v>15</x:v>
      </x:c>
      <x:c r="M1342" s="28" t="n">
        <x:v>1</x:v>
      </x:c>
      <x:c r="N1342" s="28" t="n">
        <x:v>1.862645149230957e-9</x:v>
      </x:c>
      <x:c r="O1342" s="28" t="n">
        <x:v>2.9802322387695312e-8</x:v>
      </x:c>
      <x:c r="P1342" s="28" t="n">
        <x:v>0</x:v>
      </x:c>
      <x:c r="Q1342" s="62" t="b">
        <x:v>1</x:v>
      </x:c>
      <x:c r="R1342" s="28" t="n">
        <x:v>0</x:v>
      </x:c>
      <x:c r="S1342" s="28" t="str">
        <x:v>e65cb707e6c3ff53</x:v>
      </x:c>
    </x:row>
    <x:row r="1343" ht="21" customHeight="1">
      <x:c r="A1343" s="60" t="n">
        <x:v>0.65</x:v>
      </x:c>
      <x:c r="B1343" s="28" t="str">
        <x:v>middle_flat</x:v>
      </x:c>
      <x:c r="C1343" s="60" t="n">
        <x:v>0.6</x:v>
      </x:c>
      <x:c r="D1343" s="60" t="n">
        <x:v>0.6</x:v>
      </x:c>
      <x:c r="E1343" s="62" t="b">
        <x:v>1</x:v>
      </x:c>
      <x:c r="F1343" s="62" t="b">
        <x:v>1</x:v>
      </x:c>
      <x:c r="G1343" s="85" t="n">
        <x:v>0</x:v>
      </x:c>
      <x:c r="H1343" s="85" t="n">
        <x:v>0</x:v>
      </x:c>
      <x:c r="I1343" s="85" t="n">
        <x:v>65224358.02159713</x:v>
      </x:c>
      <x:c r="J1343" s="85" t="n">
        <x:v>72324883.98498423</x:v>
      </x:c>
      <x:c r="K1343" s="85" t="n">
        <x:v>238027.5976876727</x:v>
      </x:c>
      <x:c r="L1343" s="28" t="n">
        <x:v>21</x:v>
      </x:c>
      <x:c r="M1343" s="28" t="n">
        <x:v>11</x:v>
      </x:c>
      <x:c r="N1343" s="28" t="n">
        <x:v>1.862645149230957e-9</x:v>
      </x:c>
      <x:c r="O1343" s="28" t="n">
        <x:v>2.9802322387695312e-8</x:v>
      </x:c>
      <x:c r="P1343" s="28" t="n">
        <x:v>0</x:v>
      </x:c>
      <x:c r="Q1343" s="62" t="b">
        <x:v>1</x:v>
      </x:c>
      <x:c r="R1343" s="28" t="n">
        <x:v>0</x:v>
      </x:c>
      <x:c r="S1343" s="28" t="str">
        <x:v>9015c70308c95431</x:v>
      </x:c>
    </x:row>
    <x:row r="1344" ht="21" customHeight="1">
      <x:c r="A1344" s="60" t="n">
        <x:v>0.65</x:v>
      </x:c>
      <x:c r="B1344" s="28" t="str">
        <x:v>middle_flat</x:v>
      </x:c>
      <x:c r="C1344" s="60" t="n">
        <x:v>0.65</x:v>
      </x:c>
      <x:c r="D1344" s="60" t="n">
        <x:v>0.65</x:v>
      </x:c>
      <x:c r="E1344" s="62" t="b">
        <x:v>1</x:v>
      </x:c>
      <x:c r="F1344" s="62" t="b">
        <x:v>0</x:v>
      </x:c>
      <x:c r="G1344" s="85" t="n">
        <x:v>1519081.334597719</x:v>
      </x:c>
      <x:c r="H1344" s="85" t="n">
        <x:v>9896338.563970815</x:v>
      </x:c>
      <x:c r="I1344" s="85" t="n">
        <x:v>66421085.86371608</x:v>
      </x:c>
      <x:c r="J1344" s="85" t="n">
        <x:v>74999999.99999999</x:v>
      </x:c>
      <x:c r="K1344" s="85" t="n">
        <x:v>212500.18847670866</x:v>
      </x:c>
      <x:c r="L1344" s="28" t="n">
        <x:v>41</x:v>
      </x:c>
      <x:c r="M1344" s="28" t="n">
        <x:v>34</x:v>
      </x:c>
      <x:c r="N1344" s="28" t="n">
        <x:v>1.862645149230957e-9</x:v>
      </x:c>
      <x:c r="O1344" s="28" t="n">
        <x:v>2.9802322387695312e-8</x:v>
      </x:c>
      <x:c r="P1344" s="28" t="n">
        <x:v>0</x:v>
      </x:c>
      <x:c r="Q1344" s="62" t="b">
        <x:v>1</x:v>
      </x:c>
      <x:c r="R1344" s="28" t="n">
        <x:v>0</x:v>
      </x:c>
      <x:c r="S1344" s="28" t="str">
        <x:v>ad4dce434b6a9970</x:v>
      </x:c>
    </x:row>
    <x:row r="1345" ht="21" customHeight="1">
      <x:c r="A1345" s="60" t="n">
        <x:v>0.65</x:v>
      </x:c>
      <x:c r="B1345" s="28" t="str">
        <x:v>middle_flat</x:v>
      </x:c>
      <x:c r="C1345" s="60" t="n">
        <x:v>0.7</x:v>
      </x:c>
      <x:c r="D1345" s="60" t="n">
        <x:v>0.7</x:v>
      </x:c>
      <x:c r="E1345" s="62" t="b">
        <x:v>1</x:v>
      </x:c>
      <x:c r="F1345" s="62" t="b">
        <x:v>0</x:v>
      </x:c>
      <x:c r="G1345" s="85" t="n">
        <x:v>3662108.0578611055</x:v>
      </x:c>
      <x:c r="H1345" s="85" t="n">
        <x:v>20826561.490456205</x:v>
      </x:c>
      <x:c r="I1345" s="85" t="n">
        <x:v>67683717.11497262</x:v>
      </x:c>
      <x:c r="J1345" s="85" t="n">
        <x:v>74999999.99999999</x:v>
      </x:c>
      <x:c r="K1345" s="85" t="n">
        <x:v>186972.7792657544</x:v>
      </x:c>
      <x:c r="L1345" s="28" t="n">
        <x:v>42</x:v>
      </x:c>
      <x:c r="M1345" s="28" t="n">
        <x:v>36</x:v>
      </x:c>
      <x:c r="N1345" s="28" t="n">
        <x:v>1.862645149230957e-9</x:v>
      </x:c>
      <x:c r="O1345" s="28" t="n">
        <x:v>1.4901161193847656e-8</x:v>
      </x:c>
      <x:c r="P1345" s="28" t="n">
        <x:v>0</x:v>
      </x:c>
      <x:c r="Q1345" s="62" t="b">
        <x:v>1</x:v>
      </x:c>
      <x:c r="R1345" s="28" t="n">
        <x:v>0</x:v>
      </x:c>
      <x:c r="S1345" s="28" t="str">
        <x:v>91833cb3b75c7516</x:v>
      </x:c>
    </x:row>
    <x:row r="1346" ht="21" customHeight="1">
      <x:c r="A1346" s="60" t="n">
        <x:v>0.65</x:v>
      </x:c>
      <x:c r="B1346" s="28" t="str">
        <x:v>middle_flat</x:v>
      </x:c>
      <x:c r="C1346" s="60" t="n">
        <x:v>0.75</x:v>
      </x:c>
      <x:c r="D1346" s="60" t="n">
        <x:v>0.75</x:v>
      </x:c>
      <x:c r="E1346" s="62" t="b">
        <x:v>1</x:v>
      </x:c>
      <x:c r="F1346" s="62" t="b">
        <x:v>0</x:v>
      </x:c>
      <x:c r="G1346" s="85" t="n">
        <x:v>5974673.334529811</x:v>
      </x:c>
      <x:c r="H1346" s="85" t="n">
        <x:v>33061079.760539796</x:v>
      </x:c>
      <x:c r="I1346" s="85" t="n">
        <x:v>67843507.31848827</x:v>
      </x:c>
      <x:c r="J1346" s="85" t="n">
        <x:v>74999999.99999999</x:v>
      </x:c>
      <x:c r="K1346" s="85" t="n">
        <x:v>161445.370054795</x:v>
      </x:c>
      <x:c r="L1346" s="28" t="n">
        <x:v>42</x:v>
      </x:c>
      <x:c r="M1346" s="28" t="n">
        <x:v>37</x:v>
      </x:c>
      <x:c r="N1346" s="28" t="n">
        <x:v>1.862645149230957e-9</x:v>
      </x:c>
      <x:c r="O1346" s="28" t="n">
        <x:v>2.9802322387695312e-8</x:v>
      </x:c>
      <x:c r="P1346" s="28" t="n">
        <x:v>0</x:v>
      </x:c>
      <x:c r="Q1346" s="62" t="b">
        <x:v>1</x:v>
      </x:c>
      <x:c r="R1346" s="28" t="n">
        <x:v>0</x:v>
      </x:c>
      <x:c r="S1346" s="28" t="str">
        <x:v>1a2053a627e37294</x:v>
      </x:c>
    </x:row>
    <x:row r="1347" ht="21" customHeight="1">
      <x:c r="A1347" s="60" t="n">
        <x:v>0.65</x:v>
      </x:c>
      <x:c r="B1347" s="28" t="str">
        <x:v>middle_flat</x:v>
      </x:c>
      <x:c r="C1347" s="60" t="n">
        <x:v>0.8</x:v>
      </x:c>
      <x:c r="D1347" s="60" t="n">
        <x:v>0.8</x:v>
      </x:c>
      <x:c r="E1347" s="62" t="b">
        <x:v>1</x:v>
      </x:c>
      <x:c r="F1347" s="62" t="b">
        <x:v>0</x:v>
      </x:c>
      <x:c r="G1347" s="85" t="n">
        <x:v>8397259.915624661</x:v>
      </x:c>
      <x:c r="H1347" s="85" t="n">
        <x:v>43374666.98627684</x:v>
      </x:c>
      <x:c r="I1347" s="85" t="n">
        <x:v>69148257.68209864</x:v>
      </x:c>
      <x:c r="J1347" s="85" t="n">
        <x:v>74999999.99999999</x:v>
      </x:c>
      <x:c r="K1347" s="85" t="n">
        <x:v>135917.9608438305</x:v>
      </x:c>
      <x:c r="L1347" s="28" t="n">
        <x:v>43</x:v>
      </x:c>
      <x:c r="M1347" s="28" t="n">
        <x:v>38</x:v>
      </x:c>
      <x:c r="N1347" s="28" t="n">
        <x:v>1.862645149230957e-9</x:v>
      </x:c>
      <x:c r="O1347" s="28" t="n">
        <x:v>1.4901161193847656e-8</x:v>
      </x:c>
      <x:c r="P1347" s="28" t="n">
        <x:v>0</x:v>
      </x:c>
      <x:c r="Q1347" s="62" t="b">
        <x:v>1</x:v>
      </x:c>
      <x:c r="R1347" s="28" t="n">
        <x:v>0</x:v>
      </x:c>
      <x:c r="S1347" s="28" t="str">
        <x:v>1c5af14e32e62484</x:v>
      </x:c>
    </x:row>
    <x:row r="1348" ht="21" customHeight="1">
      <x:c r="A1348" s="60" t="n">
        <x:v>0.65</x:v>
      </x:c>
      <x:c r="B1348" s="28" t="str">
        <x:v>middle_flat</x:v>
      </x:c>
      <x:c r="C1348" s="60" t="n">
        <x:v>0.85</x:v>
      </x:c>
      <x:c r="D1348" s="60" t="n">
        <x:v>0.85</x:v>
      </x:c>
      <x:c r="E1348" s="62" t="b">
        <x:v>1</x:v>
      </x:c>
      <x:c r="F1348" s="62" t="b">
        <x:v>0</x:v>
      </x:c>
      <x:c r="G1348" s="85" t="n">
        <x:v>10901729.53638076</x:v>
      </x:c>
      <x:c r="H1348" s="85" t="n">
        <x:v>55219861.443569385</x:v>
      </x:c>
      <x:c r="I1348" s="85" t="n">
        <x:v>69252534.3737024</x:v>
      </x:c>
      <x:c r="J1348" s="85" t="n">
        <x:v>74999999.99999999</x:v>
      </x:c>
      <x:c r="K1348" s="85" t="n">
        <x:v>110390.55163287483</x:v>
      </x:c>
      <x:c r="L1348" s="28" t="n">
        <x:v>43</x:v>
      </x:c>
      <x:c r="M1348" s="28" t="n">
        <x:v>38</x:v>
      </x:c>
      <x:c r="N1348" s="28" t="n">
        <x:v>1.862645149230957e-9</x:v>
      </x:c>
      <x:c r="O1348" s="28" t="n">
        <x:v>2.9802322387695312e-8</x:v>
      </x:c>
      <x:c r="P1348" s="28" t="n">
        <x:v>0</x:v>
      </x:c>
      <x:c r="Q1348" s="62" t="b">
        <x:v>1</x:v>
      </x:c>
      <x:c r="R1348" s="28" t="n">
        <x:v>0</x:v>
      </x:c>
      <x:c r="S1348" s="28" t="str">
        <x:v>66c448e0f2fbe4be</x:v>
      </x:c>
    </x:row>
    <x:row r="1349" ht="21" customHeight="1">
      <x:c r="A1349" s="60" t="n">
        <x:v>0.65</x:v>
      </x:c>
      <x:c r="B1349" s="28" t="str">
        <x:v>middle_flat</x:v>
      </x:c>
      <x:c r="C1349" s="60" t="n">
        <x:v>0.9</x:v>
      </x:c>
      <x:c r="D1349" s="60" t="n">
        <x:v>0.9</x:v>
      </x:c>
      <x:c r="E1349" s="62" t="b">
        <x:v>1</x:v>
      </x:c>
      <x:c r="F1349" s="62" t="b">
        <x:v>0</x:v>
      </x:c>
      <x:c r="G1349" s="85" t="n">
        <x:v>16285762.658873335</x:v>
      </x:c>
      <x:c r="H1349" s="85" t="n">
        <x:v>65298216.15631961</x:v>
      </x:c>
      <x:c r="I1349" s="85" t="n">
        <x:v>69356811.06530617</x:v>
      </x:c>
      <x:c r="J1349" s="85" t="n">
        <x:v>74999999.99999999</x:v>
      </x:c>
      <x:c r="K1349" s="85" t="n">
        <x:v>84863.1424219201</x:v>
      </x:c>
      <x:c r="L1349" s="28" t="n">
        <x:v>43</x:v>
      </x:c>
      <x:c r="M1349" s="28" t="n">
        <x:v>39</x:v>
      </x:c>
      <x:c r="N1349" s="28" t="n">
        <x:v>1.862645149230957e-9</x:v>
      </x:c>
      <x:c r="O1349" s="28" t="n">
        <x:v>2.9802322387695312e-8</x:v>
      </x:c>
      <x:c r="P1349" s="28" t="n">
        <x:v>0</x:v>
      </x:c>
      <x:c r="Q1349" s="62" t="b">
        <x:v>1</x:v>
      </x:c>
      <x:c r="R1349" s="28" t="n">
        <x:v>0</x:v>
      </x:c>
      <x:c r="S1349" s="28" t="str">
        <x:v>27639fce131f70f5</x:v>
      </x:c>
    </x:row>
    <x:row r="1350" ht="21" customHeight="1">
      <x:c r="A1350" s="60" t="n">
        <x:v>0.65</x:v>
      </x:c>
      <x:c r="B1350" s="28" t="str">
        <x:v>middle_flat</x:v>
      </x:c>
      <x:c r="C1350" s="60" t="n">
        <x:v>0.95</x:v>
      </x:c>
      <x:c r="D1350" s="60" t="n">
        <x:v>0.9361238209331334</x:v>
      </x:c>
      <x:c r="E1350" s="62" t="b">
        <x:v>0</x:v>
      </x:c>
      <x:c r="F1350" s="62" t="b">
        <x:v>0</x:v>
      </x:c>
      <x:c r="G1350" s="85" t="n">
        <x:v>18486580.91190884</x:v>
      </x:c>
      <x:c r="H1350" s="85" t="n">
        <x:v>69992967.43752049</x:v>
      </x:c>
      <x:c r="I1350" s="85" t="n">
        <x:v>70525959.93330412</x:v>
      </x:c>
      <x:c r="J1350" s="85" t="n">
        <x:v>74999999.99999999</x:v>
      </x:c>
      <x:c r="K1350" s="85" t="n">
        <x:v>59335.73321095978</x:v>
      </x:c>
      <x:c r="L1350" s="28" t="n">
        <x:v>44</x:v>
      </x:c>
      <x:c r="M1350" s="28" t="n">
        <x:v>40</x:v>
      </x:c>
      <x:c r="N1350" s="28" t="n">
        <x:v>1.862645149230957e-9</x:v>
      </x:c>
      <x:c r="O1350" s="28" t="n">
        <x:v>1.4901161193847656e-8</x:v>
      </x:c>
      <x:c r="P1350" s="28" t="n">
        <x:v>0</x:v>
      </x:c>
      <x:c r="Q1350" s="62" t="b">
        <x:v>1</x:v>
      </x:c>
      <x:c r="R1350" s="28" t="n">
        <x:v>4162853.720059991</x:v>
      </x:c>
      <x:c r="S1350" s="28" t="str">
        <x:v>d10823c7c9b1de80</x:v>
      </x:c>
    </x:row>
    <x:row r="1351" ht="21" customHeight="1">
      <x:c r="A1351" s="60" t="n">
        <x:v>0.65</x:v>
      </x:c>
      <x:c r="B1351" s="28" t="str">
        <x:v>middle_flat</x:v>
      </x:c>
      <x:c r="C1351" s="60" t="n">
        <x:v>1</x:v>
      </x:c>
      <x:c r="D1351" s="60" t="n">
        <x:v>0.9498342654879072</x:v>
      </x:c>
      <x:c r="E1351" s="62" t="b">
        <x:v>0</x:v>
      </x:c>
      <x:c r="F1351" s="62" t="b">
        <x:v>0</x:v>
      </x:c>
      <x:c r="G1351" s="85" t="n">
        <x:v>20162968.204167992</x:v>
      </x:c>
      <x:c r="H1351" s="85" t="n">
        <x:v>73263682.10211162</x:v>
      </x:c>
      <x:c r="I1351" s="85" t="n">
        <x:v>70585369.98487672</x:v>
      </x:c>
      <x:c r="J1351" s="85" t="n">
        <x:v>74999999.99999999</x:v>
      </x:c>
      <x:c r="K1351" s="85" t="n">
        <x:v>42560.40328767363</x:v>
      </x:c>
      <x:c r="L1351" s="28" t="n">
        <x:v>44</x:v>
      </x:c>
      <x:c r="M1351" s="28" t="n">
        <x:v>40</x:v>
      </x:c>
      <x:c r="N1351" s="28" t="n">
        <x:v>1.862645149230957e-9</x:v>
      </x:c>
      <x:c r="O1351" s="28" t="n">
        <x:v>1.4901161193847656e-8</x:v>
      </x:c>
      <x:c r="P1351" s="28" t="n">
        <x:v>0</x:v>
      </x:c>
      <x:c r="Q1351" s="62" t="b">
        <x:v>1</x:v>
      </x:c>
      <x:c r="R1351" s="28" t="n">
        <x:v>15049720.35362786</x:v>
      </x:c>
      <x:c r="S1351" s="28" t="str">
        <x:v>9f4c098cf0f9c7fb</x:v>
      </x:c>
    </x:row>
    <x:row r="1352" ht="21" customHeight="1">
      <x:c r="A1352" s="60" t="n">
        <x:v>0.65</x:v>
      </x:c>
      <x:c r="B1352" s="28" t="str">
        <x:v>middle_low</x:v>
      </x:c>
      <x:c r="C1352" s="60" t="n">
        <x:v>0</x:v>
      </x:c>
      <x:c r="D1352" s="60" t="n">
        <x:v>0</x:v>
      </x:c>
      <x:c r="E1352" s="62" t="b">
        <x:v>1</x:v>
      </x:c>
      <x:c r="F1352" s="62" t="b">
        <x:v>1</x:v>
      </x:c>
      <x:c r="G1352" s="85" t="n">
        <x:v>0</x:v>
      </x:c>
      <x:c r="H1352" s="85" t="n">
        <x:v>0</x:v>
      </x:c>
      <x:c r="I1352" s="85" t="n">
        <x:v>0</x:v>
      </x:c>
      <x:c r="J1352" s="85" t="n">
        <x:v>0</x:v>
      </x:c>
      <x:c r="K1352" s="85" t="n">
        <x:v>29480168.121232886</x:v>
      </x:c>
      <x:c r="L1352" s="28" t="n">
        <x:v>0</x:v>
      </x:c>
      <x:c r="M1352" s="28" t="n">
        <x:v>0</x:v>
      </x:c>
      <x:c r="N1352" s="28" t="n">
        <x:v>9.313225746154785e-10</x:v>
      </x:c>
      <x:c r="O1352" s="28" t="n">
        <x:v>0</x:v>
      </x:c>
      <x:c r="P1352" s="28" t="n">
        <x:v>0</x:v>
      </x:c>
      <x:c r="Q1352" s="62" t="b">
        <x:v>1</x:v>
      </x:c>
      <x:c r="R1352" s="28" t="n">
        <x:v>0</x:v>
      </x:c>
      <x:c r="S1352" s="28" t="str">
        <x:v>c90e62642e49eb8e</x:v>
      </x:c>
    </x:row>
    <x:row r="1353" ht="21" customHeight="1">
      <x:c r="A1353" s="60" t="n">
        <x:v>0.65</x:v>
      </x:c>
      <x:c r="B1353" s="28" t="str">
        <x:v>middle_low</x:v>
      </x:c>
      <x:c r="C1353" s="60" t="n">
        <x:v>0.05</x:v>
      </x:c>
      <x:c r="D1353" s="60" t="n">
        <x:v>0.05</x:v>
      </x:c>
      <x:c r="E1353" s="62" t="b">
        <x:v>1</x:v>
      </x:c>
      <x:c r="F1353" s="62" t="b">
        <x:v>1</x:v>
      </x:c>
      <x:c r="G1353" s="85" t="n">
        <x:v>0</x:v>
      </x:c>
      <x:c r="H1353" s="85" t="n">
        <x:v>0</x:v>
      </x:c>
      <x:c r="I1353" s="85" t="n">
        <x:v>0</x:v>
      </x:c>
      <x:c r="J1353" s="85" t="n">
        <x:v>0</x:v>
      </x:c>
      <x:c r="K1353" s="85" t="n">
        <x:v>18751446.515940554</x:v>
      </x:c>
      <x:c r="L1353" s="28" t="n">
        <x:v>0</x:v>
      </x:c>
      <x:c r="M1353" s="28" t="n">
        <x:v>0</x:v>
      </x:c>
      <x:c r="N1353" s="28" t="n">
        <x:v>3.725290298461914e-9</x:v>
      </x:c>
      <x:c r="O1353" s="28" t="n">
        <x:v>2.9802322387695312e-8</x:v>
      </x:c>
      <x:c r="P1353" s="28" t="n">
        <x:v>0</x:v>
      </x:c>
      <x:c r="Q1353" s="62" t="b">
        <x:v>1</x:v>
      </x:c>
      <x:c r="R1353" s="28" t="n">
        <x:v>0</x:v>
      </x:c>
      <x:c r="S1353" s="28" t="str">
        <x:v>2f07d2255861f2ea</x:v>
      </x:c>
    </x:row>
    <x:row r="1354" ht="21" customHeight="1">
      <x:c r="A1354" s="60" t="n">
        <x:v>0.65</x:v>
      </x:c>
      <x:c r="B1354" s="28" t="str">
        <x:v>middle_low</x:v>
      </x:c>
      <x:c r="C1354" s="60" t="n">
        <x:v>0.1</x:v>
      </x:c>
      <x:c r="D1354" s="60" t="n">
        <x:v>0.1</x:v>
      </x:c>
      <x:c r="E1354" s="62" t="b">
        <x:v>1</x:v>
      </x:c>
      <x:c r="F1354" s="62" t="b">
        <x:v>1</x:v>
      </x:c>
      <x:c r="G1354" s="85" t="n">
        <x:v>0</x:v>
      </x:c>
      <x:c r="H1354" s="85" t="n">
        <x:v>0</x:v>
      </x:c>
      <x:c r="I1354" s="85" t="n">
        <x:v>0</x:v>
      </x:c>
      <x:c r="J1354" s="85" t="n">
        <x:v>0</x:v>
      </x:c>
      <x:c r="K1354" s="85" t="n">
        <x:v>7938840.115212134</x:v>
      </x:c>
      <x:c r="L1354" s="28" t="n">
        <x:v>0</x:v>
      </x:c>
      <x:c r="M1354" s="28" t="n">
        <x:v>0</x:v>
      </x:c>
      <x:c r="N1354" s="28" t="n">
        <x:v>3.725290298461914e-9</x:v>
      </x:c>
      <x:c r="O1354" s="28" t="n">
        <x:v>5.960464477539063e-8</x:v>
      </x:c>
      <x:c r="P1354" s="28" t="n">
        <x:v>0</x:v>
      </x:c>
      <x:c r="Q1354" s="62" t="b">
        <x:v>1</x:v>
      </x:c>
      <x:c r="R1354" s="28" t="n">
        <x:v>0</x:v>
      </x:c>
      <x:c r="S1354" s="28" t="str">
        <x:v>2607c3ba714f4f18</x:v>
      </x:c>
    </x:row>
    <x:row r="1355" ht="21" customHeight="1">
      <x:c r="A1355" s="60" t="n">
        <x:v>0.65</x:v>
      </x:c>
      <x:c r="B1355" s="28" t="str">
        <x:v>middle_low</x:v>
      </x:c>
      <x:c r="C1355" s="60" t="n">
        <x:v>0.15</x:v>
      </x:c>
      <x:c r="D1355" s="60" t="n">
        <x:v>0.15</x:v>
      </x:c>
      <x:c r="E1355" s="62" t="b">
        <x:v>1</x:v>
      </x:c>
      <x:c r="F1355" s="62" t="b">
        <x:v>1</x:v>
      </x:c>
      <x:c r="G1355" s="85" t="n">
        <x:v>0</x:v>
      </x:c>
      <x:c r="H1355" s="85" t="n">
        <x:v>0</x:v>
      </x:c>
      <x:c r="I1355" s="85" t="n">
        <x:v>2307363.6249232627</x:v>
      </x:c>
      <x:c r="J1355" s="85" t="n">
        <x:v>0</x:v>
      </x:c>
      <x:c r="K1355" s="85" t="n">
        <x:v>455610.64060248</x:v>
      </x:c>
      <x:c r="L1355" s="28" t="n">
        <x:v>0</x:v>
      </x:c>
      <x:c r="M1355" s="28" t="n">
        <x:v>0</x:v>
      </x:c>
      <x:c r="N1355" s="28" t="n">
        <x:v>1.862645149230957e-9</x:v>
      </x:c>
      <x:c r="O1355" s="28" t="n">
        <x:v>2.9802322387695312e-8</x:v>
      </x:c>
      <x:c r="P1355" s="28" t="n">
        <x:v>0</x:v>
      </x:c>
      <x:c r="Q1355" s="62" t="b">
        <x:v>1</x:v>
      </x:c>
      <x:c r="R1355" s="28" t="n">
        <x:v>0</x:v>
      </x:c>
      <x:c r="S1355" s="28" t="str">
        <x:v>41c7d6932eed5aee</x:v>
      </x:c>
    </x:row>
    <x:row r="1356" ht="21" customHeight="1">
      <x:c r="A1356" s="60" t="n">
        <x:v>0.65</x:v>
      </x:c>
      <x:c r="B1356" s="28" t="str">
        <x:v>middle_low</x:v>
      </x:c>
      <x:c r="C1356" s="60" t="n">
        <x:v>0.2</x:v>
      </x:c>
      <x:c r="D1356" s="60" t="n">
        <x:v>0.2</x:v>
      </x:c>
      <x:c r="E1356" s="62" t="b">
        <x:v>1</x:v>
      </x:c>
      <x:c r="F1356" s="62" t="b">
        <x:v>1</x:v>
      </x:c>
      <x:c r="G1356" s="85" t="n">
        <x:v>0</x:v>
      </x:c>
      <x:c r="H1356" s="85" t="n">
        <x:v>0</x:v>
      </x:c>
      <x:c r="I1356" s="85" t="n">
        <x:v>8597092.8889721</x:v>
      </x:c>
      <x:c r="J1356" s="85" t="n">
        <x:v>6318282.052720841</x:v>
      </x:c>
      <x:c r="K1356" s="85" t="n">
        <x:v>333089.4358086027</x:v>
      </x:c>
      <x:c r="L1356" s="28" t="n">
        <x:v>0</x:v>
      </x:c>
      <x:c r="M1356" s="28" t="n">
        <x:v>0</x:v>
      </x:c>
      <x:c r="N1356" s="28" t="n">
        <x:v>1.862645149230957e-9</x:v>
      </x:c>
      <x:c r="O1356" s="28" t="n">
        <x:v>2.9802322387695312e-8</x:v>
      </x:c>
      <x:c r="P1356" s="28" t="n">
        <x:v>0</x:v>
      </x:c>
      <x:c r="Q1356" s="62" t="b">
        <x:v>1</x:v>
      </x:c>
      <x:c r="R1356" s="28" t="n">
        <x:v>0</x:v>
      </x:c>
      <x:c r="S1356" s="28" t="str">
        <x:v>b09855adcba314f0</x:v>
      </x:c>
    </x:row>
    <x:row r="1357" ht="21" customHeight="1">
      <x:c r="A1357" s="60" t="n">
        <x:v>0.65</x:v>
      </x:c>
      <x:c r="B1357" s="28" t="str">
        <x:v>middle_low</x:v>
      </x:c>
      <x:c r="C1357" s="60" t="n">
        <x:v>0.25</x:v>
      </x:c>
      <x:c r="D1357" s="60" t="n">
        <x:v>0.25</x:v>
      </x:c>
      <x:c r="E1357" s="62" t="b">
        <x:v>1</x:v>
      </x:c>
      <x:c r="F1357" s="62" t="b">
        <x:v>1</x:v>
      </x:c>
      <x:c r="G1357" s="85" t="n">
        <x:v>0</x:v>
      </x:c>
      <x:c r="H1357" s="85" t="n">
        <x:v>0</x:v>
      </x:c>
      <x:c r="I1357" s="85" t="n">
        <x:v>12796019.388027532</x:v>
      </x:c>
      <x:c r="J1357" s="85" t="n">
        <x:v>15397852.56590101</x:v>
      </x:c>
      <x:c r="K1357" s="85" t="n">
        <x:v>258679.91553424852</x:v>
      </x:c>
      <x:c r="L1357" s="28" t="n">
        <x:v>0</x:v>
      </x:c>
      <x:c r="M1357" s="28" t="n">
        <x:v>0</x:v>
      </x:c>
      <x:c r="N1357" s="28" t="n">
        <x:v>9.313225746154785e-10</x:v>
      </x:c>
      <x:c r="O1357" s="28" t="n">
        <x:v>2.9802322387695312e-8</x:v>
      </x:c>
      <x:c r="P1357" s="28" t="n">
        <x:v>0</x:v>
      </x:c>
      <x:c r="Q1357" s="62" t="b">
        <x:v>1</x:v>
      </x:c>
      <x:c r="R1357" s="28" t="n">
        <x:v>0</x:v>
      </x:c>
      <x:c r="S1357" s="28" t="str">
        <x:v>c451b7c06eebd53e</x:v>
      </x:c>
    </x:row>
    <x:row r="1358" ht="21" customHeight="1">
      <x:c r="A1358" s="60" t="n">
        <x:v>0.65</x:v>
      </x:c>
      <x:c r="B1358" s="28" t="str">
        <x:v>middle_low</x:v>
      </x:c>
      <x:c r="C1358" s="60" t="n">
        <x:v>0.3</x:v>
      </x:c>
      <x:c r="D1358" s="60" t="n">
        <x:v>0.3</x:v>
      </x:c>
      <x:c r="E1358" s="62" t="b">
        <x:v>1</x:v>
      </x:c>
      <x:c r="F1358" s="62" t="b">
        <x:v>1</x:v>
      </x:c>
      <x:c r="G1358" s="85" t="n">
        <x:v>0</x:v>
      </x:c>
      <x:c r="H1358" s="85" t="n">
        <x:v>0</x:v>
      </x:c>
      <x:c r="I1358" s="85" t="n">
        <x:v>16981267.21633346</x:v>
      </x:c>
      <x:c r="J1358" s="85" t="n">
        <x:v>24477423.07908109</x:v>
      </x:c>
      <x:c r="K1358" s="85" t="n">
        <x:v>211790.79864110006</x:v>
      </x:c>
      <x:c r="L1358" s="28" t="n">
        <x:v>0</x:v>
      </x:c>
      <x:c r="M1358" s="28" t="n">
        <x:v>0</x:v>
      </x:c>
      <x:c r="N1358" s="28" t="n">
        <x:v>1.862645149230957e-9</x:v>
      </x:c>
      <x:c r="O1358" s="28" t="n">
        <x:v>2.9802322387695312e-8</x:v>
      </x:c>
      <x:c r="P1358" s="28" t="n">
        <x:v>0</x:v>
      </x:c>
      <x:c r="Q1358" s="62" t="b">
        <x:v>1</x:v>
      </x:c>
      <x:c r="R1358" s="28" t="n">
        <x:v>0</x:v>
      </x:c>
      <x:c r="S1358" s="28" t="str">
        <x:v>8f0ec8ac458f760b</x:v>
      </x:c>
    </x:row>
    <x:row r="1359" ht="21" customHeight="1">
      <x:c r="A1359" s="60" t="n">
        <x:v>0.65</x:v>
      </x:c>
      <x:c r="B1359" s="28" t="str">
        <x:v>middle_low</x:v>
      </x:c>
      <x:c r="C1359" s="60" t="n">
        <x:v>0.35</x:v>
      </x:c>
      <x:c r="D1359" s="60" t="n">
        <x:v>0.35</x:v>
      </x:c>
      <x:c r="E1359" s="62" t="b">
        <x:v>1</x:v>
      </x:c>
      <x:c r="F1359" s="62" t="b">
        <x:v>1</x:v>
      </x:c>
      <x:c r="G1359" s="85" t="n">
        <x:v>0</x:v>
      </x:c>
      <x:c r="H1359" s="85" t="n">
        <x:v>0</x:v>
      </x:c>
      <x:c r="I1359" s="85" t="n">
        <x:v>21230189.544284012</x:v>
      </x:c>
      <x:c r="J1359" s="85" t="n">
        <x:v>33556993.59226128</x:v>
      </x:c>
      <x:c r="K1359" s="85" t="n">
        <x:v>164901.68174794738</x:v>
      </x:c>
      <x:c r="L1359" s="28" t="n">
        <x:v>0</x:v>
      </x:c>
      <x:c r="M1359" s="28" t="n">
        <x:v>0</x:v>
      </x:c>
      <x:c r="N1359" s="28" t="n">
        <x:v>3.725290298461914e-9</x:v>
      </x:c>
      <x:c r="O1359" s="28" t="n">
        <x:v>2.9802322387695312e-8</x:v>
      </x:c>
      <x:c r="P1359" s="28" t="n">
        <x:v>0</x:v>
      </x:c>
      <x:c r="Q1359" s="62" t="b">
        <x:v>1</x:v>
      </x:c>
      <x:c r="R1359" s="28" t="n">
        <x:v>0</x:v>
      </x:c>
      <x:c r="S1359" s="28" t="str">
        <x:v>b8d3913998909c01</x:v>
      </x:c>
    </x:row>
    <x:row r="1360" ht="21" customHeight="1">
      <x:c r="A1360" s="60" t="n">
        <x:v>0.65</x:v>
      </x:c>
      <x:c r="B1360" s="28" t="str">
        <x:v>middle_low</x:v>
      </x:c>
      <x:c r="C1360" s="60" t="n">
        <x:v>0.4</x:v>
      </x:c>
      <x:c r="D1360" s="60" t="n">
        <x:v>0.4</x:v>
      </x:c>
      <x:c r="E1360" s="62" t="b">
        <x:v>1</x:v>
      </x:c>
      <x:c r="F1360" s="62" t="b">
        <x:v>1</x:v>
      </x:c>
      <x:c r="G1360" s="85" t="n">
        <x:v>0</x:v>
      </x:c>
      <x:c r="H1360" s="85" t="n">
        <x:v>0</x:v>
      </x:c>
      <x:c r="I1360" s="85" t="n">
        <x:v>26645829.612151437</x:v>
      </x:c>
      <x:c r="J1360" s="85" t="n">
        <x:v>40712543.53681835</x:v>
      </x:c>
      <x:c r="K1360" s="85" t="n">
        <x:v>128008.0639013707</x:v>
      </x:c>
      <x:c r="L1360" s="28" t="n">
        <x:v>3</x:v>
      </x:c>
      <x:c r="M1360" s="28" t="n">
        <x:v>0</x:v>
      </x:c>
      <x:c r="N1360" s="28" t="n">
        <x:v>1.862645149230957e-9</x:v>
      </x:c>
      <x:c r="O1360" s="28" t="n">
        <x:v>2.9802322387695312e-8</x:v>
      </x:c>
      <x:c r="P1360" s="28" t="n">
        <x:v>0</x:v>
      </x:c>
      <x:c r="Q1360" s="62" t="b">
        <x:v>1</x:v>
      </x:c>
      <x:c r="R1360" s="28" t="n">
        <x:v>0</x:v>
      </x:c>
      <x:c r="S1360" s="28" t="str">
        <x:v>736383389a5e546c</x:v>
      </x:c>
    </x:row>
    <x:row r="1361" ht="21" customHeight="1">
      <x:c r="A1361" s="60" t="n">
        <x:v>0.65</x:v>
      </x:c>
      <x:c r="B1361" s="28" t="str">
        <x:v>middle_low</x:v>
      </x:c>
      <x:c r="C1361" s="60" t="n">
        <x:v>0.45</x:v>
      </x:c>
      <x:c r="D1361" s="60" t="n">
        <x:v>0.45</x:v>
      </x:c>
      <x:c r="E1361" s="62" t="b">
        <x:v>1</x:v>
      </x:c>
      <x:c r="F1361" s="62" t="b">
        <x:v>1</x:v>
      </x:c>
      <x:c r="G1361" s="85" t="n">
        <x:v>0</x:v>
      </x:c>
      <x:c r="H1361" s="85" t="n">
        <x:v>0</x:v>
      </x:c>
      <x:c r="I1361" s="85" t="n">
        <x:v>32839550.460322488</x:v>
      </x:c>
      <x:c r="J1361" s="85" t="n">
        <x:v>46587259.734780155</x:v>
      </x:c>
      <x:c r="K1361" s="85" t="n">
        <x:v>113442.04603287383</x:v>
      </x:c>
      <x:c r="L1361" s="28" t="n">
        <x:v>9</x:v>
      </x:c>
      <x:c r="M1361" s="28" t="n">
        <x:v>0</x:v>
      </x:c>
      <x:c r="N1361" s="28" t="n">
        <x:v>1.862645149230957e-9</x:v>
      </x:c>
      <x:c r="O1361" s="28" t="n">
        <x:v>2.9802322387695312e-8</x:v>
      </x:c>
      <x:c r="P1361" s="28" t="n">
        <x:v>0</x:v>
      </x:c>
      <x:c r="Q1361" s="62" t="b">
        <x:v>1</x:v>
      </x:c>
      <x:c r="R1361" s="28" t="n">
        <x:v>0</x:v>
      </x:c>
      <x:c r="S1361" s="28" t="str">
        <x:v>be2fc6b56a3eae55</x:v>
      </x:c>
    </x:row>
    <x:row r="1362" ht="21" customHeight="1">
      <x:c r="A1362" s="60" t="n">
        <x:v>0.65</x:v>
      </x:c>
      <x:c r="B1362" s="28" t="str">
        <x:v>middle_low</x:v>
      </x:c>
      <x:c r="C1362" s="60" t="n">
        <x:v>0.5</x:v>
      </x:c>
      <x:c r="D1362" s="60" t="n">
        <x:v>0.5</x:v>
      </x:c>
      <x:c r="E1362" s="62" t="b">
        <x:v>1</x:v>
      </x:c>
      <x:c r="F1362" s="62" t="b">
        <x:v>1</x:v>
      </x:c>
      <x:c r="G1362" s="85" t="n">
        <x:v>0</x:v>
      </x:c>
      <x:c r="H1362" s="85" t="n">
        <x:v>0</x:v>
      </x:c>
      <x:c r="I1362" s="85" t="n">
        <x:v>37495919.83156641</x:v>
      </x:c>
      <x:c r="J1362" s="85" t="n">
        <x:v>54935134.75424526</x:v>
      </x:c>
      <x:c r="K1362" s="85" t="n">
        <x:v>98876.02816438532</x:v>
      </x:c>
      <x:c r="L1362" s="28" t="n">
        <x:v>12</x:v>
      </x:c>
      <x:c r="M1362" s="28" t="n">
        <x:v>0</x:v>
      </x:c>
      <x:c r="N1362" s="28" t="n">
        <x:v>1.862645149230957e-9</x:v>
      </x:c>
      <x:c r="O1362" s="28" t="n">
        <x:v>1.4901161193847656e-8</x:v>
      </x:c>
      <x:c r="P1362" s="28" t="n">
        <x:v>0</x:v>
      </x:c>
      <x:c r="Q1362" s="62" t="b">
        <x:v>1</x:v>
      </x:c>
      <x:c r="R1362" s="28" t="n">
        <x:v>0</x:v>
      </x:c>
      <x:c r="S1362" s="28" t="str">
        <x:v>bd92feba1d3a08c6</x:v>
      </x:c>
    </x:row>
    <x:row r="1363" ht="21" customHeight="1">
      <x:c r="A1363" s="60" t="n">
        <x:v>0.65</x:v>
      </x:c>
      <x:c r="B1363" s="28" t="str">
        <x:v>middle_low</x:v>
      </x:c>
      <x:c r="C1363" s="60" t="n">
        <x:v>0.55</x:v>
      </x:c>
      <x:c r="D1363" s="60" t="n">
        <x:v>0.55</x:v>
      </x:c>
      <x:c r="E1363" s="62" t="b">
        <x:v>1</x:v>
      </x:c>
      <x:c r="F1363" s="62" t="b">
        <x:v>1</x:v>
      </x:c>
      <x:c r="G1363" s="85" t="n">
        <x:v>0</x:v>
      </x:c>
      <x:c r="H1363" s="85" t="n">
        <x:v>0</x:v>
      </x:c>
      <x:c r="I1363" s="85" t="n">
        <x:v>41809537.28592978</x:v>
      </x:c>
      <x:c r="J1363" s="85" t="n">
        <x:v>63716730.336796604</x:v>
      </x:c>
      <x:c r="K1363" s="85" t="n">
        <x:v>84310.0102958889</x:v>
      </x:c>
      <x:c r="L1363" s="28" t="n">
        <x:v>15</x:v>
      </x:c>
      <x:c r="M1363" s="28" t="n">
        <x:v>0</x:v>
      </x:c>
      <x:c r="N1363" s="28" t="n">
        <x:v>1.862645149230957e-9</x:v>
      </x:c>
      <x:c r="O1363" s="28" t="n">
        <x:v>2.9802322387695312e-8</x:v>
      </x:c>
      <x:c r="P1363" s="28" t="n">
        <x:v>0</x:v>
      </x:c>
      <x:c r="Q1363" s="62" t="b">
        <x:v>1</x:v>
      </x:c>
      <x:c r="R1363" s="28" t="n">
        <x:v>0</x:v>
      </x:c>
      <x:c r="S1363" s="28" t="str">
        <x:v>eaa6dcd13874e07a</x:v>
      </x:c>
    </x:row>
    <x:row r="1364" ht="21" customHeight="1">
      <x:c r="A1364" s="60" t="n">
        <x:v>0.65</x:v>
      </x:c>
      <x:c r="B1364" s="28" t="str">
        <x:v>middle_low</x:v>
      </x:c>
      <x:c r="C1364" s="60" t="n">
        <x:v>0.6</x:v>
      </x:c>
      <x:c r="D1364" s="60" t="n">
        <x:v>0.6</x:v>
      </x:c>
      <x:c r="E1364" s="62" t="b">
        <x:v>1</x:v>
      </x:c>
      <x:c r="F1364" s="62" t="b">
        <x:v>1</x:v>
      </x:c>
      <x:c r="G1364" s="85" t="n">
        <x:v>0</x:v>
      </x:c>
      <x:c r="H1364" s="85" t="n">
        <x:v>0</x:v>
      </x:c>
      <x:c r="I1364" s="85" t="n">
        <x:v>45971224.11709598</x:v>
      </x:c>
      <x:c r="J1364" s="85" t="n">
        <x:v>72575268.51146355</x:v>
      </x:c>
      <x:c r="K1364" s="85" t="n">
        <x:v>69743.99242739762</x:v>
      </x:c>
      <x:c r="L1364" s="28" t="n">
        <x:v>21</x:v>
      </x:c>
      <x:c r="M1364" s="28" t="n">
        <x:v>0</x:v>
      </x:c>
      <x:c r="N1364" s="28" t="n">
        <x:v>1.862645149230957e-9</x:v>
      </x:c>
      <x:c r="O1364" s="28" t="n">
        <x:v>2.9802322387695312e-8</x:v>
      </x:c>
      <x:c r="P1364" s="28" t="n">
        <x:v>0</x:v>
      </x:c>
      <x:c r="Q1364" s="62" t="b">
        <x:v>1</x:v>
      </x:c>
      <x:c r="R1364" s="28" t="n">
        <x:v>0</x:v>
      </x:c>
      <x:c r="S1364" s="28" t="str">
        <x:v>068f8400da91c369</x:v>
      </x:c>
    </x:row>
    <x:row r="1365" ht="21" customHeight="1">
      <x:c r="A1365" s="60" t="n">
        <x:v>0.65</x:v>
      </x:c>
      <x:c r="B1365" s="28" t="str">
        <x:v>middle_low</x:v>
      </x:c>
      <x:c r="C1365" s="60" t="n">
        <x:v>0.65</x:v>
      </x:c>
      <x:c r="D1365" s="60" t="n">
        <x:v>0.65</x:v>
      </x:c>
      <x:c r="E1365" s="62" t="b">
        <x:v>1</x:v>
      </x:c>
      <x:c r="F1365" s="62" t="b">
        <x:v>0</x:v>
      </x:c>
      <x:c r="G1365" s="85" t="n">
        <x:v>552774.9744202063</x:v>
      </x:c>
      <x:c r="H1365" s="85" t="n">
        <x:v>8316884.286470536</x:v>
      </x:c>
      <x:c r="I1365" s="85" t="n">
        <x:v>46712669.21132227</x:v>
      </x:c>
      <x:c r="J1365" s="85" t="n">
        <x:v>74999999.99999999</x:v>
      </x:c>
      <x:c r="K1365" s="85" t="n">
        <x:v>55177.97455890446</x:v>
      </x:c>
      <x:c r="L1365" s="28" t="n">
        <x:v>41</x:v>
      </x:c>
      <x:c r="M1365" s="28" t="n">
        <x:v>30</x:v>
      </x:c>
      <x:c r="N1365" s="28" t="n">
        <x:v>1.862645149230957e-9</x:v>
      </x:c>
      <x:c r="O1365" s="28" t="n">
        <x:v>2.9802322387695312e-8</x:v>
      </x:c>
      <x:c r="P1365" s="28" t="n">
        <x:v>0</x:v>
      </x:c>
      <x:c r="Q1365" s="62" t="b">
        <x:v>1</x:v>
      </x:c>
      <x:c r="R1365" s="28" t="n">
        <x:v>0</x:v>
      </x:c>
      <x:c r="S1365" s="28" t="str">
        <x:v>d7b66630666b5102</x:v>
      </x:c>
    </x:row>
    <x:row r="1366" ht="21" customHeight="1">
      <x:c r="A1366" s="60" t="n">
        <x:v>0.65</x:v>
      </x:c>
      <x:c r="B1366" s="28" t="str">
        <x:v>middle_low</x:v>
      </x:c>
      <x:c r="C1366" s="60" t="n">
        <x:v>0.7</x:v>
      </x:c>
      <x:c r="D1366" s="60" t="n">
        <x:v>0.7</x:v>
      </x:c>
      <x:c r="E1366" s="62" t="b">
        <x:v>1</x:v>
      </x:c>
      <x:c r="F1366" s="62" t="b">
        <x:v>0</x:v>
      </x:c>
      <x:c r="G1366" s="85" t="n">
        <x:v>1210962.0183413494</x:v>
      </x:c>
      <x:c r="H1366" s="85" t="n">
        <x:v>18248365.61656627</x:v>
      </x:c>
      <x:c r="I1366" s="85" t="n">
        <x:v>47616810.478576764</x:v>
      </x:c>
      <x:c r="J1366" s="85" t="n">
        <x:v>74999999.99999999</x:v>
      </x:c>
      <x:c r="K1366" s="85" t="n">
        <x:v>40611.956690411316</x:v>
      </x:c>
      <x:c r="L1366" s="28" t="n">
        <x:v>42</x:v>
      </x:c>
      <x:c r="M1366" s="28" t="n">
        <x:v>32</x:v>
      </x:c>
      <x:c r="N1366" s="28" t="n">
        <x:v>1.862645149230957e-9</x:v>
      </x:c>
      <x:c r="O1366" s="28" t="n">
        <x:v>1.4901161193847656e-8</x:v>
      </x:c>
      <x:c r="P1366" s="28" t="n">
        <x:v>0</x:v>
      </x:c>
      <x:c r="Q1366" s="62" t="b">
        <x:v>1</x:v>
      </x:c>
      <x:c r="R1366" s="28" t="n">
        <x:v>0</x:v>
      </x:c>
      <x:c r="S1366" s="28" t="str">
        <x:v>887dbe249e59254a</x:v>
      </x:c>
    </x:row>
    <x:row r="1367" ht="21" customHeight="1">
      <x:c r="A1367" s="60" t="n">
        <x:v>0.65</x:v>
      </x:c>
      <x:c r="B1367" s="28" t="str">
        <x:v>middle_low</x:v>
      </x:c>
      <x:c r="C1367" s="60" t="n">
        <x:v>0.75</x:v>
      </x:c>
      <x:c r="D1367" s="60" t="n">
        <x:v>0.75</x:v>
      </x:c>
      <x:c r="E1367" s="62" t="b">
        <x:v>1</x:v>
      </x:c>
      <x:c r="F1367" s="62" t="b">
        <x:v>0</x:v>
      </x:c>
      <x:c r="G1367" s="85" t="n">
        <x:v>2200017.963868825</x:v>
      </x:c>
      <x:c r="H1367" s="85" t="n">
        <x:v>28959832.522138502</x:v>
      </x:c>
      <x:c r="I1367" s="85" t="n">
        <x:v>47699941.3822794</x:v>
      </x:c>
      <x:c r="J1367" s="85" t="n">
        <x:v>74999999.99999999</x:v>
      </x:c>
      <x:c r="K1367" s="85" t="n">
        <x:v>26045.93882192328</x:v>
      </x:c>
      <x:c r="L1367" s="28" t="n">
        <x:v>42</x:v>
      </x:c>
      <x:c r="M1367" s="28" t="n">
        <x:v>34</x:v>
      </x:c>
      <x:c r="N1367" s="28" t="n">
        <x:v>1.862645149230957e-9</x:v>
      </x:c>
      <x:c r="O1367" s="28" t="n">
        <x:v>2.9802322387695312e-8</x:v>
      </x:c>
      <x:c r="P1367" s="28" t="n">
        <x:v>0</x:v>
      </x:c>
      <x:c r="Q1367" s="62" t="b">
        <x:v>1</x:v>
      </x:c>
      <x:c r="R1367" s="28" t="n">
        <x:v>0</x:v>
      </x:c>
      <x:c r="S1367" s="28" t="str">
        <x:v>47214732f87f6186</x:v>
      </x:c>
    </x:row>
    <x:row r="1368" ht="21" customHeight="1">
      <x:c r="A1368" s="60" t="n">
        <x:v>0.65</x:v>
      </x:c>
      <x:c r="B1368" s="28" t="str">
        <x:v>middle_low</x:v>
      </x:c>
      <x:c r="C1368" s="60" t="n">
        <x:v>0.8</x:v>
      </x:c>
      <x:c r="D1368" s="60" t="n">
        <x:v>0.8</x:v>
      </x:c>
      <x:c r="E1368" s="62" t="b">
        <x:v>1</x:v>
      </x:c>
      <x:c r="F1368" s="62" t="b">
        <x:v>0</x:v>
      </x:c>
      <x:c r="G1368" s="85" t="n">
        <x:v>2943629.860319021</x:v>
      </x:c>
      <x:c r="H1368" s="85" t="n">
        <x:v>38536115.080347896</x:v>
      </x:c>
      <x:c r="I1368" s="85" t="n">
        <x:v>48696548.23656441</x:v>
      </x:c>
      <x:c r="J1368" s="85" t="n">
        <x:v>74999999.99999999</x:v>
      </x:c>
      <x:c r="K1368" s="85" t="n">
        <x:v>11479.920953424997</x:v>
      </x:c>
      <x:c r="L1368" s="28" t="n">
        <x:v>43</x:v>
      </x:c>
      <x:c r="M1368" s="28" t="n">
        <x:v>34</x:v>
      </x:c>
      <x:c r="N1368" s="28" t="n">
        <x:v>1.862645149230957e-9</x:v>
      </x:c>
      <x:c r="O1368" s="28" t="n">
        <x:v>1.4901161193847656e-8</x:v>
      </x:c>
      <x:c r="P1368" s="28" t="n">
        <x:v>0</x:v>
      </x:c>
      <x:c r="Q1368" s="62" t="b">
        <x:v>1</x:v>
      </x:c>
      <x:c r="R1368" s="28" t="n">
        <x:v>0</x:v>
      </x:c>
      <x:c r="S1368" s="28" t="str">
        <x:v>f14c12a02d758b8d</x:v>
      </x:c>
    </x:row>
    <x:row r="1369" ht="21" customHeight="1">
      <x:c r="A1369" s="60" t="n">
        <x:v>0.65</x:v>
      </x:c>
      <x:c r="B1369" s="28" t="str">
        <x:v>middle_low</x:v>
      </x:c>
      <x:c r="C1369" s="60" t="n">
        <x:v>0.85</x:v>
      </x:c>
      <x:c r="D1369" s="60" t="n">
        <x:v>0.85</x:v>
      </x:c>
      <x:c r="E1369" s="62" t="b">
        <x:v>1</x:v>
      </x:c>
      <x:c r="F1369" s="62" t="b">
        <x:v>0</x:v>
      </x:c>
      <x:c r="G1369" s="85" t="n">
        <x:v>4016033.600265425</x:v>
      </x:c>
      <x:c r="H1369" s="85" t="n">
        <x:v>49014583.17823414</x:v>
      </x:c>
      <x:c r="I1369" s="85" t="n">
        <x:v>48754931.65802777</x:v>
      </x:c>
      <x:c r="J1369" s="85" t="n">
        <x:v>74999999.99999999</x:v>
      </x:c>
      <x:c r="K1369" s="85" t="n">
        <x:v>0</x:v>
      </x:c>
      <x:c r="L1369" s="28" t="n">
        <x:v>43</x:v>
      </x:c>
      <x:c r="M1369" s="28" t="n">
        <x:v>36</x:v>
      </x:c>
      <x:c r="N1369" s="28" t="n">
        <x:v>1.862645149230957e-9</x:v>
      </x:c>
      <x:c r="O1369" s="28" t="n">
        <x:v>2.9802322387695312e-8</x:v>
      </x:c>
      <x:c r="P1369" s="28" t="n">
        <x:v>0</x:v>
      </x:c>
      <x:c r="Q1369" s="62" t="b">
        <x:v>1</x:v>
      </x:c>
      <x:c r="R1369" s="28" t="n">
        <x:v>0</x:v>
      </x:c>
      <x:c r="S1369" s="28" t="str">
        <x:v>345f38df766e7969</x:v>
      </x:c>
    </x:row>
    <x:row r="1370" ht="21" customHeight="1">
      <x:c r="A1370" s="60" t="n">
        <x:v>0.65</x:v>
      </x:c>
      <x:c r="B1370" s="28" t="str">
        <x:v>middle_low</x:v>
      </x:c>
      <x:c r="C1370" s="60" t="n">
        <x:v>0.9</x:v>
      </x:c>
      <x:c r="D1370" s="60" t="n">
        <x:v>0.9</x:v>
      </x:c>
      <x:c r="E1370" s="62" t="b">
        <x:v>1</x:v>
      </x:c>
      <x:c r="F1370" s="62" t="b">
        <x:v>0</x:v>
      </x:c>
      <x:c r="G1370" s="85" t="n">
        <x:v>5186534.422945848</x:v>
      </x:c>
      <x:c r="H1370" s="85" t="n">
        <x:v>59270542.6270476</x:v>
      </x:c>
      <x:c r="I1370" s="85" t="n">
        <x:v>48813315.07949112</x:v>
      </x:c>
      <x:c r="J1370" s="85" t="n">
        <x:v>74999999.99999999</x:v>
      </x:c>
      <x:c r="K1370" s="85" t="n">
        <x:v>0</x:v>
      </x:c>
      <x:c r="L1370" s="28" t="n">
        <x:v>43</x:v>
      </x:c>
      <x:c r="M1370" s="28" t="n">
        <x:v>36</x:v>
      </x:c>
      <x:c r="N1370" s="28" t="n">
        <x:v>1.862645149230957e-9</x:v>
      </x:c>
      <x:c r="O1370" s="28" t="n">
        <x:v>2.9802322387695312e-8</x:v>
      </x:c>
      <x:c r="P1370" s="28" t="n">
        <x:v>0</x:v>
      </x:c>
      <x:c r="Q1370" s="62" t="b">
        <x:v>1</x:v>
      </x:c>
      <x:c r="R1370" s="28" t="n">
        <x:v>0</x:v>
      </x:c>
      <x:c r="S1370" s="28" t="str">
        <x:v>2e3a71fa9b00dd4e</x:v>
      </x:c>
    </x:row>
    <x:row r="1371" ht="21" customHeight="1">
      <x:c r="A1371" s="60" t="n">
        <x:v>0.65</x:v>
      </x:c>
      <x:c r="B1371" s="28" t="str">
        <x:v>middle_low</x:v>
      </x:c>
      <x:c r="C1371" s="60" t="n">
        <x:v>0.95</x:v>
      </x:c>
      <x:c r="D1371" s="60" t="n">
        <x:v>0.9361238209331334</x:v>
      </x:c>
      <x:c r="E1371" s="62" t="b">
        <x:v>0</x:v>
      </x:c>
      <x:c r="F1371" s="62" t="b">
        <x:v>0</x:v>
      </x:c>
      <x:c r="G1371" s="85" t="n">
        <x:v>7332189.398188023</x:v>
      </x:c>
      <x:c r="H1371" s="85" t="n">
        <x:v>64288095.56651919</x:v>
      </x:c>
      <x:c r="I1371" s="85" t="n">
        <x:v>49697237.25955071</x:v>
      </x:c>
      <x:c r="J1371" s="85" t="n">
        <x:v>74999999.99999999</x:v>
      </x:c>
      <x:c r="K1371" s="85" t="n">
        <x:v>0</x:v>
      </x:c>
      <x:c r="L1371" s="28" t="n">
        <x:v>44</x:v>
      </x:c>
      <x:c r="M1371" s="28" t="n">
        <x:v>37</x:v>
      </x:c>
      <x:c r="N1371" s="28" t="n">
        <x:v>3.725290298461914e-9</x:v>
      </x:c>
      <x:c r="O1371" s="28" t="n">
        <x:v>1.4901161193847656e-8</x:v>
      </x:c>
      <x:c r="P1371" s="28" t="n">
        <x:v>0</x:v>
      </x:c>
      <x:c r="Q1371" s="62" t="b">
        <x:v>1</x:v>
      </x:c>
      <x:c r="R1371" s="28" t="n">
        <x:v>4162853.720059991</x:v>
      </x:c>
      <x:c r="S1371" s="28" t="str">
        <x:v>0390fd8fdc37bc18</x:v>
      </x:c>
    </x:row>
    <x:row r="1372" ht="21" customHeight="1">
      <x:c r="A1372" s="60" t="n">
        <x:v>0.65</x:v>
      </x:c>
      <x:c r="B1372" s="28" t="str">
        <x:v>middle_low</x:v>
      </x:c>
      <x:c r="C1372" s="60" t="n">
        <x:v>1</x:v>
      </x:c>
      <x:c r="D1372" s="60" t="n">
        <x:v>0.9498342654879072</x:v>
      </x:c>
      <x:c r="E1372" s="62" t="b">
        <x:v>0</x:v>
      </x:c>
      <x:c r="F1372" s="62" t="b">
        <x:v>0</x:v>
      </x:c>
      <x:c r="G1372" s="85" t="n">
        <x:v>7998595.622531319</x:v>
      </x:c>
      <x:c r="H1372" s="85" t="n">
        <x:v>67304963.51116796</x:v>
      </x:c>
      <x:c r="I1372" s="85" t="n">
        <x:v>49730694.60515071</x:v>
      </x:c>
      <x:c r="J1372" s="85" t="n">
        <x:v>74999999.99999999</x:v>
      </x:c>
      <x:c r="K1372" s="85" t="n">
        <x:v>0</x:v>
      </x:c>
      <x:c r="L1372" s="28" t="n">
        <x:v>44</x:v>
      </x:c>
      <x:c r="M1372" s="28" t="n">
        <x:v>38</x:v>
      </x:c>
      <x:c r="N1372" s="28" t="n">
        <x:v>1.862645149230957e-9</x:v>
      </x:c>
      <x:c r="O1372" s="28" t="n">
        <x:v>1.4901161193847656e-8</x:v>
      </x:c>
      <x:c r="P1372" s="28" t="n">
        <x:v>0</x:v>
      </x:c>
      <x:c r="Q1372" s="62" t="b">
        <x:v>1</x:v>
      </x:c>
      <x:c r="R1372" s="28" t="n">
        <x:v>15049720.35362786</x:v>
      </x:c>
      <x:c r="S1372" s="28" t="str">
        <x:v>75b55030d128207f</x:v>
      </x:c>
    </x:row>
    <x:row r="1373" ht="21" customHeight="1">
      <x:c r="A1373" s="60" t="n">
        <x:v>0.65</x:v>
      </x:c>
      <x:c r="B1373" s="28" t="str">
        <x:v>middle_high</x:v>
      </x:c>
      <x:c r="C1373" s="60" t="n">
        <x:v>0</x:v>
      </x:c>
      <x:c r="D1373" s="60" t="n">
        <x:v>0</x:v>
      </x:c>
      <x:c r="E1373" s="62" t="b">
        <x:v>1</x:v>
      </x:c>
      <x:c r="F1373" s="62" t="b">
        <x:v>1</x:v>
      </x:c>
      <x:c r="G1373" s="85" t="n">
        <x:v>0</x:v>
      </x:c>
      <x:c r="H1373" s="85" t="n">
        <x:v>0</x:v>
      </x:c>
      <x:c r="I1373" s="85" t="n">
        <x:v>0</x:v>
      </x:c>
      <x:c r="J1373" s="85" t="n">
        <x:v>0</x:v>
      </x:c>
      <x:c r="K1373" s="85" t="n">
        <x:v>38290707.39520547</x:v>
      </x:c>
      <x:c r="L1373" s="28" t="n">
        <x:v>0</x:v>
      </x:c>
      <x:c r="M1373" s="28" t="n">
        <x:v>0</x:v>
      </x:c>
      <x:c r="N1373" s="28" t="n">
        <x:v>3.725290298461914e-9</x:v>
      </x:c>
      <x:c r="O1373" s="28" t="n">
        <x:v>0</x:v>
      </x:c>
      <x:c r="P1373" s="28" t="n">
        <x:v>0</x:v>
      </x:c>
      <x:c r="Q1373" s="62" t="b">
        <x:v>1</x:v>
      </x:c>
      <x:c r="R1373" s="28" t="n">
        <x:v>0</x:v>
      </x:c>
      <x:c r="S1373" s="28" t="str">
        <x:v>429839c29b05d317</x:v>
      </x:c>
    </x:row>
    <x:row r="1374" ht="21" customHeight="1">
      <x:c r="A1374" s="60" t="n">
        <x:v>0.65</x:v>
      </x:c>
      <x:c r="B1374" s="28" t="str">
        <x:v>middle_high</x:v>
      </x:c>
      <x:c r="C1374" s="60" t="n">
        <x:v>0.05</x:v>
      </x:c>
      <x:c r="D1374" s="60" t="n">
        <x:v>0.05</x:v>
      </x:c>
      <x:c r="E1374" s="62" t="b">
        <x:v>1</x:v>
      </x:c>
      <x:c r="F1374" s="62" t="b">
        <x:v>1</x:v>
      </x:c>
      <x:c r="G1374" s="85" t="n">
        <x:v>0</x:v>
      </x:c>
      <x:c r="H1374" s="85" t="n">
        <x:v>0</x:v>
      </x:c>
      <x:c r="I1374" s="85" t="n">
        <x:v>0</x:v>
      </x:c>
      <x:c r="J1374" s="85" t="n">
        <x:v>0</x:v>
      </x:c>
      <x:c r="K1374" s="85" t="n">
        <x:v>24910098.132403415</x:v>
      </x:c>
      <x:c r="L1374" s="28" t="n">
        <x:v>0</x:v>
      </x:c>
      <x:c r="M1374" s="28" t="n">
        <x:v>0</x:v>
      </x:c>
      <x:c r="N1374" s="28" t="n">
        <x:v>3.725290298461914e-9</x:v>
      </x:c>
      <x:c r="O1374" s="28" t="n">
        <x:v>2.9802322387695312e-8</x:v>
      </x:c>
      <x:c r="P1374" s="28" t="n">
        <x:v>0</x:v>
      </x:c>
      <x:c r="Q1374" s="62" t="b">
        <x:v>1</x:v>
      </x:c>
      <x:c r="R1374" s="28" t="n">
        <x:v>0</x:v>
      </x:c>
      <x:c r="S1374" s="28" t="str">
        <x:v>7ddb9ce3d3f895a6</x:v>
      </x:c>
    </x:row>
    <x:row r="1375" ht="21" customHeight="1">
      <x:c r="A1375" s="60" t="n">
        <x:v>0.65</x:v>
      </x:c>
      <x:c r="B1375" s="28" t="str">
        <x:v>middle_high</x:v>
      </x:c>
      <x:c r="C1375" s="60" t="n">
        <x:v>0.1</x:v>
      </x:c>
      <x:c r="D1375" s="60" t="n">
        <x:v>0.1</x:v>
      </x:c>
      <x:c r="E1375" s="62" t="b">
        <x:v>1</x:v>
      </x:c>
      <x:c r="F1375" s="62" t="b">
        <x:v>1</x:v>
      </x:c>
      <x:c r="G1375" s="85" t="n">
        <x:v>0</x:v>
      </x:c>
      <x:c r="H1375" s="85" t="n">
        <x:v>0</x:v>
      </x:c>
      <x:c r="I1375" s="85" t="n">
        <x:v>0</x:v>
      </x:c>
      <x:c r="J1375" s="85" t="n">
        <x:v>0</x:v>
      </x:c>
      <x:c r="K1375" s="85" t="n">
        <x:v>11368709.678348616</x:v>
      </x:c>
      <x:c r="L1375" s="28" t="n">
        <x:v>0</x:v>
      </x:c>
      <x:c r="M1375" s="28" t="n">
        <x:v>0</x:v>
      </x:c>
      <x:c r="N1375" s="28" t="n">
        <x:v>3.725290298461914e-9</x:v>
      </x:c>
      <x:c r="O1375" s="28" t="n">
        <x:v>5.960464477539063e-8</x:v>
      </x:c>
      <x:c r="P1375" s="28" t="n">
        <x:v>0</x:v>
      </x:c>
      <x:c r="Q1375" s="62" t="b">
        <x:v>1</x:v>
      </x:c>
      <x:c r="R1375" s="28" t="n">
        <x:v>0</x:v>
      </x:c>
      <x:c r="S1375" s="28" t="str">
        <x:v>1db6bc02e175beb3</x:v>
      </x:c>
    </x:row>
    <x:row r="1376" ht="21" customHeight="1">
      <x:c r="A1376" s="60" t="n">
        <x:v>0.65</x:v>
      </x:c>
      <x:c r="B1376" s="28" t="str">
        <x:v>middle_high</x:v>
      </x:c>
      <x:c r="C1376" s="60" t="n">
        <x:v>0.15</x:v>
      </x:c>
      <x:c r="D1376" s="60" t="n">
        <x:v>0.15</x:v>
      </x:c>
      <x:c r="E1376" s="62" t="b">
        <x:v>1</x:v>
      </x:c>
      <x:c r="F1376" s="62" t="b">
        <x:v>1</x:v>
      </x:c>
      <x:c r="G1376" s="85" t="n">
        <x:v>0</x:v>
      </x:c>
      <x:c r="H1376" s="85" t="n">
        <x:v>0</x:v>
      </x:c>
      <x:c r="I1376" s="85" t="n">
        <x:v>3656947.6860903725</x:v>
      </x:c>
      <x:c r="J1376" s="85" t="n">
        <x:v>0</x:v>
      </x:c>
      <x:c r="K1376" s="85" t="n">
        <x:v>2234696.4220576673</x:v>
      </x:c>
      <x:c r="L1376" s="28" t="n">
        <x:v>0</x:v>
      </x:c>
      <x:c r="M1376" s="28" t="n">
        <x:v>0</x:v>
      </x:c>
      <x:c r="N1376" s="28" t="n">
        <x:v>3.725290298461914e-9</x:v>
      </x:c>
      <x:c r="O1376" s="28" t="n">
        <x:v>2.9802322387695312e-8</x:v>
      </x:c>
      <x:c r="P1376" s="28" t="n">
        <x:v>0</x:v>
      </x:c>
      <x:c r="Q1376" s="62" t="b">
        <x:v>1</x:v>
      </x:c>
      <x:c r="R1376" s="28" t="n">
        <x:v>0</x:v>
      </x:c>
      <x:c r="S1376" s="28" t="str">
        <x:v>58ffc4be450db456</x:v>
      </x:c>
    </x:row>
    <x:row r="1377" ht="21" customHeight="1">
      <x:c r="A1377" s="60" t="n">
        <x:v>0.65</x:v>
      </x:c>
      <x:c r="B1377" s="28" t="str">
        <x:v>middle_high</x:v>
      </x:c>
      <x:c r="C1377" s="60" t="n">
        <x:v>0.2</x:v>
      </x:c>
      <x:c r="D1377" s="60" t="n">
        <x:v>0.2</x:v>
      </x:c>
      <x:c r="E1377" s="62" t="b">
        <x:v>1</x:v>
      </x:c>
      <x:c r="F1377" s="62" t="b">
        <x:v>1</x:v>
      </x:c>
      <x:c r="G1377" s="85" t="n">
        <x:v>0</x:v>
      </x:c>
      <x:c r="H1377" s="85" t="n">
        <x:v>0</x:v>
      </x:c>
      <x:c r="I1377" s="85" t="n">
        <x:v>14057392.475832788</x:v>
      </x:c>
      <x:c r="J1377" s="85" t="n">
        <x:v>6318282.052720841</x:v>
      </x:c>
      <x:c r="K1377" s="85" t="n">
        <x:v>1718065.4521379229</x:v>
      </x:c>
      <x:c r="L1377" s="28" t="n">
        <x:v>0</x:v>
      </x:c>
      <x:c r="M1377" s="28" t="n">
        <x:v>0</x:v>
      </x:c>
      <x:c r="N1377" s="28" t="n">
        <x:v>3.725290298461914e-9</x:v>
      </x:c>
      <x:c r="O1377" s="28" t="n">
        <x:v>2.9802322387695312e-8</x:v>
      </x:c>
      <x:c r="P1377" s="28" t="n">
        <x:v>0</x:v>
      </x:c>
      <x:c r="Q1377" s="62" t="b">
        <x:v>1</x:v>
      </x:c>
      <x:c r="R1377" s="28" t="n">
        <x:v>0</x:v>
      </x:c>
      <x:c r="S1377" s="28" t="str">
        <x:v>efb13188cbdfd068</x:v>
      </x:c>
    </x:row>
    <x:row r="1378" ht="21" customHeight="1">
      <x:c r="A1378" s="60" t="n">
        <x:v>0.65</x:v>
      </x:c>
      <x:c r="B1378" s="28" t="str">
        <x:v>middle_high</x:v>
      </x:c>
      <x:c r="C1378" s="60" t="n">
        <x:v>0.25</x:v>
      </x:c>
      <x:c r="D1378" s="60" t="n">
        <x:v>0.25</x:v>
      </x:c>
      <x:c r="E1378" s="62" t="b">
        <x:v>1</x:v>
      </x:c>
      <x:c r="F1378" s="62" t="b">
        <x:v>1</x:v>
      </x:c>
      <x:c r="G1378" s="85" t="n">
        <x:v>0</x:v>
      </x:c>
      <x:c r="H1378" s="85" t="n">
        <x:v>0</x:v>
      </x:c>
      <x:c r="I1378" s="85" t="n">
        <x:v>23083025.770989574</x:v>
      </x:c>
      <x:c r="J1378" s="85" t="n">
        <x:v>15397852.56590101</x:v>
      </x:c>
      <x:c r="K1378" s="85" t="n">
        <x:v>1344867.6772806158</x:v>
      </x:c>
      <x:c r="L1378" s="28" t="n">
        <x:v>0</x:v>
      </x:c>
      <x:c r="M1378" s="28" t="n">
        <x:v>0</x:v>
      </x:c>
      <x:c r="N1378" s="28" t="n">
        <x:v>3.725290298461914e-9</x:v>
      </x:c>
      <x:c r="O1378" s="28" t="n">
        <x:v>2.9802322387695312e-8</x:v>
      </x:c>
      <x:c r="P1378" s="28" t="n">
        <x:v>0</x:v>
      </x:c>
      <x:c r="Q1378" s="62" t="b">
        <x:v>1</x:v>
      </x:c>
      <x:c r="R1378" s="28" t="n">
        <x:v>0</x:v>
      </x:c>
      <x:c r="S1378" s="28" t="str">
        <x:v>34a54eaf3687e871</x:v>
      </x:c>
    </x:row>
    <x:row r="1379" ht="21" customHeight="1">
      <x:c r="A1379" s="60" t="n">
        <x:v>0.65</x:v>
      </x:c>
      <x:c r="B1379" s="28" t="str">
        <x:v>middle_high</x:v>
      </x:c>
      <x:c r="C1379" s="60" t="n">
        <x:v>0.3</x:v>
      </x:c>
      <x:c r="D1379" s="60" t="n">
        <x:v>0.3</x:v>
      </x:c>
      <x:c r="E1379" s="62" t="b">
        <x:v>1</x:v>
      </x:c>
      <x:c r="F1379" s="62" t="b">
        <x:v>1</x:v>
      </x:c>
      <x:c r="G1379" s="85" t="n">
        <x:v>0</x:v>
      </x:c>
      <x:c r="H1379" s="85" t="n">
        <x:v>0</x:v>
      </x:c>
      <x:c r="I1379" s="85" t="n">
        <x:v>32188238.83051252</x:v>
      </x:c>
      <x:c r="J1379" s="85" t="n">
        <x:v>24477423.07908109</x:v>
      </x:c>
      <x:c r="K1379" s="85" t="n">
        <x:v>1066051.2847915534</x:v>
      </x:c>
      <x:c r="L1379" s="28" t="n">
        <x:v>0</x:v>
      </x:c>
      <x:c r="M1379" s="28" t="n">
        <x:v>0</x:v>
      </x:c>
      <x:c r="N1379" s="28" t="n">
        <x:v>3.725290298461914e-9</x:v>
      </x:c>
      <x:c r="O1379" s="28" t="n">
        <x:v>2.9802322387695312e-8</x:v>
      </x:c>
      <x:c r="P1379" s="28" t="n">
        <x:v>0</x:v>
      </x:c>
      <x:c r="Q1379" s="62" t="b">
        <x:v>1</x:v>
      </x:c>
      <x:c r="R1379" s="28" t="n">
        <x:v>0</x:v>
      </x:c>
      <x:c r="S1379" s="28" t="str">
        <x:v>e22119e823706cae</x:v>
      </x:c>
    </x:row>
    <x:row r="1380" ht="21" customHeight="1">
      <x:c r="A1380" s="60" t="n">
        <x:v>0.65</x:v>
      </x:c>
      <x:c r="B1380" s="28" t="str">
        <x:v>middle_high</x:v>
      </x:c>
      <x:c r="C1380" s="60" t="n">
        <x:v>0.35</x:v>
      </x:c>
      <x:c r="D1380" s="60" t="n">
        <x:v>0.35</x:v>
      </x:c>
      <x:c r="E1380" s="62" t="b">
        <x:v>1</x:v>
      </x:c>
      <x:c r="F1380" s="62" t="b">
        <x:v>1</x:v>
      </x:c>
      <x:c r="G1380" s="85" t="n">
        <x:v>0</x:v>
      </x:c>
      <x:c r="H1380" s="85" t="n">
        <x:v>0</x:v>
      </x:c>
      <x:c r="I1380" s="85" t="n">
        <x:v>41375429.86813218</x:v>
      </x:c>
      <x:c r="J1380" s="85" t="n">
        <x:v>33556993.59226128</x:v>
      </x:c>
      <x:c r="K1380" s="85" t="n">
        <x:v>930781.1167068377</x:v>
      </x:c>
      <x:c r="L1380" s="28" t="n">
        <x:v>0</x:v>
      </x:c>
      <x:c r="M1380" s="28" t="n">
        <x:v>0</x:v>
      </x:c>
      <x:c r="N1380" s="28" t="n">
        <x:v>1.862645149230957e-9</x:v>
      </x:c>
      <x:c r="O1380" s="28" t="n">
        <x:v>2.9802322387695312e-8</x:v>
      </x:c>
      <x:c r="P1380" s="28" t="n">
        <x:v>0</x:v>
      </x:c>
      <x:c r="Q1380" s="62" t="b">
        <x:v>1</x:v>
      </x:c>
      <x:c r="R1380" s="28" t="n">
        <x:v>0</x:v>
      </x:c>
      <x:c r="S1380" s="28" t="str">
        <x:v>e60876fbbe55d992</x:v>
      </x:c>
    </x:row>
    <x:row r="1381" ht="21" customHeight="1">
      <x:c r="A1381" s="60" t="n">
        <x:v>0.65</x:v>
      </x:c>
      <x:c r="B1381" s="28" t="str">
        <x:v>middle_high</x:v>
      </x:c>
      <x:c r="C1381" s="60" t="n">
        <x:v>0.4</x:v>
      </x:c>
      <x:c r="D1381" s="60" t="n">
        <x:v>0.4</x:v>
      </x:c>
      <x:c r="E1381" s="62" t="b">
        <x:v>1</x:v>
      </x:c>
      <x:c r="F1381" s="62" t="b">
        <x:v>1</x:v>
      </x:c>
      <x:c r="G1381" s="85" t="n">
        <x:v>0</x:v>
      </x:c>
      <x:c r="H1381" s="85" t="n">
        <x:v>0</x:v>
      </x:c>
      <x:c r="I1381" s="85" t="n">
        <x:v>50949640.05721875</x:v>
      </x:c>
      <x:c r="J1381" s="85" t="n">
        <x:v>40534163.94015191</x:v>
      </x:c>
      <x:c r="K1381" s="85" t="n">
        <x:v>802659.0619506778</x:v>
      </x:c>
      <x:c r="L1381" s="28" t="n">
        <x:v>2</x:v>
      </x:c>
      <x:c r="M1381" s="28" t="n">
        <x:v>0</x:v>
      </x:c>
      <x:c r="N1381" s="28" t="n">
        <x:v>1.862645149230957e-9</x:v>
      </x:c>
      <x:c r="O1381" s="28" t="n">
        <x:v>2.9802322387695312e-8</x:v>
      </x:c>
      <x:c r="P1381" s="28" t="n">
        <x:v>0</x:v>
      </x:c>
      <x:c r="Q1381" s="62" t="b">
        <x:v>1</x:v>
      </x:c>
      <x:c r="R1381" s="28" t="n">
        <x:v>0</x:v>
      </x:c>
      <x:c r="S1381" s="28" t="str">
        <x:v>15793b6a4f78554d</x:v>
      </x:c>
    </x:row>
    <x:row r="1382" ht="21" customHeight="1">
      <x:c r="A1382" s="60" t="n">
        <x:v>0.65</x:v>
      </x:c>
      <x:c r="B1382" s="28" t="str">
        <x:v>middle_high</x:v>
      </x:c>
      <x:c r="C1382" s="60" t="n">
        <x:v>0.45</x:v>
      </x:c>
      <x:c r="D1382" s="60" t="n">
        <x:v>0.45</x:v>
      </x:c>
      <x:c r="E1382" s="62" t="b">
        <x:v>1</x:v>
      </x:c>
      <x:c r="F1382" s="62" t="b">
        <x:v>1</x:v>
      </x:c>
      <x:c r="G1382" s="85" t="n">
        <x:v>0</x:v>
      </x:c>
      <x:c r="H1382" s="85" t="n">
        <x:v>0</x:v>
      </x:c>
      <x:c r="I1382" s="85" t="n">
        <x:v>60994368.34386063</x:v>
      </x:c>
      <x:c r="J1382" s="85" t="n">
        <x:v>44221893.715047054</x:v>
      </x:c>
      <x:c r="K1382" s="85" t="n">
        <x:v>674537.0071945179</x:v>
      </x:c>
      <x:c r="L1382" s="28" t="n">
        <x:v>8</x:v>
      </x:c>
      <x:c r="M1382" s="28" t="n">
        <x:v>0</x:v>
      </x:c>
      <x:c r="N1382" s="28" t="n">
        <x:v>3.725290298461914e-9</x:v>
      </x:c>
      <x:c r="O1382" s="28" t="n">
        <x:v>2.9802322387695312e-8</x:v>
      </x:c>
      <x:c r="P1382" s="28" t="n">
        <x:v>0</x:v>
      </x:c>
      <x:c r="Q1382" s="62" t="b">
        <x:v>1</x:v>
      </x:c>
      <x:c r="R1382" s="28" t="n">
        <x:v>0</x:v>
      </x:c>
      <x:c r="S1382" s="28" t="str">
        <x:v>0db9bf96e0abdd4b</x:v>
      </x:c>
    </x:row>
    <x:row r="1383" ht="21" customHeight="1">
      <x:c r="A1383" s="60" t="n">
        <x:v>0.65</x:v>
      </x:c>
      <x:c r="B1383" s="28" t="str">
        <x:v>middle_high</x:v>
      </x:c>
      <x:c r="C1383" s="60" t="n">
        <x:v>0.5</x:v>
      </x:c>
      <x:c r="D1383" s="60" t="n">
        <x:v>0.5</x:v>
      </x:c>
      <x:c r="E1383" s="62" t="b">
        <x:v>1</x:v>
      </x:c>
      <x:c r="F1383" s="62" t="b">
        <x:v>1</x:v>
      </x:c>
      <x:c r="G1383" s="85" t="n">
        <x:v>0</x:v>
      </x:c>
      <x:c r="H1383" s="85" t="n">
        <x:v>0</x:v>
      </x:c>
      <x:c r="I1383" s="85" t="n">
        <x:v>70320737.99929681</x:v>
      </x:c>
      <x:c r="J1383" s="85" t="n">
        <x:v>52617304.293549635</x:v>
      </x:c>
      <x:c r="K1383" s="85" t="n">
        <x:v>546414.9524383524</x:v>
      </x:c>
      <x:c r="L1383" s="28" t="n">
        <x:v>11</x:v>
      </x:c>
      <x:c r="M1383" s="28" t="n">
        <x:v>0</x:v>
      </x:c>
      <x:c r="N1383" s="28" t="n">
        <x:v>3.725290298461914e-9</x:v>
      </x:c>
      <x:c r="O1383" s="28" t="n">
        <x:v>1.4901161193847656e-8</x:v>
      </x:c>
      <x:c r="P1383" s="28" t="n">
        <x:v>0</x:v>
      </x:c>
      <x:c r="Q1383" s="62" t="b">
        <x:v>1</x:v>
      </x:c>
      <x:c r="R1383" s="28" t="n">
        <x:v>0</x:v>
      </x:c>
      <x:c r="S1383" s="28" t="str">
        <x:v>f1acf39595a97f18</x:v>
      </x:c>
    </x:row>
    <x:row r="1384" ht="21" customHeight="1">
      <x:c r="A1384" s="60" t="n">
        <x:v>0.65</x:v>
      </x:c>
      <x:c r="B1384" s="28" t="str">
        <x:v>middle_high</x:v>
      </x:c>
      <x:c r="C1384" s="60" t="n">
        <x:v>0.55</x:v>
      </x:c>
      <x:c r="D1384" s="60" t="n">
        <x:v>0.55</x:v>
      </x:c>
      <x:c r="E1384" s="62" t="b">
        <x:v>1</x:v>
      </x:c>
      <x:c r="F1384" s="62" t="b">
        <x:v>1</x:v>
      </x:c>
      <x:c r="G1384" s="85" t="n">
        <x:v>0</x:v>
      </x:c>
      <x:c r="H1384" s="85" t="n">
        <x:v>0</x:v>
      </x:c>
      <x:c r="I1384" s="85" t="n">
        <x:v>79428012.58307533</x:v>
      </x:c>
      <x:c r="J1384" s="85" t="n">
        <x:v>61780667.93749312</x:v>
      </x:c>
      <x:c r="K1384" s="85" t="n">
        <x:v>480743.4408712329</x:v>
      </x:c>
      <x:c r="L1384" s="28" t="n">
        <x:v>15</x:v>
      </x:c>
      <x:c r="M1384" s="28" t="n">
        <x:v>7</x:v>
      </x:c>
      <x:c r="N1384" s="28" t="n">
        <x:v>1.862645149230957e-9</x:v>
      </x:c>
      <x:c r="O1384" s="28" t="n">
        <x:v>2.9802322387695312e-8</x:v>
      </x:c>
      <x:c r="P1384" s="28" t="n">
        <x:v>0</x:v>
      </x:c>
      <x:c r="Q1384" s="62" t="b">
        <x:v>1</x:v>
      </x:c>
      <x:c r="R1384" s="28" t="n">
        <x:v>0</x:v>
      </x:c>
      <x:c r="S1384" s="28" t="str">
        <x:v>ed3620adb2be677d</x:v>
      </x:c>
    </x:row>
    <x:row r="1385" ht="21" customHeight="1">
      <x:c r="A1385" s="60" t="n">
        <x:v>0.65</x:v>
      </x:c>
      <x:c r="B1385" s="28" t="str">
        <x:v>middle_high</x:v>
      </x:c>
      <x:c r="C1385" s="60" t="n">
        <x:v>0.6</x:v>
      </x:c>
      <x:c r="D1385" s="60" t="n">
        <x:v>0.6</x:v>
      </x:c>
      <x:c r="E1385" s="62" t="b">
        <x:v>1</x:v>
      </x:c>
      <x:c r="F1385" s="62" t="b">
        <x:v>1</x:v>
      </x:c>
      <x:c r="G1385" s="85" t="n">
        <x:v>0</x:v>
      </x:c>
      <x:c r="H1385" s="85" t="n">
        <x:v>0</x:v>
      </x:c>
      <x:c r="I1385" s="85" t="n">
        <x:v>88103936.45720312</x:v>
      </x:c>
      <x:c r="J1385" s="85" t="n">
        <x:v>71846650.59762318</x:v>
      </x:c>
      <x:c r="K1385" s="85" t="n">
        <x:v>442055.8519342466</x:v>
      </x:c>
      <x:c r="L1385" s="28" t="n">
        <x:v>20</x:v>
      </x:c>
      <x:c r="M1385" s="28" t="n">
        <x:v>13</x:v>
      </x:c>
      <x:c r="N1385" s="28" t="n">
        <x:v>1.862645149230957e-9</x:v>
      </x:c>
      <x:c r="O1385" s="28" t="n">
        <x:v>2.9802322387695312e-8</x:v>
      </x:c>
      <x:c r="P1385" s="28" t="n">
        <x:v>0</x:v>
      </x:c>
      <x:c r="Q1385" s="62" t="b">
        <x:v>1</x:v>
      </x:c>
      <x:c r="R1385" s="28" t="n">
        <x:v>0</x:v>
      </x:c>
      <x:c r="S1385" s="28" t="str">
        <x:v>206898eb5f8e7da5</x:v>
      </x:c>
    </x:row>
    <x:row r="1386" ht="21" customHeight="1">
      <x:c r="A1386" s="60" t="n">
        <x:v>0.65</x:v>
      </x:c>
      <x:c r="B1386" s="28" t="str">
        <x:v>middle_high</x:v>
      </x:c>
      <x:c r="C1386" s="60" t="n">
        <x:v>0.65</x:v>
      </x:c>
      <x:c r="D1386" s="60" t="n">
        <x:v>0.65</x:v>
      </x:c>
      <x:c r="E1386" s="62" t="b">
        <x:v>1</x:v>
      </x:c>
      <x:c r="F1386" s="62" t="b">
        <x:v>0</x:v>
      </x:c>
      <x:c r="G1386" s="85" t="n">
        <x:v>3437479.364135052</x:v>
      </x:c>
      <x:c r="H1386" s="85" t="n">
        <x:v>11671674.222572358</x:v>
      </x:c>
      <x:c r="I1386" s="85" t="n">
        <x:v>90112881.93272015</x:v>
      </x:c>
      <x:c r="J1386" s="85" t="n">
        <x:v>74999999.99999999</x:v>
      </x:c>
      <x:c r="K1386" s="85" t="n">
        <x:v>403368.26299725927</x:v>
      </x:c>
      <x:c r="L1386" s="28" t="n">
        <x:v>41</x:v>
      </x:c>
      <x:c r="M1386" s="28" t="n">
        <x:v>37</x:v>
      </x:c>
      <x:c r="N1386" s="28" t="n">
        <x:v>1.862645149230957e-9</x:v>
      </x:c>
      <x:c r="O1386" s="28" t="n">
        <x:v>2.9802322387695312e-8</x:v>
      </x:c>
      <x:c r="P1386" s="28" t="n">
        <x:v>0</x:v>
      </x:c>
      <x:c r="Q1386" s="62" t="b">
        <x:v>1</x:v>
      </x:c>
      <x:c r="R1386" s="28" t="n">
        <x:v>0</x:v>
      </x:c>
      <x:c r="S1386" s="28" t="str">
        <x:v>4a97ff5d1cfcee37</x:v>
      </x:c>
    </x:row>
    <x:row r="1387" ht="21" customHeight="1">
      <x:c r="A1387" s="60" t="n">
        <x:v>0.65</x:v>
      </x:c>
      <x:c r="B1387" s="28" t="str">
        <x:v>middle_high</x:v>
      </x:c>
      <x:c r="C1387" s="60" t="n">
        <x:v>0.7</x:v>
      </x:c>
      <x:c r="D1387" s="60" t="n">
        <x:v>0.7</x:v>
      </x:c>
      <x:c r="E1387" s="62" t="b">
        <x:v>1</x:v>
      </x:c>
      <x:c r="F1387" s="62" t="b">
        <x:v>0</x:v>
      </x:c>
      <x:c r="G1387" s="85" t="n">
        <x:v>7233468.244278495</x:v>
      </x:c>
      <x:c r="H1387" s="85" t="n">
        <x:v>24007113.944787823</x:v>
      </x:c>
      <x:c r="I1387" s="85" t="n">
        <x:v>91768659.26205806</x:v>
      </x:c>
      <x:c r="J1387" s="85" t="n">
        <x:v>74999999.99999999</x:v>
      </x:c>
      <x:c r="K1387" s="85" t="n">
        <x:v>364680.674060273</x:v>
      </x:c>
      <x:c r="L1387" s="28" t="n">
        <x:v>42</x:v>
      </x:c>
      <x:c r="M1387" s="28" t="n">
        <x:v>38</x:v>
      </x:c>
      <x:c r="N1387" s="28" t="n">
        <x:v>1.862645149230957e-9</x:v>
      </x:c>
      <x:c r="O1387" s="28" t="n">
        <x:v>1.4901161193847656e-8</x:v>
      </x:c>
      <x:c r="P1387" s="28" t="n">
        <x:v>0</x:v>
      </x:c>
      <x:c r="Q1387" s="62" t="b">
        <x:v>1</x:v>
      </x:c>
      <x:c r="R1387" s="28" t="n">
        <x:v>0</x:v>
      </x:c>
      <x:c r="S1387" s="28" t="str">
        <x:v>3d5222e1fdccbdb7</x:v>
      </x:c>
    </x:row>
    <x:row r="1388" ht="21" customHeight="1">
      <x:c r="A1388" s="60" t="n">
        <x:v>0.65</x:v>
      </x:c>
      <x:c r="B1388" s="28" t="str">
        <x:v>middle_high</x:v>
      </x:c>
      <x:c r="C1388" s="60" t="n">
        <x:v>0.75</x:v>
      </x:c>
      <x:c r="D1388" s="60" t="n">
        <x:v>0.75</x:v>
      </x:c>
      <x:c r="E1388" s="62" t="b">
        <x:v>1</x:v>
      </x:c>
      <x:c r="F1388" s="62" t="b">
        <x:v>0</x:v>
      </x:c>
      <x:c r="G1388" s="85" t="n">
        <x:v>12382173.48689504</x:v>
      </x:c>
      <x:c r="H1388" s="85" t="n">
        <x:v>37900370.58384184</x:v>
      </x:c>
      <x:c r="I1388" s="85" t="n">
        <x:v>92012039.93204851</x:v>
      </x:c>
      <x:c r="J1388" s="85" t="n">
        <x:v>74999999.99999999</x:v>
      </x:c>
      <x:c r="K1388" s="85" t="n">
        <x:v>325993.0851232876</x:v>
      </x:c>
      <x:c r="L1388" s="28" t="n">
        <x:v>42</x:v>
      </x:c>
      <x:c r="M1388" s="28" t="n">
        <x:v>38</x:v>
      </x:c>
      <x:c r="N1388" s="28" t="n">
        <x:v>1.862645149230957e-9</x:v>
      </x:c>
      <x:c r="O1388" s="28" t="n">
        <x:v>2.9802322387695312e-8</x:v>
      </x:c>
      <x:c r="P1388" s="28" t="n">
        <x:v>0</x:v>
      </x:c>
      <x:c r="Q1388" s="62" t="b">
        <x:v>1</x:v>
      </x:c>
      <x:c r="R1388" s="28" t="n">
        <x:v>0</x:v>
      </x:c>
      <x:c r="S1388" s="28" t="str">
        <x:v>ba1dbb36787e34be</x:v>
      </x:c>
    </x:row>
    <x:row r="1389" ht="21" customHeight="1">
      <x:c r="A1389" s="60" t="n">
        <x:v>0.65</x:v>
      </x:c>
      <x:c r="B1389" s="28" t="str">
        <x:v>middle_high</x:v>
      </x:c>
      <x:c r="C1389" s="60" t="n">
        <x:v>0.8</x:v>
      </x:c>
      <x:c r="D1389" s="60" t="n">
        <x:v>0.8</x:v>
      </x:c>
      <x:c r="E1389" s="62" t="b">
        <x:v>1</x:v>
      </x:c>
      <x:c r="F1389" s="62" t="b">
        <x:v>0</x:v>
      </x:c>
      <x:c r="G1389" s="85" t="n">
        <x:v>16346294.713379601</x:v>
      </x:c>
      <x:c r="H1389" s="85" t="n">
        <x:v>49550111.72473632</x:v>
      </x:c>
      <x:c r="I1389" s="85" t="n">
        <x:v>93687454.16374241</x:v>
      </x:c>
      <x:c r="J1389" s="85" t="n">
        <x:v>74999999.99999999</x:v>
      </x:c>
      <x:c r="K1389" s="85" t="n">
        <x:v>287305.49618629843</x:v>
      </x:c>
      <x:c r="L1389" s="28" t="n">
        <x:v>43</x:v>
      </x:c>
      <x:c r="M1389" s="28" t="n">
        <x:v>39</x:v>
      </x:c>
      <x:c r="N1389" s="28" t="n">
        <x:v>1.862645149230957e-9</x:v>
      </x:c>
      <x:c r="O1389" s="28" t="n">
        <x:v>1.4901161193847656e-8</x:v>
      </x:c>
      <x:c r="P1389" s="28" t="n">
        <x:v>0</x:v>
      </x:c>
      <x:c r="Q1389" s="62" t="b">
        <x:v>1</x:v>
      </x:c>
      <x:c r="R1389" s="28" t="n">
        <x:v>0</x:v>
      </x:c>
      <x:c r="S1389" s="28" t="str">
        <x:v>5382a6ccb18f152e</x:v>
      </x:c>
    </x:row>
    <x:row r="1390" ht="21" customHeight="1">
      <x:c r="A1390" s="60" t="n">
        <x:v>0.65</x:v>
      </x:c>
      <x:c r="B1390" s="28" t="str">
        <x:v>middle_high</x:v>
      </x:c>
      <x:c r="C1390" s="60" t="n">
        <x:v>0.85</x:v>
      </x:c>
      <x:c r="D1390" s="60" t="n">
        <x:v>0.85</x:v>
      </x:c>
      <x:c r="E1390" s="62" t="b">
        <x:v>1</x:v>
      </x:c>
      <x:c r="F1390" s="62" t="b">
        <x:v>0</x:v>
      </x:c>
      <x:c r="G1390" s="85" t="n">
        <x:v>22688249.950700205</x:v>
      </x:c>
      <x:c r="H1390" s="85" t="n">
        <x:v>62521021.48986962</x:v>
      </x:c>
      <x:c r="I1390" s="85" t="n">
        <x:v>93846830.03613386</x:v>
      </x:c>
      <x:c r="J1390" s="85" t="n">
        <x:v>74999999.99999999</x:v>
      </x:c>
      <x:c r="K1390" s="85" t="n">
        <x:v>248617.90724931582</x:v>
      </x:c>
      <x:c r="L1390" s="28" t="n">
        <x:v>43</x:v>
      </x:c>
      <x:c r="M1390" s="28" t="n">
        <x:v>40</x:v>
      </x:c>
      <x:c r="N1390" s="28" t="n">
        <x:v>1.862645149230957e-9</x:v>
      </x:c>
      <x:c r="O1390" s="28" t="n">
        <x:v>2.9802322387695312e-8</x:v>
      </x:c>
      <x:c r="P1390" s="28" t="n">
        <x:v>0</x:v>
      </x:c>
      <x:c r="Q1390" s="62" t="b">
        <x:v>1</x:v>
      </x:c>
      <x:c r="R1390" s="28" t="n">
        <x:v>0</x:v>
      </x:c>
      <x:c r="S1390" s="28" t="str">
        <x:v>5f36177ca275564e</x:v>
      </x:c>
    </x:row>
    <x:row r="1391" ht="21" customHeight="1">
      <x:c r="A1391" s="60" t="n">
        <x:v>0.65</x:v>
      </x:c>
      <x:c r="B1391" s="28" t="str">
        <x:v>middle_high</x:v>
      </x:c>
      <x:c r="C1391" s="60" t="n">
        <x:v>0.9</x:v>
      </x:c>
      <x:c r="D1391" s="60" t="n">
        <x:v>0.9</x:v>
      </x:c>
      <x:c r="E1391" s="62" t="b">
        <x:v>1</x:v>
      </x:c>
      <x:c r="F1391" s="62" t="b">
        <x:v>0</x:v>
      </x:c>
      <x:c r="G1391" s="85" t="n">
        <x:v>31280938.38577942</x:v>
      </x:c>
      <x:c r="H1391" s="85" t="n">
        <x:v>71926524.54376939</x:v>
      </x:c>
      <x:c r="I1391" s="85" t="n">
        <x:v>94006205.90852529</x:v>
      </x:c>
      <x:c r="J1391" s="85" t="n">
        <x:v>74999999.99999999</x:v>
      </x:c>
      <x:c r="K1391" s="85" t="n">
        <x:v>209930.3183123304</x:v>
      </x:c>
      <x:c r="L1391" s="28" t="n">
        <x:v>43</x:v>
      </x:c>
      <x:c r="M1391" s="28" t="n">
        <x:v>40</x:v>
      </x:c>
      <x:c r="N1391" s="28" t="n">
        <x:v>1.862645149230957e-9</x:v>
      </x:c>
      <x:c r="O1391" s="28" t="n">
        <x:v>2.9802322387695312e-8</x:v>
      </x:c>
      <x:c r="P1391" s="28" t="n">
        <x:v>0</x:v>
      </x:c>
      <x:c r="Q1391" s="62" t="b">
        <x:v>1</x:v>
      </x:c>
      <x:c r="R1391" s="28" t="n">
        <x:v>0</x:v>
      </x:c>
      <x:c r="S1391" s="28" t="str">
        <x:v>22bd92a4b347e15a</x:v>
      </x:c>
    </x:row>
    <x:row r="1392" ht="21" customHeight="1">
      <x:c r="A1392" s="60" t="n">
        <x:v>0.65</x:v>
      </x:c>
      <x:c r="B1392" s="28" t="str">
        <x:v>middle_high</x:v>
      </x:c>
      <x:c r="C1392" s="60" t="n">
        <x:v>0.95</x:v>
      </x:c>
      <x:c r="D1392" s="60" t="n">
        <x:v>0.9361238209331334</x:v>
      </x:c>
      <x:c r="E1392" s="62" t="b">
        <x:v>0</x:v>
      </x:c>
      <x:c r="F1392" s="62" t="b">
        <x:v>0</x:v>
      </x:c>
      <x:c r="G1392" s="85" t="n">
        <x:v>34331952.94484242</x:v>
      </x:c>
      <x:c r="H1392" s="85" t="n">
        <x:v>77288926.59693517</x:v>
      </x:c>
      <x:c r="I1392" s="85" t="n">
        <x:v>95518518.05056433</x:v>
      </x:c>
      <x:c r="J1392" s="85" t="n">
        <x:v>74999999.99999999</x:v>
      </x:c>
      <x:c r="K1392" s="85" t="n">
        <x:v>171242.72937533754</x:v>
      </x:c>
      <x:c r="L1392" s="28" t="n">
        <x:v>44</x:v>
      </x:c>
      <x:c r="M1392" s="28" t="n">
        <x:v>40</x:v>
      </x:c>
      <x:c r="N1392" s="28" t="n">
        <x:v>1.862645149230957e-9</x:v>
      </x:c>
      <x:c r="O1392" s="28" t="n">
        <x:v>1.4901161193847656e-8</x:v>
      </x:c>
      <x:c r="P1392" s="28" t="n">
        <x:v>0</x:v>
      </x:c>
      <x:c r="Q1392" s="62" t="b">
        <x:v>1</x:v>
      </x:c>
      <x:c r="R1392" s="28" t="n">
        <x:v>4162853.720059991</x:v>
      </x:c>
      <x:c r="S1392" s="28" t="str">
        <x:v>b818a5beec20f458</x:v>
      </x:c>
    </x:row>
    <x:row r="1393" ht="21" customHeight="1">
      <x:c r="A1393" s="60" t="n">
        <x:v>0.65</x:v>
      </x:c>
      <x:c r="B1393" s="28" t="str">
        <x:v>middle_high</x:v>
      </x:c>
      <x:c r="C1393" s="60" t="n">
        <x:v>1</x:v>
      </x:c>
      <x:c r="D1393" s="60" t="n">
        <x:v>0.9498342654879072</x:v>
      </x:c>
      <x:c r="E1393" s="62" t="b">
        <x:v>0</x:v>
      </x:c>
      <x:c r="F1393" s="62" t="b">
        <x:v>0</x:v>
      </x:c>
      <x:c r="G1393" s="85" t="n">
        <x:v>37443627.9172604</x:v>
      </x:c>
      <x:c r="H1393" s="85" t="n">
        <x:v>80897137.41875938</x:v>
      </x:c>
      <x:c r="I1393" s="85" t="n">
        <x:v>95609086.76295884</x:v>
      </x:c>
      <x:c r="J1393" s="85" t="n">
        <x:v>74999999.99999999</x:v>
      </x:c>
      <x:c r="K1393" s="85" t="n">
        <x:v>135446.32109589342</x:v>
      </x:c>
      <x:c r="L1393" s="28" t="n">
        <x:v>44</x:v>
      </x:c>
      <x:c r="M1393" s="28" t="n">
        <x:v>41</x:v>
      </x:c>
      <x:c r="N1393" s="28" t="n">
        <x:v>1.862645149230957e-9</x:v>
      </x:c>
      <x:c r="O1393" s="28" t="n">
        <x:v>1.4901161193847656e-8</x:v>
      </x:c>
      <x:c r="P1393" s="28" t="n">
        <x:v>0</x:v>
      </x:c>
      <x:c r="Q1393" s="62" t="b">
        <x:v>1</x:v>
      </x:c>
      <x:c r="R1393" s="28" t="n">
        <x:v>15049720.35362786</x:v>
      </x:c>
      <x:c r="S1393" s="28" t="str">
        <x:v>fb97fc90026f2c31</x:v>
      </x:c>
    </x:row>
    <x:row r="1394" ht="21" customHeight="1">
      <x:c r="A1394" s="60" t="n">
        <x:v>0.65</x:v>
      </x:c>
      <x:c r="B1394" s="28" t="str">
        <x:v>back_flat</x:v>
      </x:c>
      <x:c r="C1394" s="60" t="n">
        <x:v>0</x:v>
      </x:c>
      <x:c r="D1394" s="60" t="n">
        <x:v>0</x:v>
      </x:c>
      <x:c r="E1394" s="62" t="b">
        <x:v>1</x:v>
      </x:c>
      <x:c r="F1394" s="62" t="b">
        <x:v>1</x:v>
      </x:c>
      <x:c r="G1394" s="85" t="n">
        <x:v>0</x:v>
      </x:c>
      <x:c r="H1394" s="85" t="n">
        <x:v>0</x:v>
      </x:c>
      <x:c r="I1394" s="85" t="n">
        <x:v>0</x:v>
      </x:c>
      <x:c r="J1394" s="85" t="n">
        <x:v>0</x:v>
      </x:c>
      <x:c r="K1394" s="85" t="n">
        <x:v>33472994.65547947</x:v>
      </x:c>
      <x:c r="L1394" s="28" t="n">
        <x:v>0</x:v>
      </x:c>
      <x:c r="M1394" s="28" t="n">
        <x:v>0</x:v>
      </x:c>
      <x:c r="N1394" s="28" t="n">
        <x:v>3.725290298461914e-9</x:v>
      </x:c>
      <x:c r="O1394" s="28" t="n">
        <x:v>0</x:v>
      </x:c>
      <x:c r="P1394" s="28" t="n">
        <x:v>0</x:v>
      </x:c>
      <x:c r="Q1394" s="62" t="b">
        <x:v>1</x:v>
      </x:c>
      <x:c r="R1394" s="28" t="n">
        <x:v>0</x:v>
      </x:c>
      <x:c r="S1394" s="28" t="str">
        <x:v>58219c1124d3eef7</x:v>
      </x:c>
    </x:row>
    <x:row r="1395" ht="21" customHeight="1">
      <x:c r="A1395" s="60" t="n">
        <x:v>0.65</x:v>
      </x:c>
      <x:c r="B1395" s="28" t="str">
        <x:v>back_flat</x:v>
      </x:c>
      <x:c r="C1395" s="60" t="n">
        <x:v>0.05</x:v>
      </x:c>
      <x:c r="D1395" s="60" t="n">
        <x:v>0.05</x:v>
      </x:c>
      <x:c r="E1395" s="62" t="b">
        <x:v>1</x:v>
      </x:c>
      <x:c r="F1395" s="62" t="b">
        <x:v>1</x:v>
      </x:c>
      <x:c r="G1395" s="85" t="n">
        <x:v>0</x:v>
      </x:c>
      <x:c r="H1395" s="85" t="n">
        <x:v>0</x:v>
      </x:c>
      <x:c r="I1395" s="85" t="n">
        <x:v>0</x:v>
      </x:c>
      <x:c r="J1395" s="85" t="n">
        <x:v>0</x:v>
      </x:c>
      <x:c r="K1395" s="85" t="n">
        <x:v>21731958.627661463</x:v>
      </x:c>
      <x:c r="L1395" s="28" t="n">
        <x:v>0</x:v>
      </x:c>
      <x:c r="M1395" s="28" t="n">
        <x:v>0</x:v>
      </x:c>
      <x:c r="N1395" s="28" t="n">
        <x:v>3.725290298461914e-9</x:v>
      </x:c>
      <x:c r="O1395" s="28" t="n">
        <x:v>5.960464477539063e-8</x:v>
      </x:c>
      <x:c r="P1395" s="28" t="n">
        <x:v>0</x:v>
      </x:c>
      <x:c r="Q1395" s="62" t="b">
        <x:v>1</x:v>
      </x:c>
      <x:c r="R1395" s="28" t="n">
        <x:v>0</x:v>
      </x:c>
      <x:c r="S1395" s="28" t="str">
        <x:v>a2254046f821b99f</x:v>
      </x:c>
    </x:row>
    <x:row r="1396" ht="21" customHeight="1">
      <x:c r="A1396" s="60" t="n">
        <x:v>0.65</x:v>
      </x:c>
      <x:c r="B1396" s="28" t="str">
        <x:v>back_flat</x:v>
      </x:c>
      <x:c r="C1396" s="60" t="n">
        <x:v>0.1</x:v>
      </x:c>
      <x:c r="D1396" s="60" t="n">
        <x:v>0.1</x:v>
      </x:c>
      <x:c r="E1396" s="62" t="b">
        <x:v>1</x:v>
      </x:c>
      <x:c r="F1396" s="62" t="b">
        <x:v>1</x:v>
      </x:c>
      <x:c r="G1396" s="85" t="n">
        <x:v>0</x:v>
      </x:c>
      <x:c r="H1396" s="85" t="n">
        <x:v>0</x:v>
      </x:c>
      <x:c r="I1396" s="85" t="n">
        <x:v>0</x:v>
      </x:c>
      <x:c r="J1396" s="85" t="n">
        <x:v>0</x:v>
      </x:c>
      <x:c r="K1396" s="85" t="n">
        <x:v>9873691.062079098</x:v>
      </x:c>
      <x:c r="L1396" s="28" t="n">
        <x:v>0</x:v>
      </x:c>
      <x:c r="M1396" s="28" t="n">
        <x:v>0</x:v>
      </x:c>
      <x:c r="N1396" s="28" t="n">
        <x:v>1.862645149230957e-9</x:v>
      </x:c>
      <x:c r="O1396" s="28" t="n">
        <x:v>5.960464477539063e-8</x:v>
      </x:c>
      <x:c r="P1396" s="28" t="n">
        <x:v>0</x:v>
      </x:c>
      <x:c r="Q1396" s="62" t="b">
        <x:v>1</x:v>
      </x:c>
      <x:c r="R1396" s="28" t="n">
        <x:v>0</x:v>
      </x:c>
      <x:c r="S1396" s="28" t="str">
        <x:v>e2c7852f048e5921</x:v>
      </x:c>
    </x:row>
    <x:row r="1397" ht="21" customHeight="1">
      <x:c r="A1397" s="60" t="n">
        <x:v>0.65</x:v>
      </x:c>
      <x:c r="B1397" s="28" t="str">
        <x:v>back_flat</x:v>
      </x:c>
      <x:c r="C1397" s="60" t="n">
        <x:v>0.15</x:v>
      </x:c>
      <x:c r="D1397" s="60" t="n">
        <x:v>0.15</x:v>
      </x:c>
      <x:c r="E1397" s="62" t="b">
        <x:v>1</x:v>
      </x:c>
      <x:c r="F1397" s="62" t="b">
        <x:v>1</x:v>
      </x:c>
      <x:c r="G1397" s="85" t="n">
        <x:v>0</x:v>
      </x:c>
      <x:c r="H1397" s="85" t="n">
        <x:v>0</x:v>
      </x:c>
      <x:c r="I1397" s="85" t="n">
        <x:v>2788696.6343813785</x:v>
      </x:c>
      <x:c r="J1397" s="85" t="n">
        <x:v>0</x:v>
      </x:c>
      <x:c r="K1397" s="85" t="n">
        <x:v>1545430.1192608112</x:v>
      </x:c>
      <x:c r="L1397" s="28" t="n">
        <x:v>0</x:v>
      </x:c>
      <x:c r="M1397" s="28" t="n">
        <x:v>0</x:v>
      </x:c>
      <x:c r="N1397" s="28" t="n">
        <x:v>3.725290298461914e-9</x:v>
      </x:c>
      <x:c r="O1397" s="28" t="n">
        <x:v>5.960464477539063e-8</x:v>
      </x:c>
      <x:c r="P1397" s="28" t="n">
        <x:v>0</x:v>
      </x:c>
      <x:c r="Q1397" s="62" t="b">
        <x:v>1</x:v>
      </x:c>
      <x:c r="R1397" s="28" t="n">
        <x:v>0</x:v>
      </x:c>
      <x:c r="S1397" s="28" t="str">
        <x:v>956558f43768533d</x:v>
      </x:c>
    </x:row>
    <x:row r="1398" ht="21" customHeight="1">
      <x:c r="A1398" s="60" t="n">
        <x:v>0.65</x:v>
      </x:c>
      <x:c r="B1398" s="28" t="str">
        <x:v>back_flat</x:v>
      </x:c>
      <x:c r="C1398" s="60" t="n">
        <x:v>0.2</x:v>
      </x:c>
      <x:c r="D1398" s="60" t="n">
        <x:v>0.2</x:v>
      </x:c>
      <x:c r="E1398" s="62" t="b">
        <x:v>1</x:v>
      </x:c>
      <x:c r="F1398" s="62" t="b">
        <x:v>1</x:v>
      </x:c>
      <x:c r="G1398" s="85" t="n">
        <x:v>0</x:v>
      </x:c>
      <x:c r="H1398" s="85" t="n">
        <x:v>0</x:v>
      </x:c>
      <x:c r="I1398" s="85" t="n">
        <x:v>10708456.660253339</x:v>
      </x:c>
      <x:c r="J1398" s="85" t="n">
        <x:v>6341080.834812414</x:v>
      </x:c>
      <x:c r="K1398" s="85" t="n">
        <x:v>1230572.709496657</x:v>
      </x:c>
      <x:c r="L1398" s="28" t="n">
        <x:v>0</x:v>
      </x:c>
      <x:c r="M1398" s="28" t="n">
        <x:v>0</x:v>
      </x:c>
      <x:c r="N1398" s="28" t="n">
        <x:v>1.862645149230957e-9</x:v>
      </x:c>
      <x:c r="O1398" s="28" t="n">
        <x:v>2.9802322387695312e-8</x:v>
      </x:c>
      <x:c r="P1398" s="28" t="n">
        <x:v>0</x:v>
      </x:c>
      <x:c r="Q1398" s="62" t="b">
        <x:v>1</x:v>
      </x:c>
      <x:c r="R1398" s="28" t="n">
        <x:v>0</x:v>
      </x:c>
      <x:c r="S1398" s="28" t="str">
        <x:v>9b51efdb968aa5fa</x:v>
      </x:c>
    </x:row>
    <x:row r="1399" ht="21" customHeight="1">
      <x:c r="A1399" s="60" t="n">
        <x:v>0.65</x:v>
      </x:c>
      <x:c r="B1399" s="28" t="str">
        <x:v>back_flat</x:v>
      </x:c>
      <x:c r="C1399" s="60" t="n">
        <x:v>0.25</x:v>
      </x:c>
      <x:c r="D1399" s="60" t="n">
        <x:v>0.25</x:v>
      </x:c>
      <x:c r="E1399" s="62" t="b">
        <x:v>1</x:v>
      </x:c>
      <x:c r="F1399" s="62" t="b">
        <x:v>1</x:v>
      </x:c>
      <x:c r="G1399" s="85" t="n">
        <x:v>0</x:v>
      </x:c>
      <x:c r="H1399" s="85" t="n">
        <x:v>0</x:v>
      </x:c>
      <x:c r="I1399" s="85" t="n">
        <x:v>16845086.19637837</x:v>
      </x:c>
      <x:c r="J1399" s="85" t="n">
        <x:v>15426351.043515632</x:v>
      </x:c>
      <x:c r="K1399" s="85" t="n">
        <x:v>988596.2632406886</x:v>
      </x:c>
      <x:c r="L1399" s="28" t="n">
        <x:v>0</x:v>
      </x:c>
      <x:c r="M1399" s="28" t="n">
        <x:v>0</x:v>
      </x:c>
      <x:c r="N1399" s="28" t="n">
        <x:v>3.725290298461914e-9</x:v>
      </x:c>
      <x:c r="O1399" s="28" t="n">
        <x:v>2.9802322387695312e-8</x:v>
      </x:c>
      <x:c r="P1399" s="28" t="n">
        <x:v>0</x:v>
      </x:c>
      <x:c r="Q1399" s="62" t="b">
        <x:v>1</x:v>
      </x:c>
      <x:c r="R1399" s="28" t="n">
        <x:v>0</x:v>
      </x:c>
      <x:c r="S1399" s="28" t="str">
        <x:v>3ce058737f191f43</x:v>
      </x:c>
    </x:row>
    <x:row r="1400" ht="21" customHeight="1">
      <x:c r="A1400" s="60" t="n">
        <x:v>0.65</x:v>
      </x:c>
      <x:c r="B1400" s="28" t="str">
        <x:v>back_flat</x:v>
      </x:c>
      <x:c r="C1400" s="60" t="n">
        <x:v>0.3</x:v>
      </x:c>
      <x:c r="D1400" s="60" t="n">
        <x:v>0.3</x:v>
      </x:c>
      <x:c r="E1400" s="62" t="b">
        <x:v>1</x:v>
      </x:c>
      <x:c r="F1400" s="62" t="b">
        <x:v>1</x:v>
      </x:c>
      <x:c r="G1400" s="85" t="n">
        <x:v>0</x:v>
      </x:c>
      <x:c r="H1400" s="85" t="n">
        <x:v>0</x:v>
      </x:c>
      <x:c r="I1400" s="85" t="n">
        <x:v>23089977.038835183</x:v>
      </x:c>
      <x:c r="J1400" s="85" t="n">
        <x:v>24511621.25221868</x:v>
      </x:c>
      <x:c r="K1400" s="85" t="n">
        <x:v>818596.6521375906</x:v>
      </x:c>
      <x:c r="L1400" s="28" t="n">
        <x:v>0</x:v>
      </x:c>
      <x:c r="M1400" s="28" t="n">
        <x:v>0</x:v>
      </x:c>
      <x:c r="N1400" s="28" t="n">
        <x:v>1.862645149230957e-9</x:v>
      </x:c>
      <x:c r="O1400" s="28" t="n">
        <x:v>2.9802322387695312e-8</x:v>
      </x:c>
      <x:c r="P1400" s="28" t="n">
        <x:v>0</x:v>
      </x:c>
      <x:c r="Q1400" s="62" t="b">
        <x:v>1</x:v>
      </x:c>
      <x:c r="R1400" s="28" t="n">
        <x:v>0</x:v>
      </x:c>
      <x:c r="S1400" s="28" t="str">
        <x:v>9a68bc2256bacb39</x:v>
      </x:c>
    </x:row>
    <x:row r="1401" ht="21" customHeight="1">
      <x:c r="A1401" s="60" t="n">
        <x:v>0.65</x:v>
      </x:c>
      <x:c r="B1401" s="28" t="str">
        <x:v>back_flat</x:v>
      </x:c>
      <x:c r="C1401" s="60" t="n">
        <x:v>0.35</x:v>
      </x:c>
      <x:c r="D1401" s="60" t="n">
        <x:v>0.35</x:v>
      </x:c>
      <x:c r="E1401" s="62" t="b">
        <x:v>1</x:v>
      </x:c>
      <x:c r="F1401" s="62" t="b">
        <x:v>1</x:v>
      </x:c>
      <x:c r="G1401" s="85" t="n">
        <x:v>0</x:v>
      </x:c>
      <x:c r="H1401" s="85" t="n">
        <x:v>0</x:v>
      </x:c>
      <x:c r="I1401" s="85" t="n">
        <x:v>29318105.81345838</x:v>
      </x:c>
      <x:c r="J1401" s="85" t="n">
        <x:v>33596891.46092175</x:v>
      </x:c>
      <x:c r="K1401" s="85" t="n">
        <x:v>680846.1770372391</x:v>
      </x:c>
      <x:c r="L1401" s="28" t="n">
        <x:v>0</x:v>
      </x:c>
      <x:c r="M1401" s="28" t="n">
        <x:v>0</x:v>
      </x:c>
      <x:c r="N1401" s="28" t="n">
        <x:v>3.725290298461914e-9</x:v>
      </x:c>
      <x:c r="O1401" s="28" t="n">
        <x:v>2.9802322387695312e-8</x:v>
      </x:c>
      <x:c r="P1401" s="28" t="n">
        <x:v>0</x:v>
      </x:c>
      <x:c r="Q1401" s="62" t="b">
        <x:v>1</x:v>
      </x:c>
      <x:c r="R1401" s="28" t="n">
        <x:v>0</x:v>
      </x:c>
      <x:c r="S1401" s="28" t="str">
        <x:v>754eaed1395c7042</x:v>
      </x:c>
    </x:row>
    <x:row r="1402" ht="21" customHeight="1">
      <x:c r="A1402" s="60" t="n">
        <x:v>0.65</x:v>
      </x:c>
      <x:c r="B1402" s="28" t="str">
        <x:v>back_flat</x:v>
      </x:c>
      <x:c r="C1402" s="60" t="n">
        <x:v>0.4</x:v>
      </x:c>
      <x:c r="D1402" s="60" t="n">
        <x:v>0.4</x:v>
      </x:c>
      <x:c r="E1402" s="62" t="b">
        <x:v>1</x:v>
      </x:c>
      <x:c r="F1402" s="62" t="b">
        <x:v>1</x:v>
      </x:c>
      <x:c r="G1402" s="85" t="n">
        <x:v>0</x:v>
      </x:c>
      <x:c r="H1402" s="85" t="n">
        <x:v>0</x:v>
      </x:c>
      <x:c r="I1402" s="85" t="n">
        <x:v>36035745.32176982</x:v>
      </x:c>
      <x:c r="J1402" s="85" t="n">
        <x:v>41758470.52251635</x:v>
      </x:c>
      <x:c r="K1402" s="85" t="n">
        <x:v>594916.2147506888</x:v>
      </x:c>
      <x:c r="L1402" s="28" t="n">
        <x:v>2</x:v>
      </x:c>
      <x:c r="M1402" s="28" t="n">
        <x:v>0</x:v>
      </x:c>
      <x:c r="N1402" s="28" t="n">
        <x:v>1.862645149230957e-9</x:v>
      </x:c>
      <x:c r="O1402" s="28" t="n">
        <x:v>2.9802322387695312e-8</x:v>
      </x:c>
      <x:c r="P1402" s="28" t="n">
        <x:v>0</x:v>
      </x:c>
      <x:c r="Q1402" s="62" t="b">
        <x:v>1</x:v>
      </x:c>
      <x:c r="R1402" s="28" t="n">
        <x:v>0</x:v>
      </x:c>
      <x:c r="S1402" s="28" t="str">
        <x:v>c9d54146aa73253a</x:v>
      </x:c>
    </x:row>
    <x:row r="1403" ht="21" customHeight="1">
      <x:c r="A1403" s="60" t="n">
        <x:v>0.65</x:v>
      </x:c>
      <x:c r="B1403" s="28" t="str">
        <x:v>back_flat</x:v>
      </x:c>
      <x:c r="C1403" s="60" t="n">
        <x:v>0.45</x:v>
      </x:c>
      <x:c r="D1403" s="60" t="n">
        <x:v>0.45</x:v>
      </x:c>
      <x:c r="E1403" s="62" t="b">
        <x:v>1</x:v>
      </x:c>
      <x:c r="F1403" s="62" t="b">
        <x:v>1</x:v>
      </x:c>
      <x:c r="G1403" s="85" t="n">
        <x:v>0</x:v>
      </x:c>
      <x:c r="H1403" s="85" t="n">
        <x:v>0</x:v>
      </x:c>
      <x:c r="I1403" s="85" t="n">
        <x:v>43481634.95263362</x:v>
      </x:c>
      <x:c r="J1403" s="85" t="n">
        <x:v>48114334.66476192</x:v>
      </x:c>
      <x:c r="K1403" s="85" t="n">
        <x:v>532063.8040945143</x:v>
      </x:c>
      <x:c r="L1403" s="28" t="n">
        <x:v>7</x:v>
      </x:c>
      <x:c r="M1403" s="28" t="n">
        <x:v>0</x:v>
      </x:c>
      <x:c r="N1403" s="28" t="n">
        <x:v>3.725290298461914e-9</x:v>
      </x:c>
      <x:c r="O1403" s="28" t="n">
        <x:v>1.4901161193847656e-8</x:v>
      </x:c>
      <x:c r="P1403" s="28" t="n">
        <x:v>0</x:v>
      </x:c>
      <x:c r="Q1403" s="62" t="b">
        <x:v>1</x:v>
      </x:c>
      <x:c r="R1403" s="28" t="n">
        <x:v>0</x:v>
      </x:c>
      <x:c r="S1403" s="28" t="str">
        <x:v>cc6469c0ffa3a72c</x:v>
      </x:c>
    </x:row>
    <x:row r="1404" ht="21" customHeight="1">
      <x:c r="A1404" s="60" t="n">
        <x:v>0.65</x:v>
      </x:c>
      <x:c r="B1404" s="28" t="str">
        <x:v>back_flat</x:v>
      </x:c>
      <x:c r="C1404" s="60" t="n">
        <x:v>0.5</x:v>
      </x:c>
      <x:c r="D1404" s="60" t="n">
        <x:v>0.5</x:v>
      </x:c>
      <x:c r="E1404" s="62" t="b">
        <x:v>1</x:v>
      </x:c>
      <x:c r="F1404" s="62" t="b">
        <x:v>1</x:v>
      </x:c>
      <x:c r="G1404" s="85" t="n">
        <x:v>0</x:v>
      </x:c>
      <x:c r="H1404" s="85" t="n">
        <x:v>0</x:v>
      </x:c>
      <x:c r="I1404" s="85" t="n">
        <x:v>50169110.07905553</x:v>
      </x:c>
      <x:c r="J1404" s="85" t="n">
        <x:v>56026811.77938787</x:v>
      </x:c>
      <x:c r="K1404" s="85" t="n">
        <x:v>469211.39343835856</x:v>
      </x:c>
      <x:c r="L1404" s="28" t="n">
        <x:v>10</x:v>
      </x:c>
      <x:c r="M1404" s="28" t="n">
        <x:v>1</x:v>
      </x:c>
      <x:c r="N1404" s="28" t="n">
        <x:v>3.725290298461914e-9</x:v>
      </x:c>
      <x:c r="O1404" s="28" t="n">
        <x:v>2.9802322387695312e-8</x:v>
      </x:c>
      <x:c r="P1404" s="28" t="n">
        <x:v>0</x:v>
      </x:c>
      <x:c r="Q1404" s="62" t="b">
        <x:v>1</x:v>
      </x:c>
      <x:c r="R1404" s="28" t="n">
        <x:v>0</x:v>
      </x:c>
      <x:c r="S1404" s="28" t="str">
        <x:v>f9aed43fe5e893dd</x:v>
      </x:c>
    </x:row>
    <x:row r="1405" ht="21" customHeight="1">
      <x:c r="A1405" s="60" t="n">
        <x:v>0.65</x:v>
      </x:c>
      <x:c r="B1405" s="28" t="str">
        <x:v>back_flat</x:v>
      </x:c>
      <x:c r="C1405" s="60" t="n">
        <x:v>0.55</x:v>
      </x:c>
      <x:c r="D1405" s="60" t="n">
        <x:v>0.55</x:v>
      </x:c>
      <x:c r="E1405" s="62" t="b">
        <x:v>1</x:v>
      </x:c>
      <x:c r="F1405" s="62" t="b">
        <x:v>1</x:v>
      </x:c>
      <x:c r="G1405" s="85" t="n">
        <x:v>0</x:v>
      </x:c>
      <x:c r="H1405" s="85" t="n">
        <x:v>0</x:v>
      </x:c>
      <x:c r="I1405" s="85" t="n">
        <x:v>56296801.19534219</x:v>
      </x:c>
      <x:c r="J1405" s="85" t="n">
        <x:v>65221348.82342117</x:v>
      </x:c>
      <x:c r="K1405" s="85" t="n">
        <x:v>406358.98278218706</x:v>
      </x:c>
      <x:c r="L1405" s="28" t="n">
        <x:v>12</x:v>
      </x:c>
      <x:c r="M1405" s="28" t="n">
        <x:v>5</x:v>
      </x:c>
      <x:c r="N1405" s="28" t="n">
        <x:v>1.862645149230957e-9</x:v>
      </x:c>
      <x:c r="O1405" s="28" t="n">
        <x:v>2.9802322387695312e-8</x:v>
      </x:c>
      <x:c r="P1405" s="28" t="n">
        <x:v>0</x:v>
      </x:c>
      <x:c r="Q1405" s="62" t="b">
        <x:v>1</x:v>
      </x:c>
      <x:c r="R1405" s="28" t="n">
        <x:v>0</x:v>
      </x:c>
      <x:c r="S1405" s="28" t="str">
        <x:v>738f230249d455ef</x:v>
      </x:c>
    </x:row>
    <x:row r="1406" ht="21" customHeight="1">
      <x:c r="A1406" s="60" t="n">
        <x:v>0.65</x:v>
      </x:c>
      <x:c r="B1406" s="28" t="str">
        <x:v>back_flat</x:v>
      </x:c>
      <x:c r="C1406" s="60" t="n">
        <x:v>0.6</x:v>
      </x:c>
      <x:c r="D1406" s="60" t="n">
        <x:v>0.6</x:v>
      </x:c>
      <x:c r="E1406" s="62" t="b">
        <x:v>1</x:v>
      </x:c>
      <x:c r="F1406" s="62" t="b">
        <x:v>1</x:v>
      </x:c>
      <x:c r="G1406" s="85" t="n">
        <x:v>0</x:v>
      </x:c>
      <x:c r="H1406" s="85" t="n">
        <x:v>0</x:v>
      </x:c>
      <x:c r="I1406" s="85" t="n">
        <x:v>62137995.74195465</x:v>
      </x:c>
      <x:c r="J1406" s="85" t="n">
        <x:v>74696295.23507264</x:v>
      </x:c>
      <x:c r="K1406" s="85" t="n">
        <x:v>343506.57212603034</x:v>
      </x:c>
      <x:c r="L1406" s="28" t="n">
        <x:v>21</x:v>
      </x:c>
      <x:c r="M1406" s="28" t="n">
        <x:v>15</x:v>
      </x:c>
      <x:c r="N1406" s="28" t="n">
        <x:v>1.862645149230957e-9</x:v>
      </x:c>
      <x:c r="O1406" s="28" t="n">
        <x:v>2.9802322387695312e-8</x:v>
      </x:c>
      <x:c r="P1406" s="28" t="n">
        <x:v>0</x:v>
      </x:c>
      <x:c r="Q1406" s="62" t="b">
        <x:v>1</x:v>
      </x:c>
      <x:c r="R1406" s="28" t="n">
        <x:v>0</x:v>
      </x:c>
      <x:c r="S1406" s="28" t="str">
        <x:v>c540c1f3a9fff5f4</x:v>
      </x:c>
    </x:row>
    <x:row r="1407" ht="21" customHeight="1">
      <x:c r="A1407" s="60" t="n">
        <x:v>0.65</x:v>
      </x:c>
      <x:c r="B1407" s="28" t="str">
        <x:v>back_flat</x:v>
      </x:c>
      <x:c r="C1407" s="60" t="n">
        <x:v>0.65</x:v>
      </x:c>
      <x:c r="D1407" s="60" t="n">
        <x:v>0.65</x:v>
      </x:c>
      <x:c r="E1407" s="62" t="b">
        <x:v>1</x:v>
      </x:c>
      <x:c r="F1407" s="62" t="b">
        <x:v>0</x:v>
      </x:c>
      <x:c r="G1407" s="85" t="n">
        <x:v>1640422.411871611</x:v>
      </x:c>
      <x:c r="H1407" s="85" t="n">
        <x:v>10692395.626436379</x:v>
      </x:c>
      <x:c r="I1407" s="85" t="n">
        <x:v>63581059.54349859</x:v>
      </x:c>
      <x:c r="J1407" s="85" t="n">
        <x:v>74999999.99999999</x:v>
      </x:c>
      <x:c r="K1407" s="85" t="n">
        <x:v>295464.2684123283</x:v>
      </x:c>
      <x:c r="L1407" s="28" t="n">
        <x:v>39</x:v>
      </x:c>
      <x:c r="M1407" s="28" t="n">
        <x:v>32</x:v>
      </x:c>
      <x:c r="N1407" s="28" t="n">
        <x:v>1.862645149230957e-9</x:v>
      </x:c>
      <x:c r="O1407" s="28" t="n">
        <x:v>1.4901161193847656e-8</x:v>
      </x:c>
      <x:c r="P1407" s="28" t="n">
        <x:v>0</x:v>
      </x:c>
      <x:c r="Q1407" s="62" t="b">
        <x:v>1</x:v>
      </x:c>
      <x:c r="R1407" s="28" t="n">
        <x:v>0</x:v>
      </x:c>
      <x:c r="S1407" s="28" t="str">
        <x:v>879edddea875cd3a</x:v>
      </x:c>
    </x:row>
    <x:row r="1408" ht="21" customHeight="1">
      <x:c r="A1408" s="60" t="n">
        <x:v>0.65</x:v>
      </x:c>
      <x:c r="B1408" s="28" t="str">
        <x:v>back_flat</x:v>
      </x:c>
      <x:c r="C1408" s="60" t="n">
        <x:v>0.7</x:v>
      </x:c>
      <x:c r="D1408" s="60" t="n">
        <x:v>0.7</x:v>
      </x:c>
      <x:c r="E1408" s="62" t="b">
        <x:v>1</x:v>
      </x:c>
      <x:c r="F1408" s="62" t="b">
        <x:v>0</x:v>
      </x:c>
      <x:c r="G1408" s="85" t="n">
        <x:v>3750935.7611990916</x:v>
      </x:c>
      <x:c r="H1408" s="85" t="n">
        <x:v>21326686.078556284</x:v>
      </x:c>
      <x:c r="I1408" s="85" t="n">
        <x:v>64799994.12031512</x:v>
      </x:c>
      <x:c r="J1408" s="85" t="n">
        <x:v>74999999.99999999</x:v>
      </x:c>
      <x:c r="K1408" s="85" t="n">
        <x:v>276318.71150411083</x:v>
      </x:c>
      <x:c r="L1408" s="28" t="n">
        <x:v>40</x:v>
      </x:c>
      <x:c r="M1408" s="28" t="n">
        <x:v>34</x:v>
      </x:c>
      <x:c r="N1408" s="28" t="n">
        <x:v>1.862645149230957e-9</x:v>
      </x:c>
      <x:c r="O1408" s="28" t="n">
        <x:v>2.9802322387695312e-8</x:v>
      </x:c>
      <x:c r="P1408" s="28" t="n">
        <x:v>0</x:v>
      </x:c>
      <x:c r="Q1408" s="62" t="b">
        <x:v>1</x:v>
      </x:c>
      <x:c r="R1408" s="28" t="n">
        <x:v>0</x:v>
      </x:c>
      <x:c r="S1408" s="28" t="str">
        <x:v>27ed252b8174f5d6</x:v>
      </x:c>
    </x:row>
    <x:row r="1409" ht="21" customHeight="1">
      <x:c r="A1409" s="60" t="n">
        <x:v>0.65</x:v>
      </x:c>
      <x:c r="B1409" s="28" t="str">
        <x:v>back_flat</x:v>
      </x:c>
      <x:c r="C1409" s="60" t="n">
        <x:v>0.75</x:v>
      </x:c>
      <x:c r="D1409" s="60" t="n">
        <x:v>0.75</x:v>
      </x:c>
      <x:c r="E1409" s="62" t="b">
        <x:v>1</x:v>
      </x:c>
      <x:c r="F1409" s="62" t="b">
        <x:v>0</x:v>
      </x:c>
      <x:c r="G1409" s="85" t="n">
        <x:v>6147391.649445028</x:v>
      </x:c>
      <x:c r="H1409" s="85" t="n">
        <x:v>33099935.178265896</x:v>
      </x:c>
      <x:c r="I1409" s="85" t="n">
        <x:v>64983354.01207931</x:v>
      </x:c>
      <x:c r="J1409" s="85" t="n">
        <x:v>74999999.99999999</x:v>
      </x:c>
      <x:c r="K1409" s="85" t="n">
        <x:v>257173.1545958943</x:v>
      </x:c>
      <x:c r="L1409" s="28" t="n">
        <x:v>40</x:v>
      </x:c>
      <x:c r="M1409" s="28" t="n">
        <x:v>34</x:v>
      </x:c>
      <x:c r="N1409" s="28" t="n">
        <x:v>1.862645149230957e-9</x:v>
      </x:c>
      <x:c r="O1409" s="28" t="n">
        <x:v>2.9802322387695312e-8</x:v>
      </x:c>
      <x:c r="P1409" s="28" t="n">
        <x:v>0</x:v>
      </x:c>
      <x:c r="Q1409" s="62" t="b">
        <x:v>1</x:v>
      </x:c>
      <x:c r="R1409" s="28" t="n">
        <x:v>0</x:v>
      </x:c>
      <x:c r="S1409" s="28" t="str">
        <x:v>a58e4c4a09487344</x:v>
      </x:c>
    </x:row>
    <x:row r="1410" ht="21" customHeight="1">
      <x:c r="A1410" s="60" t="n">
        <x:v>0.65</x:v>
      </x:c>
      <x:c r="B1410" s="28" t="str">
        <x:v>back_flat</x:v>
      </x:c>
      <x:c r="C1410" s="60" t="n">
        <x:v>0.8</x:v>
      </x:c>
      <x:c r="D1410" s="60" t="n">
        <x:v>0.8</x:v>
      </x:c>
      <x:c r="E1410" s="62" t="b">
        <x:v>1</x:v>
      </x:c>
      <x:c r="F1410" s="62" t="b">
        <x:v>0</x:v>
      </x:c>
      <x:c r="G1410" s="85" t="n">
        <x:v>8422823.703464417</x:v>
      </x:c>
      <x:c r="H1410" s="85" t="n">
        <x:v>43128936.12584153</x:v>
      </x:c>
      <x:c r="I1410" s="85" t="n">
        <x:v>66295277.43385205</x:v>
      </x:c>
      <x:c r="J1410" s="85" t="n">
        <x:v>74999999.99999999</x:v>
      </x:c>
      <x:c r="K1410" s="85" t="n">
        <x:v>238027.5976876727</x:v>
      </x:c>
      <x:c r="L1410" s="28" t="n">
        <x:v>41</x:v>
      </x:c>
      <x:c r="M1410" s="28" t="n">
        <x:v>35</x:v>
      </x:c>
      <x:c r="N1410" s="28" t="n">
        <x:v>1.862645149230957e-9</x:v>
      </x:c>
      <x:c r="O1410" s="28" t="n">
        <x:v>1.4901161193847656e-8</x:v>
      </x:c>
      <x:c r="P1410" s="28" t="n">
        <x:v>0</x:v>
      </x:c>
      <x:c r="Q1410" s="62" t="b">
        <x:v>1</x:v>
      </x:c>
      <x:c r="R1410" s="28" t="n">
        <x:v>0</x:v>
      </x:c>
      <x:c r="S1410" s="28" t="str">
        <x:v>977b32d532cae130</x:v>
      </x:c>
    </x:row>
    <x:row r="1411" ht="21" customHeight="1">
      <x:c r="A1411" s="60" t="n">
        <x:v>0.65</x:v>
      </x:c>
      <x:c r="B1411" s="28" t="str">
        <x:v>back_flat</x:v>
      </x:c>
      <x:c r="C1411" s="60" t="n">
        <x:v>0.85</x:v>
      </x:c>
      <x:c r="D1411" s="60" t="n">
        <x:v>0.85</x:v>
      </x:c>
      <x:c r="E1411" s="62" t="b">
        <x:v>1</x:v>
      </x:c>
      <x:c r="F1411" s="62" t="b">
        <x:v>0</x:v>
      </x:c>
      <x:c r="G1411" s="85" t="n">
        <x:v>11544602.051247574</x:v>
      </x:c>
      <x:c r="H1411" s="85" t="n">
        <x:v>54184894.55289408</x:v>
      </x:c>
      <x:c r="I1411" s="85" t="n">
        <x:v>66420702.61199519</x:v>
      </x:c>
      <x:c r="J1411" s="85" t="n">
        <x:v>74999999.99999999</x:v>
      </x:c>
      <x:c r="K1411" s="85" t="n">
        <x:v>218882.04077945105</x:v>
      </x:c>
      <x:c r="L1411" s="28" t="n">
        <x:v>41</x:v>
      </x:c>
      <x:c r="M1411" s="28" t="n">
        <x:v>36</x:v>
      </x:c>
      <x:c r="N1411" s="28" t="n">
        <x:v>1.862645149230957e-9</x:v>
      </x:c>
      <x:c r="O1411" s="28" t="n">
        <x:v>2.9802322387695312e-8</x:v>
      </x:c>
      <x:c r="P1411" s="28" t="n">
        <x:v>0</x:v>
      </x:c>
      <x:c r="Q1411" s="62" t="b">
        <x:v>1</x:v>
      </x:c>
      <x:c r="R1411" s="28" t="n">
        <x:v>0</x:v>
      </x:c>
      <x:c r="S1411" s="28" t="str">
        <x:v>cdfe4c5816588c8b</x:v>
      </x:c>
    </x:row>
    <x:row r="1412" ht="21" customHeight="1">
      <x:c r="A1412" s="60" t="n">
        <x:v>0.65</x:v>
      </x:c>
      <x:c r="B1412" s="28" t="str">
        <x:v>back_flat</x:v>
      </x:c>
      <x:c r="C1412" s="60" t="n">
        <x:v>0.9</x:v>
      </x:c>
      <x:c r="D1412" s="60" t="n">
        <x:v>0.8948658400492392</x:v>
      </x:c>
      <x:c r="E1412" s="62" t="b">
        <x:v>0</x:v>
      </x:c>
      <x:c r="F1412" s="62" t="b">
        <x:v>0</x:v>
      </x:c>
      <x:c r="G1412" s="85" t="n">
        <x:v>15778932.039462345</x:v>
      </x:c>
      <x:c r="H1412" s="85" t="n">
        <x:v>59741402.78830498</x:v>
      </x:c>
      <x:c r="I1412" s="85" t="n">
        <x:v>67625632.31375983</x:v>
      </x:c>
      <x:c r="J1412" s="85" t="n">
        <x:v>74999999.99999999</x:v>
      </x:c>
      <x:c r="K1412" s="85" t="n">
        <x:v>199736.48387122987</x:v>
      </x:c>
      <x:c r="L1412" s="28" t="n">
        <x:v>42</x:v>
      </x:c>
      <x:c r="M1412" s="28" t="n">
        <x:v>36</x:v>
      </x:c>
      <x:c r="N1412" s="28" t="n">
        <x:v>1.862645149230957e-9</x:v>
      </x:c>
      <x:c r="O1412" s="28" t="n">
        <x:v>2.9802322387695312e-8</x:v>
      </x:c>
      <x:c r="P1412" s="28" t="n">
        <x:v>0</x:v>
      </x:c>
      <x:c r="Q1412" s="62" t="b">
        <x:v>1</x:v>
      </x:c>
      <x:c r="R1412" s="28" t="n">
        <x:v>1540247.9852282405</x:v>
      </x:c>
      <x:c r="S1412" s="28" t="str">
        <x:v>c9a5848972f3be05</x:v>
      </x:c>
    </x:row>
    <x:row r="1413" ht="21" customHeight="1">
      <x:c r="A1413" s="60" t="n">
        <x:v>0.65</x:v>
      </x:c>
      <x:c r="B1413" s="28" t="str">
        <x:v>back_flat</x:v>
      </x:c>
      <x:c r="C1413" s="60" t="n">
        <x:v>0.95</x:v>
      </x:c>
      <x:c r="D1413" s="60" t="n">
        <x:v>0.9083032015334562</x:v>
      </x:c>
      <x:c r="E1413" s="62" t="b">
        <x:v>0</x:v>
      </x:c>
      <x:c r="F1413" s="62" t="b">
        <x:v>0</x:v>
      </x:c>
      <x:c r="G1413" s="85" t="n">
        <x:v>16777633.802507374</x:v>
      </x:c>
      <x:c r="H1413" s="85" t="n">
        <x:v>63522637.42080404</x:v>
      </x:c>
      <x:c r="I1413" s="85" t="n">
        <x:v>67746686.64976019</x:v>
      </x:c>
      <x:c r="J1413" s="85" t="n">
        <x:v>74999999.99999999</x:v>
      </x:c>
      <x:c r="K1413" s="85" t="n">
        <x:v>180590.92696301197</x:v>
      </x:c>
      <x:c r="L1413" s="28" t="n">
        <x:v>42</x:v>
      </x:c>
      <x:c r="M1413" s="28" t="n">
        <x:v>37</x:v>
      </x:c>
      <x:c r="N1413" s="28" t="n">
        <x:v>1.862645149230957e-9</x:v>
      </x:c>
      <x:c r="O1413" s="28" t="n">
        <x:v>2.9802322387695312e-8</x:v>
      </x:c>
      <x:c r="P1413" s="28" t="n">
        <x:v>0</x:v>
      </x:c>
      <x:c r="Q1413" s="62" t="b">
        <x:v>1</x:v>
      </x:c>
      <x:c r="R1413" s="28" t="n">
        <x:v>12509039.539963126</x:v>
      </x:c>
      <x:c r="S1413" s="28" t="str">
        <x:v>ac4d658563238ff8</x:v>
      </x:c>
    </x:row>
    <x:row r="1414" ht="21" customHeight="1">
      <x:c r="A1414" s="60" t="n">
        <x:v>0.65</x:v>
      </x:c>
      <x:c r="B1414" s="28" t="str">
        <x:v>back_flat</x:v>
      </x:c>
      <x:c r="C1414" s="60" t="n">
        <x:v>1</x:v>
      </x:c>
      <x:c r="D1414" s="60" t="n">
        <x:v>0.920601109498915</x:v>
      </x:c>
      <x:c r="E1414" s="62" t="b">
        <x:v>0</x:v>
      </x:c>
      <x:c r="F1414" s="62" t="b">
        <x:v>0</x:v>
      </x:c>
      <x:c r="G1414" s="85" t="n">
        <x:v>18243265.009064</x:v>
      </x:c>
      <x:c r="H1414" s="85" t="n">
        <x:v>66288294.193329744</x:v>
      </x:c>
      <x:c r="I1414" s="85" t="n">
        <x:v>67867740.98576054</x:v>
      </x:c>
      <x:c r="J1414" s="85" t="n">
        <x:v>74999999.99999999</x:v>
      </x:c>
      <x:c r="K1414" s="85" t="n">
        <x:v>161445.370054795</x:v>
      </x:c>
      <x:c r="L1414" s="28" t="n">
        <x:v>42</x:v>
      </x:c>
      <x:c r="M1414" s="28" t="n">
        <x:v>38</x:v>
      </x:c>
      <x:c r="N1414" s="28" t="n">
        <x:v>1.862645149230957e-9</x:v>
      </x:c>
      <x:c r="O1414" s="28" t="n">
        <x:v>2.9802322387695312e-8</x:v>
      </x:c>
      <x:c r="P1414" s="28" t="n">
        <x:v>0</x:v>
      </x:c>
      <x:c r="Q1414" s="62" t="b">
        <x:v>1</x:v>
      </x:c>
      <x:c r="R1414" s="28" t="n">
        <x:v>23819667.150325477</x:v>
      </x:c>
      <x:c r="S1414" s="28" t="str">
        <x:v>955c5024882cab79</x:v>
      </x:c>
    </x:row>
    <x:row r="1415" ht="21" customHeight="1">
      <x:c r="A1415" s="60" t="n">
        <x:v>0.65</x:v>
      </x:c>
      <x:c r="B1415" s="28" t="str">
        <x:v>back_low</x:v>
      </x:c>
      <x:c r="C1415" s="60" t="n">
        <x:v>0</x:v>
      </x:c>
      <x:c r="D1415" s="60" t="n">
        <x:v>0</x:v>
      </x:c>
      <x:c r="E1415" s="62" t="b">
        <x:v>1</x:v>
      </x:c>
      <x:c r="F1415" s="62" t="b">
        <x:v>1</x:v>
      </x:c>
      <x:c r="G1415" s="85" t="n">
        <x:v>0</x:v>
      </x:c>
      <x:c r="H1415" s="85" t="n">
        <x:v>0</x:v>
      </x:c>
      <x:c r="I1415" s="85" t="n">
        <x:v>0</x:v>
      </x:c>
      <x:c r="J1415" s="85" t="n">
        <x:v>0</x:v>
      </x:c>
      <x:c r="K1415" s="85" t="n">
        <x:v>29480168.121232886</x:v>
      </x:c>
      <x:c r="L1415" s="28" t="n">
        <x:v>0</x:v>
      </x:c>
      <x:c r="M1415" s="28" t="n">
        <x:v>0</x:v>
      </x:c>
      <x:c r="N1415" s="28" t="n">
        <x:v>9.313225746154785e-10</x:v>
      </x:c>
      <x:c r="O1415" s="28" t="n">
        <x:v>0</x:v>
      </x:c>
      <x:c r="P1415" s="28" t="n">
        <x:v>0</x:v>
      </x:c>
      <x:c r="Q1415" s="62" t="b">
        <x:v>1</x:v>
      </x:c>
      <x:c r="R1415" s="28" t="n">
        <x:v>0</x:v>
      </x:c>
      <x:c r="S1415" s="28" t="str">
        <x:v>0665606b451aec52</x:v>
      </x:c>
    </x:row>
    <x:row r="1416" ht="21" customHeight="1">
      <x:c r="A1416" s="60" t="n">
        <x:v>0.65</x:v>
      </x:c>
      <x:c r="B1416" s="28" t="str">
        <x:v>back_low</x:v>
      </x:c>
      <x:c r="C1416" s="60" t="n">
        <x:v>0.05</x:v>
      </x:c>
      <x:c r="D1416" s="60" t="n">
        <x:v>0.05</x:v>
      </x:c>
      <x:c r="E1416" s="62" t="b">
        <x:v>1</x:v>
      </x:c>
      <x:c r="F1416" s="62" t="b">
        <x:v>1</x:v>
      </x:c>
      <x:c r="G1416" s="85" t="n">
        <x:v>0</x:v>
      </x:c>
      <x:c r="H1416" s="85" t="n">
        <x:v>0</x:v>
      </x:c>
      <x:c r="I1416" s="85" t="n">
        <x:v>0</x:v>
      </x:c>
      <x:c r="J1416" s="85" t="n">
        <x:v>0</x:v>
      </x:c>
      <x:c r="K1416" s="85" t="n">
        <x:v>18860948.822621185</x:v>
      </x:c>
      <x:c r="L1416" s="28" t="n">
        <x:v>0</x:v>
      </x:c>
      <x:c r="M1416" s="28" t="n">
        <x:v>0</x:v>
      </x:c>
      <x:c r="N1416" s="28" t="n">
        <x:v>3.725290298461914e-9</x:v>
      </x:c>
      <x:c r="O1416" s="28" t="n">
        <x:v>5.960464477539063e-8</x:v>
      </x:c>
      <x:c r="P1416" s="28" t="n">
        <x:v>0</x:v>
      </x:c>
      <x:c r="Q1416" s="62" t="b">
        <x:v>1</x:v>
      </x:c>
      <x:c r="R1416" s="28" t="n">
        <x:v>0</x:v>
      </x:c>
      <x:c r="S1416" s="28" t="str">
        <x:v>37cf5634205eca89</x:v>
      </x:c>
    </x:row>
    <x:row r="1417" ht="21" customHeight="1">
      <x:c r="A1417" s="60" t="n">
        <x:v>0.65</x:v>
      </x:c>
      <x:c r="B1417" s="28" t="str">
        <x:v>back_low</x:v>
      </x:c>
      <x:c r="C1417" s="60" t="n">
        <x:v>0.1</x:v>
      </x:c>
      <x:c r="D1417" s="60" t="n">
        <x:v>0.1</x:v>
      </x:c>
      <x:c r="E1417" s="62" t="b">
        <x:v>1</x:v>
      </x:c>
      <x:c r="F1417" s="62" t="b">
        <x:v>1</x:v>
      </x:c>
      <x:c r="G1417" s="85" t="n">
        <x:v>0</x:v>
      </x:c>
      <x:c r="H1417" s="85" t="n">
        <x:v>0</x:v>
      </x:c>
      <x:c r="I1417" s="85" t="n">
        <x:v>0</x:v>
      </x:c>
      <x:c r="J1417" s="85" t="n">
        <x:v>0</x:v>
      </x:c>
      <x:c r="K1417" s="85" t="n">
        <x:v>8158977.850293467</x:v>
      </x:c>
      <x:c r="L1417" s="28" t="n">
        <x:v>0</x:v>
      </x:c>
      <x:c r="M1417" s="28" t="n">
        <x:v>0</x:v>
      </x:c>
      <x:c r="N1417" s="28" t="n">
        <x:v>1.862645149230957e-9</x:v>
      </x:c>
      <x:c r="O1417" s="28" t="n">
        <x:v>5.960464477539063e-8</x:v>
      </x:c>
      <x:c r="P1417" s="28" t="n">
        <x:v>0</x:v>
      </x:c>
      <x:c r="Q1417" s="62" t="b">
        <x:v>1</x:v>
      </x:c>
      <x:c r="R1417" s="28" t="n">
        <x:v>0</x:v>
      </x:c>
      <x:c r="S1417" s="28" t="str">
        <x:v>063b9c82a9edfef0</x:v>
      </x:c>
    </x:row>
    <x:row r="1418" ht="21" customHeight="1">
      <x:c r="A1418" s="60" t="n">
        <x:v>0.65</x:v>
      </x:c>
      <x:c r="B1418" s="28" t="str">
        <x:v>back_low</x:v>
      </x:c>
      <x:c r="C1418" s="60" t="n">
        <x:v>0.15</x:v>
      </x:c>
      <x:c r="D1418" s="60" t="n">
        <x:v>0.15</x:v>
      </x:c>
      <x:c r="E1418" s="62" t="b">
        <x:v>1</x:v>
      </x:c>
      <x:c r="F1418" s="62" t="b">
        <x:v>1</x:v>
      </x:c>
      <x:c r="G1418" s="85" t="n">
        <x:v>0</x:v>
      </x:c>
      <x:c r="H1418" s="85" t="n">
        <x:v>0</x:v>
      </x:c>
      <x:c r="I1418" s="85" t="n">
        <x:v>2219374.29316373</x:v>
      </x:c>
      <x:c r="J1418" s="85" t="n">
        <x:v>0</x:v>
      </x:c>
      <x:c r="K1418" s="85" t="n">
        <x:v>582006.668427972</x:v>
      </x:c>
      <x:c r="L1418" s="28" t="n">
        <x:v>0</x:v>
      </x:c>
      <x:c r="M1418" s="28" t="n">
        <x:v>0</x:v>
      </x:c>
      <x:c r="N1418" s="28" t="n">
        <x:v>1.862645149230957e-9</x:v>
      </x:c>
      <x:c r="O1418" s="28" t="n">
        <x:v>5.960464477539063e-8</x:v>
      </x:c>
      <x:c r="P1418" s="28" t="n">
        <x:v>0</x:v>
      </x:c>
      <x:c r="Q1418" s="62" t="b">
        <x:v>1</x:v>
      </x:c>
      <x:c r="R1418" s="28" t="n">
        <x:v>0</x:v>
      </x:c>
      <x:c r="S1418" s="28" t="str">
        <x:v>40627e429b94c169</x:v>
      </x:c>
    </x:row>
    <x:row r="1419" ht="21" customHeight="1">
      <x:c r="A1419" s="60" t="n">
        <x:v>0.65</x:v>
      </x:c>
      <x:c r="B1419" s="28" t="str">
        <x:v>back_low</x:v>
      </x:c>
      <x:c r="C1419" s="60" t="n">
        <x:v>0.2</x:v>
      </x:c>
      <x:c r="D1419" s="60" t="n">
        <x:v>0.2</x:v>
      </x:c>
      <x:c r="E1419" s="62" t="b">
        <x:v>1</x:v>
      </x:c>
      <x:c r="F1419" s="62" t="b">
        <x:v>1</x:v>
      </x:c>
      <x:c r="G1419" s="85" t="n">
        <x:v>0</x:v>
      </x:c>
      <x:c r="H1419" s="85" t="n">
        <x:v>0</x:v>
      </x:c>
      <x:c r="I1419" s="85" t="n">
        <x:v>8369399.539968908</x:v>
      </x:c>
      <x:c r="J1419" s="85" t="n">
        <x:v>6341080.834812414</x:v>
      </x:c>
      <x:c r="K1419" s="85" t="n">
        <x:v>446808.2149815855</x:v>
      </x:c>
      <x:c r="L1419" s="28" t="n">
        <x:v>0</x:v>
      </x:c>
      <x:c r="M1419" s="28" t="n">
        <x:v>0</x:v>
      </x:c>
      <x:c r="N1419" s="28" t="n">
        <x:v>1.862645149230957e-9</x:v>
      </x:c>
      <x:c r="O1419" s="28" t="n">
        <x:v>2.9802322387695312e-8</x:v>
      </x:c>
      <x:c r="P1419" s="28" t="n">
        <x:v>0</x:v>
      </x:c>
      <x:c r="Q1419" s="62" t="b">
        <x:v>1</x:v>
      </x:c>
      <x:c r="R1419" s="28" t="n">
        <x:v>0</x:v>
      </x:c>
      <x:c r="S1419" s="28" t="str">
        <x:v>c3e62e546f641608</x:v>
      </x:c>
    </x:row>
    <x:row r="1420" ht="21" customHeight="1">
      <x:c r="A1420" s="60" t="n">
        <x:v>0.65</x:v>
      </x:c>
      <x:c r="B1420" s="28" t="str">
        <x:v>back_low</x:v>
      </x:c>
      <x:c r="C1420" s="60" t="n">
        <x:v>0.25</x:v>
      </x:c>
      <x:c r="D1420" s="60" t="n">
        <x:v>0.25</x:v>
      </x:c>
      <x:c r="E1420" s="62" t="b">
        <x:v>1</x:v>
      </x:c>
      <x:c r="F1420" s="62" t="b">
        <x:v>1</x:v>
      </x:c>
      <x:c r="G1420" s="85" t="n">
        <x:v>0</x:v>
      </x:c>
      <x:c r="H1420" s="85" t="n">
        <x:v>0</x:v>
      </x:c>
      <x:c r="I1420" s="85" t="n">
        <x:v>12429888.689858444</x:v>
      </x:c>
      <x:c r="J1420" s="85" t="n">
        <x:v>15426351.043515632</x:v>
      </x:c>
      <x:c r="K1420" s="85" t="n">
        <x:v>355032.33635438717</x:v>
      </x:c>
      <x:c r="L1420" s="28" t="n">
        <x:v>0</x:v>
      </x:c>
      <x:c r="M1420" s="28" t="n">
        <x:v>0</x:v>
      </x:c>
      <x:c r="N1420" s="28" t="n">
        <x:v>9.313225746154785e-10</x:v>
      </x:c>
      <x:c r="O1420" s="28" t="n">
        <x:v>2.9802322387695312e-8</x:v>
      </x:c>
      <x:c r="P1420" s="28" t="n">
        <x:v>0</x:v>
      </x:c>
      <x:c r="Q1420" s="62" t="b">
        <x:v>1</x:v>
      </x:c>
      <x:c r="R1420" s="28" t="n">
        <x:v>0</x:v>
      </x:c>
      <x:c r="S1420" s="28" t="str">
        <x:v>d9f04f5f6cab0813</x:v>
      </x:c>
    </x:row>
    <x:row r="1421" ht="21" customHeight="1">
      <x:c r="A1421" s="60" t="n">
        <x:v>0.65</x:v>
      </x:c>
      <x:c r="B1421" s="28" t="str">
        <x:v>back_low</x:v>
      </x:c>
      <x:c r="C1421" s="60" t="n">
        <x:v>0.3</x:v>
      </x:c>
      <x:c r="D1421" s="60" t="n">
        <x:v>0.3</x:v>
      </x:c>
      <x:c r="E1421" s="62" t="b">
        <x:v>1</x:v>
      </x:c>
      <x:c r="F1421" s="62" t="b">
        <x:v>1</x:v>
      </x:c>
      <x:c r="G1421" s="85" t="n">
        <x:v>0</x:v>
      </x:c>
      <x:c r="H1421" s="85" t="n">
        <x:v>0</x:v>
      </x:c>
      <x:c r="I1421" s="85" t="n">
        <x:v>16522136.937404929</x:v>
      </x:c>
      <x:c r="J1421" s="85" t="n">
        <x:v>24511621.25221868</x:v>
      </x:c>
      <x:c r="K1421" s="85" t="n">
        <x:v>282124.4739808328</x:v>
      </x:c>
      <x:c r="L1421" s="28" t="n">
        <x:v>0</x:v>
      </x:c>
      <x:c r="M1421" s="28" t="n">
        <x:v>0</x:v>
      </x:c>
      <x:c r="N1421" s="28" t="n">
        <x:v>1.862645149230957e-9</x:v>
      </x:c>
      <x:c r="O1421" s="28" t="n">
        <x:v>2.9802322387695312e-8</x:v>
      </x:c>
      <x:c r="P1421" s="28" t="n">
        <x:v>0</x:v>
      </x:c>
      <x:c r="Q1421" s="62" t="b">
        <x:v>1</x:v>
      </x:c>
      <x:c r="R1421" s="28" t="n">
        <x:v>0</x:v>
      </x:c>
      <x:c r="S1421" s="28" t="str">
        <x:v>c5a63f086fe4e661</x:v>
      </x:c>
    </x:row>
    <x:row r="1422" ht="21" customHeight="1">
      <x:c r="A1422" s="60" t="n">
        <x:v>0.65</x:v>
      </x:c>
      <x:c r="B1422" s="28" t="str">
        <x:v>back_low</x:v>
      </x:c>
      <x:c r="C1422" s="60" t="n">
        <x:v>0.35</x:v>
      </x:c>
      <x:c r="D1422" s="60" t="n">
        <x:v>0.35</x:v>
      </x:c>
      <x:c r="E1422" s="62" t="b">
        <x:v>1</x:v>
      </x:c>
      <x:c r="F1422" s="62" t="b">
        <x:v>1</x:v>
      </x:c>
      <x:c r="G1422" s="85" t="n">
        <x:v>0</x:v>
      </x:c>
      <x:c r="H1422" s="85" t="n">
        <x:v>0</x:v>
      </x:c>
      <x:c r="I1422" s="85" t="n">
        <x:v>20615297.784164168</x:v>
      </x:c>
      <x:c r="J1422" s="85" t="n">
        <x:v>33596891.46092175</x:v>
      </x:c>
      <x:c r="K1422" s="85" t="n">
        <x:v>246957.6363109594</x:v>
      </x:c>
      <x:c r="L1422" s="28" t="n">
        <x:v>0</x:v>
      </x:c>
      <x:c r="M1422" s="28" t="n">
        <x:v>0</x:v>
      </x:c>
      <x:c r="N1422" s="28" t="n">
        <x:v>1.862645149230957e-9</x:v>
      </x:c>
      <x:c r="O1422" s="28" t="n">
        <x:v>2.9802322387695312e-8</x:v>
      </x:c>
      <x:c r="P1422" s="28" t="n">
        <x:v>0</x:v>
      </x:c>
      <x:c r="Q1422" s="62" t="b">
        <x:v>1</x:v>
      </x:c>
      <x:c r="R1422" s="28" t="n">
        <x:v>0</x:v>
      </x:c>
      <x:c r="S1422" s="28" t="str">
        <x:v>2ef4b33cad6d213c</x:v>
      </x:c>
    </x:row>
    <x:row r="1423" ht="21" customHeight="1">
      <x:c r="A1423" s="60" t="n">
        <x:v>0.65</x:v>
      </x:c>
      <x:c r="B1423" s="28" t="str">
        <x:v>back_low</x:v>
      </x:c>
      <x:c r="C1423" s="60" t="n">
        <x:v>0.4</x:v>
      </x:c>
      <x:c r="D1423" s="60" t="n">
        <x:v>0.4</x:v>
      </x:c>
      <x:c r="E1423" s="62" t="b">
        <x:v>1</x:v>
      </x:c>
      <x:c r="F1423" s="62" t="b">
        <x:v>1</x:v>
      </x:c>
      <x:c r="G1423" s="85" t="n">
        <x:v>0</x:v>
      </x:c>
      <x:c r="H1423" s="85" t="n">
        <x:v>0</x:v>
      </x:c>
      <x:c r="I1423" s="85" t="n">
        <x:v>25193132.07563568</x:v>
      </x:c>
      <x:c r="J1423" s="85" t="n">
        <x:v>41927774.386963494</x:v>
      </x:c>
      <x:c r="K1423" s="85" t="n">
        <x:v>211790.79864110006</x:v>
      </x:c>
      <x:c r="L1423" s="28" t="n">
        <x:v>2</x:v>
      </x:c>
      <x:c r="M1423" s="28" t="n">
        <x:v>0</x:v>
      </x:c>
      <x:c r="N1423" s="28" t="n">
        <x:v>3.725290298461914e-9</x:v>
      </x:c>
      <x:c r="O1423" s="28" t="n">
        <x:v>2.9802322387695312e-8</x:v>
      </x:c>
      <x:c r="P1423" s="28" t="n">
        <x:v>0</x:v>
      </x:c>
      <x:c r="Q1423" s="62" t="b">
        <x:v>1</x:v>
      </x:c>
      <x:c r="R1423" s="28" t="n">
        <x:v>0</x:v>
      </x:c>
      <x:c r="S1423" s="28" t="str">
        <x:v>480f7ea7017996d5</x:v>
      </x:c>
    </x:row>
    <x:row r="1424" ht="21" customHeight="1">
      <x:c r="A1424" s="60" t="n">
        <x:v>0.65</x:v>
      </x:c>
      <x:c r="B1424" s="28" t="str">
        <x:v>back_low</x:v>
      </x:c>
      <x:c r="C1424" s="60" t="n">
        <x:v>0.45</x:v>
      </x:c>
      <x:c r="D1424" s="60" t="n">
        <x:v>0.45</x:v>
      </x:c>
      <x:c r="E1424" s="62" t="b">
        <x:v>1</x:v>
      </x:c>
      <x:c r="F1424" s="62" t="b">
        <x:v>1</x:v>
      </x:c>
      <x:c r="G1424" s="85" t="n">
        <x:v>0</x:v>
      </x:c>
      <x:c r="H1424" s="85" t="n">
        <x:v>0</x:v>
      </x:c>
      <x:c r="I1424" s="85" t="n">
        <x:v>30694355.326559678</x:v>
      </x:c>
      <x:c r="J1424" s="85" t="n">
        <x:v>48765641.40462068</x:v>
      </x:c>
      <x:c r="K1424" s="85" t="n">
        <x:v>176623.9609712332</x:v>
      </x:c>
      <x:c r="L1424" s="28" t="n">
        <x:v>7</x:v>
      </x:c>
      <x:c r="M1424" s="28" t="n">
        <x:v>0</x:v>
      </x:c>
      <x:c r="N1424" s="28" t="n">
        <x:v>3.725290298461914e-9</x:v>
      </x:c>
      <x:c r="O1424" s="28" t="n">
        <x:v>1.4901161193847656e-8</x:v>
      </x:c>
      <x:c r="P1424" s="28" t="n">
        <x:v>0</x:v>
      </x:c>
      <x:c r="Q1424" s="62" t="b">
        <x:v>1</x:v>
      </x:c>
      <x:c r="R1424" s="28" t="n">
        <x:v>0</x:v>
      </x:c>
      <x:c r="S1424" s="28" t="str">
        <x:v>3e262f3515296095</x:v>
      </x:c>
    </x:row>
    <x:row r="1425" ht="21" customHeight="1">
      <x:c r="A1425" s="60" t="n">
        <x:v>0.65</x:v>
      </x:c>
      <x:c r="B1425" s="28" t="str">
        <x:v>back_low</x:v>
      </x:c>
      <x:c r="C1425" s="60" t="n">
        <x:v>0.5</x:v>
      </x:c>
      <x:c r="D1425" s="60" t="n">
        <x:v>0.5</x:v>
      </x:c>
      <x:c r="E1425" s="62" t="b">
        <x:v>1</x:v>
      </x:c>
      <x:c r="F1425" s="62" t="b">
        <x:v>1</x:v>
      </x:c>
      <x:c r="G1425" s="85" t="n">
        <x:v>0</x:v>
      </x:c>
      <x:c r="H1425" s="85" t="n">
        <x:v>0</x:v>
      </x:c>
      <x:c r="I1425" s="85" t="n">
        <x:v>35427364.32884088</x:v>
      </x:c>
      <x:c r="J1425" s="85" t="n">
        <x:v>56737670.738272585</x:v>
      </x:c>
      <x:c r="K1425" s="85" t="n">
        <x:v>141457.12330137013</x:v>
      </x:c>
      <x:c r="L1425" s="28" t="n">
        <x:v>10</x:v>
      </x:c>
      <x:c r="M1425" s="28" t="n">
        <x:v>0</x:v>
      </x:c>
      <x:c r="N1425" s="28" t="n">
        <x:v>3.725290298461914e-9</x:v>
      </x:c>
      <x:c r="O1425" s="28" t="n">
        <x:v>2.9802322387695312e-8</x:v>
      </x:c>
      <x:c r="P1425" s="28" t="n">
        <x:v>0</x:v>
      </x:c>
      <x:c r="Q1425" s="62" t="b">
        <x:v>1</x:v>
      </x:c>
      <x:c r="R1425" s="28" t="n">
        <x:v>0</x:v>
      </x:c>
      <x:c r="S1425" s="28" t="str">
        <x:v>fc59bf5ff8e7eea1</x:v>
      </x:c>
    </x:row>
    <x:row r="1426" ht="21" customHeight="1">
      <x:c r="A1426" s="60" t="n">
        <x:v>0.65</x:v>
      </x:c>
      <x:c r="B1426" s="28" t="str">
        <x:v>back_low</x:v>
      </x:c>
      <x:c r="C1426" s="60" t="n">
        <x:v>0.55</x:v>
      </x:c>
      <x:c r="D1426" s="60" t="n">
        <x:v>0.55</x:v>
      </x:c>
      <x:c r="E1426" s="62" t="b">
        <x:v>1</x:v>
      </x:c>
      <x:c r="F1426" s="62" t="b">
        <x:v>1</x:v>
      </x:c>
      <x:c r="G1426" s="85" t="n">
        <x:v>0</x:v>
      </x:c>
      <x:c r="H1426" s="85" t="n">
        <x:v>0</x:v>
      </x:c>
      <x:c r="I1426" s="85" t="n">
        <x:v>39540767.4736875</x:v>
      </x:c>
      <x:c r="J1426" s="85" t="n">
        <x:v>65594498.215107106</x:v>
      </x:c>
      <x:c r="K1426" s="85" t="n">
        <x:v>124366.55943424636</x:v>
      </x:c>
      <x:c r="L1426" s="28" t="n">
        <x:v>12</x:v>
      </x:c>
      <x:c r="M1426" s="28" t="n">
        <x:v>0</x:v>
      </x:c>
      <x:c r="N1426" s="28" t="n">
        <x:v>1.862645149230957e-9</x:v>
      </x:c>
      <x:c r="O1426" s="28" t="n">
        <x:v>2.9802322387695312e-8</x:v>
      </x:c>
      <x:c r="P1426" s="28" t="n">
        <x:v>0</x:v>
      </x:c>
      <x:c r="Q1426" s="62" t="b">
        <x:v>1</x:v>
      </x:c>
      <x:c r="R1426" s="28" t="n">
        <x:v>0</x:v>
      </x:c>
      <x:c r="S1426" s="28" t="str">
        <x:v>0891f155441098a7</x:v>
      </x:c>
    </x:row>
    <x:row r="1427" ht="21" customHeight="1">
      <x:c r="A1427" s="60" t="n">
        <x:v>0.65</x:v>
      </x:c>
      <x:c r="B1427" s="28" t="str">
        <x:v>back_low</x:v>
      </x:c>
      <x:c r="C1427" s="60" t="n">
        <x:v>0.6</x:v>
      </x:c>
      <x:c r="D1427" s="60" t="n">
        <x:v>0.6</x:v>
      </x:c>
      <x:c r="E1427" s="62" t="b">
        <x:v>1</x:v>
      </x:c>
      <x:c r="F1427" s="62" t="b">
        <x:v>1</x:v>
      </x:c>
      <x:c r="G1427" s="85" t="n">
        <x:v>0</x:v>
      </x:c>
      <x:c r="H1427" s="85" t="n">
        <x:v>0</x:v>
      </x:c>
      <x:c r="I1427" s="85" t="n">
        <x:v>43517863.41555148</x:v>
      </x:c>
      <x:c r="J1427" s="85" t="n">
        <x:v>74511337.8064959</x:v>
      </x:c>
      <x:c r="K1427" s="85" t="n">
        <x:v>113442.04603287383</x:v>
      </x:c>
      <x:c r="L1427" s="28" t="n">
        <x:v>20</x:v>
      </x:c>
      <x:c r="M1427" s="28" t="n">
        <x:v>2</x:v>
      </x:c>
      <x:c r="N1427" s="28" t="n">
        <x:v>1.862645149230957e-9</x:v>
      </x:c>
      <x:c r="O1427" s="28" t="n">
        <x:v>2.9802322387695312e-8</x:v>
      </x:c>
      <x:c r="P1427" s="28" t="n">
        <x:v>0</x:v>
      </x:c>
      <x:c r="Q1427" s="62" t="b">
        <x:v>1</x:v>
      </x:c>
      <x:c r="R1427" s="28" t="n">
        <x:v>0</x:v>
      </x:c>
      <x:c r="S1427" s="28" t="str">
        <x:v>594abb91a4581f03</x:v>
      </x:c>
    </x:row>
    <x:row r="1428" ht="21" customHeight="1">
      <x:c r="A1428" s="60" t="n">
        <x:v>0.65</x:v>
      </x:c>
      <x:c r="B1428" s="28" t="str">
        <x:v>back_low</x:v>
      </x:c>
      <x:c r="C1428" s="60" t="n">
        <x:v>0.65</x:v>
      </x:c>
      <x:c r="D1428" s="60" t="n">
        <x:v>0.65</x:v>
      </x:c>
      <x:c r="E1428" s="62" t="b">
        <x:v>1</x:v>
      </x:c>
      <x:c r="F1428" s="62" t="b">
        <x:v>0</x:v>
      </x:c>
      <x:c r="G1428" s="85" t="n">
        <x:v>611436.3979956086</x:v>
      </x:c>
      <x:c r="H1428" s="85" t="n">
        <x:v>9203724.283846093</x:v>
      </x:c>
      <x:c r="I1428" s="85" t="n">
        <x:v>44637910.19017258</x:v>
      </x:c>
      <x:c r="J1428" s="85" t="n">
        <x:v>74999999.99999999</x:v>
      </x:c>
      <x:c r="K1428" s="85" t="n">
        <x:v>102517.5326315064</x:v>
      </x:c>
      <x:c r="L1428" s="28" t="n">
        <x:v>39</x:v>
      </x:c>
      <x:c r="M1428" s="28" t="n">
        <x:v>30</x:v>
      </x:c>
      <x:c r="N1428" s="28" t="n">
        <x:v>1.862645149230957e-9</x:v>
      </x:c>
      <x:c r="O1428" s="28" t="n">
        <x:v>1.4901161193847656e-8</x:v>
      </x:c>
      <x:c r="P1428" s="28" t="n">
        <x:v>0</x:v>
      </x:c>
      <x:c r="Q1428" s="62" t="b">
        <x:v>1</x:v>
      </x:c>
      <x:c r="R1428" s="28" t="n">
        <x:v>0</x:v>
      </x:c>
      <x:c r="S1428" s="28" t="str">
        <x:v>bf40fc1b132803cc</x:v>
      </x:c>
    </x:row>
    <x:row r="1429" ht="21" customHeight="1">
      <x:c r="A1429" s="60" t="n">
        <x:v>0.65</x:v>
      </x:c>
      <x:c r="B1429" s="28" t="str">
        <x:v>back_low</x:v>
      </x:c>
      <x:c r="C1429" s="60" t="n">
        <x:v>0.7</x:v>
      </x:c>
      <x:c r="D1429" s="60" t="n">
        <x:v>0.7</x:v>
      </x:c>
      <x:c r="E1429" s="62" t="b">
        <x:v>1</x:v>
      </x:c>
      <x:c r="F1429" s="62" t="b">
        <x:v>0</x:v>
      </x:c>
      <x:c r="G1429" s="85" t="n">
        <x:v>1262905.123307824</x:v>
      </x:c>
      <x:c r="H1429" s="85" t="n">
        <x:v>19034025.441878628</x:v>
      </x:c>
      <x:c r="I1429" s="85" t="n">
        <x:v>45538692.73593979</x:v>
      </x:c>
      <x:c r="J1429" s="85" t="n">
        <x:v>74999999.99999999</x:v>
      </x:c>
      <x:c r="K1429" s="85" t="n">
        <x:v>91593.01923013898</x:v>
      </x:c>
      <x:c r="L1429" s="28" t="n">
        <x:v>40</x:v>
      </x:c>
      <x:c r="M1429" s="28" t="n">
        <x:v>31</x:v>
      </x:c>
      <x:c r="N1429" s="28" t="n">
        <x:v>1.862645149230957e-9</x:v>
      </x:c>
      <x:c r="O1429" s="28" t="n">
        <x:v>2.9802322387695312e-8</x:v>
      </x:c>
      <x:c r="P1429" s="28" t="n">
        <x:v>0</x:v>
      </x:c>
      <x:c r="Q1429" s="62" t="b">
        <x:v>1</x:v>
      </x:c>
      <x:c r="R1429" s="28" t="n">
        <x:v>0</x:v>
      </x:c>
      <x:c r="S1429" s="28" t="str">
        <x:v>076352e696f5bc91</x:v>
      </x:c>
    </x:row>
    <x:row r="1430" ht="21" customHeight="1">
      <x:c r="A1430" s="60" t="n">
        <x:v>0.65</x:v>
      </x:c>
      <x:c r="B1430" s="28" t="str">
        <x:v>back_low</x:v>
      </x:c>
      <x:c r="C1430" s="60" t="n">
        <x:v>0.75</x:v>
      </x:c>
      <x:c r="D1430" s="60" t="n">
        <x:v>0.75</x:v>
      </x:c>
      <x:c r="E1430" s="62" t="b">
        <x:v>1</x:v>
      </x:c>
      <x:c r="F1430" s="62" t="b">
        <x:v>0</x:v>
      </x:c>
      <x:c r="G1430" s="85" t="n">
        <x:v>2241858.95635455</x:v>
      </x:c>
      <x:c r="H1430" s="85" t="n">
        <x:v>29504432.648145642</x:v>
      </x:c>
      <x:c r="I1430" s="85" t="n">
        <x:v>45642960.207880706</x:v>
      </x:c>
      <x:c r="J1430" s="85" t="n">
        <x:v>74999999.99999999</x:v>
      </x:c>
      <x:c r="K1430" s="85" t="n">
        <x:v>80668.50582877248</x:v>
      </x:c>
      <x:c r="L1430" s="28" t="n">
        <x:v>40</x:v>
      </x:c>
      <x:c r="M1430" s="28" t="n">
        <x:v>32</x:v>
      </x:c>
      <x:c r="N1430" s="28" t="n">
        <x:v>1.862645149230957e-9</x:v>
      </x:c>
      <x:c r="O1430" s="28" t="n">
        <x:v>2.9802322387695312e-8</x:v>
      </x:c>
      <x:c r="P1430" s="28" t="n">
        <x:v>0</x:v>
      </x:c>
      <x:c r="Q1430" s="62" t="b">
        <x:v>1</x:v>
      </x:c>
      <x:c r="R1430" s="28" t="n">
        <x:v>0</x:v>
      </x:c>
      <x:c r="S1430" s="28" t="str">
        <x:v>12d6610bdf080bf4</x:v>
      </x:c>
    </x:row>
    <x:row r="1431" ht="21" customHeight="1">
      <x:c r="A1431" s="60" t="n">
        <x:v>0.65</x:v>
      </x:c>
      <x:c r="B1431" s="28" t="str">
        <x:v>back_low</x:v>
      </x:c>
      <x:c r="C1431" s="60" t="n">
        <x:v>0.8</x:v>
      </x:c>
      <x:c r="D1431" s="60" t="n">
        <x:v>0.8</x:v>
      </x:c>
      <x:c r="E1431" s="62" t="b">
        <x:v>1</x:v>
      </x:c>
      <x:c r="F1431" s="62" t="b">
        <x:v>0</x:v>
      </x:c>
      <x:c r="G1431" s="85" t="n">
        <x:v>3019359.71094667</x:v>
      </x:c>
      <x:c r="H1431" s="85" t="n">
        <x:v>38934456.95868129</x:v>
      </x:c>
      <x:c r="I1431" s="85" t="n">
        <x:v>46641760.76897536</x:v>
      </x:c>
      <x:c r="J1431" s="85" t="n">
        <x:v>74999999.99999999</x:v>
      </x:c>
      <x:c r="K1431" s="85" t="n">
        <x:v>69743.99242739762</x:v>
      </x:c>
      <x:c r="L1431" s="28" t="n">
        <x:v>41</x:v>
      </x:c>
      <x:c r="M1431" s="28" t="n">
        <x:v>32</x:v>
      </x:c>
      <x:c r="N1431" s="28" t="n">
        <x:v>1.862645149230957e-9</x:v>
      </x:c>
      <x:c r="O1431" s="28" t="n">
        <x:v>1.4901161193847656e-8</x:v>
      </x:c>
      <x:c r="P1431" s="28" t="n">
        <x:v>0</x:v>
      </x:c>
      <x:c r="Q1431" s="62" t="b">
        <x:v>1</x:v>
      </x:c>
      <x:c r="R1431" s="28" t="n">
        <x:v>0</x:v>
      </x:c>
      <x:c r="S1431" s="28" t="str">
        <x:v>11fbc49eca992caa</x:v>
      </x:c>
    </x:row>
    <x:row r="1432" ht="21" customHeight="1">
      <x:c r="A1432" s="60" t="n">
        <x:v>0.65</x:v>
      </x:c>
      <x:c r="B1432" s="28" t="str">
        <x:v>back_low</x:v>
      </x:c>
      <x:c r="C1432" s="60" t="n">
        <x:v>0.85</x:v>
      </x:c>
      <x:c r="D1432" s="60" t="n">
        <x:v>0.85</x:v>
      </x:c>
      <x:c r="E1432" s="62" t="b">
        <x:v>1</x:v>
      </x:c>
      <x:c r="F1432" s="62" t="b">
        <x:v>0</x:v>
      </x:c>
      <x:c r="G1432" s="85" t="n">
        <x:v>4146416.764200712</x:v>
      </x:c>
      <x:c r="H1432" s="85" t="n">
        <x:v>49107130.455309175</x:v>
      </x:c>
      <x:c r="I1432" s="85" t="n">
        <x:v>46712528.97405686</x:v>
      </x:c>
      <x:c r="J1432" s="85" t="n">
        <x:v>74999999.99999999</x:v>
      </x:c>
      <x:c r="K1432" s="85" t="n">
        <x:v>58819.47902602554</x:v>
      </x:c>
      <x:c r="L1432" s="28" t="n">
        <x:v>41</x:v>
      </x:c>
      <x:c r="M1432" s="28" t="n">
        <x:v>34</x:v>
      </x:c>
      <x:c r="N1432" s="28" t="n">
        <x:v>1.862645149230957e-9</x:v>
      </x:c>
      <x:c r="O1432" s="28" t="n">
        <x:v>2.9802322387695312e-8</x:v>
      </x:c>
      <x:c r="P1432" s="28" t="n">
        <x:v>0</x:v>
      </x:c>
      <x:c r="Q1432" s="62" t="b">
        <x:v>1</x:v>
      </x:c>
      <x:c r="R1432" s="28" t="n">
        <x:v>0</x:v>
      </x:c>
      <x:c r="S1432" s="28" t="str">
        <x:v>c2d17a21614d6c24</x:v>
      </x:c>
    </x:row>
    <x:row r="1433" ht="21" customHeight="1">
      <x:c r="A1433" s="60" t="n">
        <x:v>0.65</x:v>
      </x:c>
      <x:c r="B1433" s="28" t="str">
        <x:v>back_low</x:v>
      </x:c>
      <x:c r="C1433" s="60" t="n">
        <x:v>0.9</x:v>
      </x:c>
      <x:c r="D1433" s="60" t="n">
        <x:v>0.8948658400492392</x:v>
      </x:c>
      <x:c r="E1433" s="62" t="b">
        <x:v>0</x:v>
      </x:c>
      <x:c r="F1433" s="62" t="b">
        <x:v>0</x:v>
      </x:c>
      <x:c r="G1433" s="85" t="n">
        <x:v>6362465.042395921</x:v>
      </x:c>
      <x:c r="H1433" s="85" t="n">
        <x:v>55785623.97546209</x:v>
      </x:c>
      <x:c r="I1433" s="85" t="n">
        <x:v>47600983.43873794</x:v>
      </x:c>
      <x:c r="J1433" s="85" t="n">
        <x:v>74999999.99999999</x:v>
      </x:c>
      <x:c r="K1433" s="85" t="n">
        <x:v>47894.965624658114</x:v>
      </x:c>
      <x:c r="L1433" s="28" t="n">
        <x:v>42</x:v>
      </x:c>
      <x:c r="M1433" s="28" t="n">
        <x:v>34</x:v>
      </x:c>
      <x:c r="N1433" s="28" t="n">
        <x:v>1.862645149230957e-9</x:v>
      </x:c>
      <x:c r="O1433" s="28" t="n">
        <x:v>2.9802322387695312e-8</x:v>
      </x:c>
      <x:c r="P1433" s="28" t="n">
        <x:v>0</x:v>
      </x:c>
      <x:c r="Q1433" s="62" t="b">
        <x:v>1</x:v>
      </x:c>
      <x:c r="R1433" s="28" t="n">
        <x:v>1540247.9852282405</x:v>
      </x:c>
      <x:c r="S1433" s="28" t="str">
        <x:v>c2ece49933fb2849</x:v>
      </x:c>
    </x:row>
    <x:row r="1434" ht="21" customHeight="1">
      <x:c r="A1434" s="60" t="n">
        <x:v>0.65</x:v>
      </x:c>
      <x:c r="B1434" s="28" t="str">
        <x:v>back_low</x:v>
      </x:c>
      <x:c r="C1434" s="60" t="n">
        <x:v>0.95</x:v>
      </x:c>
      <x:c r="D1434" s="60" t="n">
        <x:v>0.9083032015334562</x:v>
      </x:c>
      <x:c r="E1434" s="62" t="b">
        <x:v>0</x:v>
      </x:c>
      <x:c r="F1434" s="62" t="b">
        <x:v>0</x:v>
      </x:c>
      <x:c r="G1434" s="85" t="n">
        <x:v>6723090.369466115</x:v>
      </x:c>
      <x:c r="H1434" s="85" t="n">
        <x:v>58947560.23097196</x:v>
      </x:c>
      <x:c r="I1434" s="85" t="n">
        <x:v>47645539.98037802</x:v>
      </x:c>
      <x:c r="J1434" s="85" t="n">
        <x:v>74999999.99999999</x:v>
      </x:c>
      <x:c r="K1434" s="85" t="n">
        <x:v>36970.45222329024</x:v>
      </x:c>
      <x:c r="L1434" s="28" t="n">
        <x:v>42</x:v>
      </x:c>
      <x:c r="M1434" s="28" t="n">
        <x:v>34</x:v>
      </x:c>
      <x:c r="N1434" s="28" t="n">
        <x:v>1.862645149230957e-9</x:v>
      </x:c>
      <x:c r="O1434" s="28" t="n">
        <x:v>2.9802322387695312e-8</x:v>
      </x:c>
      <x:c r="P1434" s="28" t="n">
        <x:v>0</x:v>
      </x:c>
      <x:c r="Q1434" s="62" t="b">
        <x:v>1</x:v>
      </x:c>
      <x:c r="R1434" s="28" t="n">
        <x:v>12509039.539963126</x:v>
      </x:c>
      <x:c r="S1434" s="28" t="str">
        <x:v>90f18e6229469ab0</x:v>
      </x:c>
    </x:row>
    <x:row r="1435" ht="21" customHeight="1">
      <x:c r="A1435" s="60" t="n">
        <x:v>0.65</x:v>
      </x:c>
      <x:c r="B1435" s="28" t="str">
        <x:v>back_low</x:v>
      </x:c>
      <x:c r="C1435" s="60" t="n">
        <x:v>1</x:v>
      </x:c>
      <x:c r="D1435" s="60" t="n">
        <x:v>0.920601109498915</x:v>
      </x:c>
      <x:c r="E1435" s="62" t="b">
        <x:v>0</x:v>
      </x:c>
      <x:c r="F1435" s="62" t="b">
        <x:v>0</x:v>
      </x:c>
      <x:c r="G1435" s="85" t="n">
        <x:v>7316590.718254576</x:v>
      </x:c>
      <x:c r="H1435" s="85" t="n">
        <x:v>61566166.681949414</x:v>
      </x:c>
      <x:c r="I1435" s="85" t="n">
        <x:v>47713860.96463728</x:v>
      </x:c>
      <x:c r="J1435" s="85" t="n">
        <x:v>74999999.99999999</x:v>
      </x:c>
      <x:c r="K1435" s="85" t="n">
        <x:v>26045.93882192328</x:v>
      </x:c>
      <x:c r="L1435" s="28" t="n">
        <x:v>42</x:v>
      </x:c>
      <x:c r="M1435" s="28" t="n">
        <x:v>35</x:v>
      </x:c>
      <x:c r="N1435" s="28" t="n">
        <x:v>1.862645149230957e-9</x:v>
      </x:c>
      <x:c r="O1435" s="28" t="n">
        <x:v>2.9802322387695312e-8</x:v>
      </x:c>
      <x:c r="P1435" s="28" t="n">
        <x:v>0</x:v>
      </x:c>
      <x:c r="Q1435" s="62" t="b">
        <x:v>1</x:v>
      </x:c>
      <x:c r="R1435" s="28" t="n">
        <x:v>23819667.150325477</x:v>
      </x:c>
      <x:c r="S1435" s="28" t="str">
        <x:v>0fda72496f16480a</x:v>
      </x:c>
    </x:row>
    <x:row r="1436" ht="21" customHeight="1">
      <x:c r="A1436" s="60" t="n">
        <x:v>0.65</x:v>
      </x:c>
      <x:c r="B1436" s="28" t="str">
        <x:v>back_high</x:v>
      </x:c>
      <x:c r="C1436" s="60" t="n">
        <x:v>0</x:v>
      </x:c>
      <x:c r="D1436" s="60" t="n">
        <x:v>0</x:v>
      </x:c>
      <x:c r="E1436" s="62" t="b">
        <x:v>1</x:v>
      </x:c>
      <x:c r="F1436" s="62" t="b">
        <x:v>1</x:v>
      </x:c>
      <x:c r="G1436" s="85" t="n">
        <x:v>0</x:v>
      </x:c>
      <x:c r="H1436" s="85" t="n">
        <x:v>0</x:v>
      </x:c>
      <x:c r="I1436" s="85" t="n">
        <x:v>0</x:v>
      </x:c>
      <x:c r="J1436" s="85" t="n">
        <x:v>0</x:v>
      </x:c>
      <x:c r="K1436" s="85" t="n">
        <x:v>38290707.39520547</x:v>
      </x:c>
      <x:c r="L1436" s="28" t="n">
        <x:v>0</x:v>
      </x:c>
      <x:c r="M1436" s="28" t="n">
        <x:v>0</x:v>
      </x:c>
      <x:c r="N1436" s="28" t="n">
        <x:v>3.725290298461914e-9</x:v>
      </x:c>
      <x:c r="O1436" s="28" t="n">
        <x:v>0</x:v>
      </x:c>
      <x:c r="P1436" s="28" t="n">
        <x:v>0</x:v>
      </x:c>
      <x:c r="Q1436" s="62" t="b">
        <x:v>1</x:v>
      </x:c>
      <x:c r="R1436" s="28" t="n">
        <x:v>0</x:v>
      </x:c>
      <x:c r="S1436" s="28" t="str">
        <x:v>420889b2946810c3</x:v>
      </x:c>
    </x:row>
    <x:row r="1437" ht="21" customHeight="1">
      <x:c r="A1437" s="60" t="n">
        <x:v>0.65</x:v>
      </x:c>
      <x:c r="B1437" s="28" t="str">
        <x:v>back_high</x:v>
      </x:c>
      <x:c r="C1437" s="60" t="n">
        <x:v>0.05</x:v>
      </x:c>
      <x:c r="D1437" s="60" t="n">
        <x:v>0.05</x:v>
      </x:c>
      <x:c r="E1437" s="62" t="b">
        <x:v>1</x:v>
      </x:c>
      <x:c r="F1437" s="62" t="b">
        <x:v>1</x:v>
      </x:c>
      <x:c r="G1437" s="85" t="n">
        <x:v>0</x:v>
      </x:c>
      <x:c r="H1437" s="85" t="n">
        <x:v>0</x:v>
      </x:c>
      <x:c r="I1437" s="85" t="n">
        <x:v>0</x:v>
      </x:c>
      <x:c r="J1437" s="85" t="n">
        <x:v>0</x:v>
      </x:c>
      <x:c r="K1437" s="85" t="n">
        <x:v>25202714.26767599</x:v>
      </x:c>
      <x:c r="L1437" s="28" t="n">
        <x:v>0</x:v>
      </x:c>
      <x:c r="M1437" s="28" t="n">
        <x:v>0</x:v>
      </x:c>
      <x:c r="N1437" s="28" t="n">
        <x:v>3.725290298461914e-9</x:v>
      </x:c>
      <x:c r="O1437" s="28" t="n">
        <x:v>5.960464477539063e-8</x:v>
      </x:c>
      <x:c r="P1437" s="28" t="n">
        <x:v>0</x:v>
      </x:c>
      <x:c r="Q1437" s="62" t="b">
        <x:v>1</x:v>
      </x:c>
      <x:c r="R1437" s="28" t="n">
        <x:v>0</x:v>
      </x:c>
      <x:c r="S1437" s="28" t="str">
        <x:v>b47ff385f5c5e111</x:v>
      </x:c>
    </x:row>
    <x:row r="1438" ht="21" customHeight="1">
      <x:c r="A1438" s="60" t="n">
        <x:v>0.65</x:v>
      </x:c>
      <x:c r="B1438" s="28" t="str">
        <x:v>back_high</x:v>
      </x:c>
      <x:c r="C1438" s="60" t="n">
        <x:v>0.1</x:v>
      </x:c>
      <x:c r="D1438" s="60" t="n">
        <x:v>0.1</x:v>
      </x:c>
      <x:c r="E1438" s="62" t="b">
        <x:v>1</x:v>
      </x:c>
      <x:c r="F1438" s="62" t="b">
        <x:v>1</x:v>
      </x:c>
      <x:c r="G1438" s="85" t="n">
        <x:v>0</x:v>
      </x:c>
      <x:c r="H1438" s="85" t="n">
        <x:v>0</x:v>
      </x:c>
      <x:c r="I1438" s="85" t="n">
        <x:v>0</x:v>
      </x:c>
      <x:c r="J1438" s="85" t="n">
        <x:v>0</x:v>
      </x:c>
      <x:c r="K1438" s="85" t="n">
        <x:v>11956113.765524015</x:v>
      </x:c>
      <x:c r="L1438" s="28" t="n">
        <x:v>0</x:v>
      </x:c>
      <x:c r="M1438" s="28" t="n">
        <x:v>0</x:v>
      </x:c>
      <x:c r="N1438" s="28" t="n">
        <x:v>3.725290298461914e-9</x:v>
      </x:c>
      <x:c r="O1438" s="28" t="n">
        <x:v>5.960464477539063e-8</x:v>
      </x:c>
      <x:c r="P1438" s="28" t="n">
        <x:v>0</x:v>
      </x:c>
      <x:c r="Q1438" s="62" t="b">
        <x:v>1</x:v>
      </x:c>
      <x:c r="R1438" s="28" t="n">
        <x:v>0</x:v>
      </x:c>
      <x:c r="S1438" s="28" t="str">
        <x:v>5131e76a36de9138</x:v>
      </x:c>
    </x:row>
    <x:row r="1439" ht="21" customHeight="1">
      <x:c r="A1439" s="60" t="n">
        <x:v>0.65</x:v>
      </x:c>
      <x:c r="B1439" s="28" t="str">
        <x:v>back_high</x:v>
      </x:c>
      <x:c r="C1439" s="60" t="n">
        <x:v>0.15</x:v>
      </x:c>
      <x:c r="D1439" s="60" t="n">
        <x:v>0.15</x:v>
      </x:c>
      <x:c r="E1439" s="62" t="b">
        <x:v>1</x:v>
      </x:c>
      <x:c r="F1439" s="62" t="b">
        <x:v>1</x:v>
      </x:c>
      <x:c r="G1439" s="85" t="n">
        <x:v>0</x:v>
      </x:c>
      <x:c r="H1439" s="85" t="n">
        <x:v>0</x:v>
      </x:c>
      <x:c r="I1439" s="85" t="n">
        <x:v>3460519.4472122584</x:v>
      </x:c>
      <x:c r="J1439" s="85" t="n">
        <x:v>0</x:v>
      </x:c>
      <x:c r="K1439" s="85" t="n">
        <x:v>2746624.058988949</x:v>
      </x:c>
      <x:c r="L1439" s="28" t="n">
        <x:v>0</x:v>
      </x:c>
      <x:c r="M1439" s="28" t="n">
        <x:v>0</x:v>
      </x:c>
      <x:c r="N1439" s="28" t="n">
        <x:v>3.725290298461914e-9</x:v>
      </x:c>
      <x:c r="O1439" s="28" t="n">
        <x:v>5.960464477539063e-8</x:v>
      </x:c>
      <x:c r="P1439" s="28" t="n">
        <x:v>0</x:v>
      </x:c>
      <x:c r="Q1439" s="62" t="b">
        <x:v>1</x:v>
      </x:c>
      <x:c r="R1439" s="28" t="n">
        <x:v>0</x:v>
      </x:c>
      <x:c r="S1439" s="28" t="str">
        <x:v>4dcf10fbd3a91e72</x:v>
      </x:c>
    </x:row>
    <x:row r="1440" ht="21" customHeight="1">
      <x:c r="A1440" s="60" t="n">
        <x:v>0.65</x:v>
      </x:c>
      <x:c r="B1440" s="28" t="str">
        <x:v>back_high</x:v>
      </x:c>
      <x:c r="C1440" s="60" t="n">
        <x:v>0.2</x:v>
      </x:c>
      <x:c r="D1440" s="60" t="n">
        <x:v>0.2</x:v>
      </x:c>
      <x:c r="E1440" s="62" t="b">
        <x:v>1</x:v>
      </x:c>
      <x:c r="F1440" s="62" t="b">
        <x:v>1</x:v>
      </x:c>
      <x:c r="G1440" s="85" t="n">
        <x:v>0</x:v>
      </x:c>
      <x:c r="H1440" s="85" t="n">
        <x:v>0</x:v>
      </x:c>
      <x:c r="I1440" s="85" t="n">
        <x:v>13502590.876521448</x:v>
      </x:c>
      <x:c r="J1440" s="85" t="n">
        <x:v>6341080.834812414</x:v>
      </x:c>
      <x:c r="K1440" s="85" t="n">
        <x:v>2179568.4148489963</x:v>
      </x:c>
      <x:c r="L1440" s="28" t="n">
        <x:v>0</x:v>
      </x:c>
      <x:c r="M1440" s="28" t="n">
        <x:v>0</x:v>
      </x:c>
      <x:c r="N1440" s="28" t="n">
        <x:v>1.862645149230957e-9</x:v>
      </x:c>
      <x:c r="O1440" s="28" t="n">
        <x:v>2.9802322387695312e-8</x:v>
      </x:c>
      <x:c r="P1440" s="28" t="n">
        <x:v>0</x:v>
      </x:c>
      <x:c r="Q1440" s="62" t="b">
        <x:v>1</x:v>
      </x:c>
      <x:c r="R1440" s="28" t="n">
        <x:v>0</x:v>
      </x:c>
      <x:c r="S1440" s="28" t="str">
        <x:v>e639e94925820197</x:v>
      </x:c>
    </x:row>
    <x:row r="1441" ht="21" customHeight="1">
      <x:c r="A1441" s="60" t="n">
        <x:v>0.65</x:v>
      </x:c>
      <x:c r="B1441" s="28" t="str">
        <x:v>back_high</x:v>
      </x:c>
      <x:c r="C1441" s="60" t="n">
        <x:v>0.25</x:v>
      </x:c>
      <x:c r="D1441" s="60" t="n">
        <x:v>0.25</x:v>
      </x:c>
      <x:c r="E1441" s="62" t="b">
        <x:v>1</x:v>
      </x:c>
      <x:c r="F1441" s="62" t="b">
        <x:v>1</x:v>
      </x:c>
      <x:c r="G1441" s="85" t="n">
        <x:v>0</x:v>
      </x:c>
      <x:c r="H1441" s="85" t="n">
        <x:v>0</x:v>
      </x:c>
      <x:c r="I1441" s="85" t="n">
        <x:v>22143264.424088635</x:v>
      </x:c>
      <x:c r="J1441" s="85" t="n">
        <x:v>15426351.043515632</x:v>
      </x:c>
      <x:c r="K1441" s="85" t="n">
        <x:v>1809390.9634242444</x:v>
      </x:c>
      <x:c r="L1441" s="28" t="n">
        <x:v>0</x:v>
      </x:c>
      <x:c r="M1441" s="28" t="n">
        <x:v>0</x:v>
      </x:c>
      <x:c r="N1441" s="28" t="n">
        <x:v>3.725290298461914e-9</x:v>
      </x:c>
      <x:c r="O1441" s="28" t="n">
        <x:v>2.9802322387695312e-8</x:v>
      </x:c>
      <x:c r="P1441" s="28" t="n">
        <x:v>0</x:v>
      </x:c>
      <x:c r="Q1441" s="62" t="b">
        <x:v>1</x:v>
      </x:c>
      <x:c r="R1441" s="28" t="n">
        <x:v>0</x:v>
      </x:c>
      <x:c r="S1441" s="28" t="str">
        <x:v>3b1928f969a30c67</x:v>
      </x:c>
    </x:row>
    <x:row r="1442" ht="21" customHeight="1">
      <x:c r="A1442" s="60" t="n">
        <x:v>0.65</x:v>
      </x:c>
      <x:c r="B1442" s="28" t="str">
        <x:v>back_high</x:v>
      </x:c>
      <x:c r="C1442" s="60" t="n">
        <x:v>0.3</x:v>
      </x:c>
      <x:c r="D1442" s="60" t="n">
        <x:v>0.3</x:v>
      </x:c>
      <x:c r="E1442" s="62" t="b">
        <x:v>1</x:v>
      </x:c>
      <x:c r="F1442" s="62" t="b">
        <x:v>1</x:v>
      </x:c>
      <x:c r="G1442" s="85" t="n">
        <x:v>0</x:v>
      </x:c>
      <x:c r="H1442" s="85" t="n">
        <x:v>0</x:v>
      </x:c>
      <x:c r="I1442" s="85" t="n">
        <x:v>30958069.894244928</x:v>
      </x:c>
      <x:c r="J1442" s="85" t="n">
        <x:v>24511621.25221868</x:v>
      </x:c>
      <x:c r="K1442" s="85" t="n">
        <x:v>1473353.97294965</x:v>
      </x:c>
      <x:c r="L1442" s="28" t="n">
        <x:v>0</x:v>
      </x:c>
      <x:c r="M1442" s="28" t="n">
        <x:v>0</x:v>
      </x:c>
      <x:c r="N1442" s="28" t="n">
        <x:v>3.725290298461914e-9</x:v>
      </x:c>
      <x:c r="O1442" s="28" t="n">
        <x:v>2.9802322387695312e-8</x:v>
      </x:c>
      <x:c r="P1442" s="28" t="n">
        <x:v>0</x:v>
      </x:c>
      <x:c r="Q1442" s="62" t="b">
        <x:v>1</x:v>
      </x:c>
      <x:c r="R1442" s="28" t="n">
        <x:v>0</x:v>
      </x:c>
      <x:c r="S1442" s="28" t="str">
        <x:v>51fa3404a371a247</x:v>
      </x:c>
    </x:row>
    <x:row r="1443" ht="21" customHeight="1">
      <x:c r="A1443" s="60" t="n">
        <x:v>0.65</x:v>
      </x:c>
      <x:c r="B1443" s="28" t="str">
        <x:v>back_high</x:v>
      </x:c>
      <x:c r="C1443" s="60" t="n">
        <x:v>0.35</x:v>
      </x:c>
      <x:c r="D1443" s="60" t="n">
        <x:v>0.35</x:v>
      </x:c>
      <x:c r="E1443" s="62" t="b">
        <x:v>1</x:v>
      </x:c>
      <x:c r="F1443" s="62" t="b">
        <x:v>1</x:v>
      </x:c>
      <x:c r="G1443" s="85" t="n">
        <x:v>0</x:v>
      </x:c>
      <x:c r="H1443" s="85" t="n">
        <x:v>0</x:v>
      </x:c>
      <x:c r="I1443" s="85" t="n">
        <x:v>39748869.79317159</x:v>
      </x:c>
      <x:c r="J1443" s="85" t="n">
        <x:v>33596891.46092175</x:v>
      </x:c>
      <x:c r="K1443" s="85" t="n">
        <x:v>1262421.3618202386</x:v>
      </x:c>
      <x:c r="L1443" s="28" t="n">
        <x:v>0</x:v>
      </x:c>
      <x:c r="M1443" s="28" t="n">
        <x:v>0</x:v>
      </x:c>
      <x:c r="N1443" s="28" t="n">
        <x:v>1.862645149230957e-9</x:v>
      </x:c>
      <x:c r="O1443" s="28" t="n">
        <x:v>2.9802322387695312e-8</x:v>
      </x:c>
      <x:c r="P1443" s="28" t="n">
        <x:v>0</x:v>
      </x:c>
      <x:c r="Q1443" s="62" t="b">
        <x:v>1</x:v>
      </x:c>
      <x:c r="R1443" s="28" t="n">
        <x:v>0</x:v>
      </x:c>
      <x:c r="S1443" s="28" t="str">
        <x:v>59b6c376ec4a5414</x:v>
      </x:c>
    </x:row>
    <x:row r="1444" ht="21" customHeight="1">
      <x:c r="A1444" s="60" t="n">
        <x:v>0.65</x:v>
      </x:c>
      <x:c r="B1444" s="28" t="str">
        <x:v>back_high</x:v>
      </x:c>
      <x:c r="C1444" s="60" t="n">
        <x:v>0.4</x:v>
      </x:c>
      <x:c r="D1444" s="60" t="n">
        <x:v>0.4</x:v>
      </x:c>
      <x:c r="E1444" s="62" t="b">
        <x:v>1</x:v>
      </x:c>
      <x:c r="F1444" s="62" t="b">
        <x:v>1</x:v>
      </x:c>
      <x:c r="G1444" s="85" t="n">
        <x:v>0</x:v>
      </x:c>
      <x:c r="H1444" s="85" t="n">
        <x:v>0</x:v>
      </x:c>
      <x:c r="I1444" s="85" t="n">
        <x:v>48952104.065900385</x:v>
      </x:c>
      <x:c r="J1444" s="85" t="n">
        <x:v>41552254.67707626</x:v>
      </x:c>
      <x:c r="K1444" s="85" t="n">
        <x:v>1058903.1714630246</x:v>
      </x:c>
      <x:c r="L1444" s="28" t="n">
        <x:v>2</x:v>
      </x:c>
      <x:c r="M1444" s="28" t="n">
        <x:v>0</x:v>
      </x:c>
      <x:c r="N1444" s="28" t="n">
        <x:v>3.725290298461914e-9</x:v>
      </x:c>
      <x:c r="O1444" s="28" t="n">
        <x:v>2.9802322387695312e-8</x:v>
      </x:c>
      <x:c r="P1444" s="28" t="n">
        <x:v>0</x:v>
      </x:c>
      <x:c r="Q1444" s="62" t="b">
        <x:v>1</x:v>
      </x:c>
      <x:c r="R1444" s="28" t="n">
        <x:v>0</x:v>
      </x:c>
      <x:c r="S1444" s="28" t="str">
        <x:v>d82a7e2248b2dc55</x:v>
      </x:c>
    </x:row>
    <x:row r="1445" ht="21" customHeight="1">
      <x:c r="A1445" s="60" t="n">
        <x:v>0.65</x:v>
      </x:c>
      <x:c r="B1445" s="28" t="str">
        <x:v>back_high</x:v>
      </x:c>
      <x:c r="C1445" s="60" t="n">
        <x:v>0.45</x:v>
      </x:c>
      <x:c r="D1445" s="60" t="n">
        <x:v>0.45</x:v>
      </x:c>
      <x:c r="E1445" s="62" t="b">
        <x:v>1</x:v>
      </x:c>
      <x:c r="F1445" s="62" t="b">
        <x:v>1</x:v>
      </x:c>
      <x:c r="G1445" s="85" t="n">
        <x:v>0</x:v>
      </x:c>
      <x:c r="H1445" s="85" t="n">
        <x:v>0</x:v>
      </x:c>
      <x:c r="I1445" s="85" t="n">
        <x:v>58491366.75286993</x:v>
      </x:c>
      <x:c r="J1445" s="85" t="n">
        <x:v>47283289.815009914</x:v>
      </x:c>
      <x:c r="K1445" s="85" t="n">
        <x:v>962811.6303958832</x:v>
      </x:c>
      <x:c r="L1445" s="28" t="n">
        <x:v>7</x:v>
      </x:c>
      <x:c r="M1445" s="28" t="n">
        <x:v>0</x:v>
      </x:c>
      <x:c r="N1445" s="28" t="n">
        <x:v>3.725290298461914e-9</x:v>
      </x:c>
      <x:c r="O1445" s="28" t="n">
        <x:v>1.4901161193847656e-8</x:v>
      </x:c>
      <x:c r="P1445" s="28" t="n">
        <x:v>0</x:v>
      </x:c>
      <x:c r="Q1445" s="62" t="b">
        <x:v>1</x:v>
      </x:c>
      <x:c r="R1445" s="28" t="n">
        <x:v>0</x:v>
      </x:c>
      <x:c r="S1445" s="28" t="str">
        <x:v>eeb31edffd94e1b0</x:v>
      </x:c>
    </x:row>
    <x:row r="1446" ht="21" customHeight="1">
      <x:c r="A1446" s="60" t="n">
        <x:v>0.65</x:v>
      </x:c>
      <x:c r="B1446" s="28" t="str">
        <x:v>back_high</x:v>
      </x:c>
      <x:c r="C1446" s="60" t="n">
        <x:v>0.5</x:v>
      </x:c>
      <x:c r="D1446" s="60" t="n">
        <x:v>0.5</x:v>
      </x:c>
      <x:c r="E1446" s="62" t="b">
        <x:v>1</x:v>
      </x:c>
      <x:c r="F1446" s="62" t="b">
        <x:v>1</x:v>
      </x:c>
      <x:c r="G1446" s="85" t="n">
        <x:v>0</x:v>
      </x:c>
      <x:c r="H1446" s="85" t="n">
        <x:v>0</x:v>
      </x:c>
      <x:c r="I1446" s="85" t="n">
        <x:v>67508802.41088483</x:v>
      </x:c>
      <x:c r="J1446" s="85" t="n">
        <x:v>55076916.43933185</x:v>
      </x:c>
      <x:c r="K1446" s="85" t="n">
        <x:v>866720.0893287577</x:v>
      </x:c>
      <x:c r="L1446" s="28" t="n">
        <x:v>10</x:v>
      </x:c>
      <x:c r="M1446" s="28" t="n">
        <x:v>3</x:v>
      </x:c>
      <x:c r="N1446" s="28" t="n">
        <x:v>3.725290298461914e-9</x:v>
      </x:c>
      <x:c r="O1446" s="28" t="n">
        <x:v>2.9802322387695312e-8</x:v>
      </x:c>
      <x:c r="P1446" s="28" t="n">
        <x:v>0</x:v>
      </x:c>
      <x:c r="Q1446" s="62" t="b">
        <x:v>1</x:v>
      </x:c>
      <x:c r="R1446" s="28" t="n">
        <x:v>0</x:v>
      </x:c>
      <x:c r="S1446" s="28" t="str">
        <x:v>da39c9e50adcdced</x:v>
      </x:c>
    </x:row>
    <x:row r="1447" ht="21" customHeight="1">
      <x:c r="A1447" s="60" t="n">
        <x:v>0.65</x:v>
      </x:c>
      <x:c r="B1447" s="28" t="str">
        <x:v>back_high</x:v>
      </x:c>
      <x:c r="C1447" s="60" t="n">
        <x:v>0.55</x:v>
      </x:c>
      <x:c r="D1447" s="60" t="n">
        <x:v>0.55</x:v>
      </x:c>
      <x:c r="E1447" s="62" t="b">
        <x:v>1</x:v>
      </x:c>
      <x:c r="F1447" s="62" t="b">
        <x:v>1</x:v>
      </x:c>
      <x:c r="G1447" s="85" t="n">
        <x:v>0</x:v>
      </x:c>
      <x:c r="H1447" s="85" t="n">
        <x:v>0</x:v>
      </x:c>
      <x:c r="I1447" s="85" t="n">
        <x:v>76211518.97795598</x:v>
      </x:c>
      <x:c r="J1447" s="85" t="n">
        <x:v>64556387.04770214</x:v>
      </x:c>
      <x:c r="K1447" s="85" t="n">
        <x:v>770628.5482616341</x:v>
      </x:c>
      <x:c r="L1447" s="28" t="n">
        <x:v>12</x:v>
      </x:c>
      <x:c r="M1447" s="28" t="n">
        <x:v>8</x:v>
      </x:c>
      <x:c r="N1447" s="28" t="n">
        <x:v>3.725290298461914e-9</x:v>
      </x:c>
      <x:c r="O1447" s="28" t="n">
        <x:v>2.9802322387695312e-8</x:v>
      </x:c>
      <x:c r="P1447" s="28" t="n">
        <x:v>0</x:v>
      </x:c>
      <x:c r="Q1447" s="62" t="b">
        <x:v>1</x:v>
      </x:c>
      <x:c r="R1447" s="28" t="n">
        <x:v>0</x:v>
      </x:c>
      <x:c r="S1447" s="28" t="str">
        <x:v>bcade7af65b1b6e7</x:v>
      </x:c>
    </x:row>
    <x:row r="1448" ht="21" customHeight="1">
      <x:c r="A1448" s="60" t="n">
        <x:v>0.65</x:v>
      </x:c>
      <x:c r="B1448" s="28" t="str">
        <x:v>back_high</x:v>
      </x:c>
      <x:c r="C1448" s="60" t="n">
        <x:v>0.6</x:v>
      </x:c>
      <x:c r="D1448" s="60" t="n">
        <x:v>0.6</x:v>
      </x:c>
      <x:c r="E1448" s="62" t="b">
        <x:v>1</x:v>
      </x:c>
      <x:c r="F1448" s="62" t="b">
        <x:v>1</x:v>
      </x:c>
      <x:c r="G1448" s="85" t="n">
        <x:v>0</x:v>
      </x:c>
      <x:c r="H1448" s="85" t="n">
        <x:v>0</x:v>
      </x:c>
      <x:c r="I1448" s="85" t="n">
        <x:v>84480944.85227868</x:v>
      </x:c>
      <x:c r="J1448" s="85" t="n">
        <x:v>74837753.23568289</x:v>
      </x:c>
      <x:c r="K1448" s="85" t="n">
        <x:v>674537.0071945179</x:v>
      </x:c>
      <x:c r="L1448" s="28" t="n">
        <x:v>22</x:v>
      </x:c>
      <x:c r="M1448" s="28" t="n">
        <x:v>17</x:v>
      </x:c>
      <x:c r="N1448" s="28" t="n">
        <x:v>1.862645149230957e-9</x:v>
      </x:c>
      <x:c r="O1448" s="28" t="n">
        <x:v>2.9802322387695312e-8</x:v>
      </x:c>
      <x:c r="P1448" s="28" t="n">
        <x:v>0</x:v>
      </x:c>
      <x:c r="Q1448" s="62" t="b">
        <x:v>1</x:v>
      </x:c>
      <x:c r="R1448" s="28" t="n">
        <x:v>0</x:v>
      </x:c>
      <x:c r="S1448" s="28" t="str">
        <x:v>9f029ff363164419</x:v>
      </x:c>
    </x:row>
    <x:row r="1449" ht="21" customHeight="1">
      <x:c r="A1449" s="60" t="n">
        <x:v>0.65</x:v>
      </x:c>
      <x:c r="B1449" s="28" t="str">
        <x:v>back_high</x:v>
      </x:c>
      <x:c r="C1449" s="60" t="n">
        <x:v>0.65</x:v>
      </x:c>
      <x:c r="D1449" s="60" t="n">
        <x:v>0.65</x:v>
      </x:c>
      <x:c r="E1449" s="62" t="b">
        <x:v>1</x:v>
      </x:c>
      <x:c r="F1449" s="62" t="b">
        <x:v>0</x:v>
      </x:c>
      <x:c r="G1449" s="85" t="n">
        <x:v>3606149.1969123613</x:v>
      </x:c>
      <x:c r="H1449" s="85" t="n">
        <x:v>12208725.341966007</x:v>
      </x:c>
      <x:c r="I1449" s="85" t="n">
        <x:v>86308292.9091117</x:v>
      </x:c>
      <x:c r="J1449" s="85" t="n">
        <x:v>74999999.99999999</x:v>
      </x:c>
      <x:c r="K1449" s="85" t="n">
        <x:v>578445.4661274066</x:v>
      </x:c>
      <x:c r="L1449" s="28" t="n">
        <x:v>39</x:v>
      </x:c>
      <x:c r="M1449" s="28" t="n">
        <x:v>34</x:v>
      </x:c>
      <x:c r="N1449" s="28" t="n">
        <x:v>1.862645149230957e-9</x:v>
      </x:c>
      <x:c r="O1449" s="28" t="n">
        <x:v>1.4901161193847656e-8</x:v>
      </x:c>
      <x:c r="P1449" s="28" t="n">
        <x:v>0</x:v>
      </x:c>
      <x:c r="Q1449" s="62" t="b">
        <x:v>1</x:v>
      </x:c>
      <x:c r="R1449" s="28" t="n">
        <x:v>0</x:v>
      </x:c>
      <x:c r="S1449" s="28" t="str">
        <x:v>08a0cc9eeb37793a</x:v>
      </x:c>
    </x:row>
    <x:row r="1450" ht="21" customHeight="1">
      <x:c r="A1450" s="60" t="n">
        <x:v>0.65</x:v>
      </x:c>
      <x:c r="B1450" s="28" t="str">
        <x:v>back_high</x:v>
      </x:c>
      <x:c r="C1450" s="60" t="n">
        <x:v>0.7</x:v>
      </x:c>
      <x:c r="D1450" s="60" t="n">
        <x:v>0.7</x:v>
      </x:c>
      <x:c r="E1450" s="62" t="b">
        <x:v>1</x:v>
      </x:c>
      <x:c r="F1450" s="62" t="b">
        <x:v>0</x:v>
      </x:c>
      <x:c r="G1450" s="85" t="n">
        <x:v>7404655.541045399</x:v>
      </x:c>
      <x:c r="H1450" s="85" t="n">
        <x:v>24082202.55880218</x:v>
      </x:c>
      <x:c r="I1450" s="85" t="n">
        <x:v>87909889.40802029</x:v>
      </x:c>
      <x:c r="J1450" s="85" t="n">
        <x:v>74999999.99999999</x:v>
      </x:c>
      <x:c r="K1450" s="85" t="n">
        <x:v>502822.69805753714</x:v>
      </x:c>
      <x:c r="L1450" s="28" t="n">
        <x:v>40</x:v>
      </x:c>
      <x:c r="M1450" s="28" t="n">
        <x:v>35</x:v>
      </x:c>
      <x:c r="N1450" s="28" t="n">
        <x:v>1.862645149230957e-9</x:v>
      </x:c>
      <x:c r="O1450" s="28" t="n">
        <x:v>2.9802322387695312e-8</x:v>
      </x:c>
      <x:c r="P1450" s="28" t="n">
        <x:v>0</x:v>
      </x:c>
      <x:c r="Q1450" s="62" t="b">
        <x:v>1</x:v>
      </x:c>
      <x:c r="R1450" s="28" t="n">
        <x:v>0</x:v>
      </x:c>
      <x:c r="S1450" s="28" t="str">
        <x:v>066e01a19a7bea2a</x:v>
      </x:c>
    </x:row>
    <x:row r="1451" ht="21" customHeight="1">
      <x:c r="A1451" s="60" t="n">
        <x:v>0.65</x:v>
      </x:c>
      <x:c r="B1451" s="28" t="str">
        <x:v>back_high</x:v>
      </x:c>
      <x:c r="C1451" s="60" t="n">
        <x:v>0.75</x:v>
      </x:c>
      <x:c r="D1451" s="60" t="n">
        <x:v>0.75</x:v>
      </x:c>
      <x:c r="E1451" s="62" t="b">
        <x:v>1</x:v>
      </x:c>
      <x:c r="F1451" s="62" t="b">
        <x:v>0</x:v>
      </x:c>
      <x:c r="G1451" s="85" t="n">
        <x:v>12257376.603818992</x:v>
      </x:c>
      <x:c r="H1451" s="85" t="n">
        <x:v>37366856.54747901</x:v>
      </x:c>
      <x:c r="I1451" s="85" t="n">
        <x:v>88188211.1745423</x:v>
      </x:c>
      <x:c r="J1451" s="85" t="n">
        <x:v>74999999.99999999</x:v>
      </x:c>
      <x:c r="K1451" s="85" t="n">
        <x:v>471071.5436369763</x:v>
      </x:c>
      <x:c r="L1451" s="28" t="n">
        <x:v>40</x:v>
      </x:c>
      <x:c r="M1451" s="28" t="n">
        <x:v>36</x:v>
      </x:c>
      <x:c r="N1451" s="28" t="n">
        <x:v>1.862645149230957e-9</x:v>
      </x:c>
      <x:c r="O1451" s="28" t="n">
        <x:v>2.9802322387695312e-8</x:v>
      </x:c>
      <x:c r="P1451" s="28" t="n">
        <x:v>0</x:v>
      </x:c>
      <x:c r="Q1451" s="62" t="b">
        <x:v>1</x:v>
      </x:c>
      <x:c r="R1451" s="28" t="n">
        <x:v>0</x:v>
      </x:c>
      <x:c r="S1451" s="28" t="str">
        <x:v>5a863052861d5e26</x:v>
      </x:c>
    </x:row>
    <x:row r="1452" ht="21" customHeight="1">
      <x:c r="A1452" s="60" t="n">
        <x:v>0.65</x:v>
      </x:c>
      <x:c r="B1452" s="28" t="str">
        <x:v>back_high</x:v>
      </x:c>
      <x:c r="C1452" s="60" t="n">
        <x:v>0.8</x:v>
      </x:c>
      <x:c r="D1452" s="60" t="n">
        <x:v>0.8</x:v>
      </x:c>
      <x:c r="E1452" s="62" t="b">
        <x:v>1</x:v>
      </x:c>
      <x:c r="F1452" s="62" t="b">
        <x:v>0</x:v>
      </x:c>
      <x:c r="G1452" s="85" t="n">
        <x:v>16386177.809641402</x:v>
      </x:c>
      <x:c r="H1452" s="85" t="n">
        <x:v>48308658.03912234</x:v>
      </x:c>
      <x:c r="I1452" s="85" t="n">
        <x:v>89876769.74135886</x:v>
      </x:c>
      <x:c r="J1452" s="85" t="n">
        <x:v>74999999.99999999</x:v>
      </x:c>
      <x:c r="K1452" s="85" t="n">
        <x:v>442055.8519342466</x:v>
      </x:c>
      <x:c r="L1452" s="28" t="n">
        <x:v>41</x:v>
      </x:c>
      <x:c r="M1452" s="28" t="n">
        <x:v>37</x:v>
      </x:c>
      <x:c r="N1452" s="28" t="n">
        <x:v>1.862645149230957e-9</x:v>
      </x:c>
      <x:c r="O1452" s="28" t="n">
        <x:v>1.4901161193847656e-8</x:v>
      </x:c>
      <x:c r="P1452" s="28" t="n">
        <x:v>0</x:v>
      </x:c>
      <x:c r="Q1452" s="62" t="b">
        <x:v>1</x:v>
      </x:c>
      <x:c r="R1452" s="28" t="n">
        <x:v>0</x:v>
      </x:c>
      <x:c r="S1452" s="28" t="str">
        <x:v>f60a9352663ecd91</x:v>
      </x:c>
    </x:row>
    <x:row r="1453" ht="21" customHeight="1">
      <x:c r="A1453" s="60" t="n">
        <x:v>0.65</x:v>
      </x:c>
      <x:c r="B1453" s="28" t="str">
        <x:v>back_high</x:v>
      </x:c>
      <x:c r="C1453" s="60" t="n">
        <x:v>0.85</x:v>
      </x:c>
      <x:c r="D1453" s="60" t="n">
        <x:v>0.85</x:v>
      </x:c>
      <x:c r="E1453" s="62" t="b">
        <x:v>1</x:v>
      </x:c>
      <x:c r="F1453" s="62" t="b">
        <x:v>0</x:v>
      </x:c>
      <x:c r="G1453" s="85" t="n">
        <x:v>24795395.99766223</x:v>
      </x:c>
      <x:c r="H1453" s="85" t="n">
        <x:v>59111880.93161751</x:v>
      </x:c>
      <x:c r="I1453" s="85" t="n">
        <x:v>90099186.39017873</x:v>
      </x:c>
      <x:c r="J1453" s="85" t="n">
        <x:v>74999999.99999999</x:v>
      </x:c>
      <x:c r="K1453" s="85" t="n">
        <x:v>413040.1602315196</x:v>
      </x:c>
      <x:c r="L1453" s="28" t="n">
        <x:v>41</x:v>
      </x:c>
      <x:c r="M1453" s="28" t="n">
        <x:v>38</x:v>
      </x:c>
      <x:c r="N1453" s="28" t="n">
        <x:v>1.862645149230957e-9</x:v>
      </x:c>
      <x:c r="O1453" s="28" t="n">
        <x:v>2.9802322387695312e-8</x:v>
      </x:c>
      <x:c r="P1453" s="28" t="n">
        <x:v>0</x:v>
      </x:c>
      <x:c r="Q1453" s="62" t="b">
        <x:v>1</x:v>
      </x:c>
      <x:c r="R1453" s="28" t="n">
        <x:v>0</x:v>
      </x:c>
      <x:c r="S1453" s="28" t="str">
        <x:v>d3fbeba1289fbce9</x:v>
      </x:c>
    </x:row>
    <x:row r="1454" ht="21" customHeight="1">
      <x:c r="A1454" s="60" t="n">
        <x:v>0.65</x:v>
      </x:c>
      <x:c r="B1454" s="28" t="str">
        <x:v>back_high</x:v>
      </x:c>
      <x:c r="C1454" s="60" t="n">
        <x:v>0.9</x:v>
      </x:c>
      <x:c r="D1454" s="60" t="n">
        <x:v>0.8948658400492392</x:v>
      </x:c>
      <x:c r="E1454" s="62" t="b">
        <x:v>0</x:v>
      </x:c>
      <x:c r="F1454" s="62" t="b">
        <x:v>0</x:v>
      </x:c>
      <x:c r="G1454" s="85" t="n">
        <x:v>28717589.10529291</x:v>
      </x:c>
      <x:c r="H1454" s="85" t="n">
        <x:v>64649734.31502284</x:v>
      </x:c>
      <x:c r="I1454" s="85" t="n">
        <x:v>91679923.95241952</x:v>
      </x:c>
      <x:c r="J1454" s="85" t="n">
        <x:v>74999999.99999999</x:v>
      </x:c>
      <x:c r="K1454" s="85" t="n">
        <x:v>384024.46852876665</x:v>
      </x:c>
      <x:c r="L1454" s="28" t="n">
        <x:v>42</x:v>
      </x:c>
      <x:c r="M1454" s="28" t="n">
        <x:v>38</x:v>
      </x:c>
      <x:c r="N1454" s="28" t="n">
        <x:v>1.862645149230957e-9</x:v>
      </x:c>
      <x:c r="O1454" s="28" t="n">
        <x:v>2.9802322387695312e-8</x:v>
      </x:c>
      <x:c r="P1454" s="28" t="n">
        <x:v>0</x:v>
      </x:c>
      <x:c r="Q1454" s="62" t="b">
        <x:v>1</x:v>
      </x:c>
      <x:c r="R1454" s="28" t="n">
        <x:v>1540247.9852282405</x:v>
      </x:c>
      <x:c r="S1454" s="28" t="str">
        <x:v>ee3ecbb2df564dd8</x:v>
      </x:c>
    </x:row>
    <x:row r="1455" ht="21" customHeight="1">
      <x:c r="A1455" s="60" t="n">
        <x:v>0.65</x:v>
      </x:c>
      <x:c r="B1455" s="28" t="str">
        <x:v>back_high</x:v>
      </x:c>
      <x:c r="C1455" s="60" t="n">
        <x:v>0.95</x:v>
      </x:c>
      <x:c r="D1455" s="60" t="n">
        <x:v>0.9083032015334562</x:v>
      </x:c>
      <x:c r="E1455" s="62" t="b">
        <x:v>0</x:v>
      </x:c>
      <x:c r="F1455" s="62" t="b">
        <x:v>0</x:v>
      </x:c>
      <x:c r="G1455" s="85" t="n">
        <x:v>30774365.86565063</x:v>
      </x:c>
      <x:c r="H1455" s="85" t="n">
        <x:v>69280000.12929104</x:v>
      </x:c>
      <x:c r="I1455" s="85" t="n">
        <x:v>91864290.2896544</x:v>
      </x:c>
      <x:c r="J1455" s="85" t="n">
        <x:v>74999999.99999999</x:v>
      </x:c>
      <x:c r="K1455" s="85" t="n">
        <x:v>355008.7768260266</x:v>
      </x:c>
      <x:c r="L1455" s="28" t="n">
        <x:v>42</x:v>
      </x:c>
      <x:c r="M1455" s="28" t="n">
        <x:v>38</x:v>
      </x:c>
      <x:c r="N1455" s="28" t="n">
        <x:v>1.862645149230957e-9</x:v>
      </x:c>
      <x:c r="O1455" s="28" t="n">
        <x:v>2.9802322387695312e-8</x:v>
      </x:c>
      <x:c r="P1455" s="28" t="n">
        <x:v>0</x:v>
      </x:c>
      <x:c r="Q1455" s="62" t="b">
        <x:v>1</x:v>
      </x:c>
      <x:c r="R1455" s="28" t="n">
        <x:v>12509039.539963126</x:v>
      </x:c>
      <x:c r="S1455" s="28" t="str">
        <x:v>945fa29502be613d</x:v>
      </x:c>
    </x:row>
    <x:row r="1456" ht="21" customHeight="1">
      <x:c r="A1456" s="60" t="n">
        <x:v>0.65</x:v>
      </x:c>
      <x:c r="B1456" s="28" t="str">
        <x:v>back_high</x:v>
      </x:c>
      <x:c r="C1456" s="60" t="n">
        <x:v>1</x:v>
      </x:c>
      <x:c r="D1456" s="60" t="n">
        <x:v>0.920601109498915</x:v>
      </x:c>
      <x:c r="E1456" s="62" t="b">
        <x:v>0</x:v>
      </x:c>
      <x:c r="F1456" s="62" t="b">
        <x:v>0</x:v>
      </x:c>
      <x:c r="G1456" s="85" t="n">
        <x:v>33437084.52087996</x:v>
      </x:c>
      <x:c r="H1456" s="85" t="n">
        <x:v>72240981.22504282</x:v>
      </x:c>
      <x:c r="I1456" s="85" t="n">
        <x:v>92048656.62688926</x:v>
      </x:c>
      <x:c r="J1456" s="85" t="n">
        <x:v>74999999.99999999</x:v>
      </x:c>
      <x:c r="K1456" s="85" t="n">
        <x:v>325993.0851232876</x:v>
      </x:c>
      <x:c r="L1456" s="28" t="n">
        <x:v>42</x:v>
      </x:c>
      <x:c r="M1456" s="28" t="n">
        <x:v>39</x:v>
      </x:c>
      <x:c r="N1456" s="28" t="n">
        <x:v>1.862645149230957e-9</x:v>
      </x:c>
      <x:c r="O1456" s="28" t="n">
        <x:v>2.9802322387695312e-8</x:v>
      </x:c>
      <x:c r="P1456" s="28" t="n">
        <x:v>0</x:v>
      </x:c>
      <x:c r="Q1456" s="62" t="b">
        <x:v>1</x:v>
      </x:c>
      <x:c r="R1456" s="28" t="n">
        <x:v>23819667.150325477</x:v>
      </x:c>
      <x:c r="S1456" s="28" t="str">
        <x:v>40a21965d4fd7395</x:v>
      </x:c>
    </x:row>
    <x:row r="1457" ht="21" customHeight="1">
      <x:c r="A1457" s="60" t="n">
        <x:v>0.65</x:v>
      </x:c>
      <x:c r="B1457" s="28" t="str">
        <x:v>level_flat</x:v>
      </x:c>
      <x:c r="C1457" s="60" t="n">
        <x:v>0</x:v>
      </x:c>
      <x:c r="D1457" s="60" t="n">
        <x:v>0</x:v>
      </x:c>
      <x:c r="E1457" s="62" t="b">
        <x:v>1</x:v>
      </x:c>
      <x:c r="F1457" s="62" t="b">
        <x:v>1</x:v>
      </x:c>
      <x:c r="G1457" s="85" t="n">
        <x:v>0</x:v>
      </x:c>
      <x:c r="H1457" s="85" t="n">
        <x:v>0</x:v>
      </x:c>
      <x:c r="I1457" s="85" t="n">
        <x:v>0</x:v>
      </x:c>
      <x:c r="J1457" s="85" t="n">
        <x:v>0</x:v>
      </x:c>
      <x:c r="K1457" s="85" t="n">
        <x:v>33472994.65547947</x:v>
      </x:c>
      <x:c r="L1457" s="28" t="n">
        <x:v>0</x:v>
      </x:c>
      <x:c r="M1457" s="28" t="n">
        <x:v>0</x:v>
      </x:c>
      <x:c r="N1457" s="28" t="n">
        <x:v>3.725290298461914e-9</x:v>
      </x:c>
      <x:c r="O1457" s="28" t="n">
        <x:v>0</x:v>
      </x:c>
      <x:c r="P1457" s="28" t="n">
        <x:v>0</x:v>
      </x:c>
      <x:c r="Q1457" s="62" t="b">
        <x:v>1</x:v>
      </x:c>
      <x:c r="R1457" s="28" t="n">
        <x:v>0</x:v>
      </x:c>
      <x:c r="S1457" s="28" t="str">
        <x:v>ad2a89e020c5b2df</x:v>
      </x:c>
    </x:row>
    <x:row r="1458" ht="21" customHeight="1">
      <x:c r="A1458" s="60" t="n">
        <x:v>0.65</x:v>
      </x:c>
      <x:c r="B1458" s="28" t="str">
        <x:v>level_flat</x:v>
      </x:c>
      <x:c r="C1458" s="60" t="n">
        <x:v>0.05</x:v>
      </x:c>
      <x:c r="D1458" s="60" t="n">
        <x:v>0.05</x:v>
      </x:c>
      <x:c r="E1458" s="62" t="b">
        <x:v>1</x:v>
      </x:c>
      <x:c r="F1458" s="62" t="b">
        <x:v>1</x:v>
      </x:c>
      <x:c r="G1458" s="85" t="n">
        <x:v>0</x:v>
      </x:c>
      <x:c r="H1458" s="85" t="n">
        <x:v>0</x:v>
      </x:c>
      <x:c r="I1458" s="85" t="n">
        <x:v>0</x:v>
      </x:c>
      <x:c r="J1458" s="85" t="n">
        <x:v>0</x:v>
      </x:c>
      <x:c r="K1458" s="85" t="n">
        <x:v>21572856.53028628</x:v>
      </x:c>
      <x:c r="L1458" s="28" t="n">
        <x:v>0</x:v>
      </x:c>
      <x:c r="M1458" s="28" t="n">
        <x:v>0</x:v>
      </x:c>
      <x:c r="N1458" s="28" t="n">
        <x:v>1.862645149230957e-9</x:v>
      </x:c>
      <x:c r="O1458" s="28" t="n">
        <x:v>2.9802322387695312e-8</x:v>
      </x:c>
      <x:c r="P1458" s="28" t="n">
        <x:v>0</x:v>
      </x:c>
      <x:c r="Q1458" s="62" t="b">
        <x:v>1</x:v>
      </x:c>
      <x:c r="R1458" s="28" t="n">
        <x:v>0</x:v>
      </x:c>
      <x:c r="S1458" s="28" t="str">
        <x:v>8d537f211138973f</x:v>
      </x:c>
    </x:row>
    <x:row r="1459" ht="21" customHeight="1">
      <x:c r="A1459" s="60" t="n">
        <x:v>0.65</x:v>
      </x:c>
      <x:c r="B1459" s="28" t="str">
        <x:v>level_flat</x:v>
      </x:c>
      <x:c r="C1459" s="60" t="n">
        <x:v>0.1</x:v>
      </x:c>
      <x:c r="D1459" s="60" t="n">
        <x:v>0.1</x:v>
      </x:c>
      <x:c r="E1459" s="62" t="b">
        <x:v>1</x:v>
      </x:c>
      <x:c r="F1459" s="62" t="b">
        <x:v>1</x:v>
      </x:c>
      <x:c r="G1459" s="85" t="n">
        <x:v>0</x:v>
      </x:c>
      <x:c r="H1459" s="85" t="n">
        <x:v>0</x:v>
      </x:c>
      <x:c r="I1459" s="85" t="n">
        <x:v>0</x:v>
      </x:c>
      <x:c r="J1459" s="85" t="n">
        <x:v>0</x:v>
      </x:c>
      <x:c r="K1459" s="85" t="n">
        <x:v>9554774.246058075</x:v>
      </x:c>
      <x:c r="L1459" s="28" t="n">
        <x:v>0</x:v>
      </x:c>
      <x:c r="M1459" s="28" t="n">
        <x:v>0</x:v>
      </x:c>
      <x:c r="N1459" s="28" t="n">
        <x:v>3.725290298461914e-9</x:v>
      </x:c>
      <x:c r="O1459" s="28" t="n">
        <x:v>5.960464477539063e-8</x:v>
      </x:c>
      <x:c r="P1459" s="28" t="n">
        <x:v>0</x:v>
      </x:c>
      <x:c r="Q1459" s="62" t="b">
        <x:v>1</x:v>
      </x:c>
      <x:c r="R1459" s="28" t="n">
        <x:v>0</x:v>
      </x:c>
      <x:c r="S1459" s="28" t="str">
        <x:v>b0548f23e4d3342f</x:v>
      </x:c>
    </x:row>
    <x:row r="1460" ht="21" customHeight="1">
      <x:c r="A1460" s="60" t="n">
        <x:v>0.65</x:v>
      </x:c>
      <x:c r="B1460" s="28" t="str">
        <x:v>level_flat</x:v>
      </x:c>
      <x:c r="C1460" s="60" t="n">
        <x:v>0.15</x:v>
      </x:c>
      <x:c r="D1460" s="60" t="n">
        <x:v>0.15</x:v>
      </x:c>
      <x:c r="E1460" s="62" t="b">
        <x:v>1</x:v>
      </x:c>
      <x:c r="F1460" s="62" t="b">
        <x:v>1</x:v>
      </x:c>
      <x:c r="G1460" s="85" t="n">
        <x:v>0</x:v>
      </x:c>
      <x:c r="H1460" s="85" t="n">
        <x:v>0</x:v>
      </x:c>
      <x:c r="I1460" s="85" t="n">
        <x:v>2807211.9606836615</x:v>
      </x:c>
      <x:c r="J1460" s="85" t="n">
        <x:v>0</x:v>
      </x:c>
      <x:c r="K1460" s="85" t="n">
        <x:v>1145910.0129769968</x:v>
      </x:c>
      <x:c r="L1460" s="28" t="n">
        <x:v>0</x:v>
      </x:c>
      <x:c r="M1460" s="28" t="n">
        <x:v>0</x:v>
      </x:c>
      <x:c r="N1460" s="28" t="n">
        <x:v>1.862645149230957e-9</x:v>
      </x:c>
      <x:c r="O1460" s="28" t="n">
        <x:v>2.9802322387695312e-8</x:v>
      </x:c>
      <x:c r="P1460" s="28" t="n">
        <x:v>0</x:v>
      </x:c>
      <x:c r="Q1460" s="62" t="b">
        <x:v>1</x:v>
      </x:c>
      <x:c r="R1460" s="28" t="n">
        <x:v>0</x:v>
      </x:c>
      <x:c r="S1460" s="28" t="str">
        <x:v>a2fbbdf7c0aa12df</x:v>
      </x:c>
    </x:row>
    <x:row r="1461" ht="21" customHeight="1">
      <x:c r="A1461" s="60" t="n">
        <x:v>0.65</x:v>
      </x:c>
      <x:c r="B1461" s="28" t="str">
        <x:v>level_flat</x:v>
      </x:c>
      <x:c r="C1461" s="60" t="n">
        <x:v>0.2</x:v>
      </x:c>
      <x:c r="D1461" s="60" t="n">
        <x:v>0.2</x:v>
      </x:c>
      <x:c r="E1461" s="62" t="b">
        <x:v>1</x:v>
      </x:c>
      <x:c r="F1461" s="62" t="b">
        <x:v>1</x:v>
      </x:c>
      <x:c r="G1461" s="85" t="n">
        <x:v>0</x:v>
      </x:c>
      <x:c r="H1461" s="85" t="n">
        <x:v>0</x:v>
      </x:c>
      <x:c r="I1461" s="85" t="n">
        <x:v>10831307.963782819</x:v>
      </x:c>
      <x:c r="J1461" s="85" t="n">
        <x:v>6323003.272534203</x:v>
      </x:c>
      <x:c r="K1461" s="85" t="n">
        <x:v>795053.8524624743</x:v>
      </x:c>
      <x:c r="L1461" s="28" t="n">
        <x:v>0</x:v>
      </x:c>
      <x:c r="M1461" s="28" t="n">
        <x:v>0</x:v>
      </x:c>
      <x:c r="N1461" s="28" t="n">
        <x:v>9.313225746154785e-10</x:v>
      </x:c>
      <x:c r="O1461" s="28" t="n">
        <x:v>2.9802322387695312e-8</x:v>
      </x:c>
      <x:c r="P1461" s="28" t="n">
        <x:v>0</x:v>
      </x:c>
      <x:c r="Q1461" s="62" t="b">
        <x:v>1</x:v>
      </x:c>
      <x:c r="R1461" s="28" t="n">
        <x:v>0</x:v>
      </x:c>
      <x:c r="S1461" s="28" t="str">
        <x:v>6a67c96cee50bea3</x:v>
      </x:c>
    </x:row>
    <x:row r="1462" ht="21" customHeight="1">
      <x:c r="A1462" s="60" t="n">
        <x:v>0.65</x:v>
      </x:c>
      <x:c r="B1462" s="28" t="str">
        <x:v>level_flat</x:v>
      </x:c>
      <x:c r="C1462" s="60" t="n">
        <x:v>0.25</x:v>
      </x:c>
      <x:c r="D1462" s="60" t="n">
        <x:v>0.25</x:v>
      </x:c>
      <x:c r="E1462" s="62" t="b">
        <x:v>1</x:v>
      </x:c>
      <x:c r="F1462" s="62" t="b">
        <x:v>1</x:v>
      </x:c>
      <x:c r="G1462" s="85" t="n">
        <x:v>0</x:v>
      </x:c>
      <x:c r="H1462" s="85" t="n">
        <x:v>0</x:v>
      </x:c>
      <x:c r="I1462" s="85" t="n">
        <x:v>17124801.0322802</x:v>
      </x:c>
      <x:c r="J1462" s="85" t="n">
        <x:v>15403754.090667734</x:v>
      </x:c>
      <x:c r="K1462" s="85" t="n">
        <x:v>577256.5691808198</x:v>
      </x:c>
      <x:c r="L1462" s="28" t="n">
        <x:v>0</x:v>
      </x:c>
      <x:c r="M1462" s="28" t="n">
        <x:v>0</x:v>
      </x:c>
      <x:c r="N1462" s="28" t="n">
        <x:v>3.725290298461914e-9</x:v>
      </x:c>
      <x:c r="O1462" s="28" t="n">
        <x:v>2.9802322387695312e-8</x:v>
      </x:c>
      <x:c r="P1462" s="28" t="n">
        <x:v>0</x:v>
      </x:c>
      <x:c r="Q1462" s="62" t="b">
        <x:v>1</x:v>
      </x:c>
      <x:c r="R1462" s="28" t="n">
        <x:v>0</x:v>
      </x:c>
      <x:c r="S1462" s="28" t="str">
        <x:v>583e9f3c9d3bb409</x:v>
      </x:c>
    </x:row>
    <x:row r="1463" ht="21" customHeight="1">
      <x:c r="A1463" s="60" t="n">
        <x:v>0.65</x:v>
      </x:c>
      <x:c r="B1463" s="28" t="str">
        <x:v>level_flat</x:v>
      </x:c>
      <x:c r="C1463" s="60" t="n">
        <x:v>0.3</x:v>
      </x:c>
      <x:c r="D1463" s="60" t="n">
        <x:v>0.3</x:v>
      </x:c>
      <x:c r="E1463" s="62" t="b">
        <x:v>1</x:v>
      </x:c>
      <x:c r="F1463" s="62" t="b">
        <x:v>1</x:v>
      </x:c>
      <x:c r="G1463" s="85" t="n">
        <x:v>0</x:v>
      </x:c>
      <x:c r="H1463" s="85" t="n">
        <x:v>0</x:v>
      </x:c>
      <x:c r="I1463" s="85" t="n">
        <x:v>23494930.962009225</x:v>
      </x:c>
      <x:c r="J1463" s="85" t="n">
        <x:v>24484504.908801176</x:v>
      </x:c>
      <x:c r="K1463" s="85" t="n">
        <x:v>469211.39343835856</x:v>
      </x:c>
      <x:c r="L1463" s="28" t="n">
        <x:v>0</x:v>
      </x:c>
      <x:c r="M1463" s="28" t="n">
        <x:v>0</x:v>
      </x:c>
      <x:c r="N1463" s="28" t="n">
        <x:v>3.725290298461914e-9</x:v>
      </x:c>
      <x:c r="O1463" s="28" t="n">
        <x:v>7.450580596923828e-9</x:v>
      </x:c>
      <x:c r="P1463" s="28" t="n">
        <x:v>0</x:v>
      </x:c>
      <x:c r="Q1463" s="62" t="b">
        <x:v>1</x:v>
      </x:c>
      <x:c r="R1463" s="28" t="n">
        <x:v>0</x:v>
      </x:c>
      <x:c r="S1463" s="28" t="str">
        <x:v>2d876297c56b9453</x:v>
      </x:c>
    </x:row>
    <x:row r="1464" ht="21" customHeight="1">
      <x:c r="A1464" s="60" t="n">
        <x:v>0.65</x:v>
      </x:c>
      <x:c r="B1464" s="28" t="str">
        <x:v>level_flat</x:v>
      </x:c>
      <x:c r="C1464" s="60" t="n">
        <x:v>0.35</x:v>
      </x:c>
      <x:c r="D1464" s="60" t="n">
        <x:v>0.35</x:v>
      </x:c>
      <x:c r="E1464" s="62" t="b">
        <x:v>1</x:v>
      </x:c>
      <x:c r="F1464" s="62" t="b">
        <x:v>1</x:v>
      </x:c>
      <x:c r="G1464" s="85" t="n">
        <x:v>0</x:v>
      </x:c>
      <x:c r="H1464" s="85" t="n">
        <x:v>0</x:v>
      </x:c>
      <x:c r="I1464" s="85" t="n">
        <x:v>29928214.732059415</x:v>
      </x:c>
      <x:c r="J1464" s="85" t="n">
        <x:v>33565255.72693473</x:v>
      </x:c>
      <x:c r="K1464" s="85" t="n">
        <x:v>364457.37567808584</x:v>
      </x:c>
      <x:c r="L1464" s="28" t="n">
        <x:v>0</x:v>
      </x:c>
      <x:c r="M1464" s="28" t="n">
        <x:v>0</x:v>
      </x:c>
      <x:c r="N1464" s="28" t="n">
        <x:v>3.725290298461914e-9</x:v>
      </x:c>
      <x:c r="O1464" s="28" t="n">
        <x:v>2.9802322387695312e-8</x:v>
      </x:c>
      <x:c r="P1464" s="28" t="n">
        <x:v>0</x:v>
      </x:c>
      <x:c r="Q1464" s="62" t="b">
        <x:v>1</x:v>
      </x:c>
      <x:c r="R1464" s="28" t="n">
        <x:v>0</x:v>
      </x:c>
      <x:c r="S1464" s="28" t="str">
        <x:v>a9e1419a2a3f86c0</x:v>
      </x:c>
    </x:row>
    <x:row r="1465" ht="21" customHeight="1">
      <x:c r="A1465" s="60" t="n">
        <x:v>0.65</x:v>
      </x:c>
      <x:c r="B1465" s="28" t="str">
        <x:v>level_flat</x:v>
      </x:c>
      <x:c r="C1465" s="60" t="n">
        <x:v>0.4</x:v>
      </x:c>
      <x:c r="D1465" s="60" t="n">
        <x:v>0.4</x:v>
      </x:c>
      <x:c r="E1465" s="62" t="b">
        <x:v>1</x:v>
      </x:c>
      <x:c r="F1465" s="62" t="b">
        <x:v>1</x:v>
      </x:c>
      <x:c r="G1465" s="85" t="n">
        <x:v>0</x:v>
      </x:c>
      <x:c r="H1465" s="85" t="n">
        <x:v>0</x:v>
      </x:c>
      <x:c r="I1465" s="85" t="n">
        <x:v>36450255.220575556</x:v>
      </x:c>
      <x:c r="J1465" s="85" t="n">
        <x:v>42646006.54506829</x:v>
      </x:c>
      <x:c r="K1465" s="85" t="n">
        <x:v>289082.4161095924</x:v>
      </x:c>
      <x:c r="L1465" s="28" t="n">
        <x:v>0</x:v>
      </x:c>
      <x:c r="M1465" s="28" t="n">
        <x:v>0</x:v>
      </x:c>
      <x:c r="N1465" s="28" t="n">
        <x:v>3.725290298461914e-9</x:v>
      </x:c>
      <x:c r="O1465" s="28" t="n">
        <x:v>2.9802322387695312e-8</x:v>
      </x:c>
      <x:c r="P1465" s="28" t="n">
        <x:v>0</x:v>
      </x:c>
      <x:c r="Q1465" s="62" t="b">
        <x:v>1</x:v>
      </x:c>
      <x:c r="R1465" s="28" t="n">
        <x:v>0</x:v>
      </x:c>
      <x:c r="S1465" s="28" t="str">
        <x:v>ee3c64d4fe026be2</x:v>
      </x:c>
    </x:row>
    <x:row r="1466" ht="21" customHeight="1">
      <x:c r="A1466" s="60" t="n">
        <x:v>0.65</x:v>
      </x:c>
      <x:c r="B1466" s="28" t="str">
        <x:v>level_flat</x:v>
      </x:c>
      <x:c r="C1466" s="60" t="n">
        <x:v>0.45</x:v>
      </x:c>
      <x:c r="D1466" s="60" t="n">
        <x:v>0.45</x:v>
      </x:c>
      <x:c r="E1466" s="62" t="b">
        <x:v>1</x:v>
      </x:c>
      <x:c r="F1466" s="62" t="b">
        <x:v>1</x:v>
      </x:c>
      <x:c r="G1466" s="85" t="n">
        <x:v>0</x:v>
      </x:c>
      <x:c r="H1466" s="85" t="n">
        <x:v>0</x:v>
      </x:c>
      <x:c r="I1466" s="85" t="n">
        <x:v>44743052.56545834</x:v>
      </x:c>
      <x:c r="J1466" s="85" t="n">
        <x:v>47471646.01035153</x:v>
      </x:c>
      <x:c r="K1466" s="85" t="n">
        <x:v>257173.1545958943</x:v>
      </x:c>
      <x:c r="L1466" s="28" t="n">
        <x:v>7</x:v>
      </x:c>
      <x:c r="M1466" s="28" t="n">
        <x:v>0</x:v>
      </x:c>
      <x:c r="N1466" s="28" t="n">
        <x:v>1.862645149230957e-9</x:v>
      </x:c>
      <x:c r="O1466" s="28" t="n">
        <x:v>2.9802322387695312e-8</x:v>
      </x:c>
      <x:c r="P1466" s="28" t="n">
        <x:v>0</x:v>
      </x:c>
      <x:c r="Q1466" s="62" t="b">
        <x:v>1</x:v>
      </x:c>
      <x:c r="R1466" s="28" t="n">
        <x:v>0</x:v>
      </x:c>
      <x:c r="S1466" s="28" t="str">
        <x:v>ba633171f949dc1e</x:v>
      </x:c>
    </x:row>
    <x:row r="1467" ht="21" customHeight="1">
      <x:c r="A1467" s="60" t="n">
        <x:v>0.65</x:v>
      </x:c>
      <x:c r="B1467" s="28" t="str">
        <x:v>level_flat</x:v>
      </x:c>
      <x:c r="C1467" s="60" t="n">
        <x:v>0.5</x:v>
      </x:c>
      <x:c r="D1467" s="60" t="n">
        <x:v>0.5</x:v>
      </x:c>
      <x:c r="E1467" s="62" t="b">
        <x:v>1</x:v>
      </x:c>
      <x:c r="F1467" s="62" t="b">
        <x:v>1</x:v>
      </x:c>
      <x:c r="G1467" s="85" t="n">
        <x:v>0</x:v>
      </x:c>
      <x:c r="H1467" s="85" t="n">
        <x:v>0</x:v>
      </x:c>
      <x:c r="I1467" s="85" t="n">
        <x:v>51779949.18227247</x:v>
      </x:c>
      <x:c r="J1467" s="85" t="n">
        <x:v>55047803.87715033</x:v>
      </x:c>
      <x:c r="K1467" s="85" t="n">
        <x:v>225263.89308219112</x:v>
      </x:c>
      <x:c r="L1467" s="28" t="n">
        <x:v>11</x:v>
      </x:c>
      <x:c r="M1467" s="28" t="n">
        <x:v>0</x:v>
      </x:c>
      <x:c r="N1467" s="28" t="n">
        <x:v>1.862645149230957e-9</x:v>
      </x:c>
      <x:c r="O1467" s="28" t="n">
        <x:v>1.4901161193847656e-8</x:v>
      </x:c>
      <x:c r="P1467" s="28" t="n">
        <x:v>0</x:v>
      </x:c>
      <x:c r="Q1467" s="62" t="b">
        <x:v>1</x:v>
      </x:c>
      <x:c r="R1467" s="28" t="n">
        <x:v>0</x:v>
      </x:c>
      <x:c r="S1467" s="28" t="str">
        <x:v>69de388add77a64b</x:v>
      </x:c>
    </x:row>
    <x:row r="1468" ht="21" customHeight="1">
      <x:c r="A1468" s="60" t="n">
        <x:v>0.65</x:v>
      </x:c>
      <x:c r="B1468" s="28" t="str">
        <x:v>level_flat</x:v>
      </x:c>
      <x:c r="C1468" s="60" t="n">
        <x:v>0.55</x:v>
      </x:c>
      <x:c r="D1468" s="60" t="n">
        <x:v>0.55</x:v>
      </x:c>
      <x:c r="E1468" s="62" t="b">
        <x:v>1</x:v>
      </x:c>
      <x:c r="F1468" s="62" t="b">
        <x:v>1</x:v>
      </x:c>
      <x:c r="G1468" s="85" t="n">
        <x:v>0</x:v>
      </x:c>
      <x:c r="H1468" s="85" t="n">
        <x:v>0</x:v>
      </x:c>
      <x:c r="I1468" s="85" t="n">
        <x:v>58454377.99770756</x:v>
      </x:c>
      <x:c r="J1468" s="85" t="n">
        <x:v>63248421.025780894</x:v>
      </x:c>
      <x:c r="K1468" s="85" t="n">
        <x:v>193354.63156849306</x:v>
      </x:c>
      <x:c r="L1468" s="28" t="n">
        <x:v>14</x:v>
      </x:c>
      <x:c r="M1468" s="28" t="n">
        <x:v>3</x:v>
      </x:c>
      <x:c r="N1468" s="28" t="n">
        <x:v>1.862645149230957e-9</x:v>
      </x:c>
      <x:c r="O1468" s="28" t="n">
        <x:v>2.9802322387695312e-8</x:v>
      </x:c>
      <x:c r="P1468" s="28" t="n">
        <x:v>0</x:v>
      </x:c>
      <x:c r="Q1468" s="62" t="b">
        <x:v>1</x:v>
      </x:c>
      <x:c r="R1468" s="28" t="n">
        <x:v>0</x:v>
      </x:c>
      <x:c r="S1468" s="28" t="str">
        <x:v>d408dce4b0fe6b87</x:v>
      </x:c>
    </x:row>
    <x:row r="1469" ht="21" customHeight="1">
      <x:c r="A1469" s="60" t="n">
        <x:v>0.65</x:v>
      </x:c>
      <x:c r="B1469" s="28" t="str">
        <x:v>level_flat</x:v>
      </x:c>
      <x:c r="C1469" s="60" t="n">
        <x:v>0.6</x:v>
      </x:c>
      <x:c r="D1469" s="60" t="n">
        <x:v>0.6</x:v>
      </x:c>
      <x:c r="E1469" s="62" t="b">
        <x:v>1</x:v>
      </x:c>
      <x:c r="F1469" s="62" t="b">
        <x:v>1</x:v>
      </x:c>
      <x:c r="G1469" s="85" t="n">
        <x:v>0</x:v>
      </x:c>
      <x:c r="H1469" s="85" t="n">
        <x:v>0</x:v>
      </x:c>
      <x:c r="I1469" s="85" t="n">
        <x:v>64528008.64244309</x:v>
      </x:c>
      <x:c r="J1469" s="85" t="n">
        <x:v>72796635.48913486</x:v>
      </x:c>
      <x:c r="K1469" s="85" t="n">
        <x:v>161445.370054795</x:v>
      </x:c>
      <x:c r="L1469" s="28" t="n">
        <x:v>20</x:v>
      </x:c>
      <x:c r="M1469" s="28" t="n">
        <x:v>8</x:v>
      </x:c>
      <x:c r="N1469" s="28" t="n">
        <x:v>1.862645149230957e-9</x:v>
      </x:c>
      <x:c r="O1469" s="28" t="n">
        <x:v>2.9802322387695312e-8</x:v>
      </x:c>
      <x:c r="P1469" s="28" t="n">
        <x:v>0</x:v>
      </x:c>
      <x:c r="Q1469" s="62" t="b">
        <x:v>1</x:v>
      </x:c>
      <x:c r="R1469" s="28" t="n">
        <x:v>0</x:v>
      </x:c>
      <x:c r="S1469" s="28" t="str">
        <x:v>650c97b1a984c92f</x:v>
      </x:c>
    </x:row>
    <x:row r="1470" ht="21" customHeight="1">
      <x:c r="A1470" s="60" t="n">
        <x:v>0.65</x:v>
      </x:c>
      <x:c r="B1470" s="28" t="str">
        <x:v>level_flat</x:v>
      </x:c>
      <x:c r="C1470" s="60" t="n">
        <x:v>0.65</x:v>
      </x:c>
      <x:c r="D1470" s="60" t="n">
        <x:v>0.65</x:v>
      </x:c>
      <x:c r="E1470" s="62" t="b">
        <x:v>1</x:v>
      </x:c>
      <x:c r="F1470" s="62" t="b">
        <x:v>0</x:v>
      </x:c>
      <x:c r="G1470" s="85" t="n">
        <x:v>1344438.4035938086</x:v>
      </x:c>
      <x:c r="H1470" s="85" t="n">
        <x:v>8756532.678228803</x:v>
      </x:c>
      <x:c r="I1470" s="85" t="n">
        <x:v>66776953.73126711</x:v>
      </x:c>
      <x:c r="J1470" s="85" t="n">
        <x:v>74999999.99999999</x:v>
      </x:c>
      <x:c r="K1470" s="85" t="n">
        <x:v>129536.10854109273</x:v>
      </x:c>
      <x:c r="L1470" s="28" t="n">
        <x:v>41</x:v>
      </x:c>
      <x:c r="M1470" s="28" t="n">
        <x:v>32</x:v>
      </x:c>
      <x:c r="N1470" s="28" t="n">
        <x:v>1.862645149230957e-9</x:v>
      </x:c>
      <x:c r="O1470" s="28" t="n">
        <x:v>2.9802322387695312e-8</x:v>
      </x:c>
      <x:c r="P1470" s="28" t="n">
        <x:v>0</x:v>
      </x:c>
      <x:c r="Q1470" s="62" t="b">
        <x:v>1</x:v>
      </x:c>
      <x:c r="R1470" s="28" t="n">
        <x:v>0</x:v>
      </x:c>
      <x:c r="S1470" s="28" t="str">
        <x:v>cb8bfed1ca96d25b</x:v>
      </x:c>
    </x:row>
    <x:row r="1471" ht="21" customHeight="1">
      <x:c r="A1471" s="60" t="n">
        <x:v>0.65</x:v>
      </x:c>
      <x:c r="B1471" s="28" t="str">
        <x:v>level_flat</x:v>
      </x:c>
      <x:c r="C1471" s="60" t="n">
        <x:v>0.7</x:v>
      </x:c>
      <x:c r="D1471" s="60" t="n">
        <x:v>0.7</x:v>
      </x:c>
      <x:c r="E1471" s="62" t="b">
        <x:v>1</x:v>
      </x:c>
      <x:c r="F1471" s="62" t="b">
        <x:v>0</x:v>
      </x:c>
      <x:c r="G1471" s="85" t="n">
        <x:v>3457381.975343247</x:v>
      </x:c>
      <x:c r="H1471" s="85" t="n">
        <x:v>19661978.922322262</x:v>
      </x:c>
      <x:c r="I1471" s="85" t="n">
        <x:v>68045074.54455397</x:v>
      </x:c>
      <x:c r="J1471" s="85" t="n">
        <x:v>74999999.99999999</x:v>
      </x:c>
      <x:c r="K1471" s="85" t="n">
        <x:v>97626.84702740166</x:v>
      </x:c>
      <x:c r="L1471" s="28" t="n">
        <x:v>42</x:v>
      </x:c>
      <x:c r="M1471" s="28" t="n">
        <x:v>34</x:v>
      </x:c>
      <x:c r="N1471" s="28" t="n">
        <x:v>1.862645149230957e-9</x:v>
      </x:c>
      <x:c r="O1471" s="28" t="n">
        <x:v>2.9802322387695312e-8</x:v>
      </x:c>
      <x:c r="P1471" s="28" t="n">
        <x:v>0</x:v>
      </x:c>
      <x:c r="Q1471" s="62" t="b">
        <x:v>1</x:v>
      </x:c>
      <x:c r="R1471" s="28" t="n">
        <x:v>0</x:v>
      </x:c>
      <x:c r="S1471" s="28" t="str">
        <x:v>654f2b53c0432511</x:v>
      </x:c>
    </x:row>
    <x:row r="1472" ht="21" customHeight="1">
      <x:c r="A1472" s="60" t="n">
        <x:v>0.65</x:v>
      </x:c>
      <x:c r="B1472" s="28" t="str">
        <x:v>level_flat</x:v>
      </x:c>
      <x:c r="C1472" s="60" t="n">
        <x:v>0.75</x:v>
      </x:c>
      <x:c r="D1472" s="60" t="n">
        <x:v>0.75</x:v>
      </x:c>
      <x:c r="E1472" s="62" t="b">
        <x:v>1</x:v>
      </x:c>
      <x:c r="F1472" s="62" t="b">
        <x:v>0</x:v>
      </x:c>
      <x:c r="G1472" s="85" t="n">
        <x:v>5481648.833676907</x:v>
      </x:c>
      <x:c r="H1472" s="85" t="n">
        <x:v>30304989.725402236</x:v>
      </x:c>
      <x:c r="I1472" s="85" t="n">
        <x:v>69364172.41886987</x:v>
      </x:c>
      <x:c r="J1472" s="85" t="n">
        <x:v>74999999.99999999</x:v>
      </x:c>
      <x:c r="K1472" s="85" t="n">
        <x:v>65717.58551369939</x:v>
      </x:c>
      <x:c r="L1472" s="28" t="n">
        <x:v>43</x:v>
      </x:c>
      <x:c r="M1472" s="28" t="n">
        <x:v>35</x:v>
      </x:c>
      <x:c r="N1472" s="28" t="n">
        <x:v>1.862645149230957e-9</x:v>
      </x:c>
      <x:c r="O1472" s="28" t="n">
        <x:v>2.9802322387695312e-8</x:v>
      </x:c>
      <x:c r="P1472" s="28" t="n">
        <x:v>0</x:v>
      </x:c>
      <x:c r="Q1472" s="62" t="b">
        <x:v>1</x:v>
      </x:c>
      <x:c r="R1472" s="28" t="n">
        <x:v>0</x:v>
      </x:c>
      <x:c r="S1472" s="28" t="str">
        <x:v>05a4f77a8a91e2e4</x:v>
      </x:c>
    </x:row>
    <x:row r="1473" ht="21" customHeight="1">
      <x:c r="A1473" s="60" t="n">
        <x:v>0.65</x:v>
      </x:c>
      <x:c r="B1473" s="28" t="str">
        <x:v>level_flat</x:v>
      </x:c>
      <x:c r="C1473" s="60" t="n">
        <x:v>0.8</x:v>
      </x:c>
      <x:c r="D1473" s="60" t="n">
        <x:v>0.8</x:v>
      </x:c>
      <x:c r="E1473" s="62" t="b">
        <x:v>1</x:v>
      </x:c>
      <x:c r="F1473" s="62" t="b">
        <x:v>0</x:v>
      </x:c>
      <x:c r="G1473" s="85" t="n">
        <x:v>8196926.59652558</x:v>
      </x:c>
      <x:c r="H1473" s="85" t="n">
        <x:v>42100016.26942429</x:v>
      </x:c>
      <x:c r="I1473" s="85" t="n">
        <x:v>69489795.20569864</x:v>
      </x:c>
      <x:c r="J1473" s="85" t="n">
        <x:v>74999999.99999999</x:v>
      </x:c>
      <x:c r="K1473" s="85" t="n">
        <x:v>42560.40328767363</x:v>
      </x:c>
      <x:c r="L1473" s="28" t="n">
        <x:v>43</x:v>
      </x:c>
      <x:c r="M1473" s="28" t="n">
        <x:v>36</x:v>
      </x:c>
      <x:c r="N1473" s="28" t="n">
        <x:v>1.862645149230957e-9</x:v>
      </x:c>
      <x:c r="O1473" s="28" t="n">
        <x:v>2.9802322387695312e-8</x:v>
      </x:c>
      <x:c r="P1473" s="28" t="n">
        <x:v>0</x:v>
      </x:c>
      <x:c r="Q1473" s="62" t="b">
        <x:v>1</x:v>
      </x:c>
      <x:c r="R1473" s="28" t="n">
        <x:v>0</x:v>
      </x:c>
      <x:c r="S1473" s="28" t="str">
        <x:v>46ee72b151d57e87</x:v>
      </x:c>
    </x:row>
    <x:row r="1474" ht="21" customHeight="1">
      <x:c r="A1474" s="60" t="n">
        <x:v>0.65</x:v>
      </x:c>
      <x:c r="B1474" s="28" t="str">
        <x:v>level_flat</x:v>
      </x:c>
      <x:c r="C1474" s="60" t="n">
        <x:v>0.85</x:v>
      </x:c>
      <x:c r="D1474" s="60" t="n">
        <x:v>0.85</x:v>
      </x:c>
      <x:c r="E1474" s="62" t="b">
        <x:v>1</x:v>
      </x:c>
      <x:c r="F1474" s="62" t="b">
        <x:v>0</x:v>
      </x:c>
      <x:c r="G1474" s="85" t="n">
        <x:v>10586524.626962865</x:v>
      </x:c>
      <x:c r="H1474" s="85" t="n">
        <x:v>52355558.44017372</x:v>
      </x:c>
      <x:c r="I1474" s="85" t="n">
        <x:v>70659632.54934247</x:v>
      </x:c>
      <x:c r="J1474" s="85" t="n">
        <x:v>74999999.99999999</x:v>
      </x:c>
      <x:c r="K1474" s="85" t="n">
        <x:v>31883.43020548139</x:v>
      </x:c>
      <x:c r="L1474" s="28" t="n">
        <x:v>44</x:v>
      </x:c>
      <x:c r="M1474" s="28" t="n">
        <x:v>37</x:v>
      </x:c>
      <x:c r="N1474" s="28" t="n">
        <x:v>1.862645149230957e-9</x:v>
      </x:c>
      <x:c r="O1474" s="28" t="n">
        <x:v>2.9802322387695312e-8</x:v>
      </x:c>
      <x:c r="P1474" s="28" t="n">
        <x:v>0</x:v>
      </x:c>
      <x:c r="Q1474" s="62" t="b">
        <x:v>1</x:v>
      </x:c>
      <x:c r="R1474" s="28" t="n">
        <x:v>0</x:v>
      </x:c>
      <x:c r="S1474" s="28" t="str">
        <x:v>f68c4abf487a4e5d</x:v>
      </x:c>
    </x:row>
    <x:row r="1475" ht="21" customHeight="1">
      <x:c r="A1475" s="60" t="n">
        <x:v>0.65</x:v>
      </x:c>
      <x:c r="B1475" s="28" t="str">
        <x:v>level_flat</x:v>
      </x:c>
      <x:c r="C1475" s="60" t="n">
        <x:v>0.9</x:v>
      </x:c>
      <x:c r="D1475" s="60" t="n">
        <x:v>0.9</x:v>
      </x:c>
      <x:c r="E1475" s="62" t="b">
        <x:v>1</x:v>
      </x:c>
      <x:c r="F1475" s="62" t="b">
        <x:v>0</x:v>
      </x:c>
      <x:c r="G1475" s="85" t="n">
        <x:v>15923625.219785996</x:v>
      </x:c>
      <x:c r="H1475" s="85" t="n">
        <x:v>61192455.5601581</x:v>
      </x:c>
      <x:c r="I1475" s="85" t="n">
        <x:v>70733895.11380821</x:v>
      </x:c>
      <x:c r="J1475" s="85" t="n">
        <x:v>74999999.99999999</x:v>
      </x:c>
      <x:c r="K1475" s="85" t="n">
        <x:v>21206.45712328775</x:v>
      </x:c>
      <x:c r="L1475" s="28" t="n">
        <x:v>44</x:v>
      </x:c>
      <x:c r="M1475" s="28" t="n">
        <x:v>38</x:v>
      </x:c>
      <x:c r="N1475" s="28" t="n">
        <x:v>1.862645149230957e-9</x:v>
      </x:c>
      <x:c r="O1475" s="28" t="n">
        <x:v>7.450580596923828e-9</x:v>
      </x:c>
      <x:c r="P1475" s="28" t="n">
        <x:v>0</x:v>
      </x:c>
      <x:c r="Q1475" s="62" t="b">
        <x:v>1</x:v>
      </x:c>
      <x:c r="R1475" s="28" t="n">
        <x:v>0</x:v>
      </x:c>
      <x:c r="S1475" s="28" t="str">
        <x:v>d25a6aac353ebe56</x:v>
      </x:c>
    </x:row>
    <x:row r="1476" ht="21" customHeight="1">
      <x:c r="A1476" s="60" t="n">
        <x:v>0.65</x:v>
      </x:c>
      <x:c r="B1476" s="28" t="str">
        <x:v>level_flat</x:v>
      </x:c>
      <x:c r="C1476" s="60" t="n">
        <x:v>0.95</x:v>
      </x:c>
      <x:c r="D1476" s="60" t="n">
        <x:v>0.9219114501462435</x:v>
      </x:c>
      <x:c r="E1476" s="62" t="b">
        <x:v>0</x:v>
      </x:c>
      <x:c r="F1476" s="62" t="b">
        <x:v>0</x:v>
      </x:c>
      <x:c r="G1476" s="85" t="n">
        <x:v>17016669.37130799</x:v>
      </x:c>
      <x:c r="H1476" s="85" t="n">
        <x:v>64427661.928212695</x:v>
      </x:c>
      <x:c r="I1476" s="85" t="n">
        <x:v>72049657.06720549</x:v>
      </x:c>
      <x:c r="J1476" s="85" t="n">
        <x:v>74999999.99999999</x:v>
      </x:c>
      <x:c r="K1476" s="85" t="n">
        <x:v>10529.48404110063</x:v>
      </x:c>
      <x:c r="L1476" s="28" t="n">
        <x:v>45</x:v>
      </x:c>
      <x:c r="M1476" s="28" t="n">
        <x:v>38</x:v>
      </x:c>
      <x:c r="N1476" s="28" t="n">
        <x:v>1.862645149230957e-9</x:v>
      </x:c>
      <x:c r="O1476" s="28" t="n">
        <x:v>1.4901161193847656e-8</x:v>
      </x:c>
      <x:c r="P1476" s="28" t="n">
        <x:v>0</x:v>
      </x:c>
      <x:c r="Q1476" s="62" t="b">
        <x:v>1</x:v>
      </x:c>
      <x:c r="R1476" s="28" t="n">
        <x:v>8426564.956126928</x:v>
      </x:c>
      <x:c r="S1476" s="28" t="str">
        <x:v>c63dadb18a040d81</x:v>
      </x:c>
    </x:row>
    <x:row r="1477" ht="21" customHeight="1">
      <x:c r="A1477" s="60" t="n">
        <x:v>0.65</x:v>
      </x:c>
      <x:c r="B1477" s="28" t="str">
        <x:v>level_flat</x:v>
      </x:c>
      <x:c r="C1477" s="60" t="n">
        <x:v>1</x:v>
      </x:c>
      <x:c r="D1477" s="60" t="n">
        <x:v>0.9350574964161632</x:v>
      </x:c>
      <x:c r="E1477" s="62" t="b">
        <x:v>0</x:v>
      </x:c>
      <x:c r="F1477" s="62" t="b">
        <x:v>0</x:v>
      </x:c>
      <x:c r="G1477" s="85" t="n">
        <x:v>18617365.213350486</x:v>
      </x:c>
      <x:c r="H1477" s="85" t="n">
        <x:v>67647615.80528937</x:v>
      </x:c>
      <x:c r="I1477" s="85" t="n">
        <x:v>72081076.49698631</x:v>
      </x:c>
      <x:c r="J1477" s="85" t="n">
        <x:v>74999999.99999999</x:v>
      </x:c>
      <x:c r="K1477" s="85" t="n">
        <x:v>0</x:v>
      </x:c>
      <x:c r="L1477" s="28" t="n">
        <x:v>45</x:v>
      </x:c>
      <x:c r="M1477" s="28" t="n">
        <x:v>39</x:v>
      </x:c>
      <x:c r="N1477" s="28" t="n">
        <x:v>1.862645149230957e-9</x:v>
      </x:c>
      <x:c r="O1477" s="28" t="n">
        <x:v>7.450580596923828e-9</x:v>
      </x:c>
      <x:c r="P1477" s="28" t="n">
        <x:v>0</x:v>
      </x:c>
      <x:c r="Q1477" s="62" t="b">
        <x:v>1</x:v>
      </x:c>
      <x:c r="R1477" s="28" t="n">
        <x:v>19482751.075151026</x:v>
      </x:c>
      <x:c r="S1477" s="28" t="str">
        <x:v>c75eb8520da2bdf3</x:v>
      </x:c>
    </x:row>
    <x:row r="1478" ht="21" customHeight="1">
      <x:c r="A1478" s="60" t="n">
        <x:v>0.65</x:v>
      </x:c>
      <x:c r="B1478" s="28" t="str">
        <x:v>level_low</x:v>
      </x:c>
      <x:c r="C1478" s="60" t="n">
        <x:v>0</x:v>
      </x:c>
      <x:c r="D1478" s="60" t="n">
        <x:v>0</x:v>
      </x:c>
      <x:c r="E1478" s="62" t="b">
        <x:v>1</x:v>
      </x:c>
      <x:c r="F1478" s="62" t="b">
        <x:v>1</x:v>
      </x:c>
      <x:c r="G1478" s="85" t="n">
        <x:v>0</x:v>
      </x:c>
      <x:c r="H1478" s="85" t="n">
        <x:v>0</x:v>
      </x:c>
      <x:c r="I1478" s="85" t="n">
        <x:v>0</x:v>
      </x:c>
      <x:c r="J1478" s="85" t="n">
        <x:v>0</x:v>
      </x:c>
      <x:c r="K1478" s="85" t="n">
        <x:v>29480168.121232886</x:v>
      </x:c>
      <x:c r="L1478" s="28" t="n">
        <x:v>0</x:v>
      </x:c>
      <x:c r="M1478" s="28" t="n">
        <x:v>0</x:v>
      </x:c>
      <x:c r="N1478" s="28" t="n">
        <x:v>9.313225746154785e-10</x:v>
      </x:c>
      <x:c r="O1478" s="28" t="n">
        <x:v>0</x:v>
      </x:c>
      <x:c r="P1478" s="28" t="n">
        <x:v>0</x:v>
      </x:c>
      <x:c r="Q1478" s="62" t="b">
        <x:v>1</x:v>
      </x:c>
      <x:c r="R1478" s="28" t="n">
        <x:v>0</x:v>
      </x:c>
      <x:c r="S1478" s="28" t="str">
        <x:v>ca9aadc73d447928</x:v>
      </x:c>
    </x:row>
    <x:row r="1479" ht="21" customHeight="1">
      <x:c r="A1479" s="60" t="n">
        <x:v>0.65</x:v>
      </x:c>
      <x:c r="B1479" s="28" t="str">
        <x:v>level_low</x:v>
      </x:c>
      <x:c r="C1479" s="60" t="n">
        <x:v>0.05</x:v>
      </x:c>
      <x:c r="D1479" s="60" t="n">
        <x:v>0.05</x:v>
      </x:c>
      <x:c r="E1479" s="62" t="b">
        <x:v>1</x:v>
      </x:c>
      <x:c r="F1479" s="62" t="b">
        <x:v>1</x:v>
      </x:c>
      <x:c r="G1479" s="85" t="n">
        <x:v>0</x:v>
      </x:c>
      <x:c r="H1479" s="85" t="n">
        <x:v>0</x:v>
      </x:c>
      <x:c r="I1479" s="85" t="n">
        <x:v>0</x:v>
      </x:c>
      <x:c r="J1479" s="85" t="n">
        <x:v>0</x:v>
      </x:c>
      <x:c r="K1479" s="85" t="n">
        <x:v>18769675.319502562</x:v>
      </x:c>
      <x:c r="L1479" s="28" t="n">
        <x:v>0</x:v>
      </x:c>
      <x:c r="M1479" s="28" t="n">
        <x:v>0</x:v>
      </x:c>
      <x:c r="N1479" s="28" t="n">
        <x:v>3.725290298461914e-9</x:v>
      </x:c>
      <x:c r="O1479" s="28" t="n">
        <x:v>2.9802322387695312e-8</x:v>
      </x:c>
      <x:c r="P1479" s="28" t="n">
        <x:v>0</x:v>
      </x:c>
      <x:c r="Q1479" s="62" t="b">
        <x:v>1</x:v>
      </x:c>
      <x:c r="R1479" s="28" t="n">
        <x:v>0</x:v>
      </x:c>
      <x:c r="S1479" s="28" t="str">
        <x:v>a590f1d57727b27c</x:v>
      </x:c>
    </x:row>
    <x:row r="1480" ht="21" customHeight="1">
      <x:c r="A1480" s="60" t="n">
        <x:v>0.65</x:v>
      </x:c>
      <x:c r="B1480" s="28" t="str">
        <x:v>level_low</x:v>
      </x:c>
      <x:c r="C1480" s="60" t="n">
        <x:v>0.1</x:v>
      </x:c>
      <x:c r="D1480" s="60" t="n">
        <x:v>0.1</x:v>
      </x:c>
      <x:c r="E1480" s="62" t="b">
        <x:v>1</x:v>
      </x:c>
      <x:c r="F1480" s="62" t="b">
        <x:v>1</x:v>
      </x:c>
      <x:c r="G1480" s="85" t="n">
        <x:v>0</x:v>
      </x:c>
      <x:c r="H1480" s="85" t="n">
        <x:v>0</x:v>
      </x:c>
      <x:c r="I1480" s="85" t="n">
        <x:v>0</x:v>
      </x:c>
      <x:c r="J1480" s="85" t="n">
        <x:v>0</x:v>
      </x:c>
      <x:c r="K1480" s="85" t="n">
        <x:v>7975927.817276917</x:v>
      </x:c>
      <x:c r="L1480" s="28" t="n">
        <x:v>0</x:v>
      </x:c>
      <x:c r="M1480" s="28" t="n">
        <x:v>0</x:v>
      </x:c>
      <x:c r="N1480" s="28" t="n">
        <x:v>3.725290298461914e-9</x:v>
      </x:c>
      <x:c r="O1480" s="28" t="n">
        <x:v>5.960464477539063e-8</x:v>
      </x:c>
      <x:c r="P1480" s="28" t="n">
        <x:v>0</x:v>
      </x:c>
      <x:c r="Q1480" s="62" t="b">
        <x:v>1</x:v>
      </x:c>
      <x:c r="R1480" s="28" t="n">
        <x:v>0</x:v>
      </x:c>
      <x:c r="S1480" s="28" t="str">
        <x:v>613f08b08290d0ff</x:v>
      </x:c>
    </x:row>
    <x:row r="1481" ht="21" customHeight="1">
      <x:c r="A1481" s="60" t="n">
        <x:v>0.65</x:v>
      </x:c>
      <x:c r="B1481" s="28" t="str">
        <x:v>level_low</x:v>
      </x:c>
      <x:c r="C1481" s="60" t="n">
        <x:v>0.15</x:v>
      </x:c>
      <x:c r="D1481" s="60" t="n">
        <x:v>0.15</x:v>
      </x:c>
      <x:c r="E1481" s="62" t="b">
        <x:v>1</x:v>
      </x:c>
      <x:c r="F1481" s="62" t="b">
        <x:v>1</x:v>
      </x:c>
      <x:c r="G1481" s="85" t="n">
        <x:v>0</x:v>
      </x:c>
      <x:c r="H1481" s="85" t="n">
        <x:v>0</x:v>
      </x:c>
      <x:c r="I1481" s="85" t="n">
        <x:v>2235015.1201234516</x:v>
      </x:c>
      <x:c r="J1481" s="85" t="n">
        <x:v>0</x:v>
      </x:c>
      <x:c r="K1481" s="85" t="n">
        <x:v>399634.01774411846</x:v>
      </x:c>
      <x:c r="L1481" s="28" t="n">
        <x:v>0</x:v>
      </x:c>
      <x:c r="M1481" s="28" t="n">
        <x:v>0</x:v>
      </x:c>
      <x:c r="N1481" s="28" t="n">
        <x:v>9.313225746154785e-10</x:v>
      </x:c>
      <x:c r="O1481" s="28" t="n">
        <x:v>2.9802322387695312e-8</x:v>
      </x:c>
      <x:c r="P1481" s="28" t="n">
        <x:v>0</x:v>
      </x:c>
      <x:c r="Q1481" s="62" t="b">
        <x:v>1</x:v>
      </x:c>
      <x:c r="R1481" s="28" t="n">
        <x:v>0</x:v>
      </x:c>
      <x:c r="S1481" s="28" t="str">
        <x:v>ef3a6a507b4efe58</x:v>
      </x:c>
    </x:row>
    <x:row r="1482" ht="21" customHeight="1">
      <x:c r="A1482" s="60" t="n">
        <x:v>0.65</x:v>
      </x:c>
      <x:c r="B1482" s="28" t="str">
        <x:v>level_low</x:v>
      </x:c>
      <x:c r="C1482" s="60" t="n">
        <x:v>0.2</x:v>
      </x:c>
      <x:c r="D1482" s="60" t="n">
        <x:v>0.2</x:v>
      </x:c>
      <x:c r="E1482" s="62" t="b">
        <x:v>1</x:v>
      </x:c>
      <x:c r="F1482" s="62" t="b">
        <x:v>1</x:v>
      </x:c>
      <x:c r="G1482" s="85" t="n">
        <x:v>0</x:v>
      </x:c>
      <x:c r="H1482" s="85" t="n">
        <x:v>0</x:v>
      </x:c>
      <x:c r="I1482" s="85" t="n">
        <x:v>8456976.173689233</x:v>
      </x:c>
      <x:c r="J1482" s="85" t="n">
        <x:v>6323003.272534203</x:v>
      </x:c>
      <x:c r="K1482" s="85" t="n">
        <x:v>263596.7973172646</x:v>
      </x:c>
      <x:c r="L1482" s="28" t="n">
        <x:v>0</x:v>
      </x:c>
      <x:c r="M1482" s="28" t="n">
        <x:v>0</x:v>
      </x:c>
      <x:c r="N1482" s="28" t="n">
        <x:v>3.725290298461914e-9</x:v>
      </x:c>
      <x:c r="O1482" s="28" t="n">
        <x:v>2.9802322387695312e-8</x:v>
      </x:c>
      <x:c r="P1482" s="28" t="n">
        <x:v>0</x:v>
      </x:c>
      <x:c r="Q1482" s="62" t="b">
        <x:v>1</x:v>
      </x:c>
      <x:c r="R1482" s="28" t="n">
        <x:v>0</x:v>
      </x:c>
      <x:c r="S1482" s="28" t="str">
        <x:v>782c74dc70cc39df</x:v>
      </x:c>
    </x:row>
    <x:row r="1483" ht="21" customHeight="1">
      <x:c r="A1483" s="60" t="n">
        <x:v>0.65</x:v>
      </x:c>
      <x:c r="B1483" s="28" t="str">
        <x:v>level_low</x:v>
      </x:c>
      <x:c r="C1483" s="60" t="n">
        <x:v>0.25</x:v>
      </x:c>
      <x:c r="D1483" s="60" t="n">
        <x:v>0.25</x:v>
      </x:c>
      <x:c r="E1483" s="62" t="b">
        <x:v>1</x:v>
      </x:c>
      <x:c r="F1483" s="62" t="b">
        <x:v>1</x:v>
      </x:c>
      <x:c r="G1483" s="85" t="n">
        <x:v>0</x:v>
      </x:c>
      <x:c r="H1483" s="85" t="n">
        <x:v>0</x:v>
      </x:c>
      <x:c r="I1483" s="85" t="n">
        <x:v>12594454.628780415</x:v>
      </x:c>
      <x:c r="J1483" s="85" t="n">
        <x:v>15403754.090667734</x:v>
      </x:c>
      <x:c r="K1483" s="85" t="n">
        <x:v>200068.5194178091</x:v>
      </x:c>
      <x:c r="L1483" s="28" t="n">
        <x:v>0</x:v>
      </x:c>
      <x:c r="M1483" s="28" t="n">
        <x:v>0</x:v>
      </x:c>
      <x:c r="N1483" s="28" t="n">
        <x:v>1.862645149230957e-9</x:v>
      </x:c>
      <x:c r="O1483" s="28" t="n">
        <x:v>2.9802322387695312e-8</x:v>
      </x:c>
      <x:c r="P1483" s="28" t="n">
        <x:v>0</x:v>
      </x:c>
      <x:c r="Q1483" s="62" t="b">
        <x:v>1</x:v>
      </x:c>
      <x:c r="R1483" s="28" t="n">
        <x:v>0</x:v>
      </x:c>
      <x:c r="S1483" s="28" t="str">
        <x:v>b8027e46710026b5</x:v>
      </x:c>
    </x:row>
    <x:row r="1484" ht="21" customHeight="1">
      <x:c r="A1484" s="60" t="n">
        <x:v>0.65</x:v>
      </x:c>
      <x:c r="B1484" s="28" t="str">
        <x:v>level_low</x:v>
      </x:c>
      <x:c r="C1484" s="60" t="n">
        <x:v>0.3</x:v>
      </x:c>
      <x:c r="D1484" s="60" t="n">
        <x:v>0.3</x:v>
      </x:c>
      <x:c r="E1484" s="62" t="b">
        <x:v>1</x:v>
      </x:c>
      <x:c r="F1484" s="62" t="b">
        <x:v>1</x:v>
      </x:c>
      <x:c r="G1484" s="85" t="n">
        <x:v>0</x:v>
      </x:c>
      <x:c r="H1484" s="85" t="n">
        <x:v>0</x:v>
      </x:c>
      <x:c r="I1484" s="85" t="n">
        <x:v>16753998.1550698</x:v>
      </x:c>
      <x:c r="J1484" s="85" t="n">
        <x:v>24484504.908801176</x:v>
      </x:c>
      <x:c r="K1484" s="85" t="n">
        <x:v>141457.12330137013</x:v>
      </x:c>
      <x:c r="L1484" s="28" t="n">
        <x:v>0</x:v>
      </x:c>
      <x:c r="M1484" s="28" t="n">
        <x:v>0</x:v>
      </x:c>
      <x:c r="N1484" s="28" t="n">
        <x:v>3.725290298461914e-9</x:v>
      </x:c>
      <x:c r="O1484" s="28" t="n">
        <x:v>7.450580596923828e-9</x:v>
      </x:c>
      <x:c r="P1484" s="28" t="n">
        <x:v>0</x:v>
      </x:c>
      <x:c r="Q1484" s="62" t="b">
        <x:v>1</x:v>
      </x:c>
      <x:c r="R1484" s="28" t="n">
        <x:v>0</x:v>
      </x:c>
      <x:c r="S1484" s="28" t="str">
        <x:v>07155c5df0d8cc2a</x:v>
      </x:c>
    </x:row>
    <x:row r="1485" ht="21" customHeight="1">
      <x:c r="A1485" s="60" t="n">
        <x:v>0.65</x:v>
      </x:c>
      <x:c r="B1485" s="28" t="str">
        <x:v>level_low</x:v>
      </x:c>
      <x:c r="C1485" s="60" t="n">
        <x:v>0.35</x:v>
      </x:c>
      <x:c r="D1485" s="60" t="n">
        <x:v>0.35</x:v>
      </x:c>
      <x:c r="E1485" s="62" t="b">
        <x:v>1</x:v>
      </x:c>
      <x:c r="F1485" s="62" t="b">
        <x:v>1</x:v>
      </x:c>
      <x:c r="G1485" s="85" t="n">
        <x:v>0</x:v>
      </x:c>
      <x:c r="H1485" s="85" t="n">
        <x:v>0</x:v>
      </x:c>
      <x:c r="I1485" s="85" t="n">
        <x:v>20965042.30614311</x:v>
      </x:c>
      <x:c r="J1485" s="85" t="n">
        <x:v>33565255.72693473</x:v>
      </x:c>
      <x:c r="K1485" s="85" t="n">
        <x:v>117083.55049999955</x:v>
      </x:c>
      <x:c r="L1485" s="28" t="n">
        <x:v>0</x:v>
      </x:c>
      <x:c r="M1485" s="28" t="n">
        <x:v>0</x:v>
      </x:c>
      <x:c r="N1485" s="28" t="n">
        <x:v>9.313225746154785e-10</x:v>
      </x:c>
      <x:c r="O1485" s="28" t="n">
        <x:v>2.9802322387695312e-8</x:v>
      </x:c>
      <x:c r="P1485" s="28" t="n">
        <x:v>0</x:v>
      </x:c>
      <x:c r="Q1485" s="62" t="b">
        <x:v>1</x:v>
      </x:c>
      <x:c r="R1485" s="28" t="n">
        <x:v>0</x:v>
      </x:c>
      <x:c r="S1485" s="28" t="str">
        <x:v>ca87702335f8f222</x:v>
      </x:c>
    </x:row>
    <x:row r="1486" ht="21" customHeight="1">
      <x:c r="A1486" s="60" t="n">
        <x:v>0.65</x:v>
      </x:c>
      <x:c r="B1486" s="28" t="str">
        <x:v>level_low</x:v>
      </x:c>
      <x:c r="C1486" s="60" t="n">
        <x:v>0.4</x:v>
      </x:c>
      <x:c r="D1486" s="60" t="n">
        <x:v>0.4</x:v>
      </x:c>
      <x:c r="E1486" s="62" t="b">
        <x:v>1</x:v>
      </x:c>
      <x:c r="F1486" s="62" t="b">
        <x:v>1</x:v>
      </x:c>
      <x:c r="G1486" s="85" t="n">
        <x:v>0</x:v>
      </x:c>
      <x:c r="H1486" s="85" t="n">
        <x:v>0</x:v>
      </x:c>
      <x:c r="I1486" s="85" t="n">
        <x:v>25192993.346373226</x:v>
      </x:c>
      <x:c r="J1486" s="85" t="n">
        <x:v>42646006.54506829</x:v>
      </x:c>
      <x:c r="K1486" s="85" t="n">
        <x:v>98876.02816438532</x:v>
      </x:c>
      <x:c r="L1486" s="28" t="n">
        <x:v>0</x:v>
      </x:c>
      <x:c r="M1486" s="28" t="n">
        <x:v>0</x:v>
      </x:c>
      <x:c r="N1486" s="28" t="n">
        <x:v>3.725290298461914e-9</x:v>
      </x:c>
      <x:c r="O1486" s="28" t="n">
        <x:v>2.9802322387695312e-8</x:v>
      </x:c>
      <x:c r="P1486" s="28" t="n">
        <x:v>0</x:v>
      </x:c>
      <x:c r="Q1486" s="62" t="b">
        <x:v>1</x:v>
      </x:c>
      <x:c r="R1486" s="28" t="n">
        <x:v>0</x:v>
      </x:c>
      <x:c r="S1486" s="28" t="str">
        <x:v>024c834310b16154</x:v>
      </x:c>
    </x:row>
    <x:row r="1487" ht="21" customHeight="1">
      <x:c r="A1487" s="60" t="n">
        <x:v>0.65</x:v>
      </x:c>
      <x:c r="B1487" s="28" t="str">
        <x:v>level_low</x:v>
      </x:c>
      <x:c r="C1487" s="60" t="n">
        <x:v>0.45</x:v>
      </x:c>
      <x:c r="D1487" s="60" t="n">
        <x:v>0.45</x:v>
      </x:c>
      <x:c r="E1487" s="62" t="b">
        <x:v>1</x:v>
      </x:c>
      <x:c r="F1487" s="62" t="b">
        <x:v>1</x:v>
      </x:c>
      <x:c r="G1487" s="85" t="n">
        <x:v>0</x:v>
      </x:c>
      <x:c r="H1487" s="85" t="n">
        <x:v>0</x:v>
      </x:c>
      <x:c r="I1487" s="85" t="n">
        <x:v>31552778.320419606</x:v>
      </x:c>
      <x:c r="J1487" s="85" t="n">
        <x:v>48291007.66350791</x:v>
      </x:c>
      <x:c r="K1487" s="85" t="n">
        <x:v>80668.50582877248</x:v>
      </x:c>
      <x:c r="L1487" s="28" t="n">
        <x:v>7</x:v>
      </x:c>
      <x:c r="M1487" s="28" t="n">
        <x:v>0</x:v>
      </x:c>
      <x:c r="N1487" s="28" t="n">
        <x:v>3.725290298461914e-9</x:v>
      </x:c>
      <x:c r="O1487" s="28" t="n">
        <x:v>2.9802322387695312e-8</x:v>
      </x:c>
      <x:c r="P1487" s="28" t="n">
        <x:v>0</x:v>
      </x:c>
      <x:c r="Q1487" s="62" t="b">
        <x:v>1</x:v>
      </x:c>
      <x:c r="R1487" s="28" t="n">
        <x:v>0</x:v>
      </x:c>
      <x:c r="S1487" s="28" t="str">
        <x:v>305821c493cb0bc8</x:v>
      </x:c>
    </x:row>
    <x:row r="1488" ht="21" customHeight="1">
      <x:c r="A1488" s="60" t="n">
        <x:v>0.65</x:v>
      </x:c>
      <x:c r="B1488" s="28" t="str">
        <x:v>level_low</x:v>
      </x:c>
      <x:c r="C1488" s="60" t="n">
        <x:v>0.5</x:v>
      </x:c>
      <x:c r="D1488" s="60" t="n">
        <x:v>0.5</x:v>
      </x:c>
      <x:c r="E1488" s="62" t="b">
        <x:v>1</x:v>
      </x:c>
      <x:c r="F1488" s="62" t="b">
        <x:v>1</x:v>
      </x:c>
      <x:c r="G1488" s="85" t="n">
        <x:v>0</x:v>
      </x:c>
      <x:c r="H1488" s="85" t="n">
        <x:v>0</x:v>
      </x:c>
      <x:c r="I1488" s="85" t="n">
        <x:v>36573784.366973154</x:v>
      </x:c>
      <x:c r="J1488" s="85" t="n">
        <x:v>55990803.547942564</x:v>
      </x:c>
      <x:c r="K1488" s="85" t="n">
        <x:v>62460.98349315081</x:v>
      </x:c>
      <x:c r="L1488" s="28" t="n">
        <x:v>11</x:v>
      </x:c>
      <x:c r="M1488" s="28" t="n">
        <x:v>0</x:v>
      </x:c>
      <x:c r="N1488" s="28" t="n">
        <x:v>1.862645149230957e-9</x:v>
      </x:c>
      <x:c r="O1488" s="28" t="n">
        <x:v>1.4901161193847656e-8</x:v>
      </x:c>
      <x:c r="P1488" s="28" t="n">
        <x:v>0</x:v>
      </x:c>
      <x:c r="Q1488" s="62" t="b">
        <x:v>1</x:v>
      </x:c>
      <x:c r="R1488" s="28" t="n">
        <x:v>0</x:v>
      </x:c>
      <x:c r="S1488" s="28" t="str">
        <x:v>325c98ae16a4901e</x:v>
      </x:c>
    </x:row>
    <x:row r="1489" ht="21" customHeight="1">
      <x:c r="A1489" s="60" t="n">
        <x:v>0.65</x:v>
      </x:c>
      <x:c r="B1489" s="28" t="str">
        <x:v>level_low</x:v>
      </x:c>
      <x:c r="C1489" s="60" t="n">
        <x:v>0.55</x:v>
      </x:c>
      <x:c r="D1489" s="60" t="n">
        <x:v>0.55</x:v>
      </x:c>
      <x:c r="E1489" s="62" t="b">
        <x:v>1</x:v>
      </x:c>
      <x:c r="F1489" s="62" t="b">
        <x:v>1</x:v>
      </x:c>
      <x:c r="G1489" s="85" t="n">
        <x:v>0</x:v>
      </x:c>
      <x:c r="H1489" s="85" t="n">
        <x:v>0</x:v>
      </x:c>
      <x:c r="I1489" s="85" t="n">
        <x:v>41250225.00030789</x:v>
      </x:c>
      <x:c r="J1489" s="85" t="n">
        <x:v>64112074.63914164</x:v>
      </x:c>
      <x:c r="K1489" s="85" t="n">
        <x:v>44253.461157536105</x:v>
      </x:c>
      <x:c r="L1489" s="28" t="n">
        <x:v>14</x:v>
      </x:c>
      <x:c r="M1489" s="28" t="n">
        <x:v>0</x:v>
      </x:c>
      <x:c r="N1489" s="28" t="n">
        <x:v>1.862645149230957e-9</x:v>
      </x:c>
      <x:c r="O1489" s="28" t="n">
        <x:v>2.9802322387695312e-8</x:v>
      </x:c>
      <x:c r="P1489" s="28" t="n">
        <x:v>0</x:v>
      </x:c>
      <x:c r="Q1489" s="62" t="b">
        <x:v>1</x:v>
      </x:c>
      <x:c r="R1489" s="28" t="n">
        <x:v>0</x:v>
      </x:c>
      <x:c r="S1489" s="28" t="str">
        <x:v>c07598da4c2cea17</x:v>
      </x:c>
    </x:row>
    <x:row r="1490" ht="21" customHeight="1">
      <x:c r="A1490" s="60" t="n">
        <x:v>0.65</x:v>
      </x:c>
      <x:c r="B1490" s="28" t="str">
        <x:v>level_low</x:v>
      </x:c>
      <x:c r="C1490" s="60" t="n">
        <x:v>0.6</x:v>
      </x:c>
      <x:c r="D1490" s="60" t="n">
        <x:v>0.6</x:v>
      </x:c>
      <x:c r="E1490" s="62" t="b">
        <x:v>1</x:v>
      </x:c>
      <x:c r="F1490" s="62" t="b">
        <x:v>1</x:v>
      </x:c>
      <x:c r="G1490" s="85" t="n">
        <x:v>0</x:v>
      </x:c>
      <x:c r="H1490" s="85" t="n">
        <x:v>0</x:v>
      </x:c>
      <x:c r="I1490" s="85" t="n">
        <x:v>45325530.90178306</x:v>
      </x:c>
      <x:c r="J1490" s="85" t="n">
        <x:v>73101071.79246664</x:v>
      </x:c>
      <x:c r="K1490" s="85" t="n">
        <x:v>26045.93882192328</x:v>
      </x:c>
      <x:c r="L1490" s="28" t="n">
        <x:v>20</x:v>
      </x:c>
      <x:c r="M1490" s="28" t="n">
        <x:v>0</x:v>
      </x:c>
      <x:c r="N1490" s="28" t="n">
        <x:v>1.862645149230957e-9</x:v>
      </x:c>
      <x:c r="O1490" s="28" t="n">
        <x:v>2.9802322387695312e-8</x:v>
      </x:c>
      <x:c r="P1490" s="28" t="n">
        <x:v>0</x:v>
      </x:c>
      <x:c r="Q1490" s="62" t="b">
        <x:v>1</x:v>
      </x:c>
      <x:c r="R1490" s="28" t="n">
        <x:v>0</x:v>
      </x:c>
      <x:c r="S1490" s="28" t="str">
        <x:v>f2ea86aa15ae2752</x:v>
      </x:c>
    </x:row>
    <x:row r="1491" ht="21" customHeight="1">
      <x:c r="A1491" s="60" t="n">
        <x:v>0.65</x:v>
      </x:c>
      <x:c r="B1491" s="28" t="str">
        <x:v>level_low</x:v>
      </x:c>
      <x:c r="C1491" s="60" t="n">
        <x:v>0.65</x:v>
      </x:c>
      <x:c r="D1491" s="60" t="n">
        <x:v>0.65</x:v>
      </x:c>
      <x:c r="E1491" s="62" t="b">
        <x:v>1</x:v>
      </x:c>
      <x:c r="F1491" s="62" t="b">
        <x:v>0</x:v>
      </x:c>
      <x:c r="G1491" s="85" t="n">
        <x:v>517670.7547933793</x:v>
      </x:c>
      <x:c r="H1491" s="85" t="n">
        <x:v>7788422.919566721</x:v>
      </x:c>
      <x:c r="I1491" s="85" t="n">
        <x:v>46876532.211267136</x:v>
      </x:c>
      <x:c r="J1491" s="85" t="n">
        <x:v>74999999.99999999</x:v>
      </x:c>
      <x:c r="K1491" s="85" t="n">
        <x:v>7838.41648630485</x:v>
      </x:c>
      <x:c r="L1491" s="28" t="n">
        <x:v>41</x:v>
      </x:c>
      <x:c r="M1491" s="28" t="n">
        <x:v>30</x:v>
      </x:c>
      <x:c r="N1491" s="28" t="n">
        <x:v>1.862645149230957e-9</x:v>
      </x:c>
      <x:c r="O1491" s="28" t="n">
        <x:v>2.9802322387695312e-8</x:v>
      </x:c>
      <x:c r="P1491" s="28" t="n">
        <x:v>0</x:v>
      </x:c>
      <x:c r="Q1491" s="62" t="b">
        <x:v>1</x:v>
      </x:c>
      <x:c r="R1491" s="28" t="n">
        <x:v>0</x:v>
      </x:c>
      <x:c r="S1491" s="28" t="str">
        <x:v>c33fca6b50e370f9</x:v>
      </x:c>
    </x:row>
    <x:row r="1492" ht="21" customHeight="1">
      <x:c r="A1492" s="60" t="n">
        <x:v>0.65</x:v>
      </x:c>
      <x:c r="B1492" s="28" t="str">
        <x:v>level_low</x:v>
      </x:c>
      <x:c r="C1492" s="60" t="n">
        <x:v>0.7</x:v>
      </x:c>
      <x:c r="D1492" s="60" t="n">
        <x:v>0.7</x:v>
      </x:c>
      <x:c r="E1492" s="62" t="b">
        <x:v>1</x:v>
      </x:c>
      <x:c r="F1492" s="62" t="b">
        <x:v>0</x:v>
      </x:c>
      <x:c r="G1492" s="85" t="n">
        <x:v>1174539.5230570415</x:v>
      </x:c>
      <x:c r="H1492" s="85" t="n">
        <x:v>17700099.48937075</x:v>
      </x:c>
      <x:c r="I1492" s="85" t="n">
        <x:v>47811681.476827964</x:v>
      </x:c>
      <x:c r="J1492" s="85" t="n">
        <x:v>74999999.99999999</x:v>
      </x:c>
      <x:c r="K1492" s="85" t="n">
        <x:v>0</x:v>
      </x:c>
      <x:c r="L1492" s="28" t="n">
        <x:v>42</x:v>
      </x:c>
      <x:c r="M1492" s="28" t="n">
        <x:v>31</x:v>
      </x:c>
      <x:c r="N1492" s="28" t="n">
        <x:v>1.862645149230957e-9</x:v>
      </x:c>
      <x:c r="O1492" s="28" t="n">
        <x:v>2.9802322387695312e-8</x:v>
      </x:c>
      <x:c r="P1492" s="28" t="n">
        <x:v>0</x:v>
      </x:c>
      <x:c r="Q1492" s="62" t="b">
        <x:v>1</x:v>
      </x:c>
      <x:c r="R1492" s="28" t="n">
        <x:v>0</x:v>
      </x:c>
      <x:c r="S1492" s="28" t="str">
        <x:v>2d5cb1c50528af0d</x:v>
      </x:c>
    </x:row>
    <x:row r="1493" ht="21" customHeight="1">
      <x:c r="A1493" s="60" t="n">
        <x:v>0.65</x:v>
      </x:c>
      <x:c r="B1493" s="28" t="str">
        <x:v>level_low</x:v>
      </x:c>
      <x:c r="C1493" s="60" t="n">
        <x:v>0.75</x:v>
      </x:c>
      <x:c r="D1493" s="60" t="n">
        <x:v>0.75</x:v>
      </x:c>
      <x:c r="E1493" s="62" t="b">
        <x:v>1</x:v>
      </x:c>
      <x:c r="F1493" s="62" t="b">
        <x:v>0</x:v>
      </x:c>
      <x:c r="G1493" s="85" t="n">
        <x:v>2076575.3678845542</x:v>
      </x:c>
      <x:c r="H1493" s="85" t="n">
        <x:v>27333857.96668824</x:v>
      </x:c>
      <x:c r="I1493" s="85" t="n">
        <x:v>48816339.22811647</x:v>
      </x:c>
      <x:c r="J1493" s="85" t="n">
        <x:v>74999999.99999999</x:v>
      </x:c>
      <x:c r="K1493" s="85" t="n">
        <x:v>0</x:v>
      </x:c>
      <x:c r="L1493" s="28" t="n">
        <x:v>43</x:v>
      </x:c>
      <x:c r="M1493" s="28" t="n">
        <x:v>32</x:v>
      </x:c>
      <x:c r="N1493" s="28" t="n">
        <x:v>1.862645149230957e-9</x:v>
      </x:c>
      <x:c r="O1493" s="28" t="n">
        <x:v>2.9802322387695312e-8</x:v>
      </x:c>
      <x:c r="P1493" s="28" t="n">
        <x:v>0</x:v>
      </x:c>
      <x:c r="Q1493" s="62" t="b">
        <x:v>1</x:v>
      </x:c>
      <x:c r="R1493" s="28" t="n">
        <x:v>0</x:v>
      </x:c>
      <x:c r="S1493" s="28" t="str">
        <x:v>af0d4c303b4c2512</x:v>
      </x:c>
    </x:row>
    <x:row r="1494" ht="21" customHeight="1">
      <x:c r="A1494" s="60" t="n">
        <x:v>0.65</x:v>
      </x:c>
      <x:c r="B1494" s="28" t="str">
        <x:v>level_low</x:v>
      </x:c>
      <x:c r="C1494" s="60" t="n">
        <x:v>0.8</x:v>
      </x:c>
      <x:c r="D1494" s="60" t="n">
        <x:v>0.8</x:v>
      </x:c>
      <x:c r="E1494" s="62" t="b">
        <x:v>1</x:v>
      </x:c>
      <x:c r="F1494" s="62" t="b">
        <x:v>0</x:v>
      </x:c>
      <x:c r="G1494" s="85" t="n">
        <x:v>2917210.1098530623</x:v>
      </x:c>
      <x:c r="H1494" s="85" t="n">
        <x:v>37933789.14905607</x:v>
      </x:c>
      <x:c r="I1494" s="85" t="n">
        <x:v>48886600.94378085</x:v>
      </x:c>
      <x:c r="J1494" s="85" t="n">
        <x:v>74999999.99999999</x:v>
      </x:c>
      <x:c r="K1494" s="85" t="n">
        <x:v>0</x:v>
      </x:c>
      <x:c r="L1494" s="28" t="n">
        <x:v>43</x:v>
      </x:c>
      <x:c r="M1494" s="28" t="n">
        <x:v>33</x:v>
      </x:c>
      <x:c r="N1494" s="28" t="n">
        <x:v>1.862645149230957e-9</x:v>
      </x:c>
      <x:c r="O1494" s="28" t="n">
        <x:v>2.9802322387695312e-8</x:v>
      </x:c>
      <x:c r="P1494" s="28" t="n">
        <x:v>0</x:v>
      </x:c>
      <x:c r="Q1494" s="62" t="b">
        <x:v>1</x:v>
      </x:c>
      <x:c r="R1494" s="28" t="n">
        <x:v>0</x:v>
      </x:c>
      <x:c r="S1494" s="28" t="str">
        <x:v>a3047853ebf6b5bb</x:v>
      </x:c>
    </x:row>
    <x:row r="1495" ht="21" customHeight="1">
      <x:c r="A1495" s="60" t="n">
        <x:v>0.65</x:v>
      </x:c>
      <x:c r="B1495" s="28" t="str">
        <x:v>level_low</x:v>
      </x:c>
      <x:c r="C1495" s="60" t="n">
        <x:v>0.85</x:v>
      </x:c>
      <x:c r="D1495" s="60" t="n">
        <x:v>0.85</x:v>
      </x:c>
      <x:c r="E1495" s="62" t="b">
        <x:v>1</x:v>
      </x:c>
      <x:c r="F1495" s="62" t="b">
        <x:v>0</x:v>
      </x:c>
      <x:c r="G1495" s="85" t="n">
        <x:v>3963290.1463048337</x:v>
      </x:c>
      <x:c r="H1495" s="85" t="n">
        <x:v>47392910.509784415</x:v>
      </x:c>
      <x:c r="I1495" s="85" t="n">
        <x:v>49772516.28715071</x:v>
      </x:c>
      <x:c r="J1495" s="85" t="n">
        <x:v>74999999.99999999</x:v>
      </x:c>
      <x:c r="K1495" s="85" t="n">
        <x:v>0</x:v>
      </x:c>
      <x:c r="L1495" s="28" t="n">
        <x:v>44</x:v>
      </x:c>
      <x:c r="M1495" s="28" t="n">
        <x:v>34</x:v>
      </x:c>
      <x:c r="N1495" s="28" t="n">
        <x:v>9.313225746154785e-10</x:v>
      </x:c>
      <x:c r="O1495" s="28" t="n">
        <x:v>2.9802322387695312e-8</x:v>
      </x:c>
      <x:c r="P1495" s="28" t="n">
        <x:v>0</x:v>
      </x:c>
      <x:c r="Q1495" s="62" t="b">
        <x:v>1</x:v>
      </x:c>
      <x:c r="R1495" s="28" t="n">
        <x:v>0</x:v>
      </x:c>
      <x:c r="S1495" s="28" t="str">
        <x:v>eba3160614f67c4d</x:v>
      </x:c>
    </x:row>
    <x:row r="1496" ht="21" customHeight="1">
      <x:c r="A1496" s="60" t="n">
        <x:v>0.65</x:v>
      </x:c>
      <x:c r="B1496" s="28" t="str">
        <x:v>level_low</x:v>
      </x:c>
      <x:c r="C1496" s="60" t="n">
        <x:v>0.9</x:v>
      </x:c>
      <x:c r="D1496" s="60" t="n">
        <x:v>0.9</x:v>
      </x:c>
      <x:c r="E1496" s="62" t="b">
        <x:v>1</x:v>
      </x:c>
      <x:c r="F1496" s="62" t="b">
        <x:v>0</x:v>
      </x:c>
      <x:c r="G1496" s="85" t="n">
        <x:v>6178993.976547152</x:v>
      </x:c>
      <x:c r="H1496" s="85" t="n">
        <x:v>57002066.11959001</x:v>
      </x:c>
      <x:c r="I1496" s="85" t="n">
        <x:v>49814337.96915071</x:v>
      </x:c>
      <x:c r="J1496" s="85" t="n">
        <x:v>74999999.99999999</x:v>
      </x:c>
      <x:c r="K1496" s="85" t="n">
        <x:v>0</x:v>
      </x:c>
      <x:c r="L1496" s="28" t="n">
        <x:v>44</x:v>
      </x:c>
      <x:c r="M1496" s="28" t="n">
        <x:v>34</x:v>
      </x:c>
      <x:c r="N1496" s="28" t="n">
        <x:v>1.862645149230957e-9</x:v>
      </x:c>
      <x:c r="O1496" s="28" t="n">
        <x:v>7.450580596923828e-9</x:v>
      </x:c>
      <x:c r="P1496" s="28" t="n">
        <x:v>0</x:v>
      </x:c>
      <x:c r="Q1496" s="62" t="b">
        <x:v>1</x:v>
      </x:c>
      <x:c r="R1496" s="28" t="n">
        <x:v>0</x:v>
      </x:c>
      <x:c r="S1496" s="28" t="str">
        <x:v>1f6df8ddb6730f1c</x:v>
      </x:c>
    </x:row>
    <x:row r="1497" ht="21" customHeight="1">
      <x:c r="A1497" s="60" t="n">
        <x:v>0.65</x:v>
      </x:c>
      <x:c r="B1497" s="28" t="str">
        <x:v>level_low</x:v>
      </x:c>
      <x:c r="C1497" s="60" t="n">
        <x:v>0.95</x:v>
      </x:c>
      <x:c r="D1497" s="60" t="n">
        <x:v>0.9219114501462435</x:v>
      </x:c>
      <x:c r="E1497" s="62" t="b">
        <x:v>0</x:v>
      </x:c>
      <x:c r="F1497" s="62" t="b">
        <x:v>0</x:v>
      </x:c>
      <x:c r="G1497" s="85" t="n">
        <x:v>6832456.097940463</x:v>
      </x:c>
      <x:c r="H1497" s="85" t="n">
        <x:v>59906470.8676228</x:v>
      </x:c>
      <x:c r="I1497" s="85" t="n">
        <x:v>50824876.74638359</x:v>
      </x:c>
      <x:c r="J1497" s="85" t="n">
        <x:v>74999999.99999999</x:v>
      </x:c>
      <x:c r="K1497" s="85" t="n">
        <x:v>0</x:v>
      </x:c>
      <x:c r="L1497" s="28" t="n">
        <x:v>45</x:v>
      </x:c>
      <x:c r="M1497" s="28" t="n">
        <x:v>36</x:v>
      </x:c>
      <x:c r="N1497" s="28" t="n">
        <x:v>1.862645149230957e-9</x:v>
      </x:c>
      <x:c r="O1497" s="28" t="n">
        <x:v>1.4901161193847656e-8</x:v>
      </x:c>
      <x:c r="P1497" s="28" t="n">
        <x:v>0</x:v>
      </x:c>
      <x:c r="Q1497" s="62" t="b">
        <x:v>1</x:v>
      </x:c>
      <x:c r="R1497" s="28" t="n">
        <x:v>8426564.956126928</x:v>
      </x:c>
      <x:c r="S1497" s="28" t="str">
        <x:v>ac68128e989474eb</x:v>
      </x:c>
    </x:row>
    <x:row r="1498" ht="21" customHeight="1">
      <x:c r="A1498" s="60" t="n">
        <x:v>0.65</x:v>
      </x:c>
      <x:c r="B1498" s="28" t="str">
        <x:v>level_low</x:v>
      </x:c>
      <x:c r="C1498" s="60" t="n">
        <x:v>1</x:v>
      </x:c>
      <x:c r="D1498" s="60" t="n">
        <x:v>0.9350574964161632</x:v>
      </x:c>
      <x:c r="E1498" s="62" t="b">
        <x:v>0</x:v>
      </x:c>
      <x:c r="F1498" s="62" t="b">
        <x:v>0</x:v>
      </x:c>
      <x:c r="G1498" s="85" t="n">
        <x:v>7467612.202476163</x:v>
      </x:c>
      <x:c r="H1498" s="85" t="n">
        <x:v>62836951.70029736</x:v>
      </x:c>
      <x:c r="I1498" s="85" t="n">
        <x:v>50842392.940821946</x:v>
      </x:c>
      <x:c r="J1498" s="85" t="n">
        <x:v>74999999.99999999</x:v>
      </x:c>
      <x:c r="K1498" s="85" t="n">
        <x:v>0</x:v>
      </x:c>
      <x:c r="L1498" s="28" t="n">
        <x:v>45</x:v>
      </x:c>
      <x:c r="M1498" s="28" t="n">
        <x:v>36</x:v>
      </x:c>
      <x:c r="N1498" s="28" t="n">
        <x:v>1.862645149230957e-9</x:v>
      </x:c>
      <x:c r="O1498" s="28" t="n">
        <x:v>7.450580596923828e-9</x:v>
      </x:c>
      <x:c r="P1498" s="28" t="n">
        <x:v>0</x:v>
      </x:c>
      <x:c r="Q1498" s="62" t="b">
        <x:v>1</x:v>
      </x:c>
      <x:c r="R1498" s="28" t="n">
        <x:v>19482751.075151026</x:v>
      </x:c>
      <x:c r="S1498" s="28" t="str">
        <x:v>42080ac4642f5772</x:v>
      </x:c>
    </x:row>
    <x:row r="1499" ht="21" customHeight="1">
      <x:c r="A1499" s="60" t="n">
        <x:v>0.65</x:v>
      </x:c>
      <x:c r="B1499" s="28" t="str">
        <x:v>level_high</x:v>
      </x:c>
      <x:c r="C1499" s="60" t="n">
        <x:v>0</x:v>
      </x:c>
      <x:c r="D1499" s="60" t="n">
        <x:v>0</x:v>
      </x:c>
      <x:c r="E1499" s="62" t="b">
        <x:v>1</x:v>
      </x:c>
      <x:c r="F1499" s="62" t="b">
        <x:v>1</x:v>
      </x:c>
      <x:c r="G1499" s="85" t="n">
        <x:v>0</x:v>
      </x:c>
      <x:c r="H1499" s="85" t="n">
        <x:v>0</x:v>
      </x:c>
      <x:c r="I1499" s="85" t="n">
        <x:v>0</x:v>
      </x:c>
      <x:c r="J1499" s="85" t="n">
        <x:v>0</x:v>
      </x:c>
      <x:c r="K1499" s="85" t="n">
        <x:v>38290707.39520547</x:v>
      </x:c>
      <x:c r="L1499" s="28" t="n">
        <x:v>0</x:v>
      </x:c>
      <x:c r="M1499" s="28" t="n">
        <x:v>0</x:v>
      </x:c>
      <x:c r="N1499" s="28" t="n">
        <x:v>3.725290298461914e-9</x:v>
      </x:c>
      <x:c r="O1499" s="28" t="n">
        <x:v>0</x:v>
      </x:c>
      <x:c r="P1499" s="28" t="n">
        <x:v>0</x:v>
      </x:c>
      <x:c r="Q1499" s="62" t="b">
        <x:v>1</x:v>
      </x:c>
      <x:c r="R1499" s="28" t="n">
        <x:v>0</x:v>
      </x:c>
      <x:c r="S1499" s="28" t="str">
        <x:v>a824b50cdfaa5011</x:v>
      </x:c>
    </x:row>
    <x:row r="1500" ht="21" customHeight="1">
      <x:c r="A1500" s="60" t="n">
        <x:v>0.65</x:v>
      </x:c>
      <x:c r="B1500" s="28" t="str">
        <x:v>level_high</x:v>
      </x:c>
      <x:c r="C1500" s="60" t="n">
        <x:v>0.05</x:v>
      </x:c>
      <x:c r="D1500" s="60" t="n">
        <x:v>0.05</x:v>
      </x:c>
      <x:c r="E1500" s="62" t="b">
        <x:v>1</x:v>
      </x:c>
      <x:c r="F1500" s="62" t="b">
        <x:v>1</x:v>
      </x:c>
      <x:c r="G1500" s="85" t="n">
        <x:v>0</x:v>
      </x:c>
      <x:c r="H1500" s="85" t="n">
        <x:v>0</x:v>
      </x:c>
      <x:c r="I1500" s="85" t="n">
        <x:v>0</x:v>
      </x:c>
      <x:c r="J1500" s="85" t="n">
        <x:v>0</x:v>
      </x:c>
      <x:c r="K1500" s="85" t="n">
        <x:v>24962158.378476862</x:v>
      </x:c>
      <x:c r="L1500" s="28" t="n">
        <x:v>0</x:v>
      </x:c>
      <x:c r="M1500" s="28" t="n">
        <x:v>0</x:v>
      </x:c>
      <x:c r="N1500" s="28" t="n">
        <x:v>3.725290298461914e-9</x:v>
      </x:c>
      <x:c r="O1500" s="28" t="n">
        <x:v>2.9802322387695312e-8</x:v>
      </x:c>
      <x:c r="P1500" s="28" t="n">
        <x:v>0</x:v>
      </x:c>
      <x:c r="Q1500" s="62" t="b">
        <x:v>1</x:v>
      </x:c>
      <x:c r="R1500" s="28" t="n">
        <x:v>0</x:v>
      </x:c>
      <x:c r="S1500" s="28" t="str">
        <x:v>0872b493520503ac</x:v>
      </x:c>
    </x:row>
    <x:row r="1501" ht="21" customHeight="1">
      <x:c r="A1501" s="60" t="n">
        <x:v>0.65</x:v>
      </x:c>
      <x:c r="B1501" s="28" t="str">
        <x:v>level_high</x:v>
      </x:c>
      <x:c r="C1501" s="60" t="n">
        <x:v>0.1</x:v>
      </x:c>
      <x:c r="D1501" s="60" t="n">
        <x:v>0.1</x:v>
      </x:c>
      <x:c r="E1501" s="62" t="b">
        <x:v>1</x:v>
      </x:c>
      <x:c r="F1501" s="62" t="b">
        <x:v>1</x:v>
      </x:c>
      <x:c r="G1501" s="85" t="n">
        <x:v>0</x:v>
      </x:c>
      <x:c r="H1501" s="85" t="n">
        <x:v>0</x:v>
      </x:c>
      <x:c r="I1501" s="85" t="n">
        <x:v>0</x:v>
      </x:c>
      <x:c r="J1501" s="85" t="n">
        <x:v>0</x:v>
      </x:c>
      <x:c r="K1501" s="85" t="n">
        <x:v>11474037.852465564</x:v>
      </x:c>
      <x:c r="L1501" s="28" t="n">
        <x:v>0</x:v>
      </x:c>
      <x:c r="M1501" s="28" t="n">
        <x:v>0</x:v>
      </x:c>
      <x:c r="N1501" s="28" t="n">
        <x:v>3.725290298461914e-9</x:v>
      </x:c>
      <x:c r="O1501" s="28" t="n">
        <x:v>5.960464477539063e-8</x:v>
      </x:c>
      <x:c r="P1501" s="28" t="n">
        <x:v>0</x:v>
      </x:c>
      <x:c r="Q1501" s="62" t="b">
        <x:v>1</x:v>
      </x:c>
      <x:c r="R1501" s="28" t="n">
        <x:v>0</x:v>
      </x:c>
      <x:c r="S1501" s="28" t="str">
        <x:v>3bda1cd8d44e1597</x:v>
      </x:c>
    </x:row>
    <x:row r="1502" ht="21" customHeight="1">
      <x:c r="A1502" s="60" t="n">
        <x:v>0.65</x:v>
      </x:c>
      <x:c r="B1502" s="28" t="str">
        <x:v>level_high</x:v>
      </x:c>
      <x:c r="C1502" s="60" t="n">
        <x:v>0.15</x:v>
      </x:c>
      <x:c r="D1502" s="60" t="n">
        <x:v>0.15</x:v>
      </x:c>
      <x:c r="E1502" s="62" t="b">
        <x:v>1</x:v>
      </x:c>
      <x:c r="F1502" s="62" t="b">
        <x:v>1</x:v>
      </x:c>
      <x:c r="G1502" s="85" t="n">
        <x:v>0</x:v>
      </x:c>
      <x:c r="H1502" s="85" t="n">
        <x:v>0</x:v>
      </x:c>
      <x:c r="I1502" s="85" t="n">
        <x:v>3482511.7166538984</x:v>
      </x:c>
      <x:c r="J1502" s="85" t="n">
        <x:v>0</x:v>
      </x:c>
      <x:c r="K1502" s="85" t="n">
        <x:v>2129538.7038188847</x:v>
      </x:c>
      <x:c r="L1502" s="28" t="n">
        <x:v>0</x:v>
      </x:c>
      <x:c r="M1502" s="28" t="n">
        <x:v>0</x:v>
      </x:c>
      <x:c r="N1502" s="28" t="n">
        <x:v>3.725290298461914e-9</x:v>
      </x:c>
      <x:c r="O1502" s="28" t="n">
        <x:v>2.9802322387695312e-8</x:v>
      </x:c>
      <x:c r="P1502" s="28" t="n">
        <x:v>0</x:v>
      </x:c>
      <x:c r="Q1502" s="62" t="b">
        <x:v>1</x:v>
      </x:c>
      <x:c r="R1502" s="28" t="n">
        <x:v>0</x:v>
      </x:c>
      <x:c r="S1502" s="28" t="str">
        <x:v>9b5008ec7651c13a</x:v>
      </x:c>
    </x:row>
    <x:row r="1503" ht="21" customHeight="1">
      <x:c r="A1503" s="60" t="n">
        <x:v>0.65</x:v>
      </x:c>
      <x:c r="B1503" s="28" t="str">
        <x:v>level_high</x:v>
      </x:c>
      <x:c r="C1503" s="60" t="n">
        <x:v>0.2</x:v>
      </x:c>
      <x:c r="D1503" s="60" t="n">
        <x:v>0.2</x:v>
      </x:c>
      <x:c r="E1503" s="62" t="b">
        <x:v>1</x:v>
      </x:c>
      <x:c r="F1503" s="62" t="b">
        <x:v>1</x:v>
      </x:c>
      <x:c r="G1503" s="85" t="n">
        <x:v>0</x:v>
      </x:c>
      <x:c r="H1503" s="85" t="n">
        <x:v>0</x:v>
      </x:c>
      <x:c r="I1503" s="85" t="n">
        <x:v>13667844.74286947</x:v>
      </x:c>
      <x:c r="J1503" s="85" t="n">
        <x:v>6323003.272534203</x:v>
      </x:c>
      <x:c r="K1503" s="85" t="n">
        <x:v>1513098.2696021935</x:v>
      </x:c>
      <x:c r="L1503" s="28" t="n">
        <x:v>0</x:v>
      </x:c>
      <x:c r="M1503" s="28" t="n">
        <x:v>0</x:v>
      </x:c>
      <x:c r="N1503" s="28" t="n">
        <x:v>1.862645149230957e-9</x:v>
      </x:c>
      <x:c r="O1503" s="28" t="n">
        <x:v>2.9802322387695312e-8</x:v>
      </x:c>
      <x:c r="P1503" s="28" t="n">
        <x:v>0</x:v>
      </x:c>
      <x:c r="Q1503" s="62" t="b">
        <x:v>1</x:v>
      </x:c>
      <x:c r="R1503" s="28" t="n">
        <x:v>0</x:v>
      </x:c>
      <x:c r="S1503" s="28" t="str">
        <x:v>f9add68a0bfb42a7</x:v>
      </x:c>
    </x:row>
    <x:row r="1504" ht="21" customHeight="1">
      <x:c r="A1504" s="60" t="n">
        <x:v>0.65</x:v>
      </x:c>
      <x:c r="B1504" s="28" t="str">
        <x:v>level_high</x:v>
      </x:c>
      <x:c r="C1504" s="60" t="n">
        <x:v>0.25</x:v>
      </x:c>
      <x:c r="D1504" s="60" t="n">
        <x:v>0.25</x:v>
      </x:c>
      <x:c r="E1504" s="62" t="b">
        <x:v>1</x:v>
      </x:c>
      <x:c r="F1504" s="62" t="b">
        <x:v>1</x:v>
      </x:c>
      <x:c r="G1504" s="85" t="n">
        <x:v>0</x:v>
      </x:c>
      <x:c r="H1504" s="85" t="n">
        <x:v>0</x:v>
      </x:c>
      <x:c r="I1504" s="85" t="n">
        <x:v>22547333.10680467</x:v>
      </x:c>
      <x:c r="J1504" s="85" t="n">
        <x:v>15403754.090667734</x:v>
      </x:c>
      <x:c r="K1504" s="85" t="n">
        <x:v>1102532.3311534252</x:v>
      </x:c>
      <x:c r="L1504" s="28" t="n">
        <x:v>0</x:v>
      </x:c>
      <x:c r="M1504" s="28" t="n">
        <x:v>0</x:v>
      </x:c>
      <x:c r="N1504" s="28" t="n">
        <x:v>3.725290298461914e-9</x:v>
      </x:c>
      <x:c r="O1504" s="28" t="n">
        <x:v>2.9802322387695312e-8</x:v>
      </x:c>
      <x:c r="P1504" s="28" t="n">
        <x:v>0</x:v>
      </x:c>
      <x:c r="Q1504" s="62" t="b">
        <x:v>1</x:v>
      </x:c>
      <x:c r="R1504" s="28" t="n">
        <x:v>0</x:v>
      </x:c>
      <x:c r="S1504" s="28" t="str">
        <x:v>6b13e90b8d0cd655</x:v>
      </x:c>
    </x:row>
    <x:row r="1505" ht="21" customHeight="1">
      <x:c r="A1505" s="60" t="n">
        <x:v>0.65</x:v>
      </x:c>
      <x:c r="B1505" s="28" t="str">
        <x:v>level_high</x:v>
      </x:c>
      <x:c r="C1505" s="60" t="n">
        <x:v>0.3</x:v>
      </x:c>
      <x:c r="D1505" s="60" t="n">
        <x:v>0.3</x:v>
      </x:c>
      <x:c r="E1505" s="62" t="b">
        <x:v>1</x:v>
      </x:c>
      <x:c r="F1505" s="62" t="b">
        <x:v>1</x:v>
      </x:c>
      <x:c r="G1505" s="85" t="n">
        <x:v>0</x:v>
      </x:c>
      <x:c r="H1505" s="85" t="n">
        <x:v>0</x:v>
      </x:c>
      <x:c r="I1505" s="85" t="n">
        <x:v>31568950.353794757</x:v>
      </x:c>
      <x:c r="J1505" s="85" t="n">
        <x:v>24484504.908801176</x:v>
      </x:c>
      <x:c r="K1505" s="85" t="n">
        <x:v>866720.0893287577</x:v>
      </x:c>
      <x:c r="L1505" s="28" t="n">
        <x:v>0</x:v>
      </x:c>
      <x:c r="M1505" s="28" t="n">
        <x:v>0</x:v>
      </x:c>
      <x:c r="N1505" s="28" t="n">
        <x:v>1.862645149230957e-9</x:v>
      </x:c>
      <x:c r="O1505" s="28" t="n">
        <x:v>7.450580596923828e-9</x:v>
      </x:c>
      <x:c r="P1505" s="28" t="n">
        <x:v>0</x:v>
      </x:c>
      <x:c r="Q1505" s="62" t="b">
        <x:v>1</x:v>
      </x:c>
      <x:c r="R1505" s="28" t="n">
        <x:v>0</x:v>
      </x:c>
      <x:c r="S1505" s="28" t="str">
        <x:v>76966b1922354308</x:v>
      </x:c>
    </x:row>
    <x:row r="1506" ht="21" customHeight="1">
      <x:c r="A1506" s="60" t="n">
        <x:v>0.65</x:v>
      </x:c>
      <x:c r="B1506" s="28" t="str">
        <x:v>level_high</x:v>
      </x:c>
      <x:c r="C1506" s="60" t="n">
        <x:v>0.35</x:v>
      </x:c>
      <x:c r="D1506" s="60" t="n">
        <x:v>0.35</x:v>
      </x:c>
      <x:c r="E1506" s="62" t="b">
        <x:v>1</x:v>
      </x:c>
      <x:c r="F1506" s="62" t="b">
        <x:v>1</x:v>
      </x:c>
      <x:c r="G1506" s="85" t="n">
        <x:v>0</x:v>
      </x:c>
      <x:c r="H1506" s="85" t="n">
        <x:v>0</x:v>
      </x:c>
      <x:c r="I1506" s="85" t="n">
        <x:v>40704815.40228961</x:v>
      </x:c>
      <x:c r="J1506" s="85" t="n">
        <x:v>33565255.72693473</x:v>
      </x:c>
      <x:c r="K1506" s="85" t="n">
        <x:v>706567.520883557</x:v>
      </x:c>
      <x:c r="L1506" s="28" t="n">
        <x:v>0</x:v>
      </x:c>
      <x:c r="M1506" s="28" t="n">
        <x:v>0</x:v>
      </x:c>
      <x:c r="N1506" s="28" t="n">
        <x:v>1.862645149230957e-9</x:v>
      </x:c>
      <x:c r="O1506" s="28" t="n">
        <x:v>2.9802322387695312e-8</x:v>
      </x:c>
      <x:c r="P1506" s="28" t="n">
        <x:v>0</x:v>
      </x:c>
      <x:c r="Q1506" s="62" t="b">
        <x:v>1</x:v>
      </x:c>
      <x:c r="R1506" s="28" t="n">
        <x:v>0</x:v>
      </x:c>
      <x:c r="S1506" s="28" t="str">
        <x:v>71c0798ae5ef03a1</x:v>
      </x:c>
    </x:row>
    <x:row r="1507" ht="21" customHeight="1">
      <x:c r="A1507" s="60" t="n">
        <x:v>0.65</x:v>
      </x:c>
      <x:c r="B1507" s="28" t="str">
        <x:v>level_high</x:v>
      </x:c>
      <x:c r="C1507" s="60" t="n">
        <x:v>0.4</x:v>
      </x:c>
      <x:c r="D1507" s="60" t="n">
        <x:v>0.4</x:v>
      </x:c>
      <x:c r="E1507" s="62" t="b">
        <x:v>1</x:v>
      </x:c>
      <x:c r="F1507" s="62" t="b">
        <x:v>1</x:v>
      </x:c>
      <x:c r="G1507" s="85" t="n">
        <x:v>0</x:v>
      </x:c>
      <x:c r="H1507" s="85" t="n">
        <x:v>0</x:v>
      </x:c>
      <x:c r="I1507" s="85" t="n">
        <x:v>49943489.36032982</x:v>
      </x:c>
      <x:c r="J1507" s="85" t="n">
        <x:v>42646006.54506829</x:v>
      </x:c>
      <x:c r="K1507" s="85" t="n">
        <x:v>546414.9524383524</x:v>
      </x:c>
      <x:c r="L1507" s="28" t="n">
        <x:v>0</x:v>
      </x:c>
      <x:c r="M1507" s="28" t="n">
        <x:v>0</x:v>
      </x:c>
      <x:c r="N1507" s="28" t="n">
        <x:v>1.862645149230957e-9</x:v>
      </x:c>
      <x:c r="O1507" s="28" t="n">
        <x:v>2.9802322387695312e-8</x:v>
      </x:c>
      <x:c r="P1507" s="28" t="n">
        <x:v>0</x:v>
      </x:c>
      <x:c r="Q1507" s="62" t="b">
        <x:v>1</x:v>
      </x:c>
      <x:c r="R1507" s="28" t="n">
        <x:v>0</x:v>
      </x:c>
      <x:c r="S1507" s="28" t="str">
        <x:v>bb7f493e6a9d3f2d</x:v>
      </x:c>
    </x:row>
    <x:row r="1508" ht="21" customHeight="1">
      <x:c r="A1508" s="60" t="n">
        <x:v>0.65</x:v>
      </x:c>
      <x:c r="B1508" s="28" t="str">
        <x:v>level_high</x:v>
      </x:c>
      <x:c r="C1508" s="60" t="n">
        <x:v>0.45</x:v>
      </x:c>
      <x:c r="D1508" s="60" t="n">
        <x:v>0.45</x:v>
      </x:c>
      <x:c r="E1508" s="62" t="b">
        <x:v>1</x:v>
      </x:c>
      <x:c r="F1508" s="62" t="b">
        <x:v>1</x:v>
      </x:c>
      <x:c r="G1508" s="85" t="n">
        <x:v>0</x:v>
      </x:c>
      <x:c r="H1508" s="85" t="n">
        <x:v>0</x:v>
      </x:c>
      <x:c r="I1508" s="85" t="n">
        <x:v>60139255.44305391</x:v>
      </x:c>
      <x:c r="J1508" s="85" t="n">
        <x:v>46430371.41585282</x:v>
      </x:c>
      <x:c r="K1508" s="85" t="n">
        <x:v>471071.5436369763</x:v>
      </x:c>
      <x:c r="L1508" s="28" t="n">
        <x:v>7</x:v>
      </x:c>
      <x:c r="M1508" s="28" t="n">
        <x:v>0</x:v>
      </x:c>
      <x:c r="N1508" s="28" t="n">
        <x:v>1.862645149230957e-9</x:v>
      </x:c>
      <x:c r="O1508" s="28" t="n">
        <x:v>2.9802322387695312e-8</x:v>
      </x:c>
      <x:c r="P1508" s="28" t="n">
        <x:v>0</x:v>
      </x:c>
      <x:c r="Q1508" s="62" t="b">
        <x:v>1</x:v>
      </x:c>
      <x:c r="R1508" s="28" t="n">
        <x:v>0</x:v>
      </x:c>
      <x:c r="S1508" s="28" t="str">
        <x:v>0bdbc47c61633d62</x:v>
      </x:c>
    </x:row>
    <x:row r="1509" ht="21" customHeight="1">
      <x:c r="A1509" s="60" t="n">
        <x:v>0.65</x:v>
      </x:c>
      <x:c r="B1509" s="28" t="str">
        <x:v>level_high</x:v>
      </x:c>
      <x:c r="C1509" s="60" t="n">
        <x:v>0.5</x:v>
      </x:c>
      <x:c r="D1509" s="60" t="n">
        <x:v>0.5</x:v>
      </x:c>
      <x:c r="E1509" s="62" t="b">
        <x:v>1</x:v>
      </x:c>
      <x:c r="F1509" s="62" t="b">
        <x:v>1</x:v>
      </x:c>
      <x:c r="G1509" s="85" t="n">
        <x:v>0</x:v>
      </x:c>
      <x:c r="H1509" s="85" t="n">
        <x:v>0</x:v>
      </x:c>
      <x:c r="I1509" s="85" t="n">
        <x:v>69436996.94313078</x:v>
      </x:c>
      <x:c r="J1509" s="85" t="n">
        <x:v>54146025.86906047</x:v>
      </x:c>
      <x:c r="K1509" s="85" t="n">
        <x:v>422712.0574657576</x:v>
      </x:c>
      <x:c r="L1509" s="28" t="n">
        <x:v>10</x:v>
      </x:c>
      <x:c r="M1509" s="28" t="n">
        <x:v>1</x:v>
      </x:c>
      <x:c r="N1509" s="28" t="n">
        <x:v>3.725290298461914e-9</x:v>
      </x:c>
      <x:c r="O1509" s="28" t="n">
        <x:v>1.4901161193847656e-8</x:v>
      </x:c>
      <x:c r="P1509" s="28" t="n">
        <x:v>0</x:v>
      </x:c>
      <x:c r="Q1509" s="62" t="b">
        <x:v>1</x:v>
      </x:c>
      <x:c r="R1509" s="28" t="n">
        <x:v>0</x:v>
      </x:c>
      <x:c r="S1509" s="28" t="str">
        <x:v>d3c244b0f7af6862</x:v>
      </x:c>
    </x:row>
    <x:row r="1510" ht="21" customHeight="1">
      <x:c r="A1510" s="60" t="n">
        <x:v>0.65</x:v>
      </x:c>
      <x:c r="B1510" s="28" t="str">
        <x:v>level_high</x:v>
      </x:c>
      <x:c r="C1510" s="60" t="n">
        <x:v>0.55</x:v>
      </x:c>
      <x:c r="D1510" s="60" t="n">
        <x:v>0.55</x:v>
      </x:c>
      <x:c r="E1510" s="62" t="b">
        <x:v>1</x:v>
      </x:c>
      <x:c r="F1510" s="62" t="b">
        <x:v>1</x:v>
      </x:c>
      <x:c r="G1510" s="85" t="n">
        <x:v>0</x:v>
      </x:c>
      <x:c r="H1510" s="85" t="n">
        <x:v>0</x:v>
      </x:c>
      <x:c r="I1510" s="85" t="n">
        <x:v>78625517.68652909</x:v>
      </x:c>
      <x:c r="J1510" s="85" t="n">
        <x:v>62019025.1588181</x:v>
      </x:c>
      <x:c r="K1510" s="85" t="n">
        <x:v>374352.5712945212</x:v>
      </x:c>
      <x:c r="L1510" s="28" t="n">
        <x:v>14</x:v>
      </x:c>
      <x:c r="M1510" s="28" t="n">
        <x:v>6</x:v>
      </x:c>
      <x:c r="N1510" s="28" t="n">
        <x:v>1.862645149230957e-9</x:v>
      </x:c>
      <x:c r="O1510" s="28" t="n">
        <x:v>2.9802322387695312e-8</x:v>
      </x:c>
      <x:c r="P1510" s="28" t="n">
        <x:v>0</x:v>
      </x:c>
      <x:c r="Q1510" s="62" t="b">
        <x:v>1</x:v>
      </x:c>
      <x:c r="R1510" s="28" t="n">
        <x:v>0</x:v>
      </x:c>
      <x:c r="S1510" s="28" t="str">
        <x:v>ad7b2493ba81f98d</x:v>
      </x:c>
    </x:row>
    <x:row r="1511" ht="21" customHeight="1">
      <x:c r="A1511" s="60" t="n">
        <x:v>0.65</x:v>
      </x:c>
      <x:c r="B1511" s="28" t="str">
        <x:v>level_high</x:v>
      </x:c>
      <x:c r="C1511" s="60" t="n">
        <x:v>0.6</x:v>
      </x:c>
      <x:c r="D1511" s="60" t="n">
        <x:v>0.6</x:v>
      </x:c>
      <x:c r="E1511" s="62" t="b">
        <x:v>1</x:v>
      </x:c>
      <x:c r="F1511" s="62" t="b">
        <x:v>1</x:v>
      </x:c>
      <x:c r="G1511" s="85" t="n">
        <x:v>0</x:v>
      </x:c>
      <x:c r="H1511" s="85" t="n">
        <x:v>0</x:v>
      </x:c>
      <x:c r="I1511" s="85" t="n">
        <x:v>87342499.98943488</x:v>
      </x:c>
      <x:c r="J1511" s="85" t="n">
        <x:v>72210644.10713512</x:v>
      </x:c>
      <x:c r="K1511" s="85" t="n">
        <x:v>325993.0851232876</x:v>
      </x:c>
      <x:c r="L1511" s="28" t="n">
        <x:v>19</x:v>
      </x:c>
      <x:c r="M1511" s="28" t="n">
        <x:v>12</x:v>
      </x:c>
      <x:c r="N1511" s="28" t="n">
        <x:v>1.862645149230957e-9</x:v>
      </x:c>
      <x:c r="O1511" s="28" t="n">
        <x:v>2.9802322387695312e-8</x:v>
      </x:c>
      <x:c r="P1511" s="28" t="n">
        <x:v>0</x:v>
      </x:c>
      <x:c r="Q1511" s="62" t="b">
        <x:v>1</x:v>
      </x:c>
      <x:c r="R1511" s="28" t="n">
        <x:v>0</x:v>
      </x:c>
      <x:c r="S1511" s="28" t="str">
        <x:v>6e0c1f3fe629818f</x:v>
      </x:c>
    </x:row>
    <x:row r="1512" ht="21" customHeight="1">
      <x:c r="A1512" s="60" t="n">
        <x:v>0.65</x:v>
      </x:c>
      <x:c r="B1512" s="28" t="str">
        <x:v>level_high</x:v>
      </x:c>
      <x:c r="C1512" s="60" t="n">
        <x:v>0.65</x:v>
      </x:c>
      <x:c r="D1512" s="60" t="n">
        <x:v>0.65</x:v>
      </x:c>
      <x:c r="E1512" s="62" t="b">
        <x:v>1</x:v>
      </x:c>
      <x:c r="F1512" s="62" t="b">
        <x:v>0</x:v>
      </x:c>
      <x:c r="G1512" s="85" t="n">
        <x:v>2777384.7358848327</x:v>
      </x:c>
      <x:c r="H1512" s="85" t="n">
        <x:v>9672531.325516274</x:v>
      </x:c>
      <x:c r="I1512" s="85" t="n">
        <x:v>90652868.87702051</x:v>
      </x:c>
      <x:c r="J1512" s="85" t="n">
        <x:v>74999999.99999999</x:v>
      </x:c>
      <x:c r="K1512" s="85" t="n">
        <x:v>277633.59895206045</x:v>
      </x:c>
      <x:c r="L1512" s="28" t="n">
        <x:v>41</x:v>
      </x:c>
      <x:c r="M1512" s="28" t="n">
        <x:v>34</x:v>
      </x:c>
      <x:c r="N1512" s="28" t="n">
        <x:v>3.725290298461914e-9</x:v>
      </x:c>
      <x:c r="O1512" s="28" t="n">
        <x:v>2.9802322387695312e-8</x:v>
      </x:c>
      <x:c r="P1512" s="28" t="n">
        <x:v>0</x:v>
      </x:c>
      <x:c r="Q1512" s="62" t="b">
        <x:v>1</x:v>
      </x:c>
      <x:c r="R1512" s="28" t="n">
        <x:v>0</x:v>
      </x:c>
      <x:c r="S1512" s="28" t="str">
        <x:v>ab33e0e418a6cb35</x:v>
      </x:c>
    </x:row>
    <x:row r="1513" ht="21" customHeight="1">
      <x:c r="A1513" s="60" t="n">
        <x:v>0.65</x:v>
      </x:c>
      <x:c r="B1513" s="28" t="str">
        <x:v>level_high</x:v>
      </x:c>
      <x:c r="C1513" s="60" t="n">
        <x:v>0.7</x:v>
      </x:c>
      <x:c r="D1513" s="60" t="n">
        <x:v>0.7</x:v>
      </x:c>
      <x:c r="E1513" s="62" t="b">
        <x:v>1</x:v>
      </x:c>
      <x:c r="F1513" s="62" t="b">
        <x:v>0</x:v>
      </x:c>
      <x:c r="G1513" s="85" t="n">
        <x:v>6599593.250447692</x:v>
      </x:c>
      <x:c r="H1513" s="85" t="n">
        <x:v>21925820.153324697</x:v>
      </x:c>
      <x:c r="I1513" s="85" t="n">
        <x:v>92321455.26582515</x:v>
      </x:c>
      <x:c r="J1513" s="85" t="n">
        <x:v>74999999.99999999</x:v>
      </x:c>
      <x:c r="K1513" s="85" t="n">
        <x:v>229274.11278082035</x:v>
      </x:c>
      <x:c r="L1513" s="28" t="n">
        <x:v>42</x:v>
      </x:c>
      <x:c r="M1513" s="28" t="n">
        <x:v>36</x:v>
      </x:c>
      <x:c r="N1513" s="28" t="n">
        <x:v>1.862645149230957e-9</x:v>
      </x:c>
      <x:c r="O1513" s="28" t="n">
        <x:v>2.9802322387695312e-8</x:v>
      </x:c>
      <x:c r="P1513" s="28" t="n">
        <x:v>0</x:v>
      </x:c>
      <x:c r="Q1513" s="62" t="b">
        <x:v>1</x:v>
      </x:c>
      <x:c r="R1513" s="28" t="n">
        <x:v>0</x:v>
      </x:c>
      <x:c r="S1513" s="28" t="str">
        <x:v>bfcb17fe950d1885</x:v>
      </x:c>
    </x:row>
    <x:row r="1514" ht="21" customHeight="1">
      <x:c r="A1514" s="60" t="n">
        <x:v>0.65</x:v>
      </x:c>
      <x:c r="B1514" s="28" t="str">
        <x:v>level_high</x:v>
      </x:c>
      <x:c r="C1514" s="60" t="n">
        <x:v>0.75</x:v>
      </x:c>
      <x:c r="D1514" s="60" t="n">
        <x:v>0.75</x:v>
      </x:c>
      <x:c r="E1514" s="62" t="b">
        <x:v>1</x:v>
      </x:c>
      <x:c r="F1514" s="62" t="b">
        <x:v>0</x:v>
      </x:c>
      <x:c r="G1514" s="85" t="n">
        <x:v>10915556.446776608</x:v>
      </x:c>
      <x:c r="H1514" s="85" t="n">
        <x:v>33492760.186085716</x:v>
      </x:c>
      <x:c r="I1514" s="85" t="n">
        <x:v>94018774.4839383</x:v>
      </x:c>
      <x:c r="J1514" s="85" t="n">
        <x:v>74999999.99999999</x:v>
      </x:c>
      <x:c r="K1514" s="85" t="n">
        <x:v>180914.62660958577</x:v>
      </x:c>
      <x:c r="L1514" s="28" t="n">
        <x:v>43</x:v>
      </x:c>
      <x:c r="M1514" s="28" t="n">
        <x:v>37</x:v>
      </x:c>
      <x:c r="N1514" s="28" t="n">
        <x:v>3.725290298461914e-9</x:v>
      </x:c>
      <x:c r="O1514" s="28" t="n">
        <x:v>2.9802322387695312e-8</x:v>
      </x:c>
      <x:c r="P1514" s="28" t="n">
        <x:v>0</x:v>
      </x:c>
      <x:c r="Q1514" s="62" t="b">
        <x:v>1</x:v>
      </x:c>
      <x:c r="R1514" s="28" t="n">
        <x:v>0</x:v>
      </x:c>
      <x:c r="S1514" s="28" t="str">
        <x:v>de9ad93b97404e64</x:v>
      </x:c>
    </x:row>
    <x:row r="1515" ht="21" customHeight="1">
      <x:c r="A1515" s="60" t="n">
        <x:v>0.65</x:v>
      </x:c>
      <x:c r="B1515" s="28" t="str">
        <x:v>level_high</x:v>
      </x:c>
      <x:c r="C1515" s="60" t="n">
        <x:v>0.8</x:v>
      </x:c>
      <x:c r="D1515" s="60" t="n">
        <x:v>0.8</x:v>
      </x:c>
      <x:c r="E1515" s="62" t="b">
        <x:v>1</x:v>
      </x:c>
      <x:c r="F1515" s="62" t="b">
        <x:v>0</x:v>
      </x:c>
      <x:c r="G1515" s="85" t="n">
        <x:v>15724572.42019052</x:v>
      </x:c>
      <x:c r="H1515" s="85" t="n">
        <x:v>47308732.06994042</x:v>
      </x:c>
      <x:c r="I1515" s="85" t="n">
        <x:v>94210863.43583556</x:v>
      </x:c>
      <x:c r="J1515" s="85" t="n">
        <x:v>74999999.99999999</x:v>
      </x:c>
      <x:c r="K1515" s="85" t="n">
        <x:v>135446.32109589342</x:v>
      </x:c>
      <x:c r="L1515" s="28" t="n">
        <x:v>43</x:v>
      </x:c>
      <x:c r="M1515" s="28" t="n">
        <x:v>38</x:v>
      </x:c>
      <x:c r="N1515" s="28" t="n">
        <x:v>1.862645149230957e-9</x:v>
      </x:c>
      <x:c r="O1515" s="28" t="n">
        <x:v>2.9802322387695312e-8</x:v>
      </x:c>
      <x:c r="P1515" s="28" t="n">
        <x:v>0</x:v>
      </x:c>
      <x:c r="Q1515" s="62" t="b">
        <x:v>1</x:v>
      </x:c>
      <x:c r="R1515" s="28" t="n">
        <x:v>0</x:v>
      </x:c>
      <x:c r="S1515" s="28" t="str">
        <x:v>a3d71330498bcfa2</x:v>
      </x:c>
    </x:row>
    <x:row r="1516" ht="21" customHeight="1">
      <x:c r="A1516" s="60" t="n">
        <x:v>0.65</x:v>
      </x:c>
      <x:c r="B1516" s="28" t="str">
        <x:v>level_high</x:v>
      </x:c>
      <x:c r="C1516" s="60" t="n">
        <x:v>0.85</x:v>
      </x:c>
      <x:c r="D1516" s="60" t="n">
        <x:v>0.85</x:v>
      </x:c>
      <x:c r="E1516" s="62" t="b">
        <x:v>1</x:v>
      </x:c>
      <x:c r="F1516" s="62" t="b">
        <x:v>0</x:v>
      </x:c>
      <x:c r="G1516" s="85" t="n">
        <x:v>22227626.716106165</x:v>
      </x:c>
      <x:c r="H1516" s="85" t="n">
        <x:v>57663489.99578281</x:v>
      </x:c>
      <x:c r="I1516" s="85" t="n">
        <x:v>95722297.653452</x:v>
      </x:c>
      <x:c r="J1516" s="85" t="n">
        <x:v>74999999.99999999</x:v>
      </x:c>
      <x:c r="K1516" s="85" t="n">
        <x:v>119326.25897260688</x:v>
      </x:c>
      <x:c r="L1516" s="28" t="n">
        <x:v>44</x:v>
      </x:c>
      <x:c r="M1516" s="28" t="n">
        <x:v>39</x:v>
      </x:c>
      <x:c r="N1516" s="28" t="n">
        <x:v>9.313225746154785e-10</x:v>
      </x:c>
      <x:c r="O1516" s="28" t="n">
        <x:v>2.9802322387695312e-8</x:v>
      </x:c>
      <x:c r="P1516" s="28" t="n">
        <x:v>0</x:v>
      </x:c>
      <x:c r="Q1516" s="62" t="b">
        <x:v>1</x:v>
      </x:c>
      <x:c r="R1516" s="28" t="n">
        <x:v>0</x:v>
      </x:c>
      <x:c r="S1516" s="28" t="str">
        <x:v>273d6e77767d87fa</x:v>
      </x:c>
    </x:row>
    <x:row r="1517" ht="21" customHeight="1">
      <x:c r="A1517" s="60" t="n">
        <x:v>0.65</x:v>
      </x:c>
      <x:c r="B1517" s="28" t="str">
        <x:v>level_high</x:v>
      </x:c>
      <x:c r="C1517" s="60" t="n">
        <x:v>0.9</x:v>
      </x:c>
      <x:c r="D1517" s="60" t="n">
        <x:v>0.9</x:v>
      </x:c>
      <x:c r="E1517" s="62" t="b">
        <x:v>1</x:v>
      </x:c>
      <x:c r="F1517" s="62" t="b">
        <x:v>0</x:v>
      </x:c>
      <x:c r="G1517" s="85" t="n">
        <x:v>29260086.655208033</x:v>
      </x:c>
      <x:c r="H1517" s="85" t="n">
        <x:v>66421584.654229246</x:v>
      </x:c>
      <x:c r="I1517" s="85" t="n">
        <x:v>95835508.54394515</x:v>
      </x:c>
      <x:c r="J1517" s="85" t="n">
        <x:v>74999999.99999999</x:v>
      </x:c>
      <x:c r="K1517" s="85" t="n">
        <x:v>103206.19684931569</x:v>
      </x:c>
      <x:c r="L1517" s="28" t="n">
        <x:v>44</x:v>
      </x:c>
      <x:c r="M1517" s="28" t="n">
        <x:v>40</x:v>
      </x:c>
      <x:c r="N1517" s="28" t="n">
        <x:v>3.725290298461914e-9</x:v>
      </x:c>
      <x:c r="O1517" s="28" t="n">
        <x:v>7.450580596923828e-9</x:v>
      </x:c>
      <x:c r="P1517" s="28" t="n">
        <x:v>0</x:v>
      </x:c>
      <x:c r="Q1517" s="62" t="b">
        <x:v>1</x:v>
      </x:c>
      <x:c r="R1517" s="28" t="n">
        <x:v>0</x:v>
      </x:c>
      <x:c r="S1517" s="28" t="str">
        <x:v>5234273385cfedfd</x:v>
      </x:c>
    </x:row>
    <x:row r="1518" ht="21" customHeight="1">
      <x:c r="A1518" s="60" t="n">
        <x:v>0.65</x:v>
      </x:c>
      <x:c r="B1518" s="28" t="str">
        <x:v>level_high</x:v>
      </x:c>
      <x:c r="C1518" s="60" t="n">
        <x:v>0.95</x:v>
      </x:c>
      <x:c r="D1518" s="60" t="n">
        <x:v>0.9219114501462435</x:v>
      </x:c>
      <x:c r="E1518" s="62" t="b">
        <x:v>0</x:v>
      </x:c>
      <x:c r="F1518" s="62" t="b">
        <x:v>0</x:v>
      </x:c>
      <x:c r="G1518" s="85" t="n">
        <x:v>31116815.58624588</x:v>
      </x:c>
      <x:c r="H1518" s="85" t="n">
        <x:v>70050931.26043734</x:v>
      </x:c>
      <x:c r="I1518" s="85" t="n">
        <x:v>97518449.36583555</x:v>
      </x:c>
      <x:c r="J1518" s="85" t="n">
        <x:v>74999999.99999999</x:v>
      </x:c>
      <x:c r="K1518" s="85" t="n">
        <x:v>87086.13472603008</x:v>
      </x:c>
      <x:c r="L1518" s="28" t="n">
        <x:v>45</x:v>
      </x:c>
      <x:c r="M1518" s="28" t="n">
        <x:v>40</x:v>
      </x:c>
      <x:c r="N1518" s="28" t="n">
        <x:v>9.313225746154785e-10</x:v>
      </x:c>
      <x:c r="O1518" s="28" t="n">
        <x:v>1.4901161193847656e-8</x:v>
      </x:c>
      <x:c r="P1518" s="28" t="n">
        <x:v>0</x:v>
      </x:c>
      <x:c r="Q1518" s="62" t="b">
        <x:v>1</x:v>
      </x:c>
      <x:c r="R1518" s="28" t="n">
        <x:v>8426564.956126928</x:v>
      </x:c>
      <x:c r="S1518" s="28" t="str">
        <x:v>5b9ff8cf6aa1df24</x:v>
      </x:c>
    </x:row>
    <x:row r="1519" ht="21" customHeight="1">
      <x:c r="A1519" s="60" t="n">
        <x:v>0.65</x:v>
      </x:c>
      <x:c r="B1519" s="28" t="str">
        <x:v>level_high</x:v>
      </x:c>
      <x:c r="C1519" s="60" t="n">
        <x:v>1</x:v>
      </x:c>
      <x:c r="D1519" s="60" t="n">
        <x:v>0.9350574964161632</x:v>
      </x:c>
      <x:c r="E1519" s="62" t="b">
        <x:v>0</x:v>
      </x:c>
      <x:c r="F1519" s="62" t="b">
        <x:v>0</x:v>
      </x:c>
      <x:c r="G1519" s="85" t="n">
        <x:v>34102183.1299896</x:v>
      </x:c>
      <x:c r="H1519" s="85" t="n">
        <x:v>73677929.9549325</x:v>
      </x:c>
      <x:c r="I1519" s="85" t="n">
        <x:v>97591827.6204109</x:v>
      </x:c>
      <x:c r="J1519" s="85" t="n">
        <x:v>74999999.99999999</x:v>
      </x:c>
      <x:c r="K1519" s="85" t="n">
        <x:v>70966.07260274261</x:v>
      </x:c>
      <x:c r="L1519" s="28" t="n">
        <x:v>45</x:v>
      </x:c>
      <x:c r="M1519" s="28" t="n">
        <x:v>41</x:v>
      </x:c>
      <x:c r="N1519" s="28" t="n">
        <x:v>1.862645149230957e-9</x:v>
      </x:c>
      <x:c r="O1519" s="28" t="n">
        <x:v>7.450580596923828e-9</x:v>
      </x:c>
      <x:c r="P1519" s="28" t="n">
        <x:v>0</x:v>
      </x:c>
      <x:c r="Q1519" s="62" t="b">
        <x:v>1</x:v>
      </x:c>
      <x:c r="R1519" s="28" t="n">
        <x:v>19482751.075151026</x:v>
      </x:c>
      <x:c r="S1519" s="28" t="str">
        <x:v>d7ef2964ffc08c8c</x:v>
      </x:c>
    </x:row>
    <x:row r="1520" ht="21" customHeight="1">
      <x:c r="A1520" s="60" t="n">
        <x:v>0.66</x:v>
      </x:c>
      <x:c r="B1520" s="28" t="str">
        <x:v>front_flat</x:v>
      </x:c>
      <x:c r="C1520" s="60" t="n">
        <x:v>0</x:v>
      </x:c>
      <x:c r="D1520" s="60" t="n">
        <x:v>0</x:v>
      </x:c>
      <x:c r="E1520" s="62" t="b">
        <x:v>1</x:v>
      </x:c>
      <x:c r="F1520" s="62" t="b">
        <x:v>1</x:v>
      </x:c>
      <x:c r="G1520" s="85" t="n">
        <x:v>0</x:v>
      </x:c>
      <x:c r="H1520" s="85" t="n">
        <x:v>0</x:v>
      </x:c>
      <x:c r="I1520" s="85" t="n">
        <x:v>0</x:v>
      </x:c>
      <x:c r="J1520" s="85" t="n">
        <x:v>0</x:v>
      </x:c>
      <x:c r="K1520" s="85" t="n">
        <x:v>34211668.62808221</x:v>
      </x:c>
      <x:c r="L1520" s="28" t="n">
        <x:v>0</x:v>
      </x:c>
      <x:c r="M1520" s="28" t="n">
        <x:v>0</x:v>
      </x:c>
      <x:c r="N1520" s="28" t="n">
        <x:v>3.725290298461914e-9</x:v>
      </x:c>
      <x:c r="O1520" s="28" t="n">
        <x:v>0</x:v>
      </x:c>
      <x:c r="P1520" s="28" t="n">
        <x:v>0</x:v>
      </x:c>
      <x:c r="Q1520" s="62" t="b">
        <x:v>1</x:v>
      </x:c>
      <x:c r="R1520" s="28" t="n">
        <x:v>0</x:v>
      </x:c>
      <x:c r="S1520" s="28" t="str">
        <x:v>145d8ba1127806ae</x:v>
      </x:c>
    </x:row>
    <x:row r="1521" ht="21" customHeight="1">
      <x:c r="A1521" s="60" t="n">
        <x:v>0.66</x:v>
      </x:c>
      <x:c r="B1521" s="28" t="str">
        <x:v>front_flat</x:v>
      </x:c>
      <x:c r="C1521" s="60" t="n">
        <x:v>0.05</x:v>
      </x:c>
      <x:c r="D1521" s="60" t="n">
        <x:v>0.05</x:v>
      </x:c>
      <x:c r="E1521" s="62" t="b">
        <x:v>1</x:v>
      </x:c>
      <x:c r="F1521" s="62" t="b">
        <x:v>1</x:v>
      </x:c>
      <x:c r="G1521" s="85" t="n">
        <x:v>0</x:v>
      </x:c>
      <x:c r="H1521" s="85" t="n">
        <x:v>0</x:v>
      </x:c>
      <x:c r="I1521" s="85" t="n">
        <x:v>0</x:v>
      </x:c>
      <x:c r="J1521" s="85" t="n">
        <x:v>0</x:v>
      </x:c>
      <x:c r="K1521" s="85" t="n">
        <x:v>21967166.389308788</x:v>
      </x:c>
      <x:c r="L1521" s="28" t="n">
        <x:v>0</x:v>
      </x:c>
      <x:c r="M1521" s="28" t="n">
        <x:v>0</x:v>
      </x:c>
      <x:c r="N1521" s="28" t="n">
        <x:v>3.725290298461914e-9</x:v>
      </x:c>
      <x:c r="O1521" s="28" t="n">
        <x:v>5.960464477539063e-8</x:v>
      </x:c>
      <x:c r="P1521" s="28" t="n">
        <x:v>0</x:v>
      </x:c>
      <x:c r="Q1521" s="62" t="b">
        <x:v>1</x:v>
      </x:c>
      <x:c r="R1521" s="28" t="n">
        <x:v>0</x:v>
      </x:c>
      <x:c r="S1521" s="28" t="str">
        <x:v>944d662097e827e6</x:v>
      </x:c>
    </x:row>
    <x:row r="1522" ht="21" customHeight="1">
      <x:c r="A1522" s="60" t="n">
        <x:v>0.66</x:v>
      </x:c>
      <x:c r="B1522" s="28" t="str">
        <x:v>front_flat</x:v>
      </x:c>
      <x:c r="C1522" s="60" t="n">
        <x:v>0.1</x:v>
      </x:c>
      <x:c r="D1522" s="60" t="n">
        <x:v>0.1</x:v>
      </x:c>
      <x:c r="E1522" s="62" t="b">
        <x:v>1</x:v>
      </x:c>
      <x:c r="F1522" s="62" t="b">
        <x:v>1</x:v>
      </x:c>
      <x:c r="G1522" s="85" t="n">
        <x:v>0</x:v>
      </x:c>
      <x:c r="H1522" s="85" t="n">
        <x:v>0</x:v>
      </x:c>
      <x:c r="I1522" s="85" t="n">
        <x:v>0</x:v>
      </x:c>
      <x:c r="J1522" s="85" t="n">
        <x:v>0</x:v>
      </x:c>
      <x:c r="K1522" s="85" t="n">
        <x:v>9603276.746174045</x:v>
      </x:c>
      <x:c r="L1522" s="28" t="n">
        <x:v>0</x:v>
      </x:c>
      <x:c r="M1522" s="28" t="n">
        <x:v>0</x:v>
      </x:c>
      <x:c r="N1522" s="28" t="n">
        <x:v>3.725290298461914e-9</x:v>
      </x:c>
      <x:c r="O1522" s="28" t="n">
        <x:v>5.960464477539063e-8</x:v>
      </x:c>
      <x:c r="P1522" s="28" t="n">
        <x:v>0</x:v>
      </x:c>
      <x:c r="Q1522" s="62" t="b">
        <x:v>1</x:v>
      </x:c>
      <x:c r="R1522" s="28" t="n">
        <x:v>0</x:v>
      </x:c>
      <x:c r="S1522" s="28" t="str">
        <x:v>6288b164ea1dd7e8</x:v>
      </x:c>
    </x:row>
    <x:row r="1523" ht="21" customHeight="1">
      <x:c r="A1523" s="60" t="n">
        <x:v>0.66</x:v>
      </x:c>
      <x:c r="B1523" s="28" t="str">
        <x:v>front_flat</x:v>
      </x:c>
      <x:c r="C1523" s="60" t="n">
        <x:v>0.15</x:v>
      </x:c>
      <x:c r="D1523" s="60" t="n">
        <x:v>0.15</x:v>
      </x:c>
      <x:c r="E1523" s="62" t="b">
        <x:v>1</x:v>
      </x:c>
      <x:c r="F1523" s="62" t="b">
        <x:v>1</x:v>
      </x:c>
      <x:c r="G1523" s="85" t="n">
        <x:v>0</x:v>
      </x:c>
      <x:c r="H1523" s="85" t="n">
        <x:v>0</x:v>
      </x:c>
      <x:c r="I1523" s="85" t="n">
        <x:v>2472733.337527266</x:v>
      </x:c>
      <x:c r="J1523" s="85" t="n">
        <x:v>0</x:v>
      </x:c>
      <x:c r="K1523" s="85" t="n">
        <x:v>661734.0234480691</x:v>
      </x:c>
      <x:c r="L1523" s="28" t="n">
        <x:v>0</x:v>
      </x:c>
      <x:c r="M1523" s="28" t="n">
        <x:v>0</x:v>
      </x:c>
      <x:c r="N1523" s="28" t="n">
        <x:v>3.725290298461914e-9</x:v>
      </x:c>
      <x:c r="O1523" s="28" t="n">
        <x:v>2.9802322387695312e-8</x:v>
      </x:c>
      <x:c r="P1523" s="28" t="n">
        <x:v>0</x:v>
      </x:c>
      <x:c r="Q1523" s="62" t="b">
        <x:v>1</x:v>
      </x:c>
      <x:c r="R1523" s="28" t="n">
        <x:v>0</x:v>
      </x:c>
      <x:c r="S1523" s="28" t="str">
        <x:v>8bfa121665396f97</x:v>
      </x:c>
    </x:row>
    <x:row r="1524" ht="21" customHeight="1">
      <x:c r="A1524" s="60" t="n">
        <x:v>0.66</x:v>
      </x:c>
      <x:c r="B1524" s="28" t="str">
        <x:v>front_flat</x:v>
      </x:c>
      <x:c r="C1524" s="60" t="n">
        <x:v>0.2</x:v>
      </x:c>
      <x:c r="D1524" s="60" t="n">
        <x:v>0.2</x:v>
      </x:c>
      <x:c r="E1524" s="62" t="b">
        <x:v>1</x:v>
      </x:c>
      <x:c r="F1524" s="62" t="b">
        <x:v>1</x:v>
      </x:c>
      <x:c r="G1524" s="85" t="n">
        <x:v>0</x:v>
      </x:c>
      <x:c r="H1524" s="85" t="n">
        <x:v>0</x:v>
      </x:c>
      <x:c r="I1524" s="85" t="n">
        <x:v>10765883.473182281</x:v>
      </x:c>
      <x:c r="J1524" s="85" t="n">
        <x:v>6284479.497374642</x:v>
      </x:c>
      <x:c r="K1524" s="85" t="n">
        <x:v>403654.1614698644</x:v>
      </x:c>
      <x:c r="L1524" s="28" t="n">
        <x:v>0</x:v>
      </x:c>
      <x:c r="M1524" s="28" t="n">
        <x:v>0</x:v>
      </x:c>
      <x:c r="N1524" s="28" t="n">
        <x:v>3.725290298461914e-9</x:v>
      </x:c>
      <x:c r="O1524" s="28" t="n">
        <x:v>2.9802322387695312e-8</x:v>
      </x:c>
      <x:c r="P1524" s="28" t="n">
        <x:v>0</x:v>
      </x:c>
      <x:c r="Q1524" s="62" t="b">
        <x:v>1</x:v>
      </x:c>
      <x:c r="R1524" s="28" t="n">
        <x:v>0</x:v>
      </x:c>
      <x:c r="S1524" s="28" t="str">
        <x:v>500e82cee7da3eb6</x:v>
      </x:c>
    </x:row>
    <x:row r="1525" ht="21" customHeight="1">
      <x:c r="A1525" s="60" t="n">
        <x:v>0.66</x:v>
      </x:c>
      <x:c r="B1525" s="28" t="str">
        <x:v>front_flat</x:v>
      </x:c>
      <x:c r="C1525" s="60" t="n">
        <x:v>0.25</x:v>
      </x:c>
      <x:c r="D1525" s="60" t="n">
        <x:v>0.25</x:v>
      </x:c>
      <x:c r="E1525" s="62" t="b">
        <x:v>1</x:v>
      </x:c>
      <x:c r="F1525" s="62" t="b">
        <x:v>1</x:v>
      </x:c>
      <x:c r="G1525" s="85" t="n">
        <x:v>0</x:v>
      </x:c>
      <x:c r="H1525" s="85" t="n">
        <x:v>0</x:v>
      </x:c>
      <x:c r="I1525" s="85" t="n">
        <x:v>17521419.746359684</x:v>
      </x:c>
      <x:c r="J1525" s="85" t="n">
        <x:v>15355599.371718226</x:v>
      </x:c>
      <x:c r="K1525" s="85" t="n">
        <x:v>294235.72900855955</x:v>
      </x:c>
      <x:c r="L1525" s="28" t="n">
        <x:v>0</x:v>
      </x:c>
      <x:c r="M1525" s="28" t="n">
        <x:v>0</x:v>
      </x:c>
      <x:c r="N1525" s="28" t="n">
        <x:v>1.862645149230957e-9</x:v>
      </x:c>
      <x:c r="O1525" s="28" t="n">
        <x:v>1.4901161193847656e-8</x:v>
      </x:c>
      <x:c r="P1525" s="28" t="n">
        <x:v>0</x:v>
      </x:c>
      <x:c r="Q1525" s="62" t="b">
        <x:v>1</x:v>
      </x:c>
      <x:c r="R1525" s="28" t="n">
        <x:v>0</x:v>
      </x:c>
      <x:c r="S1525" s="28" t="str">
        <x:v>066d6b587959a334</x:v>
      </x:c>
    </x:row>
    <x:row r="1526" ht="21" customHeight="1">
      <x:c r="A1526" s="60" t="n">
        <x:v>0.66</x:v>
      </x:c>
      <x:c r="B1526" s="28" t="str">
        <x:v>front_flat</x:v>
      </x:c>
      <x:c r="C1526" s="60" t="n">
        <x:v>0.3</x:v>
      </x:c>
      <x:c r="D1526" s="60" t="n">
        <x:v>0.3</x:v>
      </x:c>
      <x:c r="E1526" s="62" t="b">
        <x:v>1</x:v>
      </x:c>
      <x:c r="F1526" s="62" t="b">
        <x:v>1</x:v>
      </x:c>
      <x:c r="G1526" s="85" t="n">
        <x:v>0</x:v>
      </x:c>
      <x:c r="H1526" s="85" t="n">
        <x:v>0</x:v>
      </x:c>
      <x:c r="I1526" s="85" t="n">
        <x:v>24347696.757552173</x:v>
      </x:c>
      <x:c r="J1526" s="85" t="n">
        <x:v>24426719.24606188</x:v>
      </x:c>
      <x:c r="K1526" s="85" t="n">
        <x:v>232012.669056849</x:v>
      </x:c>
      <x:c r="L1526" s="28" t="n">
        <x:v>0</x:v>
      </x:c>
      <x:c r="M1526" s="28" t="n">
        <x:v>0</x:v>
      </x:c>
      <x:c r="N1526" s="28" t="n">
        <x:v>1.862645149230957e-9</x:v>
      </x:c>
      <x:c r="O1526" s="28" t="n">
        <x:v>2.9802322387695312e-8</x:v>
      </x:c>
      <x:c r="P1526" s="28" t="n">
        <x:v>0</x:v>
      </x:c>
      <x:c r="Q1526" s="62" t="b">
        <x:v>1</x:v>
      </x:c>
      <x:c r="R1526" s="28" t="n">
        <x:v>0</x:v>
      </x:c>
      <x:c r="S1526" s="28" t="str">
        <x:v>dc49b8aa955a9976</x:v>
      </x:c>
    </x:row>
    <x:row r="1527" ht="21" customHeight="1">
      <x:c r="A1527" s="60" t="n">
        <x:v>0.66</x:v>
      </x:c>
      <x:c r="B1527" s="28" t="str">
        <x:v>front_flat</x:v>
      </x:c>
      <x:c r="C1527" s="60" t="n">
        <x:v>0.35</x:v>
      </x:c>
      <x:c r="D1527" s="60" t="n">
        <x:v>0.35</x:v>
      </x:c>
      <x:c r="E1527" s="62" t="b">
        <x:v>1</x:v>
      </x:c>
      <x:c r="F1527" s="62" t="b">
        <x:v>1</x:v>
      </x:c>
      <x:c r="G1527" s="85" t="n">
        <x:v>0</x:v>
      </x:c>
      <x:c r="H1527" s="85" t="n">
        <x:v>0</x:v>
      </x:c>
      <x:c r="I1527" s="85" t="n">
        <x:v>31292147.551504947</x:v>
      </x:c>
      <x:c r="J1527" s="85" t="n">
        <x:v>33497839.12040553</x:v>
      </x:c>
      <x:c r="K1527" s="85" t="n">
        <x:v>169789.60910514684</x:v>
      </x:c>
      <x:c r="L1527" s="28" t="n">
        <x:v>0</x:v>
      </x:c>
      <x:c r="M1527" s="28" t="n">
        <x:v>0</x:v>
      </x:c>
      <x:c r="N1527" s="28" t="n">
        <x:v>3.725290298461914e-9</x:v>
      </x:c>
      <x:c r="O1527" s="28" t="n">
        <x:v>7.450580596923828e-9</x:v>
      </x:c>
      <x:c r="P1527" s="28" t="n">
        <x:v>0</x:v>
      </x:c>
      <x:c r="Q1527" s="62" t="b">
        <x:v>1</x:v>
      </x:c>
      <x:c r="R1527" s="28" t="n">
        <x:v>0</x:v>
      </x:c>
      <x:c r="S1527" s="28" t="str">
        <x:v>3bbef4adfcf9b7d2</x:v>
      </x:c>
    </x:row>
    <x:row r="1528" ht="21" customHeight="1">
      <x:c r="A1528" s="60" t="n">
        <x:v>0.66</x:v>
      </x:c>
      <x:c r="B1528" s="28" t="str">
        <x:v>front_flat</x:v>
      </x:c>
      <x:c r="C1528" s="60" t="n">
        <x:v>0.4</x:v>
      </x:c>
      <x:c r="D1528" s="60" t="n">
        <x:v>0.4</x:v>
      </x:c>
      <x:c r="E1528" s="62" t="b">
        <x:v>1</x:v>
      </x:c>
      <x:c r="F1528" s="62" t="b">
        <x:v>1</x:v>
      </x:c>
      <x:c r="G1528" s="85" t="n">
        <x:v>0</x:v>
      </x:c>
      <x:c r="H1528" s="85" t="n">
        <x:v>0</x:v>
      </x:c>
      <x:c r="I1528" s="85" t="n">
        <x:v>39270127.979829326</x:v>
      </x:c>
      <x:c r="J1528" s="85" t="n">
        <x:v>39597418.834809296</x:v>
      </x:c>
      <x:c r="K1528" s="85" t="n">
        <x:v>107566.54915342142</x:v>
      </x:c>
      <x:c r="L1528" s="28" t="n">
        <x:v>3</x:v>
      </x:c>
      <x:c r="M1528" s="28" t="n">
        <x:v>0</x:v>
      </x:c>
      <x:c r="N1528" s="28" t="n">
        <x:v>3.725290298461914e-9</x:v>
      </x:c>
      <x:c r="O1528" s="28" t="n">
        <x:v>2.9802322387695312e-8</x:v>
      </x:c>
      <x:c r="P1528" s="28" t="n">
        <x:v>0</x:v>
      </x:c>
      <x:c r="Q1528" s="62" t="b">
        <x:v>1</x:v>
      </x:c>
      <x:c r="R1528" s="28" t="n">
        <x:v>0</x:v>
      </x:c>
      <x:c r="S1528" s="28" t="str">
        <x:v>6d9c8c652f3f3f7b</x:v>
      </x:c>
    </x:row>
    <x:row r="1529" ht="21" customHeight="1">
      <x:c r="A1529" s="60" t="n">
        <x:v>0.66</x:v>
      </x:c>
      <x:c r="B1529" s="28" t="str">
        <x:v>front_flat</x:v>
      </x:c>
      <x:c r="C1529" s="60" t="n">
        <x:v>0.45</x:v>
      </x:c>
      <x:c r="D1529" s="60" t="n">
        <x:v>0.45</x:v>
      </x:c>
      <x:c r="E1529" s="62" t="b">
        <x:v>1</x:v>
      </x:c>
      <x:c r="F1529" s="62" t="b">
        <x:v>1</x:v>
      </x:c>
      <x:c r="G1529" s="85" t="n">
        <x:v>0</x:v>
      </x:c>
      <x:c r="H1529" s="85" t="n">
        <x:v>0</x:v>
      </x:c>
      <x:c r="I1529" s="85" t="n">
        <x:v>48418950.541776724</x:v>
      </x:c>
      <x:c r="J1529" s="85" t="n">
        <x:v>41843383.31210275</x:v>
      </x:c>
      <x:c r="K1529" s="85" t="n">
        <x:v>56339.86213356166</x:v>
      </x:c>
      <x:c r="L1529" s="28" t="n">
        <x:v>10</x:v>
      </x:c>
      <x:c r="M1529" s="28" t="n">
        <x:v>0</x:v>
      </x:c>
      <x:c r="N1529" s="28" t="n">
        <x:v>1.862645149230957e-9</x:v>
      </x:c>
      <x:c r="O1529" s="28" t="n">
        <x:v>2.9802322387695312e-8</x:v>
      </x:c>
      <x:c r="P1529" s="28" t="n">
        <x:v>0</x:v>
      </x:c>
      <x:c r="Q1529" s="62" t="b">
        <x:v>1</x:v>
      </x:c>
      <x:c r="R1529" s="28" t="n">
        <x:v>0</x:v>
      </x:c>
      <x:c r="S1529" s="28" t="str">
        <x:v>42e7a00b804e8689</x:v>
      </x:c>
    </x:row>
    <x:row r="1530" ht="21" customHeight="1">
      <x:c r="A1530" s="60" t="n">
        <x:v>0.66</x:v>
      </x:c>
      <x:c r="B1530" s="28" t="str">
        <x:v>front_flat</x:v>
      </x:c>
      <x:c r="C1530" s="60" t="n">
        <x:v>0.5</x:v>
      </x:c>
      <x:c r="D1530" s="60" t="n">
        <x:v>0.5</x:v>
      </x:c>
      <x:c r="E1530" s="62" t="b">
        <x:v>1</x:v>
      </x:c>
      <x:c r="F1530" s="62" t="b">
        <x:v>1</x:v>
      </x:c>
      <x:c r="G1530" s="85" t="n">
        <x:v>0</x:v>
      </x:c>
      <x:c r="H1530" s="85" t="n">
        <x:v>0</x:v>
      </x:c>
      <x:c r="I1530" s="85" t="n">
        <x:v>56540025.87354005</x:v>
      </x:c>
      <x:c r="J1530" s="85" t="n">
        <x:v>48010179.799307235</x:v>
      </x:c>
      <x:c r="K1530" s="85" t="n">
        <x:v>35519.76462328716</x:v>
      </x:c>
      <x:c r="L1530" s="28" t="n">
        <x:v>17</x:v>
      </x:c>
      <x:c r="M1530" s="28" t="n">
        <x:v>0</x:v>
      </x:c>
      <x:c r="N1530" s="28" t="n">
        <x:v>1.862645149230957e-9</x:v>
      </x:c>
      <x:c r="O1530" s="28" t="n">
        <x:v>2.9802322387695312e-8</x:v>
      </x:c>
      <x:c r="P1530" s="28" t="n">
        <x:v>0</x:v>
      </x:c>
      <x:c r="Q1530" s="62" t="b">
        <x:v>1</x:v>
      </x:c>
      <x:c r="R1530" s="28" t="n">
        <x:v>0</x:v>
      </x:c>
      <x:c r="S1530" s="28" t="str">
        <x:v>0848fdce45e196a5</x:v>
      </x:c>
    </x:row>
    <x:row r="1531" ht="21" customHeight="1">
      <x:c r="A1531" s="60" t="n">
        <x:v>0.66</x:v>
      </x:c>
      <x:c r="B1531" s="28" t="str">
        <x:v>front_flat</x:v>
      </x:c>
      <x:c r="C1531" s="60" t="n">
        <x:v>0.55</x:v>
      </x:c>
      <x:c r="D1531" s="60" t="n">
        <x:v>0.55</x:v>
      </x:c>
      <x:c r="E1531" s="62" t="b">
        <x:v>1</x:v>
      </x:c>
      <x:c r="F1531" s="62" t="b">
        <x:v>1</x:v>
      </x:c>
      <x:c r="G1531" s="85" t="n">
        <x:v>0</x:v>
      </x:c>
      <x:c r="H1531" s="85" t="n">
        <x:v>0</x:v>
      </x:c>
      <x:c r="I1531" s="85" t="n">
        <x:v>62816784.021694</x:v>
      </x:c>
      <x:c r="J1531" s="85" t="n">
        <x:v>58555862.77029291</x:v>
      </x:c>
      <x:c r="K1531" s="85" t="n">
        <x:v>14699.667113015923</x:v>
      </x:c>
      <x:c r="L1531" s="28" t="n">
        <x:v>20</x:v>
      </x:c>
      <x:c r="M1531" s="28" t="n">
        <x:v>0</x:v>
      </x:c>
      <x:c r="N1531" s="28" t="n">
        <x:v>1.862645149230957e-9</x:v>
      </x:c>
      <x:c r="O1531" s="28" t="n">
        <x:v>2.9802322387695312e-8</x:v>
      </x:c>
      <x:c r="P1531" s="28" t="n">
        <x:v>0</x:v>
      </x:c>
      <x:c r="Q1531" s="62" t="b">
        <x:v>1</x:v>
      </x:c>
      <x:c r="R1531" s="28" t="n">
        <x:v>0</x:v>
      </x:c>
      <x:c r="S1531" s="28" t="str">
        <x:v>26e78c83807c686b</x:v>
      </x:c>
    </x:row>
    <x:row r="1532" ht="21" customHeight="1">
      <x:c r="A1532" s="60" t="n">
        <x:v>0.66</x:v>
      </x:c>
      <x:c r="B1532" s="28" t="str">
        <x:v>front_flat</x:v>
      </x:c>
      <x:c r="C1532" s="60" t="n">
        <x:v>0.6</x:v>
      </x:c>
      <x:c r="D1532" s="60" t="n">
        <x:v>0.6</x:v>
      </x:c>
      <x:c r="E1532" s="62" t="b">
        <x:v>1</x:v>
      </x:c>
      <x:c r="F1532" s="62" t="b">
        <x:v>1</x:v>
      </x:c>
      <x:c r="G1532" s="85" t="n">
        <x:v>0</x:v>
      </x:c>
      <x:c r="H1532" s="85" t="n">
        <x:v>0</x:v>
      </x:c>
      <x:c r="I1532" s="85" t="n">
        <x:v>69068183.25281186</x:v>
      </x:c>
      <x:c r="J1532" s="85" t="n">
        <x:v>68477584.98525406</x:v>
      </x:c>
      <x:c r="K1532" s="85" t="n">
        <x:v>0</x:v>
      </x:c>
      <x:c r="L1532" s="28" t="n">
        <x:v>25</x:v>
      </x:c>
      <x:c r="M1532" s="28" t="n">
        <x:v>8</x:v>
      </x:c>
      <x:c r="N1532" s="28" t="n">
        <x:v>1.862645149230957e-9</x:v>
      </x:c>
      <x:c r="O1532" s="28" t="n">
        <x:v>2.9802322387695312e-8</x:v>
      </x:c>
      <x:c r="P1532" s="28" t="n">
        <x:v>0</x:v>
      </x:c>
      <x:c r="Q1532" s="62" t="b">
        <x:v>1</x:v>
      </x:c>
      <x:c r="R1532" s="28" t="n">
        <x:v>0</x:v>
      </x:c>
      <x:c r="S1532" s="28" t="str">
        <x:v>31b1d93b7b47d52d</x:v>
      </x:c>
    </x:row>
    <x:row r="1533" ht="21" customHeight="1">
      <x:c r="A1533" s="60" t="n">
        <x:v>0.66</x:v>
      </x:c>
      <x:c r="B1533" s="28" t="str">
        <x:v>front_flat</x:v>
      </x:c>
      <x:c r="C1533" s="60" t="n">
        <x:v>0.65</x:v>
      </x:c>
      <x:c r="D1533" s="60" t="n">
        <x:v>0.65</x:v>
      </x:c>
      <x:c r="E1533" s="62" t="b">
        <x:v>1</x:v>
      </x:c>
      <x:c r="F1533" s="62" t="b">
        <x:v>0</x:v>
      </x:c>
      <x:c r="G1533" s="85" t="n">
        <x:v>1479668.5810679728</x:v>
      </x:c>
      <x:c r="H1533" s="85" t="n">
        <x:v>9637266.615317957</x:v>
      </x:c>
      <x:c r="I1533" s="85" t="n">
        <x:v>70526978.65077975</x:v>
      </x:c>
      <x:c r="J1533" s="85" t="n">
        <x:v>71999999.99999999</x:v>
      </x:c>
      <x:c r="K1533" s="85" t="n">
        <x:v>0</x:v>
      </x:c>
      <x:c r="L1533" s="28" t="n">
        <x:v>46</x:v>
      </x:c>
      <x:c r="M1533" s="28" t="n">
        <x:v>34</x:v>
      </x:c>
      <x:c r="N1533" s="28" t="n">
        <x:v>1.862645149230957e-9</x:v>
      </x:c>
      <x:c r="O1533" s="28" t="n">
        <x:v>2.9802322387695312e-8</x:v>
      </x:c>
      <x:c r="P1533" s="28" t="n">
        <x:v>0</x:v>
      </x:c>
      <x:c r="Q1533" s="62" t="b">
        <x:v>1</x:v>
      </x:c>
      <x:c r="R1533" s="28" t="n">
        <x:v>0</x:v>
      </x:c>
      <x:c r="S1533" s="28" t="str">
        <x:v>41b8821fe6ed9f4c</x:v>
      </x:c>
    </x:row>
    <x:row r="1534" ht="21" customHeight="1">
      <x:c r="A1534" s="60" t="n">
        <x:v>0.66</x:v>
      </x:c>
      <x:c r="B1534" s="28" t="str">
        <x:v>front_flat</x:v>
      </x:c>
      <x:c r="C1534" s="60" t="n">
        <x:v>0.7</x:v>
      </x:c>
      <x:c r="D1534" s="60" t="n">
        <x:v>0.7</x:v>
      </x:c>
      <x:c r="E1534" s="62" t="b">
        <x:v>1</x:v>
      </x:c>
      <x:c r="F1534" s="62" t="b">
        <x:v>0</x:v>
      </x:c>
      <x:c r="G1534" s="85" t="n">
        <x:v>3985618.7158604334</x:v>
      </x:c>
      <x:c r="H1534" s="85" t="n">
        <x:v>22665508.92978312</x:v>
      </x:c>
      <x:c r="I1534" s="85" t="n">
        <x:v>70568928.5481527</x:v>
      </x:c>
      <x:c r="J1534" s="85" t="n">
        <x:v>71999999.99999999</x:v>
      </x:c>
      <x:c r="K1534" s="85" t="n">
        <x:v>0</x:v>
      </x:c>
      <x:c r="L1534" s="28" t="n">
        <x:v>46</x:v>
      </x:c>
      <x:c r="M1534" s="28" t="n">
        <x:v>38</x:v>
      </x:c>
      <x:c r="N1534" s="28" t="n">
        <x:v>1.862645149230957e-9</x:v>
      </x:c>
      <x:c r="O1534" s="28" t="n">
        <x:v>2.9802322387695312e-8</x:v>
      </x:c>
      <x:c r="P1534" s="28" t="n">
        <x:v>0</x:v>
      </x:c>
      <x:c r="Q1534" s="62" t="b">
        <x:v>1</x:v>
      </x:c>
      <x:c r="R1534" s="28" t="n">
        <x:v>0</x:v>
      </x:c>
      <x:c r="S1534" s="28" t="str">
        <x:v>84abcaac8fa87b81</x:v>
      </x:c>
    </x:row>
    <x:row r="1535" ht="21" customHeight="1">
      <x:c r="A1535" s="60" t="n">
        <x:v>0.66</x:v>
      </x:c>
      <x:c r="B1535" s="28" t="str">
        <x:v>front_flat</x:v>
      </x:c>
      <x:c r="C1535" s="60" t="n">
        <x:v>0.75</x:v>
      </x:c>
      <x:c r="D1535" s="60" t="n">
        <x:v>0.75</x:v>
      </x:c>
      <x:c r="E1535" s="62" t="b">
        <x:v>1</x:v>
      </x:c>
      <x:c r="F1535" s="62" t="b">
        <x:v>0</x:v>
      </x:c>
      <x:c r="G1535" s="85" t="n">
        <x:v>6405961.1227936745</x:v>
      </x:c>
      <x:c r="H1535" s="85" t="n">
        <x:v>35506447.934745766</x:v>
      </x:c>
      <x:c r="I1535" s="85" t="n">
        <x:v>70610878.44552565</x:v>
      </x:c>
      <x:c r="J1535" s="85" t="n">
        <x:v>71999999.99999999</x:v>
      </x:c>
      <x:c r="K1535" s="85" t="n">
        <x:v>0</x:v>
      </x:c>
      <x:c r="L1535" s="28" t="n">
        <x:v>46</x:v>
      </x:c>
      <x:c r="M1535" s="28" t="n">
        <x:v>40</x:v>
      </x:c>
      <x:c r="N1535" s="28" t="n">
        <x:v>1.862645149230957e-9</x:v>
      </x:c>
      <x:c r="O1535" s="28" t="n">
        <x:v>2.9802322387695312e-8</x:v>
      </x:c>
      <x:c r="P1535" s="28" t="n">
        <x:v>0</x:v>
      </x:c>
      <x:c r="Q1535" s="62" t="b">
        <x:v>1</x:v>
      </x:c>
      <x:c r="R1535" s="28" t="n">
        <x:v>0</x:v>
      </x:c>
      <x:c r="S1535" s="28" t="str">
        <x:v>fcf3afe3afa166db</x:v>
      </x:c>
    </x:row>
    <x:row r="1536" ht="21" customHeight="1">
      <x:c r="A1536" s="60" t="n">
        <x:v>0.66</x:v>
      </x:c>
      <x:c r="B1536" s="28" t="str">
        <x:v>front_flat</x:v>
      </x:c>
      <x:c r="C1536" s="60" t="n">
        <x:v>0.8</x:v>
      </x:c>
      <x:c r="D1536" s="60" t="n">
        <x:v>0.8</x:v>
      </x:c>
      <x:c r="E1536" s="62" t="b">
        <x:v>1</x:v>
      </x:c>
      <x:c r="F1536" s="62" t="b">
        <x:v>0</x:v>
      </x:c>
      <x:c r="G1536" s="85" t="n">
        <x:v>9258760.330615567</x:v>
      </x:c>
      <x:c r="H1536" s="85" t="n">
        <x:v>47900327.45077125</x:v>
      </x:c>
      <x:c r="I1536" s="85" t="n">
        <x:v>70652828.3428986</x:v>
      </x:c>
      <x:c r="J1536" s="85" t="n">
        <x:v>71999999.99999999</x:v>
      </x:c>
      <x:c r="K1536" s="85" t="n">
        <x:v>0</x:v>
      </x:c>
      <x:c r="L1536" s="28" t="n">
        <x:v>46</x:v>
      </x:c>
      <x:c r="M1536" s="28" t="n">
        <x:v>42</x:v>
      </x:c>
      <x:c r="N1536" s="28" t="n">
        <x:v>1.862645149230957e-9</x:v>
      </x:c>
      <x:c r="O1536" s="28" t="n">
        <x:v>1.4901161193847656e-8</x:v>
      </x:c>
      <x:c r="P1536" s="28" t="n">
        <x:v>0</x:v>
      </x:c>
      <x:c r="Q1536" s="62" t="b">
        <x:v>1</x:v>
      </x:c>
      <x:c r="R1536" s="28" t="n">
        <x:v>0</x:v>
      </x:c>
      <x:c r="S1536" s="28" t="str">
        <x:v>408a8daca3195150</x:v>
      </x:c>
    </x:row>
    <x:row r="1537" ht="21" customHeight="1">
      <x:c r="A1537" s="60" t="n">
        <x:v>0.66</x:v>
      </x:c>
      <x:c r="B1537" s="28" t="str">
        <x:v>front_flat</x:v>
      </x:c>
      <x:c r="C1537" s="60" t="n">
        <x:v>0.85</x:v>
      </x:c>
      <x:c r="D1537" s="60" t="n">
        <x:v>0.85</x:v>
      </x:c>
      <x:c r="E1537" s="62" t="b">
        <x:v>1</x:v>
      </x:c>
      <x:c r="F1537" s="62" t="b">
        <x:v>0</x:v>
      </x:c>
      <x:c r="G1537" s="85" t="n">
        <x:v>11825684.943304166</x:v>
      </x:c>
      <x:c r="H1537" s="85" t="n">
        <x:v>60294206.96679662</x:v>
      </x:c>
      <x:c r="I1537" s="85" t="n">
        <x:v>70694778.24027154</x:v>
      </x:c>
      <x:c r="J1537" s="85" t="n">
        <x:v>71999999.99999999</x:v>
      </x:c>
      <x:c r="K1537" s="85" t="n">
        <x:v>0</x:v>
      </x:c>
      <x:c r="L1537" s="28" t="n">
        <x:v>46</x:v>
      </x:c>
      <x:c r="M1537" s="28" t="n">
        <x:v>44</x:v>
      </x:c>
      <x:c r="N1537" s="28" t="n">
        <x:v>1.862645149230957e-9</x:v>
      </x:c>
      <x:c r="O1537" s="28" t="n">
        <x:v>1.862645149230957e-9</x:v>
      </x:c>
      <x:c r="P1537" s="28" t="n">
        <x:v>0</x:v>
      </x:c>
      <x:c r="Q1537" s="62" t="b">
        <x:v>1</x:v>
      </x:c>
      <x:c r="R1537" s="28" t="n">
        <x:v>0</x:v>
      </x:c>
      <x:c r="S1537" s="28" t="str">
        <x:v>7786f69a8ab09f56</x:v>
      </x:c>
    </x:row>
    <x:row r="1538" ht="21" customHeight="1">
      <x:c r="A1538" s="60" t="n">
        <x:v>0.66</x:v>
      </x:c>
      <x:c r="B1538" s="28" t="str">
        <x:v>front_flat</x:v>
      </x:c>
      <x:c r="C1538" s="60" t="n">
        <x:v>0.9</x:v>
      </x:c>
      <x:c r="D1538" s="60" t="n">
        <x:v>0.9</x:v>
      </x:c>
      <x:c r="E1538" s="62" t="b">
        <x:v>1</x:v>
      </x:c>
      <x:c r="F1538" s="62" t="b">
        <x:v>0</x:v>
      </x:c>
      <x:c r="G1538" s="85" t="n">
        <x:v>15709974.119150233</x:v>
      </x:c>
      <x:c r="H1538" s="85" t="n">
        <x:v>70118583.92251998</x:v>
      </x:c>
      <x:c r="I1538" s="85" t="n">
        <x:v>72001342.38532189</x:v>
      </x:c>
      <x:c r="J1538" s="85" t="n">
        <x:v>71999999.99999999</x:v>
      </x:c>
      <x:c r="K1538" s="85" t="n">
        <x:v>0</x:v>
      </x:c>
      <x:c r="L1538" s="28" t="n">
        <x:v>47</x:v>
      </x:c>
      <x:c r="M1538" s="28" t="n">
        <x:v>44</x:v>
      </x:c>
      <x:c r="N1538" s="28" t="n">
        <x:v>9.313225746154785e-10</x:v>
      </x:c>
      <x:c r="O1538" s="28" t="n">
        <x:v>1.4901161193847656e-8</x:v>
      </x:c>
      <x:c r="P1538" s="28" t="n">
        <x:v>0</x:v>
      </x:c>
      <x:c r="Q1538" s="62" t="b">
        <x:v>1</x:v>
      </x:c>
      <x:c r="R1538" s="28" t="n">
        <x:v>0</x:v>
      </x:c>
      <x:c r="S1538" s="28" t="str">
        <x:v>7368ce89330d854a</x:v>
      </x:c>
    </x:row>
    <x:row r="1539" ht="21" customHeight="1">
      <x:c r="A1539" s="60" t="n">
        <x:v>0.66</x:v>
      </x:c>
      <x:c r="B1539" s="28" t="str">
        <x:v>front_flat</x:v>
      </x:c>
      <x:c r="C1539" s="60" t="n">
        <x:v>0.95</x:v>
      </x:c>
      <x:c r="D1539" s="60" t="n">
        <x:v>0.9497739906324524</x:v>
      </x:c>
      <x:c r="E1539" s="62" t="b">
        <x:v>0</x:v>
      </x:c>
      <x:c r="F1539" s="62" t="b">
        <x:v>0</x:v>
      </x:c>
      <x:c r="G1539" s="85" t="n">
        <x:v>20632189.45173817</x:v>
      </x:c>
      <x:c r="H1539" s="85" t="n">
        <x:v>78116563.1082158</x:v>
      </x:c>
      <x:c r="I1539" s="85" t="n">
        <x:v>72022162.48283215</x:v>
      </x:c>
      <x:c r="J1539" s="85" t="n">
        <x:v>71999999.99999999</x:v>
      </x:c>
      <x:c r="K1539" s="85" t="n">
        <x:v>0</x:v>
      </x:c>
      <x:c r="L1539" s="28" t="n">
        <x:v>47</x:v>
      </x:c>
      <x:c r="M1539" s="28" t="n">
        <x:v>44</x:v>
      </x:c>
      <x:c r="N1539" s="28" t="n">
        <x:v>1.862645149230957e-9</x:v>
      </x:c>
      <x:c r="O1539" s="28" t="n">
        <x:v>1.4901161193847656e-8</x:v>
      </x:c>
      <x:c r="P1539" s="28" t="n">
        <x:v>0</x:v>
      </x:c>
      <x:c r="Q1539" s="62" t="b">
        <x:v>1</x:v>
      </x:c>
      <x:c r="R1539" s="28" t="n">
        <x:v>67802.81026428938</x:v>
      </x:c>
      <x:c r="S1539" s="28" t="str">
        <x:v>4556800c72416ac5</x:v>
      </x:c>
    </x:row>
    <x:row r="1540" ht="21" customHeight="1">
      <x:c r="A1540" s="60" t="n">
        <x:v>0.66</x:v>
      </x:c>
      <x:c r="B1540" s="28" t="str">
        <x:v>front_flat</x:v>
      </x:c>
      <x:c r="C1540" s="60" t="n">
        <x:v>1</x:v>
      </x:c>
      <x:c r="D1540" s="60" t="n">
        <x:v>0.9646994850752131</x:v>
      </x:c>
      <x:c r="E1540" s="62" t="b">
        <x:v>0</x:v>
      </x:c>
      <x:c r="F1540" s="62" t="b">
        <x:v>0</x:v>
      </x:c>
      <x:c r="G1540" s="85" t="n">
        <x:v>22577164.4359615</x:v>
      </x:c>
      <x:c r="H1540" s="85" t="n">
        <x:v>82035848.15758716</x:v>
      </x:c>
      <x:c r="I1540" s="85" t="n">
        <x:v>72042982.58034243</x:v>
      </x:c>
      <x:c r="J1540" s="85" t="n">
        <x:v>71999999.99999999</x:v>
      </x:c>
      <x:c r="K1540" s="85" t="n">
        <x:v>0</x:v>
      </x:c>
      <x:c r="L1540" s="28" t="n">
        <x:v>47</x:v>
      </x:c>
      <x:c r="M1540" s="28" t="n">
        <x:v>45</x:v>
      </x:c>
      <x:c r="N1540" s="28" t="n">
        <x:v>9.313225746154785e-10</x:v>
      </x:c>
      <x:c r="O1540" s="28" t="n">
        <x:v>3.725290298461914e-9</x:v>
      </x:c>
      <x:c r="P1540" s="28" t="n">
        <x:v>0</x:v>
      </x:c>
      <x:c r="Q1540" s="62" t="b">
        <x:v>1</x:v>
      </x:c>
      <x:c r="R1540" s="28" t="n">
        <x:v>10590154.477436066</x:v>
      </x:c>
      <x:c r="S1540" s="28" t="str">
        <x:v>99b8b9733d137af3</x:v>
      </x:c>
    </x:row>
    <x:row r="1541" ht="21" customHeight="1">
      <x:c r="A1541" s="60" t="n">
        <x:v>0.66</x:v>
      </x:c>
      <x:c r="B1541" s="28" t="str">
        <x:v>front_low</x:v>
      </x:c>
      <x:c r="C1541" s="60" t="n">
        <x:v>0</x:v>
      </x:c>
      <x:c r="D1541" s="60" t="n">
        <x:v>0</x:v>
      </x:c>
      <x:c r="E1541" s="62" t="b">
        <x:v>1</x:v>
      </x:c>
      <x:c r="F1541" s="62" t="b">
        <x:v>1</x:v>
      </x:c>
      <x:c r="G1541" s="85" t="n">
        <x:v>0</x:v>
      </x:c>
      <x:c r="H1541" s="85" t="n">
        <x:v>0</x:v>
      </x:c>
      <x:c r="I1541" s="85" t="n">
        <x:v>0</x:v>
      </x:c>
      <x:c r="J1541" s="85" t="n">
        <x:v>0</x:v>
      </x:c>
      <x:c r="K1541" s="85" t="n">
        <x:v>30218842.093835626</x:v>
      </x:c>
      <x:c r="L1541" s="28" t="n">
        <x:v>0</x:v>
      </x:c>
      <x:c r="M1541" s="28" t="n">
        <x:v>0</x:v>
      </x:c>
      <x:c r="N1541" s="28" t="n">
        <x:v>3.725290298461914e-9</x:v>
      </x:c>
      <x:c r="O1541" s="28" t="n">
        <x:v>0</x:v>
      </x:c>
      <x:c r="P1541" s="28" t="n">
        <x:v>0</x:v>
      </x:c>
      <x:c r="Q1541" s="62" t="b">
        <x:v>1</x:v>
      </x:c>
      <x:c r="R1541" s="28" t="n">
        <x:v>0</x:v>
      </x:c>
      <x:c r="S1541" s="28" t="str">
        <x:v>fa2ab93f250b78d5</x:v>
      </x:c>
    </x:row>
    <x:row r="1542" ht="21" customHeight="1">
      <x:c r="A1542" s="60" t="n">
        <x:v>0.66</x:v>
      </x:c>
      <x:c r="B1542" s="28" t="str">
        <x:v>front_low</x:v>
      </x:c>
      <x:c r="C1542" s="60" t="n">
        <x:v>0.05</x:v>
      </x:c>
      <x:c r="D1542" s="60" t="n">
        <x:v>0.05</x:v>
      </x:c>
      <x:c r="E1542" s="62" t="b">
        <x:v>1</x:v>
      </x:c>
      <x:c r="F1542" s="62" t="b">
        <x:v>1</x:v>
      </x:c>
      <x:c r="G1542" s="85" t="n">
        <x:v>0</x:v>
      </x:c>
      <x:c r="H1542" s="85" t="n">
        <x:v>0</x:v>
      </x:c>
      <x:c r="I1542" s="85" t="n">
        <x:v>0</x:v>
      </x:c>
      <x:c r="J1542" s="85" t="n">
        <x:v>0</x:v>
      </x:c>
      <x:c r="K1542" s="85" t="n">
        <x:v>19310594.055541668</x:v>
      </x:c>
      <x:c r="L1542" s="28" t="n">
        <x:v>0</x:v>
      </x:c>
      <x:c r="M1542" s="28" t="n">
        <x:v>0</x:v>
      </x:c>
      <x:c r="N1542" s="28" t="n">
        <x:v>3.725290298461914e-9</x:v>
      </x:c>
      <x:c r="O1542" s="28" t="n">
        <x:v>5.960464477539063e-8</x:v>
      </x:c>
      <x:c r="P1542" s="28" t="n">
        <x:v>0</x:v>
      </x:c>
      <x:c r="Q1542" s="62" t="b">
        <x:v>1</x:v>
      </x:c>
      <x:c r="R1542" s="28" t="n">
        <x:v>0</x:v>
      </x:c>
      <x:c r="S1542" s="28" t="str">
        <x:v>dff73e06922f7220</x:v>
      </x:c>
    </x:row>
    <x:row r="1543" ht="21" customHeight="1">
      <x:c r="A1543" s="60" t="n">
        <x:v>0.66</x:v>
      </x:c>
      <x:c r="B1543" s="28" t="str">
        <x:v>front_low</x:v>
      </x:c>
      <x:c r="C1543" s="60" t="n">
        <x:v>0.1</x:v>
      </x:c>
      <x:c r="D1543" s="60" t="n">
        <x:v>0.1</x:v>
      </x:c>
      <x:c r="E1543" s="62" t="b">
        <x:v>1</x:v>
      </x:c>
      <x:c r="F1543" s="62" t="b">
        <x:v>1</x:v>
      </x:c>
      <x:c r="G1543" s="85" t="n">
        <x:v>0</x:v>
      </x:c>
      <x:c r="H1543" s="85" t="n">
        <x:v>0</x:v>
      </x:c>
      <x:c r="I1543" s="85" t="n">
        <x:v>0</x:v>
      </x:c>
      <x:c r="J1543" s="85" t="n">
        <x:v>0</x:v>
      </x:c>
      <x:c r="K1543" s="85" t="n">
        <x:v>8318072.555345581</x:v>
      </x:c>
      <x:c r="L1543" s="28" t="n">
        <x:v>0</x:v>
      </x:c>
      <x:c r="M1543" s="28" t="n">
        <x:v>0</x:v>
      </x:c>
      <x:c r="N1543" s="28" t="n">
        <x:v>3.725290298461914e-9</x:v>
      </x:c>
      <x:c r="O1543" s="28" t="n">
        <x:v>5.960464477539063e-8</x:v>
      </x:c>
      <x:c r="P1543" s="28" t="n">
        <x:v>0</x:v>
      </x:c>
      <x:c r="Q1543" s="62" t="b">
        <x:v>1</x:v>
      </x:c>
      <x:c r="R1543" s="28" t="n">
        <x:v>0</x:v>
      </x:c>
      <x:c r="S1543" s="28" t="str">
        <x:v>92228d37b7a4db49</x:v>
      </x:c>
    </x:row>
    <x:row r="1544" ht="21" customHeight="1">
      <x:c r="A1544" s="60" t="n">
        <x:v>0.66</x:v>
      </x:c>
      <x:c r="B1544" s="28" t="str">
        <x:v>front_low</x:v>
      </x:c>
      <x:c r="C1544" s="60" t="n">
        <x:v>0.15</x:v>
      </x:c>
      <x:c r="D1544" s="60" t="n">
        <x:v>0.15</x:v>
      </x:c>
      <x:c r="E1544" s="62" t="b">
        <x:v>1</x:v>
      </x:c>
      <x:c r="F1544" s="62" t="b">
        <x:v>1</x:v>
      </x:c>
      <x:c r="G1544" s="85" t="n">
        <x:v>0</x:v>
      </x:c>
      <x:c r="H1544" s="85" t="n">
        <x:v>0</x:v>
      </x:c>
      <x:c r="I1544" s="85" t="n">
        <x:v>1893440.5823735506</x:v>
      </x:c>
      <x:c r="J1544" s="85" t="n">
        <x:v>0</x:v>
      </x:c>
      <x:c r="K1544" s="85" t="n">
        <x:v>274659.7901172461</x:v>
      </x:c>
      <x:c r="L1544" s="28" t="n">
        <x:v>0</x:v>
      </x:c>
      <x:c r="M1544" s="28" t="n">
        <x:v>0</x:v>
      </x:c>
      <x:c r="N1544" s="28" t="n">
        <x:v>3.725290298461914e-9</x:v>
      </x:c>
      <x:c r="O1544" s="28" t="n">
        <x:v>2.9802322387695312e-8</x:v>
      </x:c>
      <x:c r="P1544" s="28" t="n">
        <x:v>0</x:v>
      </x:c>
      <x:c r="Q1544" s="62" t="b">
        <x:v>1</x:v>
      </x:c>
      <x:c r="R1544" s="28" t="n">
        <x:v>0</x:v>
      </x:c>
      <x:c r="S1544" s="28" t="str">
        <x:v>cdf83cc3c75adccb</x:v>
      </x:c>
    </x:row>
    <x:row r="1545" ht="21" customHeight="1">
      <x:c r="A1545" s="60" t="n">
        <x:v>0.66</x:v>
      </x:c>
      <x:c r="B1545" s="28" t="str">
        <x:v>front_low</x:v>
      </x:c>
      <x:c r="C1545" s="60" t="n">
        <x:v>0.2</x:v>
      </x:c>
      <x:c r="D1545" s="60" t="n">
        <x:v>0.2</x:v>
      </x:c>
      <x:c r="E1545" s="62" t="b">
        <x:v>1</x:v>
      </x:c>
      <x:c r="F1545" s="62" t="b">
        <x:v>1</x:v>
      </x:c>
      <x:c r="G1545" s="85" t="n">
        <x:v>0</x:v>
      </x:c>
      <x:c r="H1545" s="85" t="n">
        <x:v>0</x:v>
      </x:c>
      <x:c r="I1545" s="85" t="n">
        <x:v>8232327.115561161</x:v>
      </x:c>
      <x:c r="J1545" s="85" t="n">
        <x:v>6284479.497374642</x:v>
      </x:c>
      <x:c r="K1545" s="85" t="n">
        <x:v>163512.0531794512</x:v>
      </x:c>
      <x:c r="L1545" s="28" t="n">
        <x:v>0</x:v>
      </x:c>
      <x:c r="M1545" s="28" t="n">
        <x:v>0</x:v>
      </x:c>
      <x:c r="N1545" s="28" t="n">
        <x:v>1.862645149230957e-9</x:v>
      </x:c>
      <x:c r="O1545" s="28" t="n">
        <x:v>2.9802322387695312e-8</x:v>
      </x:c>
      <x:c r="P1545" s="28" t="n">
        <x:v>0</x:v>
      </x:c>
      <x:c r="Q1545" s="62" t="b">
        <x:v>1</x:v>
      </x:c>
      <x:c r="R1545" s="28" t="n">
        <x:v>0</x:v>
      </x:c>
      <x:c r="S1545" s="28" t="str">
        <x:v>105142269d9715fe</x:v>
      </x:c>
    </x:row>
    <x:row r="1546" ht="21" customHeight="1">
      <x:c r="A1546" s="60" t="n">
        <x:v>0.66</x:v>
      </x:c>
      <x:c r="B1546" s="28" t="str">
        <x:v>front_low</x:v>
      </x:c>
      <x:c r="C1546" s="60" t="n">
        <x:v>0.25</x:v>
      </x:c>
      <x:c r="D1546" s="60" t="n">
        <x:v>0.25</x:v>
      </x:c>
      <x:c r="E1546" s="62" t="b">
        <x:v>1</x:v>
      </x:c>
      <x:c r="F1546" s="62" t="b">
        <x:v>1</x:v>
      </x:c>
      <x:c r="G1546" s="85" t="n">
        <x:v>0</x:v>
      </x:c>
      <x:c r="H1546" s="85" t="n">
        <x:v>0</x:v>
      </x:c>
      <x:c r="I1546" s="85" t="n">
        <x:v>12542595.313221667</x:v>
      </x:c>
      <x:c r="J1546" s="85" t="n">
        <x:v>15355599.371718226</x:v>
      </x:c>
      <x:c r="K1546" s="85" t="n">
        <x:v>128007.38462499896</x:v>
      </x:c>
      <x:c r="L1546" s="28" t="n">
        <x:v>0</x:v>
      </x:c>
      <x:c r="M1546" s="28" t="n">
        <x:v>0</x:v>
      </x:c>
      <x:c r="N1546" s="28" t="n">
        <x:v>1.862645149230957e-9</x:v>
      </x:c>
      <x:c r="O1546" s="28" t="n">
        <x:v>1.4901161193847656e-8</x:v>
      </x:c>
      <x:c r="P1546" s="28" t="n">
        <x:v>0</x:v>
      </x:c>
      <x:c r="Q1546" s="62" t="b">
        <x:v>1</x:v>
      </x:c>
      <x:c r="R1546" s="28" t="n">
        <x:v>0</x:v>
      </x:c>
      <x:c r="S1546" s="28" t="str">
        <x:v>9b525cfa6b2e8412</x:v>
      </x:c>
    </x:row>
    <x:row r="1547" ht="21" customHeight="1">
      <x:c r="A1547" s="60" t="n">
        <x:v>0.66</x:v>
      </x:c>
      <x:c r="B1547" s="28" t="str">
        <x:v>front_low</x:v>
      </x:c>
      <x:c r="C1547" s="60" t="n">
        <x:v>0.3</x:v>
      </x:c>
      <x:c r="D1547" s="60" t="n">
        <x:v>0.3</x:v>
      </x:c>
      <x:c r="E1547" s="62" t="b">
        <x:v>1</x:v>
      </x:c>
      <x:c r="F1547" s="62" t="b">
        <x:v>1</x:v>
      </x:c>
      <x:c r="G1547" s="85" t="n">
        <x:v>0</x:v>
      </x:c>
      <x:c r="H1547" s="85" t="n">
        <x:v>0</x:v>
      </x:c>
      <x:c r="I1547" s="85" t="n">
        <x:v>16976822.433537234</x:v>
      </x:c>
      <x:c r="J1547" s="85" t="n">
        <x:v>24426719.24606188</x:v>
      </x:c>
      <x:c r="K1547" s="85" t="n">
        <x:v>92502.71607055087</x:v>
      </x:c>
      <x:c r="L1547" s="28" t="n">
        <x:v>0</x:v>
      </x:c>
      <x:c r="M1547" s="28" t="n">
        <x:v>0</x:v>
      </x:c>
      <x:c r="N1547" s="28" t="n">
        <x:v>3.725290298461914e-9</x:v>
      </x:c>
      <x:c r="O1547" s="28" t="n">
        <x:v>2.9802322387695312e-8</x:v>
      </x:c>
      <x:c r="P1547" s="28" t="n">
        <x:v>0</x:v>
      </x:c>
      <x:c r="Q1547" s="62" t="b">
        <x:v>1</x:v>
      </x:c>
      <x:c r="R1547" s="28" t="n">
        <x:v>0</x:v>
      </x:c>
      <x:c r="S1547" s="28" t="str">
        <x:v>e4cbbcbee93c044b</x:v>
      </x:c>
    </x:row>
    <x:row r="1548" ht="21" customHeight="1">
      <x:c r="A1548" s="60" t="n">
        <x:v>0.66</x:v>
      </x:c>
      <x:c r="B1548" s="28" t="str">
        <x:v>front_low</x:v>
      </x:c>
      <x:c r="C1548" s="60" t="n">
        <x:v>0.35</x:v>
      </x:c>
      <x:c r="D1548" s="60" t="n">
        <x:v>0.35</x:v>
      </x:c>
      <x:c r="E1548" s="62" t="b">
        <x:v>1</x:v>
      </x:c>
      <x:c r="F1548" s="62" t="b">
        <x:v>1</x:v>
      </x:c>
      <x:c r="G1548" s="85" t="n">
        <x:v>0</x:v>
      </x:c>
      <x:c r="H1548" s="85" t="n">
        <x:v>0</x:v>
      </x:c>
      <x:c r="I1548" s="85" t="n">
        <x:v>21444471.425481584</x:v>
      </x:c>
      <x:c r="J1548" s="85" t="n">
        <x:v>33497839.12040553</x:v>
      </x:c>
      <x:c r="K1548" s="85" t="n">
        <x:v>56998.04751609395</x:v>
      </x:c>
      <x:c r="L1548" s="28" t="n">
        <x:v>0</x:v>
      </x:c>
      <x:c r="M1548" s="28" t="n">
        <x:v>0</x:v>
      </x:c>
      <x:c r="N1548" s="28" t="n">
        <x:v>3.725290298461914e-9</x:v>
      </x:c>
      <x:c r="O1548" s="28" t="n">
        <x:v>7.450580596923828e-9</x:v>
      </x:c>
      <x:c r="P1548" s="28" t="n">
        <x:v>0</x:v>
      </x:c>
      <x:c r="Q1548" s="62" t="b">
        <x:v>1</x:v>
      </x:c>
      <x:c r="R1548" s="28" t="n">
        <x:v>0</x:v>
      </x:c>
      <x:c r="S1548" s="28" t="str">
        <x:v>56948ef45f7ab6c8</x:v>
      </x:c>
    </x:row>
    <x:row r="1549" ht="21" customHeight="1">
      <x:c r="A1549" s="60" t="n">
        <x:v>0.66</x:v>
      </x:c>
      <x:c r="B1549" s="28" t="str">
        <x:v>front_low</x:v>
      </x:c>
      <x:c r="C1549" s="60" t="n">
        <x:v>0.4</x:v>
      </x:c>
      <x:c r="D1549" s="60" t="n">
        <x:v>0.4</x:v>
      </x:c>
      <x:c r="E1549" s="62" t="b">
        <x:v>1</x:v>
      </x:c>
      <x:c r="F1549" s="62" t="b">
        <x:v>1</x:v>
      </x:c>
      <x:c r="G1549" s="85" t="n">
        <x:v>0</x:v>
      </x:c>
      <x:c r="H1549" s="85" t="n">
        <x:v>0</x:v>
      </x:c>
      <x:c r="I1549" s="85" t="n">
        <x:v>27698296.72137899</x:v>
      </x:c>
      <x:c r="J1549" s="85" t="n">
        <x:v>39580594.73266985</x:v>
      </x:c>
      <x:c r="K1549" s="85" t="n">
        <x:v>21493.378961642156</x:v>
      </x:c>
      <x:c r="L1549" s="28" t="n">
        <x:v>4</x:v>
      </x:c>
      <x:c r="M1549" s="28" t="n">
        <x:v>0</x:v>
      </x:c>
      <x:c r="N1549" s="28" t="n">
        <x:v>1.862645149230957e-9</x:v>
      </x:c>
      <x:c r="O1549" s="28" t="n">
        <x:v>2.9802322387695312e-8</x:v>
      </x:c>
      <x:c r="P1549" s="28" t="n">
        <x:v>0</x:v>
      </x:c>
      <x:c r="Q1549" s="62" t="b">
        <x:v>1</x:v>
      </x:c>
      <x:c r="R1549" s="28" t="n">
        <x:v>0</x:v>
      </x:c>
      <x:c r="S1549" s="28" t="str">
        <x:v>7f2f9d2169dd3708</x:v>
      </x:c>
    </x:row>
    <x:row r="1550" ht="21" customHeight="1">
      <x:c r="A1550" s="60" t="n">
        <x:v>0.66</x:v>
      </x:c>
      <x:c r="B1550" s="28" t="str">
        <x:v>front_low</x:v>
      </x:c>
      <x:c r="C1550" s="60" t="n">
        <x:v>0.45</x:v>
      </x:c>
      <x:c r="D1550" s="60" t="n">
        <x:v>0.45</x:v>
      </x:c>
      <x:c r="E1550" s="62" t="b">
        <x:v>1</x:v>
      </x:c>
      <x:c r="F1550" s="62" t="b">
        <x:v>1</x:v>
      </x:c>
      <x:c r="G1550" s="85" t="n">
        <x:v>0</x:v>
      </x:c>
      <x:c r="H1550" s="85" t="n">
        <x:v>0</x:v>
      </x:c>
      <x:c r="I1550" s="85" t="n">
        <x:v>35718523.99211521</x:v>
      </x:c>
      <x:c r="J1550" s="85" t="n">
        <x:v>42537929.24474199</x:v>
      </x:c>
      <x:c r="K1550" s="85" t="n">
        <x:v>0</x:v>
      </x:c>
      <x:c r="L1550" s="28" t="n">
        <x:v>12</x:v>
      </x:c>
      <x:c r="M1550" s="28" t="n">
        <x:v>0</x:v>
      </x:c>
      <x:c r="N1550" s="28" t="n">
        <x:v>1.862645149230957e-9</x:v>
      </x:c>
      <x:c r="O1550" s="28" t="n">
        <x:v>2.9802322387695312e-8</x:v>
      </x:c>
      <x:c r="P1550" s="28" t="n">
        <x:v>0</x:v>
      </x:c>
      <x:c r="Q1550" s="62" t="b">
        <x:v>1</x:v>
      </x:c>
      <x:c r="R1550" s="28" t="n">
        <x:v>0</x:v>
      </x:c>
      <x:c r="S1550" s="28" t="str">
        <x:v>3066ad39724955a0</x:v>
      </x:c>
    </x:row>
    <x:row r="1551" ht="21" customHeight="1">
      <x:c r="A1551" s="60" t="n">
        <x:v>0.66</x:v>
      </x:c>
      <x:c r="B1551" s="28" t="str">
        <x:v>front_low</x:v>
      </x:c>
      <x:c r="C1551" s="60" t="n">
        <x:v>0.5</x:v>
      </x:c>
      <x:c r="D1551" s="60" t="n">
        <x:v>0.5</x:v>
      </x:c>
      <x:c r="E1551" s="62" t="b">
        <x:v>1</x:v>
      </x:c>
      <x:c r="F1551" s="62" t="b">
        <x:v>1</x:v>
      </x:c>
      <x:c r="G1551" s="85" t="n">
        <x:v>0</x:v>
      </x:c>
      <x:c r="H1551" s="85" t="n">
        <x:v>0</x:v>
      </x:c>
      <x:c r="I1551" s="85" t="n">
        <x:v>40867837.79187212</x:v>
      </x:c>
      <x:c r="J1551" s="85" t="n">
        <x:v>50514697.794456</x:v>
      </x:c>
      <x:c r="K1551" s="85" t="n">
        <x:v>0</x:v>
      </x:c>
      <x:c r="L1551" s="28" t="n">
        <x:v>17</x:v>
      </x:c>
      <x:c r="M1551" s="28" t="n">
        <x:v>0</x:v>
      </x:c>
      <x:c r="N1551" s="28" t="n">
        <x:v>1.862645149230957e-9</x:v>
      </x:c>
      <x:c r="O1551" s="28" t="n">
        <x:v>2.9802322387695312e-8</x:v>
      </x:c>
      <x:c r="P1551" s="28" t="n">
        <x:v>0</x:v>
      </x:c>
      <x:c r="Q1551" s="62" t="b">
        <x:v>1</x:v>
      </x:c>
      <x:c r="R1551" s="28" t="n">
        <x:v>0</x:v>
      </x:c>
      <x:c r="S1551" s="28" t="str">
        <x:v>b36b8e715e07f328</x:v>
      </x:c>
    </x:row>
    <x:row r="1552" ht="21" customHeight="1">
      <x:c r="A1552" s="60" t="n">
        <x:v>0.66</x:v>
      </x:c>
      <x:c r="B1552" s="28" t="str">
        <x:v>front_low</x:v>
      </x:c>
      <x:c r="C1552" s="60" t="n">
        <x:v>0.55</x:v>
      </x:c>
      <x:c r="D1552" s="60" t="n">
        <x:v>0.55</x:v>
      </x:c>
      <x:c r="E1552" s="62" t="b">
        <x:v>1</x:v>
      </x:c>
      <x:c r="F1552" s="62" t="b">
        <x:v>1</x:v>
      </x:c>
      <x:c r="G1552" s="85" t="n">
        <x:v>0</x:v>
      </x:c>
      <x:c r="H1552" s="85" t="n">
        <x:v>0</x:v>
      </x:c>
      <x:c r="I1552" s="85" t="n">
        <x:v>44868359.15709952</x:v>
      </x:c>
      <x:c r="J1552" s="85" t="n">
        <x:v>60191284.40252828</x:v>
      </x:c>
      <x:c r="K1552" s="85" t="n">
        <x:v>0</x:v>
      </x:c>
      <x:c r="L1552" s="28" t="n">
        <x:v>20</x:v>
      </x:c>
      <x:c r="M1552" s="28" t="n">
        <x:v>0</x:v>
      </x:c>
      <x:c r="N1552" s="28" t="n">
        <x:v>1.862645149230957e-9</x:v>
      </x:c>
      <x:c r="O1552" s="28" t="n">
        <x:v>2.9802322387695312e-8</x:v>
      </x:c>
      <x:c r="P1552" s="28" t="n">
        <x:v>0</x:v>
      </x:c>
      <x:c r="Q1552" s="62" t="b">
        <x:v>1</x:v>
      </x:c>
      <x:c r="R1552" s="28" t="n">
        <x:v>0</x:v>
      </x:c>
      <x:c r="S1552" s="28" t="str">
        <x:v>098cccda947ba3a9</x:v>
      </x:c>
    </x:row>
    <x:row r="1553" ht="21" customHeight="1">
      <x:c r="A1553" s="60" t="n">
        <x:v>0.66</x:v>
      </x:c>
      <x:c r="B1553" s="28" t="str">
        <x:v>front_low</x:v>
      </x:c>
      <x:c r="C1553" s="60" t="n">
        <x:v>0.6</x:v>
      </x:c>
      <x:c r="D1553" s="60" t="n">
        <x:v>0.6</x:v>
      </x:c>
      <x:c r="E1553" s="62" t="b">
        <x:v>1</x:v>
      </x:c>
      <x:c r="F1553" s="62" t="b">
        <x:v>1</x:v>
      </x:c>
      <x:c r="G1553" s="85" t="n">
        <x:v>0</x:v>
      </x:c>
      <x:c r="H1553" s="85" t="n">
        <x:v>0</x:v>
      </x:c>
      <x:c r="I1553" s="85" t="n">
        <x:v>49026019.6244798</x:v>
      </x:c>
      <x:c r="J1553" s="85" t="n">
        <x:v>69362815.76336108</x:v>
      </x:c>
      <x:c r="K1553" s="85" t="n">
        <x:v>0</x:v>
      </x:c>
      <x:c r="L1553" s="28" t="n">
        <x:v>26</x:v>
      </x:c>
      <x:c r="M1553" s="28" t="n">
        <x:v>0</x:v>
      </x:c>
      <x:c r="N1553" s="28" t="n">
        <x:v>9.313225746154785e-10</x:v>
      </x:c>
      <x:c r="O1553" s="28" t="n">
        <x:v>2.9802322387695312e-8</x:v>
      </x:c>
      <x:c r="P1553" s="28" t="n">
        <x:v>0</x:v>
      </x:c>
      <x:c r="Q1553" s="62" t="b">
        <x:v>1</x:v>
      </x:c>
      <x:c r="R1553" s="28" t="n">
        <x:v>0</x:v>
      </x:c>
      <x:c r="S1553" s="28" t="str">
        <x:v>58a421be4c14bbfe</x:v>
      </x:c>
    </x:row>
    <x:row r="1554" ht="21" customHeight="1">
      <x:c r="A1554" s="60" t="n">
        <x:v>0.66</x:v>
      </x:c>
      <x:c r="B1554" s="28" t="str">
        <x:v>front_low</x:v>
      </x:c>
      <x:c r="C1554" s="60" t="n">
        <x:v>0.65</x:v>
      </x:c>
      <x:c r="D1554" s="60" t="n">
        <x:v>0.65</x:v>
      </x:c>
      <x:c r="E1554" s="62" t="b">
        <x:v>1</x:v>
      </x:c>
      <x:c r="F1554" s="62" t="b">
        <x:v>0</x:v>
      </x:c>
      <x:c r="G1554" s="85" t="n">
        <x:v>560780.0243433778</x:v>
      </x:c>
      <x:c r="H1554" s="85" t="n">
        <x:v>8436636.584350863</x:v>
      </x:c>
      <x:c r="I1554" s="85" t="n">
        <x:v>49733260.27397259</x:v>
      </x:c>
      <x:c r="J1554" s="85" t="n">
        <x:v>71999999.99999999</x:v>
      </x:c>
      <x:c r="K1554" s="85" t="n">
        <x:v>0</x:v>
      </x:c>
      <x:c r="L1554" s="28" t="n">
        <x:v>46</x:v>
      </x:c>
      <x:c r="M1554" s="28" t="n">
        <x:v>28</x:v>
      </x:c>
      <x:c r="N1554" s="28" t="n">
        <x:v>9.313225746154785e-10</x:v>
      </x:c>
      <x:c r="O1554" s="28" t="n">
        <x:v>2.9802322387695312e-8</x:v>
      </x:c>
      <x:c r="P1554" s="28" t="n">
        <x:v>0</x:v>
      </x:c>
      <x:c r="Q1554" s="62" t="b">
        <x:v>1</x:v>
      </x:c>
      <x:c r="R1554" s="28" t="n">
        <x:v>0</x:v>
      </x:c>
      <x:c r="S1554" s="28" t="str">
        <x:v>cbd615e0eddcec78</x:v>
      </x:c>
    </x:row>
    <x:row r="1555" ht="21" customHeight="1">
      <x:c r="A1555" s="60" t="n">
        <x:v>0.66</x:v>
      </x:c>
      <x:c r="B1555" s="28" t="str">
        <x:v>front_low</x:v>
      </x:c>
      <x:c r="C1555" s="60" t="n">
        <x:v>0.7</x:v>
      </x:c>
      <x:c r="D1555" s="60" t="n">
        <x:v>0.7</x:v>
      </x:c>
      <x:c r="E1555" s="62" t="b">
        <x:v>1</x:v>
      </x:c>
      <x:c r="F1555" s="62" t="b">
        <x:v>0</x:v>
      </x:c>
      <x:c r="G1555" s="85" t="n">
        <x:v>1303341.9398673554</x:v>
      </x:c>
      <x:c r="H1555" s="85" t="n">
        <x:v>19640708.72342252</x:v>
      </x:c>
      <x:c r="I1555" s="85" t="n">
        <x:v>49747186.690303415</x:v>
      </x:c>
      <x:c r="J1555" s="85" t="n">
        <x:v>71999999.99999999</x:v>
      </x:c>
      <x:c r="K1555" s="85" t="n">
        <x:v>0</x:v>
      </x:c>
      <x:c r="L1555" s="28" t="n">
        <x:v>46</x:v>
      </x:c>
      <x:c r="M1555" s="28" t="n">
        <x:v>32</x:v>
      </x:c>
      <x:c r="N1555" s="28" t="n">
        <x:v>1.862645149230957e-9</x:v>
      </x:c>
      <x:c r="O1555" s="28" t="n">
        <x:v>2.9802322387695312e-8</x:v>
      </x:c>
      <x:c r="P1555" s="28" t="n">
        <x:v>0</x:v>
      </x:c>
      <x:c r="Q1555" s="62" t="b">
        <x:v>1</x:v>
      </x:c>
      <x:c r="R1555" s="28" t="n">
        <x:v>0</x:v>
      </x:c>
      <x:c r="S1555" s="28" t="str">
        <x:v>53ce7e2c780cddb7</x:v>
      </x:c>
    </x:row>
    <x:row r="1556" ht="21" customHeight="1">
      <x:c r="A1556" s="60" t="n">
        <x:v>0.66</x:v>
      </x:c>
      <x:c r="B1556" s="28" t="str">
        <x:v>front_low</x:v>
      </x:c>
      <x:c r="C1556" s="60" t="n">
        <x:v>0.75</x:v>
      </x:c>
      <x:c r="D1556" s="60" t="n">
        <x:v>0.75</x:v>
      </x:c>
      <x:c r="E1556" s="62" t="b">
        <x:v>1</x:v>
      </x:c>
      <x:c r="F1556" s="62" t="b">
        <x:v>0</x:v>
      </x:c>
      <x:c r="G1556" s="85" t="n">
        <x:v>2327633.154335812</x:v>
      </x:c>
      <x:c r="H1556" s="85" t="n">
        <x:v>30650882.402612623</x:v>
      </x:c>
      <x:c r="I1556" s="85" t="n">
        <x:v>49771258.84049143</x:v>
      </x:c>
      <x:c r="J1556" s="85" t="n">
        <x:v>71999999.99999999</x:v>
      </x:c>
      <x:c r="K1556" s="85" t="n">
        <x:v>0</x:v>
      </x:c>
      <x:c r="L1556" s="28" t="n">
        <x:v>46</x:v>
      </x:c>
      <x:c r="M1556" s="28" t="n">
        <x:v>34</x:v>
      </x:c>
      <x:c r="N1556" s="28" t="n">
        <x:v>1.862645149230957e-9</x:v>
      </x:c>
      <x:c r="O1556" s="28" t="n">
        <x:v>2.9802322387695312e-8</x:v>
      </x:c>
      <x:c r="P1556" s="28" t="n">
        <x:v>0</x:v>
      </x:c>
      <x:c r="Q1556" s="62" t="b">
        <x:v>1</x:v>
      </x:c>
      <x:c r="R1556" s="28" t="n">
        <x:v>0</x:v>
      </x:c>
      <x:c r="S1556" s="28" t="str">
        <x:v>41c9beaa80f00d88</x:v>
      </x:c>
    </x:row>
    <x:row r="1557" ht="21" customHeight="1">
      <x:c r="A1557" s="60" t="n">
        <x:v>0.66</x:v>
      </x:c>
      <x:c r="B1557" s="28" t="str">
        <x:v>front_low</x:v>
      </x:c>
      <x:c r="C1557" s="60" t="n">
        <x:v>0.8</x:v>
      </x:c>
      <x:c r="D1557" s="60" t="n">
        <x:v>0.8</x:v>
      </x:c>
      <x:c r="E1557" s="62" t="b">
        <x:v>1</x:v>
      </x:c>
      <x:c r="F1557" s="62" t="b">
        <x:v>0</x:v>
      </x:c>
      <x:c r="G1557" s="85" t="n">
        <x:v>3165716.970590447</x:v>
      </x:c>
      <x:c r="H1557" s="85" t="n">
        <x:v>41549305.47013506</x:v>
      </x:c>
      <x:c r="I1557" s="85" t="n">
        <x:v>49795330.99067944</x:v>
      </x:c>
      <x:c r="J1557" s="85" t="n">
        <x:v>71999999.99999999</x:v>
      </x:c>
      <x:c r="K1557" s="85" t="n">
        <x:v>0</x:v>
      </x:c>
      <x:c r="L1557" s="28" t="n">
        <x:v>46</x:v>
      </x:c>
      <x:c r="M1557" s="28" t="n">
        <x:v>36</x:v>
      </x:c>
      <x:c r="N1557" s="28" t="n">
        <x:v>1.862645149230957e-9</x:v>
      </x:c>
      <x:c r="O1557" s="28" t="n">
        <x:v>1.4901161193847656e-8</x:v>
      </x:c>
      <x:c r="P1557" s="28" t="n">
        <x:v>0</x:v>
      </x:c>
      <x:c r="Q1557" s="62" t="b">
        <x:v>1</x:v>
      </x:c>
      <x:c r="R1557" s="28" t="n">
        <x:v>0</x:v>
      </x:c>
      <x:c r="S1557" s="28" t="str">
        <x:v>7a9f0f64a28a99f9</x:v>
      </x:c>
    </x:row>
    <x:row r="1558" ht="21" customHeight="1">
      <x:c r="A1558" s="60" t="n">
        <x:v>0.66</x:v>
      </x:c>
      <x:c r="B1558" s="28" t="str">
        <x:v>front_low</x:v>
      </x:c>
      <x:c r="C1558" s="60" t="n">
        <x:v>0.85</x:v>
      </x:c>
      <x:c r="D1558" s="60" t="n">
        <x:v>0.85</x:v>
      </x:c>
      <x:c r="E1558" s="62" t="b">
        <x:v>1</x:v>
      </x:c>
      <x:c r="F1558" s="62" t="b">
        <x:v>0</x:v>
      </x:c>
      <x:c r="G1558" s="85" t="n">
        <x:v>4225112.531768879</x:v>
      </x:c>
      <x:c r="H1558" s="85" t="n">
        <x:v>52324189.568153456</x:v>
      </x:c>
      <x:c r="I1558" s="85" t="n">
        <x:v>49819403.14086746</x:v>
      </x:c>
      <x:c r="J1558" s="85" t="n">
        <x:v>71999999.99999999</x:v>
      </x:c>
      <x:c r="K1558" s="85" t="n">
        <x:v>0</x:v>
      </x:c>
      <x:c r="L1558" s="28" t="n">
        <x:v>46</x:v>
      </x:c>
      <x:c r="M1558" s="28" t="n">
        <x:v>37</x:v>
      </x:c>
      <x:c r="N1558" s="28" t="n">
        <x:v>9.313225746154785e-10</x:v>
      </x:c>
      <x:c r="O1558" s="28" t="n">
        <x:v>1.862645149230957e-9</x:v>
      </x:c>
      <x:c r="P1558" s="28" t="n">
        <x:v>0</x:v>
      </x:c>
      <x:c r="Q1558" s="62" t="b">
        <x:v>1</x:v>
      </x:c>
      <x:c r="R1558" s="28" t="n">
        <x:v>0</x:v>
      </x:c>
      <x:c r="S1558" s="28" t="str">
        <x:v>3f6cb46a9f0b4f54</x:v>
      </x:c>
    </x:row>
    <x:row r="1559" ht="21" customHeight="1">
      <x:c r="A1559" s="60" t="n">
        <x:v>0.66</x:v>
      </x:c>
      <x:c r="B1559" s="28" t="str">
        <x:v>front_low</x:v>
      </x:c>
      <x:c r="C1559" s="60" t="n">
        <x:v>0.9</x:v>
      </x:c>
      <x:c r="D1559" s="60" t="n">
        <x:v>0.9</x:v>
      </x:c>
      <x:c r="E1559" s="62" t="b">
        <x:v>1</x:v>
      </x:c>
      <x:c r="F1559" s="62" t="b">
        <x:v>0</x:v>
      </x:c>
      <x:c r="G1559" s="85" t="n">
        <x:v>5230509.802327739</x:v>
      </x:c>
      <x:c r="H1559" s="85" t="n">
        <x:v>61826691.31340618</x:v>
      </x:c>
      <x:c r="I1559" s="85" t="n">
        <x:v>50820333.80319861</x:v>
      </x:c>
      <x:c r="J1559" s="85" t="n">
        <x:v>71999999.99999999</x:v>
      </x:c>
      <x:c r="K1559" s="85" t="n">
        <x:v>0</x:v>
      </x:c>
      <x:c r="L1559" s="28" t="n">
        <x:v>47</x:v>
      </x:c>
      <x:c r="M1559" s="28" t="n">
        <x:v>38</x:v>
      </x:c>
      <x:c r="N1559" s="28" t="n">
        <x:v>9.313225746154785e-10</x:v>
      </x:c>
      <x:c r="O1559" s="28" t="n">
        <x:v>1.4901161193847656e-8</x:v>
      </x:c>
      <x:c r="P1559" s="28" t="n">
        <x:v>0</x:v>
      </x:c>
      <x:c r="Q1559" s="62" t="b">
        <x:v>1</x:v>
      </x:c>
      <x:c r="R1559" s="28" t="n">
        <x:v>0</x:v>
      </x:c>
      <x:c r="S1559" s="28" t="str">
        <x:v>c8a637a7268ba9b4</x:v>
      </x:c>
    </x:row>
    <x:row r="1560" ht="21" customHeight="1">
      <x:c r="A1560" s="60" t="n">
        <x:v>0.66</x:v>
      </x:c>
      <x:c r="B1560" s="28" t="str">
        <x:v>front_low</x:v>
      </x:c>
      <x:c r="C1560" s="60" t="n">
        <x:v>0.95</x:v>
      </x:c>
      <x:c r="D1560" s="60" t="n">
        <x:v>0.9497739906324524</x:v>
      </x:c>
      <x:c r="E1560" s="62" t="b">
        <x:v>0</x:v>
      </x:c>
      <x:c r="F1560" s="62" t="b">
        <x:v>0</x:v>
      </x:c>
      <x:c r="G1560" s="85" t="n">
        <x:v>8028500.646868432</x:v>
      </x:c>
      <x:c r="H1560" s="85" t="n">
        <x:v>70393301.2108621</x:v>
      </x:c>
      <x:c r="I1560" s="85" t="n">
        <x:v>50832313.25649656</x:v>
      </x:c>
      <x:c r="J1560" s="85" t="n">
        <x:v>71999999.99999999</x:v>
      </x:c>
      <x:c r="K1560" s="85" t="n">
        <x:v>0</x:v>
      </x:c>
      <x:c r="L1560" s="28" t="n">
        <x:v>47</x:v>
      </x:c>
      <x:c r="M1560" s="28" t="n">
        <x:v>40</x:v>
      </x:c>
      <x:c r="N1560" s="28" t="n">
        <x:v>1.862645149230957e-9</x:v>
      </x:c>
      <x:c r="O1560" s="28" t="n">
        <x:v>1.4901161193847656e-8</x:v>
      </x:c>
      <x:c r="P1560" s="28" t="n">
        <x:v>0</x:v>
      </x:c>
      <x:c r="Q1560" s="62" t="b">
        <x:v>1</x:v>
      </x:c>
      <x:c r="R1560" s="28" t="n">
        <x:v>67802.81026428938</x:v>
      </x:c>
      <x:c r="S1560" s="28" t="str">
        <x:v>3983506a60a24412</x:v>
      </x:c>
    </x:row>
    <x:row r="1561" ht="21" customHeight="1">
      <x:c r="A1561" s="60" t="n">
        <x:v>0.66</x:v>
      </x:c>
      <x:c r="B1561" s="28" t="str">
        <x:v>front_low</x:v>
      </x:c>
      <x:c r="C1561" s="60" t="n">
        <x:v>1</x:v>
      </x:c>
      <x:c r="D1561" s="60" t="n">
        <x:v>0.9646994850752131</x:v>
      </x:c>
      <x:c r="E1561" s="62" t="b">
        <x:v>0</x:v>
      </x:c>
      <x:c r="F1561" s="62" t="b">
        <x:v>0</x:v>
      </x:c>
      <x:c r="G1561" s="85" t="n">
        <x:v>8779269.293257292</x:v>
      </x:c>
      <x:c r="H1561" s="85" t="n">
        <x:v>73874018.30552854</x:v>
      </x:c>
      <x:c r="I1561" s="85" t="n">
        <x:v>50844292.70979451</x:v>
      </x:c>
      <x:c r="J1561" s="85" t="n">
        <x:v>71999999.99999999</x:v>
      </x:c>
      <x:c r="K1561" s="85" t="n">
        <x:v>0</x:v>
      </x:c>
      <x:c r="L1561" s="28" t="n">
        <x:v>47</x:v>
      </x:c>
      <x:c r="M1561" s="28" t="n">
        <x:v>42</x:v>
      </x:c>
      <x:c r="N1561" s="28" t="n">
        <x:v>9.313225746154785e-10</x:v>
      </x:c>
      <x:c r="O1561" s="28" t="n">
        <x:v>3.725290298461914e-9</x:v>
      </x:c>
      <x:c r="P1561" s="28" t="n">
        <x:v>0</x:v>
      </x:c>
      <x:c r="Q1561" s="62" t="b">
        <x:v>1</x:v>
      </x:c>
      <x:c r="R1561" s="28" t="n">
        <x:v>10590154.477436066</x:v>
      </x:c>
      <x:c r="S1561" s="28" t="str">
        <x:v>57f28db1079d7290</x:v>
      </x:c>
    </x:row>
    <x:row r="1562" ht="21" customHeight="1">
      <x:c r="A1562" s="60" t="n">
        <x:v>0.66</x:v>
      </x:c>
      <x:c r="B1562" s="28" t="str">
        <x:v>front_high</x:v>
      </x:c>
      <x:c r="C1562" s="60" t="n">
        <x:v>0</x:v>
      </x:c>
      <x:c r="D1562" s="60" t="n">
        <x:v>0</x:v>
      </x:c>
      <x:c r="E1562" s="62" t="b">
        <x:v>1</x:v>
      </x:c>
      <x:c r="F1562" s="62" t="b">
        <x:v>1</x:v>
      </x:c>
      <x:c r="G1562" s="85" t="n">
        <x:v>0</x:v>
      </x:c>
      <x:c r="H1562" s="85" t="n">
        <x:v>0</x:v>
      </x:c>
      <x:c r="I1562" s="85" t="n">
        <x:v>0</x:v>
      </x:c>
      <x:c r="J1562" s="85" t="n">
        <x:v>0</x:v>
      </x:c>
      <x:c r="K1562" s="85" t="n">
        <x:v>39029381.367808215</x:v>
      </x:c>
      <x:c r="L1562" s="28" t="n">
        <x:v>0</x:v>
      </x:c>
      <x:c r="M1562" s="28" t="n">
        <x:v>0</x:v>
      </x:c>
      <x:c r="N1562" s="28" t="n">
        <x:v>3.725290298461914e-9</x:v>
      </x:c>
      <x:c r="O1562" s="28" t="n">
        <x:v>0</x:v>
      </x:c>
      <x:c r="P1562" s="28" t="n">
        <x:v>0</x:v>
      </x:c>
      <x:c r="Q1562" s="62" t="b">
        <x:v>1</x:v>
      </x:c>
      <x:c r="R1562" s="28" t="n">
        <x:v>0</x:v>
      </x:c>
      <x:c r="S1562" s="28" t="str">
        <x:v>9858cd529ad446f8</x:v>
      </x:c>
    </x:row>
    <x:row r="1563" ht="21" customHeight="1">
      <x:c r="A1563" s="60" t="n">
        <x:v>0.66</x:v>
      </x:c>
      <x:c r="B1563" s="28" t="str">
        <x:v>front_high</x:v>
      </x:c>
      <x:c r="C1563" s="60" t="n">
        <x:v>0.05</x:v>
      </x:c>
      <x:c r="D1563" s="60" t="n">
        <x:v>0.05</x:v>
      </x:c>
      <x:c r="E1563" s="62" t="b">
        <x:v>1</x:v>
      </x:c>
      <x:c r="F1563" s="62" t="b">
        <x:v>1</x:v>
      </x:c>
      <x:c r="G1563" s="85" t="n">
        <x:v>0</x:v>
      </x:c>
      <x:c r="H1563" s="85" t="n">
        <x:v>0</x:v>
      </x:c>
      <x:c r="I1563" s="85" t="n">
        <x:v>0</x:v>
      </x:c>
      <x:c r="J1563" s="85" t="n">
        <x:v>0</x:v>
      </x:c>
      <x:c r="K1563" s="85" t="n">
        <x:v>25180408.26831869</x:v>
      </x:c>
      <x:c r="L1563" s="28" t="n">
        <x:v>0</x:v>
      </x:c>
      <x:c r="M1563" s="28" t="n">
        <x:v>0</x:v>
      </x:c>
      <x:c r="N1563" s="28" t="n">
        <x:v>3.725290298461914e-9</x:v>
      </x:c>
      <x:c r="O1563" s="28" t="n">
        <x:v>5.960464477539063e-8</x:v>
      </x:c>
      <x:c r="P1563" s="28" t="n">
        <x:v>0</x:v>
      </x:c>
      <x:c r="Q1563" s="62" t="b">
        <x:v>1</x:v>
      </x:c>
      <x:c r="R1563" s="28" t="n">
        <x:v>0</x:v>
      </x:c>
      <x:c r="S1563" s="28" t="str">
        <x:v>2d3f13b4884efa38</x:v>
      </x:c>
    </x:row>
    <x:row r="1564" ht="21" customHeight="1">
      <x:c r="A1564" s="60" t="n">
        <x:v>0.66</x:v>
      </x:c>
      <x:c r="B1564" s="28" t="str">
        <x:v>front_high</x:v>
      </x:c>
      <x:c r="C1564" s="60" t="n">
        <x:v>0.1</x:v>
      </x:c>
      <x:c r="D1564" s="60" t="n">
        <x:v>0.1</x:v>
      </x:c>
      <x:c r="E1564" s="62" t="b">
        <x:v>1</x:v>
      </x:c>
      <x:c r="F1564" s="62" t="b">
        <x:v>1</x:v>
      </x:c>
      <x:c r="G1564" s="85" t="n">
        <x:v>0</x:v>
      </x:c>
      <x:c r="H1564" s="85" t="n">
        <x:v>0</x:v>
      </x:c>
      <x:c r="I1564" s="85" t="n">
        <x:v>0</x:v>
      </x:c>
      <x:c r="J1564" s="85" t="n">
        <x:v>0</x:v>
      </x:c>
      <x:c r="K1564" s="85" t="n">
        <x:v>11169911.033516595</x:v>
      </x:c>
      <x:c r="L1564" s="28" t="n">
        <x:v>0</x:v>
      </x:c>
      <x:c r="M1564" s="28" t="n">
        <x:v>0</x:v>
      </x:c>
      <x:c r="N1564" s="28" t="n">
        <x:v>3.725290298461914e-9</x:v>
      </x:c>
      <x:c r="O1564" s="28" t="n">
        <x:v>5.960464477539063e-8</x:v>
      </x:c>
      <x:c r="P1564" s="28" t="n">
        <x:v>0</x:v>
      </x:c>
      <x:c r="Q1564" s="62" t="b">
        <x:v>1</x:v>
      </x:c>
      <x:c r="R1564" s="28" t="n">
        <x:v>0</x:v>
      </x:c>
      <x:c r="S1564" s="28" t="str">
        <x:v>448e3963ed5e5cea</x:v>
      </x:c>
    </x:row>
    <x:row r="1565" ht="21" customHeight="1">
      <x:c r="A1565" s="60" t="n">
        <x:v>0.66</x:v>
      </x:c>
      <x:c r="B1565" s="28" t="str">
        <x:v>front_high</x:v>
      </x:c>
      <x:c r="C1565" s="60" t="n">
        <x:v>0.15</x:v>
      </x:c>
      <x:c r="D1565" s="60" t="n">
        <x:v>0.15</x:v>
      </x:c>
      <x:c r="E1565" s="62" t="b">
        <x:v>1</x:v>
      </x:c>
      <x:c r="F1565" s="62" t="b">
        <x:v>1</x:v>
      </x:c>
      <x:c r="G1565" s="85" t="n">
        <x:v>0</x:v>
      </x:c>
      <x:c r="H1565" s="85" t="n">
        <x:v>0</x:v>
      </x:c>
      <x:c r="I1565" s="85" t="n">
        <x:v>3165553.6972572827</x:v>
      </x:c>
      <x:c r="J1565" s="85" t="n">
        <x:v>0</x:v>
      </x:c>
      <x:c r="K1565" s="85" t="n">
        <x:v>1175218.4282455968</x:v>
      </x:c>
      <x:c r="L1565" s="28" t="n">
        <x:v>0</x:v>
      </x:c>
      <x:c r="M1565" s="28" t="n">
        <x:v>0</x:v>
      </x:c>
      <x:c r="N1565" s="28" t="n">
        <x:v>3.725290298461914e-9</x:v>
      </x:c>
      <x:c r="O1565" s="28" t="n">
        <x:v>2.9802322387695312e-8</x:v>
      </x:c>
      <x:c r="P1565" s="28" t="n">
        <x:v>0</x:v>
      </x:c>
      <x:c r="Q1565" s="62" t="b">
        <x:v>1</x:v>
      </x:c>
      <x:c r="R1565" s="28" t="n">
        <x:v>0</x:v>
      </x:c>
      <x:c r="S1565" s="28" t="str">
        <x:v>71b373191066e693</x:v>
      </x:c>
    </x:row>
    <x:row r="1566" ht="21" customHeight="1">
      <x:c r="A1566" s="60" t="n">
        <x:v>0.66</x:v>
      </x:c>
      <x:c r="B1566" s="28" t="str">
        <x:v>front_high</x:v>
      </x:c>
      <x:c r="C1566" s="60" t="n">
        <x:v>0.2</x:v>
      </x:c>
      <x:c r="D1566" s="60" t="n">
        <x:v>0.2</x:v>
      </x:c>
      <x:c r="E1566" s="62" t="b">
        <x:v>1</x:v>
      </x:c>
      <x:c r="F1566" s="62" t="b">
        <x:v>1</x:v>
      </x:c>
      <x:c r="G1566" s="85" t="n">
        <x:v>0</x:v>
      </x:c>
      <x:c r="H1566" s="85" t="n">
        <x:v>0</x:v>
      </x:c>
      <x:c r="I1566" s="85" t="n">
        <x:v>13848894.609561507</x:v>
      </x:c>
      <x:c r="J1566" s="85" t="n">
        <x:v>6284479.497374642</x:v>
      </x:c>
      <x:c r="K1566" s="85" t="n">
        <x:v>701445.4661274087</x:v>
      </x:c>
      <x:c r="L1566" s="28" t="n">
        <x:v>0</x:v>
      </x:c>
      <x:c r="M1566" s="28" t="n">
        <x:v>0</x:v>
      </x:c>
      <x:c r="N1566" s="28" t="n">
        <x:v>1.862645149230957e-9</x:v>
      </x:c>
      <x:c r="O1566" s="28" t="n">
        <x:v>2.9802322387695312e-8</x:v>
      </x:c>
      <x:c r="P1566" s="28" t="n">
        <x:v>0</x:v>
      </x:c>
      <x:c r="Q1566" s="62" t="b">
        <x:v>1</x:v>
      </x:c>
      <x:c r="R1566" s="28" t="n">
        <x:v>0</x:v>
      </x:c>
      <x:c r="S1566" s="28" t="str">
        <x:v>4a42cc3c9c5df53f</x:v>
      </x:c>
    </x:row>
    <x:row r="1567" ht="21" customHeight="1">
      <x:c r="A1567" s="60" t="n">
        <x:v>0.66</x:v>
      </x:c>
      <x:c r="B1567" s="28" t="str">
        <x:v>front_high</x:v>
      </x:c>
      <x:c r="C1567" s="60" t="n">
        <x:v>0.25</x:v>
      </x:c>
      <x:c r="D1567" s="60" t="n">
        <x:v>0.25</x:v>
      </x:c>
      <x:c r="E1567" s="62" t="b">
        <x:v>1</x:v>
      </x:c>
      <x:c r="F1567" s="62" t="b">
        <x:v>1</x:v>
      </x:c>
      <x:c r="G1567" s="85" t="n">
        <x:v>0</x:v>
      </x:c>
      <x:c r="H1567" s="85" t="n">
        <x:v>0</x:v>
      </x:c>
      <x:c r="I1567" s="85" t="n">
        <x:v>23478618.07225423</x:v>
      </x:c>
      <x:c r="J1567" s="85" t="n">
        <x:v>15355599.371718226</x:v>
      </x:c>
      <x:c r="K1567" s="85" t="n">
        <x:v>495796.4495565003</x:v>
      </x:c>
      <x:c r="L1567" s="28" t="n">
        <x:v>0</x:v>
      </x:c>
      <x:c r="M1567" s="28" t="n">
        <x:v>0</x:v>
      </x:c>
      <x:c r="N1567" s="28" t="n">
        <x:v>1.862645149230957e-9</x:v>
      </x:c>
      <x:c r="O1567" s="28" t="n">
        <x:v>1.4901161193847656e-8</x:v>
      </x:c>
      <x:c r="P1567" s="28" t="n">
        <x:v>0</x:v>
      </x:c>
      <x:c r="Q1567" s="62" t="b">
        <x:v>1</x:v>
      </x:c>
      <x:c r="R1567" s="28" t="n">
        <x:v>0</x:v>
      </x:c>
      <x:c r="S1567" s="28" t="str">
        <x:v>6106b4418d6be82d</x:v>
      </x:c>
    </x:row>
    <x:row r="1568" ht="21" customHeight="1">
      <x:c r="A1568" s="60" t="n">
        <x:v>0.66</x:v>
      </x:c>
      <x:c r="B1568" s="28" t="str">
        <x:v>front_high</x:v>
      </x:c>
      <x:c r="C1568" s="60" t="n">
        <x:v>0.3</x:v>
      </x:c>
      <x:c r="D1568" s="60" t="n">
        <x:v>0.3</x:v>
      </x:c>
      <x:c r="E1568" s="62" t="b">
        <x:v>1</x:v>
      </x:c>
      <x:c r="F1568" s="62" t="b">
        <x:v>1</x:v>
      </x:c>
      <x:c r="G1568" s="85" t="n">
        <x:v>0</x:v>
      </x:c>
      <x:c r="H1568" s="85" t="n">
        <x:v>0</x:v>
      </x:c>
      <x:c r="I1568" s="85" t="n">
        <x:v>33232047.297392793</x:v>
      </x:c>
      <x:c r="J1568" s="85" t="n">
        <x:v>24426719.24606188</x:v>
      </x:c>
      <x:c r="K1568" s="85" t="n">
        <x:v>401495.45152260375</x:v>
      </x:c>
      <x:c r="L1568" s="28" t="n">
        <x:v>0</x:v>
      </x:c>
      <x:c r="M1568" s="28" t="n">
        <x:v>0</x:v>
      </x:c>
      <x:c r="N1568" s="28" t="n">
        <x:v>3.725290298461914e-9</x:v>
      </x:c>
      <x:c r="O1568" s="28" t="n">
        <x:v>2.9802322387695312e-8</x:v>
      </x:c>
      <x:c r="P1568" s="28" t="n">
        <x:v>0</x:v>
      </x:c>
      <x:c r="Q1568" s="62" t="b">
        <x:v>1</x:v>
      </x:c>
      <x:c r="R1568" s="28" t="n">
        <x:v>0</x:v>
      </x:c>
      <x:c r="S1568" s="28" t="str">
        <x:v>a63948acecf6ae76</x:v>
      </x:c>
    </x:row>
    <x:row r="1569" ht="21" customHeight="1">
      <x:c r="A1569" s="60" t="n">
        <x:v>0.66</x:v>
      </x:c>
      <x:c r="B1569" s="28" t="str">
        <x:v>front_high</x:v>
      </x:c>
      <x:c r="C1569" s="60" t="n">
        <x:v>0.35</x:v>
      </x:c>
      <x:c r="D1569" s="60" t="n">
        <x:v>0.35</x:v>
      </x:c>
      <x:c r="E1569" s="62" t="b">
        <x:v>1</x:v>
      </x:c>
      <x:c r="F1569" s="62" t="b">
        <x:v>1</x:v>
      </x:c>
      <x:c r="G1569" s="85" t="n">
        <x:v>0</x:v>
      </x:c>
      <x:c r="H1569" s="85" t="n">
        <x:v>0</x:v>
      </x:c>
      <x:c r="I1569" s="85" t="n">
        <x:v>43091853.71556555</x:v>
      </x:c>
      <x:c r="J1569" s="85" t="n">
        <x:v>33497839.12040553</x:v>
      </x:c>
      <x:c r="K1569" s="85" t="n">
        <x:v>307194.4534886867</x:v>
      </x:c>
      <x:c r="L1569" s="28" t="n">
        <x:v>0</x:v>
      </x:c>
      <x:c r="M1569" s="28" t="n">
        <x:v>0</x:v>
      </x:c>
      <x:c r="N1569" s="28" t="n">
        <x:v>3.725290298461914e-9</x:v>
      </x:c>
      <x:c r="O1569" s="28" t="n">
        <x:v>7.450580596923828e-9</x:v>
      </x:c>
      <x:c r="P1569" s="28" t="n">
        <x:v>0</x:v>
      </x:c>
      <x:c r="Q1569" s="62" t="b">
        <x:v>1</x:v>
      </x:c>
      <x:c r="R1569" s="28" t="n">
        <x:v>0</x:v>
      </x:c>
      <x:c r="S1569" s="28" t="str">
        <x:v>fb32e0d0cbd48cdb</x:v>
      </x:c>
    </x:row>
    <x:row r="1570" ht="21" customHeight="1">
      <x:c r="A1570" s="60" t="n">
        <x:v>0.66</x:v>
      </x:c>
      <x:c r="B1570" s="28" t="str">
        <x:v>front_high</x:v>
      </x:c>
      <x:c r="C1570" s="60" t="n">
        <x:v>0.4</x:v>
      </x:c>
      <x:c r="D1570" s="60" t="n">
        <x:v>0.4</x:v>
      </x:c>
      <x:c r="E1570" s="62" t="b">
        <x:v>1</x:v>
      </x:c>
      <x:c r="F1570" s="62" t="b">
        <x:v>1</x:v>
      </x:c>
      <x:c r="G1570" s="85" t="n">
        <x:v>0</x:v>
      </x:c>
      <x:c r="H1570" s="85" t="n">
        <x:v>0</x:v>
      </x:c>
      <x:c r="I1570" s="85" t="n">
        <x:v>53257337.23200397</x:v>
      </x:c>
      <x:c r="J1570" s="85" t="n">
        <x:v>38934539.033539854</x:v>
      </x:c>
      <x:c r="K1570" s="85" t="n">
        <x:v>212893.45545479294</x:v>
      </x:c>
      <x:c r="L1570" s="28" t="n">
        <x:v>3</x:v>
      </x:c>
      <x:c r="M1570" s="28" t="n">
        <x:v>0</x:v>
      </x:c>
      <x:c r="N1570" s="28" t="n">
        <x:v>3.725290298461914e-9</x:v>
      </x:c>
      <x:c r="O1570" s="28" t="n">
        <x:v>2.9802322387695312e-8</x:v>
      </x:c>
      <x:c r="P1570" s="28" t="n">
        <x:v>0</x:v>
      </x:c>
      <x:c r="Q1570" s="62" t="b">
        <x:v>1</x:v>
      </x:c>
      <x:c r="R1570" s="28" t="n">
        <x:v>0</x:v>
      </x:c>
      <x:c r="S1570" s="28" t="str">
        <x:v>7f25cc89d4ae423f</x:v>
      </x:c>
    </x:row>
    <x:row r="1571" ht="21" customHeight="1">
      <x:c r="A1571" s="60" t="n">
        <x:v>0.66</x:v>
      </x:c>
      <x:c r="B1571" s="28" t="str">
        <x:v>front_high</x:v>
      </x:c>
      <x:c r="C1571" s="60" t="n">
        <x:v>0.45</x:v>
      </x:c>
      <x:c r="D1571" s="60" t="n">
        <x:v>0.45</x:v>
      </x:c>
      <x:c r="E1571" s="62" t="b">
        <x:v>1</x:v>
      </x:c>
      <x:c r="F1571" s="62" t="b">
        <x:v>1</x:v>
      </x:c>
      <x:c r="G1571" s="85" t="n">
        <x:v>0</x:v>
      </x:c>
      <x:c r="H1571" s="85" t="n">
        <x:v>0</x:v>
      </x:c>
      <x:c r="I1571" s="85" t="n">
        <x:v>63141681.029343896</x:v>
      </x:c>
      <x:c r="J1571" s="85" t="n">
        <x:v>41907042.9183407</x:v>
      </x:c>
      <x:c r="K1571" s="85" t="n">
        <x:v>140788.99192808106</x:v>
      </x:c>
      <x:c r="L1571" s="28" t="n">
        <x:v>8</x:v>
      </x:c>
      <x:c r="M1571" s="28" t="n">
        <x:v>0</x:v>
      </x:c>
      <x:c r="N1571" s="28" t="n">
        <x:v>3.725290298461914e-9</x:v>
      </x:c>
      <x:c r="O1571" s="28" t="n">
        <x:v>2.9802322387695312e-8</x:v>
      </x:c>
      <x:c r="P1571" s="28" t="n">
        <x:v>0</x:v>
      </x:c>
      <x:c r="Q1571" s="62" t="b">
        <x:v>1</x:v>
      </x:c>
      <x:c r="R1571" s="28" t="n">
        <x:v>0</x:v>
      </x:c>
      <x:c r="S1571" s="28" t="str">
        <x:v>dcd7ac11b515484a</x:v>
      </x:c>
    </x:row>
    <x:row r="1572" ht="21" customHeight="1">
      <x:c r="A1572" s="60" t="n">
        <x:v>0.66</x:v>
      </x:c>
      <x:c r="B1572" s="28" t="str">
        <x:v>front_high</x:v>
      </x:c>
      <x:c r="C1572" s="60" t="n">
        <x:v>0.5</x:v>
      </x:c>
      <x:c r="D1572" s="60" t="n">
        <x:v>0.5</x:v>
      </x:c>
      <x:c r="E1572" s="62" t="b">
        <x:v>1</x:v>
      </x:c>
      <x:c r="F1572" s="62" t="b">
        <x:v>1</x:v>
      </x:c>
      <x:c r="G1572" s="85" t="n">
        <x:v>0</x:v>
      </x:c>
      <x:c r="H1572" s="85" t="n">
        <x:v>0</x:v>
      </x:c>
      <x:c r="I1572" s="85" t="n">
        <x:v>73563147.91995078</x:v>
      </x:c>
      <x:c r="J1572" s="85" t="n">
        <x:v>45604739.625203736</x:v>
      </x:c>
      <x:c r="K1572" s="85" t="n">
        <x:v>109354.8707876718</x:v>
      </x:c>
      <x:c r="L1572" s="28" t="n">
        <x:v>15</x:v>
      </x:c>
      <x:c r="M1572" s="28" t="n">
        <x:v>0</x:v>
      </x:c>
      <x:c r="N1572" s="28" t="n">
        <x:v>1.862645149230957e-9</x:v>
      </x:c>
      <x:c r="O1572" s="28" t="n">
        <x:v>2.9802322387695312e-8</x:v>
      </x:c>
      <x:c r="P1572" s="28" t="n">
        <x:v>0</x:v>
      </x:c>
      <x:c r="Q1572" s="62" t="b">
        <x:v>1</x:v>
      </x:c>
      <x:c r="R1572" s="28" t="n">
        <x:v>0</x:v>
      </x:c>
      <x:c r="S1572" s="28" t="str">
        <x:v>29f088cbb55cda44</x:v>
      </x:c>
    </x:row>
    <x:row r="1573" ht="21" customHeight="1">
      <x:c r="A1573" s="60" t="n">
        <x:v>0.66</x:v>
      </x:c>
      <x:c r="B1573" s="28" t="str">
        <x:v>front_high</x:v>
      </x:c>
      <x:c r="C1573" s="60" t="n">
        <x:v>0.55</x:v>
      </x:c>
      <x:c r="D1573" s="60" t="n">
        <x:v>0.55</x:v>
      </x:c>
      <x:c r="E1573" s="62" t="b">
        <x:v>1</x:v>
      </x:c>
      <x:c r="F1573" s="62" t="b">
        <x:v>1</x:v>
      </x:c>
      <x:c r="G1573" s="85" t="n">
        <x:v>0</x:v>
      </x:c>
      <x:c r="H1573" s="85" t="n">
        <x:v>0</x:v>
      </x:c>
      <x:c r="I1573" s="85" t="n">
        <x:v>83341457.74289994</x:v>
      </x:c>
      <x:c r="J1573" s="85" t="n">
        <x:v>56451331.28063085</x:v>
      </x:c>
      <x:c r="K1573" s="85" t="n">
        <x:v>77920.74964725974</x:v>
      </x:c>
      <x:c r="L1573" s="28" t="n">
        <x:v>19</x:v>
      </x:c>
      <x:c r="M1573" s="28" t="n">
        <x:v>3</x:v>
      </x:c>
      <x:c r="N1573" s="28" t="n">
        <x:v>1.862645149230957e-9</x:v>
      </x:c>
      <x:c r="O1573" s="28" t="n">
        <x:v>2.9802322387695312e-8</x:v>
      </x:c>
      <x:c r="P1573" s="28" t="n">
        <x:v>0</x:v>
      </x:c>
      <x:c r="Q1573" s="62" t="b">
        <x:v>1</x:v>
      </x:c>
      <x:c r="R1573" s="28" t="n">
        <x:v>0</x:v>
      </x:c>
      <x:c r="S1573" s="28" t="str">
        <x:v>29426acd9e99d4f3</x:v>
      </x:c>
    </x:row>
    <x:row r="1574" ht="21" customHeight="1">
      <x:c r="A1574" s="60" t="n">
        <x:v>0.66</x:v>
      </x:c>
      <x:c r="B1574" s="28" t="str">
        <x:v>front_high</x:v>
      </x:c>
      <x:c r="C1574" s="60" t="n">
        <x:v>0.6</x:v>
      </x:c>
      <x:c r="D1574" s="60" t="n">
        <x:v>0.6</x:v>
      </x:c>
      <x:c r="E1574" s="62" t="b">
        <x:v>1</x:v>
      </x:c>
      <x:c r="F1574" s="62" t="b">
        <x:v>1</x:v>
      </x:c>
      <x:c r="G1574" s="85" t="n">
        <x:v>0</x:v>
      </x:c>
      <x:c r="H1574" s="85" t="n">
        <x:v>0</x:v>
      </x:c>
      <x:c r="I1574" s="85" t="n">
        <x:v>92499942.45004809</x:v>
      </x:c>
      <x:c r="J1574" s="85" t="n">
        <x:v>67106983.812698506</x:v>
      </x:c>
      <x:c r="K1574" s="85" t="n">
        <x:v>46486.62850685141</x:v>
      </x:c>
      <x:c r="L1574" s="28" t="n">
        <x:v>23</x:v>
      </x:c>
      <x:c r="M1574" s="28" t="n">
        <x:v>11</x:v>
      </x:c>
      <x:c r="N1574" s="28" t="n">
        <x:v>1.862645149230957e-9</x:v>
      </x:c>
      <x:c r="O1574" s="28" t="n">
        <x:v>2.9802322387695312e-8</x:v>
      </x:c>
      <x:c r="P1574" s="28" t="n">
        <x:v>0</x:v>
      </x:c>
      <x:c r="Q1574" s="62" t="b">
        <x:v>1</x:v>
      </x:c>
      <x:c r="R1574" s="28" t="n">
        <x:v>0</x:v>
      </x:c>
      <x:c r="S1574" s="28" t="str">
        <x:v>40aa15a5e0dd8f90</x:v>
      </x:c>
    </x:row>
    <x:row r="1575" ht="21" customHeight="1">
      <x:c r="A1575" s="60" t="n">
        <x:v>0.66</x:v>
      </x:c>
      <x:c r="B1575" s="28" t="str">
        <x:v>front_high</x:v>
      </x:c>
      <x:c r="C1575" s="60" t="n">
        <x:v>0.65</x:v>
      </x:c>
      <x:c r="D1575" s="60" t="n">
        <x:v>0.65</x:v>
      </x:c>
      <x:c r="E1575" s="62" t="b">
        <x:v>1</x:v>
      </x:c>
      <x:c r="F1575" s="62" t="b">
        <x:v>0</x:v>
      </x:c>
      <x:c r="G1575" s="85" t="n">
        <x:v>3118584.433206274</x:v>
      </x:c>
      <x:c r="H1575" s="85" t="n">
        <x:v>10808155.183678493</x:v>
      </x:c>
      <x:c r="I1575" s="85" t="n">
        <x:v>95490664.60714965</x:v>
      </x:c>
      <x:c r="J1575" s="85" t="n">
        <x:v>71999999.99999999</x:v>
      </x:c>
      <x:c r="K1575" s="85" t="n">
        <x:v>15052.507366435631</x:v>
      </x:c>
      <x:c r="L1575" s="28" t="n">
        <x:v>46</x:v>
      </x:c>
      <x:c r="M1575" s="28" t="n">
        <x:v>39</x:v>
      </x:c>
      <x:c r="N1575" s="28" t="n">
        <x:v>1.862645149230957e-9</x:v>
      </x:c>
      <x:c r="O1575" s="28" t="n">
        <x:v>2.9802322387695312e-8</x:v>
      </x:c>
      <x:c r="P1575" s="28" t="n">
        <x:v>0</x:v>
      </x:c>
      <x:c r="Q1575" s="62" t="b">
        <x:v>1</x:v>
      </x:c>
      <x:c r="R1575" s="28" t="n">
        <x:v>0</x:v>
      </x:c>
      <x:c r="S1575" s="28" t="str">
        <x:v>9690ffd346b7827b</x:v>
      </x:c>
    </x:row>
    <x:row r="1576" ht="21" customHeight="1">
      <x:c r="A1576" s="60" t="n">
        <x:v>0.66</x:v>
      </x:c>
      <x:c r="B1576" s="28" t="str">
        <x:v>front_high</x:v>
      </x:c>
      <x:c r="C1576" s="60" t="n">
        <x:v>0.7</x:v>
      </x:c>
      <x:c r="D1576" s="60" t="n">
        <x:v>0.7</x:v>
      </x:c>
      <x:c r="E1576" s="62" t="b">
        <x:v>1</x:v>
      </x:c>
      <x:c r="F1576" s="62" t="b">
        <x:v>0</x:v>
      </x:c>
      <x:c r="G1576" s="85" t="n">
        <x:v>8018285.827786621</x:v>
      </x:c>
      <x:c r="H1576" s="85" t="n">
        <x:v>26486375.75895027</x:v>
      </x:c>
      <x:c r="I1576" s="85" t="n">
        <x:v>95554078.41897467</x:v>
      </x:c>
      <x:c r="J1576" s="85" t="n">
        <x:v>71999999.99999999</x:v>
      </x:c>
      <x:c r="K1576" s="85" t="n">
        <x:v>0</x:v>
      </x:c>
      <x:c r="L1576" s="28" t="n">
        <x:v>46</x:v>
      </x:c>
      <x:c r="M1576" s="28" t="n">
        <x:v>44</x:v>
      </x:c>
      <x:c r="N1576" s="28" t="n">
        <x:v>1.862645149230957e-9</x:v>
      </x:c>
      <x:c r="O1576" s="28" t="n">
        <x:v>2.9802322387695312e-8</x:v>
      </x:c>
      <x:c r="P1576" s="28" t="n">
        <x:v>0</x:v>
      </x:c>
      <x:c r="Q1576" s="62" t="b">
        <x:v>1</x:v>
      </x:c>
      <x:c r="R1576" s="28" t="n">
        <x:v>0</x:v>
      </x:c>
      <x:c r="S1576" s="28" t="str">
        <x:v>58bc7ca35fe31e14</x:v>
      </x:c>
    </x:row>
    <x:row r="1577" ht="21" customHeight="1">
      <x:c r="A1577" s="60" t="n">
        <x:v>0.66</x:v>
      </x:c>
      <x:c r="B1577" s="28" t="str">
        <x:v>front_high</x:v>
      </x:c>
      <x:c r="C1577" s="60" t="n">
        <x:v>0.75</x:v>
      </x:c>
      <x:c r="D1577" s="60" t="n">
        <x:v>0.75</x:v>
      </x:c>
      <x:c r="E1577" s="62" t="b">
        <x:v>1</x:v>
      </x:c>
      <x:c r="F1577" s="62" t="b">
        <x:v>0</x:v>
      </x:c>
      <x:c r="G1577" s="85" t="n">
        <x:v>13540900.353331521</x:v>
      </x:c>
      <x:c r="H1577" s="85" t="n">
        <x:v>41424076.67490856</x:v>
      </x:c>
      <x:c r="I1577" s="85" t="n">
        <x:v>95617492.23079966</x:v>
      </x:c>
      <x:c r="J1577" s="85" t="n">
        <x:v>71999999.99999999</x:v>
      </x:c>
      <x:c r="K1577" s="85" t="n">
        <x:v>0</x:v>
      </x:c>
      <x:c r="L1577" s="28" t="n">
        <x:v>46</x:v>
      </x:c>
      <x:c r="M1577" s="28" t="n">
        <x:v>44</x:v>
      </x:c>
      <x:c r="N1577" s="28" t="n">
        <x:v>1.862645149230957e-9</x:v>
      </x:c>
      <x:c r="O1577" s="28" t="n">
        <x:v>2.9802322387695312e-8</x:v>
      </x:c>
      <x:c r="P1577" s="28" t="n">
        <x:v>0</x:v>
      </x:c>
      <x:c r="Q1577" s="62" t="b">
        <x:v>1</x:v>
      </x:c>
      <x:c r="R1577" s="28" t="n">
        <x:v>0</x:v>
      </x:c>
      <x:c r="S1577" s="28" t="str">
        <x:v>a78523efe59e667e</x:v>
      </x:c>
    </x:row>
    <x:row r="1578" ht="21" customHeight="1">
      <x:c r="A1578" s="60" t="n">
        <x:v>0.66</x:v>
      </x:c>
      <x:c r="B1578" s="28" t="str">
        <x:v>front_high</x:v>
      </x:c>
      <x:c r="C1578" s="60" t="n">
        <x:v>0.8</x:v>
      </x:c>
      <x:c r="D1578" s="60" t="n">
        <x:v>0.8</x:v>
      </x:c>
      <x:c r="E1578" s="62" t="b">
        <x:v>1</x:v>
      </x:c>
      <x:c r="F1578" s="62" t="b">
        <x:v>0</x:v>
      </x:c>
      <x:c r="G1578" s="85" t="n">
        <x:v>18595523.889742613</x:v>
      </x:c>
      <x:c r="H1578" s="85" t="n">
        <x:v>56361777.59086671</x:v>
      </x:c>
      <x:c r="I1578" s="85" t="n">
        <x:v>95680906.04262467</x:v>
      </x:c>
      <x:c r="J1578" s="85" t="n">
        <x:v>71999999.99999999</x:v>
      </x:c>
      <x:c r="K1578" s="85" t="n">
        <x:v>0</x:v>
      </x:c>
      <x:c r="L1578" s="28" t="n">
        <x:v>46</x:v>
      </x:c>
      <x:c r="M1578" s="28" t="n">
        <x:v>44</x:v>
      </x:c>
      <x:c r="N1578" s="28" t="n">
        <x:v>1.862645149230957e-9</x:v>
      </x:c>
      <x:c r="O1578" s="28" t="n">
        <x:v>1.4901161193847656e-8</x:v>
      </x:c>
      <x:c r="P1578" s="28" t="n">
        <x:v>0</x:v>
      </x:c>
      <x:c r="Q1578" s="62" t="b">
        <x:v>1</x:v>
      </x:c>
      <x:c r="R1578" s="28" t="n">
        <x:v>0</x:v>
      </x:c>
      <x:c r="S1578" s="28" t="str">
        <x:v>62cb0606d7189773</x:v>
      </x:c>
    </x:row>
    <x:row r="1579" ht="21" customHeight="1">
      <x:c r="A1579" s="60" t="n">
        <x:v>0.66</x:v>
      </x:c>
      <x:c r="B1579" s="28" t="str">
        <x:v>front_high</x:v>
      </x:c>
      <x:c r="C1579" s="60" t="n">
        <x:v>0.85</x:v>
      </x:c>
      <x:c r="D1579" s="60" t="n">
        <x:v>0.85</x:v>
      </x:c>
      <x:c r="E1579" s="62" t="b">
        <x:v>1</x:v>
      </x:c>
      <x:c r="F1579" s="62" t="b">
        <x:v>0</x:v>
      </x:c>
      <x:c r="G1579" s="85" t="n">
        <x:v>25046761.588239845</x:v>
      </x:c>
      <x:c r="H1579" s="85" t="n">
        <x:v>70263558.26874837</x:v>
      </x:c>
      <x:c r="I1579" s="85" t="n">
        <x:v>95744319.85444966</x:v>
      </x:c>
      <x:c r="J1579" s="85" t="n">
        <x:v>71999999.99999999</x:v>
      </x:c>
      <x:c r="K1579" s="85" t="n">
        <x:v>0</x:v>
      </x:c>
      <x:c r="L1579" s="28" t="n">
        <x:v>46</x:v>
      </x:c>
      <x:c r="M1579" s="28" t="n">
        <x:v>45</x:v>
      </x:c>
      <x:c r="N1579" s="28" t="n">
        <x:v>1.862645149230957e-9</x:v>
      </x:c>
      <x:c r="O1579" s="28" t="n">
        <x:v>1.862645149230957e-9</x:v>
      </x:c>
      <x:c r="P1579" s="28" t="n">
        <x:v>0</x:v>
      </x:c>
      <x:c r="Q1579" s="62" t="b">
        <x:v>1</x:v>
      </x:c>
      <x:c r="R1579" s="28" t="n">
        <x:v>0</x:v>
      </x:c>
      <x:c r="S1579" s="28" t="str">
        <x:v>65c55e284ad63486</x:v>
      </x:c>
    </x:row>
    <x:row r="1580" ht="21" customHeight="1">
      <x:c r="A1580" s="60" t="n">
        <x:v>0.66</x:v>
      </x:c>
      <x:c r="B1580" s="28" t="str">
        <x:v>front_high</x:v>
      </x:c>
      <x:c r="C1580" s="60" t="n">
        <x:v>0.9</x:v>
      </x:c>
      <x:c r="D1580" s="60" t="n">
        <x:v>0.9</x:v>
      </x:c>
      <x:c r="E1580" s="62" t="b">
        <x:v>1</x:v>
      </x:c>
      <x:c r="F1580" s="62" t="b">
        <x:v>0</x:v>
      </x:c>
      <x:c r="G1580" s="85" t="n">
        <x:v>33719395.157795504</x:v>
      </x:c>
      <x:c r="H1580" s="85" t="n">
        <x:v>78817378.23676823</x:v>
      </x:c>
      <x:c r="I1580" s="85" t="n">
        <x:v>97417570.15313014</x:v>
      </x:c>
      <x:c r="J1580" s="85" t="n">
        <x:v>71999999.99999999</x:v>
      </x:c>
      <x:c r="K1580" s="85" t="n">
        <x:v>0</x:v>
      </x:c>
      <x:c r="L1580" s="28" t="n">
        <x:v>47</x:v>
      </x:c>
      <x:c r="M1580" s="28" t="n">
        <x:v>45</x:v>
      </x:c>
      <x:c r="N1580" s="28" t="n">
        <x:v>1.862645149230957e-9</x:v>
      </x:c>
      <x:c r="O1580" s="28" t="n">
        <x:v>1.4901161193847656e-8</x:v>
      </x:c>
      <x:c r="P1580" s="28" t="n">
        <x:v>0</x:v>
      </x:c>
      <x:c r="Q1580" s="62" t="b">
        <x:v>1</x:v>
      </x:c>
      <x:c r="R1580" s="28" t="n">
        <x:v>0</x:v>
      </x:c>
      <x:c r="S1580" s="28" t="str">
        <x:v>b0d4782272e59193</x:v>
      </x:c>
    </x:row>
    <x:row r="1581" ht="21" customHeight="1">
      <x:c r="A1581" s="60" t="n">
        <x:v>0.66</x:v>
      </x:c>
      <x:c r="B1581" s="28" t="str">
        <x:v>front_high</x:v>
      </x:c>
      <x:c r="C1581" s="60" t="n">
        <x:v>0.95</x:v>
      </x:c>
      <x:c r="D1581" s="60" t="n">
        <x:v>0.9497739906324524</x:v>
      </x:c>
      <x:c r="E1581" s="62" t="b">
        <x:v>0</x:v>
      </x:c>
      <x:c r="F1581" s="62" t="b">
        <x:v>0</x:v>
      </x:c>
      <x:c r="G1581" s="85" t="n">
        <x:v>39244620.46133454</x:v>
      </x:c>
      <x:c r="H1581" s="85" t="n">
        <x:v>88348443.06799996</x:v>
      </x:c>
      <x:c r="I1581" s="85" t="n">
        <x:v>97449004.27427055</x:v>
      </x:c>
      <x:c r="J1581" s="85" t="n">
        <x:v>71999999.99999999</x:v>
      </x:c>
      <x:c r="K1581" s="85" t="n">
        <x:v>0</x:v>
      </x:c>
      <x:c r="L1581" s="28" t="n">
        <x:v>47</x:v>
      </x:c>
      <x:c r="M1581" s="28" t="n">
        <x:v>45</x:v>
      </x:c>
      <x:c r="N1581" s="28" t="n">
        <x:v>9.313225746154785e-10</x:v>
      </x:c>
      <x:c r="O1581" s="28" t="n">
        <x:v>1.4901161193847656e-8</x:v>
      </x:c>
      <x:c r="P1581" s="28" t="n">
        <x:v>0</x:v>
      </x:c>
      <x:c r="Q1581" s="62" t="b">
        <x:v>1</x:v>
      </x:c>
      <x:c r="R1581" s="28" t="n">
        <x:v>67802.81026428938</x:v>
      </x:c>
      <x:c r="S1581" s="28" t="str">
        <x:v>0bfc67187d54a554</x:v>
      </x:c>
    </x:row>
    <x:row r="1582" ht="21" customHeight="1">
      <x:c r="A1582" s="60" t="n">
        <x:v>0.66</x:v>
      </x:c>
      <x:c r="B1582" s="28" t="str">
        <x:v>front_high</x:v>
      </x:c>
      <x:c r="C1582" s="60" t="n">
        <x:v>1</x:v>
      </x:c>
      <x:c r="D1582" s="60" t="n">
        <x:v>0.9646994850752131</x:v>
      </x:c>
      <x:c r="E1582" s="62" t="b">
        <x:v>0</x:v>
      </x:c>
      <x:c r="F1582" s="62" t="b">
        <x:v>0</x:v>
      </x:c>
      <x:c r="G1582" s="85" t="n">
        <x:v>42978497.16096395</x:v>
      </x:c>
      <x:c r="H1582" s="85" t="n">
        <x:v>92855248.92419788</x:v>
      </x:c>
      <x:c r="I1582" s="85" t="n">
        <x:v>97480438.39541097</x:v>
      </x:c>
      <x:c r="J1582" s="85" t="n">
        <x:v>71999999.99999999</x:v>
      </x:c>
      <x:c r="K1582" s="85" t="n">
        <x:v>0</x:v>
      </x:c>
      <x:c r="L1582" s="28" t="n">
        <x:v>47</x:v>
      </x:c>
      <x:c r="M1582" s="28" t="n">
        <x:v>45</x:v>
      </x:c>
      <x:c r="N1582" s="28" t="n">
        <x:v>1.862645149230957e-9</x:v>
      </x:c>
      <x:c r="O1582" s="28" t="n">
        <x:v>3.725290298461914e-9</x:v>
      </x:c>
      <x:c r="P1582" s="28" t="n">
        <x:v>0</x:v>
      </x:c>
      <x:c r="Q1582" s="62" t="b">
        <x:v>1</x:v>
      </x:c>
      <x:c r="R1582" s="28" t="n">
        <x:v>10590154.477436066</x:v>
      </x:c>
      <x:c r="S1582" s="28" t="str">
        <x:v>07cf2c67a342f4b5</x:v>
      </x:c>
    </x:row>
    <x:row r="1583" ht="21" customHeight="1">
      <x:c r="A1583" s="60" t="n">
        <x:v>0.66</x:v>
      </x:c>
      <x:c r="B1583" s="28" t="str">
        <x:v>middle_flat</x:v>
      </x:c>
      <x:c r="C1583" s="60" t="n">
        <x:v>0</x:v>
      </x:c>
      <x:c r="D1583" s="60" t="n">
        <x:v>0</x:v>
      </x:c>
      <x:c r="E1583" s="62" t="b">
        <x:v>1</x:v>
      </x:c>
      <x:c r="F1583" s="62" t="b">
        <x:v>1</x:v>
      </x:c>
      <x:c r="G1583" s="85" t="n">
        <x:v>0</x:v>
      </x:c>
      <x:c r="H1583" s="85" t="n">
        <x:v>0</x:v>
      </x:c>
      <x:c r="I1583" s="85" t="n">
        <x:v>0</x:v>
      </x:c>
      <x:c r="J1583" s="85" t="n">
        <x:v>0</x:v>
      </x:c>
      <x:c r="K1583" s="85" t="n">
        <x:v>34211668.62808221</x:v>
      </x:c>
      <x:c r="L1583" s="28" t="n">
        <x:v>0</x:v>
      </x:c>
      <x:c r="M1583" s="28" t="n">
        <x:v>0</x:v>
      </x:c>
      <x:c r="N1583" s="28" t="n">
        <x:v>3.725290298461914e-9</x:v>
      </x:c>
      <x:c r="O1583" s="28" t="n">
        <x:v>0</x:v>
      </x:c>
      <x:c r="P1583" s="28" t="n">
        <x:v>0</x:v>
      </x:c>
      <x:c r="Q1583" s="62" t="b">
        <x:v>1</x:v>
      </x:c>
      <x:c r="R1583" s="28" t="n">
        <x:v>0</x:v>
      </x:c>
      <x:c r="S1583" s="28" t="str">
        <x:v>1722360b2713d71b</x:v>
      </x:c>
    </x:row>
    <x:row r="1584" ht="21" customHeight="1">
      <x:c r="A1584" s="60" t="n">
        <x:v>0.66</x:v>
      </x:c>
      <x:c r="B1584" s="28" t="str">
        <x:v>middle_flat</x:v>
      </x:c>
      <x:c r="C1584" s="60" t="n">
        <x:v>0.05</x:v>
      </x:c>
      <x:c r="D1584" s="60" t="n">
        <x:v>0.05</x:v>
      </x:c>
      <x:c r="E1584" s="62" t="b">
        <x:v>1</x:v>
      </x:c>
      <x:c r="F1584" s="62" t="b">
        <x:v>1</x:v>
      </x:c>
      <x:c r="G1584" s="85" t="n">
        <x:v>0</x:v>
      </x:c>
      <x:c r="H1584" s="85" t="n">
        <x:v>0</x:v>
      </x:c>
      <x:c r="I1584" s="85" t="n">
        <x:v>0</x:v>
      </x:c>
      <x:c r="J1584" s="85" t="n">
        <x:v>0</x:v>
      </x:c>
      <x:c r="K1584" s="85" t="n">
        <x:v>22277927.524769433</x:v>
      </x:c>
      <x:c r="L1584" s="28" t="n">
        <x:v>0</x:v>
      </x:c>
      <x:c r="M1584" s="28" t="n">
        <x:v>0</x:v>
      </x:c>
      <x:c r="N1584" s="28" t="n">
        <x:v>3.725290298461914e-9</x:v>
      </x:c>
      <x:c r="O1584" s="28" t="n">
        <x:v>2.9802322387695312e-8</x:v>
      </x:c>
      <x:c r="P1584" s="28" t="n">
        <x:v>0</x:v>
      </x:c>
      <x:c r="Q1584" s="62" t="b">
        <x:v>1</x:v>
      </x:c>
      <x:c r="R1584" s="28" t="n">
        <x:v>0</x:v>
      </x:c>
      <x:c r="S1584" s="28" t="str">
        <x:v>c48f3e829e588e8b</x:v>
      </x:c>
    </x:row>
    <x:row r="1585" ht="21" customHeight="1">
      <x:c r="A1585" s="60" t="n">
        <x:v>0.66</x:v>
      </x:c>
      <x:c r="B1585" s="28" t="str">
        <x:v>middle_flat</x:v>
      </x:c>
      <x:c r="C1585" s="60" t="n">
        <x:v>0.1</x:v>
      </x:c>
      <x:c r="D1585" s="60" t="n">
        <x:v>0.1</x:v>
      </x:c>
      <x:c r="E1585" s="62" t="b">
        <x:v>1</x:v>
      </x:c>
      <x:c r="F1585" s="62" t="b">
        <x:v>1</x:v>
      </x:c>
      <x:c r="G1585" s="85" t="n">
        <x:v>0</x:v>
      </x:c>
      <x:c r="H1585" s="85" t="n">
        <x:v>0</x:v>
      </x:c>
      <x:c r="I1585" s="85" t="n">
        <x:v>0</x:v>
      </x:c>
      <x:c r="J1585" s="85" t="n">
        <x:v>0</x:v>
      </x:c>
      <x:c r="K1585" s="85" t="n">
        <x:v>10225349.627922125</x:v>
      </x:c>
      <x:c r="L1585" s="28" t="n">
        <x:v>0</x:v>
      </x:c>
      <x:c r="M1585" s="28" t="n">
        <x:v>0</x:v>
      </x:c>
      <x:c r="N1585" s="28" t="n">
        <x:v>3.725290298461914e-9</x:v>
      </x:c>
      <x:c r="O1585" s="28" t="n">
        <x:v>5.960464477539063e-8</x:v>
      </x:c>
      <x:c r="P1585" s="28" t="n">
        <x:v>0</x:v>
      </x:c>
      <x:c r="Q1585" s="62" t="b">
        <x:v>1</x:v>
      </x:c>
      <x:c r="R1585" s="28" t="n">
        <x:v>0</x:v>
      </x:c>
      <x:c r="S1585" s="28" t="str">
        <x:v>8af7e25a59777991</x:v>
      </x:c>
    </x:row>
    <x:row r="1586" ht="21" customHeight="1">
      <x:c r="A1586" s="60" t="n">
        <x:v>0.66</x:v>
      </x:c>
      <x:c r="B1586" s="28" t="str">
        <x:v>middle_flat</x:v>
      </x:c>
      <x:c r="C1586" s="60" t="n">
        <x:v>0.15</x:v>
      </x:c>
      <x:c r="D1586" s="60" t="n">
        <x:v>0.15</x:v>
      </x:c>
      <x:c r="E1586" s="62" t="b">
        <x:v>1</x:v>
      </x:c>
      <x:c r="F1586" s="62" t="b">
        <x:v>1</x:v>
      </x:c>
      <x:c r="G1586" s="85" t="n">
        <x:v>0</x:v>
      </x:c>
      <x:c r="H1586" s="85" t="n">
        <x:v>0</x:v>
      </x:c>
      <x:c r="I1586" s="85" t="n">
        <x:v>2554397.4702174338</x:v>
      </x:c>
      <x:c r="J1586" s="85" t="n">
        <x:v>0</x:v>
      </x:c>
      <x:c r="K1586" s="85" t="n">
        <x:v>1518961.3203476889</x:v>
      </x:c>
      <x:c r="L1586" s="28" t="n">
        <x:v>0</x:v>
      </x:c>
      <x:c r="M1586" s="28" t="n">
        <x:v>0</x:v>
      </x:c>
      <x:c r="N1586" s="28" t="n">
        <x:v>3.725290298461914e-9</x:v>
      </x:c>
      <x:c r="O1586" s="28" t="n">
        <x:v>2.9802322387695312e-8</x:v>
      </x:c>
      <x:c r="P1586" s="28" t="n">
        <x:v>0</x:v>
      </x:c>
      <x:c r="Q1586" s="62" t="b">
        <x:v>1</x:v>
      </x:c>
      <x:c r="R1586" s="28" t="n">
        <x:v>0</x:v>
      </x:c>
      <x:c r="S1586" s="28" t="str">
        <x:v>12e916edf8d20436</x:v>
      </x:c>
    </x:row>
    <x:row r="1587" ht="21" customHeight="1">
      <x:c r="A1587" s="60" t="n">
        <x:v>0.66</x:v>
      </x:c>
      <x:c r="B1587" s="28" t="str">
        <x:v>middle_flat</x:v>
      </x:c>
      <x:c r="C1587" s="60" t="n">
        <x:v>0.2</x:v>
      </x:c>
      <x:c r="D1587" s="60" t="n">
        <x:v>0.2</x:v>
      </x:c>
      <x:c r="E1587" s="62" t="b">
        <x:v>1</x:v>
      </x:c>
      <x:c r="F1587" s="62" t="b">
        <x:v>1</x:v>
      </x:c>
      <x:c r="G1587" s="85" t="n">
        <x:v>0</x:v>
      </x:c>
      <x:c r="H1587" s="85" t="n">
        <x:v>0</x:v>
      </x:c>
      <x:c r="I1587" s="85" t="n">
        <x:v>10641774.622201081</x:v>
      </x:c>
      <x:c r="J1587" s="85" t="n">
        <x:v>6318282.052720841</x:v>
      </x:c>
      <x:c r="K1587" s="85" t="n">
        <x:v>1175249.6007549071</x:v>
      </x:c>
      <x:c r="L1587" s="28" t="n">
        <x:v>0</x:v>
      </x:c>
      <x:c r="M1587" s="28" t="n">
        <x:v>0</x:v>
      </x:c>
      <x:c r="N1587" s="28" t="n">
        <x:v>1.862645149230957e-9</x:v>
      </x:c>
      <x:c r="O1587" s="28" t="n">
        <x:v>2.9802322387695312e-8</x:v>
      </x:c>
      <x:c r="P1587" s="28" t="n">
        <x:v>0</x:v>
      </x:c>
      <x:c r="Q1587" s="62" t="b">
        <x:v>1</x:v>
      </x:c>
      <x:c r="R1587" s="28" t="n">
        <x:v>0</x:v>
      </x:c>
      <x:c r="S1587" s="28" t="str">
        <x:v>1ef4ed9fb1a67bac</x:v>
      </x:c>
    </x:row>
    <x:row r="1588" ht="21" customHeight="1">
      <x:c r="A1588" s="60" t="n">
        <x:v>0.66</x:v>
      </x:c>
      <x:c r="B1588" s="28" t="str">
        <x:v>middle_flat</x:v>
      </x:c>
      <x:c r="C1588" s="60" t="n">
        <x:v>0.25</x:v>
      </x:c>
      <x:c r="D1588" s="60" t="n">
        <x:v>0.25</x:v>
      </x:c>
      <x:c r="E1588" s="62" t="b">
        <x:v>1</x:v>
      </x:c>
      <x:c r="F1588" s="62" t="b">
        <x:v>1</x:v>
      </x:c>
      <x:c r="G1588" s="85" t="n">
        <x:v>0</x:v>
      </x:c>
      <x:c r="H1588" s="85" t="n">
        <x:v>0</x:v>
      </x:c>
      <x:c r="I1588" s="85" t="n">
        <x:v>16970824.12619488</x:v>
      </x:c>
      <x:c r="J1588" s="85" t="n">
        <x:v>15397852.56590101</x:v>
      </x:c>
      <x:c r="K1588" s="85" t="n">
        <x:v>919102.2781477383</x:v>
      </x:c>
      <x:c r="L1588" s="28" t="n">
        <x:v>0</x:v>
      </x:c>
      <x:c r="M1588" s="28" t="n">
        <x:v>0</x:v>
      </x:c>
      <x:c r="N1588" s="28" t="n">
        <x:v>3.725290298461914e-9</x:v>
      </x:c>
      <x:c r="O1588" s="28" t="n">
        <x:v>2.9802322387695312e-8</x:v>
      </x:c>
      <x:c r="P1588" s="28" t="n">
        <x:v>0</x:v>
      </x:c>
      <x:c r="Q1588" s="62" t="b">
        <x:v>1</x:v>
      </x:c>
      <x:c r="R1588" s="28" t="n">
        <x:v>0</x:v>
      </x:c>
      <x:c r="S1588" s="28" t="str">
        <x:v>6bef5444cb9f7aa1</x:v>
      </x:c>
    </x:row>
    <x:row r="1589" ht="21" customHeight="1">
      <x:c r="A1589" s="60" t="n">
        <x:v>0.66</x:v>
      </x:c>
      <x:c r="B1589" s="28" t="str">
        <x:v>middle_flat</x:v>
      </x:c>
      <x:c r="C1589" s="60" t="n">
        <x:v>0.3</x:v>
      </x:c>
      <x:c r="D1589" s="60" t="n">
        <x:v>0.3</x:v>
      </x:c>
      <x:c r="E1589" s="62" t="b">
        <x:v>1</x:v>
      </x:c>
      <x:c r="F1589" s="62" t="b">
        <x:v>1</x:v>
      </x:c>
      <x:c r="G1589" s="85" t="n">
        <x:v>0</x:v>
      </x:c>
      <x:c r="H1589" s="85" t="n">
        <x:v>0</x:v>
      </x:c>
      <x:c r="I1589" s="85" t="n">
        <x:v>23325281.223899517</x:v>
      </x:c>
      <x:c r="J1589" s="85" t="n">
        <x:v>24477423.07908109</x:v>
      </x:c>
      <x:c r="K1589" s="85" t="n">
        <x:v>737036.5318594854</x:v>
      </x:c>
      <x:c r="L1589" s="28" t="n">
        <x:v>0</x:v>
      </x:c>
      <x:c r="M1589" s="28" t="n">
        <x:v>0</x:v>
      </x:c>
      <x:c r="N1589" s="28" t="n">
        <x:v>1.862645149230957e-9</x:v>
      </x:c>
      <x:c r="O1589" s="28" t="n">
        <x:v>2.9802322387695312e-8</x:v>
      </x:c>
      <x:c r="P1589" s="28" t="n">
        <x:v>0</x:v>
      </x:c>
      <x:c r="Q1589" s="62" t="b">
        <x:v>1</x:v>
      </x:c>
      <x:c r="R1589" s="28" t="n">
        <x:v>0</x:v>
      </x:c>
      <x:c r="S1589" s="28" t="str">
        <x:v>989ecf689d479abe</x:v>
      </x:c>
    </x:row>
    <x:row r="1590" ht="21" customHeight="1">
      <x:c r="A1590" s="60" t="n">
        <x:v>0.66</x:v>
      </x:c>
      <x:c r="B1590" s="28" t="str">
        <x:v>middle_flat</x:v>
      </x:c>
      <x:c r="C1590" s="60" t="n">
        <x:v>0.35</x:v>
      </x:c>
      <x:c r="D1590" s="60" t="n">
        <x:v>0.35</x:v>
      </x:c>
      <x:c r="E1590" s="62" t="b">
        <x:v>1</x:v>
      </x:c>
      <x:c r="F1590" s="62" t="b">
        <x:v>1</x:v>
      </x:c>
      <x:c r="G1590" s="85" t="n">
        <x:v>0</x:v>
      </x:c>
      <x:c r="H1590" s="85" t="n">
        <x:v>0</x:v>
      </x:c>
      <x:c r="I1590" s="85" t="n">
        <x:v>29808901.519210547</x:v>
      </x:c>
      <x:c r="J1590" s="85" t="n">
        <x:v>33556993.59226128</x:v>
      </x:c>
      <x:c r="K1590" s="85" t="n">
        <x:v>634113.0005424682</x:v>
      </x:c>
      <x:c r="L1590" s="28" t="n">
        <x:v>0</x:v>
      </x:c>
      <x:c r="M1590" s="28" t="n">
        <x:v>0</x:v>
      </x:c>
      <x:c r="N1590" s="28" t="n">
        <x:v>3.725290298461914e-9</x:v>
      </x:c>
      <x:c r="O1590" s="28" t="n">
        <x:v>2.9802322387695312e-8</x:v>
      </x:c>
      <x:c r="P1590" s="28" t="n">
        <x:v>0</x:v>
      </x:c>
      <x:c r="Q1590" s="62" t="b">
        <x:v>1</x:v>
      </x:c>
      <x:c r="R1590" s="28" t="n">
        <x:v>0</x:v>
      </x:c>
      <x:c r="S1590" s="28" t="str">
        <x:v>6874e80a243ca0e6</x:v>
      </x:c>
    </x:row>
    <x:row r="1591" ht="21" customHeight="1">
      <x:c r="A1591" s="60" t="n">
        <x:v>0.66</x:v>
      </x:c>
      <x:c r="B1591" s="28" t="str">
        <x:v>middle_flat</x:v>
      </x:c>
      <x:c r="C1591" s="60" t="n">
        <x:v>0.4</x:v>
      </x:c>
      <x:c r="D1591" s="60" t="n">
        <x:v>0.4</x:v>
      </x:c>
      <x:c r="E1591" s="62" t="b">
        <x:v>1</x:v>
      </x:c>
      <x:c r="F1591" s="62" t="b">
        <x:v>1</x:v>
      </x:c>
      <x:c r="G1591" s="85" t="n">
        <x:v>0</x:v>
      </x:c>
      <x:c r="H1591" s="85" t="n">
        <x:v>0</x:v>
      </x:c>
      <x:c r="I1591" s="85" t="n">
        <x:v>37970041.8787658</x:v>
      </x:c>
      <x:c r="J1591" s="85" t="n">
        <x:v>38318671.21852102</x:v>
      </x:c>
      <x:c r="K1591" s="85" t="n">
        <x:v>550309.7863342472</x:v>
      </x:c>
      <x:c r="L1591" s="28" t="n">
        <x:v>5</x:v>
      </x:c>
      <x:c r="M1591" s="28" t="n">
        <x:v>0</x:v>
      </x:c>
      <x:c r="N1591" s="28" t="n">
        <x:v>1.862645149230957e-9</x:v>
      </x:c>
      <x:c r="O1591" s="28" t="n">
        <x:v>2.9802322387695312e-8</x:v>
      </x:c>
      <x:c r="P1591" s="28" t="n">
        <x:v>0</x:v>
      </x:c>
      <x:c r="Q1591" s="62" t="b">
        <x:v>1</x:v>
      </x:c>
      <x:c r="R1591" s="28" t="n">
        <x:v>0</x:v>
      </x:c>
      <x:c r="S1591" s="28" t="str">
        <x:v>9f9fec6be209b369</x:v>
      </x:c>
    </x:row>
    <x:row r="1592" ht="21" customHeight="1">
      <x:c r="A1592" s="60" t="n">
        <x:v>0.66</x:v>
      </x:c>
      <x:c r="B1592" s="28" t="str">
        <x:v>middle_flat</x:v>
      </x:c>
      <x:c r="C1592" s="60" t="n">
        <x:v>0.45</x:v>
      </x:c>
      <x:c r="D1592" s="60" t="n">
        <x:v>0.45</x:v>
      </x:c>
      <x:c r="E1592" s="62" t="b">
        <x:v>1</x:v>
      </x:c>
      <x:c r="F1592" s="62" t="b">
        <x:v>1</x:v>
      </x:c>
      <x:c r="G1592" s="85" t="n">
        <x:v>0</x:v>
      </x:c>
      <x:c r="H1592" s="85" t="n">
        <x:v>0</x:v>
      </x:c>
      <x:c r="I1592" s="85" t="n">
        <x:v>45404865.8257808</x:v>
      </x:c>
      <x:c r="J1592" s="85" t="n">
        <x:v>45210154.46164488</x:v>
      </x:c>
      <x:c r="K1592" s="85" t="n">
        <x:v>466506.5721260317</x:v>
      </x:c>
      <x:c r="L1592" s="28" t="n">
        <x:v>10</x:v>
      </x:c>
      <x:c r="M1592" s="28" t="n">
        <x:v>0</x:v>
      </x:c>
      <x:c r="N1592" s="28" t="n">
        <x:v>3.725290298461914e-9</x:v>
      </x:c>
      <x:c r="O1592" s="28" t="n">
        <x:v>2.9802322387695312e-8</x:v>
      </x:c>
      <x:c r="P1592" s="28" t="n">
        <x:v>0</x:v>
      </x:c>
      <x:c r="Q1592" s="62" t="b">
        <x:v>1</x:v>
      </x:c>
      <x:c r="R1592" s="28" t="n">
        <x:v>0</x:v>
      </x:c>
      <x:c r="S1592" s="28" t="str">
        <x:v>9582a77b63bd117a</x:v>
      </x:c>
    </x:row>
    <x:row r="1593" ht="21" customHeight="1">
      <x:c r="A1593" s="60" t="n">
        <x:v>0.66</x:v>
      </x:c>
      <x:c r="B1593" s="28" t="str">
        <x:v>middle_flat</x:v>
      </x:c>
      <x:c r="C1593" s="60" t="n">
        <x:v>0.5</x:v>
      </x:c>
      <x:c r="D1593" s="60" t="n">
        <x:v>0.5</x:v>
      </x:c>
      <x:c r="E1593" s="62" t="b">
        <x:v>1</x:v>
      </x:c>
      <x:c r="F1593" s="62" t="b">
        <x:v>1</x:v>
      </x:c>
      <x:c r="G1593" s="85" t="n">
        <x:v>0</x:v>
      </x:c>
      <x:c r="H1593" s="85" t="n">
        <x:v>0</x:v>
      </x:c>
      <x:c r="I1593" s="85" t="n">
        <x:v>52293361.18044325</x:v>
      </x:c>
      <x:c r="J1593" s="85" t="n">
        <x:v>53034472.06562609</x:v>
      </x:c>
      <x:c r="K1593" s="85" t="n">
        <x:v>382703.3579178163</x:v>
      </x:c>
      <x:c r="L1593" s="28" t="n">
        <x:v>13</x:v>
      </x:c>
      <x:c r="M1593" s="28" t="n">
        <x:v>0</x:v>
      </x:c>
      <x:c r="N1593" s="28" t="n">
        <x:v>3.725290298461914e-9</x:v>
      </x:c>
      <x:c r="O1593" s="28" t="n">
        <x:v>1.4901161193847656e-8</x:v>
      </x:c>
      <x:c r="P1593" s="28" t="n">
        <x:v>0</x:v>
      </x:c>
      <x:c r="Q1593" s="62" t="b">
        <x:v>1</x:v>
      </x:c>
      <x:c r="R1593" s="28" t="n">
        <x:v>0</x:v>
      </x:c>
      <x:c r="S1593" s="28" t="str">
        <x:v>3dc32d8609b3a375</x:v>
      </x:c>
    </x:row>
    <x:row r="1594" ht="21" customHeight="1">
      <x:c r="A1594" s="60" t="n">
        <x:v>0.66</x:v>
      </x:c>
      <x:c r="B1594" s="28" t="str">
        <x:v>middle_flat</x:v>
      </x:c>
      <x:c r="C1594" s="60" t="n">
        <x:v>0.55</x:v>
      </x:c>
      <x:c r="D1594" s="60" t="n">
        <x:v>0.55</x:v>
      </x:c>
      <x:c r="E1594" s="62" t="b">
        <x:v>1</x:v>
      </x:c>
      <x:c r="F1594" s="62" t="b">
        <x:v>1</x:v>
      </x:c>
      <x:c r="G1594" s="85" t="n">
        <x:v>0</x:v>
      </x:c>
      <x:c r="H1594" s="85" t="n">
        <x:v>0</x:v>
      </x:c>
      <x:c r="I1594" s="85" t="n">
        <x:v>58204783.60881676</x:v>
      </x:c>
      <x:c r="J1594" s="85" t="n">
        <x:v>63337029.84820814</x:v>
      </x:c>
      <x:c r="K1594" s="85" t="n">
        <x:v>324549.5274465743</x:v>
      </x:c>
      <x:c r="L1594" s="28" t="n">
        <x:v>16</x:v>
      </x:c>
      <x:c r="M1594" s="28" t="n">
        <x:v>4</x:v>
      </x:c>
      <x:c r="N1594" s="28" t="n">
        <x:v>1.862645149230957e-9</x:v>
      </x:c>
      <x:c r="O1594" s="28" t="n">
        <x:v>2.9802322387695312e-8</x:v>
      </x:c>
      <x:c r="P1594" s="28" t="n">
        <x:v>0</x:v>
      </x:c>
      <x:c r="Q1594" s="62" t="b">
        <x:v>1</x:v>
      </x:c>
      <x:c r="R1594" s="28" t="n">
        <x:v>0</x:v>
      </x:c>
      <x:c r="S1594" s="28" t="str">
        <x:v>e65cb707e6c3ff53</x:v>
      </x:c>
    </x:row>
    <x:row r="1595" ht="21" customHeight="1">
      <x:c r="A1595" s="60" t="n">
        <x:v>0.66</x:v>
      </x:c>
      <x:c r="B1595" s="28" t="str">
        <x:v>middle_flat</x:v>
      </x:c>
      <x:c r="C1595" s="60" t="n">
        <x:v>0.6</x:v>
      </x:c>
      <x:c r="D1595" s="60" t="n">
        <x:v>0.6</x:v>
      </x:c>
      <x:c r="E1595" s="62" t="b">
        <x:v>1</x:v>
      </x:c>
      <x:c r="F1595" s="62" t="b">
        <x:v>0</x:v>
      </x:c>
      <x:c r="G1595" s="85" t="n">
        <x:v>188443.58650489748</x:v>
      </x:c>
      <x:c r="H1595" s="85" t="n">
        <x:v>1194475.6223927108</x:v>
      </x:c>
      <x:c r="I1595" s="85" t="n">
        <x:v>63549033.36271366</x:v>
      </x:c>
      <x:c r="J1595" s="85" t="n">
        <x:v>71999999.99999999</x:v>
      </x:c>
      <x:c r="K1595" s="85" t="n">
        <x:v>299022.1182356182</x:v>
      </x:c>
      <x:c r="L1595" s="28" t="n">
        <x:v>41</x:v>
      </x:c>
      <x:c r="M1595" s="28" t="n">
        <x:v>34</x:v>
      </x:c>
      <x:c r="N1595" s="28" t="n">
        <x:v>1.862645149230957e-9</x:v>
      </x:c>
      <x:c r="O1595" s="28" t="n">
        <x:v>2.9802322387695312e-8</x:v>
      </x:c>
      <x:c r="P1595" s="28" t="n">
        <x:v>0</x:v>
      </x:c>
      <x:c r="Q1595" s="62" t="b">
        <x:v>1</x:v>
      </x:c>
      <x:c r="R1595" s="28" t="n">
        <x:v>0</x:v>
      </x:c>
      <x:c r="S1595" s="28" t="str">
        <x:v>9015c70308c95431</x:v>
      </x:c>
    </x:row>
    <x:row r="1596" ht="21" customHeight="1">
      <x:c r="A1596" s="60" t="n">
        <x:v>0.66</x:v>
      </x:c>
      <x:c r="B1596" s="28" t="str">
        <x:v>middle_flat</x:v>
      </x:c>
      <x:c r="C1596" s="60" t="n">
        <x:v>0.65</x:v>
      </x:c>
      <x:c r="D1596" s="60" t="n">
        <x:v>0.65</x:v>
      </x:c>
      <x:c r="E1596" s="62" t="b">
        <x:v>1</x:v>
      </x:c>
      <x:c r="F1596" s="62" t="b">
        <x:v>0</x:v>
      </x:c>
      <x:c r="G1596" s="85" t="n">
        <x:v>1923027.3614976993</x:v>
      </x:c>
      <x:c r="H1596" s="85" t="n">
        <x:v>12536287.127619045</x:v>
      </x:c>
      <x:c r="I1596" s="85" t="n">
        <x:v>64790547.835533634</x:v>
      </x:c>
      <x:c r="J1596" s="85" t="n">
        <x:v>71999999.99999999</x:v>
      </x:c>
      <x:c r="K1596" s="85" t="n">
        <x:v>273494.7090246541</x:v>
      </x:c>
      <x:c r="L1596" s="28" t="n">
        <x:v>42</x:v>
      </x:c>
      <x:c r="M1596" s="28" t="n">
        <x:v>35</x:v>
      </x:c>
      <x:c r="N1596" s="28" t="n">
        <x:v>1.862645149230957e-9</x:v>
      </x:c>
      <x:c r="O1596" s="28" t="n">
        <x:v>2.9802322387695312e-8</x:v>
      </x:c>
      <x:c r="P1596" s="28" t="n">
        <x:v>0</x:v>
      </x:c>
      <x:c r="Q1596" s="62" t="b">
        <x:v>1</x:v>
      </x:c>
      <x:c r="R1596" s="28" t="n">
        <x:v>0</x:v>
      </x:c>
      <x:c r="S1596" s="28" t="str">
        <x:v>ad4dce434b6a9970</x:v>
      </x:c>
    </x:row>
    <x:row r="1597" ht="21" customHeight="1">
      <x:c r="A1597" s="60" t="n">
        <x:v>0.66</x:v>
      </x:c>
      <x:c r="B1597" s="28" t="str">
        <x:v>middle_flat</x:v>
      </x:c>
      <x:c r="C1597" s="60" t="n">
        <x:v>0.7</x:v>
      </x:c>
      <x:c r="D1597" s="60" t="n">
        <x:v>0.7</x:v>
      </x:c>
      <x:c r="E1597" s="62" t="b">
        <x:v>1</x:v>
      </x:c>
      <x:c r="F1597" s="62" t="b">
        <x:v>0</x:v>
      </x:c>
      <x:c r="G1597" s="85" t="n">
        <x:v>4364518.141352293</x:v>
      </x:c>
      <x:c r="H1597" s="85" t="n">
        <x:v>24814796.20631525</x:v>
      </x:c>
      <x:c r="I1597" s="85" t="n">
        <x:v>64891098.72334518</x:v>
      </x:c>
      <x:c r="J1597" s="85" t="n">
        <x:v>71999999.99999999</x:v>
      </x:c>
      <x:c r="K1597" s="85" t="n">
        <x:v>247967.2998136999</x:v>
      </x:c>
      <x:c r="L1597" s="28" t="n">
        <x:v>42</x:v>
      </x:c>
      <x:c r="M1597" s="28" t="n">
        <x:v>36</x:v>
      </x:c>
      <x:c r="N1597" s="28" t="n">
        <x:v>1.862645149230957e-9</x:v>
      </x:c>
      <x:c r="O1597" s="28" t="n">
        <x:v>1.4901161193847656e-8</x:v>
      </x:c>
      <x:c r="P1597" s="28" t="n">
        <x:v>0</x:v>
      </x:c>
      <x:c r="Q1597" s="62" t="b">
        <x:v>1</x:v>
      </x:c>
      <x:c r="R1597" s="28" t="n">
        <x:v>0</x:v>
      </x:c>
      <x:c r="S1597" s="28" t="str">
        <x:v>91833cb3b75c7516</x:v>
      </x:c>
    </x:row>
    <x:row r="1598" ht="21" customHeight="1">
      <x:c r="A1598" s="60" t="n">
        <x:v>0.66</x:v>
      </x:c>
      <x:c r="B1598" s="28" t="str">
        <x:v>middle_flat</x:v>
      </x:c>
      <x:c r="C1598" s="60" t="n">
        <x:v>0.75</x:v>
      </x:c>
      <x:c r="D1598" s="60" t="n">
        <x:v>0.75</x:v>
      </x:c>
      <x:c r="E1598" s="62" t="b">
        <x:v>1</x:v>
      </x:c>
      <x:c r="F1598" s="62" t="b">
        <x:v>0</x:v>
      </x:c>
      <x:c r="G1598" s="85" t="n">
        <x:v>6473635.823806906</x:v>
      </x:c>
      <x:c r="H1598" s="85" t="n">
        <x:v>35443993.20307578</x:v>
      </x:c>
      <x:c r="I1598" s="85" t="n">
        <x:v>66207789.20967288</x:v>
      </x:c>
      <x:c r="J1598" s="85" t="n">
        <x:v>71999999.99999999</x:v>
      </x:c>
      <x:c r="K1598" s="85" t="n">
        <x:v>222439.89060274052</x:v>
      </x:c>
      <x:c r="L1598" s="28" t="n">
        <x:v>43</x:v>
      </x:c>
      <x:c r="M1598" s="28" t="n">
        <x:v>37</x:v>
      </x:c>
      <x:c r="N1598" s="28" t="n">
        <x:v>1.862645149230957e-9</x:v>
      </x:c>
      <x:c r="O1598" s="28" t="n">
        <x:v>2.9802322387695312e-8</x:v>
      </x:c>
      <x:c r="P1598" s="28" t="n">
        <x:v>0</x:v>
      </x:c>
      <x:c r="Q1598" s="62" t="b">
        <x:v>1</x:v>
      </x:c>
      <x:c r="R1598" s="28" t="n">
        <x:v>0</x:v>
      </x:c>
      <x:c r="S1598" s="28" t="str">
        <x:v>1a2053a627e37294</x:v>
      </x:c>
    </x:row>
    <x:row r="1599" ht="21" customHeight="1">
      <x:c r="A1599" s="60" t="n">
        <x:v>0.66</x:v>
      </x:c>
      <x:c r="B1599" s="28" t="str">
        <x:v>middle_flat</x:v>
      </x:c>
      <x:c r="C1599" s="60" t="n">
        <x:v>0.8</x:v>
      </x:c>
      <x:c r="D1599" s="60" t="n">
        <x:v>0.8</x:v>
      </x:c>
      <x:c r="E1599" s="62" t="b">
        <x:v>1</x:v>
      </x:c>
      <x:c r="F1599" s="62" t="b">
        <x:v>0</x:v>
      </x:c>
      <x:c r="G1599" s="85" t="n">
        <x:v>9208964.458931701</x:v>
      </x:c>
      <x:c r="H1599" s="85" t="n">
        <x:v>47318685.41690131</x:v>
      </x:c>
      <x:c r="I1599" s="85" t="n">
        <x:v>66312065.90127666</x:v>
      </x:c>
      <x:c r="J1599" s="85" t="n">
        <x:v>71999999.99999999</x:v>
      </x:c>
      <x:c r="K1599" s="85" t="n">
        <x:v>196912.481391776</x:v>
      </x:c>
      <x:c r="L1599" s="28" t="n">
        <x:v>43</x:v>
      </x:c>
      <x:c r="M1599" s="28" t="n">
        <x:v>38</x:v>
      </x:c>
      <x:c r="N1599" s="28" t="n">
        <x:v>1.862645149230957e-9</x:v>
      </x:c>
      <x:c r="O1599" s="28" t="n">
        <x:v>1.4901161193847656e-8</x:v>
      </x:c>
      <x:c r="P1599" s="28" t="n">
        <x:v>0</x:v>
      </x:c>
      <x:c r="Q1599" s="62" t="b">
        <x:v>1</x:v>
      </x:c>
      <x:c r="R1599" s="28" t="n">
        <x:v>0</x:v>
      </x:c>
      <x:c r="S1599" s="28" t="str">
        <x:v>1c5af14e32e62484</x:v>
      </x:c>
    </x:row>
    <x:row r="1600" ht="21" customHeight="1">
      <x:c r="A1600" s="60" t="n">
        <x:v>0.66</x:v>
      </x:c>
      <x:c r="B1600" s="28" t="str">
        <x:v>middle_flat</x:v>
      </x:c>
      <x:c r="C1600" s="60" t="n">
        <x:v>0.85</x:v>
      </x:c>
      <x:c r="D1600" s="60" t="n">
        <x:v>0.85</x:v>
      </x:c>
      <x:c r="E1600" s="62" t="b">
        <x:v>1</x:v>
      </x:c>
      <x:c r="F1600" s="62" t="b">
        <x:v>0</x:v>
      </x:c>
      <x:c r="G1600" s="85" t="n">
        <x:v>11760939.066903584</x:v>
      </x:c>
      <x:c r="H1600" s="85" t="n">
        <x:v>59121083.997194715</x:v>
      </x:c>
      <x:c r="I1600" s="85" t="n">
        <x:v>66416342.59288043</x:v>
      </x:c>
      <x:c r="J1600" s="85" t="n">
        <x:v>71999999.99999999</x:v>
      </x:c>
      <x:c r="K1600" s="85" t="n">
        <x:v>171385.07218082034</x:v>
      </x:c>
      <x:c r="L1600" s="28" t="n">
        <x:v>43</x:v>
      </x:c>
      <x:c r="M1600" s="28" t="n">
        <x:v>38</x:v>
      </x:c>
      <x:c r="N1600" s="28" t="n">
        <x:v>1.862645149230957e-9</x:v>
      </x:c>
      <x:c r="O1600" s="28" t="n">
        <x:v>2.9802322387695312e-8</x:v>
      </x:c>
      <x:c r="P1600" s="28" t="n">
        <x:v>0</x:v>
      </x:c>
      <x:c r="Q1600" s="62" t="b">
        <x:v>1</x:v>
      </x:c>
      <x:c r="R1600" s="28" t="n">
        <x:v>0</x:v>
      </x:c>
      <x:c r="S1600" s="28" t="str">
        <x:v>66c448e0f2fbe4be</x:v>
      </x:c>
    </x:row>
    <x:row r="1601" ht="21" customHeight="1">
      <x:c r="A1601" s="60" t="n">
        <x:v>0.66</x:v>
      </x:c>
      <x:c r="B1601" s="28" t="str">
        <x:v>middle_flat</x:v>
      </x:c>
      <x:c r="C1601" s="60" t="n">
        <x:v>0.9</x:v>
      </x:c>
      <x:c r="D1601" s="60" t="n">
        <x:v>0.9</x:v>
      </x:c>
      <x:c r="E1601" s="62" t="b">
        <x:v>1</x:v>
      </x:c>
      <x:c r="F1601" s="62" t="b">
        <x:v>0</x:v>
      </x:c>
      <x:c r="G1601" s="85" t="n">
        <x:v>16956001.83391597</x:v>
      </x:c>
      <x:c r="H1601" s="85" t="n">
        <x:v>67666350.23031986</x:v>
      </x:c>
      <x:c r="I1601" s="85" t="n">
        <x:v>67597448.51186845</x:v>
      </x:c>
      <x:c r="J1601" s="85" t="n">
        <x:v>71999999.99999999</x:v>
      </x:c>
      <x:c r="K1601" s="85" t="n">
        <x:v>145857.6629698656</x:v>
      </x:c>
      <x:c r="L1601" s="28" t="n">
        <x:v>44</x:v>
      </x:c>
      <x:c r="M1601" s="28" t="n">
        <x:v>39</x:v>
      </x:c>
      <x:c r="N1601" s="28" t="n">
        <x:v>1.862645149230957e-9</x:v>
      </x:c>
      <x:c r="O1601" s="28" t="n">
        <x:v>2.9802322387695312e-8</x:v>
      </x:c>
      <x:c r="P1601" s="28" t="n">
        <x:v>0</x:v>
      </x:c>
      <x:c r="Q1601" s="62" t="b">
        <x:v>1</x:v>
      </x:c>
      <x:c r="R1601" s="28" t="n">
        <x:v>0</x:v>
      </x:c>
      <x:c r="S1601" s="28" t="str">
        <x:v>27639fce131f70f5</x:v>
      </x:c>
    </x:row>
    <x:row r="1602" ht="21" customHeight="1">
      <x:c r="A1602" s="60" t="n">
        <x:v>0.66</x:v>
      </x:c>
      <x:c r="B1602" s="28" t="str">
        <x:v>middle_flat</x:v>
      </x:c>
      <x:c r="C1602" s="60" t="n">
        <x:v>0.95</x:v>
      </x:c>
      <x:c r="D1602" s="60" t="n">
        <x:v>0.9361238209331334</x:v>
      </x:c>
      <x:c r="E1602" s="62" t="b">
        <x:v>0</x:v>
      </x:c>
      <x:c r="F1602" s="62" t="b">
        <x:v>0</x:v>
      </x:c>
      <x:c r="G1602" s="85" t="n">
        <x:v>19472974.15882815</x:v>
      </x:c>
      <x:c r="H1602" s="85" t="n">
        <x:v>73727600.18227746</x:v>
      </x:c>
      <x:c r="I1602" s="85" t="n">
        <x:v>67656858.56344105</x:v>
      </x:c>
      <x:c r="J1602" s="85" t="n">
        <x:v>71999999.99999999</x:v>
      </x:c>
      <x:c r="K1602" s="85" t="n">
        <x:v>120330.2537589053</x:v>
      </x:c>
      <x:c r="L1602" s="28" t="n">
        <x:v>44</x:v>
      </x:c>
      <x:c r="M1602" s="28" t="n">
        <x:v>40</x:v>
      </x:c>
      <x:c r="N1602" s="28" t="n">
        <x:v>1.862645149230957e-9</x:v>
      </x:c>
      <x:c r="O1602" s="28" t="n">
        <x:v>1.4901161193847656e-8</x:v>
      </x:c>
      <x:c r="P1602" s="28" t="n">
        <x:v>0</x:v>
      </x:c>
      <x:c r="Q1602" s="62" t="b">
        <x:v>1</x:v>
      </x:c>
      <x:c r="R1602" s="28" t="n">
        <x:v>4162853.720059991</x:v>
      </x:c>
      <x:c r="S1602" s="28" t="str">
        <x:v>d10823c7c9b1de80</x:v>
      </x:c>
    </x:row>
    <x:row r="1603" ht="21" customHeight="1">
      <x:c r="A1603" s="60" t="n">
        <x:v>0.66</x:v>
      </x:c>
      <x:c r="B1603" s="28" t="str">
        <x:v>middle_flat</x:v>
      </x:c>
      <x:c r="C1603" s="60" t="n">
        <x:v>1</x:v>
      </x:c>
      <x:c r="D1603" s="60" t="n">
        <x:v>0.9498342654879072</x:v>
      </x:c>
      <x:c r="E1603" s="62" t="b">
        <x:v>0</x:v>
      </x:c>
      <x:c r="F1603" s="62" t="b">
        <x:v>0</x:v>
      </x:c>
      <x:c r="G1603" s="85" t="n">
        <x:v>21179506.238451656</x:v>
      </x:c>
      <x:c r="H1603" s="85" t="n">
        <x:v>76957350.54588115</x:v>
      </x:c>
      <x:c r="I1603" s="85" t="n">
        <x:v>67716268.61501364</x:v>
      </x:c>
      <x:c r="J1603" s="85" t="n">
        <x:v>71999999.99999999</x:v>
      </x:c>
      <x:c r="K1603" s="85" t="n">
        <x:v>94802.8445479515</x:v>
      </x:c>
      <x:c r="L1603" s="28" t="n">
        <x:v>44</x:v>
      </x:c>
      <x:c r="M1603" s="28" t="n">
        <x:v>40</x:v>
      </x:c>
      <x:c r="N1603" s="28" t="n">
        <x:v>1.862645149230957e-9</x:v>
      </x:c>
      <x:c r="O1603" s="28" t="n">
        <x:v>1.4901161193847656e-8</x:v>
      </x:c>
      <x:c r="P1603" s="28" t="n">
        <x:v>0</x:v>
      </x:c>
      <x:c r="Q1603" s="62" t="b">
        <x:v>1</x:v>
      </x:c>
      <x:c r="R1603" s="28" t="n">
        <x:v>15049720.35362786</x:v>
      </x:c>
      <x:c r="S1603" s="28" t="str">
        <x:v>9f4c098cf0f9c7fb</x:v>
      </x:c>
    </x:row>
    <x:row r="1604" ht="21" customHeight="1">
      <x:c r="A1604" s="60" t="n">
        <x:v>0.66</x:v>
      </x:c>
      <x:c r="B1604" s="28" t="str">
        <x:v>middle_low</x:v>
      </x:c>
      <x:c r="C1604" s="60" t="n">
        <x:v>0</x:v>
      </x:c>
      <x:c r="D1604" s="60" t="n">
        <x:v>0</x:v>
      </x:c>
      <x:c r="E1604" s="62" t="b">
        <x:v>1</x:v>
      </x:c>
      <x:c r="F1604" s="62" t="b">
        <x:v>1</x:v>
      </x:c>
      <x:c r="G1604" s="85" t="n">
        <x:v>0</x:v>
      </x:c>
      <x:c r="H1604" s="85" t="n">
        <x:v>0</x:v>
      </x:c>
      <x:c r="I1604" s="85" t="n">
        <x:v>0</x:v>
      </x:c>
      <x:c r="J1604" s="85" t="n">
        <x:v>0</x:v>
      </x:c>
      <x:c r="K1604" s="85" t="n">
        <x:v>30218842.093835626</x:v>
      </x:c>
      <x:c r="L1604" s="28" t="n">
        <x:v>0</x:v>
      </x:c>
      <x:c r="M1604" s="28" t="n">
        <x:v>0</x:v>
      </x:c>
      <x:c r="N1604" s="28" t="n">
        <x:v>3.725290298461914e-9</x:v>
      </x:c>
      <x:c r="O1604" s="28" t="n">
        <x:v>0</x:v>
      </x:c>
      <x:c r="P1604" s="28" t="n">
        <x:v>0</x:v>
      </x:c>
      <x:c r="Q1604" s="62" t="b">
        <x:v>1</x:v>
      </x:c>
      <x:c r="R1604" s="28" t="n">
        <x:v>0</x:v>
      </x:c>
      <x:c r="S1604" s="28" t="str">
        <x:v>c90e62642e49eb8e</x:v>
      </x:c>
    </x:row>
    <x:row r="1605" ht="21" customHeight="1">
      <x:c r="A1605" s="60" t="n">
        <x:v>0.66</x:v>
      </x:c>
      <x:c r="B1605" s="28" t="str">
        <x:v>middle_low</x:v>
      </x:c>
      <x:c r="C1605" s="60" t="n">
        <x:v>0.05</x:v>
      </x:c>
      <x:c r="D1605" s="60" t="n">
        <x:v>0.05</x:v>
      </x:c>
      <x:c r="E1605" s="62" t="b">
        <x:v>1</x:v>
      </x:c>
      <x:c r="F1605" s="62" t="b">
        <x:v>1</x:v>
      </x:c>
      <x:c r="G1605" s="85" t="n">
        <x:v>0</x:v>
      </x:c>
      <x:c r="H1605" s="85" t="n">
        <x:v>0</x:v>
      </x:c>
      <x:c r="I1605" s="85" t="n">
        <x:v>0</x:v>
      </x:c>
      <x:c r="J1605" s="85" t="n">
        <x:v>0</x:v>
      </x:c>
      <x:c r="K1605" s="85" t="n">
        <x:v>19490120.488543294</x:v>
      </x:c>
      <x:c r="L1605" s="28" t="n">
        <x:v>0</x:v>
      </x:c>
      <x:c r="M1605" s="28" t="n">
        <x:v>0</x:v>
      </x:c>
      <x:c r="N1605" s="28" t="n">
        <x:v>3.725290298461914e-9</x:v>
      </x:c>
      <x:c r="O1605" s="28" t="n">
        <x:v>2.9802322387695312e-8</x:v>
      </x:c>
      <x:c r="P1605" s="28" t="n">
        <x:v>0</x:v>
      </x:c>
      <x:c r="Q1605" s="62" t="b">
        <x:v>1</x:v>
      </x:c>
      <x:c r="R1605" s="28" t="n">
        <x:v>0</x:v>
      </x:c>
      <x:c r="S1605" s="28" t="str">
        <x:v>2f07d2255861f2ea</x:v>
      </x:c>
    </x:row>
    <x:row r="1606" ht="21" customHeight="1">
      <x:c r="A1606" s="60" t="n">
        <x:v>0.66</x:v>
      </x:c>
      <x:c r="B1606" s="28" t="str">
        <x:v>middle_low</x:v>
      </x:c>
      <x:c r="C1606" s="60" t="n">
        <x:v>0.1</x:v>
      </x:c>
      <x:c r="D1606" s="60" t="n">
        <x:v>0.1</x:v>
      </x:c>
      <x:c r="E1606" s="62" t="b">
        <x:v>1</x:v>
      </x:c>
      <x:c r="F1606" s="62" t="b">
        <x:v>1</x:v>
      </x:c>
      <x:c r="G1606" s="85" t="n">
        <x:v>0</x:v>
      </x:c>
      <x:c r="H1606" s="85" t="n">
        <x:v>0</x:v>
      </x:c>
      <x:c r="I1606" s="85" t="n">
        <x:v>0</x:v>
      </x:c>
      <x:c r="J1606" s="85" t="n">
        <x:v>0</x:v>
      </x:c>
      <x:c r="K1606" s="85" t="n">
        <x:v>8677514.087814873</x:v>
      </x:c>
      <x:c r="L1606" s="28" t="n">
        <x:v>0</x:v>
      </x:c>
      <x:c r="M1606" s="28" t="n">
        <x:v>0</x:v>
      </x:c>
      <x:c r="N1606" s="28" t="n">
        <x:v>1.862645149230957e-9</x:v>
      </x:c>
      <x:c r="O1606" s="28" t="n">
        <x:v>5.960464477539063e-8</x:v>
      </x:c>
      <x:c r="P1606" s="28" t="n">
        <x:v>0</x:v>
      </x:c>
      <x:c r="Q1606" s="62" t="b">
        <x:v>1</x:v>
      </x:c>
      <x:c r="R1606" s="28" t="n">
        <x:v>0</x:v>
      </x:c>
      <x:c r="S1606" s="28" t="str">
        <x:v>2607c3ba714f4f18</x:v>
      </x:c>
    </x:row>
    <x:row r="1607" ht="21" customHeight="1">
      <x:c r="A1607" s="60" t="n">
        <x:v>0.66</x:v>
      </x:c>
      <x:c r="B1607" s="28" t="str">
        <x:v>middle_low</x:v>
      </x:c>
      <x:c r="C1607" s="60" t="n">
        <x:v>0.15</x:v>
      </x:c>
      <x:c r="D1607" s="60" t="n">
        <x:v>0.15</x:v>
      </x:c>
      <x:c r="E1607" s="62" t="b">
        <x:v>1</x:v>
      </x:c>
      <x:c r="F1607" s="62" t="b">
        <x:v>1</x:v>
      </x:c>
      <x:c r="G1607" s="85" t="n">
        <x:v>0</x:v>
      </x:c>
      <x:c r="H1607" s="85" t="n">
        <x:v>0</x:v>
      </x:c>
      <x:c r="I1607" s="85" t="n">
        <x:v>1933970.0634999948</x:v>
      </x:c>
      <x:c r="J1607" s="85" t="n">
        <x:v>0</x:v>
      </x:c>
      <x:c r="K1607" s="85" t="n">
        <x:v>701947.6269038497</x:v>
      </x:c>
      <x:c r="L1607" s="28" t="n">
        <x:v>0</x:v>
      </x:c>
      <x:c r="M1607" s="28" t="n">
        <x:v>0</x:v>
      </x:c>
      <x:c r="N1607" s="28" t="n">
        <x:v>1.862645149230957e-9</x:v>
      </x:c>
      <x:c r="O1607" s="28" t="n">
        <x:v>2.9802322387695312e-8</x:v>
      </x:c>
      <x:c r="P1607" s="28" t="n">
        <x:v>0</x:v>
      </x:c>
      <x:c r="Q1607" s="62" t="b">
        <x:v>1</x:v>
      </x:c>
      <x:c r="R1607" s="28" t="n">
        <x:v>0</x:v>
      </x:c>
      <x:c r="S1607" s="28" t="str">
        <x:v>41c7d6932eed5aee</x:v>
      </x:c>
    </x:row>
    <x:row r="1608" ht="21" customHeight="1">
      <x:c r="A1608" s="60" t="n">
        <x:v>0.66</x:v>
      </x:c>
      <x:c r="B1608" s="28" t="str">
        <x:v>middle_low</x:v>
      </x:c>
      <x:c r="C1608" s="60" t="n">
        <x:v>0.2</x:v>
      </x:c>
      <x:c r="D1608" s="60" t="n">
        <x:v>0.2</x:v>
      </x:c>
      <x:c r="E1608" s="62" t="b">
        <x:v>1</x:v>
      </x:c>
      <x:c r="F1608" s="62" t="b">
        <x:v>1</x:v>
      </x:c>
      <x:c r="G1608" s="85" t="n">
        <x:v>0</x:v>
      </x:c>
      <x:c r="H1608" s="85" t="n">
        <x:v>0</x:v>
      </x:c>
      <x:c r="I1608" s="85" t="n">
        <x:v>8165750.423218673</x:v>
      </x:c>
      <x:c r="J1608" s="85" t="n">
        <x:v>6318282.052720841</x:v>
      </x:c>
      <x:c r="K1608" s="85" t="n">
        <x:v>524617.1641823025</x:v>
      </x:c>
      <x:c r="L1608" s="28" t="n">
        <x:v>0</x:v>
      </x:c>
      <x:c r="M1608" s="28" t="n">
        <x:v>0</x:v>
      </x:c>
      <x:c r="N1608" s="28" t="n">
        <x:v>1.862645149230957e-9</x:v>
      </x:c>
      <x:c r="O1608" s="28" t="n">
        <x:v>2.9802322387695312e-8</x:v>
      </x:c>
      <x:c r="P1608" s="28" t="n">
        <x:v>0</x:v>
      </x:c>
      <x:c r="Q1608" s="62" t="b">
        <x:v>1</x:v>
      </x:c>
      <x:c r="R1608" s="28" t="n">
        <x:v>0</x:v>
      </x:c>
      <x:c r="S1608" s="28" t="str">
        <x:v>b09855adcba314f0</x:v>
      </x:c>
    </x:row>
    <x:row r="1609" ht="21" customHeight="1">
      <x:c r="A1609" s="60" t="n">
        <x:v>0.66</x:v>
      </x:c>
      <x:c r="B1609" s="28" t="str">
        <x:v>middle_low</x:v>
      </x:c>
      <x:c r="C1609" s="60" t="n">
        <x:v>0.25</x:v>
      </x:c>
      <x:c r="D1609" s="60" t="n">
        <x:v>0.25</x:v>
      </x:c>
      <x:c r="E1609" s="62" t="b">
        <x:v>1</x:v>
      </x:c>
      <x:c r="F1609" s="62" t="b">
        <x:v>1</x:v>
      </x:c>
      <x:c r="G1609" s="85" t="n">
        <x:v>0</x:v>
      </x:c>
      <x:c r="H1609" s="85" t="n">
        <x:v>0</x:v>
      </x:c>
      <x:c r="I1609" s="85" t="n">
        <x:v>12288643.184466502</x:v>
      </x:c>
      <x:c r="J1609" s="85" t="n">
        <x:v>15397852.56590101</x:v>
      </x:c>
      <x:c r="K1609" s="85" t="n">
        <x:v>415940.1177059629</x:v>
      </x:c>
      <x:c r="L1609" s="28" t="n">
        <x:v>0</x:v>
      </x:c>
      <x:c r="M1609" s="28" t="n">
        <x:v>0</x:v>
      </x:c>
      <x:c r="N1609" s="28" t="n">
        <x:v>9.313225746154785e-10</x:v>
      </x:c>
      <x:c r="O1609" s="28" t="n">
        <x:v>2.9802322387695312e-8</x:v>
      </x:c>
      <x:c r="P1609" s="28" t="n">
        <x:v>0</x:v>
      </x:c>
      <x:c r="Q1609" s="62" t="b">
        <x:v>1</x:v>
      </x:c>
      <x:c r="R1609" s="28" t="n">
        <x:v>0</x:v>
      </x:c>
      <x:c r="S1609" s="28" t="str">
        <x:v>c451b7c06eebd53e</x:v>
      </x:c>
    </x:row>
    <x:row r="1610" ht="21" customHeight="1">
      <x:c r="A1610" s="60" t="n">
        <x:v>0.66</x:v>
      </x:c>
      <x:c r="B1610" s="28" t="str">
        <x:v>middle_low</x:v>
      </x:c>
      <x:c r="C1610" s="60" t="n">
        <x:v>0.3</x:v>
      </x:c>
      <x:c r="D1610" s="60" t="n">
        <x:v>0.3</x:v>
      </x:c>
      <x:c r="E1610" s="62" t="b">
        <x:v>1</x:v>
      </x:c>
      <x:c r="F1610" s="62" t="b">
        <x:v>1</x:v>
      </x:c>
      <x:c r="G1610" s="85" t="n">
        <x:v>0</x:v>
      </x:c>
      <x:c r="H1610" s="85" t="n">
        <x:v>0</x:v>
      </x:c>
      <x:c r="I1610" s="85" t="n">
        <x:v>16458270.600674832</x:v>
      </x:c>
      <x:c r="J1610" s="85" t="n">
        <x:v>24477423.07908109</x:v>
      </x:c>
      <x:c r="K1610" s="85" t="n">
        <x:v>334790.7986410998</x:v>
      </x:c>
      <x:c r="L1610" s="28" t="n">
        <x:v>0</x:v>
      </x:c>
      <x:c r="M1610" s="28" t="n">
        <x:v>0</x:v>
      </x:c>
      <x:c r="N1610" s="28" t="n">
        <x:v>1.862645149230957e-9</x:v>
      </x:c>
      <x:c r="O1610" s="28" t="n">
        <x:v>2.9802322387695312e-8</x:v>
      </x:c>
      <x:c r="P1610" s="28" t="n">
        <x:v>0</x:v>
      </x:c>
      <x:c r="Q1610" s="62" t="b">
        <x:v>1</x:v>
      </x:c>
      <x:c r="R1610" s="28" t="n">
        <x:v>0</x:v>
      </x:c>
      <x:c r="S1610" s="28" t="str">
        <x:v>8f0ec8ac458f760b</x:v>
      </x:c>
    </x:row>
    <x:row r="1611" ht="21" customHeight="1">
      <x:c r="A1611" s="60" t="n">
        <x:v>0.66</x:v>
      </x:c>
      <x:c r="B1611" s="28" t="str">
        <x:v>middle_low</x:v>
      </x:c>
      <x:c r="C1611" s="60" t="n">
        <x:v>0.35</x:v>
      </x:c>
      <x:c r="D1611" s="60" t="n">
        <x:v>0.35</x:v>
      </x:c>
      <x:c r="E1611" s="62" t="b">
        <x:v>1</x:v>
      </x:c>
      <x:c r="F1611" s="62" t="b">
        <x:v>1</x:v>
      </x:c>
      <x:c r="G1611" s="85" t="n">
        <x:v>0</x:v>
      </x:c>
      <x:c r="H1611" s="85" t="n">
        <x:v>0</x:v>
      </x:c>
      <x:c r="I1611" s="85" t="n">
        <x:v>20645518.3114073</x:v>
      </x:c>
      <x:c r="J1611" s="85" t="n">
        <x:v>33556993.59226128</x:v>
      </x:c>
      <x:c r="K1611" s="85" t="n">
        <x:v>287901.6817479472</x:v>
      </x:c>
      <x:c r="L1611" s="28" t="n">
        <x:v>0</x:v>
      </x:c>
      <x:c r="M1611" s="28" t="n">
        <x:v>0</x:v>
      </x:c>
      <x:c r="N1611" s="28" t="n">
        <x:v>3.725290298461914e-9</x:v>
      </x:c>
      <x:c r="O1611" s="28" t="n">
        <x:v>2.9802322387695312e-8</x:v>
      </x:c>
      <x:c r="P1611" s="28" t="n">
        <x:v>0</x:v>
      </x:c>
      <x:c r="Q1611" s="62" t="b">
        <x:v>1</x:v>
      </x:c>
      <x:c r="R1611" s="28" t="n">
        <x:v>0</x:v>
      </x:c>
      <x:c r="S1611" s="28" t="str">
        <x:v>b8d3913998909c01</x:v>
      </x:c>
    </x:row>
    <x:row r="1612" ht="21" customHeight="1">
      <x:c r="A1612" s="60" t="n">
        <x:v>0.66</x:v>
      </x:c>
      <x:c r="B1612" s="28" t="str">
        <x:v>middle_low</x:v>
      </x:c>
      <x:c r="C1612" s="60" t="n">
        <x:v>0.4</x:v>
      </x:c>
      <x:c r="D1612" s="60" t="n">
        <x:v>0.4</x:v>
      </x:c>
      <x:c r="E1612" s="62" t="b">
        <x:v>1</x:v>
      </x:c>
      <x:c r="F1612" s="62" t="b">
        <x:v>1</x:v>
      </x:c>
      <x:c r="G1612" s="85" t="n">
        <x:v>0</x:v>
      </x:c>
      <x:c r="H1612" s="85" t="n">
        <x:v>0</x:v>
      </x:c>
      <x:c r="I1612" s="85" t="n">
        <x:v>27239390.598805238</x:v>
      </x:c>
      <x:c r="J1612" s="85" t="n">
        <x:v>38732556.825849675</x:v>
      </x:c>
      <x:c r="K1612" s="85" t="n">
        <x:v>241012.56485479447</x:v>
      </x:c>
      <x:c r="L1612" s="28" t="n">
        <x:v>6</x:v>
      </x:c>
      <x:c r="M1612" s="28" t="n">
        <x:v>0</x:v>
      </x:c>
      <x:c r="N1612" s="28" t="n">
        <x:v>1.862645149230957e-9</x:v>
      </x:c>
      <x:c r="O1612" s="28" t="n">
        <x:v>2.9802322387695312e-8</x:v>
      </x:c>
      <x:c r="P1612" s="28" t="n">
        <x:v>0</x:v>
      </x:c>
      <x:c r="Q1612" s="62" t="b">
        <x:v>1</x:v>
      </x:c>
      <x:c r="R1612" s="28" t="n">
        <x:v>0</x:v>
      </x:c>
      <x:c r="S1612" s="28" t="str">
        <x:v>736383389a5e546c</x:v>
      </x:c>
    </x:row>
    <x:row r="1613" ht="21" customHeight="1">
      <x:c r="A1613" s="60" t="n">
        <x:v>0.66</x:v>
      </x:c>
      <x:c r="B1613" s="28" t="str">
        <x:v>middle_low</x:v>
      </x:c>
      <x:c r="C1613" s="60" t="n">
        <x:v>0.45</x:v>
      </x:c>
      <x:c r="D1613" s="60" t="n">
        <x:v>0.45</x:v>
      </x:c>
      <x:c r="E1613" s="62" t="b">
        <x:v>1</x:v>
      </x:c>
      <x:c r="F1613" s="62" t="b">
        <x:v>1</x:v>
      </x:c>
      <x:c r="G1613" s="85" t="n">
        <x:v>0</x:v>
      </x:c>
      <x:c r="H1613" s="85" t="n">
        <x:v>0</x:v>
      </x:c>
      <x:c r="I1613" s="85" t="n">
        <x:v>32305569.962897208</x:v>
      </x:c>
      <x:c r="J1613" s="85" t="n">
        <x:v>46395523.28849488</x:v>
      </x:c>
      <x:c r="K1613" s="85" t="n">
        <x:v>194123.4479616409</x:v>
      </x:c>
      <x:c r="L1613" s="28" t="n">
        <x:v>10</x:v>
      </x:c>
      <x:c r="M1613" s="28" t="n">
        <x:v>0</x:v>
      </x:c>
      <x:c r="N1613" s="28" t="n">
        <x:v>1.862645149230957e-9</x:v>
      </x:c>
      <x:c r="O1613" s="28" t="n">
        <x:v>2.9802322387695312e-8</x:v>
      </x:c>
      <x:c r="P1613" s="28" t="n">
        <x:v>0</x:v>
      </x:c>
      <x:c r="Q1613" s="62" t="b">
        <x:v>1</x:v>
      </x:c>
      <x:c r="R1613" s="28" t="n">
        <x:v>0</x:v>
      </x:c>
      <x:c r="S1613" s="28" t="str">
        <x:v>be2fc6b56a3eae55</x:v>
      </x:c>
    </x:row>
    <x:row r="1614" ht="21" customHeight="1">
      <x:c r="A1614" s="60" t="n">
        <x:v>0.66</x:v>
      </x:c>
      <x:c r="B1614" s="28" t="str">
        <x:v>middle_low</x:v>
      </x:c>
      <x:c r="C1614" s="60" t="n">
        <x:v>0.5</x:v>
      </x:c>
      <x:c r="D1614" s="60" t="n">
        <x:v>0.5</x:v>
      </x:c>
      <x:c r="E1614" s="62" t="b">
        <x:v>1</x:v>
      </x:c>
      <x:c r="F1614" s="62" t="b">
        <x:v>1</x:v>
      </x:c>
      <x:c r="G1614" s="85" t="n">
        <x:v>0</x:v>
      </x:c>
      <x:c r="H1614" s="85" t="n">
        <x:v>0</x:v>
      </x:c>
      <x:c r="I1614" s="85" t="n">
        <x:v>37348106.64438515</x:v>
      </x:c>
      <x:c r="J1614" s="85" t="n">
        <x:v>54020045.78612413</x:v>
      </x:c>
      <x:c r="K1614" s="85" t="n">
        <x:v>159870.54871233014</x:v>
      </x:c>
      <x:c r="L1614" s="28" t="n">
        <x:v>14</x:v>
      </x:c>
      <x:c r="M1614" s="28" t="n">
        <x:v>0</x:v>
      </x:c>
      <x:c r="N1614" s="28" t="n">
        <x:v>1.862645149230957e-9</x:v>
      </x:c>
      <x:c r="O1614" s="28" t="n">
        <x:v>1.4901161193847656e-8</x:v>
      </x:c>
      <x:c r="P1614" s="28" t="n">
        <x:v>0</x:v>
      </x:c>
      <x:c r="Q1614" s="62" t="b">
        <x:v>1</x:v>
      </x:c>
      <x:c r="R1614" s="28" t="n">
        <x:v>0</x:v>
      </x:c>
      <x:c r="S1614" s="28" t="str">
        <x:v>bd92feba1d3a08c6</x:v>
      </x:c>
    </x:row>
    <x:row r="1615" ht="21" customHeight="1">
      <x:c r="A1615" s="60" t="n">
        <x:v>0.66</x:v>
      </x:c>
      <x:c r="B1615" s="28" t="str">
        <x:v>middle_low</x:v>
      </x:c>
      <x:c r="C1615" s="60" t="n">
        <x:v>0.55</x:v>
      </x:c>
      <x:c r="D1615" s="60" t="n">
        <x:v>0.55</x:v>
      </x:c>
      <x:c r="E1615" s="62" t="b">
        <x:v>1</x:v>
      </x:c>
      <x:c r="F1615" s="62" t="b">
        <x:v>1</x:v>
      </x:c>
      <x:c r="G1615" s="85" t="n">
        <x:v>0</x:v>
      </x:c>
      <x:c r="H1615" s="85" t="n">
        <x:v>0</x:v>
      </x:c>
      <x:c r="I1615" s="85" t="n">
        <x:v>41013690.761723176</x:v>
      </x:c>
      <x:c r="J1615" s="85" t="n">
        <x:v>63812920.04502983</x:v>
      </x:c>
      <x:c r="K1615" s="85" t="n">
        <x:v>145304.53084383372</x:v>
      </x:c>
      <x:c r="L1615" s="28" t="n">
        <x:v>16</x:v>
      </x:c>
      <x:c r="M1615" s="28" t="n">
        <x:v>0</x:v>
      </x:c>
      <x:c r="N1615" s="28" t="n">
        <x:v>1.862645149230957e-9</x:v>
      </x:c>
      <x:c r="O1615" s="28" t="n">
        <x:v>2.9802322387695312e-8</x:v>
      </x:c>
      <x:c r="P1615" s="28" t="n">
        <x:v>0</x:v>
      </x:c>
      <x:c r="Q1615" s="62" t="b">
        <x:v>1</x:v>
      </x:c>
      <x:c r="R1615" s="28" t="n">
        <x:v>0</x:v>
      </x:c>
      <x:c r="S1615" s="28" t="str">
        <x:v>eaa6dcd13874e07a</x:v>
      </x:c>
    </x:row>
    <x:row r="1616" ht="21" customHeight="1">
      <x:c r="A1616" s="60" t="n">
        <x:v>0.66</x:v>
      </x:c>
      <x:c r="B1616" s="28" t="str">
        <x:v>middle_low</x:v>
      </x:c>
      <x:c r="C1616" s="60" t="n">
        <x:v>0.6</x:v>
      </x:c>
      <x:c r="D1616" s="60" t="n">
        <x:v>0.6</x:v>
      </x:c>
      <x:c r="E1616" s="62" t="b">
        <x:v>1</x:v>
      </x:c>
      <x:c r="F1616" s="62" t="b">
        <x:v>0</x:v>
      </x:c>
      <x:c r="G1616" s="85" t="n">
        <x:v>59224.56717449309</x:v>
      </x:c>
      <x:c r="H1616" s="85" t="n">
        <x:v>896260.798178903</x:v>
      </x:c>
      <x:c r="I1616" s="85" t="n">
        <x:v>44681424.975467116</x:v>
      </x:c>
      <x:c r="J1616" s="85" t="n">
        <x:v>71999999.99999999</x:v>
      </x:c>
      <x:c r="K1616" s="85" t="n">
        <x:v>130738.51297534244</x:v>
      </x:c>
      <x:c r="L1616" s="28" t="n">
        <x:v>41</x:v>
      </x:c>
      <x:c r="M1616" s="28" t="n">
        <x:v>20</x:v>
      </x:c>
      <x:c r="N1616" s="28" t="n">
        <x:v>1.862645149230957e-9</x:v>
      </x:c>
      <x:c r="O1616" s="28" t="n">
        <x:v>2.9802322387695312e-8</x:v>
      </x:c>
      <x:c r="P1616" s="28" t="n">
        <x:v>0</x:v>
      </x:c>
      <x:c r="Q1616" s="62" t="b">
        <x:v>1</x:v>
      </x:c>
      <x:c r="R1616" s="28" t="n">
        <x:v>0</x:v>
      </x:c>
      <x:c r="S1616" s="28" t="str">
        <x:v>068f8400da91c369</x:v>
      </x:c>
    </x:row>
    <x:row r="1617" ht="21" customHeight="1">
      <x:c r="A1617" s="60" t="n">
        <x:v>0.66</x:v>
      </x:c>
      <x:c r="B1617" s="28" t="str">
        <x:v>middle_low</x:v>
      </x:c>
      <x:c r="C1617" s="60" t="n">
        <x:v>0.65</x:v>
      </x:c>
      <x:c r="D1617" s="60" t="n">
        <x:v>0.65</x:v>
      </x:c>
      <x:c r="E1617" s="62" t="b">
        <x:v>1</x:v>
      </x:c>
      <x:c r="F1617" s="62" t="b">
        <x:v>0</x:v>
      </x:c>
      <x:c r="G1617" s="85" t="n">
        <x:v>717605.3151322003</x:v>
      </x:c>
      <x:c r="H1617" s="85" t="n">
        <x:v>10803100.233420204</x:v>
      </x:c>
      <x:c r="I1617" s="85" t="n">
        <x:v>45607043.61640833</x:v>
      </x:c>
      <x:c r="J1617" s="85" t="n">
        <x:v>71999999.99999999</x:v>
      </x:c>
      <x:c r="K1617" s="85" t="n">
        <x:v>116172.49510684928</x:v>
      </x:c>
      <x:c r="L1617" s="28" t="n">
        <x:v>42</x:v>
      </x:c>
      <x:c r="M1617" s="28" t="n">
        <x:v>30</x:v>
      </x:c>
      <x:c r="N1617" s="28" t="n">
        <x:v>1.862645149230957e-9</x:v>
      </x:c>
      <x:c r="O1617" s="28" t="n">
        <x:v>2.9802322387695312e-8</x:v>
      </x:c>
      <x:c r="P1617" s="28" t="n">
        <x:v>0</x:v>
      </x:c>
      <x:c r="Q1617" s="62" t="b">
        <x:v>1</x:v>
      </x:c>
      <x:c r="R1617" s="28" t="n">
        <x:v>0</x:v>
      </x:c>
      <x:c r="S1617" s="28" t="str">
        <x:v>d7b66630666b5102</x:v>
      </x:c>
    </x:row>
    <x:row r="1618" ht="21" customHeight="1">
      <x:c r="A1618" s="60" t="n">
        <x:v>0.66</x:v>
      </x:c>
      <x:c r="B1618" s="28" t="str">
        <x:v>middle_low</x:v>
      </x:c>
      <x:c r="C1618" s="60" t="n">
        <x:v>0.7</x:v>
      </x:c>
      <x:c r="D1618" s="60" t="n">
        <x:v>0.7</x:v>
      </x:c>
      <x:c r="E1618" s="62" t="b">
        <x:v>1</x:v>
      </x:c>
      <x:c r="F1618" s="62" t="b">
        <x:v>0</x:v>
      </x:c>
      <x:c r="G1618" s="85" t="n">
        <x:v>1440253.2143316716</x:v>
      </x:c>
      <x:c r="H1618" s="85" t="n">
        <x:v>21706875.897524625</x:v>
      </x:c>
      <x:c r="I1618" s="85" t="n">
        <x:v>45663752.944330156</x:v>
      </x:c>
      <x:c r="J1618" s="85" t="n">
        <x:v>71999999.99999999</x:v>
      </x:c>
      <x:c r="K1618" s="85" t="n">
        <x:v>101606.47723835614</x:v>
      </x:c>
      <x:c r="L1618" s="28" t="n">
        <x:v>42</x:v>
      </x:c>
      <x:c r="M1618" s="28" t="n">
        <x:v>32</x:v>
      </x:c>
      <x:c r="N1618" s="28" t="n">
        <x:v>1.862645149230957e-9</x:v>
      </x:c>
      <x:c r="O1618" s="28" t="n">
        <x:v>1.4901161193847656e-8</x:v>
      </x:c>
      <x:c r="P1618" s="28" t="n">
        <x:v>0</x:v>
      </x:c>
      <x:c r="Q1618" s="62" t="b">
        <x:v>1</x:v>
      </x:c>
      <x:c r="R1618" s="28" t="n">
        <x:v>0</x:v>
      </x:c>
      <x:c r="S1618" s="28" t="str">
        <x:v>887dbe249e59254a</x:v>
      </x:c>
    </x:row>
    <x:row r="1619" ht="21" customHeight="1">
      <x:c r="A1619" s="60" t="n">
        <x:v>0.66</x:v>
      </x:c>
      <x:c r="B1619" s="28" t="str">
        <x:v>middle_low</x:v>
      </x:c>
      <x:c r="C1619" s="60" t="n">
        <x:v>0.75</x:v>
      </x:c>
      <x:c r="D1619" s="60" t="n">
        <x:v>0.75</x:v>
      </x:c>
      <x:c r="E1619" s="62" t="b">
        <x:v>1</x:v>
      </x:c>
      <x:c r="F1619" s="62" t="b">
        <x:v>0</x:v>
      </x:c>
      <x:c r="G1619" s="85" t="n">
        <x:v>2378625.7221874353</x:v>
      </x:c>
      <x:c r="H1619" s="85" t="n">
        <x:v>31308326.048068576</x:v>
      </x:c>
      <x:c r="I1619" s="85" t="n">
        <x:v>46644474.74616951</x:v>
      </x:c>
      <x:c r="J1619" s="85" t="n">
        <x:v>71999999.99999999</x:v>
      </x:c>
      <x:c r="K1619" s="85" t="n">
        <x:v>87040.4593698681</x:v>
      </x:c>
      <x:c r="L1619" s="28" t="n">
        <x:v>43</x:v>
      </x:c>
      <x:c r="M1619" s="28" t="n">
        <x:v>34</x:v>
      </x:c>
      <x:c r="N1619" s="28" t="n">
        <x:v>1.862645149230957e-9</x:v>
      </x:c>
      <x:c r="O1619" s="28" t="n">
        <x:v>2.9802322387695312e-8</x:v>
      </x:c>
      <x:c r="P1619" s="28" t="n">
        <x:v>0</x:v>
      </x:c>
      <x:c r="Q1619" s="62" t="b">
        <x:v>1</x:v>
      </x:c>
      <x:c r="R1619" s="28" t="n">
        <x:v>0</x:v>
      </x:c>
      <x:c r="S1619" s="28" t="str">
        <x:v>47214732f87f6186</x:v>
      </x:c>
    </x:row>
    <x:row r="1620" ht="21" customHeight="1">
      <x:c r="A1620" s="60" t="n">
        <x:v>0.66</x:v>
      </x:c>
      <x:c r="B1620" s="28" t="str">
        <x:v>middle_low</x:v>
      </x:c>
      <x:c r="C1620" s="60" t="n">
        <x:v>0.8</x:v>
      </x:c>
      <x:c r="D1620" s="60" t="n">
        <x:v>0.8</x:v>
      </x:c>
      <x:c r="E1620" s="62" t="b">
        <x:v>1</x:v>
      </x:c>
      <x:c r="F1620" s="62" t="b">
        <x:v>0</x:v>
      </x:c>
      <x:c r="G1620" s="85" t="n">
        <x:v>3219126.588713619</x:v>
      </x:c>
      <x:c r="H1620" s="85" t="n">
        <x:v>41945911.15322156</x:v>
      </x:c>
      <x:c r="I1620" s="85" t="n">
        <x:v>46669400.82203287</x:v>
      </x:c>
      <x:c r="J1620" s="85" t="n">
        <x:v>71999999.99999999</x:v>
      </x:c>
      <x:c r="K1620" s="85" t="n">
        <x:v>72474.44150136982</x:v>
      </x:c>
      <x:c r="L1620" s="28" t="n">
        <x:v>43</x:v>
      </x:c>
      <x:c r="M1620" s="28" t="n">
        <x:v>34</x:v>
      </x:c>
      <x:c r="N1620" s="28" t="n">
        <x:v>1.862645149230957e-9</x:v>
      </x:c>
      <x:c r="O1620" s="28" t="n">
        <x:v>1.4901161193847656e-8</x:v>
      </x:c>
      <x:c r="P1620" s="28" t="n">
        <x:v>0</x:v>
      </x:c>
      <x:c r="Q1620" s="62" t="b">
        <x:v>1</x:v>
      </x:c>
      <x:c r="R1620" s="28" t="n">
        <x:v>0</x:v>
      </x:c>
      <x:c r="S1620" s="28" t="str">
        <x:v>f14c12a02d758b8d</x:v>
      </x:c>
    </x:row>
    <x:row r="1621" ht="21" customHeight="1">
      <x:c r="A1621" s="60" t="n">
        <x:v>0.66</x:v>
      </x:c>
      <x:c r="B1621" s="28" t="str">
        <x:v>middle_low</x:v>
      </x:c>
      <x:c r="C1621" s="60" t="n">
        <x:v>0.85</x:v>
      </x:c>
      <x:c r="D1621" s="60" t="n">
        <x:v>0.85</x:v>
      </x:c>
      <x:c r="E1621" s="62" t="b">
        <x:v>1</x:v>
      </x:c>
      <x:c r="F1621" s="62" t="b">
        <x:v>0</x:v>
      </x:c>
      <x:c r="G1621" s="85" t="n">
        <x:v>4321419.546905412</x:v>
      </x:c>
      <x:c r="H1621" s="85" t="n">
        <x:v>52392029.78986324</x:v>
      </x:c>
      <x:c r="I1621" s="85" t="n">
        <x:v>46725657.68542499</x:v>
      </x:c>
      <x:c r="J1621" s="85" t="n">
        <x:v>71999999.99999999</x:v>
      </x:c>
      <x:c r="K1621" s="85" t="n">
        <x:v>57908.423632879465</x:v>
      </x:c>
      <x:c r="L1621" s="28" t="n">
        <x:v>43</x:v>
      </x:c>
      <x:c r="M1621" s="28" t="n">
        <x:v>36</x:v>
      </x:c>
      <x:c r="N1621" s="28" t="n">
        <x:v>1.862645149230957e-9</x:v>
      </x:c>
      <x:c r="O1621" s="28" t="n">
        <x:v>2.9802322387695312e-8</x:v>
      </x:c>
      <x:c r="P1621" s="28" t="n">
        <x:v>0</x:v>
      </x:c>
      <x:c r="Q1621" s="62" t="b">
        <x:v>1</x:v>
      </x:c>
      <x:c r="R1621" s="28" t="n">
        <x:v>0</x:v>
      </x:c>
      <x:c r="S1621" s="28" t="str">
        <x:v>345f38df766e7969</x:v>
      </x:c>
    </x:row>
    <x:row r="1622" ht="21" customHeight="1">
      <x:c r="A1622" s="60" t="n">
        <x:v>0.66</x:v>
      </x:c>
      <x:c r="B1622" s="28" t="str">
        <x:v>middle_low</x:v>
      </x:c>
      <x:c r="C1622" s="60" t="n">
        <x:v>0.9</x:v>
      </x:c>
      <x:c r="D1622" s="60" t="n">
        <x:v>0.9</x:v>
      </x:c>
      <x:c r="E1622" s="62" t="b">
        <x:v>1</x:v>
      </x:c>
      <x:c r="F1622" s="62" t="b">
        <x:v>0</x:v>
      </x:c>
      <x:c r="G1622" s="85" t="n">
        <x:v>5427218.579928051</x:v>
      </x:c>
      <x:c r="H1622" s="85" t="n">
        <x:v>61683731.21342558</x:v>
      </x:c>
      <x:c r="I1622" s="85" t="n">
        <x:v>47620294.982443824</x:v>
      </x:c>
      <x:c r="J1622" s="85" t="n">
        <x:v>71999999.99999999</x:v>
      </x:c>
      <x:c r="K1622" s="85" t="n">
        <x:v>43342.40576438351</x:v>
      </x:c>
      <x:c r="L1622" s="28" t="n">
        <x:v>44</x:v>
      </x:c>
      <x:c r="M1622" s="28" t="n">
        <x:v>36</x:v>
      </x:c>
      <x:c r="N1622" s="28" t="n">
        <x:v>1.862645149230957e-9</x:v>
      </x:c>
      <x:c r="O1622" s="28" t="n">
        <x:v>2.9802322387695312e-8</x:v>
      </x:c>
      <x:c r="P1622" s="28" t="n">
        <x:v>0</x:v>
      </x:c>
      <x:c r="Q1622" s="62" t="b">
        <x:v>1</x:v>
      </x:c>
      <x:c r="R1622" s="28" t="n">
        <x:v>0</x:v>
      </x:c>
      <x:c r="S1622" s="28" t="str">
        <x:v>2e3a71fa9b00dd4e</x:v>
      </x:c>
    </x:row>
    <x:row r="1623" ht="21" customHeight="1">
      <x:c r="A1623" s="60" t="n">
        <x:v>0.66</x:v>
      </x:c>
      <x:c r="B1623" s="28" t="str">
        <x:v>middle_low</x:v>
      </x:c>
      <x:c r="C1623" s="60" t="n">
        <x:v>0.95</x:v>
      </x:c>
      <x:c r="D1623" s="60" t="n">
        <x:v>0.9361238209331334</x:v>
      </x:c>
      <x:c r="E1623" s="62" t="b">
        <x:v>0</x:v>
      </x:c>
      <x:c r="F1623" s="62" t="b">
        <x:v>0</x:v>
      </x:c>
      <x:c r="G1623" s="85" t="n">
        <x:v>7708398.813426773</x:v>
      </x:c>
      <x:c r="H1623" s="85" t="n">
        <x:v>67586671.95706774</x:v>
      </x:c>
      <x:c r="I1623" s="85" t="n">
        <x:v>47653752.328043826</x:v>
      </x:c>
      <x:c r="J1623" s="85" t="n">
        <x:v>71999999.99999999</x:v>
      </x:c>
      <x:c r="K1623" s="85" t="n">
        <x:v>28776.387895889886</x:v>
      </x:c>
      <x:c r="L1623" s="28" t="n">
        <x:v>44</x:v>
      </x:c>
      <x:c r="M1623" s="28" t="n">
        <x:v>37</x:v>
      </x:c>
      <x:c r="N1623" s="28" t="n">
        <x:v>1.862645149230957e-9</x:v>
      </x:c>
      <x:c r="O1623" s="28" t="n">
        <x:v>1.4901161193847656e-8</x:v>
      </x:c>
      <x:c r="P1623" s="28" t="n">
        <x:v>0</x:v>
      </x:c>
      <x:c r="Q1623" s="62" t="b">
        <x:v>1</x:v>
      </x:c>
      <x:c r="R1623" s="28" t="n">
        <x:v>4162853.720059991</x:v>
      </x:c>
      <x:c r="S1623" s="28" t="str">
        <x:v>0390fd8fdc37bc18</x:v>
      </x:c>
    </x:row>
    <x:row r="1624" ht="21" customHeight="1">
      <x:c r="A1624" s="60" t="n">
        <x:v>0.66</x:v>
      </x:c>
      <x:c r="B1624" s="28" t="str">
        <x:v>middle_low</x:v>
      </x:c>
      <x:c r="C1624" s="60" t="n">
        <x:v>1</x:v>
      </x:c>
      <x:c r="D1624" s="60" t="n">
        <x:v>0.9498342654879072</x:v>
      </x:c>
      <x:c r="E1624" s="62" t="b">
        <x:v>0</x:v>
      </x:c>
      <x:c r="F1624" s="62" t="b">
        <x:v>0</x:v>
      </x:c>
      <x:c r="G1624" s="85" t="n">
        <x:v>8388733.668527002</x:v>
      </x:c>
      <x:c r="H1624" s="85" t="n">
        <x:v>70587818.17581567</x:v>
      </x:c>
      <x:c r="I1624" s="85" t="n">
        <x:v>47687209.67364383</x:v>
      </x:c>
      <x:c r="J1624" s="85" t="n">
        <x:v>71999999.99999999</x:v>
      </x:c>
      <x:c r="K1624" s="85" t="n">
        <x:v>14210.370027396275</x:v>
      </x:c>
      <x:c r="L1624" s="28" t="n">
        <x:v>44</x:v>
      </x:c>
      <x:c r="M1624" s="28" t="n">
        <x:v>38</x:v>
      </x:c>
      <x:c r="N1624" s="28" t="n">
        <x:v>1.862645149230957e-9</x:v>
      </x:c>
      <x:c r="O1624" s="28" t="n">
        <x:v>1.4901161193847656e-8</x:v>
      </x:c>
      <x:c r="P1624" s="28" t="n">
        <x:v>0</x:v>
      </x:c>
      <x:c r="Q1624" s="62" t="b">
        <x:v>1</x:v>
      </x:c>
      <x:c r="R1624" s="28" t="n">
        <x:v>15049720.35362786</x:v>
      </x:c>
      <x:c r="S1624" s="28" t="str">
        <x:v>75b55030d128207f</x:v>
      </x:c>
    </x:row>
    <x:row r="1625" ht="21" customHeight="1">
      <x:c r="A1625" s="60" t="n">
        <x:v>0.66</x:v>
      </x:c>
      <x:c r="B1625" s="28" t="str">
        <x:v>middle_high</x:v>
      </x:c>
      <x:c r="C1625" s="60" t="n">
        <x:v>0</x:v>
      </x:c>
      <x:c r="D1625" s="60" t="n">
        <x:v>0</x:v>
      </x:c>
      <x:c r="E1625" s="62" t="b">
        <x:v>1</x:v>
      </x:c>
      <x:c r="F1625" s="62" t="b">
        <x:v>1</x:v>
      </x:c>
      <x:c r="G1625" s="85" t="n">
        <x:v>0</x:v>
      </x:c>
      <x:c r="H1625" s="85" t="n">
        <x:v>0</x:v>
      </x:c>
      <x:c r="I1625" s="85" t="n">
        <x:v>0</x:v>
      </x:c>
      <x:c r="J1625" s="85" t="n">
        <x:v>0</x:v>
      </x:c>
      <x:c r="K1625" s="85" t="n">
        <x:v>39029381.367808215</x:v>
      </x:c>
      <x:c r="L1625" s="28" t="n">
        <x:v>0</x:v>
      </x:c>
      <x:c r="M1625" s="28" t="n">
        <x:v>0</x:v>
      </x:c>
      <x:c r="N1625" s="28" t="n">
        <x:v>3.725290298461914e-9</x:v>
      </x:c>
      <x:c r="O1625" s="28" t="n">
        <x:v>0</x:v>
      </x:c>
      <x:c r="P1625" s="28" t="n">
        <x:v>0</x:v>
      </x:c>
      <x:c r="Q1625" s="62" t="b">
        <x:v>1</x:v>
      </x:c>
      <x:c r="R1625" s="28" t="n">
        <x:v>0</x:v>
      </x:c>
      <x:c r="S1625" s="28" t="str">
        <x:v>429839c29b05d317</x:v>
      </x:c>
    </x:row>
    <x:row r="1626" ht="21" customHeight="1">
      <x:c r="A1626" s="60" t="n">
        <x:v>0.66</x:v>
      </x:c>
      <x:c r="B1626" s="28" t="str">
        <x:v>middle_high</x:v>
      </x:c>
      <x:c r="C1626" s="60" t="n">
        <x:v>0.05</x:v>
      </x:c>
      <x:c r="D1626" s="60" t="n">
        <x:v>0.05</x:v>
      </x:c>
      <x:c r="E1626" s="62" t="b">
        <x:v>1</x:v>
      </x:c>
      <x:c r="F1626" s="62" t="b">
        <x:v>1</x:v>
      </x:c>
      <x:c r="G1626" s="85" t="n">
        <x:v>0</x:v>
      </x:c>
      <x:c r="H1626" s="85" t="n">
        <x:v>0</x:v>
      </x:c>
      <x:c r="I1626" s="85" t="n">
        <x:v>0</x:v>
      </x:c>
      <x:c r="J1626" s="85" t="n">
        <x:v>0</x:v>
      </x:c>
      <x:c r="K1626" s="85" t="n">
        <x:v>25648772.105006162</x:v>
      </x:c>
      <x:c r="L1626" s="28" t="n">
        <x:v>0</x:v>
      </x:c>
      <x:c r="M1626" s="28" t="n">
        <x:v>0</x:v>
      </x:c>
      <x:c r="N1626" s="28" t="n">
        <x:v>3.725290298461914e-9</x:v>
      </x:c>
      <x:c r="O1626" s="28" t="n">
        <x:v>2.9802322387695312e-8</x:v>
      </x:c>
      <x:c r="P1626" s="28" t="n">
        <x:v>0</x:v>
      </x:c>
      <x:c r="Q1626" s="62" t="b">
        <x:v>1</x:v>
      </x:c>
      <x:c r="R1626" s="28" t="n">
        <x:v>0</x:v>
      </x:c>
      <x:c r="S1626" s="28" t="str">
        <x:v>7ddb9ce3d3f895a6</x:v>
      </x:c>
    </x:row>
    <x:row r="1627" ht="21" customHeight="1">
      <x:c r="A1627" s="60" t="n">
        <x:v>0.66</x:v>
      </x:c>
      <x:c r="B1627" s="28" t="str">
        <x:v>middle_high</x:v>
      </x:c>
      <x:c r="C1627" s="60" t="n">
        <x:v>0.1</x:v>
      </x:c>
      <x:c r="D1627" s="60" t="n">
        <x:v>0.1</x:v>
      </x:c>
      <x:c r="E1627" s="62" t="b">
        <x:v>1</x:v>
      </x:c>
      <x:c r="F1627" s="62" t="b">
        <x:v>1</x:v>
      </x:c>
      <x:c r="G1627" s="85" t="n">
        <x:v>0</x:v>
      </x:c>
      <x:c r="H1627" s="85" t="n">
        <x:v>0</x:v>
      </x:c>
      <x:c r="I1627" s="85" t="n">
        <x:v>0</x:v>
      </x:c>
      <x:c r="J1627" s="85" t="n">
        <x:v>0</x:v>
      </x:c>
      <x:c r="K1627" s="85" t="n">
        <x:v>12107383.650951363</x:v>
      </x:c>
      <x:c r="L1627" s="28" t="n">
        <x:v>0</x:v>
      </x:c>
      <x:c r="M1627" s="28" t="n">
        <x:v>0</x:v>
      </x:c>
      <x:c r="N1627" s="28" t="n">
        <x:v>3.725290298461914e-9</x:v>
      </x:c>
      <x:c r="O1627" s="28" t="n">
        <x:v>5.960464477539063e-8</x:v>
      </x:c>
      <x:c r="P1627" s="28" t="n">
        <x:v>0</x:v>
      </x:c>
      <x:c r="Q1627" s="62" t="b">
        <x:v>1</x:v>
      </x:c>
      <x:c r="R1627" s="28" t="n">
        <x:v>0</x:v>
      </x:c>
      <x:c r="S1627" s="28" t="str">
        <x:v>1db6bc02e175beb3</x:v>
      </x:c>
    </x:row>
    <x:row r="1628" ht="21" customHeight="1">
      <x:c r="A1628" s="60" t="n">
        <x:v>0.66</x:v>
      </x:c>
      <x:c r="B1628" s="28" t="str">
        <x:v>middle_high</x:v>
      </x:c>
      <x:c r="C1628" s="60" t="n">
        <x:v>0.15</x:v>
      </x:c>
      <x:c r="D1628" s="60" t="n">
        <x:v>0.15</x:v>
      </x:c>
      <x:c r="E1628" s="62" t="b">
        <x:v>1</x:v>
      </x:c>
      <x:c r="F1628" s="62" t="b">
        <x:v>1</x:v>
      </x:c>
      <x:c r="G1628" s="85" t="n">
        <x:v>0</x:v>
      </x:c>
      <x:c r="H1628" s="85" t="n">
        <x:v>0</x:v>
      </x:c>
      <x:c r="I1628" s="85" t="n">
        <x:v>3287610.6997890025</x:v>
      </x:c>
      <x:c r="J1628" s="85" t="n">
        <x:v>0</x:v>
      </x:c>
      <x:c r="K1628" s="85" t="n">
        <x:v>2542027.9289069865</x:v>
      </x:c>
      <x:c r="L1628" s="28" t="n">
        <x:v>0</x:v>
      </x:c>
      <x:c r="M1628" s="28" t="n">
        <x:v>0</x:v>
      </x:c>
      <x:c r="N1628" s="28" t="n">
        <x:v>3.725290298461914e-9</x:v>
      </x:c>
      <x:c r="O1628" s="28" t="n">
        <x:v>2.9802322387695312e-8</x:v>
      </x:c>
      <x:c r="P1628" s="28" t="n">
        <x:v>0</x:v>
      </x:c>
      <x:c r="Q1628" s="62" t="b">
        <x:v>1</x:v>
      </x:c>
      <x:c r="R1628" s="28" t="n">
        <x:v>0</x:v>
      </x:c>
      <x:c r="S1628" s="28" t="str">
        <x:v>58ffc4be450db456</x:v>
      </x:c>
    </x:row>
    <x:row r="1629" ht="21" customHeight="1">
      <x:c r="A1629" s="60" t="n">
        <x:v>0.66</x:v>
      </x:c>
      <x:c r="B1629" s="28" t="str">
        <x:v>middle_high</x:v>
      </x:c>
      <x:c r="C1629" s="60" t="n">
        <x:v>0.2</x:v>
      </x:c>
      <x:c r="D1629" s="60" t="n">
        <x:v>0.2</x:v>
      </x:c>
      <x:c r="E1629" s="62" t="b">
        <x:v>1</x:v>
      </x:c>
      <x:c r="F1629" s="62" t="b">
        <x:v>1</x:v>
      </x:c>
      <x:c r="G1629" s="85" t="n">
        <x:v>0</x:v>
      </x:c>
      <x:c r="H1629" s="85" t="n">
        <x:v>0</x:v>
      </x:c>
      <x:c r="I1629" s="85" t="n">
        <x:v>13600410.362614674</x:v>
      </x:c>
      <x:c r="J1629" s="85" t="n">
        <x:v>6318282.052720841</x:v>
      </x:c>
      <x:c r="K1629" s="85" t="n">
        <x:v>1964402.4384392963</x:v>
      </x:c>
      <x:c r="L1629" s="28" t="n">
        <x:v>0</x:v>
      </x:c>
      <x:c r="M1629" s="28" t="n">
        <x:v>0</x:v>
      </x:c>
      <x:c r="N1629" s="28" t="n">
        <x:v>3.725290298461914e-9</x:v>
      </x:c>
      <x:c r="O1629" s="28" t="n">
        <x:v>2.9802322387695312e-8</x:v>
      </x:c>
      <x:c r="P1629" s="28" t="n">
        <x:v>0</x:v>
      </x:c>
      <x:c r="Q1629" s="62" t="b">
        <x:v>1</x:v>
      </x:c>
      <x:c r="R1629" s="28" t="n">
        <x:v>0</x:v>
      </x:c>
      <x:c r="S1629" s="28" t="str">
        <x:v>efb13188cbdfd068</x:v>
      </x:c>
    </x:row>
    <x:row r="1630" ht="21" customHeight="1">
      <x:c r="A1630" s="60" t="n">
        <x:v>0.66</x:v>
      </x:c>
      <x:c r="B1630" s="28" t="str">
        <x:v>middle_high</x:v>
      </x:c>
      <x:c r="C1630" s="60" t="n">
        <x:v>0.25</x:v>
      </x:c>
      <x:c r="D1630" s="60" t="n">
        <x:v>0.25</x:v>
      </x:c>
      <x:c r="E1630" s="62" t="b">
        <x:v>1</x:v>
      </x:c>
      <x:c r="F1630" s="62" t="b">
        <x:v>1</x:v>
      </x:c>
      <x:c r="G1630" s="85" t="n">
        <x:v>0</x:v>
      </x:c>
      <x:c r="H1630" s="85" t="n">
        <x:v>0</x:v>
      </x:c>
      <x:c r="I1630" s="85" t="n">
        <x:v>22575649.567428533</x:v>
      </x:c>
      <x:c r="J1630" s="85" t="n">
        <x:v>15397852.56590101</x:v>
      </x:c>
      <x:c r="K1630" s="85" t="n">
        <x:v>1529199.184129934</x:v>
      </x:c>
      <x:c r="L1630" s="28" t="n">
        <x:v>0</x:v>
      </x:c>
      <x:c r="M1630" s="28" t="n">
        <x:v>0</x:v>
      </x:c>
      <x:c r="N1630" s="28" t="n">
        <x:v>3.725290298461914e-9</x:v>
      </x:c>
      <x:c r="O1630" s="28" t="n">
        <x:v>2.9802322387695312e-8</x:v>
      </x:c>
      <x:c r="P1630" s="28" t="n">
        <x:v>0</x:v>
      </x:c>
      <x:c r="Q1630" s="62" t="b">
        <x:v>1</x:v>
      </x:c>
      <x:c r="R1630" s="28" t="n">
        <x:v>0</x:v>
      </x:c>
      <x:c r="S1630" s="28" t="str">
        <x:v>34a54eaf3687e871</x:v>
      </x:c>
    </x:row>
    <x:row r="1631" ht="21" customHeight="1">
      <x:c r="A1631" s="60" t="n">
        <x:v>0.66</x:v>
      </x:c>
      <x:c r="B1631" s="28" t="str">
        <x:v>middle_high</x:v>
      </x:c>
      <x:c r="C1631" s="60" t="n">
        <x:v>0.3</x:v>
      </x:c>
      <x:c r="D1631" s="60" t="n">
        <x:v>0.3</x:v>
      </x:c>
      <x:c r="E1631" s="62" t="b">
        <x:v>1</x:v>
      </x:c>
      <x:c r="F1631" s="62" t="b">
        <x:v>1</x:v>
      </x:c>
      <x:c r="G1631" s="85" t="n">
        <x:v>0</x:v>
      </x:c>
      <x:c r="H1631" s="85" t="n">
        <x:v>0</x:v>
      </x:c>
      <x:c r="I1631" s="85" t="n">
        <x:v>31603567.597635802</x:v>
      </x:c>
      <x:c r="J1631" s="85" t="n">
        <x:v>24477423.07908109</x:v>
      </x:c>
      <x:c r="K1631" s="85" t="n">
        <x:v>1250382.7916408714</x:v>
      </x:c>
      <x:c r="L1631" s="28" t="n">
        <x:v>0</x:v>
      </x:c>
      <x:c r="M1631" s="28" t="n">
        <x:v>0</x:v>
      </x:c>
      <x:c r="N1631" s="28" t="n">
        <x:v>3.725290298461914e-9</x:v>
      </x:c>
      <x:c r="O1631" s="28" t="n">
        <x:v>2.9802322387695312e-8</x:v>
      </x:c>
      <x:c r="P1631" s="28" t="n">
        <x:v>0</x:v>
      </x:c>
      <x:c r="Q1631" s="62" t="b">
        <x:v>1</x:v>
      </x:c>
      <x:c r="R1631" s="28" t="n">
        <x:v>0</x:v>
      </x:c>
      <x:c r="S1631" s="28" t="str">
        <x:v>e22119e823706cae</x:v>
      </x:c>
    </x:row>
    <x:row r="1632" ht="21" customHeight="1">
      <x:c r="A1632" s="60" t="n">
        <x:v>0.66</x:v>
      </x:c>
      <x:c r="B1632" s="28" t="str">
        <x:v>middle_high</x:v>
      </x:c>
      <x:c r="C1632" s="60" t="n">
        <x:v>0.35</x:v>
      </x:c>
      <x:c r="D1632" s="60" t="n">
        <x:v>0.35</x:v>
      </x:c>
      <x:c r="E1632" s="62" t="b">
        <x:v>1</x:v>
      </x:c>
      <x:c r="F1632" s="62" t="b">
        <x:v>1</x:v>
      </x:c>
      <x:c r="G1632" s="85" t="n">
        <x:v>0</x:v>
      </x:c>
      <x:c r="H1632" s="85" t="n">
        <x:v>0</x:v>
      </x:c>
      <x:c r="I1632" s="85" t="n">
        <x:v>40790758.63525547</x:v>
      </x:c>
      <x:c r="J1632" s="85" t="n">
        <x:v>33556993.59226128</x:v>
      </x:c>
      <x:c r="K1632" s="85" t="n">
        <x:v>1053781.1167068398</x:v>
      </x:c>
      <x:c r="L1632" s="28" t="n">
        <x:v>0</x:v>
      </x:c>
      <x:c r="M1632" s="28" t="n">
        <x:v>0</x:v>
      </x:c>
      <x:c r="N1632" s="28" t="n">
        <x:v>1.862645149230957e-9</x:v>
      </x:c>
      <x:c r="O1632" s="28" t="n">
        <x:v>2.9802322387695312e-8</x:v>
      </x:c>
      <x:c r="P1632" s="28" t="n">
        <x:v>0</x:v>
      </x:c>
      <x:c r="Q1632" s="62" t="b">
        <x:v>1</x:v>
      </x:c>
      <x:c r="R1632" s="28" t="n">
        <x:v>0</x:v>
      </x:c>
      <x:c r="S1632" s="28" t="str">
        <x:v>e60876fbbe55d992</x:v>
      </x:c>
    </x:row>
    <x:row r="1633" ht="21" customHeight="1">
      <x:c r="A1633" s="60" t="n">
        <x:v>0.66</x:v>
      </x:c>
      <x:c r="B1633" s="28" t="str">
        <x:v>middle_high</x:v>
      </x:c>
      <x:c r="C1633" s="60" t="n">
        <x:v>0.4</x:v>
      </x:c>
      <x:c r="D1633" s="60" t="n">
        <x:v>0.4</x:v>
      </x:c>
      <x:c r="E1633" s="62" t="b">
        <x:v>1</x:v>
      </x:c>
      <x:c r="F1633" s="62" t="b">
        <x:v>1</x:v>
      </x:c>
      <x:c r="G1633" s="85" t="n">
        <x:v>0</x:v>
      </x:c>
      <x:c r="H1633" s="85" t="n">
        <x:v>0</x:v>
      </x:c>
      <x:c r="I1633" s="85" t="n">
        <x:v>50720638.67963196</x:v>
      </x:c>
      <x:c r="J1633" s="85" t="n">
        <x:v>37184062.35640963</x:v>
      </x:c>
      <x:c r="K1633" s="85" t="n">
        <x:v>925659.0619506799</x:v>
      </x:c>
      <x:c r="L1633" s="28" t="n">
        <x:v>5</x:v>
      </x:c>
      <x:c r="M1633" s="28" t="n">
        <x:v>0</x:v>
      </x:c>
      <x:c r="N1633" s="28" t="n">
        <x:v>1.862645149230957e-9</x:v>
      </x:c>
      <x:c r="O1633" s="28" t="n">
        <x:v>2.9802322387695312e-8</x:v>
      </x:c>
      <x:c r="P1633" s="28" t="n">
        <x:v>0</x:v>
      </x:c>
      <x:c r="Q1633" s="62" t="b">
        <x:v>1</x:v>
      </x:c>
      <x:c r="R1633" s="28" t="n">
        <x:v>0</x:v>
      </x:c>
      <x:c r="S1633" s="28" t="str">
        <x:v>15793b6a4f78554d</x:v>
      </x:c>
    </x:row>
    <x:row r="1634" ht="21" customHeight="1">
      <x:c r="A1634" s="60" t="n">
        <x:v>0.66</x:v>
      </x:c>
      <x:c r="B1634" s="28" t="str">
        <x:v>middle_high</x:v>
      </x:c>
      <x:c r="C1634" s="60" t="n">
        <x:v>0.45</x:v>
      </x:c>
      <x:c r="D1634" s="60" t="n">
        <x:v>0.45</x:v>
      </x:c>
      <x:c r="E1634" s="62" t="b">
        <x:v>1</x:v>
      </x:c>
      <x:c r="F1634" s="62" t="b">
        <x:v>1</x:v>
      </x:c>
      <x:c r="G1634" s="85" t="n">
        <x:v>0</x:v>
      </x:c>
      <x:c r="H1634" s="85" t="n">
        <x:v>0</x:v>
      </x:c>
      <x:c r="I1634" s="85" t="n">
        <x:v>60375676.699158356</x:v>
      </x:c>
      <x:c r="J1634" s="85" t="n">
        <x:v>44140508.25746494</x:v>
      </x:c>
      <x:c r="K1634" s="85" t="n">
        <x:v>797537.00719452</x:v>
      </x:c>
      <x:c r="L1634" s="28" t="n">
        <x:v>9</x:v>
      </x:c>
      <x:c r="M1634" s="28" t="n">
        <x:v>0</x:v>
      </x:c>
      <x:c r="N1634" s="28" t="n">
        <x:v>3.725290298461914e-9</x:v>
      </x:c>
      <x:c r="O1634" s="28" t="n">
        <x:v>2.9802322387695312e-8</x:v>
      </x:c>
      <x:c r="P1634" s="28" t="n">
        <x:v>0</x:v>
      </x:c>
      <x:c r="Q1634" s="62" t="b">
        <x:v>1</x:v>
      </x:c>
      <x:c r="R1634" s="28" t="n">
        <x:v>0</x:v>
      </x:c>
      <x:c r="S1634" s="28" t="str">
        <x:v>0db9bf96e0abdd4b</x:v>
      </x:c>
    </x:row>
    <x:row r="1635" ht="21" customHeight="1">
      <x:c r="A1635" s="60" t="n">
        <x:v>0.66</x:v>
      </x:c>
      <x:c r="B1635" s="28" t="str">
        <x:v>middle_high</x:v>
      </x:c>
      <x:c r="C1635" s="60" t="n">
        <x:v>0.5</x:v>
      </x:c>
      <x:c r="D1635" s="60" t="n">
        <x:v>0.5</x:v>
      </x:c>
      <x:c r="E1635" s="62" t="b">
        <x:v>1</x:v>
      </x:c>
      <x:c r="F1635" s="62" t="b">
        <x:v>1</x:v>
      </x:c>
      <x:c r="G1635" s="85" t="n">
        <x:v>0</x:v>
      </x:c>
      <x:c r="H1635" s="85" t="n">
        <x:v>0</x:v>
      </x:c>
      <x:c r="I1635" s="85" t="n">
        <x:v>69727815.2655337</x:v>
      </x:c>
      <x:c r="J1635" s="85" t="n">
        <x:v>51348478.42431884</x:v>
      </x:c>
      <x:c r="K1635" s="85" t="n">
        <x:v>669414.9524383547</x:v>
      </x:c>
      <x:c r="L1635" s="28" t="n">
        <x:v>13</x:v>
      </x:c>
      <x:c r="M1635" s="28" t="n">
        <x:v>1</x:v>
      </x:c>
      <x:c r="N1635" s="28" t="n">
        <x:v>3.725290298461914e-9</x:v>
      </x:c>
      <x:c r="O1635" s="28" t="n">
        <x:v>1.4901161193847656e-8</x:v>
      </x:c>
      <x:c r="P1635" s="28" t="n">
        <x:v>0</x:v>
      </x:c>
      <x:c r="Q1635" s="62" t="b">
        <x:v>1</x:v>
      </x:c>
      <x:c r="R1635" s="28" t="n">
        <x:v>0</x:v>
      </x:c>
      <x:c r="S1635" s="28" t="str">
        <x:v>f1acf39595a97f18</x:v>
      </x:c>
    </x:row>
    <x:row r="1636" ht="21" customHeight="1">
      <x:c r="A1636" s="60" t="n">
        <x:v>0.66</x:v>
      </x:c>
      <x:c r="B1636" s="28" t="str">
        <x:v>middle_high</x:v>
      </x:c>
      <x:c r="C1636" s="60" t="n">
        <x:v>0.55</x:v>
      </x:c>
      <x:c r="D1636" s="60" t="n">
        <x:v>0.55</x:v>
      </x:c>
      <x:c r="E1636" s="62" t="b">
        <x:v>1</x:v>
      </x:c>
      <x:c r="F1636" s="62" t="b">
        <x:v>1</x:v>
      </x:c>
      <x:c r="G1636" s="85" t="n">
        <x:v>0</x:v>
      </x:c>
      <x:c r="H1636" s="85" t="n">
        <x:v>0</x:v>
      </x:c>
      <x:c r="I1636" s="85" t="n">
        <x:v>78535765.80885243</x:v>
      </x:c>
      <x:c r="J1636" s="85" t="n">
        <x:v>62602718.338085</x:v>
      </x:c>
      <x:c r="K1636" s="85" t="n">
        <x:v>556458.3853753416</x:v>
      </x:c>
      <x:c r="L1636" s="28" t="n">
        <x:v>16</x:v>
      </x:c>
      <x:c r="M1636" s="28" t="n">
        <x:v>10</x:v>
      </x:c>
      <x:c r="N1636" s="28" t="n">
        <x:v>1.862645149230957e-9</x:v>
      </x:c>
      <x:c r="O1636" s="28" t="n">
        <x:v>2.9802322387695312e-8</x:v>
      </x:c>
      <x:c r="P1636" s="28" t="n">
        <x:v>0</x:v>
      </x:c>
      <x:c r="Q1636" s="62" t="b">
        <x:v>1</x:v>
      </x:c>
      <x:c r="R1636" s="28" t="n">
        <x:v>0</x:v>
      </x:c>
      <x:c r="S1636" s="28" t="str">
        <x:v>ed3620adb2be677d</x:v>
      </x:c>
    </x:row>
    <x:row r="1637" ht="21" customHeight="1">
      <x:c r="A1637" s="60" t="n">
        <x:v>0.66</x:v>
      </x:c>
      <x:c r="B1637" s="28" t="str">
        <x:v>middle_high</x:v>
      </x:c>
      <x:c r="C1637" s="60" t="n">
        <x:v>0.6</x:v>
      </x:c>
      <x:c r="D1637" s="60" t="n">
        <x:v>0.6</x:v>
      </x:c>
      <x:c r="E1637" s="62" t="b">
        <x:v>1</x:v>
      </x:c>
      <x:c r="F1637" s="62" t="b">
        <x:v>0</x:v>
      </x:c>
      <x:c r="G1637" s="85" t="n">
        <x:v>376781.9377123037</x:v>
      </x:c>
      <x:c r="H1637" s="85" t="n">
        <x:v>1428898.6646914352</x:v>
      </x:c>
      <x:c r="I1637" s="85" t="n">
        <x:v>86187425.88213837</x:v>
      </x:c>
      <x:c r="J1637" s="85" t="n">
        <x:v>71999999.99999999</x:v>
      </x:c>
      <x:c r="K1637" s="85" t="n">
        <x:v>503050.37248219276</x:v>
      </x:c>
      <x:c r="L1637" s="28" t="n">
        <x:v>41</x:v>
      </x:c>
      <x:c r="M1637" s="28" t="n">
        <x:v>36</x:v>
      </x:c>
      <x:c r="N1637" s="28" t="n">
        <x:v>1.862645149230957e-9</x:v>
      </x:c>
      <x:c r="O1637" s="28" t="n">
        <x:v>2.9802322387695312e-8</x:v>
      </x:c>
      <x:c r="P1637" s="28" t="n">
        <x:v>0</x:v>
      </x:c>
      <x:c r="Q1637" s="62" t="b">
        <x:v>1</x:v>
      </x:c>
      <x:c r="R1637" s="28" t="n">
        <x:v>0</x:v>
      </x:c>
      <x:c r="S1637" s="28" t="str">
        <x:v>206898eb5f8e7da5</x:v>
      </x:c>
    </x:row>
    <x:row r="1638" ht="21" customHeight="1">
      <x:c r="A1638" s="60" t="n">
        <x:v>0.66</x:v>
      </x:c>
      <x:c r="B1638" s="28" t="str">
        <x:v>middle_high</x:v>
      </x:c>
      <x:c r="C1638" s="60" t="n">
        <x:v>0.65</x:v>
      </x:c>
      <x:c r="D1638" s="60" t="n">
        <x:v>0.65</x:v>
      </x:c>
      <x:c r="E1638" s="62" t="b">
        <x:v>1</x:v>
      </x:c>
      <x:c r="F1638" s="62" t="b">
        <x:v>0</x:v>
      </x:c>
      <x:c r="G1638" s="85" t="n">
        <x:v>4208988.415279571</x:v>
      </x:c>
      <x:c r="H1638" s="85" t="n">
        <x:v>14247606.504333768</x:v>
      </x:c>
      <x:c r="I1638" s="85" t="n">
        <x:v>87822309.27193616</x:v>
      </x:c>
      <x:c r="J1638" s="85" t="n">
        <x:v>71999999.99999999</x:v>
      </x:c>
      <x:c r="K1638" s="85" t="n">
        <x:v>464362.7835452055</x:v>
      </x:c>
      <x:c r="L1638" s="28" t="n">
        <x:v>42</x:v>
      </x:c>
      <x:c r="M1638" s="28" t="n">
        <x:v>37</x:v>
      </x:c>
      <x:c r="N1638" s="28" t="n">
        <x:v>1.862645149230957e-9</x:v>
      </x:c>
      <x:c r="O1638" s="28" t="n">
        <x:v>2.9802322387695312e-8</x:v>
      </x:c>
      <x:c r="P1638" s="28" t="n">
        <x:v>0</x:v>
      </x:c>
      <x:c r="Q1638" s="62" t="b">
        <x:v>1</x:v>
      </x:c>
      <x:c r="R1638" s="28" t="n">
        <x:v>0</x:v>
      </x:c>
      <x:c r="S1638" s="28" t="str">
        <x:v>4a97ff5d1cfcee37</x:v>
      </x:c>
    </x:row>
    <x:row r="1639" ht="21" customHeight="1">
      <x:c r="A1639" s="60" t="n">
        <x:v>0.66</x:v>
      </x:c>
      <x:c r="B1639" s="28" t="str">
        <x:v>middle_high</x:v>
      </x:c>
      <x:c r="C1639" s="60" t="n">
        <x:v>0.7</x:v>
      </x:c>
      <x:c r="D1639" s="60" t="n">
        <x:v>0.7</x:v>
      </x:c>
      <x:c r="E1639" s="62" t="b">
        <x:v>1</x:v>
      </x:c>
      <x:c r="F1639" s="62" t="b">
        <x:v>0</x:v>
      </x:c>
      <x:c r="G1639" s="85" t="n">
        <x:v>8869449.814660009</x:v>
      </x:c>
      <x:c r="H1639" s="85" t="n">
        <x:v>28685567.306016877</x:v>
      </x:c>
      <x:c r="I1639" s="85" t="n">
        <x:v>88027200.68632112</x:v>
      </x:c>
      <x:c r="J1639" s="85" t="n">
        <x:v>71999999.99999999</x:v>
      </x:c>
      <x:c r="K1639" s="85" t="n">
        <x:v>425675.1946082192</x:v>
      </x:c>
      <x:c r="L1639" s="28" t="n">
        <x:v>42</x:v>
      </x:c>
      <x:c r="M1639" s="28" t="n">
        <x:v>38</x:v>
      </x:c>
      <x:c r="N1639" s="28" t="n">
        <x:v>3.725290298461914e-9</x:v>
      </x:c>
      <x:c r="O1639" s="28" t="n">
        <x:v>1.4901161193847656e-8</x:v>
      </x:c>
      <x:c r="P1639" s="28" t="n">
        <x:v>0</x:v>
      </x:c>
      <x:c r="Q1639" s="62" t="b">
        <x:v>1</x:v>
      </x:c>
      <x:c r="R1639" s="28" t="n">
        <x:v>0</x:v>
      </x:c>
      <x:c r="S1639" s="28" t="str">
        <x:v>3d5222e1fdccbdb7</x:v>
      </x:c>
    </x:row>
    <x:row r="1640" ht="21" customHeight="1">
      <x:c r="A1640" s="60" t="n">
        <x:v>0.66</x:v>
      </x:c>
      <x:c r="B1640" s="28" t="str">
        <x:v>middle_high</x:v>
      </x:c>
      <x:c r="C1640" s="60" t="n">
        <x:v>0.75</x:v>
      </x:c>
      <x:c r="D1640" s="60" t="n">
        <x:v>0.75</x:v>
      </x:c>
      <x:c r="E1640" s="62" t="b">
        <x:v>1</x:v>
      </x:c>
      <x:c r="F1640" s="62" t="b">
        <x:v>0</x:v>
      </x:c>
      <x:c r="G1640" s="85" t="n">
        <x:v>13189527.053248983</x:v>
      </x:c>
      <x:c r="H1640" s="85" t="n">
        <x:v>40290806.43894432</x:v>
      </x:c>
      <x:c r="I1640" s="85" t="n">
        <x:v>89723585.1406661</x:v>
      </x:c>
      <x:c r="J1640" s="85" t="n">
        <x:v>71999999.99999999</x:v>
      </x:c>
      <x:c r="K1640" s="85" t="n">
        <x:v>386987.6056712338</x:v>
      </x:c>
      <x:c r="L1640" s="28" t="n">
        <x:v>43</x:v>
      </x:c>
      <x:c r="M1640" s="28" t="n">
        <x:v>38</x:v>
      </x:c>
      <x:c r="N1640" s="28" t="n">
        <x:v>1.862645149230957e-9</x:v>
      </x:c>
      <x:c r="O1640" s="28" t="n">
        <x:v>2.9802322387695312e-8</x:v>
      </x:c>
      <x:c r="P1640" s="28" t="n">
        <x:v>0</x:v>
      </x:c>
      <x:c r="Q1640" s="62" t="b">
        <x:v>1</x:v>
      </x:c>
      <x:c r="R1640" s="28" t="n">
        <x:v>0</x:v>
      </x:c>
      <x:c r="S1640" s="28" t="str">
        <x:v>ba1dbb36787e34be</x:v>
      </x:c>
    </x:row>
    <x:row r="1641" ht="21" customHeight="1">
      <x:c r="A1641" s="60" t="n">
        <x:v>0.66</x:v>
      </x:c>
      <x:c r="B1641" s="28" t="str">
        <x:v>middle_high</x:v>
      </x:c>
      <x:c r="C1641" s="60" t="n">
        <x:v>0.8</x:v>
      </x:c>
      <x:c r="D1641" s="60" t="n">
        <x:v>0.8</x:v>
      </x:c>
      <x:c r="E1641" s="62" t="b">
        <x:v>1</x:v>
      </x:c>
      <x:c r="F1641" s="62" t="b">
        <x:v>0</x:v>
      </x:c>
      <x:c r="G1641" s="85" t="n">
        <x:v>18020817.145508647</x:v>
      </x:c>
      <x:c r="H1641" s="85" t="n">
        <x:v>54239566.30761894</x:v>
      </x:c>
      <x:c r="I1641" s="85" t="n">
        <x:v>89882961.01305754</x:v>
      </x:c>
      <x:c r="J1641" s="85" t="n">
        <x:v>71999999.99999999</x:v>
      </x:c>
      <x:c r="K1641" s="85" t="n">
        <x:v>348300.01673424465</x:v>
      </x:c>
      <x:c r="L1641" s="28" t="n">
        <x:v>43</x:v>
      </x:c>
      <x:c r="M1641" s="28" t="n">
        <x:v>40</x:v>
      </x:c>
      <x:c r="N1641" s="28" t="n">
        <x:v>1.862645149230957e-9</x:v>
      </x:c>
      <x:c r="O1641" s="28" t="n">
        <x:v>1.4901161193847656e-8</x:v>
      </x:c>
      <x:c r="P1641" s="28" t="n">
        <x:v>0</x:v>
      </x:c>
      <x:c r="Q1641" s="62" t="b">
        <x:v>1</x:v>
      </x:c>
      <x:c r="R1641" s="28" t="n">
        <x:v>0</x:v>
      </x:c>
      <x:c r="S1641" s="28" t="str">
        <x:v>5382a6ccb18f152e</x:v>
      </x:c>
    </x:row>
    <x:row r="1642" ht="21" customHeight="1">
      <x:c r="A1642" s="60" t="n">
        <x:v>0.66</x:v>
      </x:c>
      <x:c r="B1642" s="28" t="str">
        <x:v>middle_high</x:v>
      </x:c>
      <x:c r="C1642" s="60" t="n">
        <x:v>0.85</x:v>
      </x:c>
      <x:c r="D1642" s="60" t="n">
        <x:v>0.85</x:v>
      </x:c>
      <x:c r="E1642" s="62" t="b">
        <x:v>1</x:v>
      </x:c>
      <x:c r="F1642" s="62" t="b">
        <x:v>0</x:v>
      </x:c>
      <x:c r="G1642" s="85" t="n">
        <x:v>24704269.575499494</x:v>
      </x:c>
      <x:c r="H1642" s="85" t="n">
        <x:v>67091806.183094576</x:v>
      </x:c>
      <x:c r="I1642" s="85" t="n">
        <x:v>90042336.88544898</x:v>
      </x:c>
      <x:c r="J1642" s="85" t="n">
        <x:v>71999999.99999999</x:v>
      </x:c>
      <x:c r="K1642" s="85" t="n">
        <x:v>309612.42779726203</x:v>
      </x:c>
      <x:c r="L1642" s="28" t="n">
        <x:v>43</x:v>
      </x:c>
      <x:c r="M1642" s="28" t="n">
        <x:v>40</x:v>
      </x:c>
      <x:c r="N1642" s="28" t="n">
        <x:v>1.862645149230957e-9</x:v>
      </x:c>
      <x:c r="O1642" s="28" t="n">
        <x:v>2.9802322387695312e-8</x:v>
      </x:c>
      <x:c r="P1642" s="28" t="n">
        <x:v>0</x:v>
      </x:c>
      <x:c r="Q1642" s="62" t="b">
        <x:v>1</x:v>
      </x:c>
      <x:c r="R1642" s="28" t="n">
        <x:v>0</x:v>
      </x:c>
      <x:c r="S1642" s="28" t="str">
        <x:v>5f36177ca275564e</x:v>
      </x:c>
    </x:row>
    <x:row r="1643" ht="21" customHeight="1">
      <x:c r="A1643" s="60" t="n">
        <x:v>0.66</x:v>
      </x:c>
      <x:c r="B1643" s="28" t="str">
        <x:v>middle_high</x:v>
      </x:c>
      <x:c r="C1643" s="60" t="n">
        <x:v>0.9</x:v>
      </x:c>
      <x:c r="D1643" s="60" t="n">
        <x:v>0.9</x:v>
      </x:c>
      <x:c r="E1643" s="62" t="b">
        <x:v>1</x:v>
      </x:c>
      <x:c r="F1643" s="62" t="b">
        <x:v>0</x:v>
      </x:c>
      <x:c r="G1643" s="85" t="n">
        <x:v>32309386.08440911</x:v>
      </x:c>
      <x:c r="H1643" s="85" t="n">
        <x:v>74241790.9900412</x:v>
      </x:c>
      <x:c r="I1643" s="85" t="n">
        <x:v>91568108.24227944</x:v>
      </x:c>
      <x:c r="J1643" s="85" t="n">
        <x:v>71999999.99999999</x:v>
      </x:c>
      <x:c r="K1643" s="85" t="n">
        <x:v>270924.8388602766</x:v>
      </x:c>
      <x:c r="L1643" s="28" t="n">
        <x:v>44</x:v>
      </x:c>
      <x:c r="M1643" s="28" t="n">
        <x:v>40</x:v>
      </x:c>
      <x:c r="N1643" s="28" t="n">
        <x:v>1.862645149230957e-9</x:v>
      </x:c>
      <x:c r="O1643" s="28" t="n">
        <x:v>2.9802322387695312e-8</x:v>
      </x:c>
      <x:c r="P1643" s="28" t="n">
        <x:v>0</x:v>
      </x:c>
      <x:c r="Q1643" s="62" t="b">
        <x:v>1</x:v>
      </x:c>
      <x:c r="R1643" s="28" t="n">
        <x:v>0</x:v>
      </x:c>
      <x:c r="S1643" s="28" t="str">
        <x:v>22bd92a4b347e15a</x:v>
      </x:c>
    </x:row>
    <x:row r="1644" ht="21" customHeight="1">
      <x:c r="A1644" s="60" t="n">
        <x:v>0.66</x:v>
      </x:c>
      <x:c r="B1644" s="28" t="str">
        <x:v>middle_high</x:v>
      </x:c>
      <x:c r="C1644" s="60" t="n">
        <x:v>0.95</x:v>
      </x:c>
      <x:c r="D1644" s="60" t="n">
        <x:v>0.9361238209331334</x:v>
      </x:c>
      <x:c r="E1644" s="62" t="b">
        <x:v>0</x:v>
      </x:c>
      <x:c r="F1644" s="62" t="b">
        <x:v>0</x:v>
      </x:c>
      <x:c r="G1644" s="85" t="n">
        <x:v>36255469.64232195</x:v>
      </x:c>
      <x:c r="H1644" s="85" t="n">
        <x:v>81619194.11997183</x:v>
      </x:c>
      <x:c r="I1644" s="85" t="n">
        <x:v>91658676.95467398</x:v>
      </x:c>
      <x:c r="J1644" s="85" t="n">
        <x:v>71999999.99999999</x:v>
      </x:c>
      <x:c r="K1644" s="85" t="n">
        <x:v>232237.24992328376</x:v>
      </x:c>
      <x:c r="L1644" s="28" t="n">
        <x:v>44</x:v>
      </x:c>
      <x:c r="M1644" s="28" t="n">
        <x:v>41</x:v>
      </x:c>
      <x:c r="N1644" s="28" t="n">
        <x:v>1.862645149230957e-9</x:v>
      </x:c>
      <x:c r="O1644" s="28" t="n">
        <x:v>1.4901161193847656e-8</x:v>
      </x:c>
      <x:c r="P1644" s="28" t="n">
        <x:v>0</x:v>
      </x:c>
      <x:c r="Q1644" s="62" t="b">
        <x:v>1</x:v>
      </x:c>
      <x:c r="R1644" s="28" t="n">
        <x:v>4162853.720059991</x:v>
      </x:c>
      <x:c r="S1644" s="28" t="str">
        <x:v>b818a5beec20f458</x:v>
      </x:c>
    </x:row>
    <x:row r="1645" ht="21" customHeight="1">
      <x:c r="A1645" s="60" t="n">
        <x:v>0.66</x:v>
      </x:c>
      <x:c r="B1645" s="28" t="str">
        <x:v>middle_high</x:v>
      </x:c>
      <x:c r="C1645" s="60" t="n">
        <x:v>1</x:v>
      </x:c>
      <x:c r="D1645" s="60" t="n">
        <x:v>0.9498342654879072</x:v>
      </x:c>
      <x:c r="E1645" s="62" t="b">
        <x:v>0</x:v>
      </x:c>
      <x:c r="F1645" s="62" t="b">
        <x:v>0</x:v>
      </x:c>
      <x:c r="G1645" s="85" t="n">
        <x:v>39411213.48797665</x:v>
      </x:c>
      <x:c r="H1645" s="85" t="n">
        <x:v>85148115.46632265</x:v>
      </x:c>
      <x:c r="I1645" s="85" t="n">
        <x:v>91749245.6670685</x:v>
      </x:c>
      <x:c r="J1645" s="85" t="n">
        <x:v>71999999.99999999</x:v>
      </x:c>
      <x:c r="K1645" s="85" t="n">
        <x:v>193549.6609863049</x:v>
      </x:c>
      <x:c r="L1645" s="28" t="n">
        <x:v>44</x:v>
      </x:c>
      <x:c r="M1645" s="28" t="n">
        <x:v>41</x:v>
      </x:c>
      <x:c r="N1645" s="28" t="n">
        <x:v>1.862645149230957e-9</x:v>
      </x:c>
      <x:c r="O1645" s="28" t="n">
        <x:v>1.4901161193847656e-8</x:v>
      </x:c>
      <x:c r="P1645" s="28" t="n">
        <x:v>0</x:v>
      </x:c>
      <x:c r="Q1645" s="62" t="b">
        <x:v>1</x:v>
      </x:c>
      <x:c r="R1645" s="28" t="n">
        <x:v>15049720.35362786</x:v>
      </x:c>
      <x:c r="S1645" s="28" t="str">
        <x:v>fb97fc90026f2c31</x:v>
      </x:c>
    </x:row>
    <x:row r="1646" ht="21" customHeight="1">
      <x:c r="A1646" s="60" t="n">
        <x:v>0.66</x:v>
      </x:c>
      <x:c r="B1646" s="28" t="str">
        <x:v>back_flat</x:v>
      </x:c>
      <x:c r="C1646" s="60" t="n">
        <x:v>0</x:v>
      </x:c>
      <x:c r="D1646" s="60" t="n">
        <x:v>0</x:v>
      </x:c>
      <x:c r="E1646" s="62" t="b">
        <x:v>1</x:v>
      </x:c>
      <x:c r="F1646" s="62" t="b">
        <x:v>1</x:v>
      </x:c>
      <x:c r="G1646" s="85" t="n">
        <x:v>0</x:v>
      </x:c>
      <x:c r="H1646" s="85" t="n">
        <x:v>0</x:v>
      </x:c>
      <x:c r="I1646" s="85" t="n">
        <x:v>0</x:v>
      </x:c>
      <x:c r="J1646" s="85" t="n">
        <x:v>0</x:v>
      </x:c>
      <x:c r="K1646" s="85" t="n">
        <x:v>34211668.62808221</x:v>
      </x:c>
      <x:c r="L1646" s="28" t="n">
        <x:v>0</x:v>
      </x:c>
      <x:c r="M1646" s="28" t="n">
        <x:v>0</x:v>
      </x:c>
      <x:c r="N1646" s="28" t="n">
        <x:v>3.725290298461914e-9</x:v>
      </x:c>
      <x:c r="O1646" s="28" t="n">
        <x:v>0</x:v>
      </x:c>
      <x:c r="P1646" s="28" t="n">
        <x:v>0</x:v>
      </x:c>
      <x:c r="Q1646" s="62" t="b">
        <x:v>1</x:v>
      </x:c>
      <x:c r="R1646" s="28" t="n">
        <x:v>0</x:v>
      </x:c>
      <x:c r="S1646" s="28" t="str">
        <x:v>58219c1124d3eef7</x:v>
      </x:c>
    </x:row>
    <x:row r="1647" ht="21" customHeight="1">
      <x:c r="A1647" s="60" t="n">
        <x:v>0.66</x:v>
      </x:c>
      <x:c r="B1647" s="28" t="str">
        <x:v>back_flat</x:v>
      </x:c>
      <x:c r="C1647" s="60" t="n">
        <x:v>0.05</x:v>
      </x:c>
      <x:c r="D1647" s="60" t="n">
        <x:v>0.05</x:v>
      </x:c>
      <x:c r="E1647" s="62" t="b">
        <x:v>1</x:v>
      </x:c>
      <x:c r="F1647" s="62" t="b">
        <x:v>1</x:v>
      </x:c>
      <x:c r="G1647" s="85" t="n">
        <x:v>0</x:v>
      </x:c>
      <x:c r="H1647" s="85" t="n">
        <x:v>0</x:v>
      </x:c>
      <x:c r="I1647" s="85" t="n">
        <x:v>0</x:v>
      </x:c>
      <x:c r="J1647" s="85" t="n">
        <x:v>0</x:v>
      </x:c>
      <x:c r="K1647" s="85" t="n">
        <x:v>22470632.600264207</x:v>
      </x:c>
      <x:c r="L1647" s="28" t="n">
        <x:v>0</x:v>
      </x:c>
      <x:c r="M1647" s="28" t="n">
        <x:v>0</x:v>
      </x:c>
      <x:c r="N1647" s="28" t="n">
        <x:v>1.862645149230957e-9</x:v>
      </x:c>
      <x:c r="O1647" s="28" t="n">
        <x:v>5.960464477539063e-8</x:v>
      </x:c>
      <x:c r="P1647" s="28" t="n">
        <x:v>0</x:v>
      </x:c>
      <x:c r="Q1647" s="62" t="b">
        <x:v>1</x:v>
      </x:c>
      <x:c r="R1647" s="28" t="n">
        <x:v>0</x:v>
      </x:c>
      <x:c r="S1647" s="28" t="str">
        <x:v>a2254046f821b99f</x:v>
      </x:c>
    </x:row>
    <x:row r="1648" ht="21" customHeight="1">
      <x:c r="A1648" s="60" t="n">
        <x:v>0.66</x:v>
      </x:c>
      <x:c r="B1648" s="28" t="str">
        <x:v>back_flat</x:v>
      </x:c>
      <x:c r="C1648" s="60" t="n">
        <x:v>0.1</x:v>
      </x:c>
      <x:c r="D1648" s="60" t="n">
        <x:v>0.1</x:v>
      </x:c>
      <x:c r="E1648" s="62" t="b">
        <x:v>1</x:v>
      </x:c>
      <x:c r="F1648" s="62" t="b">
        <x:v>1</x:v>
      </x:c>
      <x:c r="G1648" s="85" t="n">
        <x:v>0</x:v>
      </x:c>
      <x:c r="H1648" s="85" t="n">
        <x:v>0</x:v>
      </x:c>
      <x:c r="I1648" s="85" t="n">
        <x:v>0</x:v>
      </x:c>
      <x:c r="J1648" s="85" t="n">
        <x:v>0</x:v>
      </x:c>
      <x:c r="K1648" s="85" t="n">
        <x:v>10612365.034681845</x:v>
      </x:c>
      <x:c r="L1648" s="28" t="n">
        <x:v>0</x:v>
      </x:c>
      <x:c r="M1648" s="28" t="n">
        <x:v>0</x:v>
      </x:c>
      <x:c r="N1648" s="28" t="n">
        <x:v>1.862645149230957e-9</x:v>
      </x:c>
      <x:c r="O1648" s="28" t="n">
        <x:v>5.960464477539063e-8</x:v>
      </x:c>
      <x:c r="P1648" s="28" t="n">
        <x:v>0</x:v>
      </x:c>
      <x:c r="Q1648" s="62" t="b">
        <x:v>1</x:v>
      </x:c>
      <x:c r="R1648" s="28" t="n">
        <x:v>0</x:v>
      </x:c>
      <x:c r="S1648" s="28" t="str">
        <x:v>e2c7852f048e5921</x:v>
      </x:c>
    </x:row>
    <x:row r="1649" ht="21" customHeight="1">
      <x:c r="A1649" s="60" t="n">
        <x:v>0.66</x:v>
      </x:c>
      <x:c r="B1649" s="28" t="str">
        <x:v>back_flat</x:v>
      </x:c>
      <x:c r="C1649" s="60" t="n">
        <x:v>0.15</x:v>
      </x:c>
      <x:c r="D1649" s="60" t="n">
        <x:v>0.15</x:v>
      </x:c>
      <x:c r="E1649" s="62" t="b">
        <x:v>1</x:v>
      </x:c>
      <x:c r="F1649" s="62" t="b">
        <x:v>1</x:v>
      </x:c>
      <x:c r="G1649" s="85" t="n">
        <x:v>0</x:v>
      </x:c>
      <x:c r="H1649" s="85" t="n">
        <x:v>0</x:v>
      </x:c>
      <x:c r="I1649" s="85" t="n">
        <x:v>2443515.3584361263</x:v>
      </x:c>
      <x:c r="J1649" s="85" t="n">
        <x:v>0</x:v>
      </x:c>
      <x:c r="K1649" s="85" t="n">
        <x:v>1852761.6261101281</x:v>
      </x:c>
      <x:c r="L1649" s="28" t="n">
        <x:v>0</x:v>
      </x:c>
      <x:c r="M1649" s="28" t="n">
        <x:v>0</x:v>
      </x:c>
      <x:c r="N1649" s="28" t="n">
        <x:v>3.725290298461914e-9</x:v>
      </x:c>
      <x:c r="O1649" s="28" t="n">
        <x:v>5.960464477539063e-8</x:v>
      </x:c>
      <x:c r="P1649" s="28" t="n">
        <x:v>0</x:v>
      </x:c>
      <x:c r="Q1649" s="62" t="b">
        <x:v>1</x:v>
      </x:c>
      <x:c r="R1649" s="28" t="n">
        <x:v>0</x:v>
      </x:c>
      <x:c r="S1649" s="28" t="str">
        <x:v>956558f43768533d</x:v>
      </x:c>
    </x:row>
    <x:row r="1650" ht="21" customHeight="1">
      <x:c r="A1650" s="60" t="n">
        <x:v>0.66</x:v>
      </x:c>
      <x:c r="B1650" s="28" t="str">
        <x:v>back_flat</x:v>
      </x:c>
      <x:c r="C1650" s="60" t="n">
        <x:v>0.2</x:v>
      </x:c>
      <x:c r="D1650" s="60" t="n">
        <x:v>0.2</x:v>
      </x:c>
      <x:c r="E1650" s="62" t="b">
        <x:v>1</x:v>
      </x:c>
      <x:c r="F1650" s="62" t="b">
        <x:v>1</x:v>
      </x:c>
      <x:c r="G1650" s="85" t="n">
        <x:v>0</x:v>
      </x:c>
      <x:c r="H1650" s="85" t="n">
        <x:v>0</x:v>
      </x:c>
      <x:c r="I1650" s="85" t="n">
        <x:v>10297995.639673706</x:v>
      </x:c>
      <x:c r="J1650" s="85" t="n">
        <x:v>6341080.834812399</x:v>
      </x:c>
      <x:c r="K1650" s="85" t="n">
        <x:v>1476909.6957980287</x:v>
      </x:c>
      <x:c r="L1650" s="28" t="n">
        <x:v>0</x:v>
      </x:c>
      <x:c r="M1650" s="28" t="n">
        <x:v>0</x:v>
      </x:c>
      <x:c r="N1650" s="28" t="n">
        <x:v>1.862645149230957e-9</x:v>
      </x:c>
      <x:c r="O1650" s="28" t="n">
        <x:v>2.9802322387695312e-8</x:v>
      </x:c>
      <x:c r="P1650" s="28" t="n">
        <x:v>0</x:v>
      </x:c>
      <x:c r="Q1650" s="62" t="b">
        <x:v>1</x:v>
      </x:c>
      <x:c r="R1650" s="28" t="n">
        <x:v>0</x:v>
      </x:c>
      <x:c r="S1650" s="28" t="str">
        <x:v>9b51efdb968aa5fa</x:v>
      </x:c>
    </x:row>
    <x:row r="1651" ht="21" customHeight="1">
      <x:c r="A1651" s="60" t="n">
        <x:v>0.66</x:v>
      </x:c>
      <x:c r="B1651" s="28" t="str">
        <x:v>back_flat</x:v>
      </x:c>
      <x:c r="C1651" s="60" t="n">
        <x:v>0.25</x:v>
      </x:c>
      <x:c r="D1651" s="60" t="n">
        <x:v>0.25</x:v>
      </x:c>
      <x:c r="E1651" s="62" t="b">
        <x:v>1</x:v>
      </x:c>
      <x:c r="F1651" s="62" t="b">
        <x:v>1</x:v>
      </x:c>
      <x:c r="G1651" s="85" t="n">
        <x:v>0</x:v>
      </x:c>
      <x:c r="H1651" s="85" t="n">
        <x:v>0</x:v>
      </x:c>
      <x:c r="I1651" s="85" t="n">
        <x:v>16407420.534731349</x:v>
      </x:c>
      <x:c r="J1651" s="85" t="n">
        <x:v>15426351.043515647</x:v>
      </x:c>
      <x:c r="K1651" s="85" t="n">
        <x:v>1234933.2495420598</x:v>
      </x:c>
      <x:c r="L1651" s="28" t="n">
        <x:v>0</x:v>
      </x:c>
      <x:c r="M1651" s="28" t="n">
        <x:v>0</x:v>
      </x:c>
      <x:c r="N1651" s="28" t="n">
        <x:v>3.725290298461914e-9</x:v>
      </x:c>
      <x:c r="O1651" s="28" t="n">
        <x:v>2.9802322387695312e-8</x:v>
      </x:c>
      <x:c r="P1651" s="28" t="n">
        <x:v>0</x:v>
      </x:c>
      <x:c r="Q1651" s="62" t="b">
        <x:v>1</x:v>
      </x:c>
      <x:c r="R1651" s="28" t="n">
        <x:v>0</x:v>
      </x:c>
      <x:c r="S1651" s="28" t="str">
        <x:v>3ce058737f191f43</x:v>
      </x:c>
    </x:row>
    <x:row r="1652" ht="21" customHeight="1">
      <x:c r="A1652" s="60" t="n">
        <x:v>0.66</x:v>
      </x:c>
      <x:c r="B1652" s="28" t="str">
        <x:v>back_flat</x:v>
      </x:c>
      <x:c r="C1652" s="60" t="n">
        <x:v>0.3</x:v>
      </x:c>
      <x:c r="D1652" s="60" t="n">
        <x:v>0.3</x:v>
      </x:c>
      <x:c r="E1652" s="62" t="b">
        <x:v>1</x:v>
      </x:c>
      <x:c r="F1652" s="62" t="b">
        <x:v>1</x:v>
      </x:c>
      <x:c r="G1652" s="85" t="n">
        <x:v>0</x:v>
      </x:c>
      <x:c r="H1652" s="85" t="n">
        <x:v>0</x:v>
      </x:c>
      <x:c r="I1652" s="85" t="n">
        <x:v>22567311.28541052</x:v>
      </x:c>
      <x:c r="J1652" s="85" t="n">
        <x:v>24511621.25221868</x:v>
      </x:c>
      <x:c r="K1652" s="85" t="n">
        <x:v>1002928.158986907</x:v>
      </x:c>
      <x:c r="L1652" s="28" t="n">
        <x:v>0</x:v>
      </x:c>
      <x:c r="M1652" s="28" t="n">
        <x:v>0</x:v>
      </x:c>
      <x:c r="N1652" s="28" t="n">
        <x:v>1.862645149230957e-9</x:v>
      </x:c>
      <x:c r="O1652" s="28" t="n">
        <x:v>2.9802322387695312e-8</x:v>
      </x:c>
      <x:c r="P1652" s="28" t="n">
        <x:v>0</x:v>
      </x:c>
      <x:c r="Q1652" s="62" t="b">
        <x:v>1</x:v>
      </x:c>
      <x:c r="R1652" s="28" t="n">
        <x:v>0</x:v>
      </x:c>
      <x:c r="S1652" s="28" t="str">
        <x:v>9a68bc2256bacb39</x:v>
      </x:c>
    </x:row>
    <x:row r="1653" ht="21" customHeight="1">
      <x:c r="A1653" s="60" t="n">
        <x:v>0.66</x:v>
      </x:c>
      <x:c r="B1653" s="28" t="str">
        <x:v>back_flat</x:v>
      </x:c>
      <x:c r="C1653" s="60" t="n">
        <x:v>0.35</x:v>
      </x:c>
      <x:c r="D1653" s="60" t="n">
        <x:v>0.35</x:v>
      </x:c>
      <x:c r="E1653" s="62" t="b">
        <x:v>1</x:v>
      </x:c>
      <x:c r="F1653" s="62" t="b">
        <x:v>1</x:v>
      </x:c>
      <x:c r="G1653" s="85" t="n">
        <x:v>0</x:v>
      </x:c>
      <x:c r="H1653" s="85" t="n">
        <x:v>0</x:v>
      </x:c>
      <x:c r="I1653" s="85" t="n">
        <x:v>28795440.06003372</x:v>
      </x:c>
      <x:c r="J1653" s="85" t="n">
        <x:v>33596891.46092175</x:v>
      </x:c>
      <x:c r="K1653" s="85" t="n">
        <x:v>865177.6838865561</x:v>
      </x:c>
      <x:c r="L1653" s="28" t="n">
        <x:v>0</x:v>
      </x:c>
      <x:c r="M1653" s="28" t="n">
        <x:v>0</x:v>
      </x:c>
      <x:c r="N1653" s="28" t="n">
        <x:v>3.725290298461914e-9</x:v>
      </x:c>
      <x:c r="O1653" s="28" t="n">
        <x:v>2.9802322387695312e-8</x:v>
      </x:c>
      <x:c r="P1653" s="28" t="n">
        <x:v>0</x:v>
      </x:c>
      <x:c r="Q1653" s="62" t="b">
        <x:v>1</x:v>
      </x:c>
      <x:c r="R1653" s="28" t="n">
        <x:v>0</x:v>
      </x:c>
      <x:c r="S1653" s="28" t="str">
        <x:v>754eaed1395c7042</x:v>
      </x:c>
    </x:row>
    <x:row r="1654" ht="21" customHeight="1">
      <x:c r="A1654" s="60" t="n">
        <x:v>0.66</x:v>
      </x:c>
      <x:c r="B1654" s="28" t="str">
        <x:v>back_flat</x:v>
      </x:c>
      <x:c r="C1654" s="60" t="n">
        <x:v>0.4</x:v>
      </x:c>
      <x:c r="D1654" s="60" t="n">
        <x:v>0.4</x:v>
      </x:c>
      <x:c r="E1654" s="62" t="b">
        <x:v>1</x:v>
      </x:c>
      <x:c r="F1654" s="62" t="b">
        <x:v>1</x:v>
      </x:c>
      <x:c r="G1654" s="85" t="n">
        <x:v>0</x:v>
      </x:c>
      <x:c r="H1654" s="85" t="n">
        <x:v>0</x:v>
      </x:c>
      <x:c r="I1654" s="85" t="n">
        <x:v>35952835.67212959</x:v>
      </x:c>
      <x:c r="J1654" s="85" t="n">
        <x:v>40540739.351184435</x:v>
      </x:c>
      <x:c r="K1654" s="85" t="n">
        <x:v>727427.2087862004</x:v>
      </x:c>
      <x:c r="L1654" s="28" t="n">
        <x:v>4</x:v>
      </x:c>
      <x:c r="M1654" s="28" t="n">
        <x:v>0</x:v>
      </x:c>
      <x:c r="N1654" s="28" t="n">
        <x:v>1.862645149230957e-9</x:v>
      </x:c>
      <x:c r="O1654" s="28" t="n">
        <x:v>2.9802322387695312e-8</x:v>
      </x:c>
      <x:c r="P1654" s="28" t="n">
        <x:v>0</x:v>
      </x:c>
      <x:c r="Q1654" s="62" t="b">
        <x:v>1</x:v>
      </x:c>
      <x:c r="R1654" s="28" t="n">
        <x:v>0</x:v>
      </x:c>
      <x:c r="S1654" s="28" t="str">
        <x:v>c9d54146aa73253a</x:v>
      </x:c>
    </x:row>
    <x:row r="1655" ht="21" customHeight="1">
      <x:c r="A1655" s="60" t="n">
        <x:v>0.66</x:v>
      </x:c>
      <x:c r="B1655" s="28" t="str">
        <x:v>back_flat</x:v>
      </x:c>
      <x:c r="C1655" s="60" t="n">
        <x:v>0.45</x:v>
      </x:c>
      <x:c r="D1655" s="60" t="n">
        <x:v>0.45</x:v>
      </x:c>
      <x:c r="E1655" s="62" t="b">
        <x:v>1</x:v>
      </x:c>
      <x:c r="F1655" s="62" t="b">
        <x:v>1</x:v>
      </x:c>
      <x:c r="G1655" s="85" t="n">
        <x:v>0</x:v>
      </x:c>
      <x:c r="H1655" s="85" t="n">
        <x:v>0</x:v>
      </x:c>
      <x:c r="I1655" s="85" t="n">
        <x:v>43157440.04358195</x:v>
      </x:c>
      <x:c r="J1655" s="85" t="n">
        <x:v>47357703.3453145</x:v>
      </x:c>
      <x:c r="K1655" s="85" t="n">
        <x:v>655063.8040945157</x:v>
      </x:c>
      <x:c r="L1655" s="28" t="n">
        <x:v>8</x:v>
      </x:c>
      <x:c r="M1655" s="28" t="n">
        <x:v>0</x:v>
      </x:c>
      <x:c r="N1655" s="28" t="n">
        <x:v>3.725290298461914e-9</x:v>
      </x:c>
      <x:c r="O1655" s="28" t="n">
        <x:v>1.4901161193847656e-8</x:v>
      </x:c>
      <x:c r="P1655" s="28" t="n">
        <x:v>0</x:v>
      </x:c>
      <x:c r="Q1655" s="62" t="b">
        <x:v>1</x:v>
      </x:c>
      <x:c r="R1655" s="28" t="n">
        <x:v>0</x:v>
      </x:c>
      <x:c r="S1655" s="28" t="str">
        <x:v>cc6469c0ffa3a72c</x:v>
      </x:c>
    </x:row>
    <x:row r="1656" ht="21" customHeight="1">
      <x:c r="A1656" s="60" t="n">
        <x:v>0.66</x:v>
      </x:c>
      <x:c r="B1656" s="28" t="str">
        <x:v>back_flat</x:v>
      </x:c>
      <x:c r="C1656" s="60" t="n">
        <x:v>0.5</x:v>
      </x:c>
      <x:c r="D1656" s="60" t="n">
        <x:v>0.5</x:v>
      </x:c>
      <x:c r="E1656" s="62" t="b">
        <x:v>1</x:v>
      </x:c>
      <x:c r="F1656" s="62" t="b">
        <x:v>1</x:v>
      </x:c>
      <x:c r="G1656" s="85" t="n">
        <x:v>0</x:v>
      </x:c>
      <x:c r="H1656" s="85" t="n">
        <x:v>0</x:v>
      </x:c>
      <x:c r="I1656" s="85" t="n">
        <x:v>49820057.77576863</x:v>
      </x:c>
      <x:c r="J1656" s="85" t="n">
        <x:v>55225185.78621412</x:v>
      </x:c>
      <x:c r="K1656" s="85" t="n">
        <x:v>592211.39343836</x:v>
      </x:c>
      <x:c r="L1656" s="28" t="n">
        <x:v>11</x:v>
      </x:c>
      <x:c r="M1656" s="28" t="n">
        <x:v>1</x:v>
      </x:c>
      <x:c r="N1656" s="28" t="n">
        <x:v>3.725290298461914e-9</x:v>
      </x:c>
      <x:c r="O1656" s="28" t="n">
        <x:v>2.9802322387695312e-8</x:v>
      </x:c>
      <x:c r="P1656" s="28" t="n">
        <x:v>0</x:v>
      </x:c>
      <x:c r="Q1656" s="62" t="b">
        <x:v>1</x:v>
      </x:c>
      <x:c r="R1656" s="28" t="n">
        <x:v>0</x:v>
      </x:c>
      <x:c r="S1656" s="28" t="str">
        <x:v>f9aed43fe5e893dd</x:v>
      </x:c>
    </x:row>
    <x:row r="1657" ht="21" customHeight="1">
      <x:c r="A1657" s="60" t="n">
        <x:v>0.66</x:v>
      </x:c>
      <x:c r="B1657" s="28" t="str">
        <x:v>back_flat</x:v>
      </x:c>
      <x:c r="C1657" s="60" t="n">
        <x:v>0.55</x:v>
      </x:c>
      <x:c r="D1657" s="60" t="n">
        <x:v>0.55</x:v>
      </x:c>
      <x:c r="E1657" s="62" t="b">
        <x:v>1</x:v>
      </x:c>
      <x:c r="F1657" s="62" t="b">
        <x:v>1</x:v>
      </x:c>
      <x:c r="G1657" s="85" t="n">
        <x:v>0</x:v>
      </x:c>
      <x:c r="H1657" s="85" t="n">
        <x:v>0</x:v>
      </x:c>
      <x:c r="I1657" s="85" t="n">
        <x:v>55842520.462468274</x:v>
      </x:c>
      <x:c r="J1657" s="85" t="n">
        <x:v>64464676.32942147</x:v>
      </x:c>
      <x:c r="K1657" s="85" t="n">
        <x:v>529358.9827821885</x:v>
      </x:c>
      <x:c r="L1657" s="28" t="n">
        <x:v>14</x:v>
      </x:c>
      <x:c r="M1657" s="28" t="n">
        <x:v>7</x:v>
      </x:c>
      <x:c r="N1657" s="28" t="n">
        <x:v>3.725290298461914e-9</x:v>
      </x:c>
      <x:c r="O1657" s="28" t="n">
        <x:v>2.9802322387695312e-8</x:v>
      </x:c>
      <x:c r="P1657" s="28" t="n">
        <x:v>0</x:v>
      </x:c>
      <x:c r="Q1657" s="62" t="b">
        <x:v>1</x:v>
      </x:c>
      <x:c r="R1657" s="28" t="n">
        <x:v>0</x:v>
      </x:c>
      <x:c r="S1657" s="28" t="str">
        <x:v>738f230249d455ef</x:v>
      </x:c>
    </x:row>
    <x:row r="1658" ht="21" customHeight="1">
      <x:c r="A1658" s="60" t="n">
        <x:v>0.66</x:v>
      </x:c>
      <x:c r="B1658" s="28" t="str">
        <x:v>back_flat</x:v>
      </x:c>
      <x:c r="C1658" s="60" t="n">
        <x:v>0.6</x:v>
      </x:c>
      <x:c r="D1658" s="60" t="n">
        <x:v>0.6</x:v>
      </x:c>
      <x:c r="E1658" s="62" t="b">
        <x:v>1</x:v>
      </x:c>
      <x:c r="F1658" s="62" t="b">
        <x:v>0</x:v>
      </x:c>
      <x:c r="G1658" s="85" t="n">
        <x:v>349149.55309043254</x:v>
      </x:c>
      <x:c r="H1658" s="85" t="n">
        <x:v>2247563.747304583</x:v>
      </x:c>
      <x:c r="I1658" s="85" t="n">
        <x:v>60691935.930352725</x:v>
      </x:c>
      <x:c r="J1658" s="85" t="n">
        <x:v>71999999.99999999</x:v>
      </x:c>
      <x:c r="K1658" s="85" t="n">
        <x:v>466506.5721260317</x:v>
      </x:c>
      <x:c r="L1658" s="28" t="n">
        <x:v>39</x:v>
      </x:c>
      <x:c r="M1658" s="28" t="n">
        <x:v>32</x:v>
      </x:c>
      <x:c r="N1658" s="28" t="n">
        <x:v>1.862645149230957e-9</x:v>
      </x:c>
      <x:c r="O1658" s="28" t="n">
        <x:v>2.9802322387695312e-8</x:v>
      </x:c>
      <x:c r="P1658" s="28" t="n">
        <x:v>0</x:v>
      </x:c>
      <x:c r="Q1658" s="62" t="b">
        <x:v>1</x:v>
      </x:c>
      <x:c r="R1658" s="28" t="n">
        <x:v>0</x:v>
      </x:c>
      <x:c r="S1658" s="28" t="str">
        <x:v>c540c1f3a9fff5f4</x:v>
      </x:c>
    </x:row>
    <x:row r="1659" ht="21" customHeight="1">
      <x:c r="A1659" s="60" t="n">
        <x:v>0.66</x:v>
      </x:c>
      <x:c r="B1659" s="28" t="str">
        <x:v>back_flat</x:v>
      </x:c>
      <x:c r="C1659" s="60" t="n">
        <x:v>0.65</x:v>
      </x:c>
      <x:c r="D1659" s="60" t="n">
        <x:v>0.65</x:v>
      </x:c>
      <x:c r="E1659" s="62" t="b">
        <x:v>1</x:v>
      </x:c>
      <x:c r="F1659" s="62" t="b">
        <x:v>0</x:v>
      </x:c>
      <x:c r="G1659" s="85" t="n">
        <x:v>2167525.649563159</x:v>
      </x:c>
      <x:c r="H1659" s="85" t="n">
        <x:v>13302627.082004905</x:v>
      </x:c>
      <x:c r="I1659" s="85" t="n">
        <x:v>61941899.98197553</x:v>
      </x:c>
      <x:c r="J1659" s="85" t="n">
        <x:v>71999999.99999999</x:v>
      </x:c>
      <x:c r="K1659" s="85" t="n">
        <x:v>403654.1614698644</x:v>
      </x:c>
      <x:c r="L1659" s="28" t="n">
        <x:v>40</x:v>
      </x:c>
      <x:c r="M1659" s="28" t="n">
        <x:v>32</x:v>
      </x:c>
      <x:c r="N1659" s="28" t="n">
        <x:v>1.862645149230957e-9</x:v>
      </x:c>
      <x:c r="O1659" s="28" t="n">
        <x:v>1.4901161193847656e-8</x:v>
      </x:c>
      <x:c r="P1659" s="28" t="n">
        <x:v>0</x:v>
      </x:c>
      <x:c r="Q1659" s="62" t="b">
        <x:v>1</x:v>
      </x:c>
      <x:c r="R1659" s="28" t="n">
        <x:v>0</x:v>
      </x:c>
      <x:c r="S1659" s="28" t="str">
        <x:v>879edddea875cd3a</x:v>
      </x:c>
    </x:row>
    <x:row r="1660" ht="21" customHeight="1">
      <x:c r="A1660" s="60" t="n">
        <x:v>0.66</x:v>
      </x:c>
      <x:c r="B1660" s="28" t="str">
        <x:v>back_flat</x:v>
      </x:c>
      <x:c r="C1660" s="60" t="n">
        <x:v>0.7</x:v>
      </x:c>
      <x:c r="D1660" s="60" t="n">
        <x:v>0.7</x:v>
      </x:c>
      <x:c r="E1660" s="62" t="b">
        <x:v>1</x:v>
      </x:c>
      <x:c r="F1660" s="62" t="b">
        <x:v>0</x:v>
      </x:c>
      <x:c r="G1660" s="85" t="n">
        <x:v>4451061.932910017</x:v>
      </x:c>
      <x:c r="H1660" s="85" t="n">
        <x:v>25227763.72221553</x:v>
      </x:c>
      <x:c r="I1660" s="85" t="n">
        <x:v>62125259.873739734</x:v>
      </x:c>
      <x:c r="J1660" s="85" t="n">
        <x:v>71999999.99999999</x:v>
      </x:c>
      <x:c r="K1660" s="85" t="n">
        <x:v>340801.75081370346</x:v>
      </x:c>
      <x:c r="L1660" s="28" t="n">
        <x:v>40</x:v>
      </x:c>
      <x:c r="M1660" s="28" t="n">
        <x:v>34</x:v>
      </x:c>
      <x:c r="N1660" s="28" t="n">
        <x:v>1.862645149230957e-9</x:v>
      </x:c>
      <x:c r="O1660" s="28" t="n">
        <x:v>2.9802322387695312e-8</x:v>
      </x:c>
      <x:c r="P1660" s="28" t="n">
        <x:v>0</x:v>
      </x:c>
      <x:c r="Q1660" s="62" t="b">
        <x:v>1</x:v>
      </x:c>
      <x:c r="R1660" s="28" t="n">
        <x:v>0</x:v>
      </x:c>
      <x:c r="S1660" s="28" t="str">
        <x:v>27ed252b8174f5d6</x:v>
      </x:c>
    </x:row>
    <x:row r="1661" ht="21" customHeight="1">
      <x:c r="A1661" s="60" t="n">
        <x:v>0.66</x:v>
      </x:c>
      <x:c r="B1661" s="28" t="str">
        <x:v>back_flat</x:v>
      </x:c>
      <x:c r="C1661" s="60" t="n">
        <x:v>0.75</x:v>
      </x:c>
      <x:c r="D1661" s="60" t="n">
        <x:v>0.75</x:v>
      </x:c>
      <x:c r="E1661" s="62" t="b">
        <x:v>1</x:v>
      </x:c>
      <x:c r="F1661" s="62" t="b">
        <x:v>0</x:v>
      </x:c>
      <x:c r="G1661" s="85" t="n">
        <x:v>6639286.903935834</x:v>
      </x:c>
      <x:c r="H1661" s="85" t="n">
        <x:v>35449097.3686823</x:v>
      </x:c>
      <x:c r="I1661" s="85" t="n">
        <x:v>63461846.77625681</x:v>
      </x:c>
      <x:c r="J1661" s="85" t="n">
        <x:v>71999999.99999999</x:v>
      </x:c>
      <x:c r="K1661" s="85" t="n">
        <x:v>318167.6751438398</x:v>
      </x:c>
      <x:c r="L1661" s="28" t="n">
        <x:v>41</x:v>
      </x:c>
      <x:c r="M1661" s="28" t="n">
        <x:v>34</x:v>
      </x:c>
      <x:c r="N1661" s="28" t="n">
        <x:v>1.862645149230957e-9</x:v>
      </x:c>
      <x:c r="O1661" s="28" t="n">
        <x:v>2.9802322387695312e-8</x:v>
      </x:c>
      <x:c r="P1661" s="28" t="n">
        <x:v>0</x:v>
      </x:c>
      <x:c r="Q1661" s="62" t="b">
        <x:v>1</x:v>
      </x:c>
      <x:c r="R1661" s="28" t="n">
        <x:v>0</x:v>
      </x:c>
      <x:c r="S1661" s="28" t="str">
        <x:v>a58e4c4a09487344</x:v>
      </x:c>
    </x:row>
    <x:row r="1662" ht="21" customHeight="1">
      <x:c r="A1662" s="60" t="n">
        <x:v>0.66</x:v>
      </x:c>
      <x:c r="B1662" s="28" t="str">
        <x:v>back_flat</x:v>
      </x:c>
      <x:c r="C1662" s="60" t="n">
        <x:v>0.8</x:v>
      </x:c>
      <x:c r="D1662" s="60" t="n">
        <x:v>0.8</x:v>
      </x:c>
      <x:c r="E1662" s="62" t="b">
        <x:v>1</x:v>
      </x:c>
      <x:c r="F1662" s="62" t="b">
        <x:v>0</x:v>
      </x:c>
      <x:c r="G1662" s="85" t="n">
        <x:v>9187955.850045348</x:v>
      </x:c>
      <x:c r="H1662" s="85" t="n">
        <x:v>46987367.094369285</x:v>
      </x:c>
      <x:c r="I1662" s="85" t="n">
        <x:v>63587271.95439996</x:v>
      </x:c>
      <x:c r="J1662" s="85" t="n">
        <x:v>71999999.99999999</x:v>
      </x:c>
      <x:c r="K1662" s="85" t="n">
        <x:v>299022.1182356182</x:v>
      </x:c>
      <x:c r="L1662" s="28" t="n">
        <x:v>41</x:v>
      </x:c>
      <x:c r="M1662" s="28" t="n">
        <x:v>36</x:v>
      </x:c>
      <x:c r="N1662" s="28" t="n">
        <x:v>1.862645149230957e-9</x:v>
      </x:c>
      <x:c r="O1662" s="28" t="n">
        <x:v>1.4901161193847656e-8</x:v>
      </x:c>
      <x:c r="P1662" s="28" t="n">
        <x:v>0</x:v>
      </x:c>
      <x:c r="Q1662" s="62" t="b">
        <x:v>1</x:v>
      </x:c>
      <x:c r="R1662" s="28" t="n">
        <x:v>0</x:v>
      </x:c>
      <x:c r="S1662" s="28" t="str">
        <x:v>977b32d532cae130</x:v>
      </x:c>
    </x:row>
    <x:row r="1663" ht="21" customHeight="1">
      <x:c r="A1663" s="60" t="n">
        <x:v>0.66</x:v>
      </x:c>
      <x:c r="B1663" s="28" t="str">
        <x:v>back_flat</x:v>
      </x:c>
      <x:c r="C1663" s="60" t="n">
        <x:v>0.85</x:v>
      </x:c>
      <x:c r="D1663" s="60" t="n">
        <x:v>0.85</x:v>
      </x:c>
      <x:c r="E1663" s="62" t="b">
        <x:v>1</x:v>
      </x:c>
      <x:c r="F1663" s="62" t="b">
        <x:v>0</x:v>
      </x:c>
      <x:c r="G1663" s="85" t="n">
        <x:v>12181939.02423213</x:v>
      </x:c>
      <x:c r="H1663" s="85" t="n">
        <x:v>56608780.52951816</x:v>
      </x:c>
      <x:c r="I1663" s="85" t="n">
        <x:v>64786051.41472929</x:v>
      </x:c>
      <x:c r="J1663" s="85" t="n">
        <x:v>71999999.99999999</x:v>
      </x:c>
      <x:c r="K1663" s="85" t="n">
        <x:v>279876.56132739654</x:v>
      </x:c>
      <x:c r="L1663" s="28" t="n">
        <x:v>42</x:v>
      </x:c>
      <x:c r="M1663" s="28" t="n">
        <x:v>36</x:v>
      </x:c>
      <x:c r="N1663" s="28" t="n">
        <x:v>1.862645149230957e-9</x:v>
      </x:c>
      <x:c r="O1663" s="28" t="n">
        <x:v>2.9802322387695312e-8</x:v>
      </x:c>
      <x:c r="P1663" s="28" t="n">
        <x:v>0</x:v>
      </x:c>
      <x:c r="Q1663" s="62" t="b">
        <x:v>1</x:v>
      </x:c>
      <x:c r="R1663" s="28" t="n">
        <x:v>0</x:v>
      </x:c>
      <x:c r="S1663" s="28" t="str">
        <x:v>cdfe4c5816588c8b</x:v>
      </x:c>
    </x:row>
    <x:row r="1664" ht="21" customHeight="1">
      <x:c r="A1664" s="60" t="n">
        <x:v>0.66</x:v>
      </x:c>
      <x:c r="B1664" s="28" t="str">
        <x:v>back_flat</x:v>
      </x:c>
      <x:c r="C1664" s="60" t="n">
        <x:v>0.9</x:v>
      </x:c>
      <x:c r="D1664" s="60" t="n">
        <x:v>0.8948658400492392</x:v>
      </x:c>
      <x:c r="E1664" s="62" t="b">
        <x:v>0</x:v>
      </x:c>
      <x:c r="F1664" s="62" t="b">
        <x:v>0</x:v>
      </x:c>
      <x:c r="G1664" s="85" t="n">
        <x:v>16744035.052228777</x:v>
      </x:c>
      <x:c r="H1664" s="85" t="n">
        <x:v>63395427.5140399</x:v>
      </x:c>
      <x:c r="I1664" s="85" t="n">
        <x:v>64862548.21205021</x:v>
      </x:c>
      <x:c r="J1664" s="85" t="n">
        <x:v>71999999.99999999</x:v>
      </x:c>
      <x:c r="K1664" s="85" t="n">
        <x:v>260731.0044191754</x:v>
      </x:c>
      <x:c r="L1664" s="28" t="n">
        <x:v>42</x:v>
      </x:c>
      <x:c r="M1664" s="28" t="n">
        <x:v>37</x:v>
      </x:c>
      <x:c r="N1664" s="28" t="n">
        <x:v>1.862645149230957e-9</x:v>
      </x:c>
      <x:c r="O1664" s="28" t="n">
        <x:v>2.9802322387695312e-8</x:v>
      </x:c>
      <x:c r="P1664" s="28" t="n">
        <x:v>0</x:v>
      </x:c>
      <x:c r="Q1664" s="62" t="b">
        <x:v>1</x:v>
      </x:c>
      <x:c r="R1664" s="28" t="n">
        <x:v>1540247.9852282405</x:v>
      </x:c>
      <x:c r="S1664" s="28" t="str">
        <x:v>c9a5848972f3be05</x:v>
      </x:c>
    </x:row>
    <x:row r="1665" ht="21" customHeight="1">
      <x:c r="A1665" s="60" t="n">
        <x:v>0.66</x:v>
      </x:c>
      <x:c r="B1665" s="28" t="str">
        <x:v>back_flat</x:v>
      </x:c>
      <x:c r="C1665" s="60" t="n">
        <x:v>0.95</x:v>
      </x:c>
      <x:c r="D1665" s="60" t="n">
        <x:v>0.9083032015334562</x:v>
      </x:c>
      <x:c r="E1665" s="62" t="b">
        <x:v>0</x:v>
      </x:c>
      <x:c r="F1665" s="62" t="b">
        <x:v>0</x:v>
      </x:c>
      <x:c r="G1665" s="85" t="n">
        <x:v>17742736.8152738</x:v>
      </x:c>
      <x:c r="H1665" s="85" t="n">
        <x:v>67176662.1465389</x:v>
      </x:c>
      <x:c r="I1665" s="85" t="n">
        <x:v>64947784.37217659</x:v>
      </x:c>
      <x:c r="J1665" s="85" t="n">
        <x:v>71999999.99999999</x:v>
      </x:c>
      <x:c r="K1665" s="85" t="n">
        <x:v>241585.44751095749</x:v>
      </x:c>
      <x:c r="L1665" s="28" t="n">
        <x:v>42</x:v>
      </x:c>
      <x:c r="M1665" s="28" t="n">
        <x:v>38</x:v>
      </x:c>
      <x:c r="N1665" s="28" t="n">
        <x:v>1.862645149230957e-9</x:v>
      </x:c>
      <x:c r="O1665" s="28" t="n">
        <x:v>2.9802322387695312e-8</x:v>
      </x:c>
      <x:c r="P1665" s="28" t="n">
        <x:v>0</x:v>
      </x:c>
      <x:c r="Q1665" s="62" t="b">
        <x:v>1</x:v>
      </x:c>
      <x:c r="R1665" s="28" t="n">
        <x:v>12509039.539963126</x:v>
      </x:c>
      <x:c r="S1665" s="28" t="str">
        <x:v>ac4d658563238ff8</x:v>
      </x:c>
    </x:row>
    <x:row r="1666" ht="21" customHeight="1">
      <x:c r="A1666" s="60" t="n">
        <x:v>0.66</x:v>
      </x:c>
      <x:c r="B1666" s="28" t="str">
        <x:v>back_flat</x:v>
      </x:c>
      <x:c r="C1666" s="60" t="n">
        <x:v>1</x:v>
      </x:c>
      <x:c r="D1666" s="60" t="n">
        <x:v>0.920601109498915</x:v>
      </x:c>
      <x:c r="E1666" s="62" t="b">
        <x:v>0</x:v>
      </x:c>
      <x:c r="F1666" s="62" t="b">
        <x:v>0</x:v>
      </x:c>
      <x:c r="G1666" s="85" t="n">
        <x:v>18856126.786211524</x:v>
      </x:c>
      <x:c r="H1666" s="85" t="n">
        <x:v>68515174.18236777</x:v>
      </x:c>
      <x:c r="I1666" s="85" t="n">
        <x:v>66215885.91426022</x:v>
      </x:c>
      <x:c r="J1666" s="85" t="n">
        <x:v>71999999.99999999</x:v>
      </x:c>
      <x:c r="K1666" s="85" t="n">
        <x:v>222439.89060274052</x:v>
      </x:c>
      <x:c r="L1666" s="28" t="n">
        <x:v>43</x:v>
      </x:c>
      <x:c r="M1666" s="28" t="n">
        <x:v>38</x:v>
      </x:c>
      <x:c r="N1666" s="28" t="n">
        <x:v>1.862645149230957e-9</x:v>
      </x:c>
      <x:c r="O1666" s="28" t="n">
        <x:v>2.9802322387695312e-8</x:v>
      </x:c>
      <x:c r="P1666" s="28" t="n">
        <x:v>0</x:v>
      </x:c>
      <x:c r="Q1666" s="62" t="b">
        <x:v>1</x:v>
      </x:c>
      <x:c r="R1666" s="28" t="n">
        <x:v>23819667.150325477</x:v>
      </x:c>
      <x:c r="S1666" s="28" t="str">
        <x:v>955c5024882cab79</x:v>
      </x:c>
    </x:row>
    <x:row r="1667" ht="21" customHeight="1">
      <x:c r="A1667" s="60" t="n">
        <x:v>0.66</x:v>
      </x:c>
      <x:c r="B1667" s="28" t="str">
        <x:v>back_low</x:v>
      </x:c>
      <x:c r="C1667" s="60" t="n">
        <x:v>0</x:v>
      </x:c>
      <x:c r="D1667" s="60" t="n">
        <x:v>0</x:v>
      </x:c>
      <x:c r="E1667" s="62" t="b">
        <x:v>1</x:v>
      </x:c>
      <x:c r="F1667" s="62" t="b">
        <x:v>1</x:v>
      </x:c>
      <x:c r="G1667" s="85" t="n">
        <x:v>0</x:v>
      </x:c>
      <x:c r="H1667" s="85" t="n">
        <x:v>0</x:v>
      </x:c>
      <x:c r="I1667" s="85" t="n">
        <x:v>0</x:v>
      </x:c>
      <x:c r="J1667" s="85" t="n">
        <x:v>0</x:v>
      </x:c>
      <x:c r="K1667" s="85" t="n">
        <x:v>30218842.093835626</x:v>
      </x:c>
      <x:c r="L1667" s="28" t="n">
        <x:v>0</x:v>
      </x:c>
      <x:c r="M1667" s="28" t="n">
        <x:v>0</x:v>
      </x:c>
      <x:c r="N1667" s="28" t="n">
        <x:v>3.725290298461914e-9</x:v>
      </x:c>
      <x:c r="O1667" s="28" t="n">
        <x:v>0</x:v>
      </x:c>
      <x:c r="P1667" s="28" t="n">
        <x:v>0</x:v>
      </x:c>
      <x:c r="Q1667" s="62" t="b">
        <x:v>1</x:v>
      </x:c>
      <x:c r="R1667" s="28" t="n">
        <x:v>0</x:v>
      </x:c>
      <x:c r="S1667" s="28" t="str">
        <x:v>0665606b451aec52</x:v>
      </x:c>
    </x:row>
    <x:row r="1668" ht="21" customHeight="1">
      <x:c r="A1668" s="60" t="n">
        <x:v>0.66</x:v>
      </x:c>
      <x:c r="B1668" s="28" t="str">
        <x:v>back_low</x:v>
      </x:c>
      <x:c r="C1668" s="60" t="n">
        <x:v>0.05</x:v>
      </x:c>
      <x:c r="D1668" s="60" t="n">
        <x:v>0.05</x:v>
      </x:c>
      <x:c r="E1668" s="62" t="b">
        <x:v>1</x:v>
      </x:c>
      <x:c r="F1668" s="62" t="b">
        <x:v>1</x:v>
      </x:c>
      <x:c r="G1668" s="85" t="n">
        <x:v>0</x:v>
      </x:c>
      <x:c r="H1668" s="85" t="n">
        <x:v>0</x:v>
      </x:c>
      <x:c r="I1668" s="85" t="n">
        <x:v>0</x:v>
      </x:c>
      <x:c r="J1668" s="85" t="n">
        <x:v>0</x:v>
      </x:c>
      <x:c r="K1668" s="85" t="n">
        <x:v>19599622.795223925</x:v>
      </x:c>
      <x:c r="L1668" s="28" t="n">
        <x:v>0</x:v>
      </x:c>
      <x:c r="M1668" s="28" t="n">
        <x:v>0</x:v>
      </x:c>
      <x:c r="N1668" s="28" t="n">
        <x:v>3.725290298461914e-9</x:v>
      </x:c>
      <x:c r="O1668" s="28" t="n">
        <x:v>5.960464477539063e-8</x:v>
      </x:c>
      <x:c r="P1668" s="28" t="n">
        <x:v>0</x:v>
      </x:c>
      <x:c r="Q1668" s="62" t="b">
        <x:v>1</x:v>
      </x:c>
      <x:c r="R1668" s="28" t="n">
        <x:v>0</x:v>
      </x:c>
      <x:c r="S1668" s="28" t="str">
        <x:v>37cf5634205eca89</x:v>
      </x:c>
    </x:row>
    <x:row r="1669" ht="21" customHeight="1">
      <x:c r="A1669" s="60" t="n">
        <x:v>0.66</x:v>
      </x:c>
      <x:c r="B1669" s="28" t="str">
        <x:v>back_low</x:v>
      </x:c>
      <x:c r="C1669" s="60" t="n">
        <x:v>0.1</x:v>
      </x:c>
      <x:c r="D1669" s="60" t="n">
        <x:v>0.1</x:v>
      </x:c>
      <x:c r="E1669" s="62" t="b">
        <x:v>1</x:v>
      </x:c>
      <x:c r="F1669" s="62" t="b">
        <x:v>1</x:v>
      </x:c>
      <x:c r="G1669" s="85" t="n">
        <x:v>0</x:v>
      </x:c>
      <x:c r="H1669" s="85" t="n">
        <x:v>0</x:v>
      </x:c>
      <x:c r="I1669" s="85" t="n">
        <x:v>0</x:v>
      </x:c>
      <x:c r="J1669" s="85" t="n">
        <x:v>0</x:v>
      </x:c>
      <x:c r="K1669" s="85" t="n">
        <x:v>8897651.822896207</x:v>
      </x:c>
      <x:c r="L1669" s="28" t="n">
        <x:v>0</x:v>
      </x:c>
      <x:c r="M1669" s="28" t="n">
        <x:v>0</x:v>
      </x:c>
      <x:c r="N1669" s="28" t="n">
        <x:v>1.862645149230957e-9</x:v>
      </x:c>
      <x:c r="O1669" s="28" t="n">
        <x:v>5.960464477539063e-8</x:v>
      </x:c>
      <x:c r="P1669" s="28" t="n">
        <x:v>0</x:v>
      </x:c>
      <x:c r="Q1669" s="62" t="b">
        <x:v>1</x:v>
      </x:c>
      <x:c r="R1669" s="28" t="n">
        <x:v>0</x:v>
      </x:c>
      <x:c r="S1669" s="28" t="str">
        <x:v>063b9c82a9edfef0</x:v>
      </x:c>
    </x:row>
    <x:row r="1670" ht="21" customHeight="1">
      <x:c r="A1670" s="60" t="n">
        <x:v>0.66</x:v>
      </x:c>
      <x:c r="B1670" s="28" t="str">
        <x:v>back_low</x:v>
      </x:c>
      <x:c r="C1670" s="60" t="n">
        <x:v>0.15</x:v>
      </x:c>
      <x:c r="D1670" s="60" t="n">
        <x:v>0.15</x:v>
      </x:c>
      <x:c r="E1670" s="62" t="b">
        <x:v>1</x:v>
      </x:c>
      <x:c r="F1670" s="62" t="b">
        <x:v>1</x:v>
      </x:c>
      <x:c r="G1670" s="85" t="n">
        <x:v>0</x:v>
      </x:c>
      <x:c r="H1670" s="85" t="n">
        <x:v>0</x:v>
      </x:c>
      <x:c r="I1670" s="85" t="n">
        <x:v>1850037.3068623606</x:v>
      </x:c>
      <x:c r="J1670" s="85" t="n">
        <x:v>0</x:v>
      </x:c>
      <x:c r="K1670" s="85" t="n">
        <x:v>862238.7225749467</x:v>
      </x:c>
      <x:c r="L1670" s="28" t="n">
        <x:v>0</x:v>
      </x:c>
      <x:c r="M1670" s="28" t="n">
        <x:v>0</x:v>
      </x:c>
      <x:c r="N1670" s="28" t="n">
        <x:v>1.862645149230957e-9</x:v>
      </x:c>
      <x:c r="O1670" s="28" t="n">
        <x:v>5.960464477539063e-8</x:v>
      </x:c>
      <x:c r="P1670" s="28" t="n">
        <x:v>0</x:v>
      </x:c>
      <x:c r="Q1670" s="62" t="b">
        <x:v>1</x:v>
      </x:c>
      <x:c r="R1670" s="28" t="n">
        <x:v>0</x:v>
      </x:c>
      <x:c r="S1670" s="28" t="str">
        <x:v>40627e429b94c169</x:v>
      </x:c>
    </x:row>
    <x:row r="1671" ht="21" customHeight="1">
      <x:c r="A1671" s="60" t="n">
        <x:v>0.66</x:v>
      </x:c>
      <x:c r="B1671" s="28" t="str">
        <x:v>back_low</x:v>
      </x:c>
      <x:c r="C1671" s="60" t="n">
        <x:v>0.2</x:v>
      </x:c>
      <x:c r="D1671" s="60" t="n">
        <x:v>0.2</x:v>
      </x:c>
      <x:c r="E1671" s="62" t="b">
        <x:v>1</x:v>
      </x:c>
      <x:c r="F1671" s="62" t="b">
        <x:v>1</x:v>
      </x:c>
      <x:c r="G1671" s="85" t="n">
        <x:v>0</x:v>
      </x:c>
      <x:c r="H1671" s="85" t="n">
        <x:v>0</x:v>
      </x:c>
      <x:c r="I1671" s="85" t="n">
        <x:v>7969802.645335824</x:v>
      </x:c>
      <x:c r="J1671" s="85" t="n">
        <x:v>6341080.834812399</x:v>
      </x:c>
      <x:c r="K1671" s="85" t="n">
        <x:v>693145.2012829551</x:v>
      </x:c>
      <x:c r="L1671" s="28" t="n">
        <x:v>0</x:v>
      </x:c>
      <x:c r="M1671" s="28" t="n">
        <x:v>0</x:v>
      </x:c>
      <x:c r="N1671" s="28" t="n">
        <x:v>1.862645149230957e-9</x:v>
      </x:c>
      <x:c r="O1671" s="28" t="n">
        <x:v>2.9802322387695312e-8</x:v>
      </x:c>
      <x:c r="P1671" s="28" t="n">
        <x:v>0</x:v>
      </x:c>
      <x:c r="Q1671" s="62" t="b">
        <x:v>1</x:v>
      </x:c>
      <x:c r="R1671" s="28" t="n">
        <x:v>0</x:v>
      </x:c>
      <x:c r="S1671" s="28" t="str">
        <x:v>c3e62e546f641608</x:v>
      </x:c>
    </x:row>
    <x:row r="1672" ht="21" customHeight="1">
      <x:c r="A1672" s="60" t="n">
        <x:v>0.66</x:v>
      </x:c>
      <x:c r="B1672" s="28" t="str">
        <x:v>back_low</x:v>
      </x:c>
      <x:c r="C1672" s="60" t="n">
        <x:v>0.25</x:v>
      </x:c>
      <x:c r="D1672" s="60" t="n">
        <x:v>0.25</x:v>
      </x:c>
      <x:c r="E1672" s="62" t="b">
        <x:v>1</x:v>
      </x:c>
      <x:c r="F1672" s="62" t="b">
        <x:v>1</x:v>
      </x:c>
      <x:c r="G1672" s="85" t="n">
        <x:v>0</x:v>
      </x:c>
      <x:c r="H1672" s="85" t="n">
        <x:v>0</x:v>
      </x:c>
      <x:c r="I1672" s="85" t="n">
        <x:v>11992223.028211415</x:v>
      </x:c>
      <x:c r="J1672" s="85" t="n">
        <x:v>15426351.043515647</x:v>
      </x:c>
      <x:c r="K1672" s="85" t="n">
        <x:v>557946.7478365806</x:v>
      </x:c>
      <x:c r="L1672" s="28" t="n">
        <x:v>0</x:v>
      </x:c>
      <x:c r="M1672" s="28" t="n">
        <x:v>0</x:v>
      </x:c>
      <x:c r="N1672" s="28" t="n">
        <x:v>9.313225746154785e-10</x:v>
      </x:c>
      <x:c r="O1672" s="28" t="n">
        <x:v>2.9802322387695312e-8</x:v>
      </x:c>
      <x:c r="P1672" s="28" t="n">
        <x:v>0</x:v>
      </x:c>
      <x:c r="Q1672" s="62" t="b">
        <x:v>1</x:v>
      </x:c>
      <x:c r="R1672" s="28" t="n">
        <x:v>0</x:v>
      </x:c>
      <x:c r="S1672" s="28" t="str">
        <x:v>d9f04f5f6cab0813</x:v>
      </x:c>
    </x:row>
    <x:row r="1673" ht="21" customHeight="1">
      <x:c r="A1673" s="60" t="n">
        <x:v>0.66</x:v>
      </x:c>
      <x:c r="B1673" s="28" t="str">
        <x:v>back_low</x:v>
      </x:c>
      <x:c r="C1673" s="60" t="n">
        <x:v>0.3</x:v>
      </x:c>
      <x:c r="D1673" s="60" t="n">
        <x:v>0.3</x:v>
      </x:c>
      <x:c r="E1673" s="62" t="b">
        <x:v>1</x:v>
      </x:c>
      <x:c r="F1673" s="62" t="b">
        <x:v>1</x:v>
      </x:c>
      <x:c r="G1673" s="85" t="n">
        <x:v>0</x:v>
      </x:c>
      <x:c r="H1673" s="85" t="n">
        <x:v>0</x:v>
      </x:c>
      <x:c r="I1673" s="85" t="n">
        <x:v>16005831.051250929</x:v>
      </x:c>
      <x:c r="J1673" s="85" t="n">
        <x:v>24511621.25221868</x:v>
      </x:c>
      <x:c r="K1673" s="85" t="n">
        <x:v>462567.76335130015</x:v>
      </x:c>
      <x:c r="L1673" s="28" t="n">
        <x:v>0</x:v>
      </x:c>
      <x:c r="M1673" s="28" t="n">
        <x:v>0</x:v>
      </x:c>
      <x:c r="N1673" s="28" t="n">
        <x:v>1.862645149230957e-9</x:v>
      </x:c>
      <x:c r="O1673" s="28" t="n">
        <x:v>2.9802322387695312e-8</x:v>
      </x:c>
      <x:c r="P1673" s="28" t="n">
        <x:v>0</x:v>
      </x:c>
      <x:c r="Q1673" s="62" t="b">
        <x:v>1</x:v>
      </x:c>
      <x:c r="R1673" s="28" t="n">
        <x:v>0</x:v>
      </x:c>
      <x:c r="S1673" s="28" t="str">
        <x:v>c5a63f086fe4e661</x:v>
      </x:c>
    </x:row>
    <x:row r="1674" ht="21" customHeight="1">
      <x:c r="A1674" s="60" t="n">
        <x:v>0.66</x:v>
      </x:c>
      <x:c r="B1674" s="28" t="str">
        <x:v>back_low</x:v>
      </x:c>
      <x:c r="C1674" s="60" t="n">
        <x:v>0.35</x:v>
      </x:c>
      <x:c r="D1674" s="60" t="n">
        <x:v>0.35</x:v>
      </x:c>
      <x:c r="E1674" s="62" t="b">
        <x:v>1</x:v>
      </x:c>
      <x:c r="F1674" s="62" t="b">
        <x:v>1</x:v>
      </x:c>
      <x:c r="G1674" s="85" t="n">
        <x:v>0</x:v>
      </x:c>
      <x:c r="H1674" s="85" t="n">
        <x:v>0</x:v>
      </x:c>
      <x:c r="I1674" s="85" t="n">
        <x:v>20092632.030739512</x:v>
      </x:c>
      <x:c r="J1674" s="85" t="n">
        <x:v>33596891.46092175</x:v>
      </x:c>
      <x:c r="K1674" s="85" t="n">
        <x:v>385771.68349887483</x:v>
      </x:c>
      <x:c r="L1674" s="28" t="n">
        <x:v>0</x:v>
      </x:c>
      <x:c r="M1674" s="28" t="n">
        <x:v>0</x:v>
      </x:c>
      <x:c r="N1674" s="28" t="n">
        <x:v>1.862645149230957e-9</x:v>
      </x:c>
      <x:c r="O1674" s="28" t="n">
        <x:v>2.9802322387695312e-8</x:v>
      </x:c>
      <x:c r="P1674" s="28" t="n">
        <x:v>0</x:v>
      </x:c>
      <x:c r="Q1674" s="62" t="b">
        <x:v>1</x:v>
      </x:c>
      <x:c r="R1674" s="28" t="n">
        <x:v>0</x:v>
      </x:c>
      <x:c r="S1674" s="28" t="str">
        <x:v>2ef4b33cad6d213c</x:v>
      </x:c>
    </x:row>
    <x:row r="1675" ht="21" customHeight="1">
      <x:c r="A1675" s="60" t="n">
        <x:v>0.66</x:v>
      </x:c>
      <x:c r="B1675" s="28" t="str">
        <x:v>back_low</x:v>
      </x:c>
      <x:c r="C1675" s="60" t="n">
        <x:v>0.4</x:v>
      </x:c>
      <x:c r="D1675" s="60" t="n">
        <x:v>0.4</x:v>
      </x:c>
      <x:c r="E1675" s="62" t="b">
        <x:v>1</x:v>
      </x:c>
      <x:c r="F1675" s="62" t="b">
        <x:v>1</x:v>
      </x:c>
      <x:c r="G1675" s="85" t="n">
        <x:v>0</x:v>
      </x:c>
      <x:c r="H1675" s="85" t="n">
        <x:v>0</x:v>
      </x:c>
      <x:c r="I1675" s="85" t="n">
        <x:v>25250690.258303784</x:v>
      </x:c>
      <x:c r="J1675" s="85" t="n">
        <x:v>40935940.452263035</x:v>
      </x:c>
      <x:c r="K1675" s="85" t="n">
        <x:v>334790.7986410998</x:v>
      </x:c>
      <x:c r="L1675" s="28" t="n">
        <x:v>4</x:v>
      </x:c>
      <x:c r="M1675" s="28" t="n">
        <x:v>0</x:v>
      </x:c>
      <x:c r="N1675" s="28" t="n">
        <x:v>3.725290298461914e-9</x:v>
      </x:c>
      <x:c r="O1675" s="28" t="n">
        <x:v>2.9802322387695312e-8</x:v>
      </x:c>
      <x:c r="P1675" s="28" t="n">
        <x:v>0</x:v>
      </x:c>
      <x:c r="Q1675" s="62" t="b">
        <x:v>1</x:v>
      </x:c>
      <x:c r="R1675" s="28" t="n">
        <x:v>0</x:v>
      </x:c>
      <x:c r="S1675" s="28" t="str">
        <x:v>480f7ea7017996d5</x:v>
      </x:c>
    </x:row>
    <x:row r="1676" ht="21" customHeight="1">
      <x:c r="A1676" s="60" t="n">
        <x:v>0.66</x:v>
      </x:c>
      <x:c r="B1676" s="28" t="str">
        <x:v>back_low</x:v>
      </x:c>
      <x:c r="C1676" s="60" t="n">
        <x:v>0.45</x:v>
      </x:c>
      <x:c r="D1676" s="60" t="n">
        <x:v>0.45</x:v>
      </x:c>
      <x:c r="E1676" s="62" t="b">
        <x:v>1</x:v>
      </x:c>
      <x:c r="F1676" s="62" t="b">
        <x:v>1</x:v>
      </x:c>
      <x:c r="G1676" s="85" t="n">
        <x:v>0</x:v>
      </x:c>
      <x:c r="H1676" s="85" t="n">
        <x:v>0</x:v>
      </x:c>
      <x:c r="I1676" s="85" t="n">
        <x:v>30467168.893393766</x:v>
      </x:c>
      <x:c r="J1676" s="85" t="n">
        <x:v>48110387.4310638</x:v>
      </x:c>
      <x:c r="K1676" s="85" t="n">
        <x:v>299623.96097123297</x:v>
      </x:c>
      <x:c r="L1676" s="28" t="n">
        <x:v>8</x:v>
      </x:c>
      <x:c r="M1676" s="28" t="n">
        <x:v>0</x:v>
      </x:c>
      <x:c r="N1676" s="28" t="n">
        <x:v>3.725290298461914e-9</x:v>
      </x:c>
      <x:c r="O1676" s="28" t="n">
        <x:v>1.4901161193847656e-8</x:v>
      </x:c>
      <x:c r="P1676" s="28" t="n">
        <x:v>0</x:v>
      </x:c>
      <x:c r="Q1676" s="62" t="b">
        <x:v>1</x:v>
      </x:c>
      <x:c r="R1676" s="28" t="n">
        <x:v>0</x:v>
      </x:c>
      <x:c r="S1676" s="28" t="str">
        <x:v>3e262f3515296095</x:v>
      </x:c>
    </x:row>
    <x:row r="1677" ht="21" customHeight="1">
      <x:c r="A1677" s="60" t="n">
        <x:v>0.66</x:v>
      </x:c>
      <x:c r="B1677" s="28" t="str">
        <x:v>back_low</x:v>
      </x:c>
      <x:c r="C1677" s="60" t="n">
        <x:v>0.5</x:v>
      </x:c>
      <x:c r="D1677" s="60" t="n">
        <x:v>0.5</x:v>
      </x:c>
      <x:c r="E1677" s="62" t="b">
        <x:v>1</x:v>
      </x:c>
      <x:c r="F1677" s="62" t="b">
        <x:v>1</x:v>
      </x:c>
      <x:c r="G1677" s="85" t="n">
        <x:v>0</x:v>
      </x:c>
      <x:c r="H1677" s="85" t="n">
        <x:v>0</x:v>
      </x:c>
      <x:c r="I1677" s="85" t="n">
        <x:v>35326541.850102946</x:v>
      </x:c>
      <x:c r="J1677" s="85" t="n">
        <x:v>55853816.07296557</x:v>
      </x:c>
      <x:c r="K1677" s="85" t="n">
        <x:v>264457.1233013699</x:v>
      </x:c>
      <x:c r="L1677" s="28" t="n">
        <x:v>12</x:v>
      </x:c>
      <x:c r="M1677" s="28" t="n">
        <x:v>0</x:v>
      </x:c>
      <x:c r="N1677" s="28" t="n">
        <x:v>3.725290298461914e-9</x:v>
      </x:c>
      <x:c r="O1677" s="28" t="n">
        <x:v>2.9802322387695312e-8</x:v>
      </x:c>
      <x:c r="P1677" s="28" t="n">
        <x:v>0</x:v>
      </x:c>
      <x:c r="Q1677" s="62" t="b">
        <x:v>1</x:v>
      </x:c>
      <x:c r="R1677" s="28" t="n">
        <x:v>0</x:v>
      </x:c>
      <x:c r="S1677" s="28" t="str">
        <x:v>fc59bf5ff8e7eea1</x:v>
      </x:c>
    </x:row>
    <x:row r="1678" ht="21" customHeight="1">
      <x:c r="A1678" s="60" t="n">
        <x:v>0.66</x:v>
      </x:c>
      <x:c r="B1678" s="28" t="str">
        <x:v>back_low</x:v>
      </x:c>
      <x:c r="C1678" s="60" t="n">
        <x:v>0.55</x:v>
      </x:c>
      <x:c r="D1678" s="60" t="n">
        <x:v>0.55</x:v>
      </x:c>
      <x:c r="E1678" s="62" t="b">
        <x:v>1</x:v>
      </x:c>
      <x:c r="F1678" s="62" t="b">
        <x:v>1</x:v>
      </x:c>
      <x:c r="G1678" s="85" t="n">
        <x:v>0</x:v>
      </x:c>
      <x:c r="H1678" s="85" t="n">
        <x:v>0</x:v>
      </x:c>
      <x:c r="I1678" s="85" t="n">
        <x:v>39304680.68595434</x:v>
      </x:c>
      <x:c r="J1678" s="85" t="n">
        <x:v>64870375.17663356</x:v>
      </x:c>
      <x:c r="K1678" s="85" t="n">
        <x:v>229290.28563150676</x:v>
      </x:c>
      <x:c r="L1678" s="28" t="n">
        <x:v>14</x:v>
      </x:c>
      <x:c r="M1678" s="28" t="n">
        <x:v>0</x:v>
      </x:c>
      <x:c r="N1678" s="28" t="n">
        <x:v>1.862645149230957e-9</x:v>
      </x:c>
      <x:c r="O1678" s="28" t="n">
        <x:v>2.9802322387695312e-8</x:v>
      </x:c>
      <x:c r="P1678" s="28" t="n">
        <x:v>0</x:v>
      </x:c>
      <x:c r="Q1678" s="62" t="b">
        <x:v>1</x:v>
      </x:c>
      <x:c r="R1678" s="28" t="n">
        <x:v>0</x:v>
      </x:c>
      <x:c r="S1678" s="28" t="str">
        <x:v>0891f155441098a7</x:v>
      </x:c>
    </x:row>
    <x:row r="1679" ht="21" customHeight="1">
      <x:c r="A1679" s="60" t="n">
        <x:v>0.66</x:v>
      </x:c>
      <x:c r="B1679" s="28" t="str">
        <x:v>back_low</x:v>
      </x:c>
      <x:c r="C1679" s="60" t="n">
        <x:v>0.6</x:v>
      </x:c>
      <x:c r="D1679" s="60" t="n">
        <x:v>0.6</x:v>
      </x:c>
      <x:c r="E1679" s="62" t="b">
        <x:v>1</x:v>
      </x:c>
      <x:c r="F1679" s="62" t="b">
        <x:v>0</x:v>
      </x:c>
      <x:c r="G1679" s="85" t="n">
        <x:v>128717.1553011132</x:v>
      </x:c>
      <x:c r="H1679" s="85" t="n">
        <x:v>1918753.3903232417</x:v>
      </x:c>
      <x:c r="I1679" s="85" t="n">
        <x:v>42600200.35091286</x:v>
      </x:c>
      <x:c r="J1679" s="85" t="n">
        <x:v>71999999.99999999</x:v>
      </x:c>
      <x:c r="K1679" s="85" t="n">
        <x:v>194123.4479616409</x:v>
      </x:c>
      <x:c r="L1679" s="28" t="n">
        <x:v>39</x:v>
      </x:c>
      <x:c r="M1679" s="28" t="n">
        <x:v>24</x:v>
      </x:c>
      <x:c r="N1679" s="28" t="n">
        <x:v>1.862645149230957e-9</x:v>
      </x:c>
      <x:c r="O1679" s="28" t="n">
        <x:v>2.9802322387695312e-8</x:v>
      </x:c>
      <x:c r="P1679" s="28" t="n">
        <x:v>0</x:v>
      </x:c>
      <x:c r="Q1679" s="62" t="b">
        <x:v>1</x:v>
      </x:c>
      <x:c r="R1679" s="28" t="n">
        <x:v>0</x:v>
      </x:c>
      <x:c r="S1679" s="28" t="str">
        <x:v>594abb91a4581f03</x:v>
      </x:c>
    </x:row>
    <x:row r="1680" ht="21" customHeight="1">
      <x:c r="A1680" s="60" t="n">
        <x:v>0.66</x:v>
      </x:c>
      <x:c r="B1680" s="28" t="str">
        <x:v>back_low</x:v>
      </x:c>
      <x:c r="C1680" s="60" t="n">
        <x:v>0.65</x:v>
      </x:c>
      <x:c r="D1680" s="60" t="n">
        <x:v>0.65</x:v>
      </x:c>
      <x:c r="E1680" s="62" t="b">
        <x:v>1</x:v>
      </x:c>
      <x:c r="F1680" s="62" t="b">
        <x:v>0</x:v>
      </x:c>
      <x:c r="G1680" s="85" t="n">
        <x:v>778529.2471887455</x:v>
      </x:c>
      <x:c r="H1680" s="85" t="n">
        <x:v>11724066.743194075</x:v>
      </x:c>
      <x:c r="I1680" s="85" t="n">
        <x:v>43510101.97632762</x:v>
      </x:c>
      <x:c r="J1680" s="85" t="n">
        <x:v>71999999.99999999</x:v>
      </x:c>
      <x:c r="K1680" s="85" t="n">
        <x:v>163512.0531794512</x:v>
      </x:c>
      <x:c r="L1680" s="28" t="n">
        <x:v>40</x:v>
      </x:c>
      <x:c r="M1680" s="28" t="n">
        <x:v>30</x:v>
      </x:c>
      <x:c r="N1680" s="28" t="n">
        <x:v>1.862645149230957e-9</x:v>
      </x:c>
      <x:c r="O1680" s="28" t="n">
        <x:v>1.4901161193847656e-8</x:v>
      </x:c>
      <x:c r="P1680" s="28" t="n">
        <x:v>0</x:v>
      </x:c>
      <x:c r="Q1680" s="62" t="b">
        <x:v>1</x:v>
      </x:c>
      <x:c r="R1680" s="28" t="n">
        <x:v>0</x:v>
      </x:c>
      <x:c r="S1680" s="28" t="str">
        <x:v>bf40fc1b132803cc</x:v>
      </x:c>
    </x:row>
    <x:row r="1681" ht="21" customHeight="1">
      <x:c r="A1681" s="60" t="n">
        <x:v>0.66</x:v>
      </x:c>
      <x:c r="B1681" s="28" t="str">
        <x:v>back_low</x:v>
      </x:c>
      <x:c r="C1681" s="60" t="n">
        <x:v>0.7</x:v>
      </x:c>
      <x:c r="D1681" s="60" t="n">
        <x:v>0.7</x:v>
      </x:c>
      <x:c r="E1681" s="62" t="b">
        <x:v>1</x:v>
      </x:c>
      <x:c r="F1681" s="62" t="b">
        <x:v>0</x:v>
      </x:c>
      <x:c r="G1681" s="85" t="n">
        <x:v>1535905.1792315966</x:v>
      </x:c>
      <x:c r="H1681" s="85" t="n">
        <x:v>22433314.698328663</x:v>
      </x:c>
      <x:c r="I1681" s="85" t="n">
        <x:v>43614369.44826853</x:v>
      </x:c>
      <x:c r="J1681" s="85" t="n">
        <x:v>71999999.99999999</x:v>
      </x:c>
      <x:c r="K1681" s="85" t="n">
        <x:v>152587.5397780838</x:v>
      </x:c>
      <x:c r="L1681" s="28" t="n">
        <x:v>40</x:v>
      </x:c>
      <x:c r="M1681" s="28" t="n">
        <x:v>31</x:v>
      </x:c>
      <x:c r="N1681" s="28" t="n">
        <x:v>1.862645149230957e-9</x:v>
      </x:c>
      <x:c r="O1681" s="28" t="n">
        <x:v>2.9802322387695312e-8</x:v>
      </x:c>
      <x:c r="P1681" s="28" t="n">
        <x:v>0</x:v>
      </x:c>
      <x:c r="Q1681" s="62" t="b">
        <x:v>1</x:v>
      </x:c>
      <x:c r="R1681" s="28" t="n">
        <x:v>0</x:v>
      </x:c>
      <x:c r="S1681" s="28" t="str">
        <x:v>076352e696f5bc91</x:v>
      </x:c>
    </x:row>
    <x:row r="1682" ht="21" customHeight="1">
      <x:c r="A1682" s="60" t="n">
        <x:v>0.66</x:v>
      </x:c>
      <x:c r="B1682" s="28" t="str">
        <x:v>back_low</x:v>
      </x:c>
      <x:c r="C1682" s="60" t="n">
        <x:v>0.75</x:v>
      </x:c>
      <x:c r="D1682" s="60" t="n">
        <x:v>0.75</x:v>
      </x:c>
      <x:c r="E1682" s="62" t="b">
        <x:v>1</x:v>
      </x:c>
      <x:c r="F1682" s="62" t="b">
        <x:v>0</x:v>
      </x:c>
      <x:c r="G1682" s="85" t="n">
        <x:v>2419649.96589997</x:v>
      </x:c>
      <x:c r="H1682" s="85" t="n">
        <x:v>31842186.83540305</x:v>
      </x:c>
      <x:c r="I1682" s="85" t="n">
        <x:v>44632302.152934924</x:v>
      </x:c>
      <x:c r="J1682" s="85" t="n">
        <x:v>71999999.99999999</x:v>
      </x:c>
      <x:c r="K1682" s="85" t="n">
        <x:v>141663.02637671732</x:v>
      </x:c>
      <x:c r="L1682" s="28" t="n">
        <x:v>41</x:v>
      </x:c>
      <x:c r="M1682" s="28" t="n">
        <x:v>32</x:v>
      </x:c>
      <x:c r="N1682" s="28" t="n">
        <x:v>1.862645149230957e-9</x:v>
      </x:c>
      <x:c r="O1682" s="28" t="n">
        <x:v>2.9802322387695312e-8</x:v>
      </x:c>
      <x:c r="P1682" s="28" t="n">
        <x:v>0</x:v>
      </x:c>
      <x:c r="Q1682" s="62" t="b">
        <x:v>1</x:v>
      </x:c>
      <x:c r="R1682" s="28" t="n">
        <x:v>0</x:v>
      </x:c>
      <x:c r="S1682" s="28" t="str">
        <x:v>12d6610bdf080bf4</x:v>
      </x:c>
    </x:row>
    <x:row r="1683" ht="21" customHeight="1">
      <x:c r="A1683" s="60" t="n">
        <x:v>0.66</x:v>
      </x:c>
      <x:c r="B1683" s="28" t="str">
        <x:v>back_low</x:v>
      </x:c>
      <x:c r="C1683" s="60" t="n">
        <x:v>0.8</x:v>
      </x:c>
      <x:c r="D1683" s="60" t="n">
        <x:v>0.8</x:v>
      </x:c>
      <x:c r="E1683" s="62" t="b">
        <x:v>1</x:v>
      </x:c>
      <x:c r="F1683" s="62" t="b">
        <x:v>0</x:v>
      </x:c>
      <x:c r="G1683" s="85" t="n">
        <x:v>3321128.485076805</x:v>
      </x:c>
      <x:c r="H1683" s="85" t="n">
        <x:v>42282164.37452663</x:v>
      </x:c>
      <x:c r="I1683" s="85" t="n">
        <x:v>44703070.35801643</x:v>
      </x:c>
      <x:c r="J1683" s="85" t="n">
        <x:v>71999999.99999999</x:v>
      </x:c>
      <x:c r="K1683" s="85" t="n">
        <x:v>130738.51297534244</x:v>
      </x:c>
      <x:c r="L1683" s="28" t="n">
        <x:v>41</x:v>
      </x:c>
      <x:c r="M1683" s="28" t="n">
        <x:v>32</x:v>
      </x:c>
      <x:c r="N1683" s="28" t="n">
        <x:v>1.862645149230957e-9</x:v>
      </x:c>
      <x:c r="O1683" s="28" t="n">
        <x:v>1.4901161193847656e-8</x:v>
      </x:c>
      <x:c r="P1683" s="28" t="n">
        <x:v>0</x:v>
      </x:c>
      <x:c r="Q1683" s="62" t="b">
        <x:v>1</x:v>
      </x:c>
      <x:c r="R1683" s="28" t="n">
        <x:v>0</x:v>
      </x:c>
      <x:c r="S1683" s="28" t="str">
        <x:v>11fbc49eca992caa</x:v>
      </x:c>
    </x:row>
    <x:row r="1684" ht="21" customHeight="1">
      <x:c r="A1684" s="60" t="n">
        <x:v>0.66</x:v>
      </x:c>
      <x:c r="B1684" s="28" t="str">
        <x:v>back_low</x:v>
      </x:c>
      <x:c r="C1684" s="60" t="n">
        <x:v>0.85</x:v>
      </x:c>
      <x:c r="D1684" s="60" t="n">
        <x:v>0.85</x:v>
      </x:c>
      <x:c r="E1684" s="62" t="b">
        <x:v>1</x:v>
      </x:c>
      <x:c r="F1684" s="62" t="b">
        <x:v>0</x:v>
      </x:c>
      <x:c r="G1684" s="85" t="n">
        <x:v>4353552.154593697</x:v>
      </x:c>
      <x:c r="H1684" s="85" t="n">
        <x:v>51526084.78240689</x:v>
      </x:c>
      <x:c r="I1684" s="85" t="n">
        <x:v>45604697.92943207</x:v>
      </x:c>
      <x:c r="J1684" s="85" t="n">
        <x:v>71999999.99999999</x:v>
      </x:c>
      <x:c r="K1684" s="85" t="n">
        <x:v>119813.99957397036</x:v>
      </x:c>
      <x:c r="L1684" s="28" t="n">
        <x:v>42</x:v>
      </x:c>
      <x:c r="M1684" s="28" t="n">
        <x:v>34</x:v>
      </x:c>
      <x:c r="N1684" s="28" t="n">
        <x:v>9.313225746154785e-10</x:v>
      </x:c>
      <x:c r="O1684" s="28" t="n">
        <x:v>2.9802322387695312e-8</x:v>
      </x:c>
      <x:c r="P1684" s="28" t="n">
        <x:v>0</x:v>
      </x:c>
      <x:c r="Q1684" s="62" t="b">
        <x:v>1</x:v>
      </x:c>
      <x:c r="R1684" s="28" t="n">
        <x:v>0</x:v>
      </x:c>
      <x:c r="S1684" s="28" t="str">
        <x:v>c2d17a21614d6c24</x:v>
      </x:c>
    </x:row>
    <x:row r="1685" ht="21" customHeight="1">
      <x:c r="A1685" s="60" t="n">
        <x:v>0.66</x:v>
      </x:c>
      <x:c r="B1685" s="28" t="str">
        <x:v>back_low</x:v>
      </x:c>
      <x:c r="C1685" s="60" t="n">
        <x:v>0.9</x:v>
      </x:c>
      <x:c r="D1685" s="60" t="n">
        <x:v>0.8948658400492392</x:v>
      </x:c>
      <x:c r="E1685" s="62" t="b">
        <x:v>0</x:v>
      </x:c>
      <x:c r="F1685" s="62" t="b">
        <x:v>0</x:v>
      </x:c>
      <x:c r="G1685" s="85" t="n">
        <x:v>6735135.426262706</x:v>
      </x:c>
      <x:c r="H1685" s="85" t="n">
        <x:v>59053170.400103</x:v>
      </x:c>
      <x:c r="I1685" s="85" t="n">
        <x:v>45647925.904491335</x:v>
      </x:c>
      <x:c r="J1685" s="85" t="n">
        <x:v>71999999.99999999</x:v>
      </x:c>
      <x:c r="K1685" s="85" t="n">
        <x:v>108889.48617260293</x:v>
      </x:c>
      <x:c r="L1685" s="28" t="n">
        <x:v>42</x:v>
      </x:c>
      <x:c r="M1685" s="28" t="n">
        <x:v>34</x:v>
      </x:c>
      <x:c r="N1685" s="28" t="n">
        <x:v>1.862645149230957e-9</x:v>
      </x:c>
      <x:c r="O1685" s="28" t="n">
        <x:v>2.9802322387695312e-8</x:v>
      </x:c>
      <x:c r="P1685" s="28" t="n">
        <x:v>0</x:v>
      </x:c>
      <x:c r="Q1685" s="62" t="b">
        <x:v>1</x:v>
      </x:c>
      <x:c r="R1685" s="28" t="n">
        <x:v>1540247.9852282405</x:v>
      </x:c>
      <x:c r="S1685" s="28" t="str">
        <x:v>c2ece49933fb2849</x:v>
      </x:c>
    </x:row>
    <x:row r="1686" ht="21" customHeight="1">
      <x:c r="A1686" s="60" t="n">
        <x:v>0.66</x:v>
      </x:c>
      <x:c r="B1686" s="28" t="str">
        <x:v>back_low</x:v>
      </x:c>
      <x:c r="C1686" s="60" t="n">
        <x:v>0.95</x:v>
      </x:c>
      <x:c r="D1686" s="60" t="n">
        <x:v>0.9083032015334562</x:v>
      </x:c>
      <x:c r="E1686" s="62" t="b">
        <x:v>0</x:v>
      </x:c>
      <x:c r="F1686" s="62" t="b">
        <x:v>0</x:v>
      </x:c>
      <x:c r="G1686" s="85" t="n">
        <x:v>7095760.753332917</x:v>
      </x:c>
      <x:c r="H1686" s="85" t="n">
        <x:v>62215106.65561302</x:v>
      </x:c>
      <x:c r="I1686" s="85" t="n">
        <x:v>45691153.87955059</x:v>
      </x:c>
      <x:c r="J1686" s="85" t="n">
        <x:v>71999999.99999999</x:v>
      </x:c>
      <x:c r="K1686" s="85" t="n">
        <x:v>97964.97277123506</x:v>
      </x:c>
      <x:c r="L1686" s="28" t="n">
        <x:v>42</x:v>
      </x:c>
      <x:c r="M1686" s="28" t="n">
        <x:v>35</x:v>
      </x:c>
      <x:c r="N1686" s="28" t="n">
        <x:v>1.862645149230957e-9</x:v>
      </x:c>
      <x:c r="O1686" s="28" t="n">
        <x:v>2.9802322387695312e-8</x:v>
      </x:c>
      <x:c r="P1686" s="28" t="n">
        <x:v>0</x:v>
      </x:c>
      <x:c r="Q1686" s="62" t="b">
        <x:v>1</x:v>
      </x:c>
      <x:c r="R1686" s="28" t="n">
        <x:v>12509039.539963126</x:v>
      </x:c>
      <x:c r="S1686" s="28" t="str">
        <x:v>90f18e6229469ab0</x:v>
      </x:c>
    </x:row>
    <x:row r="1687" ht="21" customHeight="1">
      <x:c r="A1687" s="60" t="n">
        <x:v>0.66</x:v>
      </x:c>
      <x:c r="B1687" s="28" t="str">
        <x:v>back_low</x:v>
      </x:c>
      <x:c r="C1687" s="60" t="n">
        <x:v>1</x:v>
      </x:c>
      <x:c r="D1687" s="60" t="n">
        <x:v>0.920601109498915</x:v>
      </x:c>
      <x:c r="E1687" s="62" t="b">
        <x:v>0</x:v>
      </x:c>
      <x:c r="F1687" s="62" t="b">
        <x:v>0</x:v>
      </x:c>
      <x:c r="G1687" s="85" t="n">
        <x:v>7585217.972845926</x:v>
      </x:c>
      <x:c r="H1687" s="85" t="n">
        <x:v>63826556.93313882</x:v>
      </x:c>
      <x:c r="I1687" s="85" t="n">
        <x:v>46649133.42245204</x:v>
      </x:c>
      <x:c r="J1687" s="85" t="n">
        <x:v>71999999.99999999</x:v>
      </x:c>
      <x:c r="K1687" s="85" t="n">
        <x:v>87040.4593698681</x:v>
      </x:c>
      <x:c r="L1687" s="28" t="n">
        <x:v>43</x:v>
      </x:c>
      <x:c r="M1687" s="28" t="n">
        <x:v>36</x:v>
      </x:c>
      <x:c r="N1687" s="28" t="n">
        <x:v>1.862645149230957e-9</x:v>
      </x:c>
      <x:c r="O1687" s="28" t="n">
        <x:v>2.9802322387695312e-8</x:v>
      </x:c>
      <x:c r="P1687" s="28" t="n">
        <x:v>0</x:v>
      </x:c>
      <x:c r="Q1687" s="62" t="b">
        <x:v>1</x:v>
      </x:c>
      <x:c r="R1687" s="28" t="n">
        <x:v>23819667.150325477</x:v>
      </x:c>
      <x:c r="S1687" s="28" t="str">
        <x:v>0fda72496f16480a</x:v>
      </x:c>
    </x:row>
    <x:row r="1688" ht="21" customHeight="1">
      <x:c r="A1688" s="60" t="n">
        <x:v>0.66</x:v>
      </x:c>
      <x:c r="B1688" s="28" t="str">
        <x:v>back_high</x:v>
      </x:c>
      <x:c r="C1688" s="60" t="n">
        <x:v>0</x:v>
      </x:c>
      <x:c r="D1688" s="60" t="n">
        <x:v>0</x:v>
      </x:c>
      <x:c r="E1688" s="62" t="b">
        <x:v>1</x:v>
      </x:c>
      <x:c r="F1688" s="62" t="b">
        <x:v>1</x:v>
      </x:c>
      <x:c r="G1688" s="85" t="n">
        <x:v>0</x:v>
      </x:c>
      <x:c r="H1688" s="85" t="n">
        <x:v>0</x:v>
      </x:c>
      <x:c r="I1688" s="85" t="n">
        <x:v>0</x:v>
      </x:c>
      <x:c r="J1688" s="85" t="n">
        <x:v>0</x:v>
      </x:c>
      <x:c r="K1688" s="85" t="n">
        <x:v>39029381.367808215</x:v>
      </x:c>
      <x:c r="L1688" s="28" t="n">
        <x:v>0</x:v>
      </x:c>
      <x:c r="M1688" s="28" t="n">
        <x:v>0</x:v>
      </x:c>
      <x:c r="N1688" s="28" t="n">
        <x:v>3.725290298461914e-9</x:v>
      </x:c>
      <x:c r="O1688" s="28" t="n">
        <x:v>0</x:v>
      </x:c>
      <x:c r="P1688" s="28" t="n">
        <x:v>0</x:v>
      </x:c>
      <x:c r="Q1688" s="62" t="b">
        <x:v>1</x:v>
      </x:c>
      <x:c r="R1688" s="28" t="n">
        <x:v>0</x:v>
      </x:c>
      <x:c r="S1688" s="28" t="str">
        <x:v>420889b2946810c3</x:v>
      </x:c>
    </x:row>
    <x:row r="1689" ht="21" customHeight="1">
      <x:c r="A1689" s="60" t="n">
        <x:v>0.66</x:v>
      </x:c>
      <x:c r="B1689" s="28" t="str">
        <x:v>back_high</x:v>
      </x:c>
      <x:c r="C1689" s="60" t="n">
        <x:v>0.05</x:v>
      </x:c>
      <x:c r="D1689" s="60" t="n">
        <x:v>0.05</x:v>
      </x:c>
      <x:c r="E1689" s="62" t="b">
        <x:v>1</x:v>
      </x:c>
      <x:c r="F1689" s="62" t="b">
        <x:v>1</x:v>
      </x:c>
      <x:c r="G1689" s="85" t="n">
        <x:v>0</x:v>
      </x:c>
      <x:c r="H1689" s="85" t="n">
        <x:v>0</x:v>
      </x:c>
      <x:c r="I1689" s="85" t="n">
        <x:v>0</x:v>
      </x:c>
      <x:c r="J1689" s="85" t="n">
        <x:v>0</x:v>
      </x:c>
      <x:c r="K1689" s="85" t="n">
        <x:v>25941388.240278736</x:v>
      </x:c>
      <x:c r="L1689" s="28" t="n">
        <x:v>0</x:v>
      </x:c>
      <x:c r="M1689" s="28" t="n">
        <x:v>0</x:v>
      </x:c>
      <x:c r="N1689" s="28" t="n">
        <x:v>3.725290298461914e-9</x:v>
      </x:c>
      <x:c r="O1689" s="28" t="n">
        <x:v>5.960464477539063e-8</x:v>
      </x:c>
      <x:c r="P1689" s="28" t="n">
        <x:v>0</x:v>
      </x:c>
      <x:c r="Q1689" s="62" t="b">
        <x:v>1</x:v>
      </x:c>
      <x:c r="R1689" s="28" t="n">
        <x:v>0</x:v>
      </x:c>
      <x:c r="S1689" s="28" t="str">
        <x:v>b47ff385f5c5e111</x:v>
      </x:c>
    </x:row>
    <x:row r="1690" ht="21" customHeight="1">
      <x:c r="A1690" s="60" t="n">
        <x:v>0.66</x:v>
      </x:c>
      <x:c r="B1690" s="28" t="str">
        <x:v>back_high</x:v>
      </x:c>
      <x:c r="C1690" s="60" t="n">
        <x:v>0.1</x:v>
      </x:c>
      <x:c r="D1690" s="60" t="n">
        <x:v>0.1</x:v>
      </x:c>
      <x:c r="E1690" s="62" t="b">
        <x:v>1</x:v>
      </x:c>
      <x:c r="F1690" s="62" t="b">
        <x:v>1</x:v>
      </x:c>
      <x:c r="G1690" s="85" t="n">
        <x:v>0</x:v>
      </x:c>
      <x:c r="H1690" s="85" t="n">
        <x:v>0</x:v>
      </x:c>
      <x:c r="I1690" s="85" t="n">
        <x:v>0</x:v>
      </x:c>
      <x:c r="J1690" s="85" t="n">
        <x:v>0</x:v>
      </x:c>
      <x:c r="K1690" s="85" t="n">
        <x:v>12694787.738126766</x:v>
      </x:c>
      <x:c r="L1690" s="28" t="n">
        <x:v>0</x:v>
      </x:c>
      <x:c r="M1690" s="28" t="n">
        <x:v>0</x:v>
      </x:c>
      <x:c r="N1690" s="28" t="n">
        <x:v>3.725290298461914e-9</x:v>
      </x:c>
      <x:c r="O1690" s="28" t="n">
        <x:v>5.960464477539063e-8</x:v>
      </x:c>
      <x:c r="P1690" s="28" t="n">
        <x:v>0</x:v>
      </x:c>
      <x:c r="Q1690" s="62" t="b">
        <x:v>1</x:v>
      </x:c>
      <x:c r="R1690" s="28" t="n">
        <x:v>0</x:v>
      </x:c>
      <x:c r="S1690" s="28" t="str">
        <x:v>5131e76a36de9138</x:v>
      </x:c>
    </x:row>
    <x:row r="1691" ht="21" customHeight="1">
      <x:c r="A1691" s="60" t="n">
        <x:v>0.66</x:v>
      </x:c>
      <x:c r="B1691" s="28" t="str">
        <x:v>back_high</x:v>
      </x:c>
      <x:c r="C1691" s="60" t="n">
        <x:v>0.15</x:v>
      </x:c>
      <x:c r="D1691" s="60" t="n">
        <x:v>0.15</x:v>
      </x:c>
      <x:c r="E1691" s="62" t="b">
        <x:v>1</x:v>
      </x:c>
      <x:c r="F1691" s="62" t="b">
        <x:v>1</x:v>
      </x:c>
      <x:c r="G1691" s="85" t="n">
        <x:v>0</x:v>
      </x:c>
      <x:c r="H1691" s="85" t="n">
        <x:v>0</x:v>
      </x:c>
      <x:c r="I1691" s="85" t="n">
        <x:v>3149099.6291235443</x:v>
      </x:c>
      <x:c r="J1691" s="85" t="n">
        <x:v>0</x:v>
      </x:c>
      <x:c r="K1691" s="85" t="n">
        <x:v>3115961.0452903225</x:v>
      </x:c>
      <x:c r="L1691" s="28" t="n">
        <x:v>0</x:v>
      </x:c>
      <x:c r="M1691" s="28" t="n">
        <x:v>0</x:v>
      </x:c>
      <x:c r="N1691" s="28" t="n">
        <x:v>3.725290298461914e-9</x:v>
      </x:c>
      <x:c r="O1691" s="28" t="n">
        <x:v>5.960464477539063e-8</x:v>
      </x:c>
      <x:c r="P1691" s="28" t="n">
        <x:v>0</x:v>
      </x:c>
      <x:c r="Q1691" s="62" t="b">
        <x:v>1</x:v>
      </x:c>
      <x:c r="R1691" s="28" t="n">
        <x:v>0</x:v>
      </x:c>
      <x:c r="S1691" s="28" t="str">
        <x:v>4dcf10fbd3a91e72</x:v>
      </x:c>
    </x:row>
    <x:row r="1692" ht="21" customHeight="1">
      <x:c r="A1692" s="60" t="n">
        <x:v>0.66</x:v>
      </x:c>
      <x:c r="B1692" s="28" t="str">
        <x:v>back_high</x:v>
      </x:c>
      <x:c r="C1692" s="60" t="n">
        <x:v>0.2</x:v>
      </x:c>
      <x:c r="D1692" s="60" t="n">
        <x:v>0.2</x:v>
      </x:c>
      <x:c r="E1692" s="62" t="b">
        <x:v>1</x:v>
      </x:c>
      <x:c r="F1692" s="62" t="b">
        <x:v>1</x:v>
      </x:c>
      <x:c r="G1692" s="85" t="n">
        <x:v>0</x:v>
      </x:c>
      <x:c r="H1692" s="85" t="n">
        <x:v>0</x:v>
      </x:c>
      <x:c r="I1692" s="85" t="n">
        <x:v>13081076.881207729</x:v>
      </x:c>
      <x:c r="J1692" s="85" t="n">
        <x:v>6341080.834812399</x:v>
      </x:c>
      <x:c r="K1692" s="85" t="n">
        <x:v>2476420.0427818103</x:v>
      </x:c>
      <x:c r="L1692" s="28" t="n">
        <x:v>0</x:v>
      </x:c>
      <x:c r="M1692" s="28" t="n">
        <x:v>0</x:v>
      </x:c>
      <x:c r="N1692" s="28" t="n">
        <x:v>1.862645149230957e-9</x:v>
      </x:c>
      <x:c r="O1692" s="28" t="n">
        <x:v>2.9802322387695312e-8</x:v>
      </x:c>
      <x:c r="P1692" s="28" t="n">
        <x:v>0</x:v>
      </x:c>
      <x:c r="Q1692" s="62" t="b">
        <x:v>1</x:v>
      </x:c>
      <x:c r="R1692" s="28" t="n">
        <x:v>0</x:v>
      </x:c>
      <x:c r="S1692" s="28" t="str">
        <x:v>e639e94925820197</x:v>
      </x:c>
    </x:row>
    <x:row r="1693" ht="21" customHeight="1">
      <x:c r="A1693" s="60" t="n">
        <x:v>0.66</x:v>
      </x:c>
      <x:c r="B1693" s="28" t="str">
        <x:v>back_high</x:v>
      </x:c>
      <x:c r="C1693" s="60" t="n">
        <x:v>0.25</x:v>
      </x:c>
      <x:c r="D1693" s="60" t="n">
        <x:v>0.25</x:v>
      </x:c>
      <x:c r="E1693" s="62" t="b">
        <x:v>1</x:v>
      </x:c>
      <x:c r="F1693" s="62" t="b">
        <x:v>1</x:v>
      </x:c>
      <x:c r="G1693" s="85" t="n">
        <x:v>0</x:v>
      </x:c>
      <x:c r="H1693" s="85" t="n">
        <x:v>0</x:v>
      </x:c>
      <x:c r="I1693" s="85" t="n">
        <x:v>21693591.35301175</x:v>
      </x:c>
      <x:c r="J1693" s="85" t="n">
        <x:v>15426351.043515647</x:v>
      </x:c>
      <x:c r="K1693" s="85" t="n">
        <x:v>2055727.9497256174</x:v>
      </x:c>
      <x:c r="L1693" s="28" t="n">
        <x:v>0</x:v>
      </x:c>
      <x:c r="M1693" s="28" t="n">
        <x:v>0</x:v>
      </x:c>
      <x:c r="N1693" s="28" t="n">
        <x:v>3.725290298461914e-9</x:v>
      </x:c>
      <x:c r="O1693" s="28" t="n">
        <x:v>2.9802322387695312e-8</x:v>
      </x:c>
      <x:c r="P1693" s="28" t="n">
        <x:v>0</x:v>
      </x:c>
      <x:c r="Q1693" s="62" t="b">
        <x:v>1</x:v>
      </x:c>
      <x:c r="R1693" s="28" t="n">
        <x:v>0</x:v>
      </x:c>
      <x:c r="S1693" s="28" t="str">
        <x:v>3b1928f969a30c67</x:v>
      </x:c>
    </x:row>
    <x:row r="1694" ht="21" customHeight="1">
      <x:c r="A1694" s="60" t="n">
        <x:v>0.66</x:v>
      </x:c>
      <x:c r="B1694" s="28" t="str">
        <x:v>back_high</x:v>
      </x:c>
      <x:c r="C1694" s="60" t="n">
        <x:v>0.3</x:v>
      </x:c>
      <x:c r="D1694" s="60" t="n">
        <x:v>0.3</x:v>
      </x:c>
      <x:c r="E1694" s="62" t="b">
        <x:v>1</x:v>
      </x:c>
      <x:c r="F1694" s="62" t="b">
        <x:v>1</x:v>
      </x:c>
      <x:c r="G1694" s="85" t="n">
        <x:v>0</x:v>
      </x:c>
      <x:c r="H1694" s="85" t="n">
        <x:v>0</x:v>
      </x:c>
      <x:c r="I1694" s="85" t="n">
        <x:v>30435404.14082027</x:v>
      </x:c>
      <x:c r="J1694" s="85" t="n">
        <x:v>24511621.25221868</x:v>
      </x:c>
      <x:c r="K1694" s="85" t="n">
        <x:v>1685550.498300887</x:v>
      </x:c>
      <x:c r="L1694" s="28" t="n">
        <x:v>0</x:v>
      </x:c>
      <x:c r="M1694" s="28" t="n">
        <x:v>0</x:v>
      </x:c>
      <x:c r="N1694" s="28" t="n">
        <x:v>3.725290298461914e-9</x:v>
      </x:c>
      <x:c r="O1694" s="28" t="n">
        <x:v>2.9802322387695312e-8</x:v>
      </x:c>
      <x:c r="P1694" s="28" t="n">
        <x:v>0</x:v>
      </x:c>
      <x:c r="Q1694" s="62" t="b">
        <x:v>1</x:v>
      </x:c>
      <x:c r="R1694" s="28" t="n">
        <x:v>0</x:v>
      </x:c>
      <x:c r="S1694" s="28" t="str">
        <x:v>51fa3404a371a247</x:v>
      </x:c>
    </x:row>
    <x:row r="1695" ht="21" customHeight="1">
      <x:c r="A1695" s="60" t="n">
        <x:v>0.66</x:v>
      </x:c>
      <x:c r="B1695" s="28" t="str">
        <x:v>back_high</x:v>
      </x:c>
      <x:c r="C1695" s="60" t="n">
        <x:v>0.35</x:v>
      </x:c>
      <x:c r="D1695" s="60" t="n">
        <x:v>0.35</x:v>
      </x:c>
      <x:c r="E1695" s="62" t="b">
        <x:v>1</x:v>
      </x:c>
      <x:c r="F1695" s="62" t="b">
        <x:v>1</x:v>
      </x:c>
      <x:c r="G1695" s="85" t="n">
        <x:v>0</x:v>
      </x:c>
      <x:c r="H1695" s="85" t="n">
        <x:v>0</x:v>
      </x:c>
      <x:c r="I1695" s="85" t="n">
        <x:v>39226204.03974692</x:v>
      </x:c>
      <x:c r="J1695" s="85" t="n">
        <x:v>33596891.46092175</x:v>
      </x:c>
      <x:c r="K1695" s="85" t="n">
        <x:v>1446752.8686695567</x:v>
      </x:c>
      <x:c r="L1695" s="28" t="n">
        <x:v>0</x:v>
      </x:c>
      <x:c r="M1695" s="28" t="n">
        <x:v>0</x:v>
      </x:c>
      <x:c r="N1695" s="28" t="n">
        <x:v>1.862645149230957e-9</x:v>
      </x:c>
      <x:c r="O1695" s="28" t="n">
        <x:v>2.9802322387695312e-8</x:v>
      </x:c>
      <x:c r="P1695" s="28" t="n">
        <x:v>0</x:v>
      </x:c>
      <x:c r="Q1695" s="62" t="b">
        <x:v>1</x:v>
      </x:c>
      <x:c r="R1695" s="28" t="n">
        <x:v>0</x:v>
      </x:c>
      <x:c r="S1695" s="28" t="str">
        <x:v>59b6c376ec4a5414</x:v>
      </x:c>
    </x:row>
    <x:row r="1696" ht="21" customHeight="1">
      <x:c r="A1696" s="60" t="n">
        <x:v>0.66</x:v>
      </x:c>
      <x:c r="B1696" s="28" t="str">
        <x:v>back_high</x:v>
      </x:c>
      <x:c r="C1696" s="60" t="n">
        <x:v>0.4</x:v>
      </x:c>
      <x:c r="D1696" s="60" t="n">
        <x:v>0.4</x:v>
      </x:c>
      <x:c r="E1696" s="62" t="b">
        <x:v>1</x:v>
      </x:c>
      <x:c r="F1696" s="62" t="b">
        <x:v>1</x:v>
      </x:c>
      <x:c r="G1696" s="85" t="n">
        <x:v>0</x:v>
      </x:c>
      <x:c r="H1696" s="85" t="n">
        <x:v>0</x:v>
      </x:c>
      <x:c r="I1696" s="85" t="n">
        <x:v>48649186.021004565</x:v>
      </x:c>
      <x:c r="J1696" s="85" t="n">
        <x:v>40051385.00279244</x:v>
      </x:c>
      <x:c r="K1696" s="85" t="n">
        <x:v>1235820.2575401799</x:v>
      </x:c>
      <x:c r="L1696" s="28" t="n">
        <x:v>4</x:v>
      </x:c>
      <x:c r="M1696" s="28" t="n">
        <x:v>0</x:v>
      </x:c>
      <x:c r="N1696" s="28" t="n">
        <x:v>3.725290298461914e-9</x:v>
      </x:c>
      <x:c r="O1696" s="28" t="n">
        <x:v>2.9802322387695312e-8</x:v>
      </x:c>
      <x:c r="P1696" s="28" t="n">
        <x:v>0</x:v>
      </x:c>
      <x:c r="Q1696" s="62" t="b">
        <x:v>1</x:v>
      </x:c>
      <x:c r="R1696" s="28" t="n">
        <x:v>0</x:v>
      </x:c>
      <x:c r="S1696" s="28" t="str">
        <x:v>d82a7e2248b2dc55</x:v>
      </x:c>
    </x:row>
    <x:row r="1697" ht="21" customHeight="1">
      <x:c r="A1697" s="60" t="n">
        <x:v>0.66</x:v>
      </x:c>
      <x:c r="B1697" s="28" t="str">
        <x:v>back_high</x:v>
      </x:c>
      <x:c r="C1697" s="60" t="n">
        <x:v>0.45</x:v>
      </x:c>
      <x:c r="D1697" s="60" t="n">
        <x:v>0.45</x:v>
      </x:c>
      <x:c r="E1697" s="62" t="b">
        <x:v>1</x:v>
      </x:c>
      <x:c r="F1697" s="62" t="b">
        <x:v>1</x:v>
      </x:c>
      <x:c r="G1697" s="85" t="n">
        <x:v>0</x:v>
      </x:c>
      <x:c r="H1697" s="85" t="n">
        <x:v>0</x:v>
      </x:c>
      <x:c r="I1697" s="85" t="n">
        <x:v>57986652.64712076</x:v>
      </x:c>
      <x:c r="J1697" s="85" t="n">
        <x:v>46385281.27239805</x:v>
      </x:c>
      <x:c r="K1697" s="85" t="n">
        <x:v>1085811.6303958853</x:v>
      </x:c>
      <x:c r="L1697" s="28" t="n">
        <x:v>8</x:v>
      </x:c>
      <x:c r="M1697" s="28" t="n">
        <x:v>1</x:v>
      </x:c>
      <x:c r="N1697" s="28" t="n">
        <x:v>3.725290298461914e-9</x:v>
      </x:c>
      <x:c r="O1697" s="28" t="n">
        <x:v>1.4901161193847656e-8</x:v>
      </x:c>
      <x:c r="P1697" s="28" t="n">
        <x:v>0</x:v>
      </x:c>
      <x:c r="Q1697" s="62" t="b">
        <x:v>1</x:v>
      </x:c>
      <x:c r="R1697" s="28" t="n">
        <x:v>0</x:v>
      </x:c>
      <x:c r="S1697" s="28" t="str">
        <x:v>eeb31edffd94e1b0</x:v>
      </x:c>
    </x:row>
    <x:row r="1698" ht="21" customHeight="1">
      <x:c r="A1698" s="60" t="n">
        <x:v>0.66</x:v>
      </x:c>
      <x:c r="B1698" s="28" t="str">
        <x:v>back_high</x:v>
      </x:c>
      <x:c r="C1698" s="60" t="n">
        <x:v>0.5</x:v>
      </x:c>
      <x:c r="D1698" s="60" t="n">
        <x:v>0.5</x:v>
      </x:c>
      <x:c r="E1698" s="62" t="b">
        <x:v>1</x:v>
      </x:c>
      <x:c r="F1698" s="62" t="b">
        <x:v>1</x:v>
      </x:c>
      <x:c r="G1698" s="85" t="n">
        <x:v>0</x:v>
      </x:c>
      <x:c r="H1698" s="85" t="n">
        <x:v>0</x:v>
      </x:c>
      <x:c r="I1698" s="85" t="n">
        <x:v>66909081.78367574</x:v>
      </x:c>
      <x:c r="J1698" s="85" t="n">
        <x:v>54134750.07806855</x:v>
      </x:c>
      <x:c r="K1698" s="85" t="n">
        <x:v>989720.0893287598</x:v>
      </x:c>
      <x:c r="L1698" s="28" t="n">
        <x:v>11</x:v>
      </x:c>
      <x:c r="M1698" s="28" t="n">
        <x:v>4</x:v>
      </x:c>
      <x:c r="N1698" s="28" t="n">
        <x:v>3.725290298461914e-9</x:v>
      </x:c>
      <x:c r="O1698" s="28" t="n">
        <x:v>2.9802322387695312e-8</x:v>
      </x:c>
      <x:c r="P1698" s="28" t="n">
        <x:v>0</x:v>
      </x:c>
      <x:c r="Q1698" s="62" t="b">
        <x:v>1</x:v>
      </x:c>
      <x:c r="R1698" s="28" t="n">
        <x:v>0</x:v>
      </x:c>
      <x:c r="S1698" s="28" t="str">
        <x:v>da39c9e50adcdced</x:v>
      </x:c>
    </x:row>
    <x:row r="1699" ht="21" customHeight="1">
      <x:c r="A1699" s="60" t="n">
        <x:v>0.66</x:v>
      </x:c>
      <x:c r="B1699" s="28" t="str">
        <x:v>back_high</x:v>
      </x:c>
      <x:c r="C1699" s="60" t="n">
        <x:v>0.55</x:v>
      </x:c>
      <x:c r="D1699" s="60" t="n">
        <x:v>0.55</x:v>
      </x:c>
      <x:c r="E1699" s="62" t="b">
        <x:v>1</x:v>
      </x:c>
      <x:c r="F1699" s="62" t="b">
        <x:v>1</x:v>
      </x:c>
      <x:c r="G1699" s="85" t="n">
        <x:v>0</x:v>
      </x:c>
      <x:c r="H1699" s="85" t="n">
        <x:v>0</x:v>
      </x:c>
      <x:c r="I1699" s="85" t="n">
        <x:v>75487761.08932525</x:v>
      </x:c>
      <x:c r="J1699" s="85" t="n">
        <x:v>63829734.37981794</x:v>
      </x:c>
      <x:c r="K1699" s="85" t="n">
        <x:v>893628.5482616362</x:v>
      </x:c>
      <x:c r="L1699" s="28" t="n">
        <x:v>14</x:v>
      </x:c>
      <x:c r="M1699" s="28" t="n">
        <x:v>8</x:v>
      </x:c>
      <x:c r="N1699" s="28" t="n">
        <x:v>3.725290298461914e-9</x:v>
      </x:c>
      <x:c r="O1699" s="28" t="n">
        <x:v>2.9802322387695312e-8</x:v>
      </x:c>
      <x:c r="P1699" s="28" t="n">
        <x:v>0</x:v>
      </x:c>
      <x:c r="Q1699" s="62" t="b">
        <x:v>1</x:v>
      </x:c>
      <x:c r="R1699" s="28" t="n">
        <x:v>0</x:v>
      </x:c>
      <x:c r="S1699" s="28" t="str">
        <x:v>bcade7af65b1b6e7</x:v>
      </x:c>
    </x:row>
    <x:row r="1700" ht="21" customHeight="1">
      <x:c r="A1700" s="60" t="n">
        <x:v>0.66</x:v>
      </x:c>
      <x:c r="B1700" s="28" t="str">
        <x:v>back_high</x:v>
      </x:c>
      <x:c r="C1700" s="60" t="n">
        <x:v>0.6</x:v>
      </x:c>
      <x:c r="D1700" s="60" t="n">
        <x:v>0.6</x:v>
      </x:c>
      <x:c r="E1700" s="62" t="b">
        <x:v>1</x:v>
      </x:c>
      <x:c r="F1700" s="62" t="b">
        <x:v>0</x:v>
      </x:c>
      <x:c r="G1700" s="85" t="n">
        <x:v>654915.7367915382</x:v>
      </x:c>
      <x:c r="H1700" s="85" t="n">
        <x:v>2517033.998658776</x:v>
      </x:c>
      <x:c r="I1700" s="85" t="n">
        <x:v>82412842.6029314</x:v>
      </x:c>
      <x:c r="J1700" s="85" t="n">
        <x:v>71999999.99999999</x:v>
      </x:c>
      <x:c r="K1700" s="85" t="n">
        <x:v>797537.00719452</x:v>
      </x:c>
      <x:c r="L1700" s="28" t="n">
        <x:v>39</x:v>
      </x:c>
      <x:c r="M1700" s="28" t="n">
        <x:v>34</x:v>
      </x:c>
      <x:c r="N1700" s="28" t="n">
        <x:v>1.862645149230957e-9</x:v>
      </x:c>
      <x:c r="O1700" s="28" t="n">
        <x:v>2.9802322387695312e-8</x:v>
      </x:c>
      <x:c r="P1700" s="28" t="n">
        <x:v>0</x:v>
      </x:c>
      <x:c r="Q1700" s="62" t="b">
        <x:v>1</x:v>
      </x:c>
      <x:c r="R1700" s="28" t="n">
        <x:v>0</x:v>
      </x:c>
      <x:c r="S1700" s="28" t="str">
        <x:v>9f029ff363164419</x:v>
      </x:c>
    </x:row>
    <x:row r="1701" ht="21" customHeight="1">
      <x:c r="A1701" s="60" t="n">
        <x:v>0.66</x:v>
      </x:c>
      <x:c r="B1701" s="28" t="str">
        <x:v>back_high</x:v>
      </x:c>
      <x:c r="C1701" s="60" t="n">
        <x:v>0.65</x:v>
      </x:c>
      <x:c r="D1701" s="60" t="n">
        <x:v>0.65</x:v>
      </x:c>
      <x:c r="E1701" s="62" t="b">
        <x:v>1</x:v>
      </x:c>
      <x:c r="F1701" s="62" t="b">
        <x:v>0</x:v>
      </x:c>
      <x:c r="G1701" s="85" t="n">
        <x:v>4388318.826627281</x:v>
      </x:c>
      <x:c r="H1701" s="85" t="n">
        <x:v>14849381.63852284</x:v>
      </x:c>
      <x:c r="I1701" s="85" t="n">
        <x:v>84056340.24423805</x:v>
      </x:c>
      <x:c r="J1701" s="85" t="n">
        <x:v>71999999.99999999</x:v>
      </x:c>
      <x:c r="K1701" s="85" t="n">
        <x:v>701445.4661274087</x:v>
      </x:c>
      <x:c r="L1701" s="28" t="n">
        <x:v>40</x:v>
      </x:c>
      <x:c r="M1701" s="28" t="n">
        <x:v>34</x:v>
      </x:c>
      <x:c r="N1701" s="28" t="n">
        <x:v>3.725290298461914e-9</x:v>
      </x:c>
      <x:c r="O1701" s="28" t="n">
        <x:v>1.4901161193847656e-8</x:v>
      </x:c>
      <x:c r="P1701" s="28" t="n">
        <x:v>0</x:v>
      </x:c>
      <x:c r="Q1701" s="62" t="b">
        <x:v>1</x:v>
      </x:c>
      <x:c r="R1701" s="28" t="n">
        <x:v>0</x:v>
      </x:c>
      <x:c r="S1701" s="28" t="str">
        <x:v>08a0cc9eeb37793a</x:v>
      </x:c>
    </x:row>
    <x:row r="1702" ht="21" customHeight="1">
      <x:c r="A1702" s="60" t="n">
        <x:v>0.66</x:v>
      </x:c>
      <x:c r="B1702" s="28" t="str">
        <x:v>back_high</x:v>
      </x:c>
      <x:c r="C1702" s="60" t="n">
        <x:v>0.7</x:v>
      </x:c>
      <x:c r="D1702" s="60" t="n">
        <x:v>0.7</x:v>
      </x:c>
      <x:c r="E1702" s="62" t="b">
        <x:v>1</x:v>
      </x:c>
      <x:c r="F1702" s="62" t="b">
        <x:v>0</x:v>
      </x:c>
      <x:c r="G1702" s="85" t="n">
        <x:v>8985755.464820258</x:v>
      </x:c>
      <x:c r="H1702" s="85" t="n">
        <x:v>28571936.895557255</x:v>
      </x:c>
      <x:c r="I1702" s="85" t="n">
        <x:v>84334662.01076005</x:v>
      </x:c>
      <x:c r="J1702" s="85" t="n">
        <x:v>71999999.99999999</x:v>
      </x:c>
      <x:c r="K1702" s="85" t="n">
        <x:v>605353.9250602756</x:v>
      </x:c>
      <x:c r="L1702" s="28" t="n">
        <x:v>40</x:v>
      </x:c>
      <x:c r="M1702" s="28" t="n">
        <x:v>36</x:v>
      </x:c>
      <x:c r="N1702" s="28" t="n">
        <x:v>1.862645149230957e-9</x:v>
      </x:c>
      <x:c r="O1702" s="28" t="n">
        <x:v>2.9802322387695312e-8</x:v>
      </x:c>
      <x:c r="P1702" s="28" t="n">
        <x:v>0</x:v>
      </x:c>
      <x:c r="Q1702" s="62" t="b">
        <x:v>1</x:v>
      </x:c>
      <x:c r="R1702" s="28" t="n">
        <x:v>0</x:v>
      </x:c>
      <x:c r="S1702" s="28" t="str">
        <x:v>066e01a19a7bea2a</x:v>
      </x:c>
    </x:row>
    <x:row r="1703" ht="21" customHeight="1">
      <x:c r="A1703" s="60" t="n">
        <x:v>0.66</x:v>
      </x:c>
      <x:c r="B1703" s="28" t="str">
        <x:v>back_high</x:v>
      </x:c>
      <x:c r="C1703" s="60" t="n">
        <x:v>0.75</x:v>
      </x:c>
      <x:c r="D1703" s="60" t="n">
        <x:v>0.75</x:v>
      </x:c>
      <x:c r="E1703" s="62" t="b">
        <x:v>1</x:v>
      </x:c>
      <x:c r="F1703" s="62" t="b">
        <x:v>0</x:v>
      </x:c>
      <x:c r="G1703" s="85" t="n">
        <x:v>13035226.492543034</x:v>
      </x:c>
      <x:c r="H1703" s="85" t="n">
        <x:v>39699192.12116073</x:v>
      </x:c>
      <x:c r="I1703" s="85" t="n">
        <x:v>86054538.17755823</x:v>
      </x:c>
      <x:c r="J1703" s="85" t="n">
        <x:v>71999999.99999999</x:v>
      </x:c>
      <x:c r="K1703" s="85" t="n">
        <x:v>537277.5988972544</x:v>
      </x:c>
      <x:c r="L1703" s="28" t="n">
        <x:v>41</x:v>
      </x:c>
      <x:c r="M1703" s="28" t="n">
        <x:v>36</x:v>
      </x:c>
      <x:c r="N1703" s="28" t="n">
        <x:v>1.862645149230957e-9</x:v>
      </x:c>
      <x:c r="O1703" s="28" t="n">
        <x:v>2.9802322387695312e-8</x:v>
      </x:c>
      <x:c r="P1703" s="28" t="n">
        <x:v>0</x:v>
      </x:c>
      <x:c r="Q1703" s="62" t="b">
        <x:v>1</x:v>
      </x:c>
      <x:c r="R1703" s="28" t="n">
        <x:v>0</x:v>
      </x:c>
      <x:c r="S1703" s="28" t="str">
        <x:v>5a863052861d5e26</x:v>
      </x:c>
    </x:row>
    <x:row r="1704" ht="21" customHeight="1">
      <x:c r="A1704" s="60" t="n">
        <x:v>0.66</x:v>
      </x:c>
      <x:c r="B1704" s="28" t="str">
        <x:v>back_high</x:v>
      </x:c>
      <x:c r="C1704" s="60" t="n">
        <x:v>0.8</x:v>
      </x:c>
      <x:c r="D1704" s="60" t="n">
        <x:v>0.8</x:v>
      </x:c>
      <x:c r="E1704" s="62" t="b">
        <x:v>1</x:v>
      </x:c>
      <x:c r="F1704" s="62" t="b">
        <x:v>0</x:v>
      </x:c>
      <x:c r="G1704" s="85" t="n">
        <x:v>18099300.593440127</x:v>
      </x:c>
      <x:c r="H1704" s="85" t="n">
        <x:v>52718815.85725793</x:v>
      </x:c>
      <x:c r="I1704" s="85" t="n">
        <x:v>86245586.17971508</x:v>
      </x:c>
      <x:c r="J1704" s="85" t="n">
        <x:v>71999999.99999999</x:v>
      </x:c>
      <x:c r="K1704" s="85" t="n">
        <x:v>503050.37248219276</x:v>
      </x:c>
      <x:c r="L1704" s="28" t="n">
        <x:v>41</x:v>
      </x:c>
      <x:c r="M1704" s="28" t="n">
        <x:v>37</x:v>
      </x:c>
      <x:c r="N1704" s="28" t="n">
        <x:v>1.862645149230957e-9</x:v>
      </x:c>
      <x:c r="O1704" s="28" t="n">
        <x:v>1.4901161193847656e-8</x:v>
      </x:c>
      <x:c r="P1704" s="28" t="n">
        <x:v>0</x:v>
      </x:c>
      <x:c r="Q1704" s="62" t="b">
        <x:v>1</x:v>
      </x:c>
      <x:c r="R1704" s="28" t="n">
        <x:v>0</x:v>
      </x:c>
      <x:c r="S1704" s="28" t="str">
        <x:v>f60a9352663ecd91</x:v>
      </x:c>
    </x:row>
    <x:row r="1705" ht="21" customHeight="1">
      <x:c r="A1705" s="60" t="n">
        <x:v>0.66</x:v>
      </x:c>
      <x:c r="B1705" s="28" t="str">
        <x:v>back_high</x:v>
      </x:c>
      <x:c r="C1705" s="60" t="n">
        <x:v>0.85</x:v>
      </x:c>
      <x:c r="D1705" s="60" t="n">
        <x:v>0.85</x:v>
      </x:c>
      <x:c r="E1705" s="62" t="b">
        <x:v>1</x:v>
      </x:c>
      <x:c r="F1705" s="62" t="b">
        <x:v>0</x:v>
      </x:c>
      <x:c r="G1705" s="85" t="n">
        <x:v>25857223.09533756</x:v>
      </x:c>
      <x:c r="H1705" s="85" t="n">
        <x:v>61345199.109945744</x:v>
      </x:c>
      <x:c r="I1705" s="85" t="n">
        <x:v>87802210.60895456</x:v>
      </x:c>
      <x:c r="J1705" s="85" t="n">
        <x:v>71999999.99999999</x:v>
      </x:c>
      <x:c r="K1705" s="85" t="n">
        <x:v>474034.6807794658</x:v>
      </x:c>
      <x:c r="L1705" s="28" t="n">
        <x:v>42</x:v>
      </x:c>
      <x:c r="M1705" s="28" t="n">
        <x:v>38</x:v>
      </x:c>
      <x:c r="N1705" s="28" t="n">
        <x:v>1.862645149230957e-9</x:v>
      </x:c>
      <x:c r="O1705" s="28" t="n">
        <x:v>2.9802322387695312e-8</x:v>
      </x:c>
      <x:c r="P1705" s="28" t="n">
        <x:v>0</x:v>
      </x:c>
      <x:c r="Q1705" s="62" t="b">
        <x:v>1</x:v>
      </x:c>
      <x:c r="R1705" s="28" t="n">
        <x:v>0</x:v>
      </x:c>
      <x:c r="S1705" s="28" t="str">
        <x:v>d3fbeba1289fbce9</x:v>
      </x:c>
    </x:row>
    <x:row r="1706" ht="21" customHeight="1">
      <x:c r="A1706" s="60" t="n">
        <x:v>0.66</x:v>
      </x:c>
      <x:c r="B1706" s="28" t="str">
        <x:v>back_high</x:v>
      </x:c>
      <x:c r="C1706" s="60" t="n">
        <x:v>0.9</x:v>
      </x:c>
      <x:c r="D1706" s="60" t="n">
        <x:v>0.8948658400492392</x:v>
      </x:c>
      <x:c r="E1706" s="62" t="b">
        <x:v>0</x:v>
      </x:c>
      <x:c r="F1706" s="62" t="b">
        <x:v>0</x:v>
      </x:c>
      <x:c r="G1706" s="85" t="n">
        <x:v>30572047.608901255</x:v>
      </x:c>
      <x:c r="H1706" s="85" t="n">
        <x:v>68824536.3541821</x:v>
      </x:c>
      <x:c r="I1706" s="85" t="n">
        <x:v>87957710.00448532</x:v>
      </x:c>
      <x:c r="J1706" s="85" t="n">
        <x:v>71999999.99999999</x:v>
      </x:c>
      <x:c r="K1706" s="85" t="n">
        <x:v>445018.98907671287</x:v>
      </x:c>
      <x:c r="L1706" s="28" t="n">
        <x:v>42</x:v>
      </x:c>
      <x:c r="M1706" s="28" t="n">
        <x:v>38</x:v>
      </x:c>
      <x:c r="N1706" s="28" t="n">
        <x:v>1.862645149230957e-9</x:v>
      </x:c>
      <x:c r="O1706" s="28" t="n">
        <x:v>2.9802322387695312e-8</x:v>
      </x:c>
      <x:c r="P1706" s="28" t="n">
        <x:v>0</x:v>
      </x:c>
      <x:c r="Q1706" s="62" t="b">
        <x:v>1</x:v>
      </x:c>
      <x:c r="R1706" s="28" t="n">
        <x:v>1540247.9852282405</x:v>
      </x:c>
      <x:c r="S1706" s="28" t="str">
        <x:v>ee3ecbb2df564dd8</x:v>
      </x:c>
    </x:row>
    <x:row r="1707" ht="21" customHeight="1">
      <x:c r="A1707" s="60" t="n">
        <x:v>0.66</x:v>
      </x:c>
      <x:c r="B1707" s="28" t="str">
        <x:v>back_high</x:v>
      </x:c>
      <x:c r="C1707" s="60" t="n">
        <x:v>0.95</x:v>
      </x:c>
      <x:c r="D1707" s="60" t="n">
        <x:v>0.9083032015334562</x:v>
      </x:c>
      <x:c r="E1707" s="62" t="b">
        <x:v>0</x:v>
      </x:c>
      <x:c r="F1707" s="62" t="b">
        <x:v>0</x:v>
      </x:c>
      <x:c r="G1707" s="85" t="n">
        <x:v>32628824.369259004</x:v>
      </x:c>
      <x:c r="H1707" s="85" t="n">
        <x:v>73454802.16845039</x:v>
      </x:c>
      <x:c r="I1707" s="85" t="n">
        <x:v>88115145.084175</x:v>
      </x:c>
      <x:c r="J1707" s="85" t="n">
        <x:v>71999999.99999999</x:v>
      </x:c>
      <x:c r="K1707" s="85" t="n">
        <x:v>416003.29737397283</x:v>
      </x:c>
      <x:c r="L1707" s="28" t="n">
        <x:v>42</x:v>
      </x:c>
      <x:c r="M1707" s="28" t="n">
        <x:v>39</x:v>
      </x:c>
      <x:c r="N1707" s="28" t="n">
        <x:v>1.862645149230957e-9</x:v>
      </x:c>
      <x:c r="O1707" s="28" t="n">
        <x:v>2.9802322387695312e-8</x:v>
      </x:c>
      <x:c r="P1707" s="28" t="n">
        <x:v>0</x:v>
      </x:c>
      <x:c r="Q1707" s="62" t="b">
        <x:v>1</x:v>
      </x:c>
      <x:c r="R1707" s="28" t="n">
        <x:v>12509039.539963126</x:v>
      </x:c>
      <x:c r="S1707" s="28" t="str">
        <x:v>945fa29502be613d</x:v>
      </x:c>
    </x:row>
    <x:row r="1708" ht="21" customHeight="1">
      <x:c r="A1708" s="60" t="n">
        <x:v>0.66</x:v>
      </x:c>
      <x:c r="B1708" s="28" t="str">
        <x:v>back_high</x:v>
      </x:c>
      <x:c r="C1708" s="60" t="n">
        <x:v>1</x:v>
      </x:c>
      <x:c r="D1708" s="60" t="n">
        <x:v>0.920601109498915</x:v>
      </x:c>
      <x:c r="E1708" s="62" t="b">
        <x:v>0</x:v>
      </x:c>
      <x:c r="F1708" s="62" t="b">
        <x:v>0</x:v>
      </x:c>
      <x:c r="G1708" s="85" t="n">
        <x:v>34425836.79947418</x:v>
      </x:c>
      <x:c r="H1708" s="85" t="n">
        <x:v>74377185.25771019</x:v>
      </x:c>
      <x:c r="I1708" s="85" t="n">
        <x:v>89735809.5211096</x:v>
      </x:c>
      <x:c r="J1708" s="85" t="n">
        <x:v>71999999.99999999</x:v>
      </x:c>
      <x:c r="K1708" s="85" t="n">
        <x:v>386987.6056712338</x:v>
      </x:c>
      <x:c r="L1708" s="28" t="n">
        <x:v>43</x:v>
      </x:c>
      <x:c r="M1708" s="28" t="n">
        <x:v>39</x:v>
      </x:c>
      <x:c r="N1708" s="28" t="n">
        <x:v>1.862645149230957e-9</x:v>
      </x:c>
      <x:c r="O1708" s="28" t="n">
        <x:v>2.9802322387695312e-8</x:v>
      </x:c>
      <x:c r="P1708" s="28" t="n">
        <x:v>0</x:v>
      </x:c>
      <x:c r="Q1708" s="62" t="b">
        <x:v>1</x:v>
      </x:c>
      <x:c r="R1708" s="28" t="n">
        <x:v>23819667.150325477</x:v>
      </x:c>
      <x:c r="S1708" s="28" t="str">
        <x:v>40a21965d4fd7395</x:v>
      </x:c>
    </x:row>
    <x:row r="1709" ht="21" customHeight="1">
      <x:c r="A1709" s="60" t="n">
        <x:v>0.66</x:v>
      </x:c>
      <x:c r="B1709" s="28" t="str">
        <x:v>level_flat</x:v>
      </x:c>
      <x:c r="C1709" s="60" t="n">
        <x:v>0</x:v>
      </x:c>
      <x:c r="D1709" s="60" t="n">
        <x:v>0</x:v>
      </x:c>
      <x:c r="E1709" s="62" t="b">
        <x:v>1</x:v>
      </x:c>
      <x:c r="F1709" s="62" t="b">
        <x:v>1</x:v>
      </x:c>
      <x:c r="G1709" s="85" t="n">
        <x:v>0</x:v>
      </x:c>
      <x:c r="H1709" s="85" t="n">
        <x:v>0</x:v>
      </x:c>
      <x:c r="I1709" s="85" t="n">
        <x:v>0</x:v>
      </x:c>
      <x:c r="J1709" s="85" t="n">
        <x:v>0</x:v>
      </x:c>
      <x:c r="K1709" s="85" t="n">
        <x:v>34211668.62808221</x:v>
      </x:c>
      <x:c r="L1709" s="28" t="n">
        <x:v>0</x:v>
      </x:c>
      <x:c r="M1709" s="28" t="n">
        <x:v>0</x:v>
      </x:c>
      <x:c r="N1709" s="28" t="n">
        <x:v>3.725290298461914e-9</x:v>
      </x:c>
      <x:c r="O1709" s="28" t="n">
        <x:v>0</x:v>
      </x:c>
      <x:c r="P1709" s="28" t="n">
        <x:v>0</x:v>
      </x:c>
      <x:c r="Q1709" s="62" t="b">
        <x:v>1</x:v>
      </x:c>
      <x:c r="R1709" s="28" t="n">
        <x:v>0</x:v>
      </x:c>
      <x:c r="S1709" s="28" t="str">
        <x:v>ad2a89e020c5b2df</x:v>
      </x:c>
    </x:row>
    <x:row r="1710" ht="21" customHeight="1">
      <x:c r="A1710" s="60" t="n">
        <x:v>0.66</x:v>
      </x:c>
      <x:c r="B1710" s="28" t="str">
        <x:v>level_flat</x:v>
      </x:c>
      <x:c r="C1710" s="60" t="n">
        <x:v>0.05</x:v>
      </x:c>
      <x:c r="D1710" s="60" t="n">
        <x:v>0.05</x:v>
      </x:c>
      <x:c r="E1710" s="62" t="b">
        <x:v>1</x:v>
      </x:c>
      <x:c r="F1710" s="62" t="b">
        <x:v>1</x:v>
      </x:c>
      <x:c r="G1710" s="85" t="n">
        <x:v>0</x:v>
      </x:c>
      <x:c r="H1710" s="85" t="n">
        <x:v>0</x:v>
      </x:c>
      <x:c r="I1710" s="85" t="n">
        <x:v>0</x:v>
      </x:c>
      <x:c r="J1710" s="85" t="n">
        <x:v>0</x:v>
      </x:c>
      <x:c r="K1710" s="85" t="n">
        <x:v>22311530.502889022</x:v>
      </x:c>
      <x:c r="L1710" s="28" t="n">
        <x:v>0</x:v>
      </x:c>
      <x:c r="M1710" s="28" t="n">
        <x:v>0</x:v>
      </x:c>
      <x:c r="N1710" s="28" t="n">
        <x:v>3.725290298461914e-9</x:v>
      </x:c>
      <x:c r="O1710" s="28" t="n">
        <x:v>2.9802322387695312e-8</x:v>
      </x:c>
      <x:c r="P1710" s="28" t="n">
        <x:v>0</x:v>
      </x:c>
      <x:c r="Q1710" s="62" t="b">
        <x:v>1</x:v>
      </x:c>
      <x:c r="R1710" s="28" t="n">
        <x:v>0</x:v>
      </x:c>
      <x:c r="S1710" s="28" t="str">
        <x:v>8d537f211138973f</x:v>
      </x:c>
    </x:row>
    <x:row r="1711" ht="21" customHeight="1">
      <x:c r="A1711" s="60" t="n">
        <x:v>0.66</x:v>
      </x:c>
      <x:c r="B1711" s="28" t="str">
        <x:v>level_flat</x:v>
      </x:c>
      <x:c r="C1711" s="60" t="n">
        <x:v>0.1</x:v>
      </x:c>
      <x:c r="D1711" s="60" t="n">
        <x:v>0.1</x:v>
      </x:c>
      <x:c r="E1711" s="62" t="b">
        <x:v>1</x:v>
      </x:c>
      <x:c r="F1711" s="62" t="b">
        <x:v>1</x:v>
      </x:c>
      <x:c r="G1711" s="85" t="n">
        <x:v>0</x:v>
      </x:c>
      <x:c r="H1711" s="85" t="n">
        <x:v>0</x:v>
      </x:c>
      <x:c r="I1711" s="85" t="n">
        <x:v>0</x:v>
      </x:c>
      <x:c r="J1711" s="85" t="n">
        <x:v>0</x:v>
      </x:c>
      <x:c r="K1711" s="85" t="n">
        <x:v>10293448.21866082</x:v>
      </x:c>
      <x:c r="L1711" s="28" t="n">
        <x:v>0</x:v>
      </x:c>
      <x:c r="M1711" s="28" t="n">
        <x:v>0</x:v>
      </x:c>
      <x:c r="N1711" s="28" t="n">
        <x:v>3.725290298461914e-9</x:v>
      </x:c>
      <x:c r="O1711" s="28" t="n">
        <x:v>5.960464477539063e-8</x:v>
      </x:c>
      <x:c r="P1711" s="28" t="n">
        <x:v>0</x:v>
      </x:c>
      <x:c r="Q1711" s="62" t="b">
        <x:v>1</x:v>
      </x:c>
      <x:c r="R1711" s="28" t="n">
        <x:v>0</x:v>
      </x:c>
      <x:c r="S1711" s="28" t="str">
        <x:v>b0548f23e4d3342f</x:v>
      </x:c>
    </x:row>
    <x:row r="1712" ht="21" customHeight="1">
      <x:c r="A1712" s="60" t="n">
        <x:v>0.66</x:v>
      </x:c>
      <x:c r="B1712" s="28" t="str">
        <x:v>level_flat</x:v>
      </x:c>
      <x:c r="C1712" s="60" t="n">
        <x:v>0.15</x:v>
      </x:c>
      <x:c r="D1712" s="60" t="n">
        <x:v>0.15</x:v>
      </x:c>
      <x:c r="E1712" s="62" t="b">
        <x:v>1</x:v>
      </x:c>
      <x:c r="F1712" s="62" t="b">
        <x:v>1</x:v>
      </x:c>
      <x:c r="G1712" s="85" t="n">
        <x:v>0</x:v>
      </x:c>
      <x:c r="H1712" s="85" t="n">
        <x:v>0</x:v>
      </x:c>
      <x:c r="I1712" s="85" t="n">
        <x:v>2437874.9743822906</x:v>
      </x:c>
      <x:c r="J1712" s="85" t="n">
        <x:v>0</x:v>
      </x:c>
      <x:c r="K1712" s="85" t="n">
        <x:v>1449333.1184870948</x:v>
      </x:c>
      <x:c r="L1712" s="28" t="n">
        <x:v>0</x:v>
      </x:c>
      <x:c r="M1712" s="28" t="n">
        <x:v>0</x:v>
      </x:c>
      <x:c r="N1712" s="28" t="n">
        <x:v>1.862645149230957e-9</x:v>
      </x:c>
      <x:c r="O1712" s="28" t="n">
        <x:v>2.9802322387695312e-8</x:v>
      </x:c>
      <x:c r="P1712" s="28" t="n">
        <x:v>0</x:v>
      </x:c>
      <x:c r="Q1712" s="62" t="b">
        <x:v>1</x:v>
      </x:c>
      <x:c r="R1712" s="28" t="n">
        <x:v>0</x:v>
      </x:c>
      <x:c r="S1712" s="28" t="str">
        <x:v>a2fbbdf7c0aa12df</x:v>
      </x:c>
    </x:row>
    <x:row r="1713" ht="21" customHeight="1">
      <x:c r="A1713" s="60" t="n">
        <x:v>0.66</x:v>
      </x:c>
      <x:c r="B1713" s="28" t="str">
        <x:v>level_flat</x:v>
      </x:c>
      <x:c r="C1713" s="60" t="n">
        <x:v>0.2</x:v>
      </x:c>
      <x:c r="D1713" s="60" t="n">
        <x:v>0.2</x:v>
      </x:c>
      <x:c r="E1713" s="62" t="b">
        <x:v>1</x:v>
      </x:c>
      <x:c r="F1713" s="62" t="b">
        <x:v>1</x:v>
      </x:c>
      <x:c r="G1713" s="85" t="n">
        <x:v>0</x:v>
      </x:c>
      <x:c r="H1713" s="85" t="n">
        <x:v>0</x:v>
      </x:c>
      <x:c r="I1713" s="85" t="n">
        <x:v>10399965.498029394</x:v>
      </x:c>
      <x:c r="J1713" s="85" t="n">
        <x:v>6323003.272534203</x:v>
      </x:c>
      <x:c r="K1713" s="85" t="n">
        <x:v>1041390.838763846</x:v>
      </x:c>
      <x:c r="L1713" s="28" t="n">
        <x:v>0</x:v>
      </x:c>
      <x:c r="M1713" s="28" t="n">
        <x:v>0</x:v>
      </x:c>
      <x:c r="N1713" s="28" t="n">
        <x:v>0</x:v>
      </x:c>
      <x:c r="O1713" s="28" t="n">
        <x:v>2.9802322387695312e-8</x:v>
      </x:c>
      <x:c r="P1713" s="28" t="n">
        <x:v>0</x:v>
      </x:c>
      <x:c r="Q1713" s="62" t="b">
        <x:v>1</x:v>
      </x:c>
      <x:c r="R1713" s="28" t="n">
        <x:v>0</x:v>
      </x:c>
      <x:c r="S1713" s="28" t="str">
        <x:v>6a67c96cee50bea3</x:v>
      </x:c>
    </x:row>
    <x:row r="1714" ht="21" customHeight="1">
      <x:c r="A1714" s="60" t="n">
        <x:v>0.66</x:v>
      </x:c>
      <x:c r="B1714" s="28" t="str">
        <x:v>level_flat</x:v>
      </x:c>
      <x:c r="C1714" s="60" t="n">
        <x:v>0.25</x:v>
      </x:c>
      <x:c r="D1714" s="60" t="n">
        <x:v>0.25</x:v>
      </x:c>
      <x:c r="E1714" s="62" t="b">
        <x:v>1</x:v>
      </x:c>
      <x:c r="F1714" s="62" t="b">
        <x:v>1</x:v>
      </x:c>
      <x:c r="G1714" s="85" t="n">
        <x:v>0</x:v>
      </x:c>
      <x:c r="H1714" s="85" t="n">
        <x:v>0</x:v>
      </x:c>
      <x:c r="I1714" s="85" t="n">
        <x:v>16621964.993277159</x:v>
      </x:c>
      <x:c r="J1714" s="85" t="n">
        <x:v>15403754.090667734</x:v>
      </x:c>
      <x:c r="K1714" s="85" t="n">
        <x:v>761588.0760301367</x:v>
      </x:c>
      <x:c r="L1714" s="28" t="n">
        <x:v>0</x:v>
      </x:c>
      <x:c r="M1714" s="28" t="n">
        <x:v>0</x:v>
      </x:c>
      <x:c r="N1714" s="28" t="n">
        <x:v>3.725290298461914e-9</x:v>
      </x:c>
      <x:c r="O1714" s="28" t="n">
        <x:v>2.9802322387695312e-8</x:v>
      </x:c>
      <x:c r="P1714" s="28" t="n">
        <x:v>0</x:v>
      </x:c>
      <x:c r="Q1714" s="62" t="b">
        <x:v>1</x:v>
      </x:c>
      <x:c r="R1714" s="28" t="n">
        <x:v>0</x:v>
      </x:c>
      <x:c r="S1714" s="28" t="str">
        <x:v>583e9f3c9d3bb409</x:v>
      </x:c>
    </x:row>
    <x:row r="1715" ht="21" customHeight="1">
      <x:c r="A1715" s="60" t="n">
        <x:v>0.66</x:v>
      </x:c>
      <x:c r="B1715" s="28" t="str">
        <x:v>level_flat</x:v>
      </x:c>
      <x:c r="C1715" s="60" t="n">
        <x:v>0.3</x:v>
      </x:c>
      <x:c r="D1715" s="60" t="n">
        <x:v>0.3</x:v>
      </x:c>
      <x:c r="E1715" s="62" t="b">
        <x:v>1</x:v>
      </x:c>
      <x:c r="F1715" s="62" t="b">
        <x:v>1</x:v>
      </x:c>
      <x:c r="G1715" s="85" t="n">
        <x:v>0</x:v>
      </x:c>
      <x:c r="H1715" s="85" t="n">
        <x:v>0</x:v>
      </x:c>
      <x:c r="I1715" s="85" t="n">
        <x:v>22910259.729132514</x:v>
      </x:c>
      <x:c r="J1715" s="85" t="n">
        <x:v>24484504.908801176</x:v>
      </x:c>
      <x:c r="K1715" s="85" t="n">
        <x:v>592211.39343836</x:v>
      </x:c>
      <x:c r="L1715" s="28" t="n">
        <x:v>0</x:v>
      </x:c>
      <x:c r="M1715" s="28" t="n">
        <x:v>0</x:v>
      </x:c>
      <x:c r="N1715" s="28" t="n">
        <x:v>3.725290298461914e-9</x:v>
      </x:c>
      <x:c r="O1715" s="28" t="n">
        <x:v>7.450580596923828e-9</x:v>
      </x:c>
      <x:c r="P1715" s="28" t="n">
        <x:v>0</x:v>
      </x:c>
      <x:c r="Q1715" s="62" t="b">
        <x:v>1</x:v>
      </x:c>
      <x:c r="R1715" s="28" t="n">
        <x:v>0</x:v>
      </x:c>
      <x:c r="S1715" s="28" t="str">
        <x:v>2d876297c56b9453</x:v>
      </x:c>
    </x:row>
    <x:row r="1716" ht="21" customHeight="1">
      <x:c r="A1716" s="60" t="n">
        <x:v>0.66</x:v>
      </x:c>
      <x:c r="B1716" s="28" t="str">
        <x:v>level_flat</x:v>
      </x:c>
      <x:c r="C1716" s="60" t="n">
        <x:v>0.35</x:v>
      </x:c>
      <x:c r="D1716" s="60" t="n">
        <x:v>0.35</x:v>
      </x:c>
      <x:c r="E1716" s="62" t="b">
        <x:v>1</x:v>
      </x:c>
      <x:c r="F1716" s="62" t="b">
        <x:v>1</x:v>
      </x:c>
      <x:c r="G1716" s="85" t="n">
        <x:v>0</x:v>
      </x:c>
      <x:c r="H1716" s="85" t="n">
        <x:v>0</x:v>
      </x:c>
      <x:c r="I1716" s="85" t="n">
        <x:v>29335918.87542627</x:v>
      </x:c>
      <x:c r="J1716" s="85" t="n">
        <x:v>33565255.72693473</x:v>
      </x:c>
      <x:c r="K1716" s="85" t="n">
        <x:v>487457.37567808724</x:v>
      </x:c>
      <x:c r="L1716" s="28" t="n">
        <x:v>0</x:v>
      </x:c>
      <x:c r="M1716" s="28" t="n">
        <x:v>0</x:v>
      </x:c>
      <x:c r="N1716" s="28" t="n">
        <x:v>3.725290298461914e-9</x:v>
      </x:c>
      <x:c r="O1716" s="28" t="n">
        <x:v>2.9802322387695312e-8</x:v>
      </x:c>
      <x:c r="P1716" s="28" t="n">
        <x:v>0</x:v>
      </x:c>
      <x:c r="Q1716" s="62" t="b">
        <x:v>1</x:v>
      </x:c>
      <x:c r="R1716" s="28" t="n">
        <x:v>0</x:v>
      </x:c>
      <x:c r="S1716" s="28" t="str">
        <x:v>a9e1419a2a3f86c0</x:v>
      </x:c>
    </x:row>
    <x:row r="1717" ht="21" customHeight="1">
      <x:c r="A1717" s="60" t="n">
        <x:v>0.66</x:v>
      </x:c>
      <x:c r="B1717" s="28" t="str">
        <x:v>level_flat</x:v>
      </x:c>
      <x:c r="C1717" s="60" t="n">
        <x:v>0.4</x:v>
      </x:c>
      <x:c r="D1717" s="60" t="n">
        <x:v>0.4</x:v>
      </x:c>
      <x:c r="E1717" s="62" t="b">
        <x:v>1</x:v>
      </x:c>
      <x:c r="F1717" s="62" t="b">
        <x:v>1</x:v>
      </x:c>
      <x:c r="G1717" s="85" t="n">
        <x:v>0</x:v>
      </x:c>
      <x:c r="H1717" s="85" t="n">
        <x:v>0</x:v>
      </x:c>
      <x:c r="I1717" s="85" t="n">
        <x:v>36871791.40894335</x:v>
      </x:c>
      <x:c r="J1717" s="85" t="n">
        <x:v>40136613.12606398</x:v>
      </x:c>
      <x:c r="K1717" s="85" t="n">
        <x:v>382703.3579178163</x:v>
      </x:c>
      <x:c r="L1717" s="28" t="n">
        <x:v>4</x:v>
      </x:c>
      <x:c r="M1717" s="28" t="n">
        <x:v>0</x:v>
      </x:c>
      <x:c r="N1717" s="28" t="n">
        <x:v>3.725290298461914e-9</x:v>
      </x:c>
      <x:c r="O1717" s="28" t="n">
        <x:v>2.9802322387695312e-8</x:v>
      </x:c>
      <x:c r="P1717" s="28" t="n">
        <x:v>0</x:v>
      </x:c>
      <x:c r="Q1717" s="62" t="b">
        <x:v>1</x:v>
      </x:c>
      <x:c r="R1717" s="28" t="n">
        <x:v>0</x:v>
      </x:c>
      <x:c r="S1717" s="28" t="str">
        <x:v>ee3c64d4fe026be2</x:v>
      </x:c>
    </x:row>
    <x:row r="1718" ht="21" customHeight="1">
      <x:c r="A1718" s="60" t="n">
        <x:v>0.66</x:v>
      </x:c>
      <x:c r="B1718" s="28" t="str">
        <x:v>level_flat</x:v>
      </x:c>
      <x:c r="C1718" s="60" t="n">
        <x:v>0.45</x:v>
      </x:c>
      <x:c r="D1718" s="60" t="n">
        <x:v>0.45</x:v>
      </x:c>
      <x:c r="E1718" s="62" t="b">
        <x:v>1</x:v>
      </x:c>
      <x:c r="F1718" s="62" t="b">
        <x:v>1</x:v>
      </x:c>
      <x:c r="G1718" s="85" t="n">
        <x:v>0</x:v>
      </x:c>
      <x:c r="H1718" s="85" t="n">
        <x:v>0</x:v>
      </x:c>
      <x:c r="I1718" s="85" t="n">
        <x:v>44754563.82940492</x:v>
      </x:c>
      <x:c r="J1718" s="85" t="n">
        <x:v>45662962.91612198</x:v>
      </x:c>
      <x:c r="K1718" s="85" t="n">
        <x:v>318167.6751438398</x:v>
      </x:c>
      <x:c r="L1718" s="28" t="n">
        <x:v>9</x:v>
      </x:c>
      <x:c r="M1718" s="28" t="n">
        <x:v>0</x:v>
      </x:c>
      <x:c r="N1718" s="28" t="n">
        <x:v>1.862645149230957e-9</x:v>
      </x:c>
      <x:c r="O1718" s="28" t="n">
        <x:v>2.9802322387695312e-8</x:v>
      </x:c>
      <x:c r="P1718" s="28" t="n">
        <x:v>0</x:v>
      </x:c>
      <x:c r="Q1718" s="62" t="b">
        <x:v>1</x:v>
      </x:c>
      <x:c r="R1718" s="28" t="n">
        <x:v>0</x:v>
      </x:c>
      <x:c r="S1718" s="28" t="str">
        <x:v>ba633171f949dc1e</x:v>
      </x:c>
    </x:row>
    <x:row r="1719" ht="21" customHeight="1">
      <x:c r="A1719" s="60" t="n">
        <x:v>0.66</x:v>
      </x:c>
      <x:c r="B1719" s="28" t="str">
        <x:v>level_flat</x:v>
      </x:c>
      <x:c r="C1719" s="60" t="n">
        <x:v>0.5</x:v>
      </x:c>
      <x:c r="D1719" s="60" t="n">
        <x:v>0.5</x:v>
      </x:c>
      <x:c r="E1719" s="62" t="b">
        <x:v>1</x:v>
      </x:c>
      <x:c r="F1719" s="62" t="b">
        <x:v>1</x:v>
      </x:c>
      <x:c r="G1719" s="85" t="n">
        <x:v>0</x:v>
      </x:c>
      <x:c r="H1719" s="85" t="n">
        <x:v>0</x:v>
      </x:c>
      <x:c r="I1719" s="85" t="n">
        <x:v>51769754.234014936</x:v>
      </x:c>
      <x:c r="J1719" s="85" t="n">
        <x:v>53144687.60219039</x:v>
      </x:c>
      <x:c r="K1719" s="85" t="n">
        <x:v>286258.41363013664</x:v>
      </x:c>
      <x:c r="L1719" s="28" t="n">
        <x:v>13</x:v>
      </x:c>
      <x:c r="M1719" s="28" t="n">
        <x:v>0</x:v>
      </x:c>
      <x:c r="N1719" s="28" t="n">
        <x:v>1.862645149230957e-9</x:v>
      </x:c>
      <x:c r="O1719" s="28" t="n">
        <x:v>1.4901161193847656e-8</x:v>
      </x:c>
      <x:c r="P1719" s="28" t="n">
        <x:v>0</x:v>
      </x:c>
      <x:c r="Q1719" s="62" t="b">
        <x:v>1</x:v>
      </x:c>
      <x:c r="R1719" s="28" t="n">
        <x:v>0</x:v>
      </x:c>
      <x:c r="S1719" s="28" t="str">
        <x:v>69de388add77a64b</x:v>
      </x:c>
    </x:row>
    <x:row r="1720" ht="21" customHeight="1">
      <x:c r="A1720" s="60" t="n">
        <x:v>0.66</x:v>
      </x:c>
      <x:c r="B1720" s="28" t="str">
        <x:v>level_flat</x:v>
      </x:c>
      <x:c r="C1720" s="60" t="n">
        <x:v>0.55</x:v>
      </x:c>
      <x:c r="D1720" s="60" t="n">
        <x:v>0.55</x:v>
      </x:c>
      <x:c r="E1720" s="62" t="b">
        <x:v>1</x:v>
      </x:c>
      <x:c r="F1720" s="62" t="b">
        <x:v>1</x:v>
      </x:c>
      <x:c r="G1720" s="85" t="n">
        <x:v>0</x:v>
      </x:c>
      <x:c r="H1720" s="85" t="n">
        <x:v>0</x:v>
      </x:c>
      <x:c r="I1720" s="85" t="n">
        <x:v>57948236.0901926</x:v>
      </x:c>
      <x:c r="J1720" s="85" t="n">
        <x:v>62487062.09064538</x:v>
      </x:c>
      <x:c r="K1720" s="85" t="n">
        <x:v>254349.15211643858</x:v>
      </x:c>
      <x:c r="L1720" s="28" t="n">
        <x:v>16</x:v>
      </x:c>
      <x:c r="M1720" s="28" t="n">
        <x:v>3</x:v>
      </x:c>
      <x:c r="N1720" s="28" t="n">
        <x:v>1.862645149230957e-9</x:v>
      </x:c>
      <x:c r="O1720" s="28" t="n">
        <x:v>2.9802322387695312e-8</x:v>
      </x:c>
      <x:c r="P1720" s="28" t="n">
        <x:v>0</x:v>
      </x:c>
      <x:c r="Q1720" s="62" t="b">
        <x:v>1</x:v>
      </x:c>
      <x:c r="R1720" s="28" t="n">
        <x:v>0</x:v>
      </x:c>
      <x:c r="S1720" s="28" t="str">
        <x:v>d408dce4b0fe6b87</x:v>
      </x:c>
    </x:row>
    <x:row r="1721" ht="21" customHeight="1">
      <x:c r="A1721" s="60" t="n">
        <x:v>0.66</x:v>
      </x:c>
      <x:c r="B1721" s="28" t="str">
        <x:v>level_flat</x:v>
      </x:c>
      <x:c r="C1721" s="60" t="n">
        <x:v>0.6</x:v>
      </x:c>
      <x:c r="D1721" s="60" t="n">
        <x:v>0.6</x:v>
      </x:c>
      <x:c r="E1721" s="62" t="b">
        <x:v>1</x:v>
      </x:c>
      <x:c r="F1721" s="62" t="b">
        <x:v>0</x:v>
      </x:c>
      <x:c r="G1721" s="85" t="n">
        <x:v>19157.30259177242</x:v>
      </x:c>
      <x:c r="H1721" s="85" t="n">
        <x:v>142347.11247682228</x:v>
      </x:c>
      <x:c r="I1721" s="85" t="n">
        <x:v>63755503.73739721</x:v>
      </x:c>
      <x:c r="J1721" s="85" t="n">
        <x:v>71999999.99999999</x:v>
      </x:c>
      <x:c r="K1721" s="85" t="n">
        <x:v>222439.89060274052</x:v>
      </x:c>
      <x:c r="L1721" s="28" t="n">
        <x:v>41</x:v>
      </x:c>
      <x:c r="M1721" s="28" t="n">
        <x:v>32</x:v>
      </x:c>
      <x:c r="N1721" s="28" t="n">
        <x:v>1.862645149230957e-9</x:v>
      </x:c>
      <x:c r="O1721" s="28" t="n">
        <x:v>2.9802322387695312e-8</x:v>
      </x:c>
      <x:c r="P1721" s="28" t="n">
        <x:v>0</x:v>
      </x:c>
      <x:c r="Q1721" s="62" t="b">
        <x:v>1</x:v>
      </x:c>
      <x:c r="R1721" s="28" t="n">
        <x:v>0</x:v>
      </x:c>
      <x:c r="S1721" s="28" t="str">
        <x:v>650c97b1a984c92f</x:v>
      </x:c>
    </x:row>
    <x:row r="1722" ht="21" customHeight="1">
      <x:c r="A1722" s="60" t="n">
        <x:v>0.66</x:v>
      </x:c>
      <x:c r="B1722" s="28" t="str">
        <x:v>level_flat</x:v>
      </x:c>
      <x:c r="C1722" s="60" t="n">
        <x:v>0.65</x:v>
      </x:c>
      <x:c r="D1722" s="60" t="n">
        <x:v>0.65</x:v>
      </x:c>
      <x:c r="E1722" s="62" t="b">
        <x:v>1</x:v>
      </x:c>
      <x:c r="F1722" s="62" t="b">
        <x:v>0</x:v>
      </x:c>
      <x:c r="G1722" s="85" t="n">
        <x:v>1754313.63150465</x:v>
      </x:c>
      <x:c r="H1722" s="85" t="n">
        <x:v>11435230.937751822</x:v>
      </x:c>
      <x:c r="I1722" s="85" t="n">
        <x:v>65056190.90428734</x:v>
      </x:c>
      <x:c r="J1722" s="85" t="n">
        <x:v>71999999.99999999</x:v>
      </x:c>
      <x:c r="K1722" s="85" t="n">
        <x:v>190530.62908903824</x:v>
      </x:c>
      <x:c r="L1722" s="28" t="n">
        <x:v>42</x:v>
      </x:c>
      <x:c r="M1722" s="28" t="n">
        <x:v>34</x:v>
      </x:c>
      <x:c r="N1722" s="28" t="n">
        <x:v>1.862645149230957e-9</x:v>
      </x:c>
      <x:c r="O1722" s="28" t="n">
        <x:v>2.9802322387695312e-8</x:v>
      </x:c>
      <x:c r="P1722" s="28" t="n">
        <x:v>0</x:v>
      </x:c>
      <x:c r="Q1722" s="62" t="b">
        <x:v>1</x:v>
      </x:c>
      <x:c r="R1722" s="28" t="n">
        <x:v>0</x:v>
      </x:c>
      <x:c r="S1722" s="28" t="str">
        <x:v>cb8bfed1ca96d25b</x:v>
      </x:c>
    </x:row>
    <x:row r="1723" ht="21" customHeight="1">
      <x:c r="A1723" s="60" t="n">
        <x:v>0.66</x:v>
      </x:c>
      <x:c r="B1723" s="28" t="str">
        <x:v>level_flat</x:v>
      </x:c>
      <x:c r="C1723" s="60" t="n">
        <x:v>0.7</x:v>
      </x:c>
      <x:c r="D1723" s="60" t="n">
        <x:v>0.7</x:v>
      </x:c>
      <x:c r="E1723" s="62" t="b">
        <x:v>1</x:v>
      </x:c>
      <x:c r="F1723" s="62" t="b">
        <x:v>0</x:v>
      </x:c>
      <x:c r="G1723" s="85" t="n">
        <x:v>3888061.089280964</x:v>
      </x:c>
      <x:c r="H1723" s="85" t="n">
        <x:v>22107344.43453785</x:v>
      </x:c>
      <x:c r="I1723" s="85" t="n">
        <x:v>66402357.85121912</x:v>
      </x:c>
      <x:c r="J1723" s="85" t="n">
        <x:v>71999999.99999999</x:v>
      </x:c>
      <x:c r="K1723" s="85" t="n">
        <x:v>158621.3675753472</x:v>
      </x:c>
      <x:c r="L1723" s="28" t="n">
        <x:v>43</x:v>
      </x:c>
      <x:c r="M1723" s="28" t="n">
        <x:v>34</x:v>
      </x:c>
      <x:c r="N1723" s="28" t="n">
        <x:v>1.862645149230957e-9</x:v>
      </x:c>
      <x:c r="O1723" s="28" t="n">
        <x:v>2.9802322387695312e-8</x:v>
      </x:c>
      <x:c r="P1723" s="28" t="n">
        <x:v>0</x:v>
      </x:c>
      <x:c r="Q1723" s="62" t="b">
        <x:v>1</x:v>
      </x:c>
      <x:c r="R1723" s="28" t="n">
        <x:v>0</x:v>
      </x:c>
      <x:c r="S1723" s="28" t="str">
        <x:v>654f2b53c0432511</x:v>
      </x:c>
    </x:row>
    <x:row r="1724" ht="21" customHeight="1">
      <x:c r="A1724" s="60" t="n">
        <x:v>0.66</x:v>
      </x:c>
      <x:c r="B1724" s="28" t="str">
        <x:v>level_flat</x:v>
      </x:c>
      <x:c r="C1724" s="60" t="n">
        <x:v>0.75</x:v>
      </x:c>
      <x:c r="D1724" s="60" t="n">
        <x:v>0.75</x:v>
      </x:c>
      <x:c r="E1724" s="62" t="b">
        <x:v>1</x:v>
      </x:c>
      <x:c r="F1724" s="62" t="b">
        <x:v>0</x:v>
      </x:c>
      <x:c r="G1724" s="85" t="n">
        <x:v>6307493.876459822</x:v>
      </x:c>
      <x:c r="H1724" s="85" t="n">
        <x:v>34249008.15602667</x:v>
      </x:c>
      <x:c r="I1724" s="85" t="n">
        <x:v>66527980.63804789</x:v>
      </x:c>
      <x:c r="J1724" s="85" t="n">
        <x:v>71999999.99999999</x:v>
      </x:c>
      <x:c r="K1724" s="85" t="n">
        <x:v>126712.10606164491</x:v>
      </x:c>
      <x:c r="L1724" s="28" t="n">
        <x:v>43</x:v>
      </x:c>
      <x:c r="M1724" s="28" t="n">
        <x:v>36</x:v>
      </x:c>
      <x:c r="N1724" s="28" t="n">
        <x:v>1.862645149230957e-9</x:v>
      </x:c>
      <x:c r="O1724" s="28" t="n">
        <x:v>2.9802322387695312e-8</x:v>
      </x:c>
      <x:c r="P1724" s="28" t="n">
        <x:v>0</x:v>
      </x:c>
      <x:c r="Q1724" s="62" t="b">
        <x:v>1</x:v>
      </x:c>
      <x:c r="R1724" s="28" t="n">
        <x:v>0</x:v>
      </x:c>
      <x:c r="S1724" s="28" t="str">
        <x:v>05a4f77a8a91e2e4</x:v>
      </x:c>
    </x:row>
    <x:row r="1725" ht="21" customHeight="1">
      <x:c r="A1725" s="60" t="n">
        <x:v>0.66</x:v>
      </x:c>
      <x:c r="B1725" s="28" t="str">
        <x:v>level_flat</x:v>
      </x:c>
      <x:c r="C1725" s="60" t="n">
        <x:v>0.8</x:v>
      </x:c>
      <x:c r="D1725" s="60" t="n">
        <x:v>0.8</x:v>
      </x:c>
      <x:c r="E1725" s="62" t="b">
        <x:v>1</x:v>
      </x:c>
      <x:c r="F1725" s="62" t="b">
        <x:v>0</x:v>
      </x:c>
      <x:c r="G1725" s="85" t="n">
        <x:v>8701992.530895194</x:v>
      </x:c>
      <x:c r="H1725" s="85" t="n">
        <x:v>44646977.668221034</x:v>
      </x:c>
      <x:c r="I1725" s="85" t="n">
        <x:v>67716268.61501364</x:v>
      </x:c>
      <x:c r="J1725" s="85" t="n">
        <x:v>71999999.99999999</x:v>
      </x:c>
      <x:c r="K1725" s="85" t="n">
        <x:v>94802.8445479515</x:v>
      </x:c>
      <x:c r="L1725" s="28" t="n">
        <x:v>44</x:v>
      </x:c>
      <x:c r="M1725" s="28" t="n">
        <x:v>36</x:v>
      </x:c>
      <x:c r="N1725" s="28" t="n">
        <x:v>1.862645149230957e-9</x:v>
      </x:c>
      <x:c r="O1725" s="28" t="n">
        <x:v>2.9802322387695312e-8</x:v>
      </x:c>
      <x:c r="P1725" s="28" t="n">
        <x:v>0</x:v>
      </x:c>
      <x:c r="Q1725" s="62" t="b">
        <x:v>1</x:v>
      </x:c>
      <x:c r="R1725" s="28" t="n">
        <x:v>0</x:v>
      </x:c>
      <x:c r="S1725" s="28" t="str">
        <x:v>46ee72b151d57e87</x:v>
      </x:c>
    </x:row>
    <x:row r="1726" ht="21" customHeight="1">
      <x:c r="A1726" s="60" t="n">
        <x:v>0.66</x:v>
      </x:c>
      <x:c r="B1726" s="28" t="str">
        <x:v>level_flat</x:v>
      </x:c>
      <x:c r="C1726" s="60" t="n">
        <x:v>0.85</x:v>
      </x:c>
      <x:c r="D1726" s="60" t="n">
        <x:v>0.85</x:v>
      </x:c>
      <x:c r="E1726" s="62" t="b">
        <x:v>1</x:v>
      </x:c>
      <x:c r="F1726" s="62" t="b">
        <x:v>0</x:v>
      </x:c>
      <x:c r="G1726" s="85" t="n">
        <x:v>11487696.921453787</x:v>
      </x:c>
      <x:c r="H1726" s="85" t="n">
        <x:v>56257246.23066034</x:v>
      </x:c>
      <x:c r="I1726" s="85" t="n">
        <x:v>67790531.1794794</x:v>
      </x:c>
      <x:c r="J1726" s="85" t="n">
        <x:v>71999999.99999999</x:v>
      </x:c>
      <x:c r="K1726" s="85" t="n">
        <x:v>62893.58303424831</x:v>
      </x:c>
      <x:c r="L1726" s="28" t="n">
        <x:v>44</x:v>
      </x:c>
      <x:c r="M1726" s="28" t="n">
        <x:v>38</x:v>
      </x:c>
      <x:c r="N1726" s="28" t="n">
        <x:v>1.862645149230957e-9</x:v>
      </x:c>
      <x:c r="O1726" s="28" t="n">
        <x:v>2.9802322387695312e-8</x:v>
      </x:c>
      <x:c r="P1726" s="28" t="n">
        <x:v>0</x:v>
      </x:c>
      <x:c r="Q1726" s="62" t="b">
        <x:v>1</x:v>
      </x:c>
      <x:c r="R1726" s="28" t="n">
        <x:v>0</x:v>
      </x:c>
      <x:c r="S1726" s="28" t="str">
        <x:v>f68c4abf487a4e5d</x:v>
      </x:c>
    </x:row>
    <x:row r="1727" ht="21" customHeight="1">
      <x:c r="A1727" s="60" t="n">
        <x:v>0.66</x:v>
      </x:c>
      <x:c r="B1727" s="28" t="str">
        <x:v>level_flat</x:v>
      </x:c>
      <x:c r="C1727" s="60" t="n">
        <x:v>0.9</x:v>
      </x:c>
      <x:c r="D1727" s="60" t="n">
        <x:v>0.9</x:v>
      </x:c>
      <x:c r="E1727" s="62" t="b">
        <x:v>1</x:v>
      </x:c>
      <x:c r="F1727" s="62" t="b">
        <x:v>0</x:v>
      </x:c>
      <x:c r="G1727" s="85" t="n">
        <x:v>16498669.042505205</x:v>
      </x:c>
      <x:c r="H1727" s="85" t="n">
        <x:v>63369657.702107705</x:v>
      </x:c>
      <x:c r="I1727" s="85" t="n">
        <x:v>69115865.03468488</x:v>
      </x:c>
      <x:c r="J1727" s="85" t="n">
        <x:v>71999999.99999999</x:v>
      </x:c>
      <x:c r="K1727" s="85" t="n">
        <x:v>51535.224246575526</x:v>
      </x:c>
      <x:c r="L1727" s="28" t="n">
        <x:v>45</x:v>
      </x:c>
      <x:c r="M1727" s="28" t="n">
        <x:v>38</x:v>
      </x:c>
      <x:c r="N1727" s="28" t="n">
        <x:v>1.862645149230957e-9</x:v>
      </x:c>
      <x:c r="O1727" s="28" t="n">
        <x:v>7.450580596923828e-9</x:v>
      </x:c>
      <x:c r="P1727" s="28" t="n">
        <x:v>0</x:v>
      </x:c>
      <x:c r="Q1727" s="62" t="b">
        <x:v>1</x:v>
      </x:c>
      <x:c r="R1727" s="28" t="n">
        <x:v>0</x:v>
      </x:c>
      <x:c r="S1727" s="28" t="str">
        <x:v>d25a6aac353ebe56</x:v>
      </x:c>
    </x:row>
    <x:row r="1728" ht="21" customHeight="1">
      <x:c r="A1728" s="60" t="n">
        <x:v>0.66</x:v>
      </x:c>
      <x:c r="B1728" s="28" t="str">
        <x:v>level_flat</x:v>
      </x:c>
      <x:c r="C1728" s="60" t="n">
        <x:v>0.95</x:v>
      </x:c>
      <x:c r="D1728" s="60" t="n">
        <x:v>0.9219114501462435</x:v>
      </x:c>
      <x:c r="E1728" s="62" t="b">
        <x:v>0</x:v>
      </x:c>
      <x:c r="F1728" s="62" t="b">
        <x:v>0</x:v>
      </x:c>
      <x:c r="G1728" s="85" t="n">
        <x:v>18014002.124702726</x:v>
      </x:c>
      <x:c r="H1728" s="85" t="n">
        <x:v>68203713.28488956</x:v>
      </x:c>
      <x:c r="I1728" s="85" t="n">
        <x:v>69147284.46446571</x:v>
      </x:c>
      <x:c r="J1728" s="85" t="n">
        <x:v>71999999.99999999</x:v>
      </x:c>
      <x:c r="K1728" s="85" t="n">
        <x:v>40858.251164388406</x:v>
      </x:c>
      <x:c r="L1728" s="28" t="n">
        <x:v>45</x:v>
      </x:c>
      <x:c r="M1728" s="28" t="n">
        <x:v>39</x:v>
      </x:c>
      <x:c r="N1728" s="28" t="n">
        <x:v>1.862645149230957e-9</x:v>
      </x:c>
      <x:c r="O1728" s="28" t="n">
        <x:v>1.4901161193847656e-8</x:v>
      </x:c>
      <x:c r="P1728" s="28" t="n">
        <x:v>0</x:v>
      </x:c>
      <x:c r="Q1728" s="62" t="b">
        <x:v>1</x:v>
      </x:c>
      <x:c r="R1728" s="28" t="n">
        <x:v>8426564.956126928</x:v>
      </x:c>
      <x:c r="S1728" s="28" t="str">
        <x:v>c63dadb18a040d81</x:v>
      </x:c>
    </x:row>
    <x:row r="1729" ht="21" customHeight="1">
      <x:c r="A1729" s="60" t="n">
        <x:v>0.66</x:v>
      </x:c>
      <x:c r="B1729" s="28" t="str">
        <x:v>level_flat</x:v>
      </x:c>
      <x:c r="C1729" s="60" t="n">
        <x:v>1</x:v>
      </x:c>
      <x:c r="D1729" s="60" t="n">
        <x:v>0.9350574964161632</x:v>
      </x:c>
      <x:c r="E1729" s="62" t="b">
        <x:v>0</x:v>
      </x:c>
      <x:c r="F1729" s="62" t="b">
        <x:v>0</x:v>
      </x:c>
      <x:c r="G1729" s="85" t="n">
        <x:v>19645177.072189707</x:v>
      </x:c>
      <x:c r="H1729" s="85" t="n">
        <x:v>71382248.55004624</x:v>
      </x:c>
      <x:c r="I1729" s="85" t="n">
        <x:v>69178703.89424653</x:v>
      </x:c>
      <x:c r="J1729" s="85" t="n">
        <x:v>71999999.99999999</x:v>
      </x:c>
      <x:c r="K1729" s="85" t="n">
        <x:v>30181.278082191508</x:v>
      </x:c>
      <x:c r="L1729" s="28" t="n">
        <x:v>45</x:v>
      </x:c>
      <x:c r="M1729" s="28" t="n">
        <x:v>40</x:v>
      </x:c>
      <x:c r="N1729" s="28" t="n">
        <x:v>1.862645149230957e-9</x:v>
      </x:c>
      <x:c r="O1729" s="28" t="n">
        <x:v>7.450580596923828e-9</x:v>
      </x:c>
      <x:c r="P1729" s="28" t="n">
        <x:v>0</x:v>
      </x:c>
      <x:c r="Q1729" s="62" t="b">
        <x:v>1</x:v>
      </x:c>
      <x:c r="R1729" s="28" t="n">
        <x:v>19482751.075151026</x:v>
      </x:c>
      <x:c r="S1729" s="28" t="str">
        <x:v>c75eb8520da2bdf3</x:v>
      </x:c>
    </x:row>
    <x:row r="1730" ht="21" customHeight="1">
      <x:c r="A1730" s="60" t="n">
        <x:v>0.66</x:v>
      </x:c>
      <x:c r="B1730" s="28" t="str">
        <x:v>level_low</x:v>
      </x:c>
      <x:c r="C1730" s="60" t="n">
        <x:v>0</x:v>
      </x:c>
      <x:c r="D1730" s="60" t="n">
        <x:v>0</x:v>
      </x:c>
      <x:c r="E1730" s="62" t="b">
        <x:v>1</x:v>
      </x:c>
      <x:c r="F1730" s="62" t="b">
        <x:v>1</x:v>
      </x:c>
      <x:c r="G1730" s="85" t="n">
        <x:v>0</x:v>
      </x:c>
      <x:c r="H1730" s="85" t="n">
        <x:v>0</x:v>
      </x:c>
      <x:c r="I1730" s="85" t="n">
        <x:v>0</x:v>
      </x:c>
      <x:c r="J1730" s="85" t="n">
        <x:v>0</x:v>
      </x:c>
      <x:c r="K1730" s="85" t="n">
        <x:v>30218842.093835626</x:v>
      </x:c>
      <x:c r="L1730" s="28" t="n">
        <x:v>0</x:v>
      </x:c>
      <x:c r="M1730" s="28" t="n">
        <x:v>0</x:v>
      </x:c>
      <x:c r="N1730" s="28" t="n">
        <x:v>3.725290298461914e-9</x:v>
      </x:c>
      <x:c r="O1730" s="28" t="n">
        <x:v>0</x:v>
      </x:c>
      <x:c r="P1730" s="28" t="n">
        <x:v>0</x:v>
      </x:c>
      <x:c r="Q1730" s="62" t="b">
        <x:v>1</x:v>
      </x:c>
      <x:c r="R1730" s="28" t="n">
        <x:v>0</x:v>
      </x:c>
      <x:c r="S1730" s="28" t="str">
        <x:v>ca9aadc73d447928</x:v>
      </x:c>
    </x:row>
    <x:row r="1731" ht="21" customHeight="1">
      <x:c r="A1731" s="60" t="n">
        <x:v>0.66</x:v>
      </x:c>
      <x:c r="B1731" s="28" t="str">
        <x:v>level_low</x:v>
      </x:c>
      <x:c r="C1731" s="60" t="n">
        <x:v>0.05</x:v>
      </x:c>
      <x:c r="D1731" s="60" t="n">
        <x:v>0.05</x:v>
      </x:c>
      <x:c r="E1731" s="62" t="b">
        <x:v>1</x:v>
      </x:c>
      <x:c r="F1731" s="62" t="b">
        <x:v>1</x:v>
      </x:c>
      <x:c r="G1731" s="85" t="n">
        <x:v>0</x:v>
      </x:c>
      <x:c r="H1731" s="85" t="n">
        <x:v>0</x:v>
      </x:c>
      <x:c r="I1731" s="85" t="n">
        <x:v>0</x:v>
      </x:c>
      <x:c r="J1731" s="85" t="n">
        <x:v>0</x:v>
      </x:c>
      <x:c r="K1731" s="85" t="n">
        <x:v>19508349.292105302</x:v>
      </x:c>
      <x:c r="L1731" s="28" t="n">
        <x:v>0</x:v>
      </x:c>
      <x:c r="M1731" s="28" t="n">
        <x:v>0</x:v>
      </x:c>
      <x:c r="N1731" s="28" t="n">
        <x:v>3.725290298461914e-9</x:v>
      </x:c>
      <x:c r="O1731" s="28" t="n">
        <x:v>2.9802322387695312e-8</x:v>
      </x:c>
      <x:c r="P1731" s="28" t="n">
        <x:v>0</x:v>
      </x:c>
      <x:c r="Q1731" s="62" t="b">
        <x:v>1</x:v>
      </x:c>
      <x:c r="R1731" s="28" t="n">
        <x:v>0</x:v>
      </x:c>
      <x:c r="S1731" s="28" t="str">
        <x:v>a590f1d57727b27c</x:v>
      </x:c>
    </x:row>
    <x:row r="1732" ht="21" customHeight="1">
      <x:c r="A1732" s="60" t="n">
        <x:v>0.66</x:v>
      </x:c>
      <x:c r="B1732" s="28" t="str">
        <x:v>level_low</x:v>
      </x:c>
      <x:c r="C1732" s="60" t="n">
        <x:v>0.1</x:v>
      </x:c>
      <x:c r="D1732" s="60" t="n">
        <x:v>0.1</x:v>
      </x:c>
      <x:c r="E1732" s="62" t="b">
        <x:v>1</x:v>
      </x:c>
      <x:c r="F1732" s="62" t="b">
        <x:v>1</x:v>
      </x:c>
      <x:c r="G1732" s="85" t="n">
        <x:v>0</x:v>
      </x:c>
      <x:c r="H1732" s="85" t="n">
        <x:v>0</x:v>
      </x:c>
      <x:c r="I1732" s="85" t="n">
        <x:v>0</x:v>
      </x:c>
      <x:c r="J1732" s="85" t="n">
        <x:v>0</x:v>
      </x:c>
      <x:c r="K1732" s="85" t="n">
        <x:v>8714601.789879657</x:v>
      </x:c>
      <x:c r="L1732" s="28" t="n">
        <x:v>0</x:v>
      </x:c>
      <x:c r="M1732" s="28" t="n">
        <x:v>0</x:v>
      </x:c>
      <x:c r="N1732" s="28" t="n">
        <x:v>3.725290298461914e-9</x:v>
      </x:c>
      <x:c r="O1732" s="28" t="n">
        <x:v>5.960464477539063e-8</x:v>
      </x:c>
      <x:c r="P1732" s="28" t="n">
        <x:v>0</x:v>
      </x:c>
      <x:c r="Q1732" s="62" t="b">
        <x:v>1</x:v>
      </x:c>
      <x:c r="R1732" s="28" t="n">
        <x:v>0</x:v>
      </x:c>
      <x:c r="S1732" s="28" t="str">
        <x:v>613f08b08290d0ff</x:v>
      </x:c>
    </x:row>
    <x:row r="1733" ht="21" customHeight="1">
      <x:c r="A1733" s="60" t="n">
        <x:v>0.66</x:v>
      </x:c>
      <x:c r="B1733" s="28" t="str">
        <x:v>level_low</x:v>
      </x:c>
      <x:c r="C1733" s="60" t="n">
        <x:v>0.15</x:v>
      </x:c>
      <x:c r="D1733" s="60" t="n">
        <x:v>0.15</x:v>
      </x:c>
      <x:c r="E1733" s="62" t="b">
        <x:v>1</x:v>
      </x:c>
      <x:c r="F1733" s="62" t="b">
        <x:v>1</x:v>
      </x:c>
      <x:c r="G1733" s="85" t="n">
        <x:v>0</x:v>
      </x:c>
      <x:c r="H1733" s="85" t="n">
        <x:v>0</x:v>
      </x:c>
      <x:c r="I1733" s="85" t="n">
        <x:v>1865678.1338220818</x:v>
      </x:c>
      <x:c r="J1733" s="85" t="n">
        <x:v>0</x:v>
      </x:c>
      <x:c r="K1733" s="85" t="n">
        <x:v>645971.0040454881</x:v>
      </x:c>
      <x:c r="L1733" s="28" t="n">
        <x:v>0</x:v>
      </x:c>
      <x:c r="M1733" s="28" t="n">
        <x:v>0</x:v>
      </x:c>
      <x:c r="N1733" s="28" t="n">
        <x:v>1.862645149230957e-9</x:v>
      </x:c>
      <x:c r="O1733" s="28" t="n">
        <x:v>2.9802322387695312e-8</x:v>
      </x:c>
      <x:c r="P1733" s="28" t="n">
        <x:v>0</x:v>
      </x:c>
      <x:c r="Q1733" s="62" t="b">
        <x:v>1</x:v>
      </x:c>
      <x:c r="R1733" s="28" t="n">
        <x:v>0</x:v>
      </x:c>
      <x:c r="S1733" s="28" t="str">
        <x:v>ef3a6a507b4efe58</x:v>
      </x:c>
    </x:row>
    <x:row r="1734" ht="21" customHeight="1">
      <x:c r="A1734" s="60" t="n">
        <x:v>0.66</x:v>
      </x:c>
      <x:c r="B1734" s="28" t="str">
        <x:v>level_low</x:v>
      </x:c>
      <x:c r="C1734" s="60" t="n">
        <x:v>0.2</x:v>
      </x:c>
      <x:c r="D1734" s="60" t="n">
        <x:v>0.2</x:v>
      </x:c>
      <x:c r="E1734" s="62" t="b">
        <x:v>1</x:v>
      </x:c>
      <x:c r="F1734" s="62" t="b">
        <x:v>1</x:v>
      </x:c>
      <x:c r="G1734" s="85" t="n">
        <x:v>0</x:v>
      </x:c>
      <x:c r="H1734" s="85" t="n">
        <x:v>0</x:v>
      </x:c>
      <x:c r="I1734" s="85" t="n">
        <x:v>8025633.707935806</x:v>
      </x:c>
      <x:c r="J1734" s="85" t="n">
        <x:v>6323003.272534203</x:v>
      </x:c>
      <x:c r="K1734" s="85" t="n">
        <x:v>449981.66703780997</x:v>
      </x:c>
      <x:c r="L1734" s="28" t="n">
        <x:v>0</x:v>
      </x:c>
      <x:c r="M1734" s="28" t="n">
        <x:v>0</x:v>
      </x:c>
      <x:c r="N1734" s="28" t="n">
        <x:v>3.725290298461914e-9</x:v>
      </x:c>
      <x:c r="O1734" s="28" t="n">
        <x:v>2.9802322387695312e-8</x:v>
      </x:c>
      <x:c r="P1734" s="28" t="n">
        <x:v>0</x:v>
      </x:c>
      <x:c r="Q1734" s="62" t="b">
        <x:v>1</x:v>
      </x:c>
      <x:c r="R1734" s="28" t="n">
        <x:v>0</x:v>
      </x:c>
      <x:c r="S1734" s="28" t="str">
        <x:v>782c74dc70cc39df</x:v>
      </x:c>
    </x:row>
    <x:row r="1735" ht="21" customHeight="1">
      <x:c r="A1735" s="60" t="n">
        <x:v>0.66</x:v>
      </x:c>
      <x:c r="B1735" s="28" t="str">
        <x:v>level_low</x:v>
      </x:c>
      <x:c r="C1735" s="60" t="n">
        <x:v>0.25</x:v>
      </x:c>
      <x:c r="D1735" s="60" t="n">
        <x:v>0.25</x:v>
      </x:c>
      <x:c r="E1735" s="62" t="b">
        <x:v>1</x:v>
      </x:c>
      <x:c r="F1735" s="62" t="b">
        <x:v>1</x:v>
      </x:c>
      <x:c r="G1735" s="85" t="n">
        <x:v>0</x:v>
      </x:c>
      <x:c r="H1735" s="85" t="n">
        <x:v>0</x:v>
      </x:c>
      <x:c r="I1735" s="85" t="n">
        <x:v>12097517.963553699</x:v>
      </x:c>
      <x:c r="J1735" s="85" t="n">
        <x:v>15403754.090667734</x:v>
      </x:c>
      <x:c r="K1735" s="85" t="n">
        <x:v>329074.3195917803</x:v>
      </x:c>
      <x:c r="L1735" s="28" t="n">
        <x:v>0</x:v>
      </x:c>
      <x:c r="M1735" s="28" t="n">
        <x:v>0</x:v>
      </x:c>
      <x:c r="N1735" s="28" t="n">
        <x:v>1.862645149230957e-9</x:v>
      </x:c>
      <x:c r="O1735" s="28" t="n">
        <x:v>2.9802322387695312e-8</x:v>
      </x:c>
      <x:c r="P1735" s="28" t="n">
        <x:v>0</x:v>
      </x:c>
      <x:c r="Q1735" s="62" t="b">
        <x:v>1</x:v>
      </x:c>
      <x:c r="R1735" s="28" t="n">
        <x:v>0</x:v>
      </x:c>
      <x:c r="S1735" s="28" t="str">
        <x:v>b8027e46710026b5</x:v>
      </x:c>
    </x:row>
    <x:row r="1736" ht="21" customHeight="1">
      <x:c r="A1736" s="60" t="n">
        <x:v>0.66</x:v>
      </x:c>
      <x:c r="B1736" s="28" t="str">
        <x:v>level_low</x:v>
      </x:c>
      <x:c r="C1736" s="60" t="n">
        <x:v>0.3</x:v>
      </x:c>
      <x:c r="D1736" s="60" t="n">
        <x:v>0.3</x:v>
      </x:c>
      <x:c r="E1736" s="62" t="b">
        <x:v>1</x:v>
      </x:c>
      <x:c r="F1736" s="62" t="b">
        <x:v>1</x:v>
      </x:c>
      <x:c r="G1736" s="85" t="n">
        <x:v>0</x:v>
      </x:c>
      <x:c r="H1736" s="85" t="n">
        <x:v>0</x:v>
      </x:c>
      <x:c r="I1736" s="85" t="n">
        <x:v>16221841.087047886</x:v>
      </x:c>
      <x:c r="J1736" s="85" t="n">
        <x:v>24484504.908801176</x:v>
      </x:c>
      <x:c r="K1736" s="85" t="n">
        <x:v>264457.1233013699</x:v>
      </x:c>
      <x:c r="L1736" s="28" t="n">
        <x:v>0</x:v>
      </x:c>
      <x:c r="M1736" s="28" t="n">
        <x:v>0</x:v>
      </x:c>
      <x:c r="N1736" s="28" t="n">
        <x:v>3.725290298461914e-9</x:v>
      </x:c>
      <x:c r="O1736" s="28" t="n">
        <x:v>7.450580596923828e-9</x:v>
      </x:c>
      <x:c r="P1736" s="28" t="n">
        <x:v>0</x:v>
      </x:c>
      <x:c r="Q1736" s="62" t="b">
        <x:v>1</x:v>
      </x:c>
      <x:c r="R1736" s="28" t="n">
        <x:v>0</x:v>
      </x:c>
      <x:c r="S1736" s="28" t="str">
        <x:v>07155c5df0d8cc2a</x:v>
      </x:c>
    </x:row>
    <x:row r="1737" ht="21" customHeight="1">
      <x:c r="A1737" s="60" t="n">
        <x:v>0.66</x:v>
      </x:c>
      <x:c r="B1737" s="28" t="str">
        <x:v>level_low</x:v>
      </x:c>
      <x:c r="C1737" s="60" t="n">
        <x:v>0.35</x:v>
      </x:c>
      <x:c r="D1737" s="60" t="n">
        <x:v>0.35</x:v>
      </x:c>
      <x:c r="E1737" s="62" t="b">
        <x:v>1</x:v>
      </x:c>
      <x:c r="F1737" s="62" t="b">
        <x:v>1</x:v>
      </x:c>
      <x:c r="G1737" s="85" t="n">
        <x:v>0</x:v>
      </x:c>
      <x:c r="H1737" s="85" t="n">
        <x:v>0</x:v>
      </x:c>
      <x:c r="I1737" s="85" t="n">
        <x:v>20380371.073266394</x:v>
      </x:c>
      <x:c r="J1737" s="85" t="n">
        <x:v>33565255.72693473</x:v>
      </x:c>
      <x:c r="K1737" s="85" t="n">
        <x:v>205845.72718493093</x:v>
      </x:c>
      <x:c r="L1737" s="28" t="n">
        <x:v>0</x:v>
      </x:c>
      <x:c r="M1737" s="28" t="n">
        <x:v>0</x:v>
      </x:c>
      <x:c r="N1737" s="28" t="n">
        <x:v>9.313225746154785e-10</x:v>
      </x:c>
      <x:c r="O1737" s="28" t="n">
        <x:v>2.9802322387695312e-8</x:v>
      </x:c>
      <x:c r="P1737" s="28" t="n">
        <x:v>0</x:v>
      </x:c>
      <x:c r="Q1737" s="62" t="b">
        <x:v>1</x:v>
      </x:c>
      <x:c r="R1737" s="28" t="n">
        <x:v>0</x:v>
      </x:c>
      <x:c r="S1737" s="28" t="str">
        <x:v>ca87702335f8f222</x:v>
      </x:c>
    </x:row>
    <x:row r="1738" ht="21" customHeight="1">
      <x:c r="A1738" s="60" t="n">
        <x:v>0.66</x:v>
      </x:c>
      <x:c r="B1738" s="28" t="str">
        <x:v>level_low</x:v>
      </x:c>
      <x:c r="C1738" s="60" t="n">
        <x:v>0.4</x:v>
      </x:c>
      <x:c r="D1738" s="60" t="n">
        <x:v>0.4</x:v>
      </x:c>
      <x:c r="E1738" s="62" t="b">
        <x:v>1</x:v>
      </x:c>
      <x:c r="F1738" s="62" t="b">
        <x:v>1</x:v>
      </x:c>
      <x:c r="G1738" s="85" t="n">
        <x:v>0</x:v>
      </x:c>
      <x:c r="H1738" s="85" t="n">
        <x:v>0</x:v>
      </x:c>
      <x:c r="I1738" s="85" t="n">
        <x:v>26072027.653207228</x:v>
      </x:c>
      <x:c r="J1738" s="85" t="n">
        <x:v>40224409.54725831</x:v>
      </x:c>
      <x:c r="K1738" s="85" t="n">
        <x:v>159870.54871233014</x:v>
      </x:c>
      <x:c r="L1738" s="28" t="n">
        <x:v>5</x:v>
      </x:c>
      <x:c r="M1738" s="28" t="n">
        <x:v>0</x:v>
      </x:c>
      <x:c r="N1738" s="28" t="n">
        <x:v>3.725290298461914e-9</x:v>
      </x:c>
      <x:c r="O1738" s="28" t="n">
        <x:v>2.9802322387695312e-8</x:v>
      </x:c>
      <x:c r="P1738" s="28" t="n">
        <x:v>0</x:v>
      </x:c>
      <x:c r="Q1738" s="62" t="b">
        <x:v>1</x:v>
      </x:c>
      <x:c r="R1738" s="28" t="n">
        <x:v>0</x:v>
      </x:c>
      <x:c r="S1738" s="28" t="str">
        <x:v>024c834310b16154</x:v>
      </x:c>
    </x:row>
    <x:row r="1739" ht="21" customHeight="1">
      <x:c r="A1739" s="60" t="n">
        <x:v>0.66</x:v>
      </x:c>
      <x:c r="B1739" s="28" t="str">
        <x:v>level_low</x:v>
      </x:c>
      <x:c r="C1739" s="60" t="n">
        <x:v>0.45</x:v>
      </x:c>
      <x:c r="D1739" s="60" t="n">
        <x:v>0.45</x:v>
      </x:c>
      <x:c r="E1739" s="62" t="b">
        <x:v>1</x:v>
      </x:c>
      <x:c r="F1739" s="62" t="b">
        <x:v>1</x:v>
      </x:c>
      <x:c r="G1739" s="85" t="n">
        <x:v>0</x:v>
      </x:c>
      <x:c r="H1739" s="85" t="n">
        <x:v>0</x:v>
      </x:c>
      <x:c r="I1739" s="85" t="n">
        <x:v>31915789.001730483</x:v>
      </x:c>
      <x:c r="J1739" s="85" t="n">
        <x:v>46587594.598459214</x:v>
      </x:c>
      <x:c r="K1739" s="85" t="n">
        <x:v>141663.02637671732</x:v>
      </x:c>
      <x:c r="L1739" s="28" t="n">
        <x:v>10</x:v>
      </x:c>
      <x:c r="M1739" s="28" t="n">
        <x:v>0</x:v>
      </x:c>
      <x:c r="N1739" s="28" t="n">
        <x:v>1.862645149230957e-9</x:v>
      </x:c>
      <x:c r="O1739" s="28" t="n">
        <x:v>2.9802322387695312e-8</x:v>
      </x:c>
      <x:c r="P1739" s="28" t="n">
        <x:v>0</x:v>
      </x:c>
      <x:c r="Q1739" s="62" t="b">
        <x:v>1</x:v>
      </x:c>
      <x:c r="R1739" s="28" t="n">
        <x:v>0</x:v>
      </x:c>
      <x:c r="S1739" s="28" t="str">
        <x:v>305821c493cb0bc8</x:v>
      </x:c>
    </x:row>
    <x:row r="1740" ht="21" customHeight="1">
      <x:c r="A1740" s="60" t="n">
        <x:v>0.66</x:v>
      </x:c>
      <x:c r="B1740" s="28" t="str">
        <x:v>level_low</x:v>
      </x:c>
      <x:c r="C1740" s="60" t="n">
        <x:v>0.5</x:v>
      </x:c>
      <x:c r="D1740" s="60" t="n">
        <x:v>0.5</x:v>
      </x:c>
      <x:c r="E1740" s="62" t="b">
        <x:v>1</x:v>
      </x:c>
      <x:c r="F1740" s="62" t="b">
        <x:v>1</x:v>
      </x:c>
      <x:c r="G1740" s="85" t="n">
        <x:v>0</x:v>
      </x:c>
      <x:c r="H1740" s="85" t="n">
        <x:v>0</x:v>
      </x:c>
      <x:c r="I1740" s="85" t="n">
        <x:v>36784395.19949077</x:v>
      </x:c>
      <x:c r="J1740" s="85" t="n">
        <x:v>54471788.537245214</x:v>
      </x:c>
      <x:c r="K1740" s="85" t="n">
        <x:v>123455.50404109563</x:v>
      </x:c>
      <x:c r="L1740" s="28" t="n">
        <x:v>13</x:v>
      </x:c>
      <x:c r="M1740" s="28" t="n">
        <x:v>0</x:v>
      </x:c>
      <x:c r="N1740" s="28" t="n">
        <x:v>1.862645149230957e-9</x:v>
      </x:c>
      <x:c r="O1740" s="28" t="n">
        <x:v>1.4901161193847656e-8</x:v>
      </x:c>
      <x:c r="P1740" s="28" t="n">
        <x:v>0</x:v>
      </x:c>
      <x:c r="Q1740" s="62" t="b">
        <x:v>1</x:v>
      </x:c>
      <x:c r="R1740" s="28" t="n">
        <x:v>0</x:v>
      </x:c>
      <x:c r="S1740" s="28" t="str">
        <x:v>325c98ae16a4901e</x:v>
      </x:c>
    </x:row>
    <x:row r="1741" ht="21" customHeight="1">
      <x:c r="A1741" s="60" t="n">
        <x:v>0.66</x:v>
      </x:c>
      <x:c r="B1741" s="28" t="str">
        <x:v>level_low</x:v>
      </x:c>
      <x:c r="C1741" s="60" t="n">
        <x:v>0.55</x:v>
      </x:c>
      <x:c r="D1741" s="60" t="n">
        <x:v>0.55</x:v>
      </x:c>
      <x:c r="E1741" s="62" t="b">
        <x:v>1</x:v>
      </x:c>
      <x:c r="F1741" s="62" t="b">
        <x:v>1</x:v>
      </x:c>
      <x:c r="G1741" s="85" t="n">
        <x:v>0</x:v>
      </x:c>
      <x:c r="H1741" s="85" t="n">
        <x:v>0</x:v>
      </x:c>
      <x:c r="I1741" s="85" t="n">
        <x:v>40960018.756081656</x:v>
      </x:c>
      <x:c r="J1741" s="85" t="n">
        <x:v>63381048.49514034</x:v>
      </x:c>
      <x:c r="K1741" s="85" t="n">
        <x:v>105247.98170548092</x:v>
      </x:c>
      <x:c r="L1741" s="28" t="n">
        <x:v>16</x:v>
      </x:c>
      <x:c r="M1741" s="28" t="n">
        <x:v>0</x:v>
      </x:c>
      <x:c r="N1741" s="28" t="n">
        <x:v>1.862645149230957e-9</x:v>
      </x:c>
      <x:c r="O1741" s="28" t="n">
        <x:v>2.9802322387695312e-8</x:v>
      </x:c>
      <x:c r="P1741" s="28" t="n">
        <x:v>0</x:v>
      </x:c>
      <x:c r="Q1741" s="62" t="b">
        <x:v>1</x:v>
      </x:c>
      <x:c r="R1741" s="28" t="n">
        <x:v>0</x:v>
      </x:c>
      <x:c r="S1741" s="28" t="str">
        <x:v>c07598da4c2cea17</x:v>
      </x:c>
    </x:row>
    <x:row r="1742" ht="21" customHeight="1">
      <x:c r="A1742" s="60" t="n">
        <x:v>0.66</x:v>
      </x:c>
      <x:c r="B1742" s="28" t="str">
        <x:v>level_low</x:v>
      </x:c>
      <x:c r="C1742" s="60" t="n">
        <x:v>0.6</x:v>
      </x:c>
      <x:c r="D1742" s="60" t="n">
        <x:v>0.6</x:v>
      </x:c>
      <x:c r="E1742" s="62" t="b">
        <x:v>1</x:v>
      </x:c>
      <x:c r="F1742" s="62" t="b">
        <x:v>0</x:v>
      </x:c>
      <x:c r="G1742" s="85" t="n">
        <x:v>24808.384096005942</x:v>
      </x:c>
      <x:c r="H1742" s="85" t="n">
        <x:v>408450.30565211584</x:v>
      </x:c>
      <x:c r="I1742" s="85" t="n">
        <x:v>44769689.352849305</x:v>
      </x:c>
      <x:c r="J1742" s="85" t="n">
        <x:v>71999999.99999999</x:v>
      </x:c>
      <x:c r="K1742" s="85" t="n">
        <x:v>87040.4593698681</x:v>
      </x:c>
      <x:c r="L1742" s="28" t="n">
        <x:v>41</x:v>
      </x:c>
      <x:c r="M1742" s="28" t="n">
        <x:v>20</x:v>
      </x:c>
      <x:c r="N1742" s="28" t="n">
        <x:v>1.862645149230957e-9</x:v>
      </x:c>
      <x:c r="O1742" s="28" t="n">
        <x:v>2.9802322387695312e-8</x:v>
      </x:c>
      <x:c r="P1742" s="28" t="n">
        <x:v>0</x:v>
      </x:c>
      <x:c r="Q1742" s="62" t="b">
        <x:v>1</x:v>
      </x:c>
      <x:c r="R1742" s="28" t="n">
        <x:v>0</x:v>
      </x:c>
      <x:c r="S1742" s="28" t="str">
        <x:v>f2ea86aa15ae2752</x:v>
      </x:c>
    </x:row>
    <x:row r="1743" ht="21" customHeight="1">
      <x:c r="A1743" s="60" t="n">
        <x:v>0.66</x:v>
      </x:c>
      <x:c r="B1743" s="28" t="str">
        <x:v>level_low</x:v>
      </x:c>
      <x:c r="C1743" s="60" t="n">
        <x:v>0.65</x:v>
      </x:c>
      <x:c r="D1743" s="60" t="n">
        <x:v>0.65</x:v>
      </x:c>
      <x:c r="E1743" s="62" t="b">
        <x:v>1</x:v>
      </x:c>
      <x:c r="F1743" s="62" t="b">
        <x:v>0</x:v>
      </x:c>
      <x:c r="G1743" s="85" t="n">
        <x:v>683784.4266539189</x:v>
      </x:c>
      <x:c r="H1743" s="85" t="n">
        <x:v>10293995.972453007</x:v>
      </x:c>
      <x:c r="I1743" s="85" t="n">
        <x:v>45692029.87760245</x:v>
      </x:c>
      <x:c r="J1743" s="85" t="n">
        <x:v>71999999.99999999</x:v>
      </x:c>
      <x:c r="K1743" s="85" t="n">
        <x:v>68832.93703424967</x:v>
      </x:c>
      <x:c r="L1743" s="28" t="n">
        <x:v>42</x:v>
      </x:c>
      <x:c r="M1743" s="28" t="n">
        <x:v>30</x:v>
      </x:c>
      <x:c r="N1743" s="28" t="n">
        <x:v>1.862645149230957e-9</x:v>
      </x:c>
      <x:c r="O1743" s="28" t="n">
        <x:v>2.9802322387695312e-8</x:v>
      </x:c>
      <x:c r="P1743" s="28" t="n">
        <x:v>0</x:v>
      </x:c>
      <x:c r="Q1743" s="62" t="b">
        <x:v>1</x:v>
      </x:c>
      <x:c r="R1743" s="28" t="n">
        <x:v>0</x:v>
      </x:c>
      <x:c r="S1743" s="28" t="str">
        <x:v>c33fca6b50e370f9</x:v>
      </x:c>
    </x:row>
    <x:row r="1744" ht="21" customHeight="1">
      <x:c r="A1744" s="60" t="n">
        <x:v>0.66</x:v>
      </x:c>
      <x:c r="B1744" s="28" t="str">
        <x:v>level_low</x:v>
      </x:c>
      <x:c r="C1744" s="60" t="n">
        <x:v>0.7</x:v>
      </x:c>
      <x:c r="D1744" s="60" t="n">
        <x:v>0.7</x:v>
      </x:c>
      <x:c r="E1744" s="62" t="b">
        <x:v>1</x:v>
      </x:c>
      <x:c r="F1744" s="62" t="b">
        <x:v>0</x:v>
      </x:c>
      <x:c r="G1744" s="85" t="n">
        <x:v>1333500.6067895063</x:v>
      </x:c>
      <x:c r="H1744" s="85" t="n">
        <x:v>20097786.58758893</x:v>
      </x:c>
      <x:c r="I1744" s="85" t="n">
        <x:v>46716803.5398493</x:v>
      </x:c>
      <x:c r="J1744" s="85" t="n">
        <x:v>71999999.99999999</x:v>
      </x:c>
      <x:c r="K1744" s="85" t="n">
        <x:v>50625.41469862893</x:v>
      </x:c>
      <x:c r="L1744" s="28" t="n">
        <x:v>43</x:v>
      </x:c>
      <x:c r="M1744" s="28" t="n">
        <x:v>31</x:v>
      </x:c>
      <x:c r="N1744" s="28" t="n">
        <x:v>1.862645149230957e-9</x:v>
      </x:c>
      <x:c r="O1744" s="28" t="n">
        <x:v>2.9802322387695312e-8</x:v>
      </x:c>
      <x:c r="P1744" s="28" t="n">
        <x:v>0</x:v>
      </x:c>
      <x:c r="Q1744" s="62" t="b">
        <x:v>1</x:v>
      </x:c>
      <x:c r="R1744" s="28" t="n">
        <x:v>0</x:v>
      </x:c>
      <x:c r="S1744" s="28" t="str">
        <x:v>2d5cb1c50528af0d</x:v>
      </x:c>
    </x:row>
    <x:row r="1745" ht="21" customHeight="1">
      <x:c r="A1745" s="60" t="n">
        <x:v>0.66</x:v>
      </x:c>
      <x:c r="B1745" s="28" t="str">
        <x:v>level_low</x:v>
      </x:c>
      <x:c r="C1745" s="60" t="n">
        <x:v>0.75</x:v>
      </x:c>
      <x:c r="D1745" s="60" t="n">
        <x:v>0.75</x:v>
      </x:c>
      <x:c r="E1745" s="62" t="b">
        <x:v>1</x:v>
      </x:c>
      <x:c r="F1745" s="62" t="b">
        <x:v>0</x:v>
      </x:c>
      <x:c r="G1745" s="85" t="n">
        <x:v>2335903.2567592985</x:v>
      </x:c>
      <x:c r="H1745" s="85" t="n">
        <x:v>30743731.501011584</x:v>
      </x:c>
      <x:c r="I1745" s="85" t="n">
        <x:v>46787065.25551369</x:v>
      </x:c>
      <x:c r="J1745" s="85" t="n">
        <x:v>71999999.99999999</x:v>
      </x:c>
      <x:c r="K1745" s="85" t="n">
        <x:v>32417.892363015155</x:v>
      </x:c>
      <x:c r="L1745" s="28" t="n">
        <x:v>43</x:v>
      </x:c>
      <x:c r="M1745" s="28" t="n">
        <x:v>32</x:v>
      </x:c>
      <x:c r="N1745" s="28" t="n">
        <x:v>1.862645149230957e-9</x:v>
      </x:c>
      <x:c r="O1745" s="28" t="n">
        <x:v>2.9802322387695312e-8</x:v>
      </x:c>
      <x:c r="P1745" s="28" t="n">
        <x:v>0</x:v>
      </x:c>
      <x:c r="Q1745" s="62" t="b">
        <x:v>1</x:v>
      </x:c>
      <x:c r="R1745" s="28" t="n">
        <x:v>0</x:v>
      </x:c>
      <x:c r="S1745" s="28" t="str">
        <x:v>af0d4c303b4c2512</x:v>
      </x:c>
    </x:row>
    <x:row r="1746" ht="21" customHeight="1">
      <x:c r="A1746" s="60" t="n">
        <x:v>0.66</x:v>
      </x:c>
      <x:c r="B1746" s="28" t="str">
        <x:v>level_low</x:v>
      </x:c>
      <x:c r="C1746" s="60" t="n">
        <x:v>0.8</x:v>
      </x:c>
      <x:c r="D1746" s="60" t="n">
        <x:v>0.8</x:v>
      </x:c>
      <x:c r="E1746" s="62" t="b">
        <x:v>1</x:v>
      </x:c>
      <x:c r="F1746" s="62" t="b">
        <x:v>0</x:v>
      </x:c>
      <x:c r="G1746" s="85" t="n">
        <x:v>3116496.8484208</x:v>
      </x:c>
      <x:c r="H1746" s="85" t="n">
        <x:v>40400341.62865858</x:v>
      </x:c>
      <x:c r="I1746" s="85" t="n">
        <x:v>47687209.67364383</x:v>
      </x:c>
      <x:c r="J1746" s="85" t="n">
        <x:v>71999999.99999999</x:v>
      </x:c>
      <x:c r="K1746" s="85" t="n">
        <x:v>14210.370027396275</x:v>
      </x:c>
      <x:c r="L1746" s="28" t="n">
        <x:v>44</x:v>
      </x:c>
      <x:c r="M1746" s="28" t="n">
        <x:v>33</x:v>
      </x:c>
      <x:c r="N1746" s="28" t="n">
        <x:v>1.862645149230957e-9</x:v>
      </x:c>
      <x:c r="O1746" s="28" t="n">
        <x:v>2.9802322387695312e-8</x:v>
      </x:c>
      <x:c r="P1746" s="28" t="n">
        <x:v>0</x:v>
      </x:c>
      <x:c r="Q1746" s="62" t="b">
        <x:v>1</x:v>
      </x:c>
      <x:c r="R1746" s="28" t="n">
        <x:v>0</x:v>
      </x:c>
      <x:c r="S1746" s="28" t="str">
        <x:v>a3047853ebf6b5bb</x:v>
      </x:c>
    </x:row>
    <x:row r="1747" ht="21" customHeight="1">
      <x:c r="A1747" s="60" t="n">
        <x:v>0.66</x:v>
      </x:c>
      <x:c r="B1747" s="28" t="str">
        <x:v>level_low</x:v>
      </x:c>
      <x:c r="C1747" s="60" t="n">
        <x:v>0.85</x:v>
      </x:c>
      <x:c r="D1747" s="60" t="n">
        <x:v>0.85</x:v>
      </x:c>
      <x:c r="E1747" s="62" t="b">
        <x:v>1</x:v>
      </x:c>
      <x:c r="F1747" s="62" t="b">
        <x:v>0</x:v>
      </x:c>
      <x:c r="G1747" s="85" t="n">
        <x:v>4267493.683546751</x:v>
      </x:c>
      <x:c r="H1747" s="85" t="n">
        <x:v>50786356.039746486</x:v>
      </x:c>
      <x:c r="I1747" s="85" t="n">
        <x:v>47729031.355643824</x:v>
      </x:c>
      <x:c r="J1747" s="85" t="n">
        <x:v>71999999.99999999</x:v>
      </x:c>
      <x:c r="K1747" s="85" t="n">
        <x:v>0</x:v>
      </x:c>
      <x:c r="L1747" s="28" t="n">
        <x:v>44</x:v>
      </x:c>
      <x:c r="M1747" s="28" t="n">
        <x:v>34</x:v>
      </x:c>
      <x:c r="N1747" s="28" t="n">
        <x:v>9.313225746154785e-10</x:v>
      </x:c>
      <x:c r="O1747" s="28" t="n">
        <x:v>2.9802322387695312e-8</x:v>
      </x:c>
      <x:c r="P1747" s="28" t="n">
        <x:v>0</x:v>
      </x:c>
      <x:c r="Q1747" s="62" t="b">
        <x:v>1</x:v>
      </x:c>
      <x:c r="R1747" s="28" t="n">
        <x:v>0</x:v>
      </x:c>
      <x:c r="S1747" s="28" t="str">
        <x:v>eba3160614f67c4d</x:v>
      </x:c>
    </x:row>
    <x:row r="1748" ht="21" customHeight="1">
      <x:c r="A1748" s="60" t="n">
        <x:v>0.66</x:v>
      </x:c>
      <x:c r="B1748" s="28" t="str">
        <x:v>level_low</x:v>
      </x:c>
      <x:c r="C1748" s="60" t="n">
        <x:v>0.9</x:v>
      </x:c>
      <x:c r="D1748" s="60" t="n">
        <x:v>0.9</x:v>
      </x:c>
      <x:c r="E1748" s="62" t="b">
        <x:v>1</x:v>
      </x:c>
      <x:c r="F1748" s="62" t="b">
        <x:v>0</x:v>
      </x:c>
      <x:c r="G1748" s="85" t="n">
        <x:v>6442889.27874075</x:v>
      </x:c>
      <x:c r="H1748" s="85" t="n">
        <x:v>59224585.91240164</x:v>
      </x:c>
      <x:c r="I1748" s="85" t="n">
        <x:v>48749508.497150674</x:v>
      </x:c>
      <x:c r="J1748" s="85" t="n">
        <x:v>71999999.99999999</x:v>
      </x:c>
      <x:c r="K1748" s="85" t="n">
        <x:v>0</x:v>
      </x:c>
      <x:c r="L1748" s="28" t="n">
        <x:v>45</x:v>
      </x:c>
      <x:c r="M1748" s="28" t="n">
        <x:v>35</x:v>
      </x:c>
      <x:c r="N1748" s="28" t="n">
        <x:v>1.862645149230957e-9</x:v>
      </x:c>
      <x:c r="O1748" s="28" t="n">
        <x:v>7.450580596923828e-9</x:v>
      </x:c>
      <x:c r="P1748" s="28" t="n">
        <x:v>0</x:v>
      </x:c>
      <x:c r="Q1748" s="62" t="b">
        <x:v>1</x:v>
      </x:c>
      <x:c r="R1748" s="28" t="n">
        <x:v>0</x:v>
      </x:c>
      <x:c r="S1748" s="28" t="str">
        <x:v>1f6df8ddb6730f1c</x:v>
      </x:c>
    </x:row>
    <x:row r="1749" ht="21" customHeight="1">
      <x:c r="A1749" s="60" t="n">
        <x:v>0.66</x:v>
      </x:c>
      <x:c r="B1749" s="28" t="str">
        <x:v>level_low</x:v>
      </x:c>
      <x:c r="C1749" s="60" t="n">
        <x:v>0.95</x:v>
      </x:c>
      <x:c r="D1749" s="60" t="n">
        <x:v>0.9219114501462435</x:v>
      </x:c>
      <x:c r="E1749" s="62" t="b">
        <x:v>0</x:v>
      </x:c>
      <x:c r="F1749" s="62" t="b">
        <x:v>0</x:v>
      </x:c>
      <x:c r="G1749" s="85" t="n">
        <x:v>7210467.195529459</x:v>
      </x:c>
      <x:c r="H1749" s="85" t="n">
        <x:v>63220844.276063636</x:v>
      </x:c>
      <x:c r="I1749" s="85" t="n">
        <x:v>48767024.691589035</x:v>
      </x:c>
      <x:c r="J1749" s="85" t="n">
        <x:v>71999999.99999999</x:v>
      </x:c>
      <x:c r="K1749" s="85" t="n">
        <x:v>0</x:v>
      </x:c>
      <x:c r="L1749" s="28" t="n">
        <x:v>45</x:v>
      </x:c>
      <x:c r="M1749" s="28" t="n">
        <x:v>36</x:v>
      </x:c>
      <x:c r="N1749" s="28" t="n">
        <x:v>1.862645149230957e-9</x:v>
      </x:c>
      <x:c r="O1749" s="28" t="n">
        <x:v>1.4901161193847656e-8</x:v>
      </x:c>
      <x:c r="P1749" s="28" t="n">
        <x:v>0</x:v>
      </x:c>
      <x:c r="Q1749" s="62" t="b">
        <x:v>1</x:v>
      </x:c>
      <x:c r="R1749" s="28" t="n">
        <x:v>8426564.956126928</x:v>
      </x:c>
      <x:c r="S1749" s="28" t="str">
        <x:v>ac68128e989474eb</x:v>
      </x:c>
    </x:row>
    <x:row r="1750" ht="21" customHeight="1">
      <x:c r="A1750" s="60" t="n">
        <x:v>0.66</x:v>
      </x:c>
      <x:c r="B1750" s="28" t="str">
        <x:v>level_low</x:v>
      </x:c>
      <x:c r="C1750" s="60" t="n">
        <x:v>1</x:v>
      </x:c>
      <x:c r="D1750" s="60" t="n">
        <x:v>0.9350574964161632</x:v>
      </x:c>
      <x:c r="E1750" s="62" t="b">
        <x:v>0</x:v>
      </x:c>
      <x:c r="F1750" s="62" t="b">
        <x:v>0</x:v>
      </x:c>
      <x:c r="G1750" s="85" t="n">
        <x:v>7859618.635607184</x:v>
      </x:c>
      <x:c r="H1750" s="85" t="n">
        <x:v>66135528.09084588</x:v>
      </x:c>
      <x:c r="I1750" s="85" t="n">
        <x:v>48784540.88602739</x:v>
      </x:c>
      <x:c r="J1750" s="85" t="n">
        <x:v>71999999.99999999</x:v>
      </x:c>
      <x:c r="K1750" s="85" t="n">
        <x:v>0</x:v>
      </x:c>
      <x:c r="L1750" s="28" t="n">
        <x:v>45</x:v>
      </x:c>
      <x:c r="M1750" s="28" t="n">
        <x:v>36</x:v>
      </x:c>
      <x:c r="N1750" s="28" t="n">
        <x:v>1.862645149230957e-9</x:v>
      </x:c>
      <x:c r="O1750" s="28" t="n">
        <x:v>7.450580596923828e-9</x:v>
      </x:c>
      <x:c r="P1750" s="28" t="n">
        <x:v>0</x:v>
      </x:c>
      <x:c r="Q1750" s="62" t="b">
        <x:v>1</x:v>
      </x:c>
      <x:c r="R1750" s="28" t="n">
        <x:v>19482751.075151026</x:v>
      </x:c>
      <x:c r="S1750" s="28" t="str">
        <x:v>42080ac4642f5772</x:v>
      </x:c>
    </x:row>
    <x:row r="1751" ht="21" customHeight="1">
      <x:c r="A1751" s="60" t="n">
        <x:v>0.66</x:v>
      </x:c>
      <x:c r="B1751" s="28" t="str">
        <x:v>level_high</x:v>
      </x:c>
      <x:c r="C1751" s="60" t="n">
        <x:v>0</x:v>
      </x:c>
      <x:c r="D1751" s="60" t="n">
        <x:v>0</x:v>
      </x:c>
      <x:c r="E1751" s="62" t="b">
        <x:v>1</x:v>
      </x:c>
      <x:c r="F1751" s="62" t="b">
        <x:v>1</x:v>
      </x:c>
      <x:c r="G1751" s="85" t="n">
        <x:v>0</x:v>
      </x:c>
      <x:c r="H1751" s="85" t="n">
        <x:v>0</x:v>
      </x:c>
      <x:c r="I1751" s="85" t="n">
        <x:v>0</x:v>
      </x:c>
      <x:c r="J1751" s="85" t="n">
        <x:v>0</x:v>
      </x:c>
      <x:c r="K1751" s="85" t="n">
        <x:v>39029381.367808215</x:v>
      </x:c>
      <x:c r="L1751" s="28" t="n">
        <x:v>0</x:v>
      </x:c>
      <x:c r="M1751" s="28" t="n">
        <x:v>0</x:v>
      </x:c>
      <x:c r="N1751" s="28" t="n">
        <x:v>3.725290298461914e-9</x:v>
      </x:c>
      <x:c r="O1751" s="28" t="n">
        <x:v>0</x:v>
      </x:c>
      <x:c r="P1751" s="28" t="n">
        <x:v>0</x:v>
      </x:c>
      <x:c r="Q1751" s="62" t="b">
        <x:v>1</x:v>
      </x:c>
      <x:c r="R1751" s="28" t="n">
        <x:v>0</x:v>
      </x:c>
      <x:c r="S1751" s="28" t="str">
        <x:v>a824b50cdfaa5011</x:v>
      </x:c>
    </x:row>
    <x:row r="1752" ht="21" customHeight="1">
      <x:c r="A1752" s="60" t="n">
        <x:v>0.66</x:v>
      </x:c>
      <x:c r="B1752" s="28" t="str">
        <x:v>level_high</x:v>
      </x:c>
      <x:c r="C1752" s="60" t="n">
        <x:v>0.05</x:v>
      </x:c>
      <x:c r="D1752" s="60" t="n">
        <x:v>0.05</x:v>
      </x:c>
      <x:c r="E1752" s="62" t="b">
        <x:v>1</x:v>
      </x:c>
      <x:c r="F1752" s="62" t="b">
        <x:v>1</x:v>
      </x:c>
      <x:c r="G1752" s="85" t="n">
        <x:v>0</x:v>
      </x:c>
      <x:c r="H1752" s="85" t="n">
        <x:v>0</x:v>
      </x:c>
      <x:c r="I1752" s="85" t="n">
        <x:v>0</x:v>
      </x:c>
      <x:c r="J1752" s="85" t="n">
        <x:v>0</x:v>
      </x:c>
      <x:c r="K1752" s="85" t="n">
        <x:v>25700832.35107961</x:v>
      </x:c>
      <x:c r="L1752" s="28" t="n">
        <x:v>0</x:v>
      </x:c>
      <x:c r="M1752" s="28" t="n">
        <x:v>0</x:v>
      </x:c>
      <x:c r="N1752" s="28" t="n">
        <x:v>3.725290298461914e-9</x:v>
      </x:c>
      <x:c r="O1752" s="28" t="n">
        <x:v>2.9802322387695312e-8</x:v>
      </x:c>
      <x:c r="P1752" s="28" t="n">
        <x:v>0</x:v>
      </x:c>
      <x:c r="Q1752" s="62" t="b">
        <x:v>1</x:v>
      </x:c>
      <x:c r="R1752" s="28" t="n">
        <x:v>0</x:v>
      </x:c>
      <x:c r="S1752" s="28" t="str">
        <x:v>0872b493520503ac</x:v>
      </x:c>
    </x:row>
    <x:row r="1753" ht="21" customHeight="1">
      <x:c r="A1753" s="60" t="n">
        <x:v>0.66</x:v>
      </x:c>
      <x:c r="B1753" s="28" t="str">
        <x:v>level_high</x:v>
      </x:c>
      <x:c r="C1753" s="60" t="n">
        <x:v>0.1</x:v>
      </x:c>
      <x:c r="D1753" s="60" t="n">
        <x:v>0.1</x:v>
      </x:c>
      <x:c r="E1753" s="62" t="b">
        <x:v>1</x:v>
      </x:c>
      <x:c r="F1753" s="62" t="b">
        <x:v>1</x:v>
      </x:c>
      <x:c r="G1753" s="85" t="n">
        <x:v>0</x:v>
      </x:c>
      <x:c r="H1753" s="85" t="n">
        <x:v>0</x:v>
      </x:c>
      <x:c r="I1753" s="85" t="n">
        <x:v>0</x:v>
      </x:c>
      <x:c r="J1753" s="85" t="n">
        <x:v>0</x:v>
      </x:c>
      <x:c r="K1753" s="85" t="n">
        <x:v>12212711.82506831</x:v>
      </x:c>
      <x:c r="L1753" s="28" t="n">
        <x:v>0</x:v>
      </x:c>
      <x:c r="M1753" s="28" t="n">
        <x:v>0</x:v>
      </x:c>
      <x:c r="N1753" s="28" t="n">
        <x:v>3.725290298461914e-9</x:v>
      </x:c>
      <x:c r="O1753" s="28" t="n">
        <x:v>5.960464477539063e-8</x:v>
      </x:c>
      <x:c r="P1753" s="28" t="n">
        <x:v>0</x:v>
      </x:c>
      <x:c r="Q1753" s="62" t="b">
        <x:v>1</x:v>
      </x:c>
      <x:c r="R1753" s="28" t="n">
        <x:v>0</x:v>
      </x:c>
      <x:c r="S1753" s="28" t="str">
        <x:v>3bda1cd8d44e1597</x:v>
      </x:c>
    </x:row>
    <x:row r="1754" ht="21" customHeight="1">
      <x:c r="A1754" s="60" t="n">
        <x:v>0.66</x:v>
      </x:c>
      <x:c r="B1754" s="28" t="str">
        <x:v>level_high</x:v>
      </x:c>
      <x:c r="C1754" s="60" t="n">
        <x:v>0.15</x:v>
      </x:c>
      <x:c r="D1754" s="60" t="n">
        <x:v>0.15</x:v>
      </x:c>
      <x:c r="E1754" s="62" t="b">
        <x:v>1</x:v>
      </x:c>
      <x:c r="F1754" s="62" t="b">
        <x:v>1</x:v>
      </x:c>
      <x:c r="G1754" s="85" t="n">
        <x:v>0</x:v>
      </x:c>
      <x:c r="H1754" s="85" t="n">
        <x:v>0</x:v>
      </x:c>
      <x:c r="I1754" s="85" t="n">
        <x:v>3113174.7303525284</x:v>
      </x:c>
      <x:c r="J1754" s="85" t="n">
        <x:v>0</x:v>
      </x:c>
      <x:c r="K1754" s="85" t="n">
        <x:v>2436870.2106682034</x:v>
      </x:c>
      <x:c r="L1754" s="28" t="n">
        <x:v>0</x:v>
      </x:c>
      <x:c r="M1754" s="28" t="n">
        <x:v>0</x:v>
      </x:c>
      <x:c r="N1754" s="28" t="n">
        <x:v>3.725290298461914e-9</x:v>
      </x:c>
      <x:c r="O1754" s="28" t="n">
        <x:v>2.9802322387695312e-8</x:v>
      </x:c>
      <x:c r="P1754" s="28" t="n">
        <x:v>0</x:v>
      </x:c>
      <x:c r="Q1754" s="62" t="b">
        <x:v>1</x:v>
      </x:c>
      <x:c r="R1754" s="28" t="n">
        <x:v>0</x:v>
      </x:c>
      <x:c r="S1754" s="28" t="str">
        <x:v>9b5008ec7651c13a</x:v>
      </x:c>
    </x:row>
    <x:row r="1755" ht="21" customHeight="1">
      <x:c r="A1755" s="60" t="n">
        <x:v>0.66</x:v>
      </x:c>
      <x:c r="B1755" s="28" t="str">
        <x:v>level_high</x:v>
      </x:c>
      <x:c r="C1755" s="60" t="n">
        <x:v>0.2</x:v>
      </x:c>
      <x:c r="D1755" s="60" t="n">
        <x:v>0.2</x:v>
      </x:c>
      <x:c r="E1755" s="62" t="b">
        <x:v>1</x:v>
      </x:c>
      <x:c r="F1755" s="62" t="b">
        <x:v>1</x:v>
      </x:c>
      <x:c r="G1755" s="85" t="n">
        <x:v>0</x:v>
      </x:c>
      <x:c r="H1755" s="85" t="n">
        <x:v>0</x:v>
      </x:c>
      <x:c r="I1755" s="85" t="n">
        <x:v>13236502.277116042</x:v>
      </x:c>
      <x:c r="J1755" s="85" t="n">
        <x:v>6323003.272534203</x:v>
      </x:c>
      <x:c r="K1755" s="85" t="n">
        <x:v>1759435.2559035667</x:v>
      </x:c>
      <x:c r="L1755" s="28" t="n">
        <x:v>0</x:v>
      </x:c>
      <x:c r="M1755" s="28" t="n">
        <x:v>0</x:v>
      </x:c>
      <x:c r="N1755" s="28" t="n">
        <x:v>3.725290298461914e-9</x:v>
      </x:c>
      <x:c r="O1755" s="28" t="n">
        <x:v>2.9802322387695312e-8</x:v>
      </x:c>
      <x:c r="P1755" s="28" t="n">
        <x:v>0</x:v>
      </x:c>
      <x:c r="Q1755" s="62" t="b">
        <x:v>1</x:v>
      </x:c>
      <x:c r="R1755" s="28" t="n">
        <x:v>0</x:v>
      </x:c>
      <x:c r="S1755" s="28" t="str">
        <x:v>f9add68a0bfb42a7</x:v>
      </x:c>
    </x:row>
    <x:row r="1756" ht="21" customHeight="1">
      <x:c r="A1756" s="60" t="n">
        <x:v>0.66</x:v>
      </x:c>
      <x:c r="B1756" s="28" t="str">
        <x:v>level_high</x:v>
      </x:c>
      <x:c r="C1756" s="60" t="n">
        <x:v>0.25</x:v>
      </x:c>
      <x:c r="D1756" s="60" t="n">
        <x:v>0.25</x:v>
      </x:c>
      <x:c r="E1756" s="62" t="b">
        <x:v>1</x:v>
      </x:c>
      <x:c r="F1756" s="62" t="b">
        <x:v>1</x:v>
      </x:c>
      <x:c r="G1756" s="85" t="n">
        <x:v>0</x:v>
      </x:c>
      <x:c r="H1756" s="85" t="n">
        <x:v>0</x:v>
      </x:c>
      <x:c r="I1756" s="85" t="n">
        <x:v>22044497.067801625</x:v>
      </x:c>
      <x:c r="J1756" s="85" t="n">
        <x:v>15403754.090667734</x:v>
      </x:c>
      <x:c r="K1756" s="85" t="n">
        <x:v>1286863.8380027432</x:v>
      </x:c>
      <x:c r="L1756" s="28" t="n">
        <x:v>0</x:v>
      </x:c>
      <x:c r="M1756" s="28" t="n">
        <x:v>0</x:v>
      </x:c>
      <x:c r="N1756" s="28" t="n">
        <x:v>3.725290298461914e-9</x:v>
      </x:c>
      <x:c r="O1756" s="28" t="n">
        <x:v>2.9802322387695312e-8</x:v>
      </x:c>
      <x:c r="P1756" s="28" t="n">
        <x:v>0</x:v>
      </x:c>
      <x:c r="Q1756" s="62" t="b">
        <x:v>1</x:v>
      </x:c>
      <x:c r="R1756" s="28" t="n">
        <x:v>0</x:v>
      </x:c>
      <x:c r="S1756" s="28" t="str">
        <x:v>6b13e90b8d0cd655</x:v>
      </x:c>
    </x:row>
    <x:row r="1757" ht="21" customHeight="1">
      <x:c r="A1757" s="60" t="n">
        <x:v>0.66</x:v>
      </x:c>
      <x:c r="B1757" s="28" t="str">
        <x:v>level_high</x:v>
      </x:c>
      <x:c r="C1757" s="60" t="n">
        <x:v>0.3</x:v>
      </x:c>
      <x:c r="D1757" s="60" t="n">
        <x:v>0.3</x:v>
      </x:c>
      <x:c r="E1757" s="62" t="b">
        <x:v>1</x:v>
      </x:c>
      <x:c r="F1757" s="62" t="b">
        <x:v>1</x:v>
      </x:c>
      <x:c r="G1757" s="85" t="n">
        <x:v>0</x:v>
      </x:c>
      <x:c r="H1757" s="85" t="n">
        <x:v>0</x:v>
      </x:c>
      <x:c r="I1757" s="85" t="n">
        <x:v>30984279.12091804</x:v>
      </x:c>
      <x:c r="J1757" s="85" t="n">
        <x:v>24484504.908801176</x:v>
      </x:c>
      <x:c r="K1757" s="85" t="n">
        <x:v>989720.0893287598</x:v>
      </x:c>
      <x:c r="L1757" s="28" t="n">
        <x:v>0</x:v>
      </x:c>
      <x:c r="M1757" s="28" t="n">
        <x:v>0</x:v>
      </x:c>
      <x:c r="N1757" s="28" t="n">
        <x:v>1.862645149230957e-9</x:v>
      </x:c>
      <x:c r="O1757" s="28" t="n">
        <x:v>7.450580596923828e-9</x:v>
      </x:c>
      <x:c r="P1757" s="28" t="n">
        <x:v>0</x:v>
      </x:c>
      <x:c r="Q1757" s="62" t="b">
        <x:v>1</x:v>
      </x:c>
      <x:c r="R1757" s="28" t="n">
        <x:v>0</x:v>
      </x:c>
      <x:c r="S1757" s="28" t="str">
        <x:v>76966b1922354308</x:v>
      </x:c>
    </x:row>
    <x:row r="1758" ht="21" customHeight="1">
      <x:c r="A1758" s="60" t="n">
        <x:v>0.66</x:v>
      </x:c>
      <x:c r="B1758" s="28" t="str">
        <x:v>level_high</x:v>
      </x:c>
      <x:c r="C1758" s="60" t="n">
        <x:v>0.35</x:v>
      </x:c>
      <x:c r="D1758" s="60" t="n">
        <x:v>0.35</x:v>
      </x:c>
      <x:c r="E1758" s="62" t="b">
        <x:v>1</x:v>
      </x:c>
      <x:c r="F1758" s="62" t="b">
        <x:v>1</x:v>
      </x:c>
      <x:c r="G1758" s="85" t="n">
        <x:v>0</x:v>
      </x:c>
      <x:c r="H1758" s="85" t="n">
        <x:v>0</x:v>
      </x:c>
      <x:c r="I1758" s="85" t="n">
        <x:v>40068255.412418105</x:v>
      </x:c>
      <x:c r="J1758" s="85" t="n">
        <x:v>33565255.72693473</x:v>
      </x:c>
      <x:c r="K1758" s="85" t="n">
        <x:v>829567.5208835591</x:v>
      </x:c>
      <x:c r="L1758" s="28" t="n">
        <x:v>0</x:v>
      </x:c>
      <x:c r="M1758" s="28" t="n">
        <x:v>0</x:v>
      </x:c>
      <x:c r="N1758" s="28" t="n">
        <x:v>1.862645149230957e-9</x:v>
      </x:c>
      <x:c r="O1758" s="28" t="n">
        <x:v>2.9802322387695312e-8</x:v>
      </x:c>
      <x:c r="P1758" s="28" t="n">
        <x:v>0</x:v>
      </x:c>
      <x:c r="Q1758" s="62" t="b">
        <x:v>1</x:v>
      </x:c>
      <x:c r="R1758" s="28" t="n">
        <x:v>0</x:v>
      </x:c>
      <x:c r="S1758" s="28" t="str">
        <x:v>71c0798ae5ef03a1</x:v>
      </x:c>
    </x:row>
    <x:row r="1759" ht="21" customHeight="1">
      <x:c r="A1759" s="60" t="n">
        <x:v>0.66</x:v>
      </x:c>
      <x:c r="B1759" s="28" t="str">
        <x:v>level_high</x:v>
      </x:c>
      <x:c r="C1759" s="60" t="n">
        <x:v>0.4</x:v>
      </x:c>
      <x:c r="D1759" s="60" t="n">
        <x:v>0.4</x:v>
      </x:c>
      <x:c r="E1759" s="62" t="b">
        <x:v>1</x:v>
      </x:c>
      <x:c r="F1759" s="62" t="b">
        <x:v>1</x:v>
      </x:c>
      <x:c r="G1759" s="85" t="n">
        <x:v>0</x:v>
      </x:c>
      <x:c r="H1759" s="85" t="n">
        <x:v>0</x:v>
      </x:c>
      <x:c r="I1759" s="85" t="n">
        <x:v>49895424.99185951</x:v>
      </x:c>
      <x:c r="J1759" s="85" t="n">
        <x:v>39742947.832146935</x:v>
      </x:c>
      <x:c r="K1759" s="85" t="n">
        <x:v>669414.9524383547</x:v>
      </x:c>
      <x:c r="L1759" s="28" t="n">
        <x:v>4</x:v>
      </x:c>
      <x:c r="M1759" s="28" t="n">
        <x:v>0</x:v>
      </x:c>
      <x:c r="N1759" s="28" t="n">
        <x:v>1.862645149230957e-9</x:v>
      </x:c>
      <x:c r="O1759" s="28" t="n">
        <x:v>2.9802322387695312e-8</x:v>
      </x:c>
      <x:c r="P1759" s="28" t="n">
        <x:v>0</x:v>
      </x:c>
      <x:c r="Q1759" s="62" t="b">
        <x:v>1</x:v>
      </x:c>
      <x:c r="R1759" s="28" t="n">
        <x:v>0</x:v>
      </x:c>
      <x:c r="S1759" s="28" t="str">
        <x:v>bb7f493e6a9d3f2d</x:v>
      </x:c>
    </x:row>
    <x:row r="1760" ht="21" customHeight="1">
      <x:c r="A1760" s="60" t="n">
        <x:v>0.66</x:v>
      </x:c>
      <x:c r="B1760" s="28" t="str">
        <x:v>level_high</x:v>
      </x:c>
      <x:c r="C1760" s="60" t="n">
        <x:v>0.45</x:v>
      </x:c>
      <x:c r="D1760" s="60" t="n">
        <x:v>0.45</x:v>
      </x:c>
      <x:c r="E1760" s="62" t="b">
        <x:v>1</x:v>
      </x:c>
      <x:c r="F1760" s="62" t="b">
        <x:v>1</x:v>
      </x:c>
      <x:c r="G1760" s="85" t="n">
        <x:v>0</x:v>
      </x:c>
      <x:c r="H1760" s="85" t="n">
        <x:v>0</x:v>
      </x:c>
      <x:c r="I1760" s="85" t="n">
        <x:v>59724456.77745199</x:v>
      </x:c>
      <x:c r="J1760" s="85" t="n">
        <x:v>44116560.10196131</x:v>
      </x:c>
      <x:c r="K1760" s="85" t="n">
        <x:v>537277.5988972544</x:v>
      </x:c>
      <x:c r="L1760" s="28" t="n">
        <x:v>9</x:v>
      </x:c>
      <x:c r="M1760" s="28" t="n">
        <x:v>0</x:v>
      </x:c>
      <x:c r="N1760" s="28" t="n">
        <x:v>1.862645149230957e-9</x:v>
      </x:c>
      <x:c r="O1760" s="28" t="n">
        <x:v>2.9802322387695312e-8</x:v>
      </x:c>
      <x:c r="P1760" s="28" t="n">
        <x:v>0</x:v>
      </x:c>
      <x:c r="Q1760" s="62" t="b">
        <x:v>1</x:v>
      </x:c>
      <x:c r="R1760" s="28" t="n">
        <x:v>0</x:v>
      </x:c>
      <x:c r="S1760" s="28" t="str">
        <x:v>0bdbc47c61633d62</x:v>
      </x:c>
    </x:row>
    <x:row r="1761" ht="21" customHeight="1">
      <x:c r="A1761" s="60" t="n">
        <x:v>0.66</x:v>
      </x:c>
      <x:c r="B1761" s="28" t="str">
        <x:v>level_high</x:v>
      </x:c>
      <x:c r="C1761" s="60" t="n">
        <x:v>0.5</x:v>
      </x:c>
      <x:c r="D1761" s="60" t="n">
        <x:v>0.5</x:v>
      </x:c>
      <x:c r="E1761" s="62" t="b">
        <x:v>1</x:v>
      </x:c>
      <x:c r="F1761" s="62" t="b">
        <x:v>1</x:v>
      </x:c>
      <x:c r="G1761" s="85" t="n">
        <x:v>0</x:v>
      </x:c>
      <x:c r="H1761" s="85" t="n">
        <x:v>0</x:v>
      </x:c>
      <x:c r="I1761" s="85" t="n">
        <x:v>68921222.2700058</x:v>
      </x:c>
      <x:c r="J1761" s="85" t="n">
        <x:v>51683221.46293625</x:v>
      </x:c>
      <x:c r="K1761" s="85" t="n">
        <x:v>483706.5780137038</x:v>
      </x:c>
      <x:c r="L1761" s="28" t="n">
        <x:v>12</x:v>
      </x:c>
      <x:c r="M1761" s="28" t="n">
        <x:v>1</x:v>
      </x:c>
      <x:c r="N1761" s="28" t="n">
        <x:v>3.725290298461914e-9</x:v>
      </x:c>
      <x:c r="O1761" s="28" t="n">
        <x:v>1.4901161193847656e-8</x:v>
      </x:c>
      <x:c r="P1761" s="28" t="n">
        <x:v>0</x:v>
      </x:c>
      <x:c r="Q1761" s="62" t="b">
        <x:v>1</x:v>
      </x:c>
      <x:c r="R1761" s="28" t="n">
        <x:v>0</x:v>
      </x:c>
      <x:c r="S1761" s="28" t="str">
        <x:v>d3c244b0f7af6862</x:v>
      </x:c>
    </x:row>
    <x:row r="1762" ht="21" customHeight="1">
      <x:c r="A1762" s="60" t="n">
        <x:v>0.66</x:v>
      </x:c>
      <x:c r="B1762" s="28" t="str">
        <x:v>level_high</x:v>
      </x:c>
      <x:c r="C1762" s="60" t="n">
        <x:v>0.55</x:v>
      </x:c>
      <x:c r="D1762" s="60" t="n">
        <x:v>0.55</x:v>
      </x:c>
      <x:c r="E1762" s="62" t="b">
        <x:v>1</x:v>
      </x:c>
      <x:c r="F1762" s="62" t="b">
        <x:v>1</x:v>
      </x:c>
      <x:c r="G1762" s="85" t="n">
        <x:v>0</x:v>
      </x:c>
      <x:c r="H1762" s="85" t="n">
        <x:v>0</x:v>
      </x:c>
      <x:c r="I1762" s="85" t="n">
        <x:v>77866711.95440255</x:v>
      </x:c>
      <x:c r="J1762" s="85" t="n">
        <x:v>61164921.30679395</x:v>
      </x:c>
      <x:c r="K1762" s="85" t="n">
        <x:v>435347.09184246743</x:v>
      </x:c>
      <x:c r="L1762" s="28" t="n">
        <x:v>15</x:v>
      </x:c>
      <x:c r="M1762" s="28" t="n">
        <x:v>8</x:v>
      </x:c>
      <x:c r="N1762" s="28" t="n">
        <x:v>1.862645149230957e-9</x:v>
      </x:c>
      <x:c r="O1762" s="28" t="n">
        <x:v>2.9802322387695312e-8</x:v>
      </x:c>
      <x:c r="P1762" s="28" t="n">
        <x:v>0</x:v>
      </x:c>
      <x:c r="Q1762" s="62" t="b">
        <x:v>1</x:v>
      </x:c>
      <x:c r="R1762" s="28" t="n">
        <x:v>0</x:v>
      </x:c>
      <x:c r="S1762" s="28" t="str">
        <x:v>ad7b2493ba81f98d</x:v>
      </x:c>
    </x:row>
    <x:row r="1763" ht="21" customHeight="1">
      <x:c r="A1763" s="60" t="n">
        <x:v>0.66</x:v>
      </x:c>
      <x:c r="B1763" s="28" t="str">
        <x:v>level_high</x:v>
      </x:c>
      <x:c r="C1763" s="60" t="n">
        <x:v>0.6</x:v>
      </x:c>
      <x:c r="D1763" s="60" t="n">
        <x:v>0.6</x:v>
      </x:c>
      <x:c r="E1763" s="62" t="b">
        <x:v>1</x:v>
      </x:c>
      <x:c r="F1763" s="62" t="b">
        <x:v>1</x:v>
      </x:c>
      <x:c r="G1763" s="85" t="n">
        <x:v>0</x:v>
      </x:c>
      <x:c r="H1763" s="85" t="n">
        <x:v>0</x:v>
      </x:c>
      <x:c r="I1763" s="85" t="n">
        <x:v>86361379.74946034</x:v>
      </x:c>
      <x:c r="J1763" s="85" t="n">
        <x:v>71518981.30182132</x:v>
      </x:c>
      <x:c r="K1763" s="85" t="n">
        <x:v>386987.6056712338</x:v>
      </x:c>
      <x:c r="L1763" s="28" t="n">
        <x:v>23</x:v>
      </x:c>
      <x:c r="M1763" s="28" t="n">
        <x:v>17</x:v>
      </x:c>
      <x:c r="N1763" s="28" t="n">
        <x:v>1.862645149230957e-9</x:v>
      </x:c>
      <x:c r="O1763" s="28" t="n">
        <x:v>2.9802322387695312e-8</x:v>
      </x:c>
      <x:c r="P1763" s="28" t="n">
        <x:v>0</x:v>
      </x:c>
      <x:c r="Q1763" s="62" t="b">
        <x:v>1</x:v>
      </x:c>
      <x:c r="R1763" s="28" t="n">
        <x:v>0</x:v>
      </x:c>
      <x:c r="S1763" s="28" t="str">
        <x:v>6e0c1f3fe629818f</x:v>
      </x:c>
    </x:row>
    <x:row r="1764" ht="21" customHeight="1">
      <x:c r="A1764" s="60" t="n">
        <x:v>0.66</x:v>
      </x:c>
      <x:c r="B1764" s="28" t="str">
        <x:v>level_high</x:v>
      </x:c>
      <x:c r="C1764" s="60" t="n">
        <x:v>0.65</x:v>
      </x:c>
      <x:c r="D1764" s="60" t="n">
        <x:v>0.65</x:v>
      </x:c>
      <x:c r="E1764" s="62" t="b">
        <x:v>1</x:v>
      </x:c>
      <x:c r="F1764" s="62" t="b">
        <x:v>0</x:v>
      </x:c>
      <x:c r="G1764" s="85" t="n">
        <x:v>3636999.1012454834</x:v>
      </x:c>
      <x:c r="H1764" s="85" t="n">
        <x:v>12314665.044074256</x:v>
      </x:c>
      <x:c r="I1764" s="85" t="n">
        <x:v>88289443.96151482</x:v>
      </x:c>
      <x:c r="J1764" s="85" t="n">
        <x:v>71999999.99999999</x:v>
      </x:c>
      <x:c r="K1764" s="85" t="n">
        <x:v>338628.11950000667</x:v>
      </x:c>
      <x:c r="L1764" s="28" t="n">
        <x:v>42</x:v>
      </x:c>
      <x:c r="M1764" s="28" t="n">
        <x:v>35</x:v>
      </x:c>
      <x:c r="N1764" s="28" t="n">
        <x:v>1.862645149230957e-9</x:v>
      </x:c>
      <x:c r="O1764" s="28" t="n">
        <x:v>2.9802322387695312e-8</x:v>
      </x:c>
      <x:c r="P1764" s="28" t="n">
        <x:v>0</x:v>
      </x:c>
      <x:c r="Q1764" s="62" t="b">
        <x:v>1</x:v>
      </x:c>
      <x:c r="R1764" s="28" t="n">
        <x:v>0</x:v>
      </x:c>
      <x:c r="S1764" s="28" t="str">
        <x:v>ab33e0e418a6cb35</x:v>
      </x:c>
    </x:row>
    <x:row r="1765" ht="21" customHeight="1">
      <x:c r="A1765" s="60" t="n">
        <x:v>0.66</x:v>
      </x:c>
      <x:c r="B1765" s="28" t="str">
        <x:v>level_high</x:v>
      </x:c>
      <x:c r="C1765" s="60" t="n">
        <x:v>0.7</x:v>
      </x:c>
      <x:c r="D1765" s="60" t="n">
        <x:v>0.7</x:v>
      </x:c>
      <x:c r="E1765" s="62" t="b">
        <x:v>1</x:v>
      </x:c>
      <x:c r="F1765" s="62" t="b">
        <x:v>0</x:v>
      </x:c>
      <x:c r="G1765" s="85" t="n">
        <x:v>7429663.014292021</x:v>
      </x:c>
      <x:c r="H1765" s="85" t="n">
        <x:v>24370342.437985945</x:v>
      </x:c>
      <x:c r="I1765" s="85" t="n">
        <x:v>90022192.38135616</x:v>
      </x:c>
      <x:c r="J1765" s="85" t="n">
        <x:v>71999999.99999999</x:v>
      </x:c>
      <x:c r="K1765" s="85" t="n">
        <x:v>290268.63332876656</x:v>
      </x:c>
      <x:c r="L1765" s="28" t="n">
        <x:v>43</x:v>
      </x:c>
      <x:c r="M1765" s="28" t="n">
        <x:v>36</x:v>
      </x:c>
      <x:c r="N1765" s="28" t="n">
        <x:v>1.862645149230957e-9</x:v>
      </x:c>
      <x:c r="O1765" s="28" t="n">
        <x:v>2.9802322387695312e-8</x:v>
      </x:c>
      <x:c r="P1765" s="28" t="n">
        <x:v>0</x:v>
      </x:c>
      <x:c r="Q1765" s="62" t="b">
        <x:v>1</x:v>
      </x:c>
      <x:c r="R1765" s="28" t="n">
        <x:v>0</x:v>
      </x:c>
      <x:c r="S1765" s="28" t="str">
        <x:v>bfcb17fe950d1885</x:v>
      </x:c>
    </x:row>
    <x:row r="1766" ht="21" customHeight="1">
      <x:c r="A1766" s="60" t="n">
        <x:v>0.66</x:v>
      </x:c>
      <x:c r="B1766" s="28" t="str">
        <x:v>level_high</x:v>
      </x:c>
      <x:c r="C1766" s="60" t="n">
        <x:v>0.75</x:v>
      </x:c>
      <x:c r="D1766" s="60" t="n">
        <x:v>0.75</x:v>
      </x:c>
      <x:c r="E1766" s="62" t="b">
        <x:v>1</x:v>
      </x:c>
      <x:c r="F1766" s="62" t="b">
        <x:v>0</x:v>
      </x:c>
      <x:c r="G1766" s="85" t="n">
        <x:v>12526703.460430508</x:v>
      </x:c>
      <x:c r="H1766" s="85" t="n">
        <x:v>38237493.373561196</x:v>
      </x:c>
      <x:c r="I1766" s="85" t="n">
        <x:v>90214281.33325343</x:v>
      </x:c>
      <x:c r="J1766" s="85" t="n">
        <x:v>71999999.99999999</x:v>
      </x:c>
      <x:c r="K1766" s="85" t="n">
        <x:v>241909.147157532</x:v>
      </x:c>
      <x:c r="L1766" s="28" t="n">
        <x:v>43</x:v>
      </x:c>
      <x:c r="M1766" s="28" t="n">
        <x:v>38</x:v>
      </x:c>
      <x:c r="N1766" s="28" t="n">
        <x:v>1.862645149230957e-9</x:v>
      </x:c>
      <x:c r="O1766" s="28" t="n">
        <x:v>2.9802322387695312e-8</x:v>
      </x:c>
      <x:c r="P1766" s="28" t="n">
        <x:v>0</x:v>
      </x:c>
      <x:c r="Q1766" s="62" t="b">
        <x:v>1</x:v>
      </x:c>
      <x:c r="R1766" s="28" t="n">
        <x:v>0</x:v>
      </x:c>
      <x:c r="S1766" s="28" t="str">
        <x:v>de9ad93b97404e64</x:v>
      </x:c>
    </x:row>
    <x:row r="1767" ht="21" customHeight="1">
      <x:c r="A1767" s="60" t="n">
        <x:v>0.66</x:v>
      </x:c>
      <x:c r="B1767" s="28" t="str">
        <x:v>level_high</x:v>
      </x:c>
      <x:c r="C1767" s="60" t="n">
        <x:v>0.8</x:v>
      </x:c>
      <x:c r="D1767" s="60" t="n">
        <x:v>0.8</x:v>
      </x:c>
      <x:c r="E1767" s="62" t="b">
        <x:v>1</x:v>
      </x:c>
      <x:c r="F1767" s="62" t="b">
        <x:v>0</x:v>
      </x:c>
      <x:c r="G1767" s="85" t="n">
        <x:v>16677771.670835244</x:v>
      </x:c>
      <x:c r="H1767" s="85" t="n">
        <x:v>49882126.10302762</x:v>
      </x:c>
      <x:c r="I1767" s="85" t="n">
        <x:v>91749245.6670685</x:v>
      </x:c>
      <x:c r="J1767" s="85" t="n">
        <x:v>71999999.99999999</x:v>
      </x:c>
      <x:c r="K1767" s="85" t="n">
        <x:v>193549.6609863049</x:v>
      </x:c>
      <x:c r="L1767" s="28" t="n">
        <x:v>44</x:v>
      </x:c>
      <x:c r="M1767" s="28" t="n">
        <x:v>38</x:v>
      </x:c>
      <x:c r="N1767" s="28" t="n">
        <x:v>1.862645149230957e-9</x:v>
      </x:c>
      <x:c r="O1767" s="28" t="n">
        <x:v>2.9802322387695312e-8</x:v>
      </x:c>
      <x:c r="P1767" s="28" t="n">
        <x:v>0</x:v>
      </x:c>
      <x:c r="Q1767" s="62" t="b">
        <x:v>1</x:v>
      </x:c>
      <x:c r="R1767" s="28" t="n">
        <x:v>0</x:v>
      </x:c>
      <x:c r="S1767" s="28" t="str">
        <x:v>a3d71330498bcfa2</x:v>
      </x:c>
    </x:row>
    <x:row r="1768" ht="21" customHeight="1">
      <x:c r="A1768" s="60" t="n">
        <x:v>0.66</x:v>
      </x:c>
      <x:c r="B1768" s="28" t="str">
        <x:v>level_high</x:v>
      </x:c>
      <x:c r="C1768" s="60" t="n">
        <x:v>0.85</x:v>
      </x:c>
      <x:c r="D1768" s="60" t="n">
        <x:v>0.85</x:v>
      </x:c>
      <x:c r="E1768" s="62" t="b">
        <x:v>1</x:v>
      </x:c>
      <x:c r="F1768" s="62" t="b">
        <x:v>0</x:v>
      </x:c>
      <x:c r="G1768" s="85" t="n">
        <x:v>24575405.77666455</x:v>
      </x:c>
      <x:c r="H1768" s="85" t="n">
        <x:v>62072770.07143156</x:v>
      </x:c>
      <x:c r="I1768" s="85" t="n">
        <x:v>91862456.55756165</x:v>
      </x:c>
      <x:c r="J1768" s="85" t="n">
        <x:v>71999999.99999999</x:v>
      </x:c>
      <x:c r="K1768" s="85" t="n">
        <x:v>149655.02609589513</x:v>
      </x:c>
      <x:c r="L1768" s="28" t="n">
        <x:v>44</x:v>
      </x:c>
      <x:c r="M1768" s="28" t="n">
        <x:v>40</x:v>
      </x:c>
      <x:c r="N1768" s="28" t="n">
        <x:v>9.313225746154785e-10</x:v>
      </x:c>
      <x:c r="O1768" s="28" t="n">
        <x:v>2.9802322387695312e-8</x:v>
      </x:c>
      <x:c r="P1768" s="28" t="n">
        <x:v>0</x:v>
      </x:c>
      <x:c r="Q1768" s="62" t="b">
        <x:v>1</x:v>
      </x:c>
      <x:c r="R1768" s="28" t="n">
        <x:v>0</x:v>
      </x:c>
      <x:c r="S1768" s="28" t="str">
        <x:v>273d6e77767d87fa</x:v>
      </x:c>
    </x:row>
    <x:row r="1769" ht="21" customHeight="1">
      <x:c r="A1769" s="60" t="n">
        <x:v>0.66</x:v>
      </x:c>
      <x:c r="B1769" s="28" t="str">
        <x:v>level_high</x:v>
      </x:c>
      <x:c r="C1769" s="60" t="n">
        <x:v>0.9</x:v>
      </x:c>
      <x:c r="D1769" s="60" t="n">
        <x:v>0.9</x:v>
      </x:c>
      <x:c r="E1769" s="62" t="b">
        <x:v>1</x:v>
      </x:c>
      <x:c r="F1769" s="62" t="b">
        <x:v>0</x:v>
      </x:c>
      <x:c r="G1769" s="85" t="n">
        <x:v>30171273.77003124</x:v>
      </x:c>
      <x:c r="H1769" s="85" t="n">
        <x:v>68472871.22527833</x:v>
      </x:c>
      <x:c r="I1769" s="85" t="n">
        <x:v>93554540.53605479</x:v>
      </x:c>
      <x:c r="J1769" s="85" t="n">
        <x:v>71999999.99999999</x:v>
      </x:c>
      <x:c r="K1769" s="85" t="n">
        <x:v>133534.96397260393</x:v>
      </x:c>
      <x:c r="L1769" s="28" t="n">
        <x:v>45</x:v>
      </x:c>
      <x:c r="M1769" s="28" t="n">
        <x:v>40</x:v>
      </x:c>
      <x:c r="N1769" s="28" t="n">
        <x:v>3.725290298461914e-9</x:v>
      </x:c>
      <x:c r="O1769" s="28" t="n">
        <x:v>7.450580596923828e-9</x:v>
      </x:c>
      <x:c r="P1769" s="28" t="n">
        <x:v>0</x:v>
      </x:c>
      <x:c r="Q1769" s="62" t="b">
        <x:v>1</x:v>
      </x:c>
      <x:c r="R1769" s="28" t="n">
        <x:v>0</x:v>
      </x:c>
      <x:c r="S1769" s="28" t="str">
        <x:v>5234273385cfedfd</x:v>
      </x:c>
    </x:row>
    <x:row r="1770" ht="21" customHeight="1">
      <x:c r="A1770" s="60" t="n">
        <x:v>0.66</x:v>
      </x:c>
      <x:c r="B1770" s="28" t="str">
        <x:v>level_high</x:v>
      </x:c>
      <x:c r="C1770" s="60" t="n">
        <x:v>0.95</x:v>
      </x:c>
      <x:c r="D1770" s="60" t="n">
        <x:v>0.9219114501462435</x:v>
      </x:c>
      <x:c r="E1770" s="62" t="b">
        <x:v>0</x:v>
      </x:c>
      <x:c r="F1770" s="62" t="b">
        <x:v>0</x:v>
      </x:c>
      <x:c r="G1770" s="85" t="n">
        <x:v>33076209.82256497</x:v>
      </x:c>
      <x:c r="H1770" s="85" t="n">
        <x:v>74461967.17058864</x:v>
      </x:c>
      <x:c r="I1770" s="85" t="n">
        <x:v>93602652.10556164</x:v>
      </x:c>
      <x:c r="J1770" s="85" t="n">
        <x:v>71999999.99999999</x:v>
      </x:c>
      <x:c r="K1770" s="85" t="n">
        <x:v>117414.90184931832</x:v>
      </x:c>
      <x:c r="L1770" s="28" t="n">
        <x:v>45</x:v>
      </x:c>
      <x:c r="M1770" s="28" t="n">
        <x:v>40</x:v>
      </x:c>
      <x:c r="N1770" s="28" t="n">
        <x:v>1.862645149230957e-9</x:v>
      </x:c>
      <x:c r="O1770" s="28" t="n">
        <x:v>1.4901161193847656e-8</x:v>
      </x:c>
      <x:c r="P1770" s="28" t="n">
        <x:v>0</x:v>
      </x:c>
      <x:c r="Q1770" s="62" t="b">
        <x:v>1</x:v>
      </x:c>
      <x:c r="R1770" s="28" t="n">
        <x:v>8426564.956126928</x:v>
      </x:c>
      <x:c r="S1770" s="28" t="str">
        <x:v>5b9ff8cf6aa1df24</x:v>
      </x:c>
    </x:row>
    <x:row r="1771" ht="21" customHeight="1">
      <x:c r="A1771" s="60" t="n">
        <x:v>0.66</x:v>
      </x:c>
      <x:c r="B1771" s="28" t="str">
        <x:v>level_high</x:v>
      </x:c>
      <x:c r="C1771" s="60" t="n">
        <x:v>1</x:v>
      </x:c>
      <x:c r="D1771" s="60" t="n">
        <x:v>0.9350574964161632</x:v>
      </x:c>
      <x:c r="E1771" s="62" t="b">
        <x:v>0</x:v>
      </x:c>
      <x:c r="F1771" s="62" t="b">
        <x:v>0</x:v>
      </x:c>
      <x:c r="G1771" s="85" t="n">
        <x:v>36106468.214583725</x:v>
      </x:c>
      <x:c r="H1771" s="85" t="n">
        <x:v>78008197.47796914</x:v>
      </x:c>
      <x:c r="I1771" s="85" t="n">
        <x:v>93650763.6750685</x:v>
      </x:c>
      <x:c r="J1771" s="85" t="n">
        <x:v>71999999.99999999</x:v>
      </x:c>
      <x:c r="K1771" s="85" t="n">
        <x:v>101294.83972603086</x:v>
      </x:c>
      <x:c r="L1771" s="28" t="n">
        <x:v>45</x:v>
      </x:c>
      <x:c r="M1771" s="28" t="n">
        <x:v>41</x:v>
      </x:c>
      <x:c r="N1771" s="28" t="n">
        <x:v>1.862645149230957e-9</x:v>
      </x:c>
      <x:c r="O1771" s="28" t="n">
        <x:v>7.450580596923828e-9</x:v>
      </x:c>
      <x:c r="P1771" s="28" t="n">
        <x:v>0</x:v>
      </x:c>
      <x:c r="Q1771" s="62" t="b">
        <x:v>1</x:v>
      </x:c>
      <x:c r="R1771" s="28" t="n">
        <x:v>19482751.075151026</x:v>
      </x:c>
      <x:c r="S1771" s="28" t="str">
        <x:v>d7ef2964ffc08c8c</x:v>
      </x:c>
    </x:row>
    <x:row r="1772" ht="21" customHeight="1">
      <x:c r="A1772" s="60" t="n">
        <x:v>0.67</x:v>
      </x:c>
      <x:c r="B1772" s="28" t="str">
        <x:v>front_flat</x:v>
      </x:c>
      <x:c r="C1772" s="60" t="n">
        <x:v>0</x:v>
      </x:c>
      <x:c r="D1772" s="60" t="n">
        <x:v>0</x:v>
      </x:c>
      <x:c r="E1772" s="62" t="b">
        <x:v>1</x:v>
      </x:c>
      <x:c r="F1772" s="62" t="b">
        <x:v>1</x:v>
      </x:c>
      <x:c r="G1772" s="85" t="n">
        <x:v>0</x:v>
      </x:c>
      <x:c r="H1772" s="85" t="n">
        <x:v>0</x:v>
      </x:c>
      <x:c r="I1772" s="85" t="n">
        <x:v>0</x:v>
      </x:c>
      <x:c r="J1772" s="85" t="n">
        <x:v>0</x:v>
      </x:c>
      <x:c r="K1772" s="85" t="n">
        <x:v>34950342.60068495</x:v>
      </x:c>
      <x:c r="L1772" s="28" t="n">
        <x:v>0</x:v>
      </x:c>
      <x:c r="M1772" s="28" t="n">
        <x:v>0</x:v>
      </x:c>
      <x:c r="N1772" s="28" t="n">
        <x:v>3.725290298461914e-9</x:v>
      </x:c>
      <x:c r="O1772" s="28" t="n">
        <x:v>0</x:v>
      </x:c>
      <x:c r="P1772" s="28" t="n">
        <x:v>0</x:v>
      </x:c>
      <x:c r="Q1772" s="62" t="b">
        <x:v>1</x:v>
      </x:c>
      <x:c r="R1772" s="28" t="n">
        <x:v>0</x:v>
      </x:c>
      <x:c r="S1772" s="28" t="str">
        <x:v>145d8ba1127806ae</x:v>
      </x:c>
    </x:row>
    <x:row r="1773" ht="21" customHeight="1">
      <x:c r="A1773" s="60" t="n">
        <x:v>0.67</x:v>
      </x:c>
      <x:c r="B1773" s="28" t="str">
        <x:v>front_flat</x:v>
      </x:c>
      <x:c r="C1773" s="60" t="n">
        <x:v>0.05</x:v>
      </x:c>
      <x:c r="D1773" s="60" t="n">
        <x:v>0.05</x:v>
      </x:c>
      <x:c r="E1773" s="62" t="b">
        <x:v>1</x:v>
      </x:c>
      <x:c r="F1773" s="62" t="b">
        <x:v>1</x:v>
      </x:c>
      <x:c r="G1773" s="85" t="n">
        <x:v>0</x:v>
      </x:c>
      <x:c r="H1773" s="85" t="n">
        <x:v>0</x:v>
      </x:c>
      <x:c r="I1773" s="85" t="n">
        <x:v>0</x:v>
      </x:c>
      <x:c r="J1773" s="85" t="n">
        <x:v>0</x:v>
      </x:c>
      <x:c r="K1773" s="85" t="n">
        <x:v>22705840.361911524</x:v>
      </x:c>
      <x:c r="L1773" s="28" t="n">
        <x:v>0</x:v>
      </x:c>
      <x:c r="M1773" s="28" t="n">
        <x:v>0</x:v>
      </x:c>
      <x:c r="N1773" s="28" t="n">
        <x:v>1.862645149230957e-9</x:v>
      </x:c>
      <x:c r="O1773" s="28" t="n">
        <x:v>5.960464477539063e-8</x:v>
      </x:c>
      <x:c r="P1773" s="28" t="n">
        <x:v>0</x:v>
      </x:c>
      <x:c r="Q1773" s="62" t="b">
        <x:v>1</x:v>
      </x:c>
      <x:c r="R1773" s="28" t="n">
        <x:v>0</x:v>
      </x:c>
      <x:c r="S1773" s="28" t="str">
        <x:v>944d662097e827e6</x:v>
      </x:c>
    </x:row>
    <x:row r="1774" ht="21" customHeight="1">
      <x:c r="A1774" s="60" t="n">
        <x:v>0.67</x:v>
      </x:c>
      <x:c r="B1774" s="28" t="str">
        <x:v>front_flat</x:v>
      </x:c>
      <x:c r="C1774" s="60" t="n">
        <x:v>0.1</x:v>
      </x:c>
      <x:c r="D1774" s="60" t="n">
        <x:v>0.1</x:v>
      </x:c>
      <x:c r="E1774" s="62" t="b">
        <x:v>1</x:v>
      </x:c>
      <x:c r="F1774" s="62" t="b">
        <x:v>1</x:v>
      </x:c>
      <x:c r="G1774" s="85" t="n">
        <x:v>0</x:v>
      </x:c>
      <x:c r="H1774" s="85" t="n">
        <x:v>0</x:v>
      </x:c>
      <x:c r="I1774" s="85" t="n">
        <x:v>0</x:v>
      </x:c>
      <x:c r="J1774" s="85" t="n">
        <x:v>0</x:v>
      </x:c>
      <x:c r="K1774" s="85" t="n">
        <x:v>10341950.718776787</x:v>
      </x:c>
      <x:c r="L1774" s="28" t="n">
        <x:v>0</x:v>
      </x:c>
      <x:c r="M1774" s="28" t="n">
        <x:v>0</x:v>
      </x:c>
      <x:c r="N1774" s="28" t="n">
        <x:v>3.725290298461914e-9</x:v>
      </x:c>
      <x:c r="O1774" s="28" t="n">
        <x:v>5.960464477539063e-8</x:v>
      </x:c>
      <x:c r="P1774" s="28" t="n">
        <x:v>0</x:v>
      </x:c>
      <x:c r="Q1774" s="62" t="b">
        <x:v>1</x:v>
      </x:c>
      <x:c r="R1774" s="28" t="n">
        <x:v>0</x:v>
      </x:c>
      <x:c r="S1774" s="28" t="str">
        <x:v>6288b164ea1dd7e8</x:v>
      </x:c>
    </x:row>
    <x:row r="1775" ht="21" customHeight="1">
      <x:c r="A1775" s="60" t="n">
        <x:v>0.67</x:v>
      </x:c>
      <x:c r="B1775" s="28" t="str">
        <x:v>front_flat</x:v>
      </x:c>
      <x:c r="C1775" s="60" t="n">
        <x:v>0.15</x:v>
      </x:c>
      <x:c r="D1775" s="60" t="n">
        <x:v>0.15</x:v>
      </x:c>
      <x:c r="E1775" s="62" t="b">
        <x:v>1</x:v>
      </x:c>
      <x:c r="F1775" s="62" t="b">
        <x:v>1</x:v>
      </x:c>
      <x:c r="G1775" s="85" t="n">
        <x:v>0</x:v>
      </x:c>
      <x:c r="H1775" s="85" t="n">
        <x:v>0</x:v>
      </x:c>
      <x:c r="I1775" s="85" t="n">
        <x:v>2098900.5153124034</x:v>
      </x:c>
      <x:c r="J1775" s="85" t="n">
        <x:v>0</x:v>
      </x:c>
      <x:c r="K1775" s="85" t="n">
        <x:v>906077.3026650586</x:v>
      </x:c>
      <x:c r="L1775" s="28" t="n">
        <x:v>0</x:v>
      </x:c>
      <x:c r="M1775" s="28" t="n">
        <x:v>0</x:v>
      </x:c>
      <x:c r="N1775" s="28" t="n">
        <x:v>3.725290298461914e-9</x:v>
      </x:c>
      <x:c r="O1775" s="28" t="n">
        <x:v>2.9802322387695312e-8</x:v>
      </x:c>
      <x:c r="P1775" s="28" t="n">
        <x:v>0</x:v>
      </x:c>
      <x:c r="Q1775" s="62" t="b">
        <x:v>1</x:v>
      </x:c>
      <x:c r="R1775" s="28" t="n">
        <x:v>0</x:v>
      </x:c>
      <x:c r="S1775" s="28" t="str">
        <x:v>8bfa121665396f97</x:v>
      </x:c>
    </x:row>
    <x:row r="1776" ht="21" customHeight="1">
      <x:c r="A1776" s="60" t="n">
        <x:v>0.67</x:v>
      </x:c>
      <x:c r="B1776" s="28" t="str">
        <x:v>front_flat</x:v>
      </x:c>
      <x:c r="C1776" s="60" t="n">
        <x:v>0.2</x:v>
      </x:c>
      <x:c r="D1776" s="60" t="n">
        <x:v>0.2</x:v>
      </x:c>
      <x:c r="E1776" s="62" t="b">
        <x:v>1</x:v>
      </x:c>
      <x:c r="F1776" s="62" t="b">
        <x:v>1</x:v>
      </x:c>
      <x:c r="G1776" s="85" t="n">
        <x:v>0</x:v>
      </x:c>
      <x:c r="H1776" s="85" t="n">
        <x:v>0</x:v>
      </x:c>
      <x:c r="I1776" s="85" t="n">
        <x:v>10268676.766019536</x:v>
      </x:c>
      <x:c r="J1776" s="85" t="n">
        <x:v>6284479.497374642</x:v>
      </x:c>
      <x:c r="K1776" s="85" t="n">
        <x:v>526654.161469864</x:v>
      </x:c>
      <x:c r="L1776" s="28" t="n">
        <x:v>0</x:v>
      </x:c>
      <x:c r="M1776" s="28" t="n">
        <x:v>0</x:v>
      </x:c>
      <x:c r="N1776" s="28" t="n">
        <x:v>3.725290298461914e-9</x:v>
      </x:c>
      <x:c r="O1776" s="28" t="n">
        <x:v>2.9802322387695312e-8</x:v>
      </x:c>
      <x:c r="P1776" s="28" t="n">
        <x:v>0</x:v>
      </x:c>
      <x:c r="Q1776" s="62" t="b">
        <x:v>1</x:v>
      </x:c>
      <x:c r="R1776" s="28" t="n">
        <x:v>0</x:v>
      </x:c>
      <x:c r="S1776" s="28" t="str">
        <x:v>500e82cee7da3eb6</x:v>
      </x:c>
    </x:row>
    <x:row r="1777" ht="21" customHeight="1">
      <x:c r="A1777" s="60" t="n">
        <x:v>0.67</x:v>
      </x:c>
      <x:c r="B1777" s="28" t="str">
        <x:v>front_flat</x:v>
      </x:c>
      <x:c r="C1777" s="60" t="n">
        <x:v>0.25</x:v>
      </x:c>
      <x:c r="D1777" s="60" t="n">
        <x:v>0.25</x:v>
      </x:c>
      <x:c r="E1777" s="62" t="b">
        <x:v>1</x:v>
      </x:c>
      <x:c r="F1777" s="62" t="b">
        <x:v>1</x:v>
      </x:c>
      <x:c r="G1777" s="85" t="n">
        <x:v>0</x:v>
      </x:c>
      <x:c r="H1777" s="85" t="n">
        <x:v>0</x:v>
      </x:c>
      <x:c r="I1777" s="85" t="n">
        <x:v>16875417.00663366</x:v>
      </x:c>
      <x:c r="J1777" s="85" t="n">
        <x:v>15355599.371718226</x:v>
      </x:c>
      <x:c r="K1777" s="85" t="n">
        <x:v>355230.2495565046</x:v>
      </x:c>
      <x:c r="L1777" s="28" t="n">
        <x:v>0</x:v>
      </x:c>
      <x:c r="M1777" s="28" t="n">
        <x:v>0</x:v>
      </x:c>
      <x:c r="N1777" s="28" t="n">
        <x:v>1.862645149230957e-9</x:v>
      </x:c>
      <x:c r="O1777" s="28" t="n">
        <x:v>1.4901161193847656e-8</x:v>
      </x:c>
      <x:c r="P1777" s="28" t="n">
        <x:v>0</x:v>
      </x:c>
      <x:c r="Q1777" s="62" t="b">
        <x:v>1</x:v>
      </x:c>
      <x:c r="R1777" s="28" t="n">
        <x:v>0</x:v>
      </x:c>
      <x:c r="S1777" s="28" t="str">
        <x:v>066d6b587959a334</x:v>
      </x:c>
    </x:row>
    <x:row r="1778" ht="21" customHeight="1">
      <x:c r="A1778" s="60" t="n">
        <x:v>0.67</x:v>
      </x:c>
      <x:c r="B1778" s="28" t="str">
        <x:v>front_flat</x:v>
      </x:c>
      <x:c r="C1778" s="60" t="n">
        <x:v>0.3</x:v>
      </x:c>
      <x:c r="D1778" s="60" t="n">
        <x:v>0.3</x:v>
      </x:c>
      <x:c r="E1778" s="62" t="b">
        <x:v>1</x:v>
      </x:c>
      <x:c r="F1778" s="62" t="b">
        <x:v>1</x:v>
      </x:c>
      <x:c r="G1778" s="85" t="n">
        <x:v>0</x:v>
      </x:c>
      <x:c r="H1778" s="85" t="n">
        <x:v>0</x:v>
      </x:c>
      <x:c r="I1778" s="85" t="n">
        <x:v>23675055.799878206</x:v>
      </x:c>
      <x:c r="J1778" s="85" t="n">
        <x:v>24426719.24606188</x:v>
      </x:c>
      <x:c r="K1778" s="85" t="n">
        <x:v>293007.189604794</x:v>
      </x:c>
      <x:c r="L1778" s="28" t="n">
        <x:v>0</x:v>
      </x:c>
      <x:c r="M1778" s="28" t="n">
        <x:v>0</x:v>
      </x:c>
      <x:c r="N1778" s="28" t="n">
        <x:v>1.862645149230957e-9</x:v>
      </x:c>
      <x:c r="O1778" s="28" t="n">
        <x:v>2.9802322387695312e-8</x:v>
      </x:c>
      <x:c r="P1778" s="28" t="n">
        <x:v>0</x:v>
      </x:c>
      <x:c r="Q1778" s="62" t="b">
        <x:v>1</x:v>
      </x:c>
      <x:c r="R1778" s="28" t="n">
        <x:v>0</x:v>
      </x:c>
      <x:c r="S1778" s="28" t="str">
        <x:v>dc49b8aa955a9976</x:v>
      </x:c>
    </x:row>
    <x:row r="1779" ht="21" customHeight="1">
      <x:c r="A1779" s="60" t="n">
        <x:v>0.67</x:v>
      </x:c>
      <x:c r="B1779" s="28" t="str">
        <x:v>front_flat</x:v>
      </x:c>
      <x:c r="C1779" s="60" t="n">
        <x:v>0.35</x:v>
      </x:c>
      <x:c r="D1779" s="60" t="n">
        <x:v>0.35</x:v>
      </x:c>
      <x:c r="E1779" s="62" t="b">
        <x:v>1</x:v>
      </x:c>
      <x:c r="F1779" s="62" t="b">
        <x:v>1</x:v>
      </x:c>
      <x:c r="G1779" s="85" t="n">
        <x:v>0</x:v>
      </x:c>
      <x:c r="H1779" s="85" t="n">
        <x:v>0</x:v>
      </x:c>
      <x:c r="I1779" s="85" t="n">
        <x:v>30557837.340410918</x:v>
      </x:c>
      <x:c r="J1779" s="85" t="n">
        <x:v>33497839.12040553</x:v>
      </x:c>
      <x:c r="K1779" s="85" t="n">
        <x:v>230784.1296530919</x:v>
      </x:c>
      <x:c r="L1779" s="28" t="n">
        <x:v>0</x:v>
      </x:c>
      <x:c r="M1779" s="28" t="n">
        <x:v>0</x:v>
      </x:c>
      <x:c r="N1779" s="28" t="n">
        <x:v>3.725290298461914e-9</x:v>
      </x:c>
      <x:c r="O1779" s="28" t="n">
        <x:v>7.450580596923828e-9</x:v>
      </x:c>
      <x:c r="P1779" s="28" t="n">
        <x:v>0</x:v>
      </x:c>
      <x:c r="Q1779" s="62" t="b">
        <x:v>1</x:v>
      </x:c>
      <x:c r="R1779" s="28" t="n">
        <x:v>0</x:v>
      </x:c>
      <x:c r="S1779" s="28" t="str">
        <x:v>3bbef4adfcf9b7d2</x:v>
      </x:c>
    </x:row>
    <x:row r="1780" ht="21" customHeight="1">
      <x:c r="A1780" s="60" t="n">
        <x:v>0.67</x:v>
      </x:c>
      <x:c r="B1780" s="28" t="str">
        <x:v>front_flat</x:v>
      </x:c>
      <x:c r="C1780" s="60" t="n">
        <x:v>0.4</x:v>
      </x:c>
      <x:c r="D1780" s="60" t="n">
        <x:v>0.4</x:v>
      </x:c>
      <x:c r="E1780" s="62" t="b">
        <x:v>1</x:v>
      </x:c>
      <x:c r="F1780" s="62" t="b">
        <x:v>1</x:v>
      </x:c>
      <x:c r="G1780" s="85" t="n">
        <x:v>0</x:v>
      </x:c>
      <x:c r="H1780" s="85" t="n">
        <x:v>0</x:v>
      </x:c>
      <x:c r="I1780" s="85" t="n">
        <x:v>39517138.57752374</x:v>
      </x:c>
      <x:c r="J1780" s="85" t="n">
        <x:v>36542243.86029419</x:v>
      </x:c>
      <x:c r="K1780" s="85" t="n">
        <x:v>168561.06970136648</x:v>
      </x:c>
      <x:c r="L1780" s="28" t="n">
        <x:v>6</x:v>
      </x:c>
      <x:c r="M1780" s="28" t="n">
        <x:v>0</x:v>
      </x:c>
      <x:c r="N1780" s="28" t="n">
        <x:v>3.725290298461914e-9</x:v>
      </x:c>
      <x:c r="O1780" s="28" t="n">
        <x:v>2.9802322387695312e-8</x:v>
      </x:c>
      <x:c r="P1780" s="28" t="n">
        <x:v>0</x:v>
      </x:c>
      <x:c r="Q1780" s="62" t="b">
        <x:v>1</x:v>
      </x:c>
      <x:c r="R1780" s="28" t="n">
        <x:v>0</x:v>
      </x:c>
      <x:c r="S1780" s="28" t="str">
        <x:v>6d9c8c652f3f3f7b</x:v>
      </x:c>
    </x:row>
    <x:row r="1781" ht="21" customHeight="1">
      <x:c r="A1781" s="60" t="n">
        <x:v>0.67</x:v>
      </x:c>
      <x:c r="B1781" s="28" t="str">
        <x:v>front_flat</x:v>
      </x:c>
      <x:c r="C1781" s="60" t="n">
        <x:v>0.45</x:v>
      </x:c>
      <x:c r="D1781" s="60" t="n">
        <x:v>0.45</x:v>
      </x:c>
      <x:c r="E1781" s="62" t="b">
        <x:v>1</x:v>
      </x:c>
      <x:c r="F1781" s="62" t="b">
        <x:v>1</x:v>
      </x:c>
      <x:c r="G1781" s="85" t="n">
        <x:v>0</x:v>
      </x:c>
      <x:c r="H1781" s="85" t="n">
        <x:v>0</x:v>
      </x:c>
      <x:c r="I1781" s="85" t="n">
        <x:v>48536504.81514946</x:v>
      </x:c>
      <x:c r="J1781" s="85" t="n">
        <x:v>39587791.00301035</x:v>
      </x:c>
      <x:c r="K1781" s="85" t="n">
        <x:v>106338.00974966059</x:v>
      </x:c>
      <x:c r="L1781" s="28" t="n">
        <x:v>13</x:v>
      </x:c>
      <x:c r="M1781" s="28" t="n">
        <x:v>0</x:v>
      </x:c>
      <x:c r="N1781" s="28" t="n">
        <x:v>1.862645149230957e-9</x:v>
      </x:c>
      <x:c r="O1781" s="28" t="n">
        <x:v>2.9802322387695312e-8</x:v>
      </x:c>
      <x:c r="P1781" s="28" t="n">
        <x:v>0</x:v>
      </x:c>
      <x:c r="Q1781" s="62" t="b">
        <x:v>1</x:v>
      </x:c>
      <x:c r="R1781" s="28" t="n">
        <x:v>0</x:v>
      </x:c>
      <x:c r="S1781" s="28" t="str">
        <x:v>42e7a00b804e8689</x:v>
      </x:c>
    </x:row>
    <x:row r="1782" ht="21" customHeight="1">
      <x:c r="A1782" s="60" t="n">
        <x:v>0.67</x:v>
      </x:c>
      <x:c r="B1782" s="28" t="str">
        <x:v>front_flat</x:v>
      </x:c>
      <x:c r="C1782" s="60" t="n">
        <x:v>0.5</x:v>
      </x:c>
      <x:c r="D1782" s="60" t="n">
        <x:v>0.5</x:v>
      </x:c>
      <x:c r="E1782" s="62" t="b">
        <x:v>1</x:v>
      </x:c>
      <x:c r="F1782" s="62" t="b">
        <x:v>1</x:v>
      </x:c>
      <x:c r="G1782" s="85" t="n">
        <x:v>0</x:v>
      </x:c>
      <x:c r="H1782" s="85" t="n">
        <x:v>0</x:v>
      </x:c>
      <x:c r="I1782" s="85" t="n">
        <x:v>55686776.042419076</x:v>
      </x:c>
      <x:c r="J1782" s="85" t="n">
        <x:v>48305019.465003215</x:v>
      </x:c>
      <x:c r="K1782" s="85" t="n">
        <x:v>65848.53174657494</x:v>
      </x:c>
      <x:c r="L1782" s="28" t="n">
        <x:v>18</x:v>
      </x:c>
      <x:c r="M1782" s="28" t="n">
        <x:v>0</x:v>
      </x:c>
      <x:c r="N1782" s="28" t="n">
        <x:v>1.862645149230957e-9</x:v>
      </x:c>
      <x:c r="O1782" s="28" t="n">
        <x:v>2.9802322387695312e-8</x:v>
      </x:c>
      <x:c r="P1782" s="28" t="n">
        <x:v>0</x:v>
      </x:c>
      <x:c r="Q1782" s="62" t="b">
        <x:v>1</x:v>
      </x:c>
      <x:c r="R1782" s="28" t="n">
        <x:v>0</x:v>
      </x:c>
      <x:c r="S1782" s="28" t="str">
        <x:v>0848fdce45e196a5</x:v>
      </x:c>
    </x:row>
    <x:row r="1783" ht="21" customHeight="1">
      <x:c r="A1783" s="60" t="n">
        <x:v>0.67</x:v>
      </x:c>
      <x:c r="B1783" s="28" t="str">
        <x:v>front_flat</x:v>
      </x:c>
      <x:c r="C1783" s="60" t="n">
        <x:v>0.55</x:v>
      </x:c>
      <x:c r="D1783" s="60" t="n">
        <x:v>0.55</x:v>
      </x:c>
      <x:c r="E1783" s="62" t="b">
        <x:v>1</x:v>
      </x:c>
      <x:c r="F1783" s="62" t="b">
        <x:v>1</x:v>
      </x:c>
      <x:c r="G1783" s="85" t="n">
        <x:v>0</x:v>
      </x:c>
      <x:c r="H1783" s="85" t="n">
        <x:v>0</x:v>
      </x:c>
      <x:c r="I1783" s="85" t="n">
        <x:v>61783012.74488871</x:v>
      </x:c>
      <x:c r="J1783" s="85" t="n">
        <x:v>59149623.47447386</x:v>
      </x:c>
      <x:c r="K1783" s="85" t="n">
        <x:v>45028.4342363037</x:v>
      </x:c>
      <x:c r="L1783" s="28" t="n">
        <x:v>21</x:v>
      </x:c>
      <x:c r="M1783" s="28" t="n">
        <x:v>1</x:v>
      </x:c>
      <x:c r="N1783" s="28" t="n">
        <x:v>1.862645149230957e-9</x:v>
      </x:c>
      <x:c r="O1783" s="28" t="n">
        <x:v>2.9802322387695312e-8</x:v>
      </x:c>
      <x:c r="P1783" s="28" t="n">
        <x:v>0</x:v>
      </x:c>
      <x:c r="Q1783" s="62" t="b">
        <x:v>1</x:v>
      </x:c>
      <x:c r="R1783" s="28" t="n">
        <x:v>0</x:v>
      </x:c>
      <x:c r="S1783" s="28" t="str">
        <x:v>26e78c83807c686b</x:v>
      </x:c>
    </x:row>
    <x:row r="1784" ht="21" customHeight="1">
      <x:c r="A1784" s="60" t="n">
        <x:v>0.67</x:v>
      </x:c>
      <x:c r="B1784" s="28" t="str">
        <x:v>front_flat</x:v>
      </x:c>
      <x:c r="C1784" s="60" t="n">
        <x:v>0.6</x:v>
      </x:c>
      <x:c r="D1784" s="60" t="n">
        <x:v>0.6</x:v>
      </x:c>
      <x:c r="E1784" s="62" t="b">
        <x:v>1</x:v>
      </x:c>
      <x:c r="F1784" s="62" t="b">
        <x:v>0</x:v>
      </x:c>
      <x:c r="G1784" s="85" t="n">
        <x:v>69987.89513248464</x:v>
      </x:c>
      <x:c r="H1784" s="85" t="n">
        <x:v>455408.07094504125</x:v>
      </x:c>
      <x:c r="I1784" s="85" t="n">
        <x:v>67519808.21917805</x:v>
      </x:c>
      <x:c r="J1784" s="85" t="n">
        <x:v>68999999.99999999</x:v>
      </x:c>
      <x:c r="K1784" s="85" t="n">
        <x:v>24208.336726026406</x:v>
      </x:c>
      <x:c r="L1784" s="28" t="n">
        <x:v>46</x:v>
      </x:c>
      <x:c r="M1784" s="28" t="n">
        <x:v>33</x:v>
      </x:c>
      <x:c r="N1784" s="28" t="n">
        <x:v>1.862645149230957e-9</x:v>
      </x:c>
      <x:c r="O1784" s="28" t="n">
        <x:v>2.9802322387695312e-8</x:v>
      </x:c>
      <x:c r="P1784" s="28" t="n">
        <x:v>0</x:v>
      </x:c>
      <x:c r="Q1784" s="62" t="b">
        <x:v>1</x:v>
      </x:c>
      <x:c r="R1784" s="28" t="n">
        <x:v>0</x:v>
      </x:c>
      <x:c r="S1784" s="28" t="str">
        <x:v>31b1d93b7b47d52d</x:v>
      </x:c>
    </x:row>
    <x:row r="1785" ht="21" customHeight="1">
      <x:c r="A1785" s="60" t="n">
        <x:v>0.67</x:v>
      </x:c>
      <x:c r="B1785" s="28" t="str">
        <x:v>front_flat</x:v>
      </x:c>
      <x:c r="C1785" s="60" t="n">
        <x:v>0.65</x:v>
      </x:c>
      <x:c r="D1785" s="60" t="n">
        <x:v>0.65</x:v>
      </x:c>
      <x:c r="E1785" s="62" t="b">
        <x:v>1</x:v>
      </x:c>
      <x:c r="F1785" s="62" t="b">
        <x:v>0</x:v>
      </x:c>
      <x:c r="G1785" s="85" t="n">
        <x:v>2177221.353503027</x:v>
      </x:c>
      <x:c r="H1785" s="85" t="n">
        <x:v>13969564.117627345</x:v>
      </x:c>
      <x:c r="I1785" s="85" t="n">
        <x:v>67560669.06173867</x:v>
      </x:c>
      <x:c r="J1785" s="85" t="n">
        <x:v>68999999.99999999</x:v>
      </x:c>
      <x:c r="K1785" s="85" t="n">
        <x:v>3388.2392157565628</x:v>
      </x:c>
      <x:c r="L1785" s="28" t="n">
        <x:v>46</x:v>
      </x:c>
      <x:c r="M1785" s="28" t="n">
        <x:v>36</x:v>
      </x:c>
      <x:c r="N1785" s="28" t="n">
        <x:v>1.862645149230957e-9</x:v>
      </x:c>
      <x:c r="O1785" s="28" t="n">
        <x:v>2.9802322387695312e-8</x:v>
      </x:c>
      <x:c r="P1785" s="28" t="n">
        <x:v>0</x:v>
      </x:c>
      <x:c r="Q1785" s="62" t="b">
        <x:v>1</x:v>
      </x:c>
      <x:c r="R1785" s="28" t="n">
        <x:v>0</x:v>
      </x:c>
      <x:c r="S1785" s="28" t="str">
        <x:v>41b8821fe6ed9f4c</x:v>
      </x:c>
    </x:row>
    <x:row r="1786" ht="21" customHeight="1">
      <x:c r="A1786" s="60" t="n">
        <x:v>0.67</x:v>
      </x:c>
      <x:c r="B1786" s="28" t="str">
        <x:v>front_flat</x:v>
      </x:c>
      <x:c r="C1786" s="60" t="n">
        <x:v>0.7</x:v>
      </x:c>
      <x:c r="D1786" s="60" t="n">
        <x:v>0.7</x:v>
      </x:c>
      <x:c r="E1786" s="62" t="b">
        <x:v>1</x:v>
      </x:c>
      <x:c r="F1786" s="62" t="b">
        <x:v>0</x:v>
      </x:c>
      <x:c r="G1786" s="85" t="n">
        <x:v>4719536.04054345</x:v>
      </x:c>
      <x:c r="H1786" s="85" t="n">
        <x:v>26832639.530077152</x:v>
      </x:c>
      <x:c r="I1786" s="85" t="n">
        <x:v>67602618.95911162</x:v>
      </x:c>
      <x:c r="J1786" s="85" t="n">
        <x:v>68999999.99999999</x:v>
      </x:c>
      <x:c r="K1786" s="85" t="n">
        <x:v>0</x:v>
      </x:c>
      <x:c r="L1786" s="28" t="n">
        <x:v>46</x:v>
      </x:c>
      <x:c r="M1786" s="28" t="n">
        <x:v>38</x:v>
      </x:c>
      <x:c r="N1786" s="28" t="n">
        <x:v>1.862645149230957e-9</x:v>
      </x:c>
      <x:c r="O1786" s="28" t="n">
        <x:v>2.9802322387695312e-8</x:v>
      </x:c>
      <x:c r="P1786" s="28" t="n">
        <x:v>0</x:v>
      </x:c>
      <x:c r="Q1786" s="62" t="b">
        <x:v>1</x:v>
      </x:c>
      <x:c r="R1786" s="28" t="n">
        <x:v>0</x:v>
      </x:c>
      <x:c r="S1786" s="28" t="str">
        <x:v>84abcaac8fa87b81</x:v>
      </x:c>
    </x:row>
    <x:row r="1787" ht="21" customHeight="1">
      <x:c r="A1787" s="60" t="n">
        <x:v>0.67</x:v>
      </x:c>
      <x:c r="B1787" s="28" t="str">
        <x:v>front_flat</x:v>
      </x:c>
      <x:c r="C1787" s="60" t="n">
        <x:v>0.75</x:v>
      </x:c>
      <x:c r="D1787" s="60" t="n">
        <x:v>0.75</x:v>
      </x:c>
      <x:c r="E1787" s="62" t="b">
        <x:v>1</x:v>
      </x:c>
      <x:c r="F1787" s="62" t="b">
        <x:v>0</x:v>
      </x:c>
      <x:c r="G1787" s="85" t="n">
        <x:v>7259487.130407577</x:v>
      </x:c>
      <x:c r="H1787" s="85" t="n">
        <x:v>39582663.363372386</x:v>
      </x:c>
      <x:c r="I1787" s="85" t="n">
        <x:v>67644568.85648455</x:v>
      </x:c>
      <x:c r="J1787" s="85" t="n">
        <x:v>68999999.99999999</x:v>
      </x:c>
      <x:c r="K1787" s="85" t="n">
        <x:v>0</x:v>
      </x:c>
      <x:c r="L1787" s="28" t="n">
        <x:v>46</x:v>
      </x:c>
      <x:c r="M1787" s="28" t="n">
        <x:v>42</x:v>
      </x:c>
      <x:c r="N1787" s="28" t="n">
        <x:v>1.862645149230957e-9</x:v>
      </x:c>
      <x:c r="O1787" s="28" t="n">
        <x:v>2.9802322387695312e-8</x:v>
      </x:c>
      <x:c r="P1787" s="28" t="n">
        <x:v>0</x:v>
      </x:c>
      <x:c r="Q1787" s="62" t="b">
        <x:v>1</x:v>
      </x:c>
      <x:c r="R1787" s="28" t="n">
        <x:v>0</x:v>
      </x:c>
      <x:c r="S1787" s="28" t="str">
        <x:v>fcf3afe3afa166db</x:v>
      </x:c>
    </x:row>
    <x:row r="1788" ht="21" customHeight="1">
      <x:c r="A1788" s="60" t="n">
        <x:v>0.67</x:v>
      </x:c>
      <x:c r="B1788" s="28" t="str">
        <x:v>front_flat</x:v>
      </x:c>
      <x:c r="C1788" s="60" t="n">
        <x:v>0.8</x:v>
      </x:c>
      <x:c r="D1788" s="60" t="n">
        <x:v>0.8</x:v>
      </x:c>
      <x:c r="E1788" s="62" t="b">
        <x:v>1</x:v>
      </x:c>
      <x:c r="F1788" s="62" t="b">
        <x:v>0</x:v>
      </x:c>
      <x:c r="G1788" s="85" t="n">
        <x:v>10110695.740559619</x:v>
      </x:c>
      <x:c r="H1788" s="85" t="n">
        <x:v>51976542.87939788</x:v>
      </x:c>
      <x:c r="I1788" s="85" t="n">
        <x:v>67686518.75385751</x:v>
      </x:c>
      <x:c r="J1788" s="85" t="n">
        <x:v>68999999.99999999</x:v>
      </x:c>
      <x:c r="K1788" s="85" t="n">
        <x:v>0</x:v>
      </x:c>
      <x:c r="L1788" s="28" t="n">
        <x:v>46</x:v>
      </x:c>
      <x:c r="M1788" s="28" t="n">
        <x:v>44</x:v>
      </x:c>
      <x:c r="N1788" s="28" t="n">
        <x:v>1.862645149230957e-9</x:v>
      </x:c>
      <x:c r="O1788" s="28" t="n">
        <x:v>1.4901161193847656e-8</x:v>
      </x:c>
      <x:c r="P1788" s="28" t="n">
        <x:v>0</x:v>
      </x:c>
      <x:c r="Q1788" s="62" t="b">
        <x:v>1</x:v>
      </x:c>
      <x:c r="R1788" s="28" t="n">
        <x:v>0</x:v>
      </x:c>
      <x:c r="S1788" s="28" t="str">
        <x:v>408a8daca3195150</x:v>
      </x:c>
    </x:row>
    <x:row r="1789" ht="21" customHeight="1">
      <x:c r="A1789" s="60" t="n">
        <x:v>0.67</x:v>
      </x:c>
      <x:c r="B1789" s="28" t="str">
        <x:v>front_flat</x:v>
      </x:c>
      <x:c r="C1789" s="60" t="n">
        <x:v>0.85</x:v>
      </x:c>
      <x:c r="D1789" s="60" t="n">
        <x:v>0.85</x:v>
      </x:c>
      <x:c r="E1789" s="62" t="b">
        <x:v>1</x:v>
      </x:c>
      <x:c r="F1789" s="62" t="b">
        <x:v>0</x:v>
      </x:c>
      <x:c r="G1789" s="85" t="n">
        <x:v>12296241.861838898</x:v>
      </x:c>
      <x:c r="H1789" s="85" t="n">
        <x:v>62667145.2821486</x:v>
      </x:c>
      <x:c r="I1789" s="85" t="n">
        <x:v>68982041.09589039</x:v>
      </x:c>
      <x:c r="J1789" s="85" t="n">
        <x:v>68999999.99999999</x:v>
      </x:c>
      <x:c r="K1789" s="85" t="n">
        <x:v>0</x:v>
      </x:c>
      <x:c r="L1789" s="28" t="n">
        <x:v>47</x:v>
      </x:c>
      <x:c r="M1789" s="28" t="n">
        <x:v>44</x:v>
      </x:c>
      <x:c r="N1789" s="28" t="n">
        <x:v>1.862645149230957e-9</x:v>
      </x:c>
      <x:c r="O1789" s="28" t="n">
        <x:v>1.862645149230957e-9</x:v>
      </x:c>
      <x:c r="P1789" s="28" t="n">
        <x:v>0</x:v>
      </x:c>
      <x:c r="Q1789" s="62" t="b">
        <x:v>1</x:v>
      </x:c>
      <x:c r="R1789" s="28" t="n">
        <x:v>0</x:v>
      </x:c>
      <x:c r="S1789" s="28" t="str">
        <x:v>7786f69a8ab09f56</x:v>
      </x:c>
    </x:row>
    <x:row r="1790" ht="21" customHeight="1">
      <x:c r="A1790" s="60" t="n">
        <x:v>0.67</x:v>
      </x:c>
      <x:c r="B1790" s="28" t="str">
        <x:v>front_flat</x:v>
      </x:c>
      <x:c r="C1790" s="60" t="n">
        <x:v>0.9</x:v>
      </x:c>
      <x:c r="D1790" s="60" t="n">
        <x:v>0.9</x:v>
      </x:c>
      <x:c r="E1790" s="62" t="b">
        <x:v>1</x:v>
      </x:c>
      <x:c r="F1790" s="62" t="b">
        <x:v>0</x:v>
      </x:c>
      <x:c r="G1790" s="85" t="n">
        <x:v>16956376.30098788</x:v>
      </x:c>
      <x:c r="H1790" s="85" t="n">
        <x:v>74020271.71300662</x:v>
      </x:c>
      <x:c r="I1790" s="85" t="n">
        <x:v>68982041.09589039</x:v>
      </x:c>
      <x:c r="J1790" s="85" t="n">
        <x:v>68999999.99999999</x:v>
      </x:c>
      <x:c r="K1790" s="85" t="n">
        <x:v>0</x:v>
      </x:c>
      <x:c r="L1790" s="28" t="n">
        <x:v>47</x:v>
      </x:c>
      <x:c r="M1790" s="28" t="n">
        <x:v>44</x:v>
      </x:c>
      <x:c r="N1790" s="28" t="n">
        <x:v>9.313225746154785e-10</x:v>
      </x:c>
      <x:c r="O1790" s="28" t="n">
        <x:v>1.4901161193847656e-8</x:v>
      </x:c>
      <x:c r="P1790" s="28" t="n">
        <x:v>0</x:v>
      </x:c>
      <x:c r="Q1790" s="62" t="b">
        <x:v>1</x:v>
      </x:c>
      <x:c r="R1790" s="28" t="n">
        <x:v>0</x:v>
      </x:c>
      <x:c r="S1790" s="28" t="str">
        <x:v>7368ce89330d854a</x:v>
      </x:c>
    </x:row>
    <x:row r="1791" ht="21" customHeight="1">
      <x:c r="A1791" s="60" t="n">
        <x:v>0.67</x:v>
      </x:c>
      <x:c r="B1791" s="28" t="str">
        <x:v>front_flat</x:v>
      </x:c>
      <x:c r="C1791" s="60" t="n">
        <x:v>0.95</x:v>
      </x:c>
      <x:c r="D1791" s="60" t="n">
        <x:v>0.9497739906324524</x:v>
      </x:c>
      <x:c r="E1791" s="62" t="b">
        <x:v>0</x:v>
      </x:c>
      <x:c r="F1791" s="62" t="b">
        <x:v>0</x:v>
      </x:c>
      <x:c r="G1791" s="85" t="n">
        <x:v>21651644.974705625</x:v>
      </x:c>
      <x:c r="H1791" s="85" t="n">
        <x:v>81976374.5878548</x:v>
      </x:c>
      <x:c r="I1791" s="85" t="n">
        <x:v>68992614.53762668</x:v>
      </x:c>
      <x:c r="J1791" s="85" t="n">
        <x:v>68999999.99999999</x:v>
      </x:c>
      <x:c r="K1791" s="85" t="n">
        <x:v>0</x:v>
      </x:c>
      <x:c r="L1791" s="28" t="n">
        <x:v>47</x:v>
      </x:c>
      <x:c r="M1791" s="28" t="n">
        <x:v>45</x:v>
      </x:c>
      <x:c r="N1791" s="28" t="n">
        <x:v>1.862645149230957e-9</x:v>
      </x:c>
      <x:c r="O1791" s="28" t="n">
        <x:v>1.4901161193847656e-8</x:v>
      </x:c>
      <x:c r="P1791" s="28" t="n">
        <x:v>0</x:v>
      </x:c>
      <x:c r="Q1791" s="62" t="b">
        <x:v>1</x:v>
      </x:c>
      <x:c r="R1791" s="28" t="n">
        <x:v>67802.81026428938</x:v>
      </x:c>
      <x:c r="S1791" s="28" t="str">
        <x:v>4556800c72416ac5</x:v>
      </x:c>
    </x:row>
    <x:row r="1792" ht="21" customHeight="1">
      <x:c r="A1792" s="60" t="n">
        <x:v>0.67</x:v>
      </x:c>
      <x:c r="B1792" s="28" t="str">
        <x:v>front_flat</x:v>
      </x:c>
      <x:c r="C1792" s="60" t="n">
        <x:v>1</x:v>
      </x:c>
      <x:c r="D1792" s="60" t="n">
        <x:v>0.9646994850752131</x:v>
      </x:c>
      <x:c r="E1792" s="62" t="b">
        <x:v>0</x:v>
      </x:c>
      <x:c r="F1792" s="62" t="b">
        <x:v>0</x:v>
      </x:c>
      <x:c r="G1792" s="85" t="n">
        <x:v>23627775.149886776</x:v>
      </x:c>
      <x:c r="H1792" s="85" t="n">
        <x:v>85853322.28037941</x:v>
      </x:c>
      <x:c r="I1792" s="85" t="n">
        <x:v>69013434.63513696</x:v>
      </x:c>
      <x:c r="J1792" s="85" t="n">
        <x:v>68999999.99999999</x:v>
      </x:c>
      <x:c r="K1792" s="85" t="n">
        <x:v>0</x:v>
      </x:c>
      <x:c r="L1792" s="28" t="n">
        <x:v>47</x:v>
      </x:c>
      <x:c r="M1792" s="28" t="n">
        <x:v>45</x:v>
      </x:c>
      <x:c r="N1792" s="28" t="n">
        <x:v>9.313225746154785e-10</x:v>
      </x:c>
      <x:c r="O1792" s="28" t="n">
        <x:v>3.725290298461914e-9</x:v>
      </x:c>
      <x:c r="P1792" s="28" t="n">
        <x:v>0</x:v>
      </x:c>
      <x:c r="Q1792" s="62" t="b">
        <x:v>1</x:v>
      </x:c>
      <x:c r="R1792" s="28" t="n">
        <x:v>10590154.477436066</x:v>
      </x:c>
      <x:c r="S1792" s="28" t="str">
        <x:v>99b8b9733d137af3</x:v>
      </x:c>
    </x:row>
    <x:row r="1793" ht="21" customHeight="1">
      <x:c r="A1793" s="60" t="n">
        <x:v>0.67</x:v>
      </x:c>
      <x:c r="B1793" s="28" t="str">
        <x:v>front_low</x:v>
      </x:c>
      <x:c r="C1793" s="60" t="n">
        <x:v>0</x:v>
      </x:c>
      <x:c r="D1793" s="60" t="n">
        <x:v>0</x:v>
      </x:c>
      <x:c r="E1793" s="62" t="b">
        <x:v>1</x:v>
      </x:c>
      <x:c r="F1793" s="62" t="b">
        <x:v>1</x:v>
      </x:c>
      <x:c r="G1793" s="85" t="n">
        <x:v>0</x:v>
      </x:c>
      <x:c r="H1793" s="85" t="n">
        <x:v>0</x:v>
      </x:c>
      <x:c r="I1793" s="85" t="n">
        <x:v>0</x:v>
      </x:c>
      <x:c r="J1793" s="85" t="n">
        <x:v>0</x:v>
      </x:c>
      <x:c r="K1793" s="85" t="n">
        <x:v>30957516.066438366</x:v>
      </x:c>
      <x:c r="L1793" s="28" t="n">
        <x:v>0</x:v>
      </x:c>
      <x:c r="M1793" s="28" t="n">
        <x:v>0</x:v>
      </x:c>
      <x:c r="N1793" s="28" t="n">
        <x:v>1.862645149230957e-9</x:v>
      </x:c>
      <x:c r="O1793" s="28" t="n">
        <x:v>0</x:v>
      </x:c>
      <x:c r="P1793" s="28" t="n">
        <x:v>0</x:v>
      </x:c>
      <x:c r="Q1793" s="62" t="b">
        <x:v>1</x:v>
      </x:c>
      <x:c r="R1793" s="28" t="n">
        <x:v>0</x:v>
      </x:c>
      <x:c r="S1793" s="28" t="str">
        <x:v>fa2ab93f250b78d5</x:v>
      </x:c>
    </x:row>
    <x:row r="1794" ht="21" customHeight="1">
      <x:c r="A1794" s="60" t="n">
        <x:v>0.67</x:v>
      </x:c>
      <x:c r="B1794" s="28" t="str">
        <x:v>front_low</x:v>
      </x:c>
      <x:c r="C1794" s="60" t="n">
        <x:v>0.05</x:v>
      </x:c>
      <x:c r="D1794" s="60" t="n">
        <x:v>0.05</x:v>
      </x:c>
      <x:c r="E1794" s="62" t="b">
        <x:v>1</x:v>
      </x:c>
      <x:c r="F1794" s="62" t="b">
        <x:v>1</x:v>
      </x:c>
      <x:c r="G1794" s="85" t="n">
        <x:v>0</x:v>
      </x:c>
      <x:c r="H1794" s="85" t="n">
        <x:v>0</x:v>
      </x:c>
      <x:c r="I1794" s="85" t="n">
        <x:v>0</x:v>
      </x:c>
      <x:c r="J1794" s="85" t="n">
        <x:v>0</x:v>
      </x:c>
      <x:c r="K1794" s="85" t="n">
        <x:v>20049268.028144404</x:v>
      </x:c>
      <x:c r="L1794" s="28" t="n">
        <x:v>0</x:v>
      </x:c>
      <x:c r="M1794" s="28" t="n">
        <x:v>0</x:v>
      </x:c>
      <x:c r="N1794" s="28" t="n">
        <x:v>3.725290298461914e-9</x:v>
      </x:c>
      <x:c r="O1794" s="28" t="n">
        <x:v>5.960464477539063e-8</x:v>
      </x:c>
      <x:c r="P1794" s="28" t="n">
        <x:v>0</x:v>
      </x:c>
      <x:c r="Q1794" s="62" t="b">
        <x:v>1</x:v>
      </x:c>
      <x:c r="R1794" s="28" t="n">
        <x:v>0</x:v>
      </x:c>
      <x:c r="S1794" s="28" t="str">
        <x:v>dff73e06922f7220</x:v>
      </x:c>
    </x:row>
    <x:row r="1795" ht="21" customHeight="1">
      <x:c r="A1795" s="60" t="n">
        <x:v>0.67</x:v>
      </x:c>
      <x:c r="B1795" s="28" t="str">
        <x:v>front_low</x:v>
      </x:c>
      <x:c r="C1795" s="60" t="n">
        <x:v>0.1</x:v>
      </x:c>
      <x:c r="D1795" s="60" t="n">
        <x:v>0.1</x:v>
      </x:c>
      <x:c r="E1795" s="62" t="b">
        <x:v>1</x:v>
      </x:c>
      <x:c r="F1795" s="62" t="b">
        <x:v>1</x:v>
      </x:c>
      <x:c r="G1795" s="85" t="n">
        <x:v>0</x:v>
      </x:c>
      <x:c r="H1795" s="85" t="n">
        <x:v>0</x:v>
      </x:c>
      <x:c r="I1795" s="85" t="n">
        <x:v>0</x:v>
      </x:c>
      <x:c r="J1795" s="85" t="n">
        <x:v>0</x:v>
      </x:c>
      <x:c r="K1795" s="85" t="n">
        <x:v>9056746.52794832</x:v>
      </x:c>
      <x:c r="L1795" s="28" t="n">
        <x:v>0</x:v>
      </x:c>
      <x:c r="M1795" s="28" t="n">
        <x:v>0</x:v>
      </x:c>
      <x:c r="N1795" s="28" t="n">
        <x:v>3.725290298461914e-9</x:v>
      </x:c>
      <x:c r="O1795" s="28" t="n">
        <x:v>5.960464477539063e-8</x:v>
      </x:c>
      <x:c r="P1795" s="28" t="n">
        <x:v>0</x:v>
      </x:c>
      <x:c r="Q1795" s="62" t="b">
        <x:v>1</x:v>
      </x:c>
      <x:c r="R1795" s="28" t="n">
        <x:v>0</x:v>
      </x:c>
      <x:c r="S1795" s="28" t="str">
        <x:v>92228d37b7a4db49</x:v>
      </x:c>
    </x:row>
    <x:row r="1796" ht="21" customHeight="1">
      <x:c r="A1796" s="60" t="n">
        <x:v>0.67</x:v>
      </x:c>
      <x:c r="B1796" s="28" t="str">
        <x:v>front_low</x:v>
      </x:c>
      <x:c r="C1796" s="60" t="n">
        <x:v>0.15</x:v>
      </x:c>
      <x:c r="D1796" s="60" t="n">
        <x:v>0.15</x:v>
      </x:c>
      <x:c r="E1796" s="62" t="b">
        <x:v>1</x:v>
      </x:c>
      <x:c r="F1796" s="62" t="b">
        <x:v>1</x:v>
      </x:c>
      <x:c r="G1796" s="85" t="n">
        <x:v>0</x:v>
      </x:c>
      <x:c r="H1796" s="85" t="n">
        <x:v>0</x:v>
      </x:c>
      <x:c r="I1796" s="85" t="n">
        <x:v>1524103.5960721793</x:v>
      </x:c>
      <x:c r="J1796" s="85" t="n">
        <x:v>0</x:v>
      </x:c>
      <x:c r="K1796" s="85" t="n">
        <x:v>483379.61543012195</x:v>
      </x:c>
      <x:c r="L1796" s="28" t="n">
        <x:v>0</x:v>
      </x:c>
      <x:c r="M1796" s="28" t="n">
        <x:v>0</x:v>
      </x:c>
      <x:c r="N1796" s="28" t="n">
        <x:v>3.725290298461914e-9</x:v>
      </x:c>
      <x:c r="O1796" s="28" t="n">
        <x:v>2.9802322387695312e-8</x:v>
      </x:c>
      <x:c r="P1796" s="28" t="n">
        <x:v>0</x:v>
      </x:c>
      <x:c r="Q1796" s="62" t="b">
        <x:v>1</x:v>
      </x:c>
      <x:c r="R1796" s="28" t="n">
        <x:v>0</x:v>
      </x:c>
      <x:c r="S1796" s="28" t="str">
        <x:v>cdf83cc3c75adccb</x:v>
      </x:c>
    </x:row>
    <x:row r="1797" ht="21" customHeight="1">
      <x:c r="A1797" s="60" t="n">
        <x:v>0.67</x:v>
      </x:c>
      <x:c r="B1797" s="28" t="str">
        <x:v>front_low</x:v>
      </x:c>
      <x:c r="C1797" s="60" t="n">
        <x:v>0.2</x:v>
      </x:c>
      <x:c r="D1797" s="60" t="n">
        <x:v>0.2</x:v>
      </x:c>
      <x:c r="E1797" s="62" t="b">
        <x:v>1</x:v>
      </x:c>
      <x:c r="F1797" s="62" t="b">
        <x:v>1</x:v>
      </x:c>
      <x:c r="G1797" s="85" t="n">
        <x:v>0</x:v>
      </x:c>
      <x:c r="H1797" s="85" t="n">
        <x:v>0</x:v>
      </x:c>
      <x:c r="I1797" s="85" t="n">
        <x:v>7771592.688312583</x:v>
      </x:c>
      <x:c r="J1797" s="85" t="n">
        <x:v>6284479.497374642</x:v>
      </x:c>
      <x:c r="K1797" s="85" t="n">
        <x:v>281956.61029178114</x:v>
      </x:c>
      <x:c r="L1797" s="28" t="n">
        <x:v>0</x:v>
      </x:c>
      <x:c r="M1797" s="28" t="n">
        <x:v>0</x:v>
      </x:c>
      <x:c r="N1797" s="28" t="n">
        <x:v>1.862645149230957e-9</x:v>
      </x:c>
      <x:c r="O1797" s="28" t="n">
        <x:v>2.9802322387695312e-8</x:v>
      </x:c>
      <x:c r="P1797" s="28" t="n">
        <x:v>0</x:v>
      </x:c>
      <x:c r="Q1797" s="62" t="b">
        <x:v>1</x:v>
      </x:c>
      <x:c r="R1797" s="28" t="n">
        <x:v>0</x:v>
      </x:c>
      <x:c r="S1797" s="28" t="str">
        <x:v>105142269d9715fe</x:v>
      </x:c>
    </x:row>
    <x:row r="1798" ht="21" customHeight="1">
      <x:c r="A1798" s="60" t="n">
        <x:v>0.67</x:v>
      </x:c>
      <x:c r="B1798" s="28" t="str">
        <x:v>front_low</x:v>
      </x:c>
      <x:c r="C1798" s="60" t="n">
        <x:v>0.25</x:v>
      </x:c>
      <x:c r="D1798" s="60" t="n">
        <x:v>0.25</x:v>
      </x:c>
      <x:c r="E1798" s="62" t="b">
        <x:v>1</x:v>
      </x:c>
      <x:c r="F1798" s="62" t="b">
        <x:v>1</x:v>
      </x:c>
      <x:c r="G1798" s="85" t="n">
        <x:v>0</x:v>
      </x:c>
      <x:c r="H1798" s="85" t="n">
        <x:v>0</x:v>
      </x:c>
      <x:c r="I1798" s="85" t="n">
        <x:v>11956426.708429066</x:v>
      </x:c>
      <x:c r="J1798" s="85" t="n">
        <x:v>15355599.371718226</x:v>
      </x:c>
      <x:c r="K1798" s="85" t="n">
        <x:v>189001.90517294436</x:v>
      </x:c>
      <x:c r="L1798" s="28" t="n">
        <x:v>0</x:v>
      </x:c>
      <x:c r="M1798" s="28" t="n">
        <x:v>0</x:v>
      </x:c>
      <x:c r="N1798" s="28" t="n">
        <x:v>1.862645149230957e-9</x:v>
      </x:c>
      <x:c r="O1798" s="28" t="n">
        <x:v>1.4901161193847656e-8</x:v>
      </x:c>
      <x:c r="P1798" s="28" t="n">
        <x:v>0</x:v>
      </x:c>
      <x:c r="Q1798" s="62" t="b">
        <x:v>1</x:v>
      </x:c>
      <x:c r="R1798" s="28" t="n">
        <x:v>0</x:v>
      </x:c>
      <x:c r="S1798" s="28" t="str">
        <x:v>9b525cfa6b2e8412</x:v>
      </x:c>
    </x:row>
    <x:row r="1799" ht="21" customHeight="1">
      <x:c r="A1799" s="60" t="n">
        <x:v>0.67</x:v>
      </x:c>
      <x:c r="B1799" s="28" t="str">
        <x:v>front_low</x:v>
      </x:c>
      <x:c r="C1799" s="60" t="n">
        <x:v>0.3</x:v>
      </x:c>
      <x:c r="D1799" s="60" t="n">
        <x:v>0.3</x:v>
      </x:c>
      <x:c r="E1799" s="62" t="b">
        <x:v>1</x:v>
      </x:c>
      <x:c r="F1799" s="62" t="b">
        <x:v>1</x:v>
      </x:c>
      <x:c r="G1799" s="85" t="n">
        <x:v>0</x:v>
      </x:c>
      <x:c r="H1799" s="85" t="n">
        <x:v>0</x:v>
      </x:c>
      <x:c r="I1799" s="85" t="n">
        <x:v>16330819.69381121</x:v>
      </x:c>
      <x:c r="J1799" s="85" t="n">
        <x:v>24426719.24606188</x:v>
      </x:c>
      <x:c r="K1799" s="85" t="n">
        <x:v>153497.23661849627</x:v>
      </x:c>
      <x:c r="L1799" s="28" t="n">
        <x:v>0</x:v>
      </x:c>
      <x:c r="M1799" s="28" t="n">
        <x:v>0</x:v>
      </x:c>
      <x:c r="N1799" s="28" t="n">
        <x:v>3.725290298461914e-9</x:v>
      </x:c>
      <x:c r="O1799" s="28" t="n">
        <x:v>2.9802322387695312e-8</x:v>
      </x:c>
      <x:c r="P1799" s="28" t="n">
        <x:v>0</x:v>
      </x:c>
      <x:c r="Q1799" s="62" t="b">
        <x:v>1</x:v>
      </x:c>
      <x:c r="R1799" s="28" t="n">
        <x:v>0</x:v>
      </x:c>
      <x:c r="S1799" s="28" t="str">
        <x:v>e4cbbcbee93c044b</x:v>
      </x:c>
    </x:row>
    <x:row r="1800" ht="21" customHeight="1">
      <x:c r="A1800" s="60" t="n">
        <x:v>0.67</x:v>
      </x:c>
      <x:c r="B1800" s="28" t="str">
        <x:v>front_low</x:v>
      </x:c>
      <x:c r="C1800" s="60" t="n">
        <x:v>0.35</x:v>
      </x:c>
      <x:c r="D1800" s="60" t="n">
        <x:v>0.35</x:v>
      </x:c>
      <x:c r="E1800" s="62" t="b">
        <x:v>1</x:v>
      </x:c>
      <x:c r="F1800" s="62" t="b">
        <x:v>1</x:v>
      </x:c>
      <x:c r="G1800" s="85" t="n">
        <x:v>0</x:v>
      </x:c>
      <x:c r="H1800" s="85" t="n">
        <x:v>0</x:v>
      </x:c>
      <x:c r="I1800" s="85" t="n">
        <x:v>20738744.82221085</x:v>
      </x:c>
      <x:c r="J1800" s="85" t="n">
        <x:v>33497839.12040553</x:v>
      </x:c>
      <x:c r="K1800" s="85" t="n">
        <x:v>117992.56806403935</x:v>
      </x:c>
      <x:c r="L1800" s="28" t="n">
        <x:v>0</x:v>
      </x:c>
      <x:c r="M1800" s="28" t="n">
        <x:v>0</x:v>
      </x:c>
      <x:c r="N1800" s="28" t="n">
        <x:v>3.725290298461914e-9</x:v>
      </x:c>
      <x:c r="O1800" s="28" t="n">
        <x:v>7.450580596923828e-9</x:v>
      </x:c>
      <x:c r="P1800" s="28" t="n">
        <x:v>0</x:v>
      </x:c>
      <x:c r="Q1800" s="62" t="b">
        <x:v>1</x:v>
      </x:c>
      <x:c r="R1800" s="28" t="n">
        <x:v>0</x:v>
      </x:c>
      <x:c r="S1800" s="28" t="str">
        <x:v>56948ef45f7ab6c8</x:v>
      </x:c>
    </x:row>
    <x:row r="1801" ht="21" customHeight="1">
      <x:c r="A1801" s="60" t="n">
        <x:v>0.67</x:v>
      </x:c>
      <x:c r="B1801" s="28" t="str">
        <x:v>front_low</x:v>
      </x:c>
      <x:c r="C1801" s="60" t="n">
        <x:v>0.4</x:v>
      </x:c>
      <x:c r="D1801" s="60" t="n">
        <x:v>0.4</x:v>
      </x:c>
      <x:c r="E1801" s="62" t="b">
        <x:v>1</x:v>
      </x:c>
      <x:c r="F1801" s="62" t="b">
        <x:v>1</x:v>
      </x:c>
      <x:c r="G1801" s="85" t="n">
        <x:v>0</x:v>
      </x:c>
      <x:c r="H1801" s="85" t="n">
        <x:v>0</x:v>
      </x:c>
      <x:c r="I1801" s="85" t="n">
        <x:v>28873538.0708267</x:v>
      </x:c>
      <x:c r="J1801" s="85" t="n">
        <x:v>36288888.24693617</x:v>
      </x:c>
      <x:c r="K1801" s="85" t="n">
        <x:v>82487.89950958756</x:v>
      </x:c>
      <x:c r="L1801" s="28" t="n">
        <x:v>8</x:v>
      </x:c>
      <x:c r="M1801" s="28" t="n">
        <x:v>0</x:v>
      </x:c>
      <x:c r="N1801" s="28" t="n">
        <x:v>1.862645149230957e-9</x:v>
      </x:c>
      <x:c r="O1801" s="28" t="n">
        <x:v>2.9802322387695312e-8</x:v>
      </x:c>
      <x:c r="P1801" s="28" t="n">
        <x:v>0</x:v>
      </x:c>
      <x:c r="Q1801" s="62" t="b">
        <x:v>1</x:v>
      </x:c>
      <x:c r="R1801" s="28" t="n">
        <x:v>0</x:v>
      </x:c>
      <x:c r="S1801" s="28" t="str">
        <x:v>7f2f9d2169dd3708</x:v>
      </x:c>
    </x:row>
    <x:row r="1802" ht="21" customHeight="1">
      <x:c r="A1802" s="60" t="n">
        <x:v>0.67</x:v>
      </x:c>
      <x:c r="B1802" s="28" t="str">
        <x:v>front_low</x:v>
      </x:c>
      <x:c r="C1802" s="60" t="n">
        <x:v>0.45</x:v>
      </x:c>
      <x:c r="D1802" s="60" t="n">
        <x:v>0.45</x:v>
      </x:c>
      <x:c r="E1802" s="62" t="b">
        <x:v>1</x:v>
      </x:c>
      <x:c r="F1802" s="62" t="b">
        <x:v>1</x:v>
      </x:c>
      <x:c r="G1802" s="85" t="n">
        <x:v>0</x:v>
      </x:c>
      <x:c r="H1802" s="85" t="n">
        <x:v>0</x:v>
      </x:c>
      <x:c r="I1802" s="85" t="n">
        <x:v>35786405.13835401</x:v>
      </x:c>
      <x:c r="J1802" s="85" t="n">
        <x:v>41260292.38665767</x:v>
      </x:c>
      <x:c r="K1802" s="85" t="n">
        <x:v>46983.2309551404</x:v>
      </x:c>
      <x:c r="L1802" s="28" t="n">
        <x:v>15</x:v>
      </x:c>
      <x:c r="M1802" s="28" t="n">
        <x:v>0</x:v>
      </x:c>
      <x:c r="N1802" s="28" t="n">
        <x:v>1.862645149230957e-9</x:v>
      </x:c>
      <x:c r="O1802" s="28" t="n">
        <x:v>2.9802322387695312e-8</x:v>
      </x:c>
      <x:c r="P1802" s="28" t="n">
        <x:v>0</x:v>
      </x:c>
      <x:c r="Q1802" s="62" t="b">
        <x:v>1</x:v>
      </x:c>
      <x:c r="R1802" s="28" t="n">
        <x:v>0</x:v>
      </x:c>
      <x:c r="S1802" s="28" t="str">
        <x:v>3066ad39724955a0</x:v>
      </x:c>
    </x:row>
    <x:row r="1803" ht="21" customHeight="1">
      <x:c r="A1803" s="60" t="n">
        <x:v>0.67</x:v>
      </x:c>
      <x:c r="B1803" s="28" t="str">
        <x:v>front_low</x:v>
      </x:c>
      <x:c r="C1803" s="60" t="n">
        <x:v>0.5</x:v>
      </x:c>
      <x:c r="D1803" s="60" t="n">
        <x:v>0.5</x:v>
      </x:c>
      <x:c r="E1803" s="62" t="b">
        <x:v>1</x:v>
      </x:c>
      <x:c r="F1803" s="62" t="b">
        <x:v>1</x:v>
      </x:c>
      <x:c r="G1803" s="85" t="n">
        <x:v>0</x:v>
      </x:c>
      <x:c r="H1803" s="85" t="n">
        <x:v>0</x:v>
      </x:c>
      <x:c r="I1803" s="85" t="n">
        <x:v>40105539.038473</x:v>
      </x:c>
      <x:c r="J1803" s="85" t="n">
        <x:v>50519673.421597175</x:v>
      </x:c>
      <x:c r="K1803" s="85" t="n">
        <x:v>11478.562400685347</x:v>
      </x:c>
      <x:c r="L1803" s="28" t="n">
        <x:v>18</x:v>
      </x:c>
      <x:c r="M1803" s="28" t="n">
        <x:v>0</x:v>
      </x:c>
      <x:c r="N1803" s="28" t="n">
        <x:v>1.862645149230957e-9</x:v>
      </x:c>
      <x:c r="O1803" s="28" t="n">
        <x:v>2.9802322387695312e-8</x:v>
      </x:c>
      <x:c r="P1803" s="28" t="n">
        <x:v>0</x:v>
      </x:c>
      <x:c r="Q1803" s="62" t="b">
        <x:v>1</x:v>
      </x:c>
      <x:c r="R1803" s="28" t="n">
        <x:v>0</x:v>
      </x:c>
      <x:c r="S1803" s="28" t="str">
        <x:v>b36b8e715e07f328</x:v>
      </x:c>
    </x:row>
    <x:row r="1804" ht="21" customHeight="1">
      <x:c r="A1804" s="60" t="n">
        <x:v>0.67</x:v>
      </x:c>
      <x:c r="B1804" s="28" t="str">
        <x:v>front_low</x:v>
      </x:c>
      <x:c r="C1804" s="60" t="n">
        <x:v>0.55</x:v>
      </x:c>
      <x:c r="D1804" s="60" t="n">
        <x:v>0.55</x:v>
      </x:c>
      <x:c r="E1804" s="62" t="b">
        <x:v>1</x:v>
      </x:c>
      <x:c r="F1804" s="62" t="b">
        <x:v>1</x:v>
      </x:c>
      <x:c r="G1804" s="85" t="n">
        <x:v>0</x:v>
      </x:c>
      <x:c r="H1804" s="85" t="n">
        <x:v>0</x:v>
      </x:c>
      <x:c r="I1804" s="85" t="n">
        <x:v>43969096.01099483</x:v>
      </x:c>
      <x:c r="J1804" s="85" t="n">
        <x:v>60357664.72650201</x:v>
      </x:c>
      <x:c r="K1804" s="85" t="n">
        <x:v>0</x:v>
      </x:c>
      <x:c r="L1804" s="28" t="n">
        <x:v>21</x:v>
      </x:c>
      <x:c r="M1804" s="28" t="n">
        <x:v>0</x:v>
      </x:c>
      <x:c r="N1804" s="28" t="n">
        <x:v>1.862645149230957e-9</x:v>
      </x:c>
      <x:c r="O1804" s="28" t="n">
        <x:v>2.9802322387695312e-8</x:v>
      </x:c>
      <x:c r="P1804" s="28" t="n">
        <x:v>0</x:v>
      </x:c>
      <x:c r="Q1804" s="62" t="b">
        <x:v>1</x:v>
      </x:c>
      <x:c r="R1804" s="28" t="n">
        <x:v>0</x:v>
      </x:c>
      <x:c r="S1804" s="28" t="str">
        <x:v>098cccda947ba3a9</x:v>
      </x:c>
    </x:row>
    <x:row r="1805" ht="21" customHeight="1">
      <x:c r="A1805" s="60" t="n">
        <x:v>0.67</x:v>
      </x:c>
      <x:c r="B1805" s="28" t="str">
        <x:v>front_low</x:v>
      </x:c>
      <x:c r="C1805" s="60" t="n">
        <x:v>0.6</x:v>
      </x:c>
      <x:c r="D1805" s="60" t="n">
        <x:v>0.6</x:v>
      </x:c>
      <x:c r="E1805" s="62" t="b">
        <x:v>1</x:v>
      </x:c>
      <x:c r="F1805" s="62" t="b">
        <x:v>0</x:v>
      </x:c>
      <x:c r="G1805" s="85" t="n">
        <x:v>49222.277277578134</x:v>
      </x:c>
      <x:c r="H1805" s="85" t="n">
        <x:v>757438.7103068648</x:v>
      </x:c>
      <x:c r="I1805" s="85" t="n">
        <x:v>47661041.09589042</x:v>
      </x:c>
      <x:c r="J1805" s="85" t="n">
        <x:v>68999999.99999999</x:v>
      </x:c>
      <x:c r="K1805" s="85" t="n">
        <x:v>0</x:v>
      </x:c>
      <x:c r="L1805" s="28" t="n">
        <x:v>46</x:v>
      </x:c>
      <x:c r="M1805" s="28" t="n">
        <x:v>19</x:v>
      </x:c>
      <x:c r="N1805" s="28" t="n">
        <x:v>9.313225746154785e-10</x:v>
      </x:c>
      <x:c r="O1805" s="28" t="n">
        <x:v>2.9802322387695312e-8</x:v>
      </x:c>
      <x:c r="P1805" s="28" t="n">
        <x:v>0</x:v>
      </x:c>
      <x:c r="Q1805" s="62" t="b">
        <x:v>1</x:v>
      </x:c>
      <x:c r="R1805" s="28" t="n">
        <x:v>0</x:v>
      </x:c>
      <x:c r="S1805" s="28" t="str">
        <x:v>58a421be4c14bbfe</x:v>
      </x:c>
    </x:row>
    <x:row r="1806" ht="21" customHeight="1">
      <x:c r="A1806" s="60" t="n">
        <x:v>0.67</x:v>
      </x:c>
      <x:c r="B1806" s="28" t="str">
        <x:v>front_low</x:v>
      </x:c>
      <x:c r="C1806" s="60" t="n">
        <x:v>0.65</x:v>
      </x:c>
      <x:c r="D1806" s="60" t="n">
        <x:v>0.65</x:v>
      </x:c>
      <x:c r="E1806" s="62" t="b">
        <x:v>1</x:v>
      </x:c>
      <x:c r="F1806" s="62" t="b">
        <x:v>0</x:v>
      </x:c>
      <x:c r="G1806" s="85" t="n">
        <x:v>794470.9982848383</x:v>
      </x:c>
      <x:c r="H1806" s="85" t="n">
        <x:v>11961510.84937858</x:v>
      </x:c>
      <x:c r="I1806" s="85" t="n">
        <x:v>47661041.09589042</x:v>
      </x:c>
      <x:c r="J1806" s="85" t="n">
        <x:v>68999999.99999999</x:v>
      </x:c>
      <x:c r="K1806" s="85" t="n">
        <x:v>0</x:v>
      </x:c>
      <x:c r="L1806" s="28" t="n">
        <x:v>46</x:v>
      </x:c>
      <x:c r="M1806" s="28" t="n">
        <x:v>30</x:v>
      </x:c>
      <x:c r="N1806" s="28" t="n">
        <x:v>9.313225746154785e-10</x:v>
      </x:c>
      <x:c r="O1806" s="28" t="n">
        <x:v>2.9802322387695312e-8</x:v>
      </x:c>
      <x:c r="P1806" s="28" t="n">
        <x:v>0</x:v>
      </x:c>
      <x:c r="Q1806" s="62" t="b">
        <x:v>1</x:v>
      </x:c>
      <x:c r="R1806" s="28" t="n">
        <x:v>0</x:v>
      </x:c>
      <x:c r="S1806" s="28" t="str">
        <x:v>cbd615e0eddcec78</x:v>
      </x:c>
    </x:row>
    <x:row r="1807" ht="21" customHeight="1">
      <x:c r="A1807" s="60" t="n">
        <x:v>0.67</x:v>
      </x:c>
      <x:c r="B1807" s="28" t="str">
        <x:v>front_low</x:v>
      </x:c>
      <x:c r="C1807" s="60" t="n">
        <x:v>0.7</x:v>
      </x:c>
      <x:c r="D1807" s="60" t="n">
        <x:v>0.7</x:v>
      </x:c>
      <x:c r="E1807" s="62" t="b">
        <x:v>1</x:v>
      </x:c>
      <x:c r="F1807" s="62" t="b">
        <x:v>0</x:v>
      </x:c>
      <x:c r="G1807" s="85" t="n">
        <x:v>1537032.9138088194</x:v>
      </x:c>
      <x:c r="H1807" s="85" t="n">
        <x:v>23165582.988450292</x:v>
      </x:c>
      <x:c r="I1807" s="85" t="n">
        <x:v>47661041.09589042</x:v>
      </x:c>
      <x:c r="J1807" s="85" t="n">
        <x:v>68999999.99999999</x:v>
      </x:c>
      <x:c r="K1807" s="85" t="n">
        <x:v>0</x:v>
      </x:c>
      <x:c r="L1807" s="28" t="n">
        <x:v>46</x:v>
      </x:c>
      <x:c r="M1807" s="28" t="n">
        <x:v>32</x:v>
      </x:c>
      <x:c r="N1807" s="28" t="n">
        <x:v>1.862645149230957e-9</x:v>
      </x:c>
      <x:c r="O1807" s="28" t="n">
        <x:v>2.9802322387695312e-8</x:v>
      </x:c>
      <x:c r="P1807" s="28" t="n">
        <x:v>0</x:v>
      </x:c>
      <x:c r="Q1807" s="62" t="b">
        <x:v>1</x:v>
      </x:c>
      <x:c r="R1807" s="28" t="n">
        <x:v>0</x:v>
      </x:c>
      <x:c r="S1807" s="28" t="str">
        <x:v>53ce7e2c780cddb7</x:v>
      </x:c>
    </x:row>
    <x:row r="1808" ht="21" customHeight="1">
      <x:c r="A1808" s="60" t="n">
        <x:v>0.67</x:v>
      </x:c>
      <x:c r="B1808" s="28" t="str">
        <x:v>front_low</x:v>
      </x:c>
      <x:c r="C1808" s="60" t="n">
        <x:v>0.75</x:v>
      </x:c>
      <x:c r="D1808" s="60" t="n">
        <x:v>0.75</x:v>
      </x:c>
      <x:c r="E1808" s="62" t="b">
        <x:v>1</x:v>
      </x:c>
      <x:c r="F1808" s="62" t="b">
        <x:v>0</x:v>
      </x:c>
      <x:c r="G1808" s="85" t="n">
        <x:v>2591476.147968545</x:v>
      </x:c>
      <x:c r="H1808" s="85" t="n">
        <x:v>34109801.7959525</x:v>
      </x:c>
      <x:c r="I1808" s="85" t="n">
        <x:v>47668373.908984594</x:v>
      </x:c>
      <x:c r="J1808" s="85" t="n">
        <x:v>68999999.99999999</x:v>
      </x:c>
      <x:c r="K1808" s="85" t="n">
        <x:v>0</x:v>
      </x:c>
      <x:c r="L1808" s="28" t="n">
        <x:v>46</x:v>
      </x:c>
      <x:c r="M1808" s="28" t="n">
        <x:v>34</x:v>
      </x:c>
      <x:c r="N1808" s="28" t="n">
        <x:v>1.862645149230957e-9</x:v>
      </x:c>
      <x:c r="O1808" s="28" t="n">
        <x:v>2.9802322387695312e-8</x:v>
      </x:c>
      <x:c r="P1808" s="28" t="n">
        <x:v>0</x:v>
      </x:c>
      <x:c r="Q1808" s="62" t="b">
        <x:v>1</x:v>
      </x:c>
      <x:c r="R1808" s="28" t="n">
        <x:v>0</x:v>
      </x:c>
      <x:c r="S1808" s="28" t="str">
        <x:v>41c9beaa80f00d88</x:v>
      </x:c>
    </x:row>
    <x:row r="1809" ht="21" customHeight="1">
      <x:c r="A1809" s="60" t="n">
        <x:v>0.67</x:v>
      </x:c>
      <x:c r="B1809" s="28" t="str">
        <x:v>front_low</x:v>
      </x:c>
      <x:c r="C1809" s="60" t="n">
        <x:v>0.8</x:v>
      </x:c>
      <x:c r="D1809" s="60" t="n">
        <x:v>0.8</x:v>
      </x:c>
      <x:c r="E1809" s="62" t="b">
        <x:v>1</x:v>
      </x:c>
      <x:c r="F1809" s="62" t="b">
        <x:v>0</x:v>
      </x:c>
      <x:c r="G1809" s="85" t="n">
        <x:v>3445176.3015755345</x:v>
      </x:c>
      <x:c r="H1809" s="85" t="n">
        <x:v>45008146.287859805</x:v>
      </x:c>
      <x:c r="I1809" s="85" t="n">
        <x:v>47692446.05917261</x:v>
      </x:c>
      <x:c r="J1809" s="85" t="n">
        <x:v>68999999.99999999</x:v>
      </x:c>
      <x:c r="K1809" s="85" t="n">
        <x:v>0</x:v>
      </x:c>
      <x:c r="L1809" s="28" t="n">
        <x:v>46</x:v>
      </x:c>
      <x:c r="M1809" s="28" t="n">
        <x:v>36</x:v>
      </x:c>
      <x:c r="N1809" s="28" t="n">
        <x:v>1.862645149230957e-9</x:v>
      </x:c>
      <x:c r="O1809" s="28" t="n">
        <x:v>1.4901161193847656e-8</x:v>
      </x:c>
      <x:c r="P1809" s="28" t="n">
        <x:v>0</x:v>
      </x:c>
      <x:c r="Q1809" s="62" t="b">
        <x:v>1</x:v>
      </x:c>
      <x:c r="R1809" s="28" t="n">
        <x:v>0</x:v>
      </x:c>
      <x:c r="S1809" s="28" t="str">
        <x:v>7a9f0f64a28a99f9</x:v>
      </x:c>
    </x:row>
    <x:row r="1810" ht="21" customHeight="1">
      <x:c r="A1810" s="60" t="n">
        <x:v>0.67</x:v>
      </x:c>
      <x:c r="B1810" s="28" t="str">
        <x:v>front_low</x:v>
      </x:c>
      <x:c r="C1810" s="60" t="n">
        <x:v>0.85</x:v>
      </x:c>
      <x:c r="D1810" s="60" t="n">
        <x:v>0.85</x:v>
      </x:c>
      <x:c r="E1810" s="62" t="b">
        <x:v>1</x:v>
      </x:c>
      <x:c r="F1810" s="62" t="b">
        <x:v>0</x:v>
      </x:c>
      <x:c r="G1810" s="85" t="n">
        <x:v>4434038.7658289075</x:v>
      </x:c>
      <x:c r="H1810" s="85" t="n">
        <x:v>54634830.280570835</x:v>
      </x:c>
      <x:c r="I1810" s="85" t="n">
        <x:v>48693205.47945206</x:v>
      </x:c>
      <x:c r="J1810" s="85" t="n">
        <x:v>68999999.99999999</x:v>
      </x:c>
      <x:c r="K1810" s="85" t="n">
        <x:v>0</x:v>
      </x:c>
      <x:c r="L1810" s="28" t="n">
        <x:v>47</x:v>
      </x:c>
      <x:c r="M1810" s="28" t="n">
        <x:v>38</x:v>
      </x:c>
      <x:c r="N1810" s="28" t="n">
        <x:v>9.313225746154785e-10</x:v>
      </x:c>
      <x:c r="O1810" s="28" t="n">
        <x:v>1.862645149230957e-9</x:v>
      </x:c>
      <x:c r="P1810" s="28" t="n">
        <x:v>0</x:v>
      </x:c>
      <x:c r="Q1810" s="62" t="b">
        <x:v>1</x:v>
      </x:c>
      <x:c r="R1810" s="28" t="n">
        <x:v>0</x:v>
      </x:c>
      <x:c r="S1810" s="28" t="str">
        <x:v>3f6cb46a9f0b4f54</x:v>
      </x:c>
    </x:row>
    <x:row r="1811" ht="21" customHeight="1">
      <x:c r="A1811" s="60" t="n">
        <x:v>0.67</x:v>
      </x:c>
      <x:c r="B1811" s="28" t="str">
        <x:v>front_low</x:v>
      </x:c>
      <x:c r="C1811" s="60" t="n">
        <x:v>0.9</x:v>
      </x:c>
      <x:c r="D1811" s="60" t="n">
        <x:v>0.9</x:v>
      </x:c>
      <x:c r="E1811" s="62" t="b">
        <x:v>1</x:v>
      </x:c>
      <x:c r="F1811" s="62" t="b">
        <x:v>0</x:v>
      </x:c>
      <x:c r="G1811" s="85" t="n">
        <x:v>5525270.577830125</x:v>
      </x:c>
      <x:c r="H1811" s="85" t="n">
        <x:v>65268946.4104585</x:v>
      </x:c>
      <x:c r="I1811" s="85" t="n">
        <x:v>48693205.47945206</x:v>
      </x:c>
      <x:c r="J1811" s="85" t="n">
        <x:v>68999999.99999999</x:v>
      </x:c>
      <x:c r="K1811" s="85" t="n">
        <x:v>0</x:v>
      </x:c>
      <x:c r="L1811" s="28" t="n">
        <x:v>47</x:v>
      </x:c>
      <x:c r="M1811" s="28" t="n">
        <x:v>38</x:v>
      </x:c>
      <x:c r="N1811" s="28" t="n">
        <x:v>9.313225746154785e-10</x:v>
      </x:c>
      <x:c r="O1811" s="28" t="n">
        <x:v>1.4901161193847656e-8</x:v>
      </x:c>
      <x:c r="P1811" s="28" t="n">
        <x:v>0</x:v>
      </x:c>
      <x:c r="Q1811" s="62" t="b">
        <x:v>1</x:v>
      </x:c>
      <x:c r="R1811" s="28" t="n">
        <x:v>0</x:v>
      </x:c>
      <x:c r="S1811" s="28" t="str">
        <x:v>c8a637a7268ba9b4</x:v>
      </x:c>
    </x:row>
    <x:row r="1812" ht="21" customHeight="1">
      <x:c r="A1812" s="60" t="n">
        <x:v>0.67</x:v>
      </x:c>
      <x:c r="B1812" s="28" t="str">
        <x:v>front_low</x:v>
      </x:c>
      <x:c r="C1812" s="60" t="n">
        <x:v>0.95</x:v>
      </x:c>
      <x:c r="D1812" s="60" t="n">
        <x:v>0.9497739906324524</x:v>
      </x:c>
      <x:c r="E1812" s="62" t="b">
        <x:v>0</x:v>
      </x:c>
      <x:c r="F1812" s="62" t="b">
        <x:v>0</x:v>
      </x:c>
      <x:c r="G1812" s="85" t="n">
        <x:v>8410121.263946436</x:v>
      </x:c>
      <x:c r="H1812" s="85" t="n">
        <x:v>73739322.61981907</x:v>
      </x:c>
      <x:c r="I1812" s="85" t="n">
        <x:v>48693205.47945206</x:v>
      </x:c>
      <x:c r="J1812" s="85" t="n">
        <x:v>68999999.99999999</x:v>
      </x:c>
      <x:c r="K1812" s="85" t="n">
        <x:v>0</x:v>
      </x:c>
      <x:c r="L1812" s="28" t="n">
        <x:v>47</x:v>
      </x:c>
      <x:c r="M1812" s="28" t="n">
        <x:v>40</x:v>
      </x:c>
      <x:c r="N1812" s="28" t="n">
        <x:v>1.862645149230957e-9</x:v>
      </x:c>
      <x:c r="O1812" s="28" t="n">
        <x:v>1.4901161193847656e-8</x:v>
      </x:c>
      <x:c r="P1812" s="28" t="n">
        <x:v>0</x:v>
      </x:c>
      <x:c r="Q1812" s="62" t="b">
        <x:v>1</x:v>
      </x:c>
      <x:c r="R1812" s="28" t="n">
        <x:v>67802.81026428938</x:v>
      </x:c>
      <x:c r="S1812" s="28" t="str">
        <x:v>3983506a60a24412</x:v>
      </x:c>
    </x:row>
    <x:row r="1813" ht="21" customHeight="1">
      <x:c r="A1813" s="60" t="n">
        <x:v>0.67</x:v>
      </x:c>
      <x:c r="B1813" s="28" t="str">
        <x:v>front_low</x:v>
      </x:c>
      <x:c r="C1813" s="60" t="n">
        <x:v>1</x:v>
      </x:c>
      <x:c r="D1813" s="60" t="n">
        <x:v>0.9646994850752131</x:v>
      </x:c>
      <x:c r="E1813" s="62" t="b">
        <x:v>0</x:v>
      </x:c>
      <x:c r="F1813" s="62" t="b">
        <x:v>0</x:v>
      </x:c>
      <x:c r="G1813" s="85" t="n">
        <x:v>9175018.883320015</x:v>
      </x:c>
      <x:c r="H1813" s="85" t="n">
        <x:v>77204091.85540277</x:v>
      </x:c>
      <x:c r="I1813" s="85" t="n">
        <x:v>48696868.05226028</x:v>
      </x:c>
      <x:c r="J1813" s="85" t="n">
        <x:v>68999999.99999999</x:v>
      </x:c>
      <x:c r="K1813" s="85" t="n">
        <x:v>0</x:v>
      </x:c>
      <x:c r="L1813" s="28" t="n">
        <x:v>47</x:v>
      </x:c>
      <x:c r="M1813" s="28" t="n">
        <x:v>42</x:v>
      </x:c>
      <x:c r="N1813" s="28" t="n">
        <x:v>9.313225746154785e-10</x:v>
      </x:c>
      <x:c r="O1813" s="28" t="n">
        <x:v>3.725290298461914e-9</x:v>
      </x:c>
      <x:c r="P1813" s="28" t="n">
        <x:v>0</x:v>
      </x:c>
      <x:c r="Q1813" s="62" t="b">
        <x:v>1</x:v>
      </x:c>
      <x:c r="R1813" s="28" t="n">
        <x:v>10590154.477436066</x:v>
      </x:c>
      <x:c r="S1813" s="28" t="str">
        <x:v>57f28db1079d7290</x:v>
      </x:c>
    </x:row>
    <x:row r="1814" ht="21" customHeight="1">
      <x:c r="A1814" s="60" t="n">
        <x:v>0.67</x:v>
      </x:c>
      <x:c r="B1814" s="28" t="str">
        <x:v>front_high</x:v>
      </x:c>
      <x:c r="C1814" s="60" t="n">
        <x:v>0</x:v>
      </x:c>
      <x:c r="D1814" s="60" t="n">
        <x:v>0</x:v>
      </x:c>
      <x:c r="E1814" s="62" t="b">
        <x:v>1</x:v>
      </x:c>
      <x:c r="F1814" s="62" t="b">
        <x:v>1</x:v>
      </x:c>
      <x:c r="G1814" s="85" t="n">
        <x:v>0</x:v>
      </x:c>
      <x:c r="H1814" s="85" t="n">
        <x:v>0</x:v>
      </x:c>
      <x:c r="I1814" s="85" t="n">
        <x:v>0</x:v>
      </x:c>
      <x:c r="J1814" s="85" t="n">
        <x:v>0</x:v>
      </x:c>
      <x:c r="K1814" s="85" t="n">
        <x:v>39768055.34041095</x:v>
      </x:c>
      <x:c r="L1814" s="28" t="n">
        <x:v>0</x:v>
      </x:c>
      <x:c r="M1814" s="28" t="n">
        <x:v>0</x:v>
      </x:c>
      <x:c r="N1814" s="28" t="n">
        <x:v>3.725290298461914e-9</x:v>
      </x:c>
      <x:c r="O1814" s="28" t="n">
        <x:v>0</x:v>
      </x:c>
      <x:c r="P1814" s="28" t="n">
        <x:v>0</x:v>
      </x:c>
      <x:c r="Q1814" s="62" t="b">
        <x:v>1</x:v>
      </x:c>
      <x:c r="R1814" s="28" t="n">
        <x:v>0</x:v>
      </x:c>
      <x:c r="S1814" s="28" t="str">
        <x:v>9858cd529ad446f8</x:v>
      </x:c>
    </x:row>
    <x:row r="1815" ht="21" customHeight="1">
      <x:c r="A1815" s="60" t="n">
        <x:v>0.67</x:v>
      </x:c>
      <x:c r="B1815" s="28" t="str">
        <x:v>front_high</x:v>
      </x:c>
      <x:c r="C1815" s="60" t="n">
        <x:v>0.05</x:v>
      </x:c>
      <x:c r="D1815" s="60" t="n">
        <x:v>0.05</x:v>
      </x:c>
      <x:c r="E1815" s="62" t="b">
        <x:v>1</x:v>
      </x:c>
      <x:c r="F1815" s="62" t="b">
        <x:v>1</x:v>
      </x:c>
      <x:c r="G1815" s="85" t="n">
        <x:v>0</x:v>
      </x:c>
      <x:c r="H1815" s="85" t="n">
        <x:v>0</x:v>
      </x:c>
      <x:c r="I1815" s="85" t="n">
        <x:v>0</x:v>
      </x:c>
      <x:c r="J1815" s="85" t="n">
        <x:v>0</x:v>
      </x:c>
      <x:c r="K1815" s="85" t="n">
        <x:v>25919082.240921427</x:v>
      </x:c>
      <x:c r="L1815" s="28" t="n">
        <x:v>0</x:v>
      </x:c>
      <x:c r="M1815" s="28" t="n">
        <x:v>0</x:v>
      </x:c>
      <x:c r="N1815" s="28" t="n">
        <x:v>3.725290298461914e-9</x:v>
      </x:c>
      <x:c r="O1815" s="28" t="n">
        <x:v>5.960464477539063e-8</x:v>
      </x:c>
      <x:c r="P1815" s="28" t="n">
        <x:v>0</x:v>
      </x:c>
      <x:c r="Q1815" s="62" t="b">
        <x:v>1</x:v>
      </x:c>
      <x:c r="R1815" s="28" t="n">
        <x:v>0</x:v>
      </x:c>
      <x:c r="S1815" s="28" t="str">
        <x:v>2d3f13b4884efa38</x:v>
      </x:c>
    </x:row>
    <x:row r="1816" ht="21" customHeight="1">
      <x:c r="A1816" s="60" t="n">
        <x:v>0.67</x:v>
      </x:c>
      <x:c r="B1816" s="28" t="str">
        <x:v>front_high</x:v>
      </x:c>
      <x:c r="C1816" s="60" t="n">
        <x:v>0.1</x:v>
      </x:c>
      <x:c r="D1816" s="60" t="n">
        <x:v>0.1</x:v>
      </x:c>
      <x:c r="E1816" s="62" t="b">
        <x:v>1</x:v>
      </x:c>
      <x:c r="F1816" s="62" t="b">
        <x:v>1</x:v>
      </x:c>
      <x:c r="G1816" s="85" t="n">
        <x:v>0</x:v>
      </x:c>
      <x:c r="H1816" s="85" t="n">
        <x:v>0</x:v>
      </x:c>
      <x:c r="I1816" s="85" t="n">
        <x:v>0</x:v>
      </x:c>
      <x:c r="J1816" s="85" t="n">
        <x:v>0</x:v>
      </x:c>
      <x:c r="K1816" s="85" t="n">
        <x:v>11908585.006119331</x:v>
      </x:c>
      <x:c r="L1816" s="28" t="n">
        <x:v>0</x:v>
      </x:c>
      <x:c r="M1816" s="28" t="n">
        <x:v>0</x:v>
      </x:c>
      <x:c r="N1816" s="28" t="n">
        <x:v>3.725290298461914e-9</x:v>
      </x:c>
      <x:c r="O1816" s="28" t="n">
        <x:v>5.960464477539063e-8</x:v>
      </x:c>
      <x:c r="P1816" s="28" t="n">
        <x:v>0</x:v>
      </x:c>
      <x:c r="Q1816" s="62" t="b">
        <x:v>1</x:v>
      </x:c>
      <x:c r="R1816" s="28" t="n">
        <x:v>0</x:v>
      </x:c>
      <x:c r="S1816" s="28" t="str">
        <x:v>448e3963ed5e5cea</x:v>
      </x:c>
    </x:row>
    <x:row r="1817" ht="21" customHeight="1">
      <x:c r="A1817" s="60" t="n">
        <x:v>0.67</x:v>
      </x:c>
      <x:c r="B1817" s="28" t="str">
        <x:v>front_high</x:v>
      </x:c>
      <x:c r="C1817" s="60" t="n">
        <x:v>0.15</x:v>
      </x:c>
      <x:c r="D1817" s="60" t="n">
        <x:v>0.15</x:v>
      </x:c>
      <x:c r="E1817" s="62" t="b">
        <x:v>1</x:v>
      </x:c>
      <x:c r="F1817" s="62" t="b">
        <x:v>1</x:v>
      </x:c>
      <x:c r="G1817" s="85" t="n">
        <x:v>0</x:v>
      </x:c>
      <x:c r="H1817" s="85" t="n">
        <x:v>0</x:v>
      </x:c>
      <x:c r="I1817" s="85" t="n">
        <x:v>2777376.1679577813</x:v>
      </x:c>
      <x:c r="J1817" s="85" t="n">
        <x:v>0</x:v>
      </x:c>
      <x:c r="K1817" s="85" t="n">
        <x:v>1421555.4145469652</x:v>
      </x:c>
      <x:c r="L1817" s="28" t="n">
        <x:v>0</x:v>
      </x:c>
      <x:c r="M1817" s="28" t="n">
        <x:v>0</x:v>
      </x:c>
      <x:c r="N1817" s="28" t="n">
        <x:v>3.725290298461914e-9</x:v>
      </x:c>
      <x:c r="O1817" s="28" t="n">
        <x:v>2.9802322387695312e-8</x:v>
      </x:c>
      <x:c r="P1817" s="28" t="n">
        <x:v>0</x:v>
      </x:c>
      <x:c r="Q1817" s="62" t="b">
        <x:v>1</x:v>
      </x:c>
      <x:c r="R1817" s="28" t="n">
        <x:v>0</x:v>
      </x:c>
      <x:c r="S1817" s="28" t="str">
        <x:v>71b373191066e693</x:v>
      </x:c>
    </x:row>
    <x:row r="1818" ht="21" customHeight="1">
      <x:c r="A1818" s="60" t="n">
        <x:v>0.67</x:v>
      </x:c>
      <x:c r="B1818" s="28" t="str">
        <x:v>front_high</x:v>
      </x:c>
      <x:c r="C1818" s="60" t="n">
        <x:v>0.2</x:v>
      </x:c>
      <x:c r="D1818" s="60" t="n">
        <x:v>0.2</x:v>
      </x:c>
      <x:c r="E1818" s="62" t="b">
        <x:v>1</x:v>
      </x:c>
      <x:c r="F1818" s="62" t="b">
        <x:v>1</x:v>
      </x:c>
      <x:c r="G1818" s="85" t="n">
        <x:v>0</x:v>
      </x:c>
      <x:c r="H1818" s="85" t="n">
        <x:v>0</x:v>
      </x:c>
      <x:c r="I1818" s="85" t="n">
        <x:v>13294552.143808085</x:v>
      </x:c>
      <x:c r="J1818" s="85" t="n">
        <x:v>6284479.497374642</x:v>
      </x:c>
      <x:c r="K1818" s="85" t="n">
        <x:v>824445.4661274073</x:v>
      </x:c>
      <x:c r="L1818" s="28" t="n">
        <x:v>0</x:v>
      </x:c>
      <x:c r="M1818" s="28" t="n">
        <x:v>0</x:v>
      </x:c>
      <x:c r="N1818" s="28" t="n">
        <x:v>1.862645149230957e-9</x:v>
      </x:c>
      <x:c r="O1818" s="28" t="n">
        <x:v>2.9802322387695312e-8</x:v>
      </x:c>
      <x:c r="P1818" s="28" t="n">
        <x:v>0</x:v>
      </x:c>
      <x:c r="Q1818" s="62" t="b">
        <x:v>1</x:v>
      </x:c>
      <x:c r="R1818" s="28" t="n">
        <x:v>0</x:v>
      </x:c>
      <x:c r="S1818" s="28" t="str">
        <x:v>4a42cc3c9c5df53f</x:v>
      </x:c>
    </x:row>
    <x:row r="1819" ht="21" customHeight="1">
      <x:c r="A1819" s="60" t="n">
        <x:v>0.67</x:v>
      </x:c>
      <x:c r="B1819" s="28" t="str">
        <x:v>front_high</x:v>
      </x:c>
      <x:c r="C1819" s="60" t="n">
        <x:v>0.25</x:v>
      </x:c>
      <x:c r="D1819" s="60" t="n">
        <x:v>0.25</x:v>
      </x:c>
      <x:c r="E1819" s="62" t="b">
        <x:v>1</x:v>
      </x:c>
      <x:c r="F1819" s="62" t="b">
        <x:v>1</x:v>
      </x:c>
      <x:c r="G1819" s="85" t="n">
        <x:v>0</x:v>
      </x:c>
      <x:c r="H1819" s="85" t="n">
        <x:v>0</x:v>
      </x:c>
      <x:c r="I1819" s="85" t="n">
        <x:v>22832615.332528207</x:v>
      </x:c>
      <x:c r="J1819" s="85" t="n">
        <x:v>15355599.371718226</x:v>
      </x:c>
      <x:c r="K1819" s="85" t="n">
        <x:v>557346.909878415</x:v>
      </x:c>
      <x:c r="L1819" s="28" t="n">
        <x:v>0</x:v>
      </x:c>
      <x:c r="M1819" s="28" t="n">
        <x:v>0</x:v>
      </x:c>
      <x:c r="N1819" s="28" t="n">
        <x:v>1.862645149230957e-9</x:v>
      </x:c>
      <x:c r="O1819" s="28" t="n">
        <x:v>1.4901161193847656e-8</x:v>
      </x:c>
      <x:c r="P1819" s="28" t="n">
        <x:v>0</x:v>
      </x:c>
      <x:c r="Q1819" s="62" t="b">
        <x:v>1</x:v>
      </x:c>
      <x:c r="R1819" s="28" t="n">
        <x:v>0</x:v>
      </x:c>
      <x:c r="S1819" s="28" t="str">
        <x:v>6106b4418d6be82d</x:v>
      </x:c>
    </x:row>
    <x:row r="1820" ht="21" customHeight="1">
      <x:c r="A1820" s="60" t="n">
        <x:v>0.67</x:v>
      </x:c>
      <x:c r="B1820" s="28" t="str">
        <x:v>front_high</x:v>
      </x:c>
      <x:c r="C1820" s="60" t="n">
        <x:v>0.3</x:v>
      </x:c>
      <x:c r="D1820" s="60" t="n">
        <x:v>0.3</x:v>
      </x:c>
      <x:c r="E1820" s="62" t="b">
        <x:v>1</x:v>
      </x:c>
      <x:c r="F1820" s="62" t="b">
        <x:v>1</x:v>
      </x:c>
      <x:c r="G1820" s="85" t="n">
        <x:v>0</x:v>
      </x:c>
      <x:c r="H1820" s="85" t="n">
        <x:v>0</x:v>
      </x:c>
      <x:c r="I1820" s="85" t="n">
        <x:v>32538672.66292979</x:v>
      </x:c>
      <x:c r="J1820" s="85" t="n">
        <x:v>24426719.24606188</x:v>
      </x:c>
      <x:c r="K1820" s="85" t="n">
        <x:v>462489.97207054833</x:v>
      </x:c>
      <x:c r="L1820" s="28" t="n">
        <x:v>0</x:v>
      </x:c>
      <x:c r="M1820" s="28" t="n">
        <x:v>0</x:v>
      </x:c>
      <x:c r="N1820" s="28" t="n">
        <x:v>3.725290298461914e-9</x:v>
      </x:c>
      <x:c r="O1820" s="28" t="n">
        <x:v>2.9802322387695312e-8</x:v>
      </x:c>
      <x:c r="P1820" s="28" t="n">
        <x:v>0</x:v>
      </x:c>
      <x:c r="Q1820" s="62" t="b">
        <x:v>1</x:v>
      </x:c>
      <x:c r="R1820" s="28" t="n">
        <x:v>0</x:v>
      </x:c>
      <x:c r="S1820" s="28" t="str">
        <x:v>a63948acecf6ae76</x:v>
      </x:c>
    </x:row>
    <x:row r="1821" ht="21" customHeight="1">
      <x:c r="A1821" s="60" t="n">
        <x:v>0.67</x:v>
      </x:c>
      <x:c r="B1821" s="28" t="str">
        <x:v>front_high</x:v>
      </x:c>
      <x:c r="C1821" s="60" t="n">
        <x:v>0.35</x:v>
      </x:c>
      <x:c r="D1821" s="60" t="n">
        <x:v>0.35</x:v>
      </x:c>
      <x:c r="E1821" s="62" t="b">
        <x:v>1</x:v>
      </x:c>
      <x:c r="F1821" s="62" t="b">
        <x:v>1</x:v>
      </x:c>
      <x:c r="G1821" s="85" t="n">
        <x:v>0</x:v>
      </x:c>
      <x:c r="H1821" s="85" t="n">
        <x:v>0</x:v>
      </x:c>
      <x:c r="I1821" s="85" t="n">
        <x:v>42357543.504471526</x:v>
      </x:c>
      <x:c r="J1821" s="85" t="n">
        <x:v>33497839.12040553</x:v>
      </x:c>
      <x:c r="K1821" s="85" t="n">
        <x:v>368188.9740366313</x:v>
      </x:c>
      <x:c r="L1821" s="28" t="n">
        <x:v>0</x:v>
      </x:c>
      <x:c r="M1821" s="28" t="n">
        <x:v>0</x:v>
      </x:c>
      <x:c r="N1821" s="28" t="n">
        <x:v>3.725290298461914e-9</x:v>
      </x:c>
      <x:c r="O1821" s="28" t="n">
        <x:v>7.450580596923828e-9</x:v>
      </x:c>
      <x:c r="P1821" s="28" t="n">
        <x:v>0</x:v>
      </x:c>
      <x:c r="Q1821" s="62" t="b">
        <x:v>1</x:v>
      </x:c>
      <x:c r="R1821" s="28" t="n">
        <x:v>0</x:v>
      </x:c>
      <x:c r="S1821" s="28" t="str">
        <x:v>fb32e0d0cbd48cdb</x:v>
      </x:c>
    </x:row>
    <x:row r="1822" ht="21" customHeight="1">
      <x:c r="A1822" s="60" t="n">
        <x:v>0.67</x:v>
      </x:c>
      <x:c r="B1822" s="28" t="str">
        <x:v>front_high</x:v>
      </x:c>
      <x:c r="C1822" s="60" t="n">
        <x:v>0.4</x:v>
      </x:c>
      <x:c r="D1822" s="60" t="n">
        <x:v>0.4</x:v>
      </x:c>
      <x:c r="E1822" s="62" t="b">
        <x:v>1</x:v>
      </x:c>
      <x:c r="F1822" s="62" t="b">
        <x:v>1</x:v>
      </x:c>
      <x:c r="G1822" s="85" t="n">
        <x:v>0</x:v>
      </x:c>
      <x:c r="H1822" s="85" t="n">
        <x:v>0</x:v>
      </x:c>
      <x:c r="I1822" s="85" t="n">
        <x:v>52509944.117520824</x:v>
      </x:c>
      <x:c r="J1822" s="85" t="n">
        <x:v>36136672.542399734</x:v>
      </x:c>
      <x:c r="K1822" s="85" t="n">
        <x:v>273887.97600273753</x:v>
      </x:c>
      <x:c r="L1822" s="28" t="n">
        <x:v>5</x:v>
      </x:c>
      <x:c r="M1822" s="28" t="n">
        <x:v>0</x:v>
      </x:c>
      <x:c r="N1822" s="28" t="n">
        <x:v>3.725290298461914e-9</x:v>
      </x:c>
      <x:c r="O1822" s="28" t="n">
        <x:v>2.9802322387695312e-8</x:v>
      </x:c>
      <x:c r="P1822" s="28" t="n">
        <x:v>0</x:v>
      </x:c>
      <x:c r="Q1822" s="62" t="b">
        <x:v>1</x:v>
      </x:c>
      <x:c r="R1822" s="28" t="n">
        <x:v>0</x:v>
      </x:c>
      <x:c r="S1822" s="28" t="str">
        <x:v>7f25cc89d4ae423f</x:v>
      </x:c>
    </x:row>
    <x:row r="1823" ht="21" customHeight="1">
      <x:c r="A1823" s="60" t="n">
        <x:v>0.67</x:v>
      </x:c>
      <x:c r="B1823" s="28" t="str">
        <x:v>front_high</x:v>
      </x:c>
      <x:c r="C1823" s="60" t="n">
        <x:v>0.45</x:v>
      </x:c>
      <x:c r="D1823" s="60" t="n">
        <x:v>0.45</x:v>
      </x:c>
      <x:c r="E1823" s="62" t="b">
        <x:v>1</x:v>
      </x:c>
      <x:c r="F1823" s="62" t="b">
        <x:v>1</x:v>
      </x:c>
      <x:c r="G1823" s="85" t="n">
        <x:v>0</x:v>
      </x:c>
      <x:c r="H1823" s="85" t="n">
        <x:v>0</x:v>
      </x:c>
      <x:c r="I1823" s="85" t="n">
        <x:v>62446011.92648654</x:v>
      </x:c>
      <x:c r="J1823" s="85" t="n">
        <x:v>39098305.73507233</x:v>
      </x:c>
      <x:c r="K1823" s="85" t="n">
        <x:v>179586.97796883722</x:v>
      </x:c>
      <x:c r="L1823" s="28" t="n">
        <x:v>10</x:v>
      </x:c>
      <x:c r="M1823" s="28" t="n">
        <x:v>0</x:v>
      </x:c>
      <x:c r="N1823" s="28" t="n">
        <x:v>3.725290298461914e-9</x:v>
      </x:c>
      <x:c r="O1823" s="28" t="n">
        <x:v>2.9802322387695312e-8</x:v>
      </x:c>
      <x:c r="P1823" s="28" t="n">
        <x:v>0</x:v>
      </x:c>
      <x:c r="Q1823" s="62" t="b">
        <x:v>1</x:v>
      </x:c>
      <x:c r="R1823" s="28" t="n">
        <x:v>0</x:v>
      </x:c>
      <x:c r="S1823" s="28" t="str">
        <x:v>dcd7ac11b515484a</x:v>
      </x:c>
    </x:row>
    <x:row r="1824" ht="21" customHeight="1">
      <x:c r="A1824" s="60" t="n">
        <x:v>0.67</x:v>
      </x:c>
      <x:c r="B1824" s="28" t="str">
        <x:v>front_high</x:v>
      </x:c>
      <x:c r="C1824" s="60" t="n">
        <x:v>0.5</x:v>
      </x:c>
      <x:c r="D1824" s="60" t="n">
        <x:v>0.5</x:v>
      </x:c>
      <x:c r="E1824" s="62" t="b">
        <x:v>1</x:v>
      </x:c>
      <x:c r="F1824" s="62" t="b">
        <x:v>1</x:v>
      </x:c>
      <x:c r="G1824" s="85" t="n">
        <x:v>0</x:v>
      </x:c>
      <x:c r="H1824" s="85" t="n">
        <x:v>0</x:v>
      </x:c>
      <x:c r="I1824" s="85" t="n">
        <x:v>72949679.25890344</x:v>
      </x:c>
      <x:c r="J1824" s="85" t="n">
        <x:v>45653399.818850584</x:v>
      </x:c>
      <x:c r="K1824" s="85" t="n">
        <x:v>139683.63791095887</x:v>
      </x:c>
      <x:c r="L1824" s="28" t="n">
        <x:v>17</x:v>
      </x:c>
      <x:c r="M1824" s="28" t="n">
        <x:v>0</x:v>
      </x:c>
      <x:c r="N1824" s="28" t="n">
        <x:v>1.862645149230957e-9</x:v>
      </x:c>
      <x:c r="O1824" s="28" t="n">
        <x:v>2.9802322387695312e-8</x:v>
      </x:c>
      <x:c r="P1824" s="28" t="n">
        <x:v>0</x:v>
      </x:c>
      <x:c r="Q1824" s="62" t="b">
        <x:v>1</x:v>
      </x:c>
      <x:c r="R1824" s="28" t="n">
        <x:v>0</x:v>
      </x:c>
      <x:c r="S1824" s="28" t="str">
        <x:v>29f088cbb55cda44</x:v>
      </x:c>
    </x:row>
    <x:row r="1825" ht="21" customHeight="1">
      <x:c r="A1825" s="60" t="n">
        <x:v>0.67</x:v>
      </x:c>
      <x:c r="B1825" s="28" t="str">
        <x:v>front_high</x:v>
      </x:c>
      <x:c r="C1825" s="60" t="n">
        <x:v>0.55</x:v>
      </x:c>
      <x:c r="D1825" s="60" t="n">
        <x:v>0.55</x:v>
      </x:c>
      <x:c r="E1825" s="62" t="b">
        <x:v>1</x:v>
      </x:c>
      <x:c r="F1825" s="62" t="b">
        <x:v>1</x:v>
      </x:c>
      <x:c r="G1825" s="85" t="n">
        <x:v>0</x:v>
      </x:c>
      <x:c r="H1825" s="85" t="n">
        <x:v>0</x:v>
      </x:c>
      <x:c r="I1825" s="85" t="n">
        <x:v>82381691.68859027</x:v>
      </x:c>
      <x:c r="J1825" s="85" t="n">
        <x:v>57497829.85917902</x:v>
      </x:c>
      <x:c r="K1825" s="85" t="n">
        <x:v>108249.51677054682</x:v>
      </x:c>
      <x:c r="L1825" s="28" t="n">
        <x:v>20</x:v>
      </x:c>
      <x:c r="M1825" s="28" t="n">
        <x:v>6</x:v>
      </x:c>
      <x:c r="N1825" s="28" t="n">
        <x:v>1.862645149230957e-9</x:v>
      </x:c>
      <x:c r="O1825" s="28" t="n">
        <x:v>2.9802322387695312e-8</x:v>
      </x:c>
      <x:c r="P1825" s="28" t="n">
        <x:v>0</x:v>
      </x:c>
      <x:c r="Q1825" s="62" t="b">
        <x:v>1</x:v>
      </x:c>
      <x:c r="R1825" s="28" t="n">
        <x:v>0</x:v>
      </x:c>
      <x:c r="S1825" s="28" t="str">
        <x:v>29426acd9e99d4f3</x:v>
      </x:c>
    </x:row>
    <x:row r="1826" ht="21" customHeight="1">
      <x:c r="A1826" s="60" t="n">
        <x:v>0.67</x:v>
      </x:c>
      <x:c r="B1826" s="28" t="str">
        <x:v>front_high</x:v>
      </x:c>
      <x:c r="C1826" s="60" t="n">
        <x:v>0.6</x:v>
      </x:c>
      <x:c r="D1826" s="60" t="n">
        <x:v>0.6</x:v>
      </x:c>
      <x:c r="E1826" s="62" t="b">
        <x:v>1</x:v>
      </x:c>
      <x:c r="F1826" s="62" t="b">
        <x:v>1</x:v>
      </x:c>
      <x:c r="G1826" s="85" t="n">
        <x:v>0</x:v>
      </x:c>
      <x:c r="H1826" s="85" t="n">
        <x:v>0</x:v>
      </x:c>
      <x:c r="I1826" s="85" t="n">
        <x:v>91272755.658813</x:v>
      </x:c>
      <x:c r="J1826" s="85" t="n">
        <x:v>68647740.57855676</x:v>
      </x:c>
      <x:c r="K1826" s="85" t="n">
        <x:v>76815.39563013849</x:v>
      </x:c>
      <x:c r="L1826" s="28" t="n">
        <x:v>29</x:v>
      </x:c>
      <x:c r="M1826" s="28" t="n">
        <x:v>21</x:v>
      </x:c>
      <x:c r="N1826" s="28" t="n">
        <x:v>1.862645149230957e-9</x:v>
      </x:c>
      <x:c r="O1826" s="28" t="n">
        <x:v>2.9802322387695312e-8</x:v>
      </x:c>
      <x:c r="P1826" s="28" t="n">
        <x:v>0</x:v>
      </x:c>
      <x:c r="Q1826" s="62" t="b">
        <x:v>1</x:v>
      </x:c>
      <x:c r="R1826" s="28" t="n">
        <x:v>0</x:v>
      </x:c>
      <x:c r="S1826" s="28" t="str">
        <x:v>40aa15a5e0dd8f90</x:v>
      </x:c>
    </x:row>
    <x:row r="1827" ht="21" customHeight="1">
      <x:c r="A1827" s="60" t="n">
        <x:v>0.67</x:v>
      </x:c>
      <x:c r="B1827" s="28" t="str">
        <x:v>front_high</x:v>
      </x:c>
      <x:c r="C1827" s="60" t="n">
        <x:v>0.65</x:v>
      </x:c>
      <x:c r="D1827" s="60" t="n">
        <x:v>0.65</x:v>
      </x:c>
      <x:c r="E1827" s="62" t="b">
        <x:v>1</x:v>
      </x:c>
      <x:c r="F1827" s="62" t="b">
        <x:v>0</x:v>
      </x:c>
      <x:c r="G1827" s="85" t="n">
        <x:v>4730828.0330937905</x:v>
      </x:c>
      <x:c r="H1827" s="85" t="n">
        <x:v>16011165.395884067</x:v>
      </x:c>
      <x:c r="I1827" s="85" t="n">
        <x:v>91488245.42906743</x:v>
      </x:c>
      <x:c r="J1827" s="85" t="n">
        <x:v>68999999.99999999</x:v>
      </x:c>
      <x:c r="K1827" s="85" t="n">
        <x:v>45381.27448972271</x:v>
      </x:c>
      <x:c r="L1827" s="28" t="n">
        <x:v>46</x:v>
      </x:c>
      <x:c r="M1827" s="28" t="n">
        <x:v>42</x:v>
      </x:c>
      <x:c r="N1827" s="28" t="n">
        <x:v>1.862645149230957e-9</x:v>
      </x:c>
      <x:c r="O1827" s="28" t="n">
        <x:v>2.9802322387695312e-8</x:v>
      </x:c>
      <x:c r="P1827" s="28" t="n">
        <x:v>0</x:v>
      </x:c>
      <x:c r="Q1827" s="62" t="b">
        <x:v>1</x:v>
      </x:c>
      <x:c r="R1827" s="28" t="n">
        <x:v>0</x:v>
      </x:c>
      <x:c r="S1827" s="28" t="str">
        <x:v>9690ffd346b7827b</x:v>
      </x:c>
    </x:row>
    <x:row r="1828" ht="21" customHeight="1">
      <x:c r="A1828" s="60" t="n">
        <x:v>0.67</x:v>
      </x:c>
      <x:c r="B1828" s="28" t="str">
        <x:v>front_high</x:v>
      </x:c>
      <x:c r="C1828" s="60" t="n">
        <x:v>0.7</x:v>
      </x:c>
      <x:c r="D1828" s="60" t="n">
        <x:v>0.7</x:v>
      </x:c>
      <x:c r="E1828" s="62" t="b">
        <x:v>1</x:v>
      </x:c>
      <x:c r="F1828" s="62" t="b">
        <x:v>0</x:v>
      </x:c>
      <x:c r="G1828" s="85" t="n">
        <x:v>9784086.268563826</x:v>
      </x:c>
      <x:c r="H1828" s="85" t="n">
        <x:v>31500590.706154052</x:v>
      </x:c>
      <x:c r="I1828" s="85" t="n">
        <x:v>91551659.24089247</x:v>
      </x:c>
      <x:c r="J1828" s="85" t="n">
        <x:v>68999999.99999999</x:v>
      </x:c>
      <x:c r="K1828" s="85" t="n">
        <x:v>13947.153349313448</x:v>
      </x:c>
      <x:c r="L1828" s="28" t="n">
        <x:v>46</x:v>
      </x:c>
      <x:c r="M1828" s="28" t="n">
        <x:v>44</x:v>
      </x:c>
      <x:c r="N1828" s="28" t="n">
        <x:v>1.862645149230957e-9</x:v>
      </x:c>
      <x:c r="O1828" s="28" t="n">
        <x:v>2.9802322387695312e-8</x:v>
      </x:c>
      <x:c r="P1828" s="28" t="n">
        <x:v>0</x:v>
      </x:c>
      <x:c r="Q1828" s="62" t="b">
        <x:v>1</x:v>
      </x:c>
      <x:c r="R1828" s="28" t="n">
        <x:v>0</x:v>
      </x:c>
      <x:c r="S1828" s="28" t="str">
        <x:v>58bc7ca35fe31e14</x:v>
      </x:c>
    </x:row>
    <x:row r="1829" ht="21" customHeight="1">
      <x:c r="A1829" s="60" t="n">
        <x:v>0.67</x:v>
      </x:c>
      <x:c r="B1829" s="28" t="str">
        <x:v>front_high</x:v>
      </x:c>
      <x:c r="C1829" s="60" t="n">
        <x:v>0.75</x:v>
      </x:c>
      <x:c r="D1829" s="60" t="n">
        <x:v>0.75</x:v>
      </x:c>
      <x:c r="E1829" s="62" t="b">
        <x:v>1</x:v>
      </x:c>
      <x:c r="F1829" s="62" t="b">
        <x:v>0</x:v>
      </x:c>
      <x:c r="G1829" s="85" t="n">
        <x:v>15218654.1754886</x:v>
      </x:c>
      <x:c r="H1829" s="85" t="n">
        <x:v>46438291.622112304</x:v>
      </x:c>
      <x:c r="I1829" s="85" t="n">
        <x:v>91615073.05271745</x:v>
      </x:c>
      <x:c r="J1829" s="85" t="n">
        <x:v>68999999.99999999</x:v>
      </x:c>
      <x:c r="K1829" s="85" t="n">
        <x:v>0</x:v>
      </x:c>
      <x:c r="L1829" s="28" t="n">
        <x:v>46</x:v>
      </x:c>
      <x:c r="M1829" s="28" t="n">
        <x:v>44</x:v>
      </x:c>
      <x:c r="N1829" s="28" t="n">
        <x:v>1.862645149230957e-9</x:v>
      </x:c>
      <x:c r="O1829" s="28" t="n">
        <x:v>2.9802322387695312e-8</x:v>
      </x:c>
      <x:c r="P1829" s="28" t="n">
        <x:v>0</x:v>
      </x:c>
      <x:c r="Q1829" s="62" t="b">
        <x:v>1</x:v>
      </x:c>
      <x:c r="R1829" s="28" t="n">
        <x:v>0</x:v>
      </x:c>
      <x:c r="S1829" s="28" t="str">
        <x:v>a78523efe59e667e</x:v>
      </x:c>
    </x:row>
    <x:row r="1830" ht="21" customHeight="1">
      <x:c r="A1830" s="60" t="n">
        <x:v>0.67</x:v>
      </x:c>
      <x:c r="B1830" s="28" t="str">
        <x:v>front_high</x:v>
      </x:c>
      <x:c r="C1830" s="60" t="n">
        <x:v>0.8</x:v>
      </x:c>
      <x:c r="D1830" s="60" t="n">
        <x:v>0.8</x:v>
      </x:c>
      <x:c r="E1830" s="62" t="b">
        <x:v>1</x:v>
      </x:c>
      <x:c r="F1830" s="62" t="b">
        <x:v>0</x:v>
      </x:c>
      <x:c r="G1830" s="85" t="n">
        <x:v>20379177.520577773</x:v>
      </x:c>
      <x:c r="H1830" s="85" t="n">
        <x:v>61309158.41879474</x:v>
      </x:c>
      <x:c r="I1830" s="85" t="n">
        <x:v>91678486.86454245</x:v>
      </x:c>
      <x:c r="J1830" s="85" t="n">
        <x:v>68999999.99999999</x:v>
      </x:c>
      <x:c r="K1830" s="85" t="n">
        <x:v>0</x:v>
      </x:c>
      <x:c r="L1830" s="28" t="n">
        <x:v>46</x:v>
      </x:c>
      <x:c r="M1830" s="28" t="n">
        <x:v>45</x:v>
      </x:c>
      <x:c r="N1830" s="28" t="n">
        <x:v>1.862645149230957e-9</x:v>
      </x:c>
      <x:c r="O1830" s="28" t="n">
        <x:v>1.4901161193847656e-8</x:v>
      </x:c>
      <x:c r="P1830" s="28" t="n">
        <x:v>0</x:v>
      </x:c>
      <x:c r="Q1830" s="62" t="b">
        <x:v>1</x:v>
      </x:c>
      <x:c r="R1830" s="28" t="n">
        <x:v>0</x:v>
      </x:c>
      <x:c r="S1830" s="28" t="str">
        <x:v>62cb0606d7189773</x:v>
      </x:c>
    </x:row>
    <x:row r="1831" ht="21" customHeight="1">
      <x:c r="A1831" s="60" t="n">
        <x:v>0.67</x:v>
      </x:c>
      <x:c r="B1831" s="28" t="str">
        <x:v>front_high</x:v>
      </x:c>
      <x:c r="C1831" s="60" t="n">
        <x:v>0.85</x:v>
      </x:c>
      <x:c r="D1831" s="60" t="n">
        <x:v>0.85</x:v>
      </x:c>
      <x:c r="E1831" s="62" t="b">
        <x:v>1</x:v>
      </x:c>
      <x:c r="F1831" s="62" t="b">
        <x:v>0</x:v>
      </x:c>
      <x:c r="G1831" s="85" t="n">
        <x:v>26047001.28310111</x:v>
      </x:c>
      <x:c r="H1831" s="85" t="n">
        <x:v>72539148.25874938</x:v>
      </x:c>
      <x:c r="I1831" s="85" t="n">
        <x:v>93328643.83561641</x:v>
      </x:c>
      <x:c r="J1831" s="85" t="n">
        <x:v>68999999.99999999</x:v>
      </x:c>
      <x:c r="K1831" s="85" t="n">
        <x:v>0</x:v>
      </x:c>
      <x:c r="L1831" s="28" t="n">
        <x:v>47</x:v>
      </x:c>
      <x:c r="M1831" s="28" t="n">
        <x:v>45</x:v>
      </x:c>
      <x:c r="N1831" s="28" t="n">
        <x:v>1.862645149230957e-9</x:v>
      </x:c>
      <x:c r="O1831" s="28" t="n">
        <x:v>1.862645149230957e-9</x:v>
      </x:c>
      <x:c r="P1831" s="28" t="n">
        <x:v>0</x:v>
      </x:c>
      <x:c r="Q1831" s="62" t="b">
        <x:v>1</x:v>
      </x:c>
      <x:c r="R1831" s="28" t="n">
        <x:v>0</x:v>
      </x:c>
      <x:c r="S1831" s="28" t="str">
        <x:v>65c55e284ad63486</x:v>
      </x:c>
    </x:row>
    <x:row r="1832" ht="21" customHeight="1">
      <x:c r="A1832" s="60" t="n">
        <x:v>0.67</x:v>
      </x:c>
      <x:c r="B1832" s="28" t="str">
        <x:v>front_high</x:v>
      </x:c>
      <x:c r="C1832" s="60" t="n">
        <x:v>0.9</x:v>
      </x:c>
      <x:c r="D1832" s="60" t="n">
        <x:v>0.9</x:v>
      </x:c>
      <x:c r="E1832" s="62" t="b">
        <x:v>1</x:v>
      </x:c>
      <x:c r="F1832" s="62" t="b">
        <x:v>0</x:v>
      </x:c>
      <x:c r="G1832" s="85" t="n">
        <x:v>35835660.01427411</x:v>
      </x:c>
      <x:c r="H1832" s="85" t="n">
        <x:v>83393587.5369489</x:v>
      </x:c>
      <x:c r="I1832" s="85" t="n">
        <x:v>93329474.26271915</x:v>
      </x:c>
      <x:c r="J1832" s="85" t="n">
        <x:v>68999999.99999999</x:v>
      </x:c>
      <x:c r="K1832" s="85" t="n">
        <x:v>0</x:v>
      </x:c>
      <x:c r="L1832" s="28" t="n">
        <x:v>47</x:v>
      </x:c>
      <x:c r="M1832" s="28" t="n">
        <x:v>45</x:v>
      </x:c>
      <x:c r="N1832" s="28" t="n">
        <x:v>1.862645149230957e-9</x:v>
      </x:c>
      <x:c r="O1832" s="28" t="n">
        <x:v>1.4901161193847656e-8</x:v>
      </x:c>
      <x:c r="P1832" s="28" t="n">
        <x:v>0</x:v>
      </x:c>
      <x:c r="Q1832" s="62" t="b">
        <x:v>1</x:v>
      </x:c>
      <x:c r="R1832" s="28" t="n">
        <x:v>0</x:v>
      </x:c>
      <x:c r="S1832" s="28" t="str">
        <x:v>b0d4782272e59193</x:v>
      </x:c>
    </x:row>
    <x:row r="1833" ht="21" customHeight="1">
      <x:c r="A1833" s="60" t="n">
        <x:v>0.67</x:v>
      </x:c>
      <x:c r="B1833" s="28" t="str">
        <x:v>front_high</x:v>
      </x:c>
      <x:c r="C1833" s="60" t="n">
        <x:v>0.95</x:v>
      </x:c>
      <x:c r="D1833" s="60" t="n">
        <x:v>0.9497739906324524</x:v>
      </x:c>
      <x:c r="E1833" s="62" t="b">
        <x:v>0</x:v>
      </x:c>
      <x:c r="F1833" s="62" t="b">
        <x:v>0</x:v>
      </x:c>
      <x:c r="G1833" s="85" t="n">
        <x:v>41277385.17003452</x:v>
      </x:c>
      <x:c r="H1833" s="85" t="n">
        <x:v>92924652.36818063</x:v>
      </x:c>
      <x:c r="I1833" s="85" t="n">
        <x:v>93360908.38385957</x:v>
      </x:c>
      <x:c r="J1833" s="85" t="n">
        <x:v>68999999.99999999</x:v>
      </x:c>
      <x:c r="K1833" s="85" t="n">
        <x:v>0</x:v>
      </x:c>
      <x:c r="L1833" s="28" t="n">
        <x:v>47</x:v>
      </x:c>
      <x:c r="M1833" s="28" t="n">
        <x:v>45</x:v>
      </x:c>
      <x:c r="N1833" s="28" t="n">
        <x:v>1.862645149230957e-9</x:v>
      </x:c>
      <x:c r="O1833" s="28" t="n">
        <x:v>1.4901161193847656e-8</x:v>
      </x:c>
      <x:c r="P1833" s="28" t="n">
        <x:v>0</x:v>
      </x:c>
      <x:c r="Q1833" s="62" t="b">
        <x:v>1</x:v>
      </x:c>
      <x:c r="R1833" s="28" t="n">
        <x:v>67802.81026428938</x:v>
      </x:c>
      <x:c r="S1833" s="28" t="str">
        <x:v>0bfc67187d54a554</x:v>
      </x:c>
    </x:row>
    <x:row r="1834" ht="21" customHeight="1">
      <x:c r="A1834" s="60" t="n">
        <x:v>0.67</x:v>
      </x:c>
      <x:c r="B1834" s="28" t="str">
        <x:v>front_high</x:v>
      </x:c>
      <x:c r="C1834" s="60" t="n">
        <x:v>1</x:v>
      </x:c>
      <x:c r="D1834" s="60" t="n">
        <x:v>0.9646994850752131</x:v>
      </x:c>
      <x:c r="E1834" s="62" t="b">
        <x:v>0</x:v>
      </x:c>
      <x:c r="F1834" s="62" t="b">
        <x:v>0</x:v>
      </x:c>
      <x:c r="G1834" s="85" t="n">
        <x:v>45099626.07210555</x:v>
      </x:c>
      <x:c r="H1834" s="85" t="n">
        <x:v>97269860.77608627</x:v>
      </x:c>
      <x:c r="I1834" s="85" t="n">
        <x:v>93392342.505</x:v>
      </x:c>
      <x:c r="J1834" s="85" t="n">
        <x:v>68999999.99999999</x:v>
      </x:c>
      <x:c r="K1834" s="85" t="n">
        <x:v>0</x:v>
      </x:c>
      <x:c r="L1834" s="28" t="n">
        <x:v>47</x:v>
      </x:c>
      <x:c r="M1834" s="28" t="n">
        <x:v>46</x:v>
      </x:c>
      <x:c r="N1834" s="28" t="n">
        <x:v>1.862645149230957e-9</x:v>
      </x:c>
      <x:c r="O1834" s="28" t="n">
        <x:v>3.725290298461914e-9</x:v>
      </x:c>
      <x:c r="P1834" s="28" t="n">
        <x:v>0</x:v>
      </x:c>
      <x:c r="Q1834" s="62" t="b">
        <x:v>1</x:v>
      </x:c>
      <x:c r="R1834" s="28" t="n">
        <x:v>10590154.477436066</x:v>
      </x:c>
      <x:c r="S1834" s="28" t="str">
        <x:v>07cf2c67a342f4b5</x:v>
      </x:c>
    </x:row>
    <x:row r="1835" ht="21" customHeight="1">
      <x:c r="A1835" s="60" t="n">
        <x:v>0.67</x:v>
      </x:c>
      <x:c r="B1835" s="28" t="str">
        <x:v>middle_flat</x:v>
      </x:c>
      <x:c r="C1835" s="60" t="n">
        <x:v>0</x:v>
      </x:c>
      <x:c r="D1835" s="60" t="n">
        <x:v>0</x:v>
      </x:c>
      <x:c r="E1835" s="62" t="b">
        <x:v>1</x:v>
      </x:c>
      <x:c r="F1835" s="62" t="b">
        <x:v>1</x:v>
      </x:c>
      <x:c r="G1835" s="85" t="n">
        <x:v>0</x:v>
      </x:c>
      <x:c r="H1835" s="85" t="n">
        <x:v>0</x:v>
      </x:c>
      <x:c r="I1835" s="85" t="n">
        <x:v>0</x:v>
      </x:c>
      <x:c r="J1835" s="85" t="n">
        <x:v>0</x:v>
      </x:c>
      <x:c r="K1835" s="85" t="n">
        <x:v>34950342.60068495</x:v>
      </x:c>
      <x:c r="L1835" s="28" t="n">
        <x:v>0</x:v>
      </x:c>
      <x:c r="M1835" s="28" t="n">
        <x:v>0</x:v>
      </x:c>
      <x:c r="N1835" s="28" t="n">
        <x:v>3.725290298461914e-9</x:v>
      </x:c>
      <x:c r="O1835" s="28" t="n">
        <x:v>0</x:v>
      </x:c>
      <x:c r="P1835" s="28" t="n">
        <x:v>0</x:v>
      </x:c>
      <x:c r="Q1835" s="62" t="b">
        <x:v>1</x:v>
      </x:c>
      <x:c r="R1835" s="28" t="n">
        <x:v>0</x:v>
      </x:c>
      <x:c r="S1835" s="28" t="str">
        <x:v>1722360b2713d71b</x:v>
      </x:c>
    </x:row>
    <x:row r="1836" ht="21" customHeight="1">
      <x:c r="A1836" s="60" t="n">
        <x:v>0.67</x:v>
      </x:c>
      <x:c r="B1836" s="28" t="str">
        <x:v>middle_flat</x:v>
      </x:c>
      <x:c r="C1836" s="60" t="n">
        <x:v>0.05</x:v>
      </x:c>
      <x:c r="D1836" s="60" t="n">
        <x:v>0.05</x:v>
      </x:c>
      <x:c r="E1836" s="62" t="b">
        <x:v>1</x:v>
      </x:c>
      <x:c r="F1836" s="62" t="b">
        <x:v>1</x:v>
      </x:c>
      <x:c r="G1836" s="85" t="n">
        <x:v>0</x:v>
      </x:c>
      <x:c r="H1836" s="85" t="n">
        <x:v>0</x:v>
      </x:c>
      <x:c r="I1836" s="85" t="n">
        <x:v>0</x:v>
      </x:c>
      <x:c r="J1836" s="85" t="n">
        <x:v>0</x:v>
      </x:c>
      <x:c r="K1836" s="85" t="n">
        <x:v>23016601.497372173</x:v>
      </x:c>
      <x:c r="L1836" s="28" t="n">
        <x:v>0</x:v>
      </x:c>
      <x:c r="M1836" s="28" t="n">
        <x:v>0</x:v>
      </x:c>
      <x:c r="N1836" s="28" t="n">
        <x:v>3.725290298461914e-9</x:v>
      </x:c>
      <x:c r="O1836" s="28" t="n">
        <x:v>2.9802322387695312e-8</x:v>
      </x:c>
      <x:c r="P1836" s="28" t="n">
        <x:v>0</x:v>
      </x:c>
      <x:c r="Q1836" s="62" t="b">
        <x:v>1</x:v>
      </x:c>
      <x:c r="R1836" s="28" t="n">
        <x:v>0</x:v>
      </x:c>
      <x:c r="S1836" s="28" t="str">
        <x:v>c48f3e829e588e8b</x:v>
      </x:c>
    </x:row>
    <x:row r="1837" ht="21" customHeight="1">
      <x:c r="A1837" s="60" t="n">
        <x:v>0.67</x:v>
      </x:c>
      <x:c r="B1837" s="28" t="str">
        <x:v>middle_flat</x:v>
      </x:c>
      <x:c r="C1837" s="60" t="n">
        <x:v>0.1</x:v>
      </x:c>
      <x:c r="D1837" s="60" t="n">
        <x:v>0.1</x:v>
      </x:c>
      <x:c r="E1837" s="62" t="b">
        <x:v>1</x:v>
      </x:c>
      <x:c r="F1837" s="62" t="b">
        <x:v>1</x:v>
      </x:c>
      <x:c r="G1837" s="85" t="n">
        <x:v>0</x:v>
      </x:c>
      <x:c r="H1837" s="85" t="n">
        <x:v>0</x:v>
      </x:c>
      <x:c r="I1837" s="85" t="n">
        <x:v>0</x:v>
      </x:c>
      <x:c r="J1837" s="85" t="n">
        <x:v>0</x:v>
      </x:c>
      <x:c r="K1837" s="85" t="n">
        <x:v>10964023.600524865</x:v>
      </x:c>
      <x:c r="L1837" s="28" t="n">
        <x:v>0</x:v>
      </x:c>
      <x:c r="M1837" s="28" t="n">
        <x:v>0</x:v>
      </x:c>
      <x:c r="N1837" s="28" t="n">
        <x:v>3.725290298461914e-9</x:v>
      </x:c>
      <x:c r="O1837" s="28" t="n">
        <x:v>5.960464477539063e-8</x:v>
      </x:c>
      <x:c r="P1837" s="28" t="n">
        <x:v>0</x:v>
      </x:c>
      <x:c r="Q1837" s="62" t="b">
        <x:v>1</x:v>
      </x:c>
      <x:c r="R1837" s="28" t="n">
        <x:v>0</x:v>
      </x:c>
      <x:c r="S1837" s="28" t="str">
        <x:v>8af7e25a59777991</x:v>
      </x:c>
    </x:row>
    <x:row r="1838" ht="21" customHeight="1">
      <x:c r="A1838" s="60" t="n">
        <x:v>0.67</x:v>
      </x:c>
      <x:c r="B1838" s="28" t="str">
        <x:v>middle_flat</x:v>
      </x:c>
      <x:c r="C1838" s="60" t="n">
        <x:v>0.15</x:v>
      </x:c>
      <x:c r="D1838" s="60" t="n">
        <x:v>0.15</x:v>
      </x:c>
      <x:c r="E1838" s="62" t="b">
        <x:v>1</x:v>
      </x:c>
      <x:c r="F1838" s="62" t="b">
        <x:v>1</x:v>
      </x:c>
      <x:c r="G1838" s="85" t="n">
        <x:v>0</x:v>
      </x:c>
      <x:c r="H1838" s="85" t="n">
        <x:v>0</x:v>
      </x:c>
      <x:c r="I1838" s="85" t="n">
        <x:v>2185060.4839160647</x:v>
      </x:c>
      <x:c r="J1838" s="85" t="n">
        <x:v>0</x:v>
      </x:c>
      <x:c r="K1838" s="85" t="n">
        <x:v>1826292.8271970027</x:v>
      </x:c>
      <x:c r="L1838" s="28" t="n">
        <x:v>0</x:v>
      </x:c>
      <x:c r="M1838" s="28" t="n">
        <x:v>0</x:v>
      </x:c>
      <x:c r="N1838" s="28" t="n">
        <x:v>3.725290298461914e-9</x:v>
      </x:c>
      <x:c r="O1838" s="28" t="n">
        <x:v>2.9802322387695312e-8</x:v>
      </x:c>
      <x:c r="P1838" s="28" t="n">
        <x:v>0</x:v>
      </x:c>
      <x:c r="Q1838" s="62" t="b">
        <x:v>1</x:v>
      </x:c>
      <x:c r="R1838" s="28" t="n">
        <x:v>0</x:v>
      </x:c>
      <x:c r="S1838" s="28" t="str">
        <x:v>12e916edf8d20436</x:v>
      </x:c>
    </x:row>
    <x:row r="1839" ht="21" customHeight="1">
      <x:c r="A1839" s="60" t="n">
        <x:v>0.67</x:v>
      </x:c>
      <x:c r="B1839" s="28" t="str">
        <x:v>middle_flat</x:v>
      </x:c>
      <x:c r="C1839" s="60" t="n">
        <x:v>0.2</x:v>
      </x:c>
      <x:c r="D1839" s="60" t="n">
        <x:v>0.2</x:v>
      </x:c>
      <x:c r="E1839" s="62" t="b">
        <x:v>1</x:v>
      </x:c>
      <x:c r="F1839" s="62" t="b">
        <x:v>1</x:v>
      </x:c>
      <x:c r="G1839" s="85" t="n">
        <x:v>0</x:v>
      </x:c>
      <x:c r="H1839" s="85" t="n">
        <x:v>0</x:v>
      </x:c>
      <x:c r="I1839" s="85" t="n">
        <x:v>10210432.15644766</x:v>
      </x:c>
      <x:c r="J1839" s="85" t="n">
        <x:v>6318282.052720841</x:v>
      </x:c>
      <x:c r="K1839" s="85" t="n">
        <x:v>1421586.5870562762</x:v>
      </x:c>
      <x:c r="L1839" s="28" t="n">
        <x:v>0</x:v>
      </x:c>
      <x:c r="M1839" s="28" t="n">
        <x:v>0</x:v>
      </x:c>
      <x:c r="N1839" s="28" t="n">
        <x:v>1.862645149230957e-9</x:v>
      </x:c>
      <x:c r="O1839" s="28" t="n">
        <x:v>2.9802322387695312e-8</x:v>
      </x:c>
      <x:c r="P1839" s="28" t="n">
        <x:v>0</x:v>
      </x:c>
      <x:c r="Q1839" s="62" t="b">
        <x:v>1</x:v>
      </x:c>
      <x:c r="R1839" s="28" t="n">
        <x:v>0</x:v>
      </x:c>
      <x:c r="S1839" s="28" t="str">
        <x:v>1ef4ed9fb1a67bac</x:v>
      </x:c>
    </x:row>
    <x:row r="1840" ht="21" customHeight="1">
      <x:c r="A1840" s="60" t="n">
        <x:v>0.67</x:v>
      </x:c>
      <x:c r="B1840" s="28" t="str">
        <x:v>middle_flat</x:v>
      </x:c>
      <x:c r="C1840" s="60" t="n">
        <x:v>0.25</x:v>
      </x:c>
      <x:c r="D1840" s="60" t="n">
        <x:v>0.25</x:v>
      </x:c>
      <x:c r="E1840" s="62" t="b">
        <x:v>1</x:v>
      </x:c>
      <x:c r="F1840" s="62" t="b">
        <x:v>1</x:v>
      </x:c>
      <x:c r="G1840" s="85" t="n">
        <x:v>0</x:v>
      </x:c>
      <x:c r="H1840" s="85" t="n">
        <x:v>0</x:v>
      </x:c>
      <x:c r="I1840" s="85" t="n">
        <x:v>16448158.372770222</x:v>
      </x:c>
      <x:c r="J1840" s="85" t="n">
        <x:v>15397852.56590101</x:v>
      </x:c>
      <x:c r="K1840" s="85" t="n">
        <x:v>1104195.117039523</x:v>
      </x:c>
      <x:c r="L1840" s="28" t="n">
        <x:v>0</x:v>
      </x:c>
      <x:c r="M1840" s="28" t="n">
        <x:v>0</x:v>
      </x:c>
      <x:c r="N1840" s="28" t="n">
        <x:v>3.725290298461914e-9</x:v>
      </x:c>
      <x:c r="O1840" s="28" t="n">
        <x:v>2.9802322387695312e-8</x:v>
      </x:c>
      <x:c r="P1840" s="28" t="n">
        <x:v>0</x:v>
      </x:c>
      <x:c r="Q1840" s="62" t="b">
        <x:v>1</x:v>
      </x:c>
      <x:c r="R1840" s="28" t="n">
        <x:v>0</x:v>
      </x:c>
      <x:c r="S1840" s="28" t="str">
        <x:v>6bef5444cb9f7aa1</x:v>
      </x:c>
    </x:row>
    <x:row r="1841" ht="21" customHeight="1">
      <x:c r="A1841" s="60" t="n">
        <x:v>0.67</x:v>
      </x:c>
      <x:c r="B1841" s="28" t="str">
        <x:v>middle_flat</x:v>
      </x:c>
      <x:c r="C1841" s="60" t="n">
        <x:v>0.3</x:v>
      </x:c>
      <x:c r="D1841" s="60" t="n">
        <x:v>0.3</x:v>
      </x:c>
      <x:c r="E1841" s="62" t="b">
        <x:v>1</x:v>
      </x:c>
      <x:c r="F1841" s="62" t="b">
        <x:v>1</x:v>
      </x:c>
      <x:c r="G1841" s="85" t="n">
        <x:v>0</x:v>
      </x:c>
      <x:c r="H1841" s="85" t="n">
        <x:v>0</x:v>
      </x:c>
      <x:c r="I1841" s="85" t="n">
        <x:v>22802615.470474865</x:v>
      </x:c>
      <x:c r="J1841" s="85" t="n">
        <x:v>24477423.07908109</x:v>
      </x:c>
      <x:c r="K1841" s="85" t="n">
        <x:v>921368.0387087999</x:v>
      </x:c>
      <x:c r="L1841" s="28" t="n">
        <x:v>0</x:v>
      </x:c>
      <x:c r="M1841" s="28" t="n">
        <x:v>0</x:v>
      </x:c>
      <x:c r="N1841" s="28" t="n">
        <x:v>1.862645149230957e-9</x:v>
      </x:c>
      <x:c r="O1841" s="28" t="n">
        <x:v>2.9802322387695312e-8</x:v>
      </x:c>
      <x:c r="P1841" s="28" t="n">
        <x:v>0</x:v>
      </x:c>
      <x:c r="Q1841" s="62" t="b">
        <x:v>1</x:v>
      </x:c>
      <x:c r="R1841" s="28" t="n">
        <x:v>0</x:v>
      </x:c>
      <x:c r="S1841" s="28" t="str">
        <x:v>989ecf689d479abe</x:v>
      </x:c>
    </x:row>
    <x:row r="1842" ht="21" customHeight="1">
      <x:c r="A1842" s="60" t="n">
        <x:v>0.67</x:v>
      </x:c>
      <x:c r="B1842" s="28" t="str">
        <x:v>middle_flat</x:v>
      </x:c>
      <x:c r="C1842" s="60" t="n">
        <x:v>0.35</x:v>
      </x:c>
      <x:c r="D1842" s="60" t="n">
        <x:v>0.35</x:v>
      </x:c>
      <x:c r="E1842" s="62" t="b">
        <x:v>1</x:v>
      </x:c>
      <x:c r="F1842" s="62" t="b">
        <x:v>1</x:v>
      </x:c>
      <x:c r="G1842" s="85" t="n">
        <x:v>0</x:v>
      </x:c>
      <x:c r="H1842" s="85" t="n">
        <x:v>0</x:v>
      </x:c>
      <x:c r="I1842" s="85" t="n">
        <x:v>29927105.94941787</x:v>
      </x:c>
      <x:c r="J1842" s="85" t="n">
        <x:v>31766216.813599102</x:v>
      </x:c>
      <x:c r="K1842" s="85" t="n">
        <x:v>757113.0005424677</x:v>
      </x:c>
      <x:c r="L1842" s="28" t="n">
        <x:v>2</x:v>
      </x:c>
      <x:c r="M1842" s="28" t="n">
        <x:v>0</x:v>
      </x:c>
      <x:c r="N1842" s="28" t="n">
        <x:v>3.725290298461914e-9</x:v>
      </x:c>
      <x:c r="O1842" s="28" t="n">
        <x:v>2.9802322387695312e-8</x:v>
      </x:c>
      <x:c r="P1842" s="28" t="n">
        <x:v>0</x:v>
      </x:c>
      <x:c r="Q1842" s="62" t="b">
        <x:v>1</x:v>
      </x:c>
      <x:c r="R1842" s="28" t="n">
        <x:v>0</x:v>
      </x:c>
      <x:c r="S1842" s="28" t="str">
        <x:v>6874e80a243ca0e6</x:v>
      </x:c>
    </x:row>
    <x:row r="1843" ht="21" customHeight="1">
      <x:c r="A1843" s="60" t="n">
        <x:v>0.67</x:v>
      </x:c>
      <x:c r="B1843" s="28" t="str">
        <x:v>middle_flat</x:v>
      </x:c>
      <x:c r="C1843" s="60" t="n">
        <x:v>0.4</x:v>
      </x:c>
      <x:c r="D1843" s="60" t="n">
        <x:v>0.4</x:v>
      </x:c>
      <x:c r="E1843" s="62" t="b">
        <x:v>1</x:v>
      </x:c>
      <x:c r="F1843" s="62" t="b">
        <x:v>1</x:v>
      </x:c>
      <x:c r="G1843" s="85" t="n">
        <x:v>0</x:v>
      </x:c>
      <x:c r="H1843" s="85" t="n">
        <x:v>0</x:v>
      </x:c>
      <x:c r="I1843" s="85" t="n">
        <x:v>38214519.75430216</x:v>
      </x:c>
      <x:c r="J1843" s="85" t="n">
        <x:v>36202111.93348249</x:v>
      </x:c>
      <x:c r="K1843" s="85" t="n">
        <x:v>673309.7863342466</x:v>
      </x:c>
      <x:c r="L1843" s="28" t="n">
        <x:v>8</x:v>
      </x:c>
      <x:c r="M1843" s="28" t="n">
        <x:v>0</x:v>
      </x:c>
      <x:c r="N1843" s="28" t="n">
        <x:v>1.862645149230957e-9</x:v>
      </x:c>
      <x:c r="O1843" s="28" t="n">
        <x:v>2.9802322387695312e-8</x:v>
      </x:c>
      <x:c r="P1843" s="28" t="n">
        <x:v>0</x:v>
      </x:c>
      <x:c r="Q1843" s="62" t="b">
        <x:v>1</x:v>
      </x:c>
      <x:c r="R1843" s="28" t="n">
        <x:v>0</x:v>
      </x:c>
      <x:c r="S1843" s="28" t="str">
        <x:v>9f9fec6be209b369</x:v>
      </x:c>
    </x:row>
    <x:row r="1844" ht="21" customHeight="1">
      <x:c r="A1844" s="60" t="n">
        <x:v>0.67</x:v>
      </x:c>
      <x:c r="B1844" s="28" t="str">
        <x:v>middle_flat</x:v>
      </x:c>
      <x:c r="C1844" s="60" t="n">
        <x:v>0.45</x:v>
      </x:c>
      <x:c r="D1844" s="60" t="n">
        <x:v>0.45</x:v>
      </x:c>
      <x:c r="E1844" s="62" t="b">
        <x:v>1</x:v>
      </x:c>
      <x:c r="F1844" s="62" t="b">
        <x:v>1</x:v>
      </x:c>
      <x:c r="G1844" s="85" t="n">
        <x:v>0</x:v>
      </x:c>
      <x:c r="H1844" s="85" t="n">
        <x:v>0</x:v>
      </x:c>
      <x:c r="I1844" s="85" t="n">
        <x:v>45006918.14353842</x:v>
      </x:c>
      <x:c r="J1844" s="85" t="n">
        <x:v>44347921.41765242</x:v>
      </x:c>
      <x:c r="K1844" s="85" t="n">
        <x:v>589506.5721260312</x:v>
      </x:c>
      <x:c r="L1844" s="28" t="n">
        <x:v>11</x:v>
      </x:c>
      <x:c r="M1844" s="28" t="n">
        <x:v>0</x:v>
      </x:c>
      <x:c r="N1844" s="28" t="n">
        <x:v>3.725290298461914e-9</x:v>
      </x:c>
      <x:c r="O1844" s="28" t="n">
        <x:v>2.9802322387695312e-8</x:v>
      </x:c>
      <x:c r="P1844" s="28" t="n">
        <x:v>0</x:v>
      </x:c>
      <x:c r="Q1844" s="62" t="b">
        <x:v>1</x:v>
      </x:c>
      <x:c r="R1844" s="28" t="n">
        <x:v>0</x:v>
      </x:c>
      <x:c r="S1844" s="28" t="str">
        <x:v>9582a77b63bd117a</x:v>
      </x:c>
    </x:row>
    <x:row r="1845" ht="21" customHeight="1">
      <x:c r="A1845" s="60" t="n">
        <x:v>0.67</x:v>
      </x:c>
      <x:c r="B1845" s="28" t="str">
        <x:v>middle_flat</x:v>
      </x:c>
      <x:c r="C1845" s="60" t="n">
        <x:v>0.5</x:v>
      </x:c>
      <x:c r="D1845" s="60" t="n">
        <x:v>0.5</x:v>
      </x:c>
      <x:c r="E1845" s="62" t="b">
        <x:v>1</x:v>
      </x:c>
      <x:c r="F1845" s="62" t="b">
        <x:v>1</x:v>
      </x:c>
      <x:c r="G1845" s="85" t="n">
        <x:v>0</x:v>
      </x:c>
      <x:c r="H1845" s="85" t="n">
        <x:v>0</x:v>
      </x:c>
      <x:c r="I1845" s="85" t="n">
        <x:v>51514356.79063499</x:v>
      </x:c>
      <x:c r="J1845" s="85" t="n">
        <x:v>53215976.75008005</x:v>
      </x:c>
      <x:c r="K1845" s="85" t="n">
        <x:v>505703.35791781585</x:v>
      </x:c>
      <x:c r="L1845" s="28" t="n">
        <x:v>14</x:v>
      </x:c>
      <x:c r="M1845" s="28" t="n">
        <x:v>0</x:v>
      </x:c>
      <x:c r="N1845" s="28" t="n">
        <x:v>3.725290298461914e-9</x:v>
      </x:c>
      <x:c r="O1845" s="28" t="n">
        <x:v>1.4901161193847656e-8</x:v>
      </x:c>
      <x:c r="P1845" s="28" t="n">
        <x:v>0</x:v>
      </x:c>
      <x:c r="Q1845" s="62" t="b">
        <x:v>1</x:v>
      </x:c>
      <x:c r="R1845" s="28" t="n">
        <x:v>0</x:v>
      </x:c>
      <x:c r="S1845" s="28" t="str">
        <x:v>3dc32d8609b3a375</x:v>
      </x:c>
    </x:row>
    <x:row r="1846" ht="21" customHeight="1">
      <x:c r="A1846" s="60" t="n">
        <x:v>0.67</x:v>
      </x:c>
      <x:c r="B1846" s="28" t="str">
        <x:v>middle_flat</x:v>
      </x:c>
      <x:c r="C1846" s="60" t="n">
        <x:v>0.55</x:v>
      </x:c>
      <x:c r="D1846" s="60" t="n">
        <x:v>0.55</x:v>
      </x:c>
      <x:c r="E1846" s="62" t="b">
        <x:v>1</x:v>
      </x:c>
      <x:c r="F1846" s="62" t="b">
        <x:v>1</x:v>
      </x:c>
      <x:c r="G1846" s="85" t="n">
        <x:v>0</x:v>
      </x:c>
      <x:c r="H1846" s="85" t="n">
        <x:v>0</x:v>
      </x:c>
      <x:c r="I1846" s="85" t="n">
        <x:v>57760491.7943561</x:v>
      </x:c>
      <x:c r="J1846" s="85" t="n">
        <x:v>62424128.43858989</x:v>
      </x:c>
      <x:c r="K1846" s="85" t="n">
        <x:v>421900.14370958915</x:v>
      </x:c>
      <x:c r="L1846" s="28" t="n">
        <x:v>18</x:v>
      </x:c>
      <x:c r="M1846" s="28" t="n">
        <x:v>6</x:v>
      </x:c>
      <x:c r="N1846" s="28" t="n">
        <x:v>1.862645149230957e-9</x:v>
      </x:c>
      <x:c r="O1846" s="28" t="n">
        <x:v>2.9802322387695312e-8</x:v>
      </x:c>
      <x:c r="P1846" s="28" t="n">
        <x:v>0</x:v>
      </x:c>
      <x:c r="Q1846" s="62" t="b">
        <x:v>1</x:v>
      </x:c>
      <x:c r="R1846" s="28" t="n">
        <x:v>0</x:v>
      </x:c>
      <x:c r="S1846" s="28" t="str">
        <x:v>e65cb707e6c3ff53</x:v>
      </x:c>
    </x:row>
    <x:row r="1847" ht="21" customHeight="1">
      <x:c r="A1847" s="60" t="n">
        <x:v>0.67</x:v>
      </x:c>
      <x:c r="B1847" s="28" t="str">
        <x:v>middle_flat</x:v>
      </x:c>
      <x:c r="C1847" s="60" t="n">
        <x:v>0.6</x:v>
      </x:c>
      <x:c r="D1847" s="60" t="n">
        <x:v>0.6</x:v>
      </x:c>
      <x:c r="E1847" s="62" t="b">
        <x:v>1</x:v>
      </x:c>
      <x:c r="F1847" s="62" t="b">
        <x:v>0</x:v>
      </x:c>
      <x:c r="G1847" s="85" t="n">
        <x:v>586003.1432769786</x:v>
      </x:c>
      <x:c r="H1847" s="85" t="n">
        <x:v>3792686.0539188893</x:v>
      </x:c>
      <x:c r="I1847" s="85" t="n">
        <x:v>61948890.97126184</x:v>
      </x:c>
      <x:c r="J1847" s="85" t="n">
        <x:v>68999999.99999999</x:v>
      </x:c>
      <x:c r="K1847" s="85" t="n">
        <x:v>360016.6387835633</x:v>
      </x:c>
      <x:c r="L1847" s="28" t="n">
        <x:v>42</x:v>
      </x:c>
      <x:c r="M1847" s="28" t="n">
        <x:v>34</x:v>
      </x:c>
      <x:c r="N1847" s="28" t="n">
        <x:v>1.862645149230957e-9</x:v>
      </x:c>
      <x:c r="O1847" s="28" t="n">
        <x:v>2.9802322387695312e-8</x:v>
      </x:c>
      <x:c r="P1847" s="28" t="n">
        <x:v>0</x:v>
      </x:c>
      <x:c r="Q1847" s="62" t="b">
        <x:v>1</x:v>
      </x:c>
      <x:c r="R1847" s="28" t="n">
        <x:v>0</x:v>
      </x:c>
      <x:c r="S1847" s="28" t="str">
        <x:v>9015c70308c95431</x:v>
      </x:c>
    </x:row>
    <x:row r="1848" ht="21" customHeight="1">
      <x:c r="A1848" s="60" t="n">
        <x:v>0.67</x:v>
      </x:c>
      <x:c r="B1848" s="28" t="str">
        <x:v>middle_flat</x:v>
      </x:c>
      <x:c r="C1848" s="60" t="n">
        <x:v>0.65</x:v>
      </x:c>
      <x:c r="D1848" s="60" t="n">
        <x:v>0.65</x:v>
      </x:c>
      <x:c r="E1848" s="62" t="b">
        <x:v>1</x:v>
      </x:c>
      <x:c r="F1848" s="62" t="b">
        <x:v>0</x:v>
      </x:c>
      <x:c r="G1848" s="85" t="n">
        <x:v>2818204.3875595615</x:v>
      </x:c>
      <x:c r="H1848" s="85" t="n">
        <x:v>16540494.811220463</x:v>
      </x:c>
      <x:c r="I1848" s="85" t="n">
        <x:v>62049271.12320489</x:v>
      </x:c>
      <x:c r="J1848" s="85" t="n">
        <x:v>68999999.99999999</x:v>
      </x:c>
      <x:c r="K1848" s="85" t="n">
        <x:v>334489.2295725992</x:v>
      </x:c>
      <x:c r="L1848" s="28" t="n">
        <x:v>42</x:v>
      </x:c>
      <x:c r="M1848" s="28" t="n">
        <x:v>36</x:v>
      </x:c>
      <x:c r="N1848" s="28" t="n">
        <x:v>1.862645149230957e-9</x:v>
      </x:c>
      <x:c r="O1848" s="28" t="n">
        <x:v>2.9802322387695312e-8</x:v>
      </x:c>
      <x:c r="P1848" s="28" t="n">
        <x:v>0</x:v>
      </x:c>
      <x:c r="Q1848" s="62" t="b">
        <x:v>1</x:v>
      </x:c>
      <x:c r="R1848" s="28" t="n">
        <x:v>0</x:v>
      </x:c>
      <x:c r="S1848" s="28" t="str">
        <x:v>ad4dce434b6a9970</x:v>
      </x:c>
    </x:row>
    <x:row r="1849" ht="21" customHeight="1">
      <x:c r="A1849" s="60" t="n">
        <x:v>0.67</x:v>
      </x:c>
      <x:c r="B1849" s="28" t="str">
        <x:v>middle_flat</x:v>
      </x:c>
      <x:c r="C1849" s="60" t="n">
        <x:v>0.7</x:v>
      </x:c>
      <x:c r="D1849" s="60" t="n">
        <x:v>0.7</x:v>
      </x:c>
      <x:c r="E1849" s="62" t="b">
        <x:v>1</x:v>
      </x:c>
      <x:c r="F1849" s="62" t="b">
        <x:v>0</x:v>
      </x:c>
      <x:c r="G1849" s="85" t="n">
        <x:v>4788266.2220608285</x:v>
      </x:c>
      <x:c r="H1849" s="85" t="n">
        <x:v>27220807.802647397</x:v>
      </x:c>
      <x:c r="I1849" s="85" t="n">
        <x:v>63339819.280984215</x:v>
      </x:c>
      <x:c r="J1849" s="85" t="n">
        <x:v>68999999.99999999</x:v>
      </x:c>
      <x:c r="K1849" s="85" t="n">
        <x:v>308961.82036164496</x:v>
      </x:c>
      <x:c r="L1849" s="28" t="n">
        <x:v>43</x:v>
      </x:c>
      <x:c r="M1849" s="28" t="n">
        <x:v>36</x:v>
      </x:c>
      <x:c r="N1849" s="28" t="n">
        <x:v>1.862645149230957e-9</x:v>
      </x:c>
      <x:c r="O1849" s="28" t="n">
        <x:v>1.4901161193847656e-8</x:v>
      </x:c>
      <x:c r="P1849" s="28" t="n">
        <x:v>0</x:v>
      </x:c>
      <x:c r="Q1849" s="62" t="b">
        <x:v>1</x:v>
      </x:c>
      <x:c r="R1849" s="28" t="n">
        <x:v>0</x:v>
      </x:c>
      <x:c r="S1849" s="28" t="str">
        <x:v>91833cb3b75c7516</x:v>
      </x:c>
    </x:row>
    <x:row r="1850" ht="21" customHeight="1">
      <x:c r="A1850" s="60" t="n">
        <x:v>0.67</x:v>
      </x:c>
      <x:c r="B1850" s="28" t="str">
        <x:v>middle_flat</x:v>
      </x:c>
      <x:c r="C1850" s="60" t="n">
        <x:v>0.75</x:v>
      </x:c>
      <x:c r="D1850" s="60" t="n">
        <x:v>0.75</x:v>
      </x:c>
      <x:c r="E1850" s="62" t="b">
        <x:v>1</x:v>
      </x:c>
      <x:c r="F1850" s="62" t="b">
        <x:v>0</x:v>
      </x:c>
      <x:c r="G1850" s="85" t="n">
        <x:v>7299480.866589836</x:v>
      </x:c>
      <x:c r="H1850" s="85" t="n">
        <x:v>39388011.63370028</x:v>
      </x:c>
      <x:c r="I1850" s="85" t="n">
        <x:v>63388128.42490578</x:v>
      </x:c>
      <x:c r="J1850" s="85" t="n">
        <x:v>68999999.99999999</x:v>
      </x:c>
      <x:c r="K1850" s="85" t="n">
        <x:v>283434.41115068557</x:v>
      </x:c>
      <x:c r="L1850" s="28" t="n">
        <x:v>43</x:v>
      </x:c>
      <x:c r="M1850" s="28" t="n">
        <x:v>38</x:v>
      </x:c>
      <x:c r="N1850" s="28" t="n">
        <x:v>1.862645149230957e-9</x:v>
      </x:c>
      <x:c r="O1850" s="28" t="n">
        <x:v>2.9802322387695312e-8</x:v>
      </x:c>
      <x:c r="P1850" s="28" t="n">
        <x:v>0</x:v>
      </x:c>
      <x:c r="Q1850" s="62" t="b">
        <x:v>1</x:v>
      </x:c>
      <x:c r="R1850" s="28" t="n">
        <x:v>0</x:v>
      </x:c>
      <x:c r="S1850" s="28" t="str">
        <x:v>1a2053a627e37294</x:v>
      </x:c>
    </x:row>
    <x:row r="1851" ht="21" customHeight="1">
      <x:c r="A1851" s="60" t="n">
        <x:v>0.67</x:v>
      </x:c>
      <x:c r="B1851" s="28" t="str">
        <x:v>middle_flat</x:v>
      </x:c>
      <x:c r="C1851" s="60" t="n">
        <x:v>0.8</x:v>
      </x:c>
      <x:c r="D1851" s="60" t="n">
        <x:v>0.8</x:v>
      </x:c>
      <x:c r="E1851" s="62" t="b">
        <x:v>1</x:v>
      </x:c>
      <x:c r="F1851" s="62" t="b">
        <x:v>0</x:v>
      </x:c>
      <x:c r="G1851" s="85" t="n">
        <x:v>9991068.716489516</x:v>
      </x:c>
      <x:c r="H1851" s="85" t="n">
        <x:v>51262703.84752583</x:v>
      </x:c>
      <x:c r="I1851" s="85" t="n">
        <x:v>63475874.120454766</x:v>
      </x:c>
      <x:c r="J1851" s="85" t="n">
        <x:v>68999999.99999999</x:v>
      </x:c>
      <x:c r="K1851" s="85" t="n">
        <x:v>257907.00193972106</x:v>
      </x:c>
      <x:c r="L1851" s="28" t="n">
        <x:v>43</x:v>
      </x:c>
      <x:c r="M1851" s="28" t="n">
        <x:v>38</x:v>
      </x:c>
      <x:c r="N1851" s="28" t="n">
        <x:v>1.862645149230957e-9</x:v>
      </x:c>
      <x:c r="O1851" s="28" t="n">
        <x:v>1.4901161193847656e-8</x:v>
      </x:c>
      <x:c r="P1851" s="28" t="n">
        <x:v>0</x:v>
      </x:c>
      <x:c r="Q1851" s="62" t="b">
        <x:v>1</x:v>
      </x:c>
      <x:c r="R1851" s="28" t="n">
        <x:v>0</x:v>
      </x:c>
      <x:c r="S1851" s="28" t="str">
        <x:v>1c5af14e32e62484</x:v>
      </x:c>
    </x:row>
    <x:row r="1852" ht="21" customHeight="1">
      <x:c r="A1852" s="60" t="n">
        <x:v>0.67</x:v>
      </x:c>
      <x:c r="B1852" s="28" t="str">
        <x:v>middle_flat</x:v>
      </x:c>
      <x:c r="C1852" s="60" t="n">
        <x:v>0.85</x:v>
      </x:c>
      <x:c r="D1852" s="60" t="n">
        <x:v>0.85</x:v>
      </x:c>
      <x:c r="E1852" s="62" t="b">
        <x:v>1</x:v>
      </x:c>
      <x:c r="F1852" s="62" t="b">
        <x:v>0</x:v>
      </x:c>
      <x:c r="G1852" s="85" t="n">
        <x:v>12308316.74839917</x:v>
      </x:c>
      <x:c r="H1852" s="85" t="n">
        <x:v>61606440.68906276</x:v>
      </x:c>
      <x:c r="I1852" s="85" t="n">
        <x:v>64668937.09043284</x:v>
      </x:c>
      <x:c r="J1852" s="85" t="n">
        <x:v>68999999.99999999</x:v>
      </x:c>
      <x:c r="K1852" s="85" t="n">
        <x:v>232379.5927287654</x:v>
      </x:c>
      <x:c r="L1852" s="28" t="n">
        <x:v>44</x:v>
      </x:c>
      <x:c r="M1852" s="28" t="n">
        <x:v>39</x:v>
      </x:c>
      <x:c r="N1852" s="28" t="n">
        <x:v>1.862645149230957e-9</x:v>
      </x:c>
      <x:c r="O1852" s="28" t="n">
        <x:v>2.9802322387695312e-8</x:v>
      </x:c>
      <x:c r="P1852" s="28" t="n">
        <x:v>0</x:v>
      </x:c>
      <x:c r="Q1852" s="62" t="b">
        <x:v>1</x:v>
      </x:c>
      <x:c r="R1852" s="28" t="n">
        <x:v>0</x:v>
      </x:c>
      <x:c r="S1852" s="28" t="str">
        <x:v>66c448e0f2fbe4be</x:v>
      </x:c>
    </x:row>
    <x:row r="1853" ht="21" customHeight="1">
      <x:c r="A1853" s="60" t="n">
        <x:v>0.67</x:v>
      </x:c>
      <x:c r="B1853" s="28" t="str">
        <x:v>middle_flat</x:v>
      </x:c>
      <x:c r="C1853" s="60" t="n">
        <x:v>0.9</x:v>
      </x:c>
      <x:c r="D1853" s="60" t="n">
        <x:v>0.9</x:v>
      </x:c>
      <x:c r="E1853" s="62" t="b">
        <x:v>1</x:v>
      </x:c>
      <x:c r="F1853" s="62" t="b">
        <x:v>0</x:v>
      </x:c>
      <x:c r="G1853" s="85" t="n">
        <x:v>17982913.28814826</x:v>
      </x:c>
      <x:c r="H1853" s="85" t="n">
        <x:v>71400982.97507678</x:v>
      </x:c>
      <x:c r="I1853" s="85" t="n">
        <x:v>64728347.14200544</x:v>
      </x:c>
      <x:c r="J1853" s="85" t="n">
        <x:v>68999999.99999999</x:v>
      </x:c>
      <x:c r="K1853" s="85" t="n">
        <x:v>206852.18351781066</x:v>
      </x:c>
      <x:c r="L1853" s="28" t="n">
        <x:v>44</x:v>
      </x:c>
      <x:c r="M1853" s="28" t="n">
        <x:v>40</x:v>
      </x:c>
      <x:c r="N1853" s="28" t="n">
        <x:v>1.862645149230957e-9</x:v>
      </x:c>
      <x:c r="O1853" s="28" t="n">
        <x:v>2.9802322387695312e-8</x:v>
      </x:c>
      <x:c r="P1853" s="28" t="n">
        <x:v>0</x:v>
      </x:c>
      <x:c r="Q1853" s="62" t="b">
        <x:v>1</x:v>
      </x:c>
      <x:c r="R1853" s="28" t="n">
        <x:v>0</x:v>
      </x:c>
      <x:c r="S1853" s="28" t="str">
        <x:v>27639fce131f70f5</x:v>
      </x:c>
    </x:row>
    <x:row r="1854" ht="21" customHeight="1">
      <x:c r="A1854" s="60" t="n">
        <x:v>0.67</x:v>
      </x:c>
      <x:c r="B1854" s="28" t="str">
        <x:v>middle_flat</x:v>
      </x:c>
      <x:c r="C1854" s="60" t="n">
        <x:v>0.95</x:v>
      </x:c>
      <x:c r="D1854" s="60" t="n">
        <x:v>0.9361238209331334</x:v>
      </x:c>
      <x:c r="E1854" s="62" t="b">
        <x:v>0</x:v>
      </x:c>
      <x:c r="F1854" s="62" t="b">
        <x:v>0</x:v>
      </x:c>
      <x:c r="G1854" s="85" t="n">
        <x:v>20459367.405747443</x:v>
      </x:c>
      <x:c r="H1854" s="85" t="n">
        <x:v>77462232.92703432</x:v>
      </x:c>
      <x:c r="I1854" s="85" t="n">
        <x:v>64787757.19357804</x:v>
      </x:c>
      <x:c r="J1854" s="85" t="n">
        <x:v>68999999.99999999</x:v>
      </x:c>
      <x:c r="K1854" s="85" t="n">
        <x:v>181324.77430685033</x:v>
      </x:c>
      <x:c r="L1854" s="28" t="n">
        <x:v>44</x:v>
      </x:c>
      <x:c r="M1854" s="28" t="n">
        <x:v>40</x:v>
      </x:c>
      <x:c r="N1854" s="28" t="n">
        <x:v>1.862645149230957e-9</x:v>
      </x:c>
      <x:c r="O1854" s="28" t="n">
        <x:v>1.4901161193847656e-8</x:v>
      </x:c>
      <x:c r="P1854" s="28" t="n">
        <x:v>0</x:v>
      </x:c>
      <x:c r="Q1854" s="62" t="b">
        <x:v>1</x:v>
      </x:c>
      <x:c r="R1854" s="28" t="n">
        <x:v>4162853.720059991</x:v>
      </x:c>
      <x:c r="S1854" s="28" t="str">
        <x:v>d10823c7c9b1de80</x:v>
      </x:c>
    </x:row>
    <x:row r="1855" ht="21" customHeight="1">
      <x:c r="A1855" s="60" t="n">
        <x:v>0.67</x:v>
      </x:c>
      <x:c r="B1855" s="28" t="str">
        <x:v>middle_flat</x:v>
      </x:c>
      <x:c r="C1855" s="60" t="n">
        <x:v>1</x:v>
      </x:c>
      <x:c r="D1855" s="60" t="n">
        <x:v>0.9498342654879072</x:v>
      </x:c>
      <x:c r="E1855" s="62" t="b">
        <x:v>0</x:v>
      </x:c>
      <x:c r="F1855" s="62" t="b">
        <x:v>0</x:v>
      </x:c>
      <x:c r="G1855" s="85" t="n">
        <x:v>22196044.272735346</x:v>
      </x:c>
      <x:c r="H1855" s="85" t="n">
        <x:v>80651018.98965079</x:v>
      </x:c>
      <x:c r="I1855" s="85" t="n">
        <x:v>64847167.24515064</x:v>
      </x:c>
      <x:c r="J1855" s="85" t="n">
        <x:v>68999999.99999999</x:v>
      </x:c>
      <x:c r="K1855" s="85" t="n">
        <x:v>155797.36509589656</x:v>
      </x:c>
      <x:c r="L1855" s="28" t="n">
        <x:v>44</x:v>
      </x:c>
      <x:c r="M1855" s="28" t="n">
        <x:v>40</x:v>
      </x:c>
      <x:c r="N1855" s="28" t="n">
        <x:v>1.862645149230957e-9</x:v>
      </x:c>
      <x:c r="O1855" s="28" t="n">
        <x:v>1.4901161193847656e-8</x:v>
      </x:c>
      <x:c r="P1855" s="28" t="n">
        <x:v>0</x:v>
      </x:c>
      <x:c r="Q1855" s="62" t="b">
        <x:v>1</x:v>
      </x:c>
      <x:c r="R1855" s="28" t="n">
        <x:v>15049720.35362786</x:v>
      </x:c>
      <x:c r="S1855" s="28" t="str">
        <x:v>9f4c098cf0f9c7fb</x:v>
      </x:c>
    </x:row>
    <x:row r="1856" ht="21" customHeight="1">
      <x:c r="A1856" s="60" t="n">
        <x:v>0.67</x:v>
      </x:c>
      <x:c r="B1856" s="28" t="str">
        <x:v>middle_low</x:v>
      </x:c>
      <x:c r="C1856" s="60" t="n">
        <x:v>0</x:v>
      </x:c>
      <x:c r="D1856" s="60" t="n">
        <x:v>0</x:v>
      </x:c>
      <x:c r="E1856" s="62" t="b">
        <x:v>1</x:v>
      </x:c>
      <x:c r="F1856" s="62" t="b">
        <x:v>1</x:v>
      </x:c>
      <x:c r="G1856" s="85" t="n">
        <x:v>0</x:v>
      </x:c>
      <x:c r="H1856" s="85" t="n">
        <x:v>0</x:v>
      </x:c>
      <x:c r="I1856" s="85" t="n">
        <x:v>0</x:v>
      </x:c>
      <x:c r="J1856" s="85" t="n">
        <x:v>0</x:v>
      </x:c>
      <x:c r="K1856" s="85" t="n">
        <x:v>30957516.066438366</x:v>
      </x:c>
      <x:c r="L1856" s="28" t="n">
        <x:v>0</x:v>
      </x:c>
      <x:c r="M1856" s="28" t="n">
        <x:v>0</x:v>
      </x:c>
      <x:c r="N1856" s="28" t="n">
        <x:v>1.862645149230957e-9</x:v>
      </x:c>
      <x:c r="O1856" s="28" t="n">
        <x:v>0</x:v>
      </x:c>
      <x:c r="P1856" s="28" t="n">
        <x:v>0</x:v>
      </x:c>
      <x:c r="Q1856" s="62" t="b">
        <x:v>1</x:v>
      </x:c>
      <x:c r="R1856" s="28" t="n">
        <x:v>0</x:v>
      </x:c>
      <x:c r="S1856" s="28" t="str">
        <x:v>c90e62642e49eb8e</x:v>
      </x:c>
    </x:row>
    <x:row r="1857" ht="21" customHeight="1">
      <x:c r="A1857" s="60" t="n">
        <x:v>0.67</x:v>
      </x:c>
      <x:c r="B1857" s="28" t="str">
        <x:v>middle_low</x:v>
      </x:c>
      <x:c r="C1857" s="60" t="n">
        <x:v>0.05</x:v>
      </x:c>
      <x:c r="D1857" s="60" t="n">
        <x:v>0.05</x:v>
      </x:c>
      <x:c r="E1857" s="62" t="b">
        <x:v>1</x:v>
      </x:c>
      <x:c r="F1857" s="62" t="b">
        <x:v>1</x:v>
      </x:c>
      <x:c r="G1857" s="85" t="n">
        <x:v>0</x:v>
      </x:c>
      <x:c r="H1857" s="85" t="n">
        <x:v>0</x:v>
      </x:c>
      <x:c r="I1857" s="85" t="n">
        <x:v>0</x:v>
      </x:c>
      <x:c r="J1857" s="85" t="n">
        <x:v>0</x:v>
      </x:c>
      <x:c r="K1857" s="85" t="n">
        <x:v>20228794.461146034</x:v>
      </x:c>
      <x:c r="L1857" s="28" t="n">
        <x:v>0</x:v>
      </x:c>
      <x:c r="M1857" s="28" t="n">
        <x:v>0</x:v>
      </x:c>
      <x:c r="N1857" s="28" t="n">
        <x:v>3.725290298461914e-9</x:v>
      </x:c>
      <x:c r="O1857" s="28" t="n">
        <x:v>2.9802322387695312e-8</x:v>
      </x:c>
      <x:c r="P1857" s="28" t="n">
        <x:v>0</x:v>
      </x:c>
      <x:c r="Q1857" s="62" t="b">
        <x:v>1</x:v>
      </x:c>
      <x:c r="R1857" s="28" t="n">
        <x:v>0</x:v>
      </x:c>
      <x:c r="S1857" s="28" t="str">
        <x:v>2f07d2255861f2ea</x:v>
      </x:c>
    </x:row>
    <x:row r="1858" ht="21" customHeight="1">
      <x:c r="A1858" s="60" t="n">
        <x:v>0.67</x:v>
      </x:c>
      <x:c r="B1858" s="28" t="str">
        <x:v>middle_low</x:v>
      </x:c>
      <x:c r="C1858" s="60" t="n">
        <x:v>0.1</x:v>
      </x:c>
      <x:c r="D1858" s="60" t="n">
        <x:v>0.1</x:v>
      </x:c>
      <x:c r="E1858" s="62" t="b">
        <x:v>1</x:v>
      </x:c>
      <x:c r="F1858" s="62" t="b">
        <x:v>1</x:v>
      </x:c>
      <x:c r="G1858" s="85" t="n">
        <x:v>0</x:v>
      </x:c>
      <x:c r="H1858" s="85" t="n">
        <x:v>0</x:v>
      </x:c>
      <x:c r="I1858" s="85" t="n">
        <x:v>0</x:v>
      </x:c>
      <x:c r="J1858" s="85" t="n">
        <x:v>0</x:v>
      </x:c>
      <x:c r="K1858" s="85" t="n">
        <x:v>9416188.060417611</x:v>
      </x:c>
      <x:c r="L1858" s="28" t="n">
        <x:v>0</x:v>
      </x:c>
      <x:c r="M1858" s="28" t="n">
        <x:v>0</x:v>
      </x:c>
      <x:c r="N1858" s="28" t="n">
        <x:v>1.862645149230957e-9</x:v>
      </x:c>
      <x:c r="O1858" s="28" t="n">
        <x:v>5.960464477539063e-8</x:v>
      </x:c>
      <x:c r="P1858" s="28" t="n">
        <x:v>0</x:v>
      </x:c>
      <x:c r="Q1858" s="62" t="b">
        <x:v>1</x:v>
      </x:c>
      <x:c r="R1858" s="28" t="n">
        <x:v>0</x:v>
      </x:c>
      <x:c r="S1858" s="28" t="str">
        <x:v>2607c3ba714f4f18</x:v>
      </x:c>
    </x:row>
    <x:row r="1859" ht="21" customHeight="1">
      <x:c r="A1859" s="60" t="n">
        <x:v>0.67</x:v>
      </x:c>
      <x:c r="B1859" s="28" t="str">
        <x:v>middle_low</x:v>
      </x:c>
      <x:c r="C1859" s="60" t="n">
        <x:v>0.15</x:v>
      </x:c>
      <x:c r="D1859" s="60" t="n">
        <x:v>0.15</x:v>
      </x:c>
      <x:c r="E1859" s="62" t="b">
        <x:v>1</x:v>
      </x:c>
      <x:c r="F1859" s="62" t="b">
        <x:v>1</x:v>
      </x:c>
      <x:c r="G1859" s="85" t="n">
        <x:v>0</x:v>
      </x:c>
      <x:c r="H1859" s="85" t="n">
        <x:v>0</x:v>
      </x:c>
      <x:c r="I1859" s="85" t="n">
        <x:v>1564633.077198626</x:v>
      </x:c>
      <x:c r="J1859" s="85" t="n">
        <x:v>0</x:v>
      </x:c>
      <x:c r="K1859" s="85" t="n">
        <x:v>982478.9189924184</x:v>
      </x:c>
      <x:c r="L1859" s="28" t="n">
        <x:v>0</x:v>
      </x:c>
      <x:c r="M1859" s="28" t="n">
        <x:v>0</x:v>
      </x:c>
      <x:c r="N1859" s="28" t="n">
        <x:v>1.862645149230957e-9</x:v>
      </x:c>
      <x:c r="O1859" s="28" t="n">
        <x:v>2.9802322387695312e-8</x:v>
      </x:c>
      <x:c r="P1859" s="28" t="n">
        <x:v>0</x:v>
      </x:c>
      <x:c r="Q1859" s="62" t="b">
        <x:v>1</x:v>
      </x:c>
      <x:c r="R1859" s="28" t="n">
        <x:v>0</x:v>
      </x:c>
      <x:c r="S1859" s="28" t="str">
        <x:v>41c7d6932eed5aee</x:v>
      </x:c>
    </x:row>
    <x:row r="1860" ht="21" customHeight="1">
      <x:c r="A1860" s="60" t="n">
        <x:v>0.67</x:v>
      </x:c>
      <x:c r="B1860" s="28" t="str">
        <x:v>middle_low</x:v>
      </x:c>
      <x:c r="C1860" s="60" t="n">
        <x:v>0.2</x:v>
      </x:c>
      <x:c r="D1860" s="60" t="n">
        <x:v>0.2</x:v>
      </x:c>
      <x:c r="E1860" s="62" t="b">
        <x:v>1</x:v>
      </x:c>
      <x:c r="F1860" s="62" t="b">
        <x:v>1</x:v>
      </x:c>
      <x:c r="G1860" s="85" t="n">
        <x:v>0</x:v>
      </x:c>
      <x:c r="H1860" s="85" t="n">
        <x:v>0</x:v>
      </x:c>
      <x:c r="I1860" s="85" t="n">
        <x:v>7734407.957465247</x:v>
      </x:c>
      <x:c r="J1860" s="85" t="n">
        <x:v>6318282.052720841</x:v>
      </x:c>
      <x:c r="K1860" s="85" t="n">
        <x:v>770954.1504836729</x:v>
      </x:c>
      <x:c r="L1860" s="28" t="n">
        <x:v>0</x:v>
      </x:c>
      <x:c r="M1860" s="28" t="n">
        <x:v>0</x:v>
      </x:c>
      <x:c r="N1860" s="28" t="n">
        <x:v>1.862645149230957e-9</x:v>
      </x:c>
      <x:c r="O1860" s="28" t="n">
        <x:v>2.9802322387695312e-8</x:v>
      </x:c>
      <x:c r="P1860" s="28" t="n">
        <x:v>0</x:v>
      </x:c>
      <x:c r="Q1860" s="62" t="b">
        <x:v>1</x:v>
      </x:c>
      <x:c r="R1860" s="28" t="n">
        <x:v>0</x:v>
      </x:c>
      <x:c r="S1860" s="28" t="str">
        <x:v>b09855adcba314f0</x:v>
      </x:c>
    </x:row>
    <x:row r="1861" ht="21" customHeight="1">
      <x:c r="A1861" s="60" t="n">
        <x:v>0.67</x:v>
      </x:c>
      <x:c r="B1861" s="28" t="str">
        <x:v>middle_low</x:v>
      </x:c>
      <x:c r="C1861" s="60" t="n">
        <x:v>0.25</x:v>
      </x:c>
      <x:c r="D1861" s="60" t="n">
        <x:v>0.25</x:v>
      </x:c>
      <x:c r="E1861" s="62" t="b">
        <x:v>1</x:v>
      </x:c>
      <x:c r="F1861" s="62" t="b">
        <x:v>1</x:v>
      </x:c>
      <x:c r="G1861" s="85" t="n">
        <x:v>0</x:v>
      </x:c>
      <x:c r="H1861" s="85" t="n">
        <x:v>0</x:v>
      </x:c>
      <x:c r="I1861" s="85" t="n">
        <x:v>11806452.460222567</x:v>
      </x:c>
      <x:c r="J1861" s="85" t="n">
        <x:v>15397852.56590101</x:v>
      </x:c>
      <x:c r="K1861" s="85" t="n">
        <x:v>600271.624555278</x:v>
      </x:c>
      <x:c r="L1861" s="28" t="n">
        <x:v>0</x:v>
      </x:c>
      <x:c r="M1861" s="28" t="n">
        <x:v>0</x:v>
      </x:c>
      <x:c r="N1861" s="28" t="n">
        <x:v>1.862645149230957e-9</x:v>
      </x:c>
      <x:c r="O1861" s="28" t="n">
        <x:v>2.9802322387695312e-8</x:v>
      </x:c>
      <x:c r="P1861" s="28" t="n">
        <x:v>0</x:v>
      </x:c>
      <x:c r="Q1861" s="62" t="b">
        <x:v>1</x:v>
      </x:c>
      <x:c r="R1861" s="28" t="n">
        <x:v>0</x:v>
      </x:c>
      <x:c r="S1861" s="28" t="str">
        <x:v>c451b7c06eebd53e</x:v>
      </x:c>
    </x:row>
    <x:row r="1862" ht="21" customHeight="1">
      <x:c r="A1862" s="60" t="n">
        <x:v>0.67</x:v>
      </x:c>
      <x:c r="B1862" s="28" t="str">
        <x:v>middle_low</x:v>
      </x:c>
      <x:c r="C1862" s="60" t="n">
        <x:v>0.3</x:v>
      </x:c>
      <x:c r="D1862" s="60" t="n">
        <x:v>0.3</x:v>
      </x:c>
      <x:c r="E1862" s="62" t="b">
        <x:v>1</x:v>
      </x:c>
      <x:c r="F1862" s="62" t="b">
        <x:v>1</x:v>
      </x:c>
      <x:c r="G1862" s="85" t="n">
        <x:v>0</x:v>
      </x:c>
      <x:c r="H1862" s="85" t="n">
        <x:v>0</x:v>
      </x:c>
      <x:c r="I1862" s="85" t="n">
        <x:v>15935604.847250173</x:v>
      </x:c>
      <x:c r="J1862" s="85" t="n">
        <x:v>24477423.07908109</x:v>
      </x:c>
      <x:c r="K1862" s="85" t="n">
        <x:v>498790.79960332054</x:v>
      </x:c>
      <x:c r="L1862" s="28" t="n">
        <x:v>0</x:v>
      </x:c>
      <x:c r="M1862" s="28" t="n">
        <x:v>0</x:v>
      </x:c>
      <x:c r="N1862" s="28" t="n">
        <x:v>1.862645149230957e-9</x:v>
      </x:c>
      <x:c r="O1862" s="28" t="n">
        <x:v>2.9802322387695312e-8</x:v>
      </x:c>
      <x:c r="P1862" s="28" t="n">
        <x:v>0</x:v>
      </x:c>
      <x:c r="Q1862" s="62" t="b">
        <x:v>1</x:v>
      </x:c>
      <x:c r="R1862" s="28" t="n">
        <x:v>0</x:v>
      </x:c>
      <x:c r="S1862" s="28" t="str">
        <x:v>8f0ec8ac458f760b</x:v>
      </x:c>
    </x:row>
    <x:row r="1863" ht="21" customHeight="1">
      <x:c r="A1863" s="60" t="n">
        <x:v>0.67</x:v>
      </x:c>
      <x:c r="B1863" s="28" t="str">
        <x:v>middle_low</x:v>
      </x:c>
      <x:c r="C1863" s="60" t="n">
        <x:v>0.35</x:v>
      </x:c>
      <x:c r="D1863" s="60" t="n">
        <x:v>0.35</x:v>
      </x:c>
      <x:c r="E1863" s="62" t="b">
        <x:v>1</x:v>
      </x:c>
      <x:c r="F1863" s="62" t="b">
        <x:v>1</x:v>
      </x:c>
      <x:c r="G1863" s="85" t="n">
        <x:v>0</x:v>
      </x:c>
      <x:c r="H1863" s="85" t="n">
        <x:v>0</x:v>
      </x:c>
      <x:c r="I1863" s="85" t="n">
        <x:v>20944645.966720894</x:v>
      </x:c>
      <x:c r="J1863" s="85" t="n">
        <x:v>32155413.35828101</x:v>
      </x:c>
      <x:c r="K1863" s="85" t="n">
        <x:v>410901.6817479473</x:v>
      </x:c>
      <x:c r="L1863" s="28" t="n">
        <x:v>2</x:v>
      </x:c>
      <x:c r="M1863" s="28" t="n">
        <x:v>0</x:v>
      </x:c>
      <x:c r="N1863" s="28" t="n">
        <x:v>3.725290298461914e-9</x:v>
      </x:c>
      <x:c r="O1863" s="28" t="n">
        <x:v>2.9802322387695312e-8</x:v>
      </x:c>
      <x:c r="P1863" s="28" t="n">
        <x:v>0</x:v>
      </x:c>
      <x:c r="Q1863" s="62" t="b">
        <x:v>1</x:v>
      </x:c>
      <x:c r="R1863" s="28" t="n">
        <x:v>0</x:v>
      </x:c>
      <x:c r="S1863" s="28" t="str">
        <x:v>b8d3913998909c01</x:v>
      </x:c>
    </x:row>
    <x:row r="1864" ht="21" customHeight="1">
      <x:c r="A1864" s="60" t="n">
        <x:v>0.67</x:v>
      </x:c>
      <x:c r="B1864" s="28" t="str">
        <x:v>middle_low</x:v>
      </x:c>
      <x:c r="C1864" s="60" t="n">
        <x:v>0.4</x:v>
      </x:c>
      <x:c r="D1864" s="60" t="n">
        <x:v>0.4</x:v>
      </x:c>
      <x:c r="E1864" s="62" t="b">
        <x:v>1</x:v>
      </x:c>
      <x:c r="F1864" s="62" t="b">
        <x:v>1</x:v>
      </x:c>
      <x:c r="G1864" s="85" t="n">
        <x:v>0</x:v>
      </x:c>
      <x:c r="H1864" s="85" t="n">
        <x:v>0</x:v>
      </x:c>
      <x:c r="I1864" s="85" t="n">
        <x:v>27356743.69560713</x:v>
      </x:c>
      <x:c r="J1864" s="85" t="n">
        <x:v>37532892.608290486</x:v>
      </x:c>
      <x:c r="K1864" s="85" t="n">
        <x:v>364012.5648547946</x:v>
      </x:c>
      <x:c r="L1864" s="28" t="n">
        <x:v>8</x:v>
      </x:c>
      <x:c r="M1864" s="28" t="n">
        <x:v>0</x:v>
      </x:c>
      <x:c r="N1864" s="28" t="n">
        <x:v>1.862645149230957e-9</x:v>
      </x:c>
      <x:c r="O1864" s="28" t="n">
        <x:v>2.9802322387695312e-8</x:v>
      </x:c>
      <x:c r="P1864" s="28" t="n">
        <x:v>0</x:v>
      </x:c>
      <x:c r="Q1864" s="62" t="b">
        <x:v>1</x:v>
      </x:c>
      <x:c r="R1864" s="28" t="n">
        <x:v>0</x:v>
      </x:c>
      <x:c r="S1864" s="28" t="str">
        <x:v>736383389a5e546c</x:v>
      </x:c>
    </x:row>
    <x:row r="1865" ht="21" customHeight="1">
      <x:c r="A1865" s="60" t="n">
        <x:v>0.67</x:v>
      </x:c>
      <x:c r="B1865" s="28" t="str">
        <x:v>middle_low</x:v>
      </x:c>
      <x:c r="C1865" s="60" t="n">
        <x:v>0.45</x:v>
      </x:c>
      <x:c r="D1865" s="60" t="n">
        <x:v>0.45</x:v>
      </x:c>
      <x:c r="E1865" s="62" t="b">
        <x:v>1</x:v>
      </x:c>
      <x:c r="F1865" s="62" t="b">
        <x:v>1</x:v>
      </x:c>
      <x:c r="G1865" s="85" t="n">
        <x:v>0</x:v>
      </x:c>
      <x:c r="H1865" s="85" t="n">
        <x:v>0</x:v>
      </x:c>
      <x:c r="I1865" s="85" t="n">
        <x:v>32117260.397862494</x:v>
      </x:c>
      <x:c r="J1865" s="85" t="n">
        <x:v>45632507.84536835</x:v>
      </x:c>
      <x:c r="K1865" s="85" t="n">
        <x:v>317123.447961641</x:v>
      </x:c>
      <x:c r="L1865" s="28" t="n">
        <x:v>11</x:v>
      </x:c>
      <x:c r="M1865" s="28" t="n">
        <x:v>0</x:v>
      </x:c>
      <x:c r="N1865" s="28" t="n">
        <x:v>1.862645149230957e-9</x:v>
      </x:c>
      <x:c r="O1865" s="28" t="n">
        <x:v>2.9802322387695312e-8</x:v>
      </x:c>
      <x:c r="P1865" s="28" t="n">
        <x:v>0</x:v>
      </x:c>
      <x:c r="Q1865" s="62" t="b">
        <x:v>1</x:v>
      </x:c>
      <x:c r="R1865" s="28" t="n">
        <x:v>0</x:v>
      </x:c>
      <x:c r="S1865" s="28" t="str">
        <x:v>be2fc6b56a3eae55</x:v>
      </x:c>
    </x:row>
    <x:row r="1866" ht="21" customHeight="1">
      <x:c r="A1866" s="60" t="n">
        <x:v>0.67</x:v>
      </x:c>
      <x:c r="B1866" s="28" t="str">
        <x:v>middle_low</x:v>
      </x:c>
      <x:c r="C1866" s="60" t="n">
        <x:v>0.5</x:v>
      </x:c>
      <x:c r="D1866" s="60" t="n">
        <x:v>0.5</x:v>
      </x:c>
      <x:c r="E1866" s="62" t="b">
        <x:v>1</x:v>
      </x:c>
      <x:c r="F1866" s="62" t="b">
        <x:v>1</x:v>
      </x:c>
      <x:c r="G1866" s="85" t="n">
        <x:v>0</x:v>
      </x:c>
      <x:c r="H1866" s="85" t="n">
        <x:v>0</x:v>
      </x:c>
      <x:c r="I1866" s="85" t="n">
        <x:v>36640766.65170319</x:v>
      </x:c>
      <x:c r="J1866" s="85" t="n">
        <x:v>54033441.94401221</x:v>
      </x:c>
      <x:c r="K1866" s="85" t="n">
        <x:v>270234.3310684953</x:v>
      </x:c>
      <x:c r="L1866" s="28" t="n">
        <x:v>15</x:v>
      </x:c>
      <x:c r="M1866" s="28" t="n">
        <x:v>0</x:v>
      </x:c>
      <x:c r="N1866" s="28" t="n">
        <x:v>1.862645149230957e-9</x:v>
      </x:c>
      <x:c r="O1866" s="28" t="n">
        <x:v>1.4901161193847656e-8</x:v>
      </x:c>
      <x:c r="P1866" s="28" t="n">
        <x:v>0</x:v>
      </x:c>
      <x:c r="Q1866" s="62" t="b">
        <x:v>1</x:v>
      </x:c>
      <x:c r="R1866" s="28" t="n">
        <x:v>0</x:v>
      </x:c>
      <x:c r="S1866" s="28" t="str">
        <x:v>bd92feba1d3a08c6</x:v>
      </x:c>
    </x:row>
    <x:row r="1867" ht="21" customHeight="1">
      <x:c r="A1867" s="60" t="n">
        <x:v>0.67</x:v>
      </x:c>
      <x:c r="B1867" s="28" t="str">
        <x:v>middle_low</x:v>
      </x:c>
      <x:c r="C1867" s="60" t="n">
        <x:v>0.55</x:v>
      </x:c>
      <x:c r="D1867" s="60" t="n">
        <x:v>0.55</x:v>
      </x:c>
      <x:c r="E1867" s="62" t="b">
        <x:v>1</x:v>
      </x:c>
      <x:c r="F1867" s="62" t="b">
        <x:v>1</x:v>
      </x:c>
      <x:c r="G1867" s="85" t="n">
        <x:v>0</x:v>
      </x:c>
      <x:c r="H1867" s="85" t="n">
        <x:v>0</x:v>
      </x:c>
      <x:c r="I1867" s="85" t="n">
        <x:v>40768020.11752869</x:v>
      </x:c>
      <x:c r="J1867" s="85" t="n">
        <x:v>62965192.63561719</x:v>
      </x:c>
      <x:c r="K1867" s="85" t="n">
        <x:v>223345.2141753431</x:v>
      </x:c>
      <x:c r="L1867" s="28" t="n">
        <x:v>18</x:v>
      </x:c>
      <x:c r="M1867" s="28" t="n">
        <x:v>0</x:v>
      </x:c>
      <x:c r="N1867" s="28" t="n">
        <x:v>1.862645149230957e-9</x:v>
      </x:c>
      <x:c r="O1867" s="28" t="n">
        <x:v>2.9802322387695312e-8</x:v>
      </x:c>
      <x:c r="P1867" s="28" t="n">
        <x:v>0</x:v>
      </x:c>
      <x:c r="Q1867" s="62" t="b">
        <x:v>1</x:v>
      </x:c>
      <x:c r="R1867" s="28" t="n">
        <x:v>0</x:v>
      </x:c>
      <x:c r="S1867" s="28" t="str">
        <x:v>eaa6dcd13874e07a</x:v>
      </x:c>
    </x:row>
    <x:row r="1868" ht="21" customHeight="1">
      <x:c r="A1868" s="60" t="n">
        <x:v>0.67</x:v>
      </x:c>
      <x:c r="B1868" s="28" t="str">
        <x:v>middle_low</x:v>
      </x:c>
      <x:c r="C1868" s="60" t="n">
        <x:v>0.6</x:v>
      </x:c>
      <x:c r="D1868" s="60" t="n">
        <x:v>0.6</x:v>
      </x:c>
      <x:c r="E1868" s="62" t="b">
        <x:v>1</x:v>
      </x:c>
      <x:c r="F1868" s="62" t="b">
        <x:v>0</x:v>
      </x:c>
      <x:c r="G1868" s="85" t="n">
        <x:v>224248.61192307662</x:v>
      </x:c>
      <x:c r="H1868" s="85" t="n">
        <x:v>3357834.8502745265</x:v>
      </x:c>
      <x:c r="I1868" s="85" t="n">
        <x:v>43597276.754239954</x:v>
      </x:c>
      <x:c r="J1868" s="85" t="n">
        <x:v>68999999.99999999</x:v>
      </x:c>
      <x:c r="K1868" s="85" t="n">
        <x:v>191733.03352328786</x:v>
      </x:c>
      <x:c r="L1868" s="28" t="n">
        <x:v>42</x:v>
      </x:c>
      <x:c r="M1868" s="28" t="n">
        <x:v>21</x:v>
      </x:c>
      <x:c r="N1868" s="28" t="n">
        <x:v>1.862645149230957e-9</x:v>
      </x:c>
      <x:c r="O1868" s="28" t="n">
        <x:v>2.9802322387695312e-8</x:v>
      </x:c>
      <x:c r="P1868" s="28" t="n">
        <x:v>0</x:v>
      </x:c>
      <x:c r="Q1868" s="62" t="b">
        <x:v>1</x:v>
      </x:c>
      <x:c r="R1868" s="28" t="n">
        <x:v>0</x:v>
      </x:c>
      <x:c r="S1868" s="28" t="str">
        <x:v>068f8400da91c369</x:v>
      </x:c>
    </x:row>
    <x:row r="1869" ht="21" customHeight="1">
      <x:c r="A1869" s="60" t="n">
        <x:v>0.67</x:v>
      </x:c>
      <x:c r="B1869" s="28" t="str">
        <x:v>middle_low</x:v>
      </x:c>
      <x:c r="C1869" s="60" t="n">
        <x:v>0.65</x:v>
      </x:c>
      <x:c r="D1869" s="60" t="n">
        <x:v>0.65</x:v>
      </x:c>
      <x:c r="E1869" s="62" t="b">
        <x:v>1</x:v>
      </x:c>
      <x:c r="F1869" s="62" t="b">
        <x:v>0</x:v>
      </x:c>
      <x:c r="G1869" s="85" t="n">
        <x:v>946896.5111225166</x:v>
      </x:c>
      <x:c r="H1869" s="85" t="n">
        <x:v>14261610.514378471</x:v>
      </x:c>
      <x:c r="I1869" s="85" t="n">
        <x:v>43653986.08216177</x:v>
      </x:c>
      <x:c r="J1869" s="85" t="n">
        <x:v>68999999.99999999</x:v>
      </x:c>
      <x:c r="K1869" s="85" t="n">
        <x:v>177167.0156547947</x:v>
      </x:c>
      <x:c r="L1869" s="28" t="n">
        <x:v>42</x:v>
      </x:c>
      <x:c r="M1869" s="28" t="n">
        <x:v>31</x:v>
      </x:c>
      <x:c r="N1869" s="28" t="n">
        <x:v>1.862645149230957e-9</x:v>
      </x:c>
      <x:c r="O1869" s="28" t="n">
        <x:v>2.9802322387695312e-8</x:v>
      </x:c>
      <x:c r="P1869" s="28" t="n">
        <x:v>0</x:v>
      </x:c>
      <x:c r="Q1869" s="62" t="b">
        <x:v>1</x:v>
      </x:c>
      <x:c r="R1869" s="28" t="n">
        <x:v>0</x:v>
      </x:c>
      <x:c r="S1869" s="28" t="str">
        <x:v>d7b66630666b5102</x:v>
      </x:c>
    </x:row>
    <x:row r="1870" ht="21" customHeight="1">
      <x:c r="A1870" s="60" t="n">
        <x:v>0.67</x:v>
      </x:c>
      <x:c r="B1870" s="28" t="str">
        <x:v>middle_low</x:v>
      </x:c>
      <x:c r="C1870" s="60" t="n">
        <x:v>0.7</x:v>
      </x:c>
      <x:c r="D1870" s="60" t="n">
        <x:v>0.7</x:v>
      </x:c>
      <x:c r="E1870" s="62" t="b">
        <x:v>1</x:v>
      </x:c>
      <x:c r="F1870" s="62" t="b">
        <x:v>0</x:v>
      </x:c>
      <x:c r="G1870" s="85" t="n">
        <x:v>1598910.7552984569</x:v>
      </x:c>
      <x:c r="H1870" s="85" t="n">
        <x:v>24079886.26508824</x:v>
      </x:c>
      <x:c r="I1870" s="85" t="n">
        <x:v>44652280.17715549</x:v>
      </x:c>
      <x:c r="J1870" s="85" t="n">
        <x:v>68999999.99999999</x:v>
      </x:c>
      <x:c r="K1870" s="85" t="n">
        <x:v>162600.99778630154</x:v>
      </x:c>
      <x:c r="L1870" s="28" t="n">
        <x:v>43</x:v>
      </x:c>
      <x:c r="M1870" s="28" t="n">
        <x:v>32</x:v>
      </x:c>
      <x:c r="N1870" s="28" t="n">
        <x:v>1.862645149230957e-9</x:v>
      </x:c>
      <x:c r="O1870" s="28" t="n">
        <x:v>1.4901161193847656e-8</x:v>
      </x:c>
      <x:c r="P1870" s="28" t="n">
        <x:v>0</x:v>
      </x:c>
      <x:c r="Q1870" s="62" t="b">
        <x:v>1</x:v>
      </x:c>
      <x:c r="R1870" s="28" t="n">
        <x:v>0</x:v>
      </x:c>
      <x:c r="S1870" s="28" t="str">
        <x:v>887dbe249e59254a</x:v>
      </x:c>
    </x:row>
    <x:row r="1871" ht="21" customHeight="1">
      <x:c r="A1871" s="60" t="n">
        <x:v>0.67</x:v>
      </x:c>
      <x:c r="B1871" s="28" t="str">
        <x:v>middle_low</x:v>
      </x:c>
      <x:c r="C1871" s="60" t="n">
        <x:v>0.75</x:v>
      </x:c>
      <x:c r="D1871" s="60" t="n">
        <x:v>0.75</x:v>
      </x:c>
      <x:c r="E1871" s="62" t="b">
        <x:v>1</x:v>
      </x:c>
      <x:c r="F1871" s="62" t="b">
        <x:v>0</x:v>
      </x:c>
      <x:c r="G1871" s="85" t="n">
        <x:v>2637953.6110621826</x:v>
      </x:c>
      <x:c r="H1871" s="85" t="n">
        <x:v>34718199.58239195</x:v>
      </x:c>
      <x:c r="I1871" s="85" t="n">
        <x:v>44677206.25301884</x:v>
      </x:c>
      <x:c r="J1871" s="85" t="n">
        <x:v>68999999.99999999</x:v>
      </x:c>
      <x:c r="K1871" s="85" t="n">
        <x:v>148034.9799178135</x:v>
      </x:c>
      <x:c r="L1871" s="28" t="n">
        <x:v>43</x:v>
      </x:c>
      <x:c r="M1871" s="28" t="n">
        <x:v>34</x:v>
      </x:c>
      <x:c r="N1871" s="28" t="n">
        <x:v>1.862645149230957e-9</x:v>
      </x:c>
      <x:c r="O1871" s="28" t="n">
        <x:v>2.9802322387695312e-8</x:v>
      </x:c>
      <x:c r="P1871" s="28" t="n">
        <x:v>0</x:v>
      </x:c>
      <x:c r="Q1871" s="62" t="b">
        <x:v>1</x:v>
      </x:c>
      <x:c r="R1871" s="28" t="n">
        <x:v>0</x:v>
      </x:c>
      <x:c r="S1871" s="28" t="str">
        <x:v>47214732f87f6186</x:v>
      </x:c>
    </x:row>
    <x:row r="1872" ht="21" customHeight="1">
      <x:c r="A1872" s="60" t="n">
        <x:v>0.67</x:v>
      </x:c>
      <x:c r="B1872" s="28" t="str">
        <x:v>middle_low</x:v>
      </x:c>
      <x:c r="C1872" s="60" t="n">
        <x:v>0.8</x:v>
      </x:c>
      <x:c r="D1872" s="60" t="n">
        <x:v>0.8</x:v>
      </x:c>
      <x:c r="E1872" s="62" t="b">
        <x:v>1</x:v>
      </x:c>
      <x:c r="F1872" s="62" t="b">
        <x:v>0</x:v>
      </x:c>
      <x:c r="G1872" s="85" t="n">
        <x:v>3494623.317108213</x:v>
      </x:c>
      <x:c r="H1872" s="85" t="n">
        <x:v>45355707.22609521</x:v>
      </x:c>
      <x:c r="I1872" s="85" t="n">
        <x:v>44702132.3288822</x:v>
      </x:c>
      <x:c r="J1872" s="85" t="n">
        <x:v>68999999.99999999</x:v>
      </x:c>
      <x:c r="K1872" s="85" t="n">
        <x:v>133468.96204931522</x:v>
      </x:c>
      <x:c r="L1872" s="28" t="n">
        <x:v>43</x:v>
      </x:c>
      <x:c r="M1872" s="28" t="n">
        <x:v>35</x:v>
      </x:c>
      <x:c r="N1872" s="28" t="n">
        <x:v>1.862645149230957e-9</x:v>
      </x:c>
      <x:c r="O1872" s="28" t="n">
        <x:v>1.4901161193847656e-8</x:v>
      </x:c>
      <x:c r="P1872" s="28" t="n">
        <x:v>0</x:v>
      </x:c>
      <x:c r="Q1872" s="62" t="b">
        <x:v>1</x:v>
      </x:c>
      <x:c r="R1872" s="28" t="n">
        <x:v>0</x:v>
      </x:c>
      <x:c r="S1872" s="28" t="str">
        <x:v>f14c12a02d758b8d</x:v>
      </x:c>
    </x:row>
    <x:row r="1873" ht="21" customHeight="1">
      <x:c r="A1873" s="60" t="n">
        <x:v>0.67</x:v>
      </x:c>
      <x:c r="B1873" s="28" t="str">
        <x:v>middle_low</x:v>
      </x:c>
      <x:c r="C1873" s="60" t="n">
        <x:v>0.85</x:v>
      </x:c>
      <x:c r="D1873" s="60" t="n">
        <x:v>0.85</x:v>
      </x:c>
      <x:c r="E1873" s="62" t="b">
        <x:v>1</x:v>
      </x:c>
      <x:c r="F1873" s="62" t="b">
        <x:v>0</x:v>
      </x:c>
      <x:c r="G1873" s="85" t="n">
        <x:v>4540588.017694125</x:v>
      </x:c>
      <x:c r="H1873" s="85" t="n">
        <x:v>54815945.550184436</x:v>
      </x:c>
      <x:c r="I1873" s="85" t="n">
        <x:v>45574027.39726028</x:v>
      </x:c>
      <x:c r="J1873" s="85" t="n">
        <x:v>68999999.99999999</x:v>
      </x:c>
      <x:c r="K1873" s="85" t="n">
        <x:v>118902.94418082487</x:v>
      </x:c>
      <x:c r="L1873" s="28" t="n">
        <x:v>44</x:v>
      </x:c>
      <x:c r="M1873" s="28" t="n">
        <x:v>36</x:v>
      </x:c>
      <x:c r="N1873" s="28" t="n">
        <x:v>1.862645149230957e-9</x:v>
      </x:c>
      <x:c r="O1873" s="28" t="n">
        <x:v>2.9802322387695312e-8</x:v>
      </x:c>
      <x:c r="P1873" s="28" t="n">
        <x:v>0</x:v>
      </x:c>
      <x:c r="Q1873" s="62" t="b">
        <x:v>1</x:v>
      </x:c>
      <x:c r="R1873" s="28" t="n">
        <x:v>0</x:v>
      </x:c>
      <x:c r="S1873" s="28" t="str">
        <x:v>345f38df766e7969</x:v>
      </x:c>
    </x:row>
    <x:row r="1874" ht="21" customHeight="1">
      <x:c r="A1874" s="60" t="n">
        <x:v>0.67</x:v>
      </x:c>
      <x:c r="B1874" s="28" t="str">
        <x:v>middle_low</x:v>
      </x:c>
      <x:c r="C1874" s="60" t="n">
        <x:v>0.9</x:v>
      </x:c>
      <x:c r="D1874" s="60" t="n">
        <x:v>0.9</x:v>
      </x:c>
      <x:c r="E1874" s="62" t="b">
        <x:v>1</x:v>
      </x:c>
      <x:c r="F1874" s="62" t="b">
        <x:v>0</x:v>
      </x:c>
      <x:c r="G1874" s="85" t="n">
        <x:v>5762504.136497934</x:v>
      </x:c>
      <x:c r="H1874" s="85" t="n">
        <x:v>65045428.503503814</x:v>
      </x:c>
      <x:c r="I1874" s="85" t="n">
        <x:v>45576810.05093699</x:v>
      </x:c>
      <x:c r="J1874" s="85" t="n">
        <x:v>68999999.99999999</x:v>
      </x:c>
      <x:c r="K1874" s="85" t="n">
        <x:v>104336.92631232891</x:v>
      </x:c>
      <x:c r="L1874" s="28" t="n">
        <x:v>44</x:v>
      </x:c>
      <x:c r="M1874" s="28" t="n">
        <x:v>36</x:v>
      </x:c>
      <x:c r="N1874" s="28" t="n">
        <x:v>1.862645149230957e-9</x:v>
      </x:c>
      <x:c r="O1874" s="28" t="n">
        <x:v>2.9802322387695312e-8</x:v>
      </x:c>
      <x:c r="P1874" s="28" t="n">
        <x:v>0</x:v>
      </x:c>
      <x:c r="Q1874" s="62" t="b">
        <x:v>1</x:v>
      </x:c>
      <x:c r="R1874" s="28" t="n">
        <x:v>0</x:v>
      </x:c>
      <x:c r="S1874" s="28" t="str">
        <x:v>2e3a71fa9b00dd4e</x:v>
      </x:c>
    </x:row>
    <x:row r="1875" ht="21" customHeight="1">
      <x:c r="A1875" s="60" t="n">
        <x:v>0.67</x:v>
      </x:c>
      <x:c r="B1875" s="28" t="str">
        <x:v>middle_low</x:v>
      </x:c>
      <x:c r="C1875" s="60" t="n">
        <x:v>0.95</x:v>
      </x:c>
      <x:c r="D1875" s="60" t="n">
        <x:v>0.9361238209331334</x:v>
      </x:c>
      <x:c r="E1875" s="62" t="b">
        <x:v>0</x:v>
      </x:c>
      <x:c r="F1875" s="62" t="b">
        <x:v>0</x:v>
      </x:c>
      <x:c r="G1875" s="85" t="n">
        <x:v>8084608.2286655335</x:v>
      </x:c>
      <x:c r="H1875" s="85" t="n">
        <x:v>70885248.34761631</x:v>
      </x:c>
      <x:c r="I1875" s="85" t="n">
        <x:v>45610267.39653699</x:v>
      </x:c>
      <x:c r="J1875" s="85" t="n">
        <x:v>68999999.99999999</x:v>
      </x:c>
      <x:c r="K1875" s="85" t="n">
        <x:v>89770.90844383529</x:v>
      </x:c>
      <x:c r="L1875" s="28" t="n">
        <x:v>44</x:v>
      </x:c>
      <x:c r="M1875" s="28" t="n">
        <x:v>37</x:v>
      </x:c>
      <x:c r="N1875" s="28" t="n">
        <x:v>1.862645149230957e-9</x:v>
      </x:c>
      <x:c r="O1875" s="28" t="n">
        <x:v>1.4901161193847656e-8</x:v>
      </x:c>
      <x:c r="P1875" s="28" t="n">
        <x:v>0</x:v>
      </x:c>
      <x:c r="Q1875" s="62" t="b">
        <x:v>1</x:v>
      </x:c>
      <x:c r="R1875" s="28" t="n">
        <x:v>4162853.720059991</x:v>
      </x:c>
      <x:c r="S1875" s="28" t="str">
        <x:v>0390fd8fdc37bc18</x:v>
      </x:c>
    </x:row>
    <x:row r="1876" ht="21" customHeight="1">
      <x:c r="A1876" s="60" t="n">
        <x:v>0.67</x:v>
      </x:c>
      <x:c r="B1876" s="28" t="str">
        <x:v>middle_low</x:v>
      </x:c>
      <x:c r="C1876" s="60" t="n">
        <x:v>1</x:v>
      </x:c>
      <x:c r="D1876" s="60" t="n">
        <x:v>0.9498342654879072</x:v>
      </x:c>
      <x:c r="E1876" s="62" t="b">
        <x:v>0</x:v>
      </x:c>
      <x:c r="F1876" s="62" t="b">
        <x:v>0</x:v>
      </x:c>
      <x:c r="G1876" s="85" t="n">
        <x:v>8778871.71452269</x:v>
      </x:c>
      <x:c r="H1876" s="85" t="n">
        <x:v>73870672.84046344</x:v>
      </x:c>
      <x:c r="I1876" s="85" t="n">
        <x:v>45643724.74213699</x:v>
      </x:c>
      <x:c r="J1876" s="85" t="n">
        <x:v>68999999.99999999</x:v>
      </x:c>
      <x:c r="K1876" s="85" t="n">
        <x:v>75204.89057534168</x:v>
      </x:c>
      <x:c r="L1876" s="28" t="n">
        <x:v>44</x:v>
      </x:c>
      <x:c r="M1876" s="28" t="n">
        <x:v>38</x:v>
      </x:c>
      <x:c r="N1876" s="28" t="n">
        <x:v>1.862645149230957e-9</x:v>
      </x:c>
      <x:c r="O1876" s="28" t="n">
        <x:v>1.4901161193847656e-8</x:v>
      </x:c>
      <x:c r="P1876" s="28" t="n">
        <x:v>0</x:v>
      </x:c>
      <x:c r="Q1876" s="62" t="b">
        <x:v>1</x:v>
      </x:c>
      <x:c r="R1876" s="28" t="n">
        <x:v>15049720.35362786</x:v>
      </x:c>
      <x:c r="S1876" s="28" t="str">
        <x:v>75b55030d128207f</x:v>
      </x:c>
    </x:row>
    <x:row r="1877" ht="21" customHeight="1">
      <x:c r="A1877" s="60" t="n">
        <x:v>0.67</x:v>
      </x:c>
      <x:c r="B1877" s="28" t="str">
        <x:v>middle_high</x:v>
      </x:c>
      <x:c r="C1877" s="60" t="n">
        <x:v>0</x:v>
      </x:c>
      <x:c r="D1877" s="60" t="n">
        <x:v>0</x:v>
      </x:c>
      <x:c r="E1877" s="62" t="b">
        <x:v>1</x:v>
      </x:c>
      <x:c r="F1877" s="62" t="b">
        <x:v>1</x:v>
      </x:c>
      <x:c r="G1877" s="85" t="n">
        <x:v>0</x:v>
      </x:c>
      <x:c r="H1877" s="85" t="n">
        <x:v>0</x:v>
      </x:c>
      <x:c r="I1877" s="85" t="n">
        <x:v>0</x:v>
      </x:c>
      <x:c r="J1877" s="85" t="n">
        <x:v>0</x:v>
      </x:c>
      <x:c r="K1877" s="85" t="n">
        <x:v>39768055.34041095</x:v>
      </x:c>
      <x:c r="L1877" s="28" t="n">
        <x:v>0</x:v>
      </x:c>
      <x:c r="M1877" s="28" t="n">
        <x:v>0</x:v>
      </x:c>
      <x:c r="N1877" s="28" t="n">
        <x:v>3.725290298461914e-9</x:v>
      </x:c>
      <x:c r="O1877" s="28" t="n">
        <x:v>0</x:v>
      </x:c>
      <x:c r="P1877" s="28" t="n">
        <x:v>0</x:v>
      </x:c>
      <x:c r="Q1877" s="62" t="b">
        <x:v>1</x:v>
      </x:c>
      <x:c r="R1877" s="28" t="n">
        <x:v>0</x:v>
      </x:c>
      <x:c r="S1877" s="28" t="str">
        <x:v>429839c29b05d317</x:v>
      </x:c>
    </x:row>
    <x:row r="1878" ht="21" customHeight="1">
      <x:c r="A1878" s="60" t="n">
        <x:v>0.67</x:v>
      </x:c>
      <x:c r="B1878" s="28" t="str">
        <x:v>middle_high</x:v>
      </x:c>
      <x:c r="C1878" s="60" t="n">
        <x:v>0.05</x:v>
      </x:c>
      <x:c r="D1878" s="60" t="n">
        <x:v>0.05</x:v>
      </x:c>
      <x:c r="E1878" s="62" t="b">
        <x:v>1</x:v>
      </x:c>
      <x:c r="F1878" s="62" t="b">
        <x:v>1</x:v>
      </x:c>
      <x:c r="G1878" s="85" t="n">
        <x:v>0</x:v>
      </x:c>
      <x:c r="H1878" s="85" t="n">
        <x:v>0</x:v>
      </x:c>
      <x:c r="I1878" s="85" t="n">
        <x:v>0</x:v>
      </x:c>
      <x:c r="J1878" s="85" t="n">
        <x:v>0</x:v>
      </x:c>
      <x:c r="K1878" s="85" t="n">
        <x:v>26387446.077608895</x:v>
      </x:c>
      <x:c r="L1878" s="28" t="n">
        <x:v>0</x:v>
      </x:c>
      <x:c r="M1878" s="28" t="n">
        <x:v>0</x:v>
      </x:c>
      <x:c r="N1878" s="28" t="n">
        <x:v>3.725290298461914e-9</x:v>
      </x:c>
      <x:c r="O1878" s="28" t="n">
        <x:v>2.9802322387695312e-8</x:v>
      </x:c>
      <x:c r="P1878" s="28" t="n">
        <x:v>0</x:v>
      </x:c>
      <x:c r="Q1878" s="62" t="b">
        <x:v>1</x:v>
      </x:c>
      <x:c r="R1878" s="28" t="n">
        <x:v>0</x:v>
      </x:c>
      <x:c r="S1878" s="28" t="str">
        <x:v>7ddb9ce3d3f895a6</x:v>
      </x:c>
    </x:row>
    <x:row r="1879" ht="21" customHeight="1">
      <x:c r="A1879" s="60" t="n">
        <x:v>0.67</x:v>
      </x:c>
      <x:c r="B1879" s="28" t="str">
        <x:v>middle_high</x:v>
      </x:c>
      <x:c r="C1879" s="60" t="n">
        <x:v>0.1</x:v>
      </x:c>
      <x:c r="D1879" s="60" t="n">
        <x:v>0.1</x:v>
      </x:c>
      <x:c r="E1879" s="62" t="b">
        <x:v>1</x:v>
      </x:c>
      <x:c r="F1879" s="62" t="b">
        <x:v>1</x:v>
      </x:c>
      <x:c r="G1879" s="85" t="n">
        <x:v>0</x:v>
      </x:c>
      <x:c r="H1879" s="85" t="n">
        <x:v>0</x:v>
      </x:c>
      <x:c r="I1879" s="85" t="n">
        <x:v>0</x:v>
      </x:c>
      <x:c r="J1879" s="85" t="n">
        <x:v>0</x:v>
      </x:c>
      <x:c r="K1879" s="85" t="n">
        <x:v>12846057.623554096</x:v>
      </x:c>
      <x:c r="L1879" s="28" t="n">
        <x:v>0</x:v>
      </x:c>
      <x:c r="M1879" s="28" t="n">
        <x:v>0</x:v>
      </x:c>
      <x:c r="N1879" s="28" t="n">
        <x:v>3.725290298461914e-9</x:v>
      </x:c>
      <x:c r="O1879" s="28" t="n">
        <x:v>5.960464477539063e-8</x:v>
      </x:c>
      <x:c r="P1879" s="28" t="n">
        <x:v>0</x:v>
      </x:c>
      <x:c r="Q1879" s="62" t="b">
        <x:v>1</x:v>
      </x:c>
      <x:c r="R1879" s="28" t="n">
        <x:v>0</x:v>
      </x:c>
      <x:c r="S1879" s="28" t="str">
        <x:v>1db6bc02e175beb3</x:v>
      </x:c>
    </x:row>
    <x:row r="1880" ht="21" customHeight="1">
      <x:c r="A1880" s="60" t="n">
        <x:v>0.67</x:v>
      </x:c>
      <x:c r="B1880" s="28" t="str">
        <x:v>middle_high</x:v>
      </x:c>
      <x:c r="C1880" s="60" t="n">
        <x:v>0.15</x:v>
      </x:c>
      <x:c r="D1880" s="60" t="n">
        <x:v>0.15</x:v>
      </x:c>
      <x:c r="E1880" s="62" t="b">
        <x:v>1</x:v>
      </x:c>
      <x:c r="F1880" s="62" t="b">
        <x:v>1</x:v>
      </x:c>
      <x:c r="G1880" s="85" t="n">
        <x:v>0</x:v>
      </x:c>
      <x:c r="H1880" s="85" t="n">
        <x:v>0</x:v>
      </x:c>
      <x:c r="I1880" s="85" t="n">
        <x:v>2918273.7134876344</x:v>
      </x:c>
      <x:c r="J1880" s="85" t="n">
        <x:v>0</x:v>
      </x:c>
      <x:c r="K1880" s="85" t="n">
        <x:v>2849359.4357563</x:v>
      </x:c>
      <x:c r="L1880" s="28" t="n">
        <x:v>0</x:v>
      </x:c>
      <x:c r="M1880" s="28" t="n">
        <x:v>0</x:v>
      </x:c>
      <x:c r="N1880" s="28" t="n">
        <x:v>3.725290298461914e-9</x:v>
      </x:c>
      <x:c r="O1880" s="28" t="n">
        <x:v>2.9802322387695312e-8</x:v>
      </x:c>
      <x:c r="P1880" s="28" t="n">
        <x:v>0</x:v>
      </x:c>
      <x:c r="Q1880" s="62" t="b">
        <x:v>1</x:v>
      </x:c>
      <x:c r="R1880" s="28" t="n">
        <x:v>0</x:v>
      </x:c>
      <x:c r="S1880" s="28" t="str">
        <x:v>58ffc4be450db456</x:v>
      </x:c>
    </x:row>
    <x:row r="1881" ht="21" customHeight="1">
      <x:c r="A1881" s="60" t="n">
        <x:v>0.67</x:v>
      </x:c>
      <x:c r="B1881" s="28" t="str">
        <x:v>middle_high</x:v>
      </x:c>
      <x:c r="C1881" s="60" t="n">
        <x:v>0.2</x:v>
      </x:c>
      <x:c r="D1881" s="60" t="n">
        <x:v>0.2</x:v>
      </x:c>
      <x:c r="E1881" s="62" t="b">
        <x:v>1</x:v>
      </x:c>
      <x:c r="F1881" s="62" t="b">
        <x:v>1</x:v>
      </x:c>
      <x:c r="G1881" s="85" t="n">
        <x:v>0</x:v>
      </x:c>
      <x:c r="H1881" s="85" t="n">
        <x:v>0</x:v>
      </x:c>
      <x:c r="I1881" s="85" t="n">
        <x:v>13169067.896861253</x:v>
      </x:c>
      <x:c r="J1881" s="85" t="n">
        <x:v>6318282.052720841</x:v>
      </x:c>
      <x:c r="K1881" s="85" t="n">
        <x:v>2210739.424740664</x:v>
      </x:c>
      <x:c r="L1881" s="28" t="n">
        <x:v>0</x:v>
      </x:c>
      <x:c r="M1881" s="28" t="n">
        <x:v>0</x:v>
      </x:c>
      <x:c r="N1881" s="28" t="n">
        <x:v>3.725290298461914e-9</x:v>
      </x:c>
      <x:c r="O1881" s="28" t="n">
        <x:v>2.9802322387695312e-8</x:v>
      </x:c>
      <x:c r="P1881" s="28" t="n">
        <x:v>0</x:v>
      </x:c>
      <x:c r="Q1881" s="62" t="b">
        <x:v>1</x:v>
      </x:c>
      <x:c r="R1881" s="28" t="n">
        <x:v>0</x:v>
      </x:c>
      <x:c r="S1881" s="28" t="str">
        <x:v>efb13188cbdfd068</x:v>
      </x:c>
    </x:row>
    <x:row r="1882" ht="21" customHeight="1">
      <x:c r="A1882" s="60" t="n">
        <x:v>0.67</x:v>
      </x:c>
      <x:c r="B1882" s="28" t="str">
        <x:v>middle_high</x:v>
      </x:c>
      <x:c r="C1882" s="60" t="n">
        <x:v>0.25</x:v>
      </x:c>
      <x:c r="D1882" s="60" t="n">
        <x:v>0.25</x:v>
      </x:c>
      <x:c r="E1882" s="62" t="b">
        <x:v>1</x:v>
      </x:c>
      <x:c r="F1882" s="62" t="b">
        <x:v>1</x:v>
      </x:c>
      <x:c r="G1882" s="85" t="n">
        <x:v>0</x:v>
      </x:c>
      <x:c r="H1882" s="85" t="n">
        <x:v>0</x:v>
      </x:c>
      <x:c r="I1882" s="85" t="n">
        <x:v>22052983.814003885</x:v>
      </x:c>
      <x:c r="J1882" s="85" t="n">
        <x:v>15397852.56590101</x:v>
      </x:c>
      <x:c r="K1882" s="85" t="n">
        <x:v>1725186.2326381484</x:v>
      </x:c>
      <x:c r="L1882" s="28" t="n">
        <x:v>0</x:v>
      </x:c>
      <x:c r="M1882" s="28" t="n">
        <x:v>0</x:v>
      </x:c>
      <x:c r="N1882" s="28" t="n">
        <x:v>3.725290298461914e-9</x:v>
      </x:c>
      <x:c r="O1882" s="28" t="n">
        <x:v>2.9802322387695312e-8</x:v>
      </x:c>
      <x:c r="P1882" s="28" t="n">
        <x:v>0</x:v>
      </x:c>
      <x:c r="Q1882" s="62" t="b">
        <x:v>1</x:v>
      </x:c>
      <x:c r="R1882" s="28" t="n">
        <x:v>0</x:v>
      </x:c>
      <x:c r="S1882" s="28" t="str">
        <x:v>34a54eaf3687e871</x:v>
      </x:c>
    </x:row>
    <x:row r="1883" ht="21" customHeight="1">
      <x:c r="A1883" s="60" t="n">
        <x:v>0.67</x:v>
      </x:c>
      <x:c r="B1883" s="28" t="str">
        <x:v>middle_high</x:v>
      </x:c>
      <x:c r="C1883" s="60" t="n">
        <x:v>0.3</x:v>
      </x:c>
      <x:c r="D1883" s="60" t="n">
        <x:v>0.3</x:v>
      </x:c>
      <x:c r="E1883" s="62" t="b">
        <x:v>1</x:v>
      </x:c>
      <x:c r="F1883" s="62" t="b">
        <x:v>1</x:v>
      </x:c>
      <x:c r="G1883" s="85" t="n">
        <x:v>0</x:v>
      </x:c>
      <x:c r="H1883" s="85" t="n">
        <x:v>0</x:v>
      </x:c>
      <x:c r="I1883" s="85" t="n">
        <x:v>31029992.77803744</x:v>
      </x:c>
      <x:c r="J1883" s="85" t="n">
        <x:v>24477423.07908109</x:v>
      </x:c>
      <x:c r="K1883" s="85" t="n">
        <x:v>1434714.298490185</x:v>
      </x:c>
      <x:c r="L1883" s="28" t="n">
        <x:v>0</x:v>
      </x:c>
      <x:c r="M1883" s="28" t="n">
        <x:v>0</x:v>
      </x:c>
      <x:c r="N1883" s="28" t="n">
        <x:v>3.725290298461914e-9</x:v>
      </x:c>
      <x:c r="O1883" s="28" t="n">
        <x:v>2.9802322387695312e-8</x:v>
      </x:c>
      <x:c r="P1883" s="28" t="n">
        <x:v>0</x:v>
      </x:c>
      <x:c r="Q1883" s="62" t="b">
        <x:v>1</x:v>
      </x:c>
      <x:c r="R1883" s="28" t="n">
        <x:v>0</x:v>
      </x:c>
      <x:c r="S1883" s="28" t="str">
        <x:v>e22119e823706cae</x:v>
      </x:c>
    </x:row>
    <x:row r="1884" ht="21" customHeight="1">
      <x:c r="A1884" s="60" t="n">
        <x:v>0.67</x:v>
      </x:c>
      <x:c r="B1884" s="28" t="str">
        <x:v>middle_high</x:v>
      </x:c>
      <x:c r="C1884" s="60" t="n">
        <x:v>0.35</x:v>
      </x:c>
      <x:c r="D1884" s="60" t="n">
        <x:v>0.35</x:v>
      </x:c>
      <x:c r="E1884" s="62" t="b">
        <x:v>1</x:v>
      </x:c>
      <x:c r="F1884" s="62" t="b">
        <x:v>1</x:v>
      </x:c>
      <x:c r="G1884" s="85" t="n">
        <x:v>0</x:v>
      </x:c>
      <x:c r="H1884" s="85" t="n">
        <x:v>0</x:v>
      </x:c>
      <x:c r="I1884" s="85" t="n">
        <x:v>40360381.13872983</x:v>
      </x:c>
      <x:c r="J1884" s="85" t="n">
        <x:v>32335943.051269256</x:v>
      </x:c>
      <x:c r="K1884" s="85" t="n">
        <x:v>1176781.1167068384</x:v>
      </x:c>
      <x:c r="L1884" s="28" t="n">
        <x:v>1</x:v>
      </x:c>
      <x:c r="M1884" s="28" t="n">
        <x:v>0</x:v>
      </x:c>
      <x:c r="N1884" s="28" t="n">
        <x:v>1.862645149230957e-9</x:v>
      </x:c>
      <x:c r="O1884" s="28" t="n">
        <x:v>2.9802322387695312e-8</x:v>
      </x:c>
      <x:c r="P1884" s="28" t="n">
        <x:v>0</x:v>
      </x:c>
      <x:c r="Q1884" s="62" t="b">
        <x:v>1</x:v>
      </x:c>
      <x:c r="R1884" s="28" t="n">
        <x:v>0</x:v>
      </x:c>
      <x:c r="S1884" s="28" t="str">
        <x:v>e60876fbbe55d992</x:v>
      </x:c>
    </x:row>
    <x:row r="1885" ht="21" customHeight="1">
      <x:c r="A1885" s="60" t="n">
        <x:v>0.67</x:v>
      </x:c>
      <x:c r="B1885" s="28" t="str">
        <x:v>middle_high</x:v>
      </x:c>
      <x:c r="C1885" s="60" t="n">
        <x:v>0.4</x:v>
      </x:c>
      <x:c r="D1885" s="60" t="n">
        <x:v>0.4</x:v>
      </x:c>
      <x:c r="E1885" s="62" t="b">
        <x:v>1</x:v>
      </x:c>
      <x:c r="F1885" s="62" t="b">
        <x:v>1</x:v>
      </x:c>
      <x:c r="G1885" s="85" t="n">
        <x:v>0</x:v>
      </x:c>
      <x:c r="H1885" s="85" t="n">
        <x:v>0</x:v>
      </x:c>
      <x:c r="I1885" s="85" t="n">
        <x:v>50337434.77217296</x:v>
      </x:c>
      <x:c r="J1885" s="85" t="n">
        <x:v>35255796.53135436</x:v>
      </x:c>
      <x:c r="K1885" s="85" t="n">
        <x:v>1048659.0619506785</x:v>
      </x:c>
      <x:c r="L1885" s="28" t="n">
        <x:v>7</x:v>
      </x:c>
      <x:c r="M1885" s="28" t="n">
        <x:v>0</x:v>
      </x:c>
      <x:c r="N1885" s="28" t="n">
        <x:v>1.862645149230957e-9</x:v>
      </x:c>
      <x:c r="O1885" s="28" t="n">
        <x:v>2.9802322387695312e-8</x:v>
      </x:c>
      <x:c r="P1885" s="28" t="n">
        <x:v>0</x:v>
      </x:c>
      <x:c r="Q1885" s="62" t="b">
        <x:v>1</x:v>
      </x:c>
      <x:c r="R1885" s="28" t="n">
        <x:v>0</x:v>
      </x:c>
      <x:c r="S1885" s="28" t="str">
        <x:v>15793b6a4f78554d</x:v>
      </x:c>
    </x:row>
    <x:row r="1886" ht="21" customHeight="1">
      <x:c r="A1886" s="60" t="n">
        <x:v>0.67</x:v>
      </x:c>
      <x:c r="B1886" s="28" t="str">
        <x:v>middle_high</x:v>
      </x:c>
      <x:c r="C1886" s="60" t="n">
        <x:v>0.45</x:v>
      </x:c>
      <x:c r="D1886" s="60" t="n">
        <x:v>0.45</x:v>
      </x:c>
      <x:c r="E1886" s="62" t="b">
        <x:v>1</x:v>
      </x:c>
      <x:c r="F1886" s="62" t="b">
        <x:v>1</x:v>
      </x:c>
      <x:c r="G1886" s="85" t="n">
        <x:v>0</x:v>
      </x:c>
      <x:c r="H1886" s="85" t="n">
        <x:v>0</x:v>
      </x:c>
      <x:c r="I1886" s="85" t="n">
        <x:v>59857002.534169</x:v>
      </x:c>
      <x:c r="J1886" s="85" t="n">
        <x:v>42653042.7644965</x:v>
      </x:c>
      <x:c r="K1886" s="85" t="n">
        <x:v>920537.0071945186</x:v>
      </x:c>
      <x:c r="L1886" s="28" t="n">
        <x:v>11</x:v>
      </x:c>
      <x:c r="M1886" s="28" t="n">
        <x:v>0</x:v>
      </x:c>
      <x:c r="N1886" s="28" t="n">
        <x:v>3.725290298461914e-9</x:v>
      </x:c>
      <x:c r="O1886" s="28" t="n">
        <x:v>2.9802322387695312e-8</x:v>
      </x:c>
      <x:c r="P1886" s="28" t="n">
        <x:v>0</x:v>
      </x:c>
      <x:c r="Q1886" s="62" t="b">
        <x:v>1</x:v>
      </x:c>
      <x:c r="R1886" s="28" t="n">
        <x:v>0</x:v>
      </x:c>
      <x:c r="S1886" s="28" t="str">
        <x:v>0db9bf96e0abdd4b</x:v>
      </x:c>
    </x:row>
    <x:row r="1887" ht="21" customHeight="1">
      <x:c r="A1887" s="60" t="n">
        <x:v>0.67</x:v>
      </x:c>
      <x:c r="B1887" s="28" t="str">
        <x:v>middle_high</x:v>
      </x:c>
      <x:c r="C1887" s="60" t="n">
        <x:v>0.5</x:v>
      </x:c>
      <x:c r="D1887" s="60" t="n">
        <x:v>0.5</x:v>
      </x:c>
      <x:c r="E1887" s="62" t="b">
        <x:v>1</x:v>
      </x:c>
      <x:c r="F1887" s="62" t="b">
        <x:v>1</x:v>
      </x:c>
      <x:c r="G1887" s="85" t="n">
        <x:v>0</x:v>
      </x:c>
      <x:c r="H1887" s="85" t="n">
        <x:v>0</x:v>
      </x:c>
      <x:c r="I1887" s="85" t="n">
        <x:v>68979362.21768878</x:v>
      </x:c>
      <x:c r="J1887" s="85" t="n">
        <x:v>51812164.839096405</x:v>
      </x:c>
      <x:c r="K1887" s="85" t="n">
        <x:v>792414.9524383533</x:v>
      </x:c>
      <x:c r="L1887" s="28" t="n">
        <x:v>14</x:v>
      </x:c>
      <x:c r="M1887" s="28" t="n">
        <x:v>4</x:v>
      </x:c>
      <x:c r="N1887" s="28" t="n">
        <x:v>3.725290298461914e-9</x:v>
      </x:c>
      <x:c r="O1887" s="28" t="n">
        <x:v>1.4901161193847656e-8</x:v>
      </x:c>
      <x:c r="P1887" s="28" t="n">
        <x:v>0</x:v>
      </x:c>
      <x:c r="Q1887" s="62" t="b">
        <x:v>1</x:v>
      </x:c>
      <x:c r="R1887" s="28" t="n">
        <x:v>0</x:v>
      </x:c>
      <x:c r="S1887" s="28" t="str">
        <x:v>f1acf39595a97f18</x:v>
      </x:c>
    </x:row>
    <x:row r="1888" ht="21" customHeight="1">
      <x:c r="A1888" s="60" t="n">
        <x:v>0.67</x:v>
      </x:c>
      <x:c r="B1888" s="28" t="str">
        <x:v>middle_high</x:v>
      </x:c>
      <x:c r="C1888" s="60" t="n">
        <x:v>0.55</x:v>
      </x:c>
      <x:c r="D1888" s="60" t="n">
        <x:v>0.55</x:v>
      </x:c>
      <x:c r="E1888" s="62" t="b">
        <x:v>1</x:v>
      </x:c>
      <x:c r="F1888" s="62" t="b">
        <x:v>1</x:v>
      </x:c>
      <x:c r="G1888" s="85" t="n">
        <x:v>0</x:v>
      </x:c>
      <x:c r="H1888" s="85" t="n">
        <x:v>0</x:v>
      </x:c>
      <x:c r="I1888" s="85" t="n">
        <x:v>77753260.94574453</x:v>
      </x:c>
      <x:c r="J1888" s="85" t="n">
        <x:v>61680768.99624934</x:v>
      </x:c>
      <x:c r="K1888" s="85" t="n">
        <x:v>664292.897682186</x:v>
      </x:c>
      <x:c r="L1888" s="28" t="n">
        <x:v>17</x:v>
      </x:c>
      <x:c r="M1888" s="28" t="n">
        <x:v>10</x:v>
      </x:c>
      <x:c r="N1888" s="28" t="n">
        <x:v>1.862645149230957e-9</x:v>
      </x:c>
      <x:c r="O1888" s="28" t="n">
        <x:v>2.9802322387695312e-8</x:v>
      </x:c>
      <x:c r="P1888" s="28" t="n">
        <x:v>0</x:v>
      </x:c>
      <x:c r="Q1888" s="62" t="b">
        <x:v>1</x:v>
      </x:c>
      <x:c r="R1888" s="28" t="n">
        <x:v>0</x:v>
      </x:c>
      <x:c r="S1888" s="28" t="str">
        <x:v>ed3620adb2be677d</x:v>
      </x:c>
    </x:row>
    <x:row r="1889" ht="21" customHeight="1">
      <x:c r="A1889" s="60" t="n">
        <x:v>0.67</x:v>
      </x:c>
      <x:c r="B1889" s="28" t="str">
        <x:v>middle_high</x:v>
      </x:c>
      <x:c r="C1889" s="60" t="n">
        <x:v>0.6</x:v>
      </x:c>
      <x:c r="D1889" s="60" t="n">
        <x:v>0.6</x:v>
      </x:c>
      <x:c r="E1889" s="62" t="b">
        <x:v>1</x:v>
      </x:c>
      <x:c r="F1889" s="62" t="b">
        <x:v>0</x:v>
      </x:c>
      <x:c r="G1889" s="85" t="n">
        <x:v>1068710.8572732136</x:v>
      </x:c>
      <x:c r="H1889" s="85" t="n">
        <x:v>4128188.1699391897</x:v>
      </x:c>
      <x:c r="I1889" s="85" t="n">
        <x:v>83968971.81717858</x:v>
      </x:c>
      <x:c r="J1889" s="85" t="n">
        <x:v>68999999.99999999</x:v>
      </x:c>
      <x:c r="K1889" s="85" t="n">
        <x:v>571732.4997369896</x:v>
      </x:c>
      <x:c r="L1889" s="28" t="n">
        <x:v>42</x:v>
      </x:c>
      <x:c r="M1889" s="28" t="n">
        <x:v>36</x:v>
      </x:c>
      <x:c r="N1889" s="28" t="n">
        <x:v>1.862645149230957e-9</x:v>
      </x:c>
      <x:c r="O1889" s="28" t="n">
        <x:v>2.9802322387695312e-8</x:v>
      </x:c>
      <x:c r="P1889" s="28" t="n">
        <x:v>0</x:v>
      </x:c>
      <x:c r="Q1889" s="62" t="b">
        <x:v>1</x:v>
      </x:c>
      <x:c r="R1889" s="28" t="n">
        <x:v>0</x:v>
      </x:c>
      <x:c r="S1889" s="28" t="str">
        <x:v>206898eb5f8e7da5</x:v>
      </x:c>
    </x:row>
    <x:row r="1890" ht="21" customHeight="1">
      <x:c r="A1890" s="60" t="n">
        <x:v>0.67</x:v>
      </x:c>
      <x:c r="B1890" s="28" t="str">
        <x:v>middle_high</x:v>
      </x:c>
      <x:c r="C1890" s="60" t="n">
        <x:v>0.65</x:v>
      </x:c>
      <x:c r="D1890" s="60" t="n">
        <x:v>0.65</x:v>
      </x:c>
      <x:c r="E1890" s="62" t="b">
        <x:v>1</x:v>
      </x:c>
      <x:c r="F1890" s="62" t="b">
        <x:v>0</x:v>
      </x:c>
      <x:c r="G1890" s="85" t="n">
        <x:v>5640890.025605792</x:v>
      </x:c>
      <x:c r="H1890" s="85" t="n">
        <x:v>19081800.852605693</x:v>
      </x:c>
      <x:c r="I1890" s="85" t="n">
        <x:v>84121783.77477449</x:v>
      </x:c>
      <x:c r="J1890" s="85" t="n">
        <x:v>68999999.99999999</x:v>
      </x:c>
      <x:c r="K1890" s="85" t="n">
        <x:v>525357.3040931501</x:v>
      </x:c>
      <x:c r="L1890" s="28" t="n">
        <x:v>42</x:v>
      </x:c>
      <x:c r="M1890" s="28" t="n">
        <x:v>38</x:v>
      </x:c>
      <x:c r="N1890" s="28" t="n">
        <x:v>1.862645149230957e-9</x:v>
      </x:c>
      <x:c r="O1890" s="28" t="n">
        <x:v>2.9802322387695312e-8</x:v>
      </x:c>
      <x:c r="P1890" s="28" t="n">
        <x:v>0</x:v>
      </x:c>
      <x:c r="Q1890" s="62" t="b">
        <x:v>1</x:v>
      </x:c>
      <x:c r="R1890" s="28" t="n">
        <x:v>0</x:v>
      </x:c>
      <x:c r="S1890" s="28" t="str">
        <x:v>4a97ff5d1cfcee37</x:v>
      </x:c>
    </x:row>
    <x:row r="1891" ht="21" customHeight="1">
      <x:c r="A1891" s="60" t="n">
        <x:v>0.67</x:v>
      </x:c>
      <x:c r="B1891" s="28" t="str">
        <x:v>middle_high</x:v>
      </x:c>
      <x:c r="C1891" s="60" t="n">
        <x:v>0.7</x:v>
      </x:c>
      <x:c r="D1891" s="60" t="n">
        <x:v>0.7</x:v>
      </x:c>
      <x:c r="E1891" s="62" t="b">
        <x:v>1</x:v>
      </x:c>
      <x:c r="F1891" s="62" t="b">
        <x:v>0</x:v>
      </x:c>
      <x:c r="G1891" s="85" t="n">
        <x:v>9695591.307380836</x:v>
      </x:c>
      <x:c r="H1891" s="85" t="n">
        <x:v>31031501.153152365</x:v>
      </x:c>
      <x:c r="I1891" s="85" t="n">
        <x:v>85798405.48705819</x:v>
      </x:c>
      <x:c r="J1891" s="85" t="n">
        <x:v>68999999.99999999</x:v>
      </x:c>
      <x:c r="K1891" s="85" t="n">
        <x:v>486669.7151561638</x:v>
      </x:c>
      <x:c r="L1891" s="28" t="n">
        <x:v>43</x:v>
      </x:c>
      <x:c r="M1891" s="28" t="n">
        <x:v>38</x:v>
      </x:c>
      <x:c r="N1891" s="28" t="n">
        <x:v>1.862645149230957e-9</x:v>
      </x:c>
      <x:c r="O1891" s="28" t="n">
        <x:v>1.4901161193847656e-8</x:v>
      </x:c>
      <x:c r="P1891" s="28" t="n">
        <x:v>0</x:v>
      </x:c>
      <x:c r="Q1891" s="62" t="b">
        <x:v>1</x:v>
      </x:c>
      <x:c r="R1891" s="28" t="n">
        <x:v>0</x:v>
      </x:c>
      <x:c r="S1891" s="28" t="str">
        <x:v>3d5222e1fdccbdb7</x:v>
      </x:c>
    </x:row>
    <x:row r="1892" ht="21" customHeight="1">
      <x:c r="A1892" s="60" t="n">
        <x:v>0.67</x:v>
      </x:c>
      <x:c r="B1892" s="28" t="str">
        <x:v>middle_high</x:v>
      </x:c>
      <x:c r="C1892" s="60" t="n">
        <x:v>0.75</x:v>
      </x:c>
      <x:c r="D1892" s="60" t="n">
        <x:v>0.75</x:v>
      </x:c>
      <x:c r="E1892" s="62" t="b">
        <x:v>1</x:v>
      </x:c>
      <x:c r="F1892" s="62" t="b">
        <x:v>0</x:v>
      </x:c>
      <x:c r="G1892" s="85" t="n">
        <x:v>14771928.06944461</x:v>
      </x:c>
      <x:c r="H1892" s="85" t="n">
        <x:v>45035539.626419894</x:v>
      </x:c>
      <x:c r="I1892" s="85" t="n">
        <x:v>85919292.10384417</x:v>
      </x:c>
      <x:c r="J1892" s="85" t="n">
        <x:v>68999999.99999999</x:v>
      </x:c>
      <x:c r="K1892" s="85" t="n">
        <x:v>447982.1262191784</x:v>
      </x:c>
      <x:c r="L1892" s="28" t="n">
        <x:v>43</x:v>
      </x:c>
      <x:c r="M1892" s="28" t="n">
        <x:v>39</x:v>
      </x:c>
      <x:c r="N1892" s="28" t="n">
        <x:v>3.725290298461914e-9</x:v>
      </x:c>
      <x:c r="O1892" s="28" t="n">
        <x:v>2.9802322387695312e-8</x:v>
      </x:c>
      <x:c r="P1892" s="28" t="n">
        <x:v>0</x:v>
      </x:c>
      <x:c r="Q1892" s="62" t="b">
        <x:v>1</x:v>
      </x:c>
      <x:c r="R1892" s="28" t="n">
        <x:v>0</x:v>
      </x:c>
      <x:c r="S1892" s="28" t="str">
        <x:v>ba1dbb36787e34be</x:v>
      </x:c>
    </x:row>
    <x:row r="1893" ht="21" customHeight="1">
      <x:c r="A1893" s="60" t="n">
        <x:v>0.67</x:v>
      </x:c>
      <x:c r="B1893" s="28" t="str">
        <x:v>middle_high</x:v>
      </x:c>
      <x:c r="C1893" s="60" t="n">
        <x:v>0.8</x:v>
      </x:c>
      <x:c r="D1893" s="60" t="n">
        <x:v>0.8</x:v>
      </x:c>
      <x:c r="E1893" s="62" t="b">
        <x:v>1</x:v>
      </x:c>
      <x:c r="F1893" s="62" t="b">
        <x:v>0</x:v>
      </x:c>
      <x:c r="G1893" s="85" t="n">
        <x:v>19746455.471516807</x:v>
      </x:c>
      <x:c r="H1893" s="85" t="n">
        <x:v>58898348.16084887</x:v>
      </x:c>
      <x:c r="I1893" s="85" t="n">
        <x:v>86078467.86237258</x:v>
      </x:c>
      <x:c r="J1893" s="85" t="n">
        <x:v>68999999.99999999</x:v>
      </x:c>
      <x:c r="K1893" s="85" t="n">
        <x:v>409294.53728218924</x:v>
      </x:c>
      <x:c r="L1893" s="28" t="n">
        <x:v>43</x:v>
      </x:c>
      <x:c r="M1893" s="28" t="n">
        <x:v>40</x:v>
      </x:c>
      <x:c r="N1893" s="28" t="n">
        <x:v>1.862645149230957e-9</x:v>
      </x:c>
      <x:c r="O1893" s="28" t="n">
        <x:v>1.4901161193847656e-8</x:v>
      </x:c>
      <x:c r="P1893" s="28" t="n">
        <x:v>0</x:v>
      </x:c>
      <x:c r="Q1893" s="62" t="b">
        <x:v>1</x:v>
      </x:c>
      <x:c r="R1893" s="28" t="n">
        <x:v>0</x:v>
      </x:c>
      <x:c r="S1893" s="28" t="str">
        <x:v>5382a6ccb18f152e</x:v>
      </x:c>
    </x:row>
    <x:row r="1894" ht="21" customHeight="1">
      <x:c r="A1894" s="60" t="n">
        <x:v>0.67</x:v>
      </x:c>
      <x:c r="B1894" s="28" t="str">
        <x:v>middle_high</x:v>
      </x:c>
      <x:c r="C1894" s="60" t="n">
        <x:v>0.85</x:v>
      </x:c>
      <x:c r="D1894" s="60" t="n">
        <x:v>0.85</x:v>
      </x:c>
      <x:c r="E1894" s="62" t="b">
        <x:v>1</x:v>
      </x:c>
      <x:c r="F1894" s="62" t="b">
        <x:v>0</x:v>
      </x:c>
      <x:c r="G1894" s="85" t="n">
        <x:v>26000717.949882038</x:v>
      </x:c>
      <x:c r="H1894" s="85" t="n">
        <x:v>69437368.48573866</x:v>
      </x:c>
      <x:c r="I1894" s="85" t="n">
        <x:v>87617698.4339945</x:v>
      </x:c>
      <x:c r="J1894" s="85" t="n">
        <x:v>68999999.99999999</x:v>
      </x:c>
      <x:c r="K1894" s="85" t="n">
        <x:v>370606.9483452067</x:v>
      </x:c>
      <x:c r="L1894" s="28" t="n">
        <x:v>44</x:v>
      </x:c>
      <x:c r="M1894" s="28" t="n">
        <x:v>40</x:v>
      </x:c>
      <x:c r="N1894" s="28" t="n">
        <x:v>1.862645149230957e-9</x:v>
      </x:c>
      <x:c r="O1894" s="28" t="n">
        <x:v>2.9802322387695312e-8</x:v>
      </x:c>
      <x:c r="P1894" s="28" t="n">
        <x:v>0</x:v>
      </x:c>
      <x:c r="Q1894" s="62" t="b">
        <x:v>1</x:v>
      </x:c>
      <x:c r="R1894" s="28" t="n">
        <x:v>0</x:v>
      </x:c>
      <x:c r="S1894" s="28" t="str">
        <x:v>5f36177ca275564e</x:v>
      </x:c>
    </x:row>
    <x:row r="1895" ht="21" customHeight="1">
      <x:c r="A1895" s="60" t="n">
        <x:v>0.67</x:v>
      </x:c>
      <x:c r="B1895" s="28" t="str">
        <x:v>middle_high</x:v>
      </x:c>
      <x:c r="C1895" s="60" t="n">
        <x:v>0.9</x:v>
      </x:c>
      <x:c r="D1895" s="60" t="n">
        <x:v>0.9</x:v>
      </x:c>
      <x:c r="E1895" s="62" t="b">
        <x:v>1</x:v>
      </x:c>
      <x:c r="F1895" s="62" t="b">
        <x:v>0</x:v>
      </x:c>
      <x:c r="G1895" s="85" t="n">
        <x:v>34232902.781888604</x:v>
      </x:c>
      <x:c r="H1895" s="85" t="n">
        <x:v>78572058.51307778</x:v>
      </x:c>
      <x:c r="I1895" s="85" t="n">
        <x:v>87708267.14638901</x:v>
      </x:c>
      <x:c r="J1895" s="85" t="n">
        <x:v>68999999.99999999</x:v>
      </x:c>
      <x:c r="K1895" s="85" t="n">
        <x:v>331919.3594082212</x:v>
      </x:c>
      <x:c r="L1895" s="28" t="n">
        <x:v>44</x:v>
      </x:c>
      <x:c r="M1895" s="28" t="n">
        <x:v>40</x:v>
      </x:c>
      <x:c r="N1895" s="28" t="n">
        <x:v>1.862645149230957e-9</x:v>
      </x:c>
      <x:c r="O1895" s="28" t="n">
        <x:v>2.9802322387695312e-8</x:v>
      </x:c>
      <x:c r="P1895" s="28" t="n">
        <x:v>0</x:v>
      </x:c>
      <x:c r="Q1895" s="62" t="b">
        <x:v>1</x:v>
      </x:c>
      <x:c r="R1895" s="28" t="n">
        <x:v>0</x:v>
      </x:c>
      <x:c r="S1895" s="28" t="str">
        <x:v>22bd92a4b347e15a</x:v>
      </x:c>
    </x:row>
    <x:row r="1896" ht="21" customHeight="1">
      <x:c r="A1896" s="60" t="n">
        <x:v>0.67</x:v>
      </x:c>
      <x:c r="B1896" s="28" t="str">
        <x:v>middle_high</x:v>
      </x:c>
      <x:c r="C1896" s="60" t="n">
        <x:v>0.95</x:v>
      </x:c>
      <x:c r="D1896" s="60" t="n">
        <x:v>0.9361238209331334</x:v>
      </x:c>
      <x:c r="E1896" s="62" t="b">
        <x:v>0</x:v>
      </x:c>
      <x:c r="F1896" s="62" t="b">
        <x:v>0</x:v>
      </x:c>
      <x:c r="G1896" s="85" t="n">
        <x:v>38178986.33980146</x:v>
      </x:c>
      <x:c r="H1896" s="85" t="n">
        <x:v>85949461.6430085</x:v>
      </x:c>
      <x:c r="I1896" s="85" t="n">
        <x:v>87798835.85878354</x:v>
      </x:c>
      <x:c r="J1896" s="85" t="n">
        <x:v>68999999.99999999</x:v>
      </x:c>
      <x:c r="K1896" s="85" t="n">
        <x:v>293231.77047122834</x:v>
      </x:c>
      <x:c r="L1896" s="28" t="n">
        <x:v>44</x:v>
      </x:c>
      <x:c r="M1896" s="28" t="n">
        <x:v>41</x:v>
      </x:c>
      <x:c r="N1896" s="28" t="n">
        <x:v>1.862645149230957e-9</x:v>
      </x:c>
      <x:c r="O1896" s="28" t="n">
        <x:v>1.4901161193847656e-8</x:v>
      </x:c>
      <x:c r="P1896" s="28" t="n">
        <x:v>0</x:v>
      </x:c>
      <x:c r="Q1896" s="62" t="b">
        <x:v>1</x:v>
      </x:c>
      <x:c r="R1896" s="28" t="n">
        <x:v>4162853.720059991</x:v>
      </x:c>
      <x:c r="S1896" s="28" t="str">
        <x:v>b818a5beec20f458</x:v>
      </x:c>
    </x:row>
    <x:row r="1897" ht="21" customHeight="1">
      <x:c r="A1897" s="60" t="n">
        <x:v>0.67</x:v>
      </x:c>
      <x:c r="B1897" s="28" t="str">
        <x:v>middle_high</x:v>
      </x:c>
      <x:c r="C1897" s="60" t="n">
        <x:v>1</x:v>
      </x:c>
      <x:c r="D1897" s="60" t="n">
        <x:v>0.9498342654879072</x:v>
      </x:c>
      <x:c r="E1897" s="62" t="b">
        <x:v>0</x:v>
      </x:c>
      <x:c r="F1897" s="62" t="b">
        <x:v>0</x:v>
      </x:c>
      <x:c r="G1897" s="85" t="n">
        <x:v>41378799.05869283</x:v>
      </x:c>
      <x:c r="H1897" s="85" t="n">
        <x:v>89399093.51388574</x:v>
      </x:c>
      <x:c r="I1897" s="85" t="n">
        <x:v>87889404.57117805</x:v>
      </x:c>
      <x:c r="J1897" s="85" t="n">
        <x:v>68999999.99999999</x:v>
      </x:c>
      <x:c r="K1897" s="85" t="n">
        <x:v>254544.18153424948</x:v>
      </x:c>
      <x:c r="L1897" s="28" t="n">
        <x:v>44</x:v>
      </x:c>
      <x:c r="M1897" s="28" t="n">
        <x:v>42</x:v>
      </x:c>
      <x:c r="N1897" s="28" t="n">
        <x:v>1.862645149230957e-9</x:v>
      </x:c>
      <x:c r="O1897" s="28" t="n">
        <x:v>1.4901161193847656e-8</x:v>
      </x:c>
      <x:c r="P1897" s="28" t="n">
        <x:v>0</x:v>
      </x:c>
      <x:c r="Q1897" s="62" t="b">
        <x:v>1</x:v>
      </x:c>
      <x:c r="R1897" s="28" t="n">
        <x:v>15049720.35362786</x:v>
      </x:c>
      <x:c r="S1897" s="28" t="str">
        <x:v>fb97fc90026f2c31</x:v>
      </x:c>
    </x:row>
    <x:row r="1898" ht="21" customHeight="1">
      <x:c r="A1898" s="60" t="n">
        <x:v>0.67</x:v>
      </x:c>
      <x:c r="B1898" s="28" t="str">
        <x:v>back_flat</x:v>
      </x:c>
      <x:c r="C1898" s="60" t="n">
        <x:v>0</x:v>
      </x:c>
      <x:c r="D1898" s="60" t="n">
        <x:v>0</x:v>
      </x:c>
      <x:c r="E1898" s="62" t="b">
        <x:v>1</x:v>
      </x:c>
      <x:c r="F1898" s="62" t="b">
        <x:v>1</x:v>
      </x:c>
      <x:c r="G1898" s="85" t="n">
        <x:v>0</x:v>
      </x:c>
      <x:c r="H1898" s="85" t="n">
        <x:v>0</x:v>
      </x:c>
      <x:c r="I1898" s="85" t="n">
        <x:v>0</x:v>
      </x:c>
      <x:c r="J1898" s="85" t="n">
        <x:v>0</x:v>
      </x:c>
      <x:c r="K1898" s="85" t="n">
        <x:v>34950342.60068495</x:v>
      </x:c>
      <x:c r="L1898" s="28" t="n">
        <x:v>0</x:v>
      </x:c>
      <x:c r="M1898" s="28" t="n">
        <x:v>0</x:v>
      </x:c>
      <x:c r="N1898" s="28" t="n">
        <x:v>3.725290298461914e-9</x:v>
      </x:c>
      <x:c r="O1898" s="28" t="n">
        <x:v>0</x:v>
      </x:c>
      <x:c r="P1898" s="28" t="n">
        <x:v>0</x:v>
      </x:c>
      <x:c r="Q1898" s="62" t="b">
        <x:v>1</x:v>
      </x:c>
      <x:c r="R1898" s="28" t="n">
        <x:v>0</x:v>
      </x:c>
      <x:c r="S1898" s="28" t="str">
        <x:v>58219c1124d3eef7</x:v>
      </x:c>
    </x:row>
    <x:row r="1899" ht="21" customHeight="1">
      <x:c r="A1899" s="60" t="n">
        <x:v>0.67</x:v>
      </x:c>
      <x:c r="B1899" s="28" t="str">
        <x:v>back_flat</x:v>
      </x:c>
      <x:c r="C1899" s="60" t="n">
        <x:v>0.05</x:v>
      </x:c>
      <x:c r="D1899" s="60" t="n">
        <x:v>0.05</x:v>
      </x:c>
      <x:c r="E1899" s="62" t="b">
        <x:v>1</x:v>
      </x:c>
      <x:c r="F1899" s="62" t="b">
        <x:v>1</x:v>
      </x:c>
      <x:c r="G1899" s="85" t="n">
        <x:v>0</x:v>
      </x:c>
      <x:c r="H1899" s="85" t="n">
        <x:v>0</x:v>
      </x:c>
      <x:c r="I1899" s="85" t="n">
        <x:v>0</x:v>
      </x:c>
      <x:c r="J1899" s="85" t="n">
        <x:v>0</x:v>
      </x:c>
      <x:c r="K1899" s="85" t="n">
        <x:v>23209306.572866946</x:v>
      </x:c>
      <x:c r="L1899" s="28" t="n">
        <x:v>0</x:v>
      </x:c>
      <x:c r="M1899" s="28" t="n">
        <x:v>0</x:v>
      </x:c>
      <x:c r="N1899" s="28" t="n">
        <x:v>1.862645149230957e-9</x:v>
      </x:c>
      <x:c r="O1899" s="28" t="n">
        <x:v>5.960464477539063e-8</x:v>
      </x:c>
      <x:c r="P1899" s="28" t="n">
        <x:v>0</x:v>
      </x:c>
      <x:c r="Q1899" s="62" t="b">
        <x:v>1</x:v>
      </x:c>
      <x:c r="R1899" s="28" t="n">
        <x:v>0</x:v>
      </x:c>
      <x:c r="S1899" s="28" t="str">
        <x:v>a2254046f821b99f</x:v>
      </x:c>
    </x:row>
    <x:row r="1900" ht="21" customHeight="1">
      <x:c r="A1900" s="60" t="n">
        <x:v>0.67</x:v>
      </x:c>
      <x:c r="B1900" s="28" t="str">
        <x:v>back_flat</x:v>
      </x:c>
      <x:c r="C1900" s="60" t="n">
        <x:v>0.1</x:v>
      </x:c>
      <x:c r="D1900" s="60" t="n">
        <x:v>0.1</x:v>
      </x:c>
      <x:c r="E1900" s="62" t="b">
        <x:v>1</x:v>
      </x:c>
      <x:c r="F1900" s="62" t="b">
        <x:v>1</x:v>
      </x:c>
      <x:c r="G1900" s="85" t="n">
        <x:v>0</x:v>
      </x:c>
      <x:c r="H1900" s="85" t="n">
        <x:v>0</x:v>
      </x:c>
      <x:c r="I1900" s="85" t="n">
        <x:v>0</x:v>
      </x:c>
      <x:c r="J1900" s="85" t="n">
        <x:v>0</x:v>
      </x:c>
      <x:c r="K1900" s="85" t="n">
        <x:v>11351039.007284582</x:v>
      </x:c>
      <x:c r="L1900" s="28" t="n">
        <x:v>0</x:v>
      </x:c>
      <x:c r="M1900" s="28" t="n">
        <x:v>0</x:v>
      </x:c>
      <x:c r="N1900" s="28" t="n">
        <x:v>1.862645149230957e-9</x:v>
      </x:c>
      <x:c r="O1900" s="28" t="n">
        <x:v>5.960464477539063e-8</x:v>
      </x:c>
      <x:c r="P1900" s="28" t="n">
        <x:v>0</x:v>
      </x:c>
      <x:c r="Q1900" s="62" t="b">
        <x:v>1</x:v>
      </x:c>
      <x:c r="R1900" s="28" t="n">
        <x:v>0</x:v>
      </x:c>
      <x:c r="S1900" s="28" t="str">
        <x:v>e2c7852f048e5921</x:v>
      </x:c>
    </x:row>
    <x:row r="1901" ht="21" customHeight="1">
      <x:c r="A1901" s="60" t="n">
        <x:v>0.67</x:v>
      </x:c>
      <x:c r="B1901" s="28" t="str">
        <x:v>back_flat</x:v>
      </x:c>
      <x:c r="C1901" s="60" t="n">
        <x:v>0.15</x:v>
      </x:c>
      <x:c r="D1901" s="60" t="n">
        <x:v>0.15</x:v>
      </x:c>
      <x:c r="E1901" s="62" t="b">
        <x:v>1</x:v>
      </x:c>
      <x:c r="F1901" s="62" t="b">
        <x:v>1</x:v>
      </x:c>
      <x:c r="G1901" s="85" t="n">
        <x:v>0</x:v>
      </x:c>
      <x:c r="H1901" s="85" t="n">
        <x:v>0</x:v>
      </x:c>
      <x:c r="I1901" s="85" t="n">
        <x:v>2135172.892682704</x:v>
      </x:c>
      <x:c r="J1901" s="85" t="n">
        <x:v>0</x:v>
      </x:c>
      <x:c r="K1901" s="85" t="n">
        <x:v>2209088.05735096</x:v>
      </x:c>
      <x:c r="L1901" s="28" t="n">
        <x:v>0</x:v>
      </x:c>
      <x:c r="M1901" s="28" t="n">
        <x:v>0</x:v>
      </x:c>
      <x:c r="N1901" s="28" t="n">
        <x:v>3.725290298461914e-9</x:v>
      </x:c>
      <x:c r="O1901" s="28" t="n">
        <x:v>5.960464477539063e-8</x:v>
      </x:c>
      <x:c r="P1901" s="28" t="n">
        <x:v>0</x:v>
      </x:c>
      <x:c r="Q1901" s="62" t="b">
        <x:v>1</x:v>
      </x:c>
      <x:c r="R1901" s="28" t="n">
        <x:v>0</x:v>
      </x:c>
      <x:c r="S1901" s="28" t="str">
        <x:v>956558f43768533d</x:v>
      </x:c>
    </x:row>
    <x:row r="1902" ht="21" customHeight="1">
      <x:c r="A1902" s="60" t="n">
        <x:v>0.67</x:v>
      </x:c>
      <x:c r="B1902" s="28" t="str">
        <x:v>back_flat</x:v>
      </x:c>
      <x:c r="C1902" s="60" t="n">
        <x:v>0.2</x:v>
      </x:c>
      <x:c r="D1902" s="60" t="n">
        <x:v>0.2</x:v>
      </x:c>
      <x:c r="E1902" s="62" t="b">
        <x:v>1</x:v>
      </x:c>
      <x:c r="F1902" s="62" t="b">
        <x:v>1</x:v>
      </x:c>
      <x:c r="G1902" s="85" t="n">
        <x:v>0</x:v>
      </x:c>
      <x:c r="H1902" s="85" t="n">
        <x:v>0</x:v>
      </x:c>
      <x:c r="I1902" s="85" t="n">
        <x:v>9928658.653372336</x:v>
      </x:c>
      <x:c r="J1902" s="85" t="n">
        <x:v>6341080.834812399</x:v>
      </x:c>
      <x:c r="K1902" s="85" t="n">
        <x:v>1783372.2348134913</x:v>
      </x:c>
      <x:c r="L1902" s="28" t="n">
        <x:v>0</x:v>
      </x:c>
      <x:c r="M1902" s="28" t="n">
        <x:v>0</x:v>
      </x:c>
      <x:c r="N1902" s="28" t="n">
        <x:v>1.862645149230957e-9</x:v>
      </x:c>
      <x:c r="O1902" s="28" t="n">
        <x:v>2.9802322387695312e-8</x:v>
      </x:c>
      <x:c r="P1902" s="28" t="n">
        <x:v>0</x:v>
      </x:c>
      <x:c r="Q1902" s="62" t="b">
        <x:v>1</x:v>
      </x:c>
      <x:c r="R1902" s="28" t="n">
        <x:v>0</x:v>
      </x:c>
      <x:c r="S1902" s="28" t="str">
        <x:v>9b51efdb968aa5fa</x:v>
      </x:c>
    </x:row>
    <x:row r="1903" ht="21" customHeight="1">
      <x:c r="A1903" s="60" t="n">
        <x:v>0.67</x:v>
      </x:c>
      <x:c r="B1903" s="28" t="str">
        <x:v>back_flat</x:v>
      </x:c>
      <x:c r="C1903" s="60" t="n">
        <x:v>0.25</x:v>
      </x:c>
      <x:c r="D1903" s="60" t="n">
        <x:v>0.25</x:v>
      </x:c>
      <x:c r="E1903" s="62" t="b">
        <x:v>1</x:v>
      </x:c>
      <x:c r="F1903" s="62" t="b">
        <x:v>1</x:v>
      </x:c>
      <x:c r="G1903" s="85" t="n">
        <x:v>0</x:v>
      </x:c>
      <x:c r="H1903" s="85" t="n">
        <x:v>0</x:v>
      </x:c>
      <x:c r="I1903" s="85" t="n">
        <x:v>15945749.301854637</x:v>
      </x:c>
      <x:c r="J1903" s="85" t="n">
        <x:v>15426351.043515647</x:v>
      </x:c>
      <x:c r="K1903" s="85" t="n">
        <x:v>1481270.2358434298</x:v>
      </x:c>
      <x:c r="L1903" s="28" t="n">
        <x:v>0</x:v>
      </x:c>
      <x:c r="M1903" s="28" t="n">
        <x:v>0</x:v>
      </x:c>
      <x:c r="N1903" s="28" t="n">
        <x:v>3.725290298461914e-9</x:v>
      </x:c>
      <x:c r="O1903" s="28" t="n">
        <x:v>2.9802322387695312e-8</x:v>
      </x:c>
      <x:c r="P1903" s="28" t="n">
        <x:v>0</x:v>
      </x:c>
      <x:c r="Q1903" s="62" t="b">
        <x:v>1</x:v>
      </x:c>
      <x:c r="R1903" s="28" t="n">
        <x:v>0</x:v>
      </x:c>
      <x:c r="S1903" s="28" t="str">
        <x:v>3ce058737f191f43</x:v>
      </x:c>
    </x:row>
    <x:row r="1904" ht="21" customHeight="1">
      <x:c r="A1904" s="60" t="n">
        <x:v>0.67</x:v>
      </x:c>
      <x:c r="B1904" s="28" t="str">
        <x:v>back_flat</x:v>
      </x:c>
      <x:c r="C1904" s="60" t="n">
        <x:v>0.3</x:v>
      </x:c>
      <x:c r="D1904" s="60" t="n">
        <x:v>0.3</x:v>
      </x:c>
      <x:c r="E1904" s="62" t="b">
        <x:v>1</x:v>
      </x:c>
      <x:c r="F1904" s="62" t="b">
        <x:v>1</x:v>
      </x:c>
      <x:c r="G1904" s="85" t="n">
        <x:v>0</x:v>
      </x:c>
      <x:c r="H1904" s="85" t="n">
        <x:v>0</x:v>
      </x:c>
      <x:c r="I1904" s="85" t="n">
        <x:v>22044645.531985868</x:v>
      </x:c>
      <x:c r="J1904" s="85" t="n">
        <x:v>24511621.25221868</x:v>
      </x:c>
      <x:c r="K1904" s="85" t="n">
        <x:v>1239293.789587459</x:v>
      </x:c>
      <x:c r="L1904" s="28" t="n">
        <x:v>0</x:v>
      </x:c>
      <x:c r="M1904" s="28" t="n">
        <x:v>0</x:v>
      </x:c>
      <x:c r="N1904" s="28" t="n">
        <x:v>1.862645149230957e-9</x:v>
      </x:c>
      <x:c r="O1904" s="28" t="n">
        <x:v>2.9802322387695312e-8</x:v>
      </x:c>
      <x:c r="P1904" s="28" t="n">
        <x:v>0</x:v>
      </x:c>
      <x:c r="Q1904" s="62" t="b">
        <x:v>1</x:v>
      </x:c>
      <x:c r="R1904" s="28" t="n">
        <x:v>0</x:v>
      </x:c>
      <x:c r="S1904" s="28" t="str">
        <x:v>9a68bc2256bacb39</x:v>
      </x:c>
    </x:row>
    <x:row r="1905" ht="21" customHeight="1">
      <x:c r="A1905" s="60" t="n">
        <x:v>0.67</x:v>
      </x:c>
      <x:c r="B1905" s="28" t="str">
        <x:v>back_flat</x:v>
      </x:c>
      <x:c r="C1905" s="60" t="n">
        <x:v>0.35</x:v>
      </x:c>
      <x:c r="D1905" s="60" t="n">
        <x:v>0.35</x:v>
      </x:c>
      <x:c r="E1905" s="62" t="b">
        <x:v>1</x:v>
      </x:c>
      <x:c r="F1905" s="62" t="b">
        <x:v>1</x:v>
      </x:c>
      <x:c r="G1905" s="85" t="n">
        <x:v>0</x:v>
      </x:c>
      <x:c r="H1905" s="85" t="n">
        <x:v>0</x:v>
      </x:c>
      <x:c r="I1905" s="85" t="n">
        <x:v>28259881.40439929</x:v>
      </x:c>
      <x:c r="J1905" s="85" t="n">
        <x:v>33596891.460921794</x:v>
      </x:c>
      <x:c r="K1905" s="85" t="n">
        <x:v>1049509.1907358705</x:v>
      </x:c>
      <x:c r="L1905" s="28" t="n">
        <x:v>0</x:v>
      </x:c>
      <x:c r="M1905" s="28" t="n">
        <x:v>0</x:v>
      </x:c>
      <x:c r="N1905" s="28" t="n">
        <x:v>3.725290298461914e-9</x:v>
      </x:c>
      <x:c r="O1905" s="28" t="n">
        <x:v>2.9802322387695312e-8</x:v>
      </x:c>
      <x:c r="P1905" s="28" t="n">
        <x:v>0</x:v>
      </x:c>
      <x:c r="Q1905" s="62" t="b">
        <x:v>1</x:v>
      </x:c>
      <x:c r="R1905" s="28" t="n">
        <x:v>0</x:v>
      </x:c>
      <x:c r="S1905" s="28" t="str">
        <x:v>754eaed1395c7042</x:v>
      </x:c>
    </x:row>
    <x:row r="1906" ht="21" customHeight="1">
      <x:c r="A1906" s="60" t="n">
        <x:v>0.67</x:v>
      </x:c>
      <x:c r="B1906" s="28" t="str">
        <x:v>back_flat</x:v>
      </x:c>
      <x:c r="C1906" s="60" t="n">
        <x:v>0.4</x:v>
      </x:c>
      <x:c r="D1906" s="60" t="n">
        <x:v>0.4</x:v>
      </x:c>
      <x:c r="E1906" s="62" t="b">
        <x:v>1</x:v>
      </x:c>
      <x:c r="F1906" s="62" t="b">
        <x:v>1</x:v>
      </x:c>
      <x:c r="G1906" s="85" t="n">
        <x:v>0</x:v>
      </x:c>
      <x:c r="H1906" s="85" t="n">
        <x:v>0</x:v>
      </x:c>
      <x:c r="I1906" s="85" t="n">
        <x:v>36041676.90158062</x:v>
      </x:c>
      <x:c r="J1906" s="85" t="n">
        <x:v>38963463.63360699</x:v>
      </x:c>
      <x:c r="K1906" s="85" t="n">
        <x:v>911758.7156355148</x:v>
      </x:c>
      <x:c r="L1906" s="28" t="n">
        <x:v>6</x:v>
      </x:c>
      <x:c r="M1906" s="28" t="n">
        <x:v>0</x:v>
      </x:c>
      <x:c r="N1906" s="28" t="n">
        <x:v>1.862645149230957e-9</x:v>
      </x:c>
      <x:c r="O1906" s="28" t="n">
        <x:v>2.9802322387695312e-8</x:v>
      </x:c>
      <x:c r="P1906" s="28" t="n">
        <x:v>0</x:v>
      </x:c>
      <x:c r="Q1906" s="62" t="b">
        <x:v>1</x:v>
      </x:c>
      <x:c r="R1906" s="28" t="n">
        <x:v>0</x:v>
      </x:c>
      <x:c r="S1906" s="28" t="str">
        <x:v>c9d54146aa73253a</x:v>
      </x:c>
    </x:row>
    <x:row r="1907" ht="21" customHeight="1">
      <x:c r="A1907" s="60" t="n">
        <x:v>0.67</x:v>
      </x:c>
      <x:c r="B1907" s="28" t="str">
        <x:v>back_flat</x:v>
      </x:c>
      <x:c r="C1907" s="60" t="n">
        <x:v>0.45</x:v>
      </x:c>
      <x:c r="D1907" s="60" t="n">
        <x:v>0.45</x:v>
      </x:c>
      <x:c r="E1907" s="62" t="b">
        <x:v>1</x:v>
      </x:c>
      <x:c r="F1907" s="62" t="b">
        <x:v>1</x:v>
      </x:c>
      <x:c r="G1907" s="85" t="n">
        <x:v>0</x:v>
      </x:c>
      <x:c r="H1907" s="85" t="n">
        <x:v>0</x:v>
      </x:c>
      <x:c r="I1907" s="85" t="n">
        <x:v>43253220.16340704</x:v>
      </x:c>
      <x:c r="J1907" s="85" t="n">
        <x:v>45457335.48629895</x:v>
      </x:c>
      <x:c r="K1907" s="85" t="n">
        <x:v>778063.8040945153</x:v>
      </x:c>
      <x:c r="L1907" s="28" t="n">
        <x:v>10</x:v>
      </x:c>
      <x:c r="M1907" s="28" t="n">
        <x:v>0</x:v>
      </x:c>
      <x:c r="N1907" s="28" t="n">
        <x:v>3.725290298461914e-9</x:v>
      </x:c>
      <x:c r="O1907" s="28" t="n">
        <x:v>1.4901161193847656e-8</x:v>
      </x:c>
      <x:c r="P1907" s="28" t="n">
        <x:v>0</x:v>
      </x:c>
      <x:c r="Q1907" s="62" t="b">
        <x:v>1</x:v>
      </x:c>
      <x:c r="R1907" s="28" t="n">
        <x:v>0</x:v>
      </x:c>
      <x:c r="S1907" s="28" t="str">
        <x:v>cc6469c0ffa3a72c</x:v>
      </x:c>
    </x:row>
    <x:row r="1908" ht="21" customHeight="1">
      <x:c r="A1908" s="60" t="n">
        <x:v>0.67</x:v>
      </x:c>
      <x:c r="B1908" s="28" t="str">
        <x:v>back_flat</x:v>
      </x:c>
      <x:c r="C1908" s="60" t="n">
        <x:v>0.5</x:v>
      </x:c>
      <x:c r="D1908" s="60" t="n">
        <x:v>0.5</x:v>
      </x:c>
      <x:c r="E1908" s="62" t="b">
        <x:v>1</x:v>
      </x:c>
      <x:c r="F1908" s="62" t="b">
        <x:v>1</x:v>
      </x:c>
      <x:c r="G1908" s="85" t="n">
        <x:v>0</x:v>
      </x:c>
      <x:c r="H1908" s="85" t="n">
        <x:v>0</x:v>
      </x:c>
      <x:c r="I1908" s="85" t="n">
        <x:v>49512623.569840275</x:v>
      </x:c>
      <x:c r="J1908" s="85" t="n">
        <x:v>54295989.87604702</x:v>
      </x:c>
      <x:c r="K1908" s="85" t="n">
        <x:v>715211.3934383595</x:v>
      </x:c>
      <x:c r="L1908" s="28" t="n">
        <x:v>13</x:v>
      </x:c>
      <x:c r="M1908" s="28" t="n">
        <x:v>2</x:v>
      </x:c>
      <x:c r="N1908" s="28" t="n">
        <x:v>3.725290298461914e-9</x:v>
      </x:c>
      <x:c r="O1908" s="28" t="n">
        <x:v>2.9802322387695312e-8</x:v>
      </x:c>
      <x:c r="P1908" s="28" t="n">
        <x:v>0</x:v>
      </x:c>
      <x:c r="Q1908" s="62" t="b">
        <x:v>1</x:v>
      </x:c>
      <x:c r="R1908" s="28" t="n">
        <x:v>0</x:v>
      </x:c>
      <x:c r="S1908" s="28" t="str">
        <x:v>f9aed43fe5e893dd</x:v>
      </x:c>
    </x:row>
    <x:row r="1909" ht="21" customHeight="1">
      <x:c r="A1909" s="60" t="n">
        <x:v>0.67</x:v>
      </x:c>
      <x:c r="B1909" s="28" t="str">
        <x:v>back_flat</x:v>
      </x:c>
      <x:c r="C1909" s="60" t="n">
        <x:v>0.55</x:v>
      </x:c>
      <x:c r="D1909" s="60" t="n">
        <x:v>0.55</x:v>
      </x:c>
      <x:c r="E1909" s="62" t="b">
        <x:v>1</x:v>
      </x:c>
      <x:c r="F1909" s="62" t="b">
        <x:v>1</x:v>
      </x:c>
      <x:c r="G1909" s="85" t="n">
        <x:v>0</x:v>
      </x:c>
      <x:c r="H1909" s="85" t="n">
        <x:v>0</x:v>
      </x:c>
      <x:c r="I1909" s="85" t="n">
        <x:v>55455980.79465082</x:v>
      </x:c>
      <x:c r="J1909" s="85" t="n">
        <x:v>63581011.8189336</x:v>
      </x:c>
      <x:c r="K1909" s="85" t="n">
        <x:v>652358.982782188</x:v>
      </x:c>
      <x:c r="L1909" s="28" t="n">
        <x:v>16</x:v>
      </x:c>
      <x:c r="M1909" s="28" t="n">
        <x:v>7</x:v>
      </x:c>
      <x:c r="N1909" s="28" t="n">
        <x:v>1.862645149230957e-9</x:v>
      </x:c>
      <x:c r="O1909" s="28" t="n">
        <x:v>2.9802322387695312e-8</x:v>
      </x:c>
      <x:c r="P1909" s="28" t="n">
        <x:v>0</x:v>
      </x:c>
      <x:c r="Q1909" s="62" t="b">
        <x:v>1</x:v>
      </x:c>
      <x:c r="R1909" s="28" t="n">
        <x:v>0</x:v>
      </x:c>
      <x:c r="S1909" s="28" t="str">
        <x:v>738f230249d455ef</x:v>
      </x:c>
    </x:row>
    <x:row r="1910" ht="21" customHeight="1">
      <x:c r="A1910" s="60" t="n">
        <x:v>0.67</x:v>
      </x:c>
      <x:c r="B1910" s="28" t="str">
        <x:v>back_flat</x:v>
      </x:c>
      <x:c r="C1910" s="60" t="n">
        <x:v>0.6</x:v>
      </x:c>
      <x:c r="D1910" s="60" t="n">
        <x:v>0.6</x:v>
      </x:c>
      <x:c r="E1910" s="62" t="b">
        <x:v>1</x:v>
      </x:c>
      <x:c r="F1910" s="62" t="b">
        <x:v>0</x:v>
      </x:c>
      <x:c r="G1910" s="85" t="n">
        <x:v>753301.1715144987</x:v>
      </x:c>
      <x:c r="H1910" s="85" t="n">
        <x:v>4888855.933646356</x:v>
      </x:c>
      <x:c r="I1910" s="85" t="n">
        <x:v>59083805.84363603</x:v>
      </x:c>
      <x:c r="J1910" s="85" t="n">
        <x:v>68999999.99999999</x:v>
      </x:c>
      <x:c r="K1910" s="85" t="n">
        <x:v>589506.5721260312</x:v>
      </x:c>
      <x:c r="L1910" s="28" t="n">
        <x:v>40</x:v>
      </x:c>
      <x:c r="M1910" s="28" t="n">
        <x:v>32</x:v>
      </x:c>
      <x:c r="N1910" s="28" t="n">
        <x:v>1.862645149230957e-9</x:v>
      </x:c>
      <x:c r="O1910" s="28" t="n">
        <x:v>2.9802322387695312e-8</x:v>
      </x:c>
      <x:c r="P1910" s="28" t="n">
        <x:v>0</x:v>
      </x:c>
      <x:c r="Q1910" s="62" t="b">
        <x:v>1</x:v>
      </x:c>
      <x:c r="R1910" s="28" t="n">
        <x:v>0</x:v>
      </x:c>
      <x:c r="S1910" s="28" t="str">
        <x:v>c540c1f3a9fff5f4</x:v>
      </x:c>
    </x:row>
    <x:row r="1911" ht="21" customHeight="1">
      <x:c r="A1911" s="60" t="n">
        <x:v>0.67</x:v>
      </x:c>
      <x:c r="B1911" s="28" t="str">
        <x:v>back_flat</x:v>
      </x:c>
      <x:c r="C1911" s="60" t="n">
        <x:v>0.65</x:v>
      </x:c>
      <x:c r="D1911" s="60" t="n">
        <x:v>0.65</x:v>
      </x:c>
      <x:c r="E1911" s="62" t="b">
        <x:v>1</x:v>
      </x:c>
      <x:c r="F1911" s="62" t="b">
        <x:v>0</x:v>
      </x:c>
      <x:c r="G1911" s="85" t="n">
        <x:v>3015113.8670860324</x:v>
      </x:c>
      <x:c r="H1911" s="85" t="n">
        <x:v>17203849.635630216</x:v>
      </x:c>
      <x:c r="I1911" s="85" t="n">
        <x:v>59267165.7354002</x:v>
      </x:c>
      <x:c r="J1911" s="85" t="n">
        <x:v>68999999.99999999</x:v>
      </x:c>
      <x:c r="K1911" s="85" t="n">
        <x:v>526654.161469864</x:v>
      </x:c>
      <x:c r="L1911" s="28" t="n">
        <x:v>40</x:v>
      </x:c>
      <x:c r="M1911" s="28" t="n">
        <x:v>34</x:v>
      </x:c>
      <x:c r="N1911" s="28" t="n">
        <x:v>1.862645149230957e-9</x:v>
      </x:c>
      <x:c r="O1911" s="28" t="n">
        <x:v>1.4901161193847656e-8</x:v>
      </x:c>
      <x:c r="P1911" s="28" t="n">
        <x:v>0</x:v>
      </x:c>
      <x:c r="Q1911" s="62" t="b">
        <x:v>1</x:v>
      </x:c>
      <x:c r="R1911" s="28" t="n">
        <x:v>0</x:v>
      </x:c>
      <x:c r="S1911" s="28" t="str">
        <x:v>879edddea875cd3a</x:v>
      </x:c>
    </x:row>
    <x:row r="1912" ht="21" customHeight="1">
      <x:c r="A1912" s="60" t="n">
        <x:v>0.67</x:v>
      </x:c>
      <x:c r="B1912" s="28" t="str">
        <x:v>back_flat</x:v>
      </x:c>
      <x:c r="C1912" s="60" t="n">
        <x:v>0.7</x:v>
      </x:c>
      <x:c r="D1912" s="60" t="n">
        <x:v>0.7</x:v>
      </x:c>
      <x:c r="E1912" s="62" t="b">
        <x:v>1</x:v>
      </x:c>
      <x:c r="F1912" s="62" t="b">
        <x:v>0</x:v>
      </x:c>
      <x:c r="G1912" s="85" t="n">
        <x:v>4894031.940078853</x:v>
      </x:c>
      <x:c r="H1912" s="85" t="n">
        <x:v>27596963.54382878</x:v>
      </x:c>
      <x:c r="I1912" s="85" t="n">
        <x:v>60628416.118661605</x:v>
      </x:c>
      <x:c r="J1912" s="85" t="n">
        <x:v>68999999.99999999</x:v>
      </x:c>
      <x:c r="K1912" s="85" t="n">
        <x:v>463801.750813703</x:v>
      </x:c>
      <x:c r="L1912" s="28" t="n">
        <x:v>41</x:v>
      </x:c>
      <x:c r="M1912" s="28" t="n">
        <x:v>34</x:v>
      </x:c>
      <x:c r="N1912" s="28" t="n">
        <x:v>1.862645149230957e-9</x:v>
      </x:c>
      <x:c r="O1912" s="28" t="n">
        <x:v>2.9802322387695312e-8</x:v>
      </x:c>
      <x:c r="P1912" s="28" t="n">
        <x:v>0</x:v>
      </x:c>
      <x:c r="Q1912" s="62" t="b">
        <x:v>1</x:v>
      </x:c>
      <x:c r="R1912" s="28" t="n">
        <x:v>0</x:v>
      </x:c>
      <x:c r="S1912" s="28" t="str">
        <x:v>27ed252b8174f5d6</x:v>
      </x:c>
    </x:row>
    <x:row r="1913" ht="21" customHeight="1">
      <x:c r="A1913" s="60" t="n">
        <x:v>0.67</x:v>
      </x:c>
      <x:c r="B1913" s="28" t="str">
        <x:v>back_flat</x:v>
      </x:c>
      <x:c r="C1913" s="60" t="n">
        <x:v>0.75</x:v>
      </x:c>
      <x:c r="D1913" s="60" t="n">
        <x:v>0.75</x:v>
      </x:c>
      <x:c r="E1913" s="62" t="b">
        <x:v>1</x:v>
      </x:c>
      <x:c r="F1913" s="62" t="b">
        <x:v>0</x:v>
      </x:c>
      <x:c r="G1913" s="85" t="n">
        <x:v>7447210.6356142955</x:v>
      </x:c>
      <x:c r="H1913" s="85" t="n">
        <x:v>39307528.33721004</x:v>
      </x:c>
      <x:c r="I1913" s="85" t="n">
        <x:v>60753841.29680476</x:v>
      </x:c>
      <x:c r="J1913" s="85" t="n">
        <x:v>68999999.99999999</x:v>
      </x:c>
      <x:c r="K1913" s="85" t="n">
        <x:v>400949.3401575472</x:v>
      </x:c>
      <x:c r="L1913" s="28" t="n">
        <x:v>41</x:v>
      </x:c>
      <x:c r="M1913" s="28" t="n">
        <x:v>35</x:v>
      </x:c>
      <x:c r="N1913" s="28" t="n">
        <x:v>1.862645149230957e-9</x:v>
      </x:c>
      <x:c r="O1913" s="28" t="n">
        <x:v>2.9802322387695312e-8</x:v>
      </x:c>
      <x:c r="P1913" s="28" t="n">
        <x:v>0</x:v>
      </x:c>
      <x:c r="Q1913" s="62" t="b">
        <x:v>1</x:v>
      </x:c>
      <x:c r="R1913" s="28" t="n">
        <x:v>0</x:v>
      </x:c>
      <x:c r="S1913" s="28" t="str">
        <x:v>a58e4c4a09487344</x:v>
      </x:c>
    </x:row>
    <x:row r="1914" ht="21" customHeight="1">
      <x:c r="A1914" s="60" t="n">
        <x:v>0.67</x:v>
      </x:c>
      <x:c r="B1914" s="28" t="str">
        <x:v>back_flat</x:v>
      </x:c>
      <x:c r="C1914" s="60" t="n">
        <x:v>0.8</x:v>
      </x:c>
      <x:c r="D1914" s="60" t="n">
        <x:v>0.8</x:v>
      </x:c>
      <x:c r="E1914" s="62" t="b">
        <x:v>1</x:v>
      </x:c>
      <x:c r="F1914" s="62" t="b">
        <x:v>0</x:v>
      </x:c>
      <x:c r="G1914" s="85" t="n">
        <x:v>9675342.112230314</x:v>
      </x:c>
      <x:c r="H1914" s="85" t="n">
        <x:v>49445172.92053001</x:v>
      </x:c>
      <x:c r="I1914" s="85" t="n">
        <x:v>61968277.90507965</x:v>
      </x:c>
      <x:c r="J1914" s="85" t="n">
        <x:v>68999999.99999999</x:v>
      </x:c>
      <x:c r="K1914" s="85" t="n">
        <x:v>360016.6387835633</x:v>
      </x:c>
      <x:c r="L1914" s="28" t="n">
        <x:v>42</x:v>
      </x:c>
      <x:c r="M1914" s="28" t="n">
        <x:v>36</x:v>
      </x:c>
      <x:c r="N1914" s="28" t="n">
        <x:v>1.862645149230957e-9</x:v>
      </x:c>
      <x:c r="O1914" s="28" t="n">
        <x:v>1.4901161193847656e-8</x:v>
      </x:c>
      <x:c r="P1914" s="28" t="n">
        <x:v>0</x:v>
      </x:c>
      <x:c r="Q1914" s="62" t="b">
        <x:v>1</x:v>
      </x:c>
      <x:c r="R1914" s="28" t="n">
        <x:v>0</x:v>
      </x:c>
      <x:c r="S1914" s="28" t="str">
        <x:v>977b32d532cae130</x:v>
      </x:c>
    </x:row>
    <x:row r="1915" ht="21" customHeight="1">
      <x:c r="A1915" s="60" t="n">
        <x:v>0.67</x:v>
      </x:c>
      <x:c r="B1915" s="28" t="str">
        <x:v>back_flat</x:v>
      </x:c>
      <x:c r="C1915" s="60" t="n">
        <x:v>0.85</x:v>
      </x:c>
      <x:c r="D1915" s="60" t="n">
        <x:v>0.85</x:v>
      </x:c>
      <x:c r="E1915" s="62" t="b">
        <x:v>1</x:v>
      </x:c>
      <x:c r="F1915" s="62" t="b">
        <x:v>0</x:v>
      </x:c>
      <x:c r="G1915" s="85" t="n">
        <x:v>13185349.193485463</x:v>
      </x:c>
      <x:c r="H1915" s="85" t="n">
        <x:v>60424896.55785047</x:v>
      </x:c>
      <x:c r="I1915" s="85" t="n">
        <x:v>62044774.70240054</x:v>
      </x:c>
      <x:c r="J1915" s="85" t="n">
        <x:v>68999999.99999999</x:v>
      </x:c>
      <x:c r="K1915" s="85" t="n">
        <x:v>340871.0818753416</x:v>
      </x:c>
      <x:c r="L1915" s="28" t="n">
        <x:v>42</x:v>
      </x:c>
      <x:c r="M1915" s="28" t="n">
        <x:v>36</x:v>
      </x:c>
      <x:c r="N1915" s="28" t="n">
        <x:v>1.862645149230957e-9</x:v>
      </x:c>
      <x:c r="O1915" s="28" t="n">
        <x:v>2.9802322387695312e-8</x:v>
      </x:c>
      <x:c r="P1915" s="28" t="n">
        <x:v>0</x:v>
      </x:c>
      <x:c r="Q1915" s="62" t="b">
        <x:v>1</x:v>
      </x:c>
      <x:c r="R1915" s="28" t="n">
        <x:v>0</x:v>
      </x:c>
      <x:c r="S1915" s="28" t="str">
        <x:v>cdfe4c5816588c8b</x:v>
      </x:c>
    </x:row>
    <x:row r="1916" ht="21" customHeight="1">
      <x:c r="A1916" s="60" t="n">
        <x:v>0.67</x:v>
      </x:c>
      <x:c r="B1916" s="28" t="str">
        <x:v>back_flat</x:v>
      </x:c>
      <x:c r="C1916" s="60" t="n">
        <x:v>0.9</x:v>
      </x:c>
      <x:c r="D1916" s="60" t="n">
        <x:v>0.8948658400492392</x:v>
      </x:c>
      <x:c r="E1916" s="62" t="b">
        <x:v>0</x:v>
      </x:c>
      <x:c r="F1916" s="62" t="b">
        <x:v>0</x:v>
      </x:c>
      <x:c r="G1916" s="85" t="n">
        <x:v>17322002.595410254</x:v>
      </x:c>
      <x:c r="H1916" s="85" t="n">
        <x:v>65583699.30007824</x:v>
      </x:c>
      <x:c r="I1916" s="85" t="n">
        <x:v>63324672.99509723</x:v>
      </x:c>
      <x:c r="J1916" s="85" t="n">
        <x:v>68999999.99999999</x:v>
      </x:c>
      <x:c r="K1916" s="85" t="n">
        <x:v>321725.5249671205</x:v>
      </x:c>
      <x:c r="L1916" s="28" t="n">
        <x:v>43</x:v>
      </x:c>
      <x:c r="M1916" s="28" t="n">
        <x:v>37</x:v>
      </x:c>
      <x:c r="N1916" s="28" t="n">
        <x:v>1.862645149230957e-9</x:v>
      </x:c>
      <x:c r="O1916" s="28" t="n">
        <x:v>2.9802322387695312e-8</x:v>
      </x:c>
      <x:c r="P1916" s="28" t="n">
        <x:v>0</x:v>
      </x:c>
      <x:c r="Q1916" s="62" t="b">
        <x:v>1</x:v>
      </x:c>
      <x:c r="R1916" s="28" t="n">
        <x:v>1540247.9852282405</x:v>
      </x:c>
      <x:c r="S1916" s="28" t="str">
        <x:v>c9a5848972f3be05</x:v>
      </x:c>
    </x:row>
    <x:row r="1917" ht="21" customHeight="1">
      <x:c r="A1917" s="60" t="n">
        <x:v>0.67</x:v>
      </x:c>
      <x:c r="B1917" s="28" t="str">
        <x:v>back_flat</x:v>
      </x:c>
      <x:c r="C1917" s="60" t="n">
        <x:v>0.95</x:v>
      </x:c>
      <x:c r="D1917" s="60" t="n">
        <x:v>0.9083032015334562</x:v>
      </x:c>
      <x:c r="E1917" s="62" t="b">
        <x:v>0</x:v>
      </x:c>
      <x:c r="F1917" s="62" t="b">
        <x:v>0</x:v>
      </x:c>
      <x:c r="G1917" s="85" t="n">
        <x:v>18334357.98670922</x:v>
      </x:c>
      <x:c r="H1917" s="85" t="n">
        <x:v>69416628.61653942</x:v>
      </x:c>
      <x:c r="I1917" s="85" t="n">
        <x:v>63358727.81034996</x:v>
      </x:c>
      <x:c r="J1917" s="85" t="n">
        <x:v>68999999.99999999</x:v>
      </x:c>
      <x:c r="K1917" s="85" t="n">
        <x:v>302579.96805890254</x:v>
      </x:c>
      <x:c r="L1917" s="28" t="n">
        <x:v>43</x:v>
      </x:c>
      <x:c r="M1917" s="28" t="n">
        <x:v>38</x:v>
      </x:c>
      <x:c r="N1917" s="28" t="n">
        <x:v>1.862645149230957e-9</x:v>
      </x:c>
      <x:c r="O1917" s="28" t="n">
        <x:v>2.9802322387695312e-8</x:v>
      </x:c>
      <x:c r="P1917" s="28" t="n">
        <x:v>0</x:v>
      </x:c>
      <x:c r="Q1917" s="62" t="b">
        <x:v>1</x:v>
      </x:c>
      <x:c r="R1917" s="28" t="n">
        <x:v>12509039.539963126</x:v>
      </x:c>
      <x:c r="S1917" s="28" t="str">
        <x:v>ac4d658563238ff8</x:v>
      </x:c>
    </x:row>
    <x:row r="1918" ht="21" customHeight="1">
      <x:c r="A1918" s="60" t="n">
        <x:v>0.67</x:v>
      </x:c>
      <x:c r="B1918" s="28" t="str">
        <x:v>back_flat</x:v>
      </x:c>
      <x:c r="C1918" s="60" t="n">
        <x:v>1</x:v>
      </x:c>
      <x:c r="D1918" s="60" t="n">
        <x:v>0.920601109498915</x:v>
      </x:c>
      <x:c r="E1918" s="62" t="b">
        <x:v>0</x:v>
      </x:c>
      <x:c r="F1918" s="62" t="b">
        <x:v>0</x:v>
      </x:c>
      <x:c r="G1918" s="85" t="n">
        <x:v>19861634.53819669</x:v>
      </x:c>
      <x:c r="H1918" s="85" t="n">
        <x:v>72168763.25450759</x:v>
      </x:c>
      <x:c r="I1918" s="85" t="n">
        <x:v>63396225.12949312</x:v>
      </x:c>
      <x:c r="J1918" s="85" t="n">
        <x:v>68999999.99999999</x:v>
      </x:c>
      <x:c r="K1918" s="85" t="n">
        <x:v>283434.41115068557</x:v>
      </x:c>
      <x:c r="L1918" s="28" t="n">
        <x:v>43</x:v>
      </x:c>
      <x:c r="M1918" s="28" t="n">
        <x:v>38</x:v>
      </x:c>
      <x:c r="N1918" s="28" t="n">
        <x:v>1.862645149230957e-9</x:v>
      </x:c>
      <x:c r="O1918" s="28" t="n">
        <x:v>2.9802322387695312e-8</x:v>
      </x:c>
      <x:c r="P1918" s="28" t="n">
        <x:v>0</x:v>
      </x:c>
      <x:c r="Q1918" s="62" t="b">
        <x:v>1</x:v>
      </x:c>
      <x:c r="R1918" s="28" t="n">
        <x:v>23819667.150325477</x:v>
      </x:c>
      <x:c r="S1918" s="28" t="str">
        <x:v>955c5024882cab79</x:v>
      </x:c>
    </x:row>
    <x:row r="1919" ht="21" customHeight="1">
      <x:c r="A1919" s="60" t="n">
        <x:v>0.67</x:v>
      </x:c>
      <x:c r="B1919" s="28" t="str">
        <x:v>back_low</x:v>
      </x:c>
      <x:c r="C1919" s="60" t="n">
        <x:v>0</x:v>
      </x:c>
      <x:c r="D1919" s="60" t="n">
        <x:v>0</x:v>
      </x:c>
      <x:c r="E1919" s="62" t="b">
        <x:v>1</x:v>
      </x:c>
      <x:c r="F1919" s="62" t="b">
        <x:v>1</x:v>
      </x:c>
      <x:c r="G1919" s="85" t="n">
        <x:v>0</x:v>
      </x:c>
      <x:c r="H1919" s="85" t="n">
        <x:v>0</x:v>
      </x:c>
      <x:c r="I1919" s="85" t="n">
        <x:v>0</x:v>
      </x:c>
      <x:c r="J1919" s="85" t="n">
        <x:v>0</x:v>
      </x:c>
      <x:c r="K1919" s="85" t="n">
        <x:v>30957516.066438366</x:v>
      </x:c>
      <x:c r="L1919" s="28" t="n">
        <x:v>0</x:v>
      </x:c>
      <x:c r="M1919" s="28" t="n">
        <x:v>0</x:v>
      </x:c>
      <x:c r="N1919" s="28" t="n">
        <x:v>1.862645149230957e-9</x:v>
      </x:c>
      <x:c r="O1919" s="28" t="n">
        <x:v>0</x:v>
      </x:c>
      <x:c r="P1919" s="28" t="n">
        <x:v>0</x:v>
      </x:c>
      <x:c r="Q1919" s="62" t="b">
        <x:v>1</x:v>
      </x:c>
      <x:c r="R1919" s="28" t="n">
        <x:v>0</x:v>
      </x:c>
      <x:c r="S1919" s="28" t="str">
        <x:v>0665606b451aec52</x:v>
      </x:c>
    </x:row>
    <x:row r="1920" ht="21" customHeight="1">
      <x:c r="A1920" s="60" t="n">
        <x:v>0.67</x:v>
      </x:c>
      <x:c r="B1920" s="28" t="str">
        <x:v>back_low</x:v>
      </x:c>
      <x:c r="C1920" s="60" t="n">
        <x:v>0.05</x:v>
      </x:c>
      <x:c r="D1920" s="60" t="n">
        <x:v>0.05</x:v>
      </x:c>
      <x:c r="E1920" s="62" t="b">
        <x:v>1</x:v>
      </x:c>
      <x:c r="F1920" s="62" t="b">
        <x:v>1</x:v>
      </x:c>
      <x:c r="G1920" s="85" t="n">
        <x:v>0</x:v>
      </x:c>
      <x:c r="H1920" s="85" t="n">
        <x:v>0</x:v>
      </x:c>
      <x:c r="I1920" s="85" t="n">
        <x:v>0</x:v>
      </x:c>
      <x:c r="J1920" s="85" t="n">
        <x:v>0</x:v>
      </x:c>
      <x:c r="K1920" s="85" t="n">
        <x:v>20338296.767826665</x:v>
      </x:c>
      <x:c r="L1920" s="28" t="n">
        <x:v>0</x:v>
      </x:c>
      <x:c r="M1920" s="28" t="n">
        <x:v>0</x:v>
      </x:c>
      <x:c r="N1920" s="28" t="n">
        <x:v>3.725290298461914e-9</x:v>
      </x:c>
      <x:c r="O1920" s="28" t="n">
        <x:v>5.960464477539063e-8</x:v>
      </x:c>
      <x:c r="P1920" s="28" t="n">
        <x:v>0</x:v>
      </x:c>
      <x:c r="Q1920" s="62" t="b">
        <x:v>1</x:v>
      </x:c>
      <x:c r="R1920" s="28" t="n">
        <x:v>0</x:v>
      </x:c>
      <x:c r="S1920" s="28" t="str">
        <x:v>37cf5634205eca89</x:v>
      </x:c>
    </x:row>
    <x:row r="1921" ht="21" customHeight="1">
      <x:c r="A1921" s="60" t="n">
        <x:v>0.67</x:v>
      </x:c>
      <x:c r="B1921" s="28" t="str">
        <x:v>back_low</x:v>
      </x:c>
      <x:c r="C1921" s="60" t="n">
        <x:v>0.1</x:v>
      </x:c>
      <x:c r="D1921" s="60" t="n">
        <x:v>0.1</x:v>
      </x:c>
      <x:c r="E1921" s="62" t="b">
        <x:v>1</x:v>
      </x:c>
      <x:c r="F1921" s="62" t="b">
        <x:v>1</x:v>
      </x:c>
      <x:c r="G1921" s="85" t="n">
        <x:v>0</x:v>
      </x:c>
      <x:c r="H1921" s="85" t="n">
        <x:v>0</x:v>
      </x:c>
      <x:c r="I1921" s="85" t="n">
        <x:v>0</x:v>
      </x:c>
      <x:c r="J1921" s="85" t="n">
        <x:v>0</x:v>
      </x:c>
      <x:c r="K1921" s="85" t="n">
        <x:v>9636325.795498947</x:v>
      </x:c>
      <x:c r="L1921" s="28" t="n">
        <x:v>0</x:v>
      </x:c>
      <x:c r="M1921" s="28" t="n">
        <x:v>0</x:v>
      </x:c>
      <x:c r="N1921" s="28" t="n">
        <x:v>1.862645149230957e-9</x:v>
      </x:c>
      <x:c r="O1921" s="28" t="n">
        <x:v>5.960464477539063e-8</x:v>
      </x:c>
      <x:c r="P1921" s="28" t="n">
        <x:v>0</x:v>
      </x:c>
      <x:c r="Q1921" s="62" t="b">
        <x:v>1</x:v>
      </x:c>
      <x:c r="R1921" s="28" t="n">
        <x:v>0</x:v>
      </x:c>
      <x:c r="S1921" s="28" t="str">
        <x:v>063b9c82a9edfef0</x:v>
      </x:c>
    </x:row>
    <x:row r="1922" ht="21" customHeight="1">
      <x:c r="A1922" s="60" t="n">
        <x:v>0.67</x:v>
      </x:c>
      <x:c r="B1922" s="28" t="str">
        <x:v>back_low</x:v>
      </x:c>
      <x:c r="C1922" s="60" t="n">
        <x:v>0.15</x:v>
      </x:c>
      <x:c r="D1922" s="60" t="n">
        <x:v>0.15</x:v>
      </x:c>
      <x:c r="E1922" s="62" t="b">
        <x:v>1</x:v>
      </x:c>
      <x:c r="F1922" s="62" t="b">
        <x:v>1</x:v>
      </x:c>
      <x:c r="G1922" s="85" t="n">
        <x:v>0</x:v>
      </x:c>
      <x:c r="H1922" s="85" t="n">
        <x:v>0</x:v>
      </x:c>
      <x:c r="I1922" s="85" t="n">
        <x:v>1539354.5127075012</x:v>
      </x:c>
      <x:c r="J1922" s="85" t="n">
        <x:v>0</x:v>
      </x:c>
      <x:c r="K1922" s="85" t="n">
        <x:v>1169570.2294242615</x:v>
      </x:c>
      <x:c r="L1922" s="28" t="n">
        <x:v>0</x:v>
      </x:c>
      <x:c r="M1922" s="28" t="n">
        <x:v>0</x:v>
      </x:c>
      <x:c r="N1922" s="28" t="n">
        <x:v>1.862645149230957e-9</x:v>
      </x:c>
      <x:c r="O1922" s="28" t="n">
        <x:v>5.960464477539063e-8</x:v>
      </x:c>
      <x:c r="P1922" s="28" t="n">
        <x:v>0</x:v>
      </x:c>
      <x:c r="Q1922" s="62" t="b">
        <x:v>1</x:v>
      </x:c>
      <x:c r="R1922" s="28" t="n">
        <x:v>0</x:v>
      </x:c>
      <x:c r="S1922" s="28" t="str">
        <x:v>40627e429b94c169</x:v>
      </x:c>
    </x:row>
    <x:row r="1923" ht="21" customHeight="1">
      <x:c r="A1923" s="60" t="n">
        <x:v>0.67</x:v>
      </x:c>
      <x:c r="B1923" s="28" t="str">
        <x:v>back_low</x:v>
      </x:c>
      <x:c r="C1923" s="60" t="n">
        <x:v>0.2</x:v>
      </x:c>
      <x:c r="D1923" s="60" t="n">
        <x:v>0.2</x:v>
      </x:c>
      <x:c r="E1923" s="62" t="b">
        <x:v>1</x:v>
      </x:c>
      <x:c r="F1923" s="62" t="b">
        <x:v>1</x:v>
      </x:c>
      <x:c r="G1923" s="85" t="n">
        <x:v>0</x:v>
      </x:c>
      <x:c r="H1923" s="85" t="n">
        <x:v>0</x:v>
      </x:c>
      <x:c r="I1923" s="85" t="n">
        <x:v>7600465.659034456</x:v>
      </x:c>
      <x:c r="J1923" s="85" t="n">
        <x:v>6341080.834812399</x:v>
      </x:c>
      <x:c r="K1923" s="85" t="n">
        <x:v>958454.8657163666</x:v>
      </x:c>
      <x:c r="L1923" s="28" t="n">
        <x:v>0</x:v>
      </x:c>
      <x:c r="M1923" s="28" t="n">
        <x:v>0</x:v>
      </x:c>
      <x:c r="N1923" s="28" t="n">
        <x:v>1.862645149230957e-9</x:v>
      </x:c>
      <x:c r="O1923" s="28" t="n">
        <x:v>2.9802322387695312e-8</x:v>
      </x:c>
      <x:c r="P1923" s="28" t="n">
        <x:v>0</x:v>
      </x:c>
      <x:c r="Q1923" s="62" t="b">
        <x:v>1</x:v>
      </x:c>
      <x:c r="R1923" s="28" t="n">
        <x:v>0</x:v>
      </x:c>
      <x:c r="S1923" s="28" t="str">
        <x:v>c3e62e546f641608</x:v>
      </x:c>
    </x:row>
    <x:row r="1924" ht="21" customHeight="1">
      <x:c r="A1924" s="60" t="n">
        <x:v>0.67</x:v>
      </x:c>
      <x:c r="B1924" s="28" t="str">
        <x:v>back_low</x:v>
      </x:c>
      <x:c r="C1924" s="60" t="n">
        <x:v>0.25</x:v>
      </x:c>
      <x:c r="D1924" s="60" t="n">
        <x:v>0.25</x:v>
      </x:c>
      <x:c r="E1924" s="62" t="b">
        <x:v>1</x:v>
      </x:c>
      <x:c r="F1924" s="62" t="b">
        <x:v>1</x:v>
      </x:c>
      <x:c r="G1924" s="85" t="n">
        <x:v>0</x:v>
      </x:c>
      <x:c r="H1924" s="85" t="n">
        <x:v>0</x:v>
      </x:c>
      <x:c r="I1924" s="85" t="n">
        <x:v>11530551.795334704</x:v>
      </x:c>
      <x:c r="J1924" s="85" t="n">
        <x:v>15426351.043515647</x:v>
      </x:c>
      <x:c r="K1924" s="85" t="n">
        <x:v>804283.7341379506</x:v>
      </x:c>
      <x:c r="L1924" s="28" t="n">
        <x:v>0</x:v>
      </x:c>
      <x:c r="M1924" s="28" t="n">
        <x:v>0</x:v>
      </x:c>
      <x:c r="N1924" s="28" t="n">
        <x:v>9.313225746154785e-10</x:v>
      </x:c>
      <x:c r="O1924" s="28" t="n">
        <x:v>2.9802322387695312e-8</x:v>
      </x:c>
      <x:c r="P1924" s="28" t="n">
        <x:v>0</x:v>
      </x:c>
      <x:c r="Q1924" s="62" t="b">
        <x:v>1</x:v>
      </x:c>
      <x:c r="R1924" s="28" t="n">
        <x:v>0</x:v>
      </x:c>
      <x:c r="S1924" s="28" t="str">
        <x:v>d9f04f5f6cab0813</x:v>
      </x:c>
    </x:row>
    <x:row r="1925" ht="21" customHeight="1">
      <x:c r="A1925" s="60" t="n">
        <x:v>0.67</x:v>
      </x:c>
      <x:c r="B1925" s="28" t="str">
        <x:v>back_low</x:v>
      </x:c>
      <x:c r="C1925" s="60" t="n">
        <x:v>0.3</x:v>
      </x:c>
      <x:c r="D1925" s="60" t="n">
        <x:v>0.3</x:v>
      </x:c>
      <x:c r="E1925" s="62" t="b">
        <x:v>1</x:v>
      </x:c>
      <x:c r="F1925" s="62" t="b">
        <x:v>1</x:v>
      </x:c>
      <x:c r="G1925" s="85" t="n">
        <x:v>0</x:v>
      </x:c>
      <x:c r="H1925" s="85" t="n">
        <x:v>0</x:v>
      </x:c>
      <x:c r="I1925" s="85" t="n">
        <x:v>15544159.818374218</x:v>
      </x:c>
      <x:c r="J1925" s="85" t="n">
        <x:v>24511621.25221868</x:v>
      </x:c>
      <x:c r="K1925" s="85" t="n">
        <x:v>669085.2806915717</x:v>
      </x:c>
      <x:c r="L1925" s="28" t="n">
        <x:v>0</x:v>
      </x:c>
      <x:c r="M1925" s="28" t="n">
        <x:v>0</x:v>
      </x:c>
      <x:c r="N1925" s="28" t="n">
        <x:v>1.862645149230957e-9</x:v>
      </x:c>
      <x:c r="O1925" s="28" t="n">
        <x:v>2.9802322387695312e-8</x:v>
      </x:c>
      <x:c r="P1925" s="28" t="n">
        <x:v>0</x:v>
      </x:c>
      <x:c r="Q1925" s="62" t="b">
        <x:v>1</x:v>
      </x:c>
      <x:c r="R1925" s="28" t="n">
        <x:v>0</x:v>
      </x:c>
      <x:c r="S1925" s="28" t="str">
        <x:v>c5a63f086fe4e661</x:v>
      </x:c>
    </x:row>
    <x:row r="1926" ht="21" customHeight="1">
      <x:c r="A1926" s="60" t="n">
        <x:v>0.67</x:v>
      </x:c>
      <x:c r="B1926" s="28" t="str">
        <x:v>back_low</x:v>
      </x:c>
      <x:c r="C1926" s="60" t="n">
        <x:v>0.35</x:v>
      </x:c>
      <x:c r="D1926" s="60" t="n">
        <x:v>0.35</x:v>
      </x:c>
      <x:c r="E1926" s="62" t="b">
        <x:v>1</x:v>
      </x:c>
      <x:c r="F1926" s="62" t="b">
        <x:v>1</x:v>
      </x:c>
      <x:c r="G1926" s="85" t="n">
        <x:v>0</x:v>
      </x:c>
      <x:c r="H1926" s="85" t="n">
        <x:v>0</x:v>
      </x:c>
      <x:c r="I1926" s="85" t="n">
        <x:v>19557073.37510507</x:v>
      </x:c>
      <x:c r="J1926" s="85" t="n">
        <x:v>33596891.460921794</x:v>
      </x:c>
      <x:c r="K1926" s="85" t="n">
        <x:v>570103.1903481897</x:v>
      </x:c>
      <x:c r="L1926" s="28" t="n">
        <x:v>0</x:v>
      </x:c>
      <x:c r="M1926" s="28" t="n">
        <x:v>0</x:v>
      </x:c>
      <x:c r="N1926" s="28" t="n">
        <x:v>1.862645149230957e-9</x:v>
      </x:c>
      <x:c r="O1926" s="28" t="n">
        <x:v>2.9802322387695312e-8</x:v>
      </x:c>
      <x:c r="P1926" s="28" t="n">
        <x:v>0</x:v>
      </x:c>
      <x:c r="Q1926" s="62" t="b">
        <x:v>1</x:v>
      </x:c>
      <x:c r="R1926" s="28" t="n">
        <x:v>0</x:v>
      </x:c>
      <x:c r="S1926" s="28" t="str">
        <x:v>2ef4b33cad6d213c</x:v>
      </x:c>
    </x:row>
    <x:row r="1927" ht="21" customHeight="1">
      <x:c r="A1927" s="60" t="n">
        <x:v>0.67</x:v>
      </x:c>
      <x:c r="B1927" s="28" t="str">
        <x:v>back_low</x:v>
      </x:c>
      <x:c r="C1927" s="60" t="n">
        <x:v>0.4</x:v>
      </x:c>
      <x:c r="D1927" s="60" t="n">
        <x:v>0.4</x:v>
      </x:c>
      <x:c r="E1927" s="62" t="b">
        <x:v>1</x:v>
      </x:c>
      <x:c r="F1927" s="62" t="b">
        <x:v>1</x:v>
      </x:c>
      <x:c r="G1927" s="85" t="n">
        <x:v>0</x:v>
      </x:c>
      <x:c r="H1927" s="85" t="n">
        <x:v>0</x:v>
      </x:c>
      <x:c r="I1927" s="85" t="n">
        <x:v>25479208.77076578</x:v>
      </x:c>
      <x:c r="J1927" s="85" t="n">
        <x:v>39673632.02212077</x:v>
      </x:c>
      <x:c r="K1927" s="85" t="n">
        <x:v>493307.1104957862</x:v>
      </x:c>
      <x:c r="L1927" s="28" t="n">
        <x:v>6</x:v>
      </x:c>
      <x:c r="M1927" s="28" t="n">
        <x:v>0</x:v>
      </x:c>
      <x:c r="N1927" s="28" t="n">
        <x:v>3.725290298461914e-9</x:v>
      </x:c>
      <x:c r="O1927" s="28" t="n">
        <x:v>2.9802322387695312e-8</x:v>
      </x:c>
      <x:c r="P1927" s="28" t="n">
        <x:v>0</x:v>
      </x:c>
      <x:c r="Q1927" s="62" t="b">
        <x:v>1</x:v>
      </x:c>
      <x:c r="R1927" s="28" t="n">
        <x:v>0</x:v>
      </x:c>
      <x:c r="S1927" s="28" t="str">
        <x:v>480f7ea7017996d5</x:v>
      </x:c>
    </x:row>
    <x:row r="1928" ht="21" customHeight="1">
      <x:c r="A1928" s="60" t="n">
        <x:v>0.67</x:v>
      </x:c>
      <x:c r="B1928" s="28" t="str">
        <x:v>back_low</x:v>
      </x:c>
      <x:c r="C1928" s="60" t="n">
        <x:v>0.45</x:v>
      </x:c>
      <x:c r="D1928" s="60" t="n">
        <x:v>0.45</x:v>
      </x:c>
      <x:c r="E1928" s="62" t="b">
        <x:v>1</x:v>
      </x:c>
      <x:c r="F1928" s="62" t="b">
        <x:v>1</x:v>
      </x:c>
      <x:c r="G1928" s="85" t="n">
        <x:v>0</x:v>
      </x:c>
      <x:c r="H1928" s="85" t="n">
        <x:v>0</x:v>
      </x:c>
      <x:c r="I1928" s="85" t="n">
        <x:v>30793621.74767591</x:v>
      </x:c>
      <x:c r="J1928" s="85" t="n">
        <x:v>46609251.46722603</x:v>
      </x:c>
      <x:c r="K1928" s="85" t="n">
        <x:v>422623.9609712331</x:v>
      </x:c>
      <x:c r="L1928" s="28" t="n">
        <x:v>10</x:v>
      </x:c>
      <x:c r="M1928" s="28" t="n">
        <x:v>0</x:v>
      </x:c>
      <x:c r="N1928" s="28" t="n">
        <x:v>3.725290298461914e-9</x:v>
      </x:c>
      <x:c r="O1928" s="28" t="n">
        <x:v>1.4901161193847656e-8</x:v>
      </x:c>
      <x:c r="P1928" s="28" t="n">
        <x:v>0</x:v>
      </x:c>
      <x:c r="Q1928" s="62" t="b">
        <x:v>1</x:v>
      </x:c>
      <x:c r="R1928" s="28" t="n">
        <x:v>0</x:v>
      </x:c>
      <x:c r="S1928" s="28" t="str">
        <x:v>3e262f3515296095</x:v>
      </x:c>
    </x:row>
    <x:row r="1929" ht="21" customHeight="1">
      <x:c r="A1929" s="60" t="n">
        <x:v>0.67</x:v>
      </x:c>
      <x:c r="B1929" s="28" t="str">
        <x:v>back_low</x:v>
      </x:c>
      <x:c r="C1929" s="60" t="n">
        <x:v>0.5</x:v>
      </x:c>
      <x:c r="D1929" s="60" t="n">
        <x:v>0.5</x:v>
      </x:c>
      <x:c r="E1929" s="62" t="b">
        <x:v>1</x:v>
      </x:c>
      <x:c r="F1929" s="62" t="b">
        <x:v>1</x:v>
      </x:c>
      <x:c r="G1929" s="85" t="n">
        <x:v>0</x:v>
      </x:c>
      <x:c r="H1929" s="85" t="n">
        <x:v>0</x:v>
      </x:c>
      <x:c r="I1929" s="85" t="n">
        <x:v>35049363.21585517</x:v>
      </x:c>
      <x:c r="J1929" s="85" t="n">
        <x:v>55200802.851112135</x:v>
      </x:c>
      <x:c r="K1929" s="85" t="n">
        <x:v>387457.12330137</x:v>
      </x:c>
      <x:c r="L1929" s="28" t="n">
        <x:v>13</x:v>
      </x:c>
      <x:c r="M1929" s="28" t="n">
        <x:v>0</x:v>
      </x:c>
      <x:c r="N1929" s="28" t="n">
        <x:v>3.725290298461914e-9</x:v>
      </x:c>
      <x:c r="O1929" s="28" t="n">
        <x:v>2.9802322387695312e-8</x:v>
      </x:c>
      <x:c r="P1929" s="28" t="n">
        <x:v>0</x:v>
      </x:c>
      <x:c r="Q1929" s="62" t="b">
        <x:v>1</x:v>
      </x:c>
      <x:c r="R1929" s="28" t="n">
        <x:v>0</x:v>
      </x:c>
      <x:c r="S1929" s="28" t="str">
        <x:v>fc59bf5ff8e7eea1</x:v>
      </x:c>
    </x:row>
    <x:row r="1930" ht="21" customHeight="1">
      <x:c r="A1930" s="60" t="n">
        <x:v>0.67</x:v>
      </x:c>
      <x:c r="B1930" s="28" t="str">
        <x:v>back_low</x:v>
      </x:c>
      <x:c r="C1930" s="60" t="n">
        <x:v>0.55</x:v>
      </x:c>
      <x:c r="D1930" s="60" t="n">
        <x:v>0.55</x:v>
      </x:c>
      <x:c r="E1930" s="62" t="b">
        <x:v>1</x:v>
      </x:c>
      <x:c r="F1930" s="62" t="b">
        <x:v>1</x:v>
      </x:c>
      <x:c r="G1930" s="85" t="n">
        <x:v>0</x:v>
      </x:c>
      <x:c r="H1930" s="85" t="n">
        <x:v>0</x:v>
      </x:c>
      <x:c r="I1930" s="85" t="n">
        <x:v>39106454.794590436</x:v>
      </x:c>
      <x:c r="J1930" s="85" t="n">
        <x:v>64054970.586373426</x:v>
      </x:c>
      <x:c r="K1930" s="85" t="n">
        <x:v>352290.2856315069</x:v>
      </x:c>
      <x:c r="L1930" s="28" t="n">
        <x:v>16</x:v>
      </x:c>
      <x:c r="M1930" s="28" t="n">
        <x:v>0</x:v>
      </x:c>
      <x:c r="N1930" s="28" t="n">
        <x:v>1.862645149230957e-9</x:v>
      </x:c>
      <x:c r="O1930" s="28" t="n">
        <x:v>2.9802322387695312e-8</x:v>
      </x:c>
      <x:c r="P1930" s="28" t="n">
        <x:v>0</x:v>
      </x:c>
      <x:c r="Q1930" s="62" t="b">
        <x:v>1</x:v>
      </x:c>
      <x:c r="R1930" s="28" t="n">
        <x:v>0</x:v>
      </x:c>
      <x:c r="S1930" s="28" t="str">
        <x:v>0891f155441098a7</x:v>
      </x:c>
    </x:row>
    <x:row r="1931" ht="21" customHeight="1">
      <x:c r="A1931" s="60" t="n">
        <x:v>0.67</x:v>
      </x:c>
      <x:c r="B1931" s="28" t="str">
        <x:v>back_low</x:v>
      </x:c>
      <x:c r="C1931" s="60" t="n">
        <x:v>0.6</x:v>
      </x:c>
      <x:c r="D1931" s="60" t="n">
        <x:v>0.6</x:v>
      </x:c>
      <x:c r="E1931" s="62" t="b">
        <x:v>1</x:v>
      </x:c>
      <x:c r="F1931" s="62" t="b">
        <x:v>0</x:v>
      </x:c>
      <x:c r="G1931" s="85" t="n">
        <x:v>294153.3710696759</x:v>
      </x:c>
      <x:c r="H1931" s="85" t="n">
        <x:v>4414108.044509654</x:v>
      </x:c>
      <x:c r="I1931" s="85" t="n">
        <x:v>41555709.32696329</x:v>
      </x:c>
      <x:c r="J1931" s="85" t="n">
        <x:v>68999999.99999999</x:v>
      </x:c>
      <x:c r="K1931" s="85" t="n">
        <x:v>317123.447961641</x:v>
      </x:c>
      <x:c r="L1931" s="28" t="n">
        <x:v>40</x:v>
      </x:c>
      <x:c r="M1931" s="28" t="n">
        <x:v>29</x:v>
      </x:c>
      <x:c r="N1931" s="28" t="n">
        <x:v>1.862645149230957e-9</x:v>
      </x:c>
      <x:c r="O1931" s="28" t="n">
        <x:v>2.9802322387695312e-8</x:v>
      </x:c>
      <x:c r="P1931" s="28" t="n">
        <x:v>0</x:v>
      </x:c>
      <x:c r="Q1931" s="62" t="b">
        <x:v>1</x:v>
      </x:c>
      <x:c r="R1931" s="28" t="n">
        <x:v>0</x:v>
      </x:c>
      <x:c r="S1931" s="28" t="str">
        <x:v>594abb91a4581f03</x:v>
      </x:c>
    </x:row>
    <x:row r="1932" ht="21" customHeight="1">
      <x:c r="A1932" s="60" t="n">
        <x:v>0.67</x:v>
      </x:c>
      <x:c r="B1932" s="28" t="str">
        <x:v>back_low</x:v>
      </x:c>
      <x:c r="C1932" s="60" t="n">
        <x:v>0.65</x:v>
      </x:c>
      <x:c r="D1932" s="60" t="n">
        <x:v>0.65</x:v>
      </x:c>
      <x:c r="E1932" s="62" t="b">
        <x:v>1</x:v>
      </x:c>
      <x:c r="F1932" s="62" t="b">
        <x:v>0</x:v>
      </x:c>
      <x:c r="G1932" s="85" t="n">
        <x:v>1005639.9494416896</x:v>
      </x:c>
      <x:c r="H1932" s="85" t="n">
        <x:v>15149687.579899173</x:v>
      </x:c>
      <x:c r="I1932" s="85" t="n">
        <x:v>41616748.82384493</x:v>
      </x:c>
      <x:c r="J1932" s="85" t="n">
        <x:v>68999999.99999999</x:v>
      </x:c>
      <x:c r="K1932" s="85" t="n">
        <x:v>281956.61029178114</x:v>
      </x:c>
      <x:c r="L1932" s="28" t="n">
        <x:v>40</x:v>
      </x:c>
      <x:c r="M1932" s="28" t="n">
        <x:v>30</x:v>
      </x:c>
      <x:c r="N1932" s="28" t="n">
        <x:v>1.862645149230957e-9</x:v>
      </x:c>
      <x:c r="O1932" s="28" t="n">
        <x:v>1.4901161193847656e-8</x:v>
      </x:c>
      <x:c r="P1932" s="28" t="n">
        <x:v>0</x:v>
      </x:c>
      <x:c r="Q1932" s="62" t="b">
        <x:v>1</x:v>
      </x:c>
      <x:c r="R1932" s="28" t="n">
        <x:v>0</x:v>
      </x:c>
      <x:c r="S1932" s="28" t="str">
        <x:v>bf40fc1b132803cc</x:v>
      </x:c>
    </x:row>
    <x:row r="1933" ht="21" customHeight="1">
      <x:c r="A1933" s="60" t="n">
        <x:v>0.67</x:v>
      </x:c>
      <x:c r="B1933" s="28" t="str">
        <x:v>back_low</x:v>
      </x:c>
      <x:c r="C1933" s="60" t="n">
        <x:v>0.7</x:v>
      </x:c>
      <x:c r="D1933" s="60" t="n">
        <x:v>0.7</x:v>
      </x:c>
      <x:c r="E1933" s="62" t="b">
        <x:v>1</x:v>
      </x:c>
      <x:c r="F1933" s="62" t="b">
        <x:v>0</x:v>
      </x:c>
      <x:c r="G1933" s="85" t="n">
        <x:v>1766807.0281831587</x:v>
      </x:c>
      <x:c r="H1933" s="85" t="n">
        <x:v>24749631.171252128</x:v>
      </x:c>
      <x:c r="I1933" s="85" t="n">
        <x:v>42622843.53689453</x:v>
      </x:c>
      <x:c r="J1933" s="85" t="n">
        <x:v>68999999.99999999</x:v>
      </x:c>
      <x:c r="K1933" s="85" t="n">
        <x:v>246789.7726219204</x:v>
      </x:c>
      <x:c r="L1933" s="28" t="n">
        <x:v>41</x:v>
      </x:c>
      <x:c r="M1933" s="28" t="n">
        <x:v>31</x:v>
      </x:c>
      <x:c r="N1933" s="28" t="n">
        <x:v>1.862645149230957e-9</x:v>
      </x:c>
      <x:c r="O1933" s="28" t="n">
        <x:v>2.9802322387695312e-8</x:v>
      </x:c>
      <x:c r="P1933" s="28" t="n">
        <x:v>0</x:v>
      </x:c>
      <x:c r="Q1933" s="62" t="b">
        <x:v>1</x:v>
      </x:c>
      <x:c r="R1933" s="28" t="n">
        <x:v>0</x:v>
      </x:c>
      <x:c r="S1933" s="28" t="str">
        <x:v>076352e696f5bc91</x:v>
      </x:c>
    </x:row>
    <x:row r="1934" ht="21" customHeight="1">
      <x:c r="A1934" s="60" t="n">
        <x:v>0.67</x:v>
      </x:c>
      <x:c r="B1934" s="28" t="str">
        <x:v>back_low</x:v>
      </x:c>
      <x:c r="C1934" s="60" t="n">
        <x:v>0.75</x:v>
      </x:c>
      <x:c r="D1934" s="60" t="n">
        <x:v>0.75</x:v>
      </x:c>
      <x:c r="E1934" s="62" t="b">
        <x:v>1</x:v>
      </x:c>
      <x:c r="F1934" s="62" t="b">
        <x:v>0</x:v>
      </x:c>
      <x:c r="G1934" s="85" t="n">
        <x:v>2676525.0285199345</x:v>
      </x:c>
      <x:c r="H1934" s="85" t="n">
        <x:v>35219808.43042761</x:v>
      </x:c>
      <x:c r="I1934" s="85" t="n">
        <x:v>42693611.74197604</x:v>
      </x:c>
      <x:c r="J1934" s="85" t="n">
        <x:v>68999999.99999999</x:v>
      </x:c>
      <x:c r="K1934" s="85" t="n">
        <x:v>211622.93495206145</x:v>
      </x:c>
      <x:c r="L1934" s="28" t="n">
        <x:v>41</x:v>
      </x:c>
      <x:c r="M1934" s="28" t="n">
        <x:v>32</x:v>
      </x:c>
      <x:c r="N1934" s="28" t="n">
        <x:v>1.862645149230957e-9</x:v>
      </x:c>
      <x:c r="O1934" s="28" t="n">
        <x:v>2.9802322387695312e-8</x:v>
      </x:c>
      <x:c r="P1934" s="28" t="n">
        <x:v>0</x:v>
      </x:c>
      <x:c r="Q1934" s="62" t="b">
        <x:v>1</x:v>
      </x:c>
      <x:c r="R1934" s="28" t="n">
        <x:v>0</x:v>
      </x:c>
      <x:c r="S1934" s="28" t="str">
        <x:v>12d6610bdf080bf4</x:v>
      </x:c>
    </x:row>
    <x:row r="1935" ht="21" customHeight="1">
      <x:c r="A1935" s="60" t="n">
        <x:v>0.67</x:v>
      </x:c>
      <x:c r="B1935" s="28" t="str">
        <x:v>back_low</x:v>
      </x:c>
      <x:c r="C1935" s="60" t="n">
        <x:v>0.8</x:v>
      </x:c>
      <x:c r="D1935" s="60" t="n">
        <x:v>0.8</x:v>
      </x:c>
      <x:c r="E1935" s="62" t="b">
        <x:v>1</x:v>
      </x:c>
      <x:c r="F1935" s="62" t="b">
        <x:v>0</x:v>
      </x:c>
      <x:c r="G1935" s="85" t="n">
        <x:v>3538520.069932532</x:v>
      </x:c>
      <x:c r="H1935" s="85" t="n">
        <x:v>44686428.48604195</x:v>
      </x:c>
      <x:c r="I1935" s="85" t="n">
        <x:v>43608412.42012626</x:v>
      </x:c>
      <x:c r="J1935" s="85" t="n">
        <x:v>68999999.99999999</x:v>
      </x:c>
      <x:c r="K1935" s="85" t="n">
        <x:v>191733.03352328786</x:v>
      </x:c>
      <x:c r="L1935" s="28" t="n">
        <x:v>42</x:v>
      </x:c>
      <x:c r="M1935" s="28" t="n">
        <x:v>33</x:v>
      </x:c>
      <x:c r="N1935" s="28" t="n">
        <x:v>1.862645149230957e-9</x:v>
      </x:c>
      <x:c r="O1935" s="28" t="n">
        <x:v>1.4901161193847656e-8</x:v>
      </x:c>
      <x:c r="P1935" s="28" t="n">
        <x:v>0</x:v>
      </x:c>
      <x:c r="Q1935" s="62" t="b">
        <x:v>1</x:v>
      </x:c>
      <x:c r="R1935" s="28" t="n">
        <x:v>0</x:v>
      </x:c>
      <x:c r="S1935" s="28" t="str">
        <x:v>11fbc49eca992caa</x:v>
      </x:c>
    </x:row>
    <x:row r="1936" ht="21" customHeight="1">
      <x:c r="A1936" s="60" t="n">
        <x:v>0.67</x:v>
      </x:c>
      <x:c r="B1936" s="28" t="str">
        <x:v>back_low</x:v>
      </x:c>
      <x:c r="C1936" s="60" t="n">
        <x:v>0.85</x:v>
      </x:c>
      <x:c r="D1936" s="60" t="n">
        <x:v>0.85</x:v>
      </x:c>
      <x:c r="E1936" s="62" t="b">
        <x:v>1</x:v>
      </x:c>
      <x:c r="F1936" s="62" t="b">
        <x:v>0</x:v>
      </x:c>
      <x:c r="G1936" s="85" t="n">
        <x:v>4641399.840068434</x:v>
      </x:c>
      <x:c r="H1936" s="85" t="n">
        <x:v>54887607.90505219</x:v>
      </x:c>
      <x:c r="I1936" s="85" t="n">
        <x:v>43651640.39518551</x:v>
      </x:c>
      <x:c r="J1936" s="85" t="n">
        <x:v>68999999.99999999</x:v>
      </x:c>
      <x:c r="K1936" s="85" t="n">
        <x:v>180808.52012191576</x:v>
      </x:c>
      <x:c r="L1936" s="28" t="n">
        <x:v>42</x:v>
      </x:c>
      <x:c r="M1936" s="28" t="n">
        <x:v>34</x:v>
      </x:c>
      <x:c r="N1936" s="28" t="n">
        <x:v>1.862645149230957e-9</x:v>
      </x:c>
      <x:c r="O1936" s="28" t="n">
        <x:v>2.9802322387695312e-8</x:v>
      </x:c>
      <x:c r="P1936" s="28" t="n">
        <x:v>0</x:v>
      </x:c>
      <x:c r="Q1936" s="62" t="b">
        <x:v>1</x:v>
      </x:c>
      <x:c r="R1936" s="28" t="n">
        <x:v>0</x:v>
      </x:c>
      <x:c r="S1936" s="28" t="str">
        <x:v>c2d17a21614d6c24</x:v>
      </x:c>
    </x:row>
    <x:row r="1937" ht="21" customHeight="1">
      <x:c r="A1937" s="60" t="n">
        <x:v>0.67</x:v>
      </x:c>
      <x:c r="B1937" s="28" t="str">
        <x:v>back_low</x:v>
      </x:c>
      <x:c r="C1937" s="60" t="n">
        <x:v>0.9</x:v>
      </x:c>
      <x:c r="D1937" s="60" t="n">
        <x:v>0.8948658400492392</x:v>
      </x:c>
      <x:c r="E1937" s="62" t="b">
        <x:v>0</x:v>
      </x:c>
      <x:c r="F1937" s="62" t="b">
        <x:v>0</x:v>
      </x:c>
      <x:c r="G1937" s="85" t="n">
        <x:v>6989900.158102648</x:v>
      </x:c>
      <x:c r="H1937" s="85" t="n">
        <x:v>61286928.76858602</x:v>
      </x:c>
      <x:c r="I1937" s="85" t="n">
        <x:v>44644009.94787809</x:v>
      </x:c>
      <x:c r="J1937" s="85" t="n">
        <x:v>68999999.99999999</x:v>
      </x:c>
      <x:c r="K1937" s="85" t="n">
        <x:v>169884.00672054832</x:v>
      </x:c>
      <x:c r="L1937" s="28" t="n">
        <x:v>43</x:v>
      </x:c>
      <x:c r="M1937" s="28" t="n">
        <x:v>34</x:v>
      </x:c>
      <x:c r="N1937" s="28" t="n">
        <x:v>1.862645149230957e-9</x:v>
      </x:c>
      <x:c r="O1937" s="28" t="n">
        <x:v>2.9802322387695312e-8</x:v>
      </x:c>
      <x:c r="P1937" s="28" t="n">
        <x:v>0</x:v>
      </x:c>
      <x:c r="Q1937" s="62" t="b">
        <x:v>1</x:v>
      </x:c>
      <x:c r="R1937" s="28" t="n">
        <x:v>1540247.9852282405</x:v>
      </x:c>
      <x:c r="S1937" s="28" t="str">
        <x:v>c2ece49933fb2849</x:v>
      </x:c>
    </x:row>
    <x:row r="1938" ht="21" customHeight="1">
      <x:c r="A1938" s="60" t="n">
        <x:v>0.67</x:v>
      </x:c>
      <x:c r="B1938" s="28" t="str">
        <x:v>back_low</x:v>
      </x:c>
      <x:c r="C1938" s="60" t="n">
        <x:v>0.95</x:v>
      </x:c>
      <x:c r="D1938" s="60" t="n">
        <x:v>0.9083032015334562</x:v>
      </x:c>
      <x:c r="E1938" s="62" t="b">
        <x:v>0</x:v>
      </x:c>
      <x:c r="F1938" s="62" t="b">
        <x:v>0</x:v>
      </x:c>
      <x:c r="G1938" s="85" t="n">
        <x:v>7353544.175449511</x:v>
      </x:c>
      <x:c r="H1938" s="85" t="n">
        <x:v>64475332.67767834</x:v>
      </x:c>
      <x:c r="I1938" s="85" t="n">
        <x:v>44662937.43858974</x:v>
      </x:c>
      <x:c r="J1938" s="85" t="n">
        <x:v>68999999.99999999</x:v>
      </x:c>
      <x:c r="K1938" s="85" t="n">
        <x:v>158959.49331918044</x:v>
      </x:c>
      <x:c r="L1938" s="28" t="n">
        <x:v>43</x:v>
      </x:c>
      <x:c r="M1938" s="28" t="n">
        <x:v>35</x:v>
      </x:c>
      <x:c r="N1938" s="28" t="n">
        <x:v>1.862645149230957e-9</x:v>
      </x:c>
      <x:c r="O1938" s="28" t="n">
        <x:v>2.9802322387695312e-8</x:v>
      </x:c>
      <x:c r="P1938" s="28" t="n">
        <x:v>0</x:v>
      </x:c>
      <x:c r="Q1938" s="62" t="b">
        <x:v>1</x:v>
      </x:c>
      <x:c r="R1938" s="28" t="n">
        <x:v>12509039.539963126</x:v>
      </x:c>
      <x:c r="S1938" s="28" t="str">
        <x:v>90f18e6229469ab0</x:v>
      </x:c>
    </x:row>
    <x:row r="1939" ht="21" customHeight="1">
      <x:c r="A1939" s="60" t="n">
        <x:v>0.67</x:v>
      </x:c>
      <x:c r="B1939" s="28" t="str">
        <x:v>back_low</x:v>
      </x:c>
      <x:c r="C1939" s="60" t="n">
        <x:v>1</x:v>
      </x:c>
      <x:c r="D1939" s="60" t="n">
        <x:v>0.920601109498915</x:v>
      </x:c>
      <x:c r="E1939" s="62" t="b">
        <x:v>0</x:v>
      </x:c>
      <x:c r="F1939" s="62" t="b">
        <x:v>0</x:v>
      </x:c>
      <x:c r="G1939" s="85" t="n">
        <x:v>7973516.653311397</x:v>
      </x:c>
      <x:c r="H1939" s="85" t="n">
        <x:v>67093934.077014565</x:v>
      </x:c>
      <x:c r="I1939" s="85" t="n">
        <x:v>44681864.92930138</x:v>
      </x:c>
      <x:c r="J1939" s="85" t="n">
        <x:v>68999999.99999999</x:v>
      </x:c>
      <x:c r="K1939" s="85" t="n">
        <x:v>148034.9799178135</x:v>
      </x:c>
      <x:c r="L1939" s="28" t="n">
        <x:v>43</x:v>
      </x:c>
      <x:c r="M1939" s="28" t="n">
        <x:v>36</x:v>
      </x:c>
      <x:c r="N1939" s="28" t="n">
        <x:v>1.862645149230957e-9</x:v>
      </x:c>
      <x:c r="O1939" s="28" t="n">
        <x:v>2.9802322387695312e-8</x:v>
      </x:c>
      <x:c r="P1939" s="28" t="n">
        <x:v>0</x:v>
      </x:c>
      <x:c r="Q1939" s="62" t="b">
        <x:v>1</x:v>
      </x:c>
      <x:c r="R1939" s="28" t="n">
        <x:v>23819667.150325477</x:v>
      </x:c>
      <x:c r="S1939" s="28" t="str">
        <x:v>0fda72496f16480a</x:v>
      </x:c>
    </x:row>
    <x:row r="1940" ht="21" customHeight="1">
      <x:c r="A1940" s="60" t="n">
        <x:v>0.67</x:v>
      </x:c>
      <x:c r="B1940" s="28" t="str">
        <x:v>back_high</x:v>
      </x:c>
      <x:c r="C1940" s="60" t="n">
        <x:v>0</x:v>
      </x:c>
      <x:c r="D1940" s="60" t="n">
        <x:v>0</x:v>
      </x:c>
      <x:c r="E1940" s="62" t="b">
        <x:v>1</x:v>
      </x:c>
      <x:c r="F1940" s="62" t="b">
        <x:v>1</x:v>
      </x:c>
      <x:c r="G1940" s="85" t="n">
        <x:v>0</x:v>
      </x:c>
      <x:c r="H1940" s="85" t="n">
        <x:v>0</x:v>
      </x:c>
      <x:c r="I1940" s="85" t="n">
        <x:v>0</x:v>
      </x:c>
      <x:c r="J1940" s="85" t="n">
        <x:v>0</x:v>
      </x:c>
      <x:c r="K1940" s="85" t="n">
        <x:v>39768055.34041095</x:v>
      </x:c>
      <x:c r="L1940" s="28" t="n">
        <x:v>0</x:v>
      </x:c>
      <x:c r="M1940" s="28" t="n">
        <x:v>0</x:v>
      </x:c>
      <x:c r="N1940" s="28" t="n">
        <x:v>3.725290298461914e-9</x:v>
      </x:c>
      <x:c r="O1940" s="28" t="n">
        <x:v>0</x:v>
      </x:c>
      <x:c r="P1940" s="28" t="n">
        <x:v>0</x:v>
      </x:c>
      <x:c r="Q1940" s="62" t="b">
        <x:v>1</x:v>
      </x:c>
      <x:c r="R1940" s="28" t="n">
        <x:v>0</x:v>
      </x:c>
      <x:c r="S1940" s="28" t="str">
        <x:v>420889b2946810c3</x:v>
      </x:c>
    </x:row>
    <x:row r="1941" ht="21" customHeight="1">
      <x:c r="A1941" s="60" t="n">
        <x:v>0.67</x:v>
      </x:c>
      <x:c r="B1941" s="28" t="str">
        <x:v>back_high</x:v>
      </x:c>
      <x:c r="C1941" s="60" t="n">
        <x:v>0.05</x:v>
      </x:c>
      <x:c r="D1941" s="60" t="n">
        <x:v>0.05</x:v>
      </x:c>
      <x:c r="E1941" s="62" t="b">
        <x:v>1</x:v>
      </x:c>
      <x:c r="F1941" s="62" t="b">
        <x:v>1</x:v>
      </x:c>
      <x:c r="G1941" s="85" t="n">
        <x:v>0</x:v>
      </x:c>
      <x:c r="H1941" s="85" t="n">
        <x:v>0</x:v>
      </x:c>
      <x:c r="I1941" s="85" t="n">
        <x:v>0</x:v>
      </x:c>
      <x:c r="J1941" s="85" t="n">
        <x:v>0</x:v>
      </x:c>
      <x:c r="K1941" s="85" t="n">
        <x:v>26680062.212881472</x:v>
      </x:c>
      <x:c r="L1941" s="28" t="n">
        <x:v>0</x:v>
      </x:c>
      <x:c r="M1941" s="28" t="n">
        <x:v>0</x:v>
      </x:c>
      <x:c r="N1941" s="28" t="n">
        <x:v>3.725290298461914e-9</x:v>
      </x:c>
      <x:c r="O1941" s="28" t="n">
        <x:v>5.960464477539063e-8</x:v>
      </x:c>
      <x:c r="P1941" s="28" t="n">
        <x:v>0</x:v>
      </x:c>
      <x:c r="Q1941" s="62" t="b">
        <x:v>1</x:v>
      </x:c>
      <x:c r="R1941" s="28" t="n">
        <x:v>0</x:v>
      </x:c>
      <x:c r="S1941" s="28" t="str">
        <x:v>b47ff385f5c5e111</x:v>
      </x:c>
    </x:row>
    <x:row r="1942" ht="21" customHeight="1">
      <x:c r="A1942" s="60" t="n">
        <x:v>0.67</x:v>
      </x:c>
      <x:c r="B1942" s="28" t="str">
        <x:v>back_high</x:v>
      </x:c>
      <x:c r="C1942" s="60" t="n">
        <x:v>0.1</x:v>
      </x:c>
      <x:c r="D1942" s="60" t="n">
        <x:v>0.1</x:v>
      </x:c>
      <x:c r="E1942" s="62" t="b">
        <x:v>1</x:v>
      </x:c>
      <x:c r="F1942" s="62" t="b">
        <x:v>1</x:v>
      </x:c>
      <x:c r="G1942" s="85" t="n">
        <x:v>0</x:v>
      </x:c>
      <x:c r="H1942" s="85" t="n">
        <x:v>0</x:v>
      </x:c>
      <x:c r="I1942" s="85" t="n">
        <x:v>0</x:v>
      </x:c>
      <x:c r="J1942" s="85" t="n">
        <x:v>0</x:v>
      </x:c>
      <x:c r="K1942" s="85" t="n">
        <x:v>13433461.710729498</x:v>
      </x:c>
      <x:c r="L1942" s="28" t="n">
        <x:v>0</x:v>
      </x:c>
      <x:c r="M1942" s="28" t="n">
        <x:v>0</x:v>
      </x:c>
      <x:c r="N1942" s="28" t="n">
        <x:v>3.725290298461914e-9</x:v>
      </x:c>
      <x:c r="O1942" s="28" t="n">
        <x:v>5.960464477539063e-8</x:v>
      </x:c>
      <x:c r="P1942" s="28" t="n">
        <x:v>0</x:v>
      </x:c>
      <x:c r="Q1942" s="62" t="b">
        <x:v>1</x:v>
      </x:c>
      <x:c r="R1942" s="28" t="n">
        <x:v>0</x:v>
      </x:c>
      <x:c r="S1942" s="28" t="str">
        <x:v>5131e76a36de9138</x:v>
      </x:c>
    </x:row>
    <x:row r="1943" ht="21" customHeight="1">
      <x:c r="A1943" s="60" t="n">
        <x:v>0.67</x:v>
      </x:c>
      <x:c r="B1943" s="28" t="str">
        <x:v>back_high</x:v>
      </x:c>
      <x:c r="C1943" s="60" t="n">
        <x:v>0.15</x:v>
      </x:c>
      <x:c r="D1943" s="60" t="n">
        <x:v>0.15</x:v>
      </x:c>
      <x:c r="E1943" s="62" t="b">
        <x:v>1</x:v>
      </x:c>
      <x:c r="F1943" s="62" t="b">
        <x:v>1</x:v>
      </x:c>
      <x:c r="G1943" s="85" t="n">
        <x:v>0</x:v>
      </x:c>
      <x:c r="H1943" s="85" t="n">
        <x:v>0</x:v>
      </x:c>
      <x:c r="I1943" s="85" t="n">
        <x:v>2840757.1633701213</x:v>
      </x:c>
      <x:c r="J1943" s="85" t="n">
        <x:v>0</x:v>
      </x:c>
      <x:c r="K1943" s="85" t="n">
        <x:v>3485298.031591691</x:v>
      </x:c>
      <x:c r="L1943" s="28" t="n">
        <x:v>0</x:v>
      </x:c>
      <x:c r="M1943" s="28" t="n">
        <x:v>0</x:v>
      </x:c>
      <x:c r="N1943" s="28" t="n">
        <x:v>3.725290298461914e-9</x:v>
      </x:c>
      <x:c r="O1943" s="28" t="n">
        <x:v>5.960464477539063e-8</x:v>
      </x:c>
      <x:c r="P1943" s="28" t="n">
        <x:v>0</x:v>
      </x:c>
      <x:c r="Q1943" s="62" t="b">
        <x:v>1</x:v>
      </x:c>
      <x:c r="R1943" s="28" t="n">
        <x:v>0</x:v>
      </x:c>
      <x:c r="S1943" s="28" t="str">
        <x:v>4dcf10fbd3a91e72</x:v>
      </x:c>
    </x:row>
    <x:row r="1944" ht="21" customHeight="1">
      <x:c r="A1944" s="60" t="n">
        <x:v>0.67</x:v>
      </x:c>
      <x:c r="B1944" s="28" t="str">
        <x:v>back_high</x:v>
      </x:c>
      <x:c r="C1944" s="60" t="n">
        <x:v>0.2</x:v>
      </x:c>
      <x:c r="D1944" s="60" t="n">
        <x:v>0.2</x:v>
      </x:c>
      <x:c r="E1944" s="62" t="b">
        <x:v>1</x:v>
      </x:c>
      <x:c r="F1944" s="62" t="b">
        <x:v>1</x:v>
      </x:c>
      <x:c r="G1944" s="85" t="n">
        <x:v>0</x:v>
      </x:c>
      <x:c r="H1944" s="85" t="n">
        <x:v>0</x:v>
      </x:c>
      <x:c r="I1944" s="85" t="n">
        <x:v>12711739.894906363</x:v>
      </x:c>
      <x:c r="J1944" s="85" t="n">
        <x:v>6341080.834812399</x:v>
      </x:c>
      <x:c r="K1944" s="85" t="n">
        <x:v>2783751.549631124</x:v>
      </x:c>
      <x:c r="L1944" s="28" t="n">
        <x:v>0</x:v>
      </x:c>
      <x:c r="M1944" s="28" t="n">
        <x:v>0</x:v>
      </x:c>
      <x:c r="N1944" s="28" t="n">
        <x:v>1.862645149230957e-9</x:v>
      </x:c>
      <x:c r="O1944" s="28" t="n">
        <x:v>2.9802322387695312e-8</x:v>
      </x:c>
      <x:c r="P1944" s="28" t="n">
        <x:v>0</x:v>
      </x:c>
      <x:c r="Q1944" s="62" t="b">
        <x:v>1</x:v>
      </x:c>
      <x:c r="R1944" s="28" t="n">
        <x:v>0</x:v>
      </x:c>
      <x:c r="S1944" s="28" t="str">
        <x:v>e639e94925820197</x:v>
      </x:c>
    </x:row>
    <x:row r="1945" ht="21" customHeight="1">
      <x:c r="A1945" s="60" t="n">
        <x:v>0.67</x:v>
      </x:c>
      <x:c r="B1945" s="28" t="str">
        <x:v>back_high</x:v>
      </x:c>
      <x:c r="C1945" s="60" t="n">
        <x:v>0.25</x:v>
      </x:c>
      <x:c r="D1945" s="60" t="n">
        <x:v>0.25</x:v>
      </x:c>
      <x:c r="E1945" s="62" t="b">
        <x:v>1</x:v>
      </x:c>
      <x:c r="F1945" s="62" t="b">
        <x:v>1</x:v>
      </x:c>
      <x:c r="G1945" s="85" t="n">
        <x:v>0</x:v>
      </x:c>
      <x:c r="H1945" s="85" t="n">
        <x:v>0</x:v>
      </x:c>
      <x:c r="I1945" s="85" t="n">
        <x:v>21231920.120135043</x:v>
      </x:c>
      <x:c r="J1945" s="85" t="n">
        <x:v>15426351.043515647</x:v>
      </x:c>
      <x:c r="K1945" s="85" t="n">
        <x:v>2302064.9360269853</x:v>
      </x:c>
      <x:c r="L1945" s="28" t="n">
        <x:v>0</x:v>
      </x:c>
      <x:c r="M1945" s="28" t="n">
        <x:v>0</x:v>
      </x:c>
      <x:c r="N1945" s="28" t="n">
        <x:v>3.725290298461914e-9</x:v>
      </x:c>
      <x:c r="O1945" s="28" t="n">
        <x:v>2.9802322387695312e-8</x:v>
      </x:c>
      <x:c r="P1945" s="28" t="n">
        <x:v>0</x:v>
      </x:c>
      <x:c r="Q1945" s="62" t="b">
        <x:v>1</x:v>
      </x:c>
      <x:c r="R1945" s="28" t="n">
        <x:v>0</x:v>
      </x:c>
      <x:c r="S1945" s="28" t="str">
        <x:v>3b1928f969a30c67</x:v>
      </x:c>
    </x:row>
    <x:row r="1946" ht="21" customHeight="1">
      <x:c r="A1946" s="60" t="n">
        <x:v>0.67</x:v>
      </x:c>
      <x:c r="B1946" s="28" t="str">
        <x:v>back_high</x:v>
      </x:c>
      <x:c r="C1946" s="60" t="n">
        <x:v>0.3</x:v>
      </x:c>
      <x:c r="D1946" s="60" t="n">
        <x:v>0.3</x:v>
      </x:c>
      <x:c r="E1946" s="62" t="b">
        <x:v>1</x:v>
      </x:c>
      <x:c r="F1946" s="62" t="b">
        <x:v>1</x:v>
      </x:c>
      <x:c r="G1946" s="85" t="n">
        <x:v>0</x:v>
      </x:c>
      <x:c r="H1946" s="85" t="n">
        <x:v>0</x:v>
      </x:c>
      <x:c r="I1946" s="85" t="n">
        <x:v>29912738.387395617</x:v>
      </x:c>
      <x:c r="J1946" s="85" t="n">
        <x:v>24511621.25221868</x:v>
      </x:c>
      <x:c r="K1946" s="85" t="n">
        <x:v>1931887.4846022543</x:v>
      </x:c>
      <x:c r="L1946" s="28" t="n">
        <x:v>0</x:v>
      </x:c>
      <x:c r="M1946" s="28" t="n">
        <x:v>0</x:v>
      </x:c>
      <x:c r="N1946" s="28" t="n">
        <x:v>3.725290298461914e-9</x:v>
      </x:c>
      <x:c r="O1946" s="28" t="n">
        <x:v>2.9802322387695312e-8</x:v>
      </x:c>
      <x:c r="P1946" s="28" t="n">
        <x:v>0</x:v>
      </x:c>
      <x:c r="Q1946" s="62" t="b">
        <x:v>1</x:v>
      </x:c>
      <x:c r="R1946" s="28" t="n">
        <x:v>0</x:v>
      </x:c>
      <x:c r="S1946" s="28" t="str">
        <x:v>51fa3404a371a247</x:v>
      </x:c>
    </x:row>
    <x:row r="1947" ht="21" customHeight="1">
      <x:c r="A1947" s="60" t="n">
        <x:v>0.67</x:v>
      </x:c>
      <x:c r="B1947" s="28" t="str">
        <x:v>back_high</x:v>
      </x:c>
      <x:c r="C1947" s="60" t="n">
        <x:v>0.35</x:v>
      </x:c>
      <x:c r="D1947" s="60" t="n">
        <x:v>0.35</x:v>
      </x:c>
      <x:c r="E1947" s="62" t="b">
        <x:v>1</x:v>
      </x:c>
      <x:c r="F1947" s="62" t="b">
        <x:v>1</x:v>
      </x:c>
      <x:c r="G1947" s="85" t="n">
        <x:v>0</x:v>
      </x:c>
      <x:c r="H1947" s="85" t="n">
        <x:v>0</x:v>
      </x:c>
      <x:c r="I1947" s="85" t="n">
        <x:v>38690645.384112515</x:v>
      </x:c>
      <x:c r="J1947" s="85" t="n">
        <x:v>33596891.460921794</x:v>
      </x:c>
      <x:c r="K1947" s="85" t="n">
        <x:v>1631084.3755188705</x:v>
      </x:c>
      <x:c r="L1947" s="28" t="n">
        <x:v>0</x:v>
      </x:c>
      <x:c r="M1947" s="28" t="n">
        <x:v>0</x:v>
      </x:c>
      <x:c r="N1947" s="28" t="n">
        <x:v>1.862645149230957e-9</x:v>
      </x:c>
      <x:c r="O1947" s="28" t="n">
        <x:v>2.9802322387695312e-8</x:v>
      </x:c>
      <x:c r="P1947" s="28" t="n">
        <x:v>0</x:v>
      </x:c>
      <x:c r="Q1947" s="62" t="b">
        <x:v>1</x:v>
      </x:c>
      <x:c r="R1947" s="28" t="n">
        <x:v>0</x:v>
      </x:c>
      <x:c r="S1947" s="28" t="str">
        <x:v>59b6c376ec4a5414</x:v>
      </x:c>
    </x:row>
    <x:row r="1948" ht="21" customHeight="1">
      <x:c r="A1948" s="60" t="n">
        <x:v>0.67</x:v>
      </x:c>
      <x:c r="B1948" s="28" t="str">
        <x:v>back_high</x:v>
      </x:c>
      <x:c r="C1948" s="60" t="n">
        <x:v>0.4</x:v>
      </x:c>
      <x:c r="D1948" s="60" t="n">
        <x:v>0.4</x:v>
      </x:c>
      <x:c r="E1948" s="62" t="b">
        <x:v>1</x:v>
      </x:c>
      <x:c r="F1948" s="62" t="b">
        <x:v>1</x:v>
      </x:c>
      <x:c r="G1948" s="85" t="n">
        <x:v>0</x:v>
      </x:c>
      <x:c r="H1948" s="85" t="n">
        <x:v>0</x:v>
      </x:c>
      <x:c r="I1948" s="85" t="n">
        <x:v>48371790.64489898</x:v>
      </x:c>
      <x:c r="J1948" s="85" t="n">
        <x:v>38068718.86019658</x:v>
      </x:c>
      <x:c r="K1948" s="85" t="n">
        <x:v>1420151.7643894935</x:v>
      </x:c>
      <x:c r="L1948" s="28" t="n">
        <x:v>6</x:v>
      </x:c>
      <x:c r="M1948" s="28" t="n">
        <x:v>0</x:v>
      </x:c>
      <x:c r="N1948" s="28" t="n">
        <x:v>3.725290298461914e-9</x:v>
      </x:c>
      <x:c r="O1948" s="28" t="n">
        <x:v>2.9802322387695312e-8</x:v>
      </x:c>
      <x:c r="P1948" s="28" t="n">
        <x:v>0</x:v>
      </x:c>
      <x:c r="Q1948" s="62" t="b">
        <x:v>1</x:v>
      </x:c>
      <x:c r="R1948" s="28" t="n">
        <x:v>0</x:v>
      </x:c>
      <x:c r="S1948" s="28" t="str">
        <x:v>d82a7e2248b2dc55</x:v>
      </x:c>
    </x:row>
    <x:row r="1949" ht="21" customHeight="1">
      <x:c r="A1949" s="60" t="n">
        <x:v>0.67</x:v>
      </x:c>
      <x:c r="B1949" s="28" t="str">
        <x:v>back_high</x:v>
      </x:c>
      <x:c r="C1949" s="60" t="n">
        <x:v>0.45</x:v>
      </x:c>
      <x:c r="D1949" s="60" t="n">
        <x:v>0.45</x:v>
      </x:c>
      <x:c r="E1949" s="62" t="b">
        <x:v>1</x:v>
      </x:c>
      <x:c r="F1949" s="62" t="b">
        <x:v>1</x:v>
      </x:c>
      <x:c r="G1949" s="85" t="n">
        <x:v>0</x:v>
      </x:c>
      <x:c r="H1949" s="85" t="n">
        <x:v>0</x:v>
      </x:c>
      <x:c r="I1949" s="85" t="n">
        <x:v>57648119.882612854</x:v>
      </x:c>
      <x:c r="J1949" s="85" t="n">
        <x:v>43940181.90427504</x:v>
      </x:c>
      <x:c r="K1949" s="85" t="n">
        <x:v>1209219.1532600787</x:v>
      </x:c>
      <x:c r="L1949" s="28" t="n">
        <x:v>10</x:v>
      </x:c>
      <x:c r="M1949" s="28" t="n">
        <x:v>1</x:v>
      </x:c>
      <x:c r="N1949" s="28" t="n">
        <x:v>3.725290298461914e-9</x:v>
      </x:c>
      <x:c r="O1949" s="28" t="n">
        <x:v>1.4901161193847656e-8</x:v>
      </x:c>
      <x:c r="P1949" s="28" t="n">
        <x:v>0</x:v>
      </x:c>
      <x:c r="Q1949" s="62" t="b">
        <x:v>1</x:v>
      </x:c>
      <x:c r="R1949" s="28" t="n">
        <x:v>0</x:v>
      </x:c>
      <x:c r="S1949" s="28" t="str">
        <x:v>eeb31edffd94e1b0</x:v>
      </x:c>
    </x:row>
    <x:row r="1950" ht="21" customHeight="1">
      <x:c r="A1950" s="60" t="n">
        <x:v>0.67</x:v>
      </x:c>
      <x:c r="B1950" s="28" t="str">
        <x:v>back_high</x:v>
      </x:c>
      <x:c r="C1950" s="60" t="n">
        <x:v>0.5</x:v>
      </x:c>
      <x:c r="D1950" s="60" t="n">
        <x:v>0.5</x:v>
      </x:c>
      <x:c r="E1950" s="62" t="b">
        <x:v>1</x:v>
      </x:c>
      <x:c r="F1950" s="62" t="b">
        <x:v>1</x:v>
      </x:c>
      <x:c r="G1950" s="85" t="n">
        <x:v>0</x:v>
      </x:c>
      <x:c r="H1950" s="85" t="n">
        <x:v>0</x:v>
      </x:c>
      <x:c r="I1950" s="85" t="n">
        <x:v>66370985.15908335</x:v>
      </x:c>
      <x:c r="J1950" s="85" t="n">
        <x:v>53030777.71206171</x:v>
      </x:c>
      <x:c r="K1950" s="85" t="n">
        <x:v>1112720.0893287584</x:v>
      </x:c>
      <x:c r="L1950" s="28" t="n">
        <x:v>13</x:v>
      </x:c>
      <x:c r="M1950" s="28" t="n">
        <x:v>5</x:v>
      </x:c>
      <x:c r="N1950" s="28" t="n">
        <x:v>3.725290298461914e-9</x:v>
      </x:c>
      <x:c r="O1950" s="28" t="n">
        <x:v>2.9802322387695312e-8</x:v>
      </x:c>
      <x:c r="P1950" s="28" t="n">
        <x:v>0</x:v>
      </x:c>
      <x:c r="Q1950" s="62" t="b">
        <x:v>1</x:v>
      </x:c>
      <x:c r="R1950" s="28" t="n">
        <x:v>0</x:v>
      </x:c>
      <x:c r="S1950" s="28" t="str">
        <x:v>da39c9e50adcdced</x:v>
      </x:c>
    </x:row>
    <x:row r="1951" ht="21" customHeight="1">
      <x:c r="A1951" s="60" t="n">
        <x:v>0.67</x:v>
      </x:c>
      <x:c r="B1951" s="28" t="str">
        <x:v>back_high</x:v>
      </x:c>
      <x:c r="C1951" s="60" t="n">
        <x:v>0.55</x:v>
      </x:c>
      <x:c r="D1951" s="60" t="n">
        <x:v>0.55</x:v>
      </x:c>
      <x:c r="E1951" s="62" t="b">
        <x:v>1</x:v>
      </x:c>
      <x:c r="F1951" s="62" t="b">
        <x:v>1</x:v>
      </x:c>
      <x:c r="G1951" s="85" t="n">
        <x:v>0</x:v>
      </x:c>
      <x:c r="H1951" s="85" t="n">
        <x:v>0</x:v>
      </x:c>
      <x:c r="I1951" s="85" t="n">
        <x:v>74790117.49288513</x:v>
      </x:c>
      <x:c r="J1951" s="85" t="n">
        <x:v>62810993.85591834</x:v>
      </x:c>
      <x:c r="K1951" s="85" t="n">
        <x:v>1016628.5482616348</x:v>
      </x:c>
      <x:c r="L1951" s="28" t="n">
        <x:v>16</x:v>
      </x:c>
      <x:c r="M1951" s="28" t="n">
        <x:v>8</x:v>
      </x:c>
      <x:c r="N1951" s="28" t="n">
        <x:v>3.725290298461914e-9</x:v>
      </x:c>
      <x:c r="O1951" s="28" t="n">
        <x:v>2.9802322387695312e-8</x:v>
      </x:c>
      <x:c r="P1951" s="28" t="n">
        <x:v>0</x:v>
      </x:c>
      <x:c r="Q1951" s="62" t="b">
        <x:v>1</x:v>
      </x:c>
      <x:c r="R1951" s="28" t="n">
        <x:v>0</x:v>
      </x:c>
      <x:c r="S1951" s="28" t="str">
        <x:v>bcade7af65b1b6e7</x:v>
      </x:c>
    </x:row>
    <x:row r="1952" ht="21" customHeight="1">
      <x:c r="A1952" s="60" t="n">
        <x:v>0.67</x:v>
      </x:c>
      <x:c r="B1952" s="28" t="str">
        <x:v>back_high</x:v>
      </x:c>
      <x:c r="C1952" s="60" t="n">
        <x:v>0.6</x:v>
      </x:c>
      <x:c r="D1952" s="60" t="n">
        <x:v>0.6</x:v>
      </x:c>
      <x:c r="E1952" s="62" t="b">
        <x:v>1</x:v>
      </x:c>
      <x:c r="F1952" s="62" t="b">
        <x:v>0</x:v>
      </x:c>
      <x:c r="G1952" s="85" t="n">
        <x:v>1364994.169976976</x:v>
      </x:c>
      <x:c r="H1952" s="85" t="n">
        <x:v>5287126.71832215</x:v>
      </x:c>
      <x:c r="I1952" s="85" t="n">
        <x:v>80202791.08045578</x:v>
      </x:c>
      <x:c r="J1952" s="85" t="n">
        <x:v>68999999.99999999</x:v>
      </x:c>
      <x:c r="K1952" s="85" t="n">
        <x:v>920537.0071945186</x:v>
      </x:c>
      <x:c r="L1952" s="28" t="n">
        <x:v>40</x:v>
      </x:c>
      <x:c r="M1952" s="28" t="n">
        <x:v>34</x:v>
      </x:c>
      <x:c r="N1952" s="28" t="n">
        <x:v>3.725290298461914e-9</x:v>
      </x:c>
      <x:c r="O1952" s="28" t="n">
        <x:v>2.9802322387695312e-8</x:v>
      </x:c>
      <x:c r="P1952" s="28" t="n">
        <x:v>0</x:v>
      </x:c>
      <x:c r="Q1952" s="62" t="b">
        <x:v>1</x:v>
      </x:c>
      <x:c r="R1952" s="28" t="n">
        <x:v>0</x:v>
      </x:c>
      <x:c r="S1952" s="28" t="str">
        <x:v>9f029ff363164419</x:v>
      </x:c>
    </x:row>
    <x:row r="1953" ht="21" customHeight="1">
      <x:c r="A1953" s="60" t="n">
        <x:v>0.67</x:v>
      </x:c>
      <x:c r="B1953" s="28" t="str">
        <x:v>back_high</x:v>
      </x:c>
      <x:c r="C1953" s="60" t="n">
        <x:v>0.65</x:v>
      </x:c>
      <x:c r="D1953" s="60" t="n">
        <x:v>0.65</x:v>
      </x:c>
      <x:c r="E1953" s="62" t="b">
        <x:v>1</x:v>
      </x:c>
      <x:c r="F1953" s="62" t="b">
        <x:v>0</x:v>
      </x:c>
      <x:c r="G1953" s="85" t="n">
        <x:v>5789116.834442347</x:v>
      </x:c>
      <x:c r="H1953" s="85" t="n">
        <x:v>19507772.35977779</x:v>
      </x:c>
      <x:c r="I1953" s="85" t="n">
        <x:v>80481112.84697774</x:v>
      </x:c>
      <x:c r="J1953" s="85" t="n">
        <x:v>68999999.99999999</x:v>
      </x:c>
      <x:c r="K1953" s="85" t="n">
        <x:v>824445.4661274073</x:v>
      </x:c>
      <x:c r="L1953" s="28" t="n">
        <x:v>40</x:v>
      </x:c>
      <x:c r="M1953" s="28" t="n">
        <x:v>35</x:v>
      </x:c>
      <x:c r="N1953" s="28" t="n">
        <x:v>3.725290298461914e-9</x:v>
      </x:c>
      <x:c r="O1953" s="28" t="n">
        <x:v>1.4901161193847656e-8</x:v>
      </x:c>
      <x:c r="P1953" s="28" t="n">
        <x:v>0</x:v>
      </x:c>
      <x:c r="Q1953" s="62" t="b">
        <x:v>1</x:v>
      </x:c>
      <x:c r="R1953" s="28" t="n">
        <x:v>0</x:v>
      </x:c>
      <x:c r="S1953" s="28" t="str">
        <x:v>08a0cc9eeb37793a</x:v>
      </x:c>
    </x:row>
    <x:row r="1954" ht="21" customHeight="1">
      <x:c r="A1954" s="60" t="n">
        <x:v>0.67</x:v>
      </x:c>
      <x:c r="B1954" s="28" t="str">
        <x:v>back_high</x:v>
      </x:c>
      <x:c r="C1954" s="60" t="n">
        <x:v>0.7</x:v>
      </x:c>
      <x:c r="D1954" s="60" t="n">
        <x:v>0.7</x:v>
      </x:c>
      <x:c r="E1954" s="62" t="b">
        <x:v>1</x:v>
      </x:c>
      <x:c r="F1954" s="62" t="b">
        <x:v>0</x:v>
      </x:c>
      <x:c r="G1954" s="85" t="n">
        <x:v>9790602.786149248</x:v>
      </x:c>
      <x:c r="H1954" s="85" t="n">
        <x:v>30857403.23457826</x:v>
      </x:c>
      <x:c r="I1954" s="85" t="n">
        <x:v>82232306.61375752</x:v>
      </x:c>
      <x:c r="J1954" s="85" t="n">
        <x:v>68999999.99999999</x:v>
      </x:c>
      <x:c r="K1954" s="85" t="n">
        <x:v>728353.9250602742</x:v>
      </x:c>
      <x:c r="L1954" s="28" t="n">
        <x:v>41</x:v>
      </x:c>
      <x:c r="M1954" s="28" t="n">
        <x:v>36</x:v>
      </x:c>
      <x:c r="N1954" s="28" t="n">
        <x:v>1.862645149230957e-9</x:v>
      </x:c>
      <x:c r="O1954" s="28" t="n">
        <x:v>2.9802322387695312e-8</x:v>
      </x:c>
      <x:c r="P1954" s="28" t="n">
        <x:v>0</x:v>
      </x:c>
      <x:c r="Q1954" s="62" t="b">
        <x:v>1</x:v>
      </x:c>
      <x:c r="R1954" s="28" t="n">
        <x:v>0</x:v>
      </x:c>
      <x:c r="S1954" s="28" t="str">
        <x:v>066e01a19a7bea2a</x:v>
      </x:c>
    </x:row>
    <x:row r="1955" ht="21" customHeight="1">
      <x:c r="A1955" s="60" t="n">
        <x:v>0.67</x:v>
      </x:c>
      <x:c r="B1955" s="28" t="str">
        <x:v>back_high</x:v>
      </x:c>
      <x:c r="C1955" s="60" t="n">
        <x:v>0.75</x:v>
      </x:c>
      <x:c r="D1955" s="60" t="n">
        <x:v>0.75</x:v>
      </x:c>
      <x:c r="E1955" s="62" t="b">
        <x:v>1</x:v>
      </x:c>
      <x:c r="F1955" s="62" t="b">
        <x:v>0</x:v>
      </x:c>
      <x:c r="G1955" s="85" t="n">
        <x:v>14560512.433119025</x:v>
      </x:c>
      <x:c r="H1955" s="85" t="n">
        <x:v>44272669.22877787</x:v>
      </x:c>
      <x:c r="I1955" s="85" t="n">
        <x:v>82423354.61591437</x:v>
      </x:c>
      <x:c r="J1955" s="85" t="n">
        <x:v>68999999.99999999</x:v>
      </x:c>
      <x:c r="K1955" s="85" t="n">
        <x:v>632262.3839931431</x:v>
      </x:c>
      <x:c r="L1955" s="28" t="n">
        <x:v>41</x:v>
      </x:c>
      <x:c r="M1955" s="28" t="n">
        <x:v>37</x:v>
      </x:c>
      <x:c r="N1955" s="28" t="n">
        <x:v>1.862645149230957e-9</x:v>
      </x:c>
      <x:c r="O1955" s="28" t="n">
        <x:v>2.9802322387695312e-8</x:v>
      </x:c>
      <x:c r="P1955" s="28" t="n">
        <x:v>0</x:v>
      </x:c>
      <x:c r="Q1955" s="62" t="b">
        <x:v>1</x:v>
      </x:c>
      <x:c r="R1955" s="28" t="n">
        <x:v>0</x:v>
      </x:c>
      <x:c r="S1955" s="28" t="str">
        <x:v>5a863052861d5e26</x:v>
      </x:c>
    </x:row>
    <x:row r="1956" ht="21" customHeight="1">
      <x:c r="A1956" s="60" t="n">
        <x:v>0.67</x:v>
      </x:c>
      <x:c r="B1956" s="28" t="str">
        <x:v>back_high</x:v>
      </x:c>
      <x:c r="C1956" s="60" t="n">
        <x:v>0.8</x:v>
      </x:c>
      <x:c r="D1956" s="60" t="n">
        <x:v>0.8</x:v>
      </x:c>
      <x:c r="E1956" s="62" t="b">
        <x:v>1</x:v>
      </x:c>
      <x:c r="F1956" s="62" t="b">
        <x:v>0</x:v>
      </x:c>
      <x:c r="G1956" s="85" t="n">
        <x:v>19022181.219711486</x:v>
      </x:c>
      <x:c r="H1956" s="85" t="n">
        <x:v>55094622.920036875</x:v>
      </x:c>
      <x:c r="I1956" s="85" t="n">
        <x:v>83998265.17305118</x:v>
      </x:c>
      <x:c r="J1956" s="85" t="n">
        <x:v>68999999.99999999</x:v>
      </x:c>
      <x:c r="K1956" s="85" t="n">
        <x:v>571732.4997369896</x:v>
      </x:c>
      <x:c r="L1956" s="28" t="n">
        <x:v>42</x:v>
      </x:c>
      <x:c r="M1956" s="28" t="n">
        <x:v>38</x:v>
      </x:c>
      <x:c r="N1956" s="28" t="n">
        <x:v>1.862645149230957e-9</x:v>
      </x:c>
      <x:c r="O1956" s="28" t="n">
        <x:v>1.4901161193847656e-8</x:v>
      </x:c>
      <x:c r="P1956" s="28" t="n">
        <x:v>0</x:v>
      </x:c>
      <x:c r="Q1956" s="62" t="b">
        <x:v>1</x:v>
      </x:c>
      <x:c r="R1956" s="28" t="n">
        <x:v>0</x:v>
      </x:c>
      <x:c r="S1956" s="28" t="str">
        <x:v>f60a9352663ecd91</x:v>
      </x:c>
    </x:row>
    <x:row r="1957" ht="21" customHeight="1">
      <x:c r="A1957" s="60" t="n">
        <x:v>0.67</x:v>
      </x:c>
      <x:c r="B1957" s="28" t="str">
        <x:v>back_high</x:v>
      </x:c>
      <x:c r="C1957" s="60" t="n">
        <x:v>0.85</x:v>
      </x:c>
      <x:c r="D1957" s="60" t="n">
        <x:v>0.85</x:v>
      </x:c>
      <x:c r="E1957" s="62" t="b">
        <x:v>1</x:v>
      </x:c>
      <x:c r="F1957" s="62" t="b">
        <x:v>0</x:v>
      </x:c>
      <x:c r="G1957" s="85" t="n">
        <x:v>27787857.438893337</x:v>
      </x:c>
      <x:c r="H1957" s="85" t="n">
        <x:v>65520001.14910508</x:v>
      </x:c>
      <x:c r="I1957" s="85" t="n">
        <x:v>84114704.97599015</x:v>
      </x:c>
      <x:c r="J1957" s="85" t="n">
        <x:v>68999999.99999999</x:v>
      </x:c>
      <x:c r="K1957" s="85" t="n">
        <x:v>535029.2013274104</x:v>
      </x:c>
      <x:c r="L1957" s="28" t="n">
        <x:v>42</x:v>
      </x:c>
      <x:c r="M1957" s="28" t="n">
        <x:v>38</x:v>
      </x:c>
      <x:c r="N1957" s="28" t="n">
        <x:v>1.862645149230957e-9</x:v>
      </x:c>
      <x:c r="O1957" s="28" t="n">
        <x:v>2.9802322387695312e-8</x:v>
      </x:c>
      <x:c r="P1957" s="28" t="n">
        <x:v>0</x:v>
      </x:c>
      <x:c r="Q1957" s="62" t="b">
        <x:v>1</x:v>
      </x:c>
      <x:c r="R1957" s="28" t="n">
        <x:v>0</x:v>
      </x:c>
      <x:c r="S1957" s="28" t="str">
        <x:v>d3fbeba1289fbce9</x:v>
      </x:c>
    </x:row>
    <x:row r="1958" ht="21" customHeight="1">
      <x:c r="A1958" s="60" t="n">
        <x:v>0.67</x:v>
      </x:c>
      <x:c r="B1958" s="28" t="str">
        <x:v>back_high</x:v>
      </x:c>
      <x:c r="C1958" s="60" t="n">
        <x:v>0.9</x:v>
      </x:c>
      <x:c r="D1958" s="60" t="n">
        <x:v>0.8948658400492392</x:v>
      </x:c>
      <x:c r="E1958" s="62" t="b">
        <x:v>0</x:v>
      </x:c>
      <x:c r="F1958" s="62" t="b">
        <x:v>0</x:v>
      </x:c>
      <x:c r="G1958" s="85" t="n">
        <x:v>31493468.336701676</x:v>
      </x:c>
      <x:c r="H1958" s="85" t="n">
        <x:v>70898861.08340082</x:v>
      </x:c>
      <x:c r="I1958" s="85" t="n">
        <x:v>85748964.12106436</x:v>
      </x:c>
      <x:c r="J1958" s="85" t="n">
        <x:v>68999999.99999999</x:v>
      </x:c>
      <x:c r="K1958" s="85" t="n">
        <x:v>506013.5096246574</x:v>
      </x:c>
      <x:c r="L1958" s="28" t="n">
        <x:v>43</x:v>
      </x:c>
      <x:c r="M1958" s="28" t="n">
        <x:v>38</x:v>
      </x:c>
      <x:c r="N1958" s="28" t="n">
        <x:v>1.862645149230957e-9</x:v>
      </x:c>
      <x:c r="O1958" s="28" t="n">
        <x:v>2.9802322387695312e-8</x:v>
      </x:c>
      <x:c r="P1958" s="28" t="n">
        <x:v>0</x:v>
      </x:c>
      <x:c r="Q1958" s="62" t="b">
        <x:v>1</x:v>
      </x:c>
      <x:c r="R1958" s="28" t="n">
        <x:v>1540247.9852282405</x:v>
      </x:c>
      <x:c r="S1958" s="28" t="str">
        <x:v>ee3ecbb2df564dd8</x:v>
      </x:c>
    </x:row>
    <x:row r="1959" ht="21" customHeight="1">
      <x:c r="A1959" s="60" t="n">
        <x:v>0.67</x:v>
      </x:c>
      <x:c r="B1959" s="28" t="str">
        <x:v>back_high</x:v>
      </x:c>
      <x:c r="C1959" s="60" t="n">
        <x:v>0.95</x:v>
      </x:c>
      <x:c r="D1959" s="60" t="n">
        <x:v>0.9083032015334562</x:v>
      </x:c>
      <x:c r="E1959" s="62" t="b">
        <x:v>0</x:v>
      </x:c>
      <x:c r="F1959" s="62" t="b">
        <x:v>0</x:v>
      </x:c>
      <x:c r="G1959" s="85" t="n">
        <x:v>33589944.85878652</x:v>
      </x:c>
      <x:c r="H1959" s="85" t="n">
        <x:v>75618499.96581273</x:v>
      </x:c>
      <x:c r="I1959" s="85" t="n">
        <x:v>85840240.30267602</x:v>
      </x:c>
      <x:c r="J1959" s="85" t="n">
        <x:v>68999999.99999999</x:v>
      </x:c>
      <x:c r="K1959" s="85" t="n">
        <x:v>476997.8179219174</x:v>
      </x:c>
      <x:c r="L1959" s="28" t="n">
        <x:v>43</x:v>
      </x:c>
      <x:c r="M1959" s="28" t="n">
        <x:v>39</x:v>
      </x:c>
      <x:c r="N1959" s="28" t="n">
        <x:v>1.862645149230957e-9</x:v>
      </x:c>
      <x:c r="O1959" s="28" t="n">
        <x:v>2.9802322387695312e-8</x:v>
      </x:c>
      <x:c r="P1959" s="28" t="n">
        <x:v>0</x:v>
      </x:c>
      <x:c r="Q1959" s="62" t="b">
        <x:v>1</x:v>
      </x:c>
      <x:c r="R1959" s="28" t="n">
        <x:v>12509039.539963126</x:v>
      </x:c>
      <x:c r="S1959" s="28" t="str">
        <x:v>945fa29502be613d</x:v>
      </x:c>
    </x:row>
    <x:row r="1960" ht="21" customHeight="1">
      <x:c r="A1960" s="60" t="n">
        <x:v>0.67</x:v>
      </x:c>
      <x:c r="B1960" s="28" t="str">
        <x:v>back_high</x:v>
      </x:c>
      <x:c r="C1960" s="60" t="n">
        <x:v>1</x:v>
      </x:c>
      <x:c r="D1960" s="60" t="n">
        <x:v>0.920601109498915</x:v>
      </x:c>
      <x:c r="E1960" s="62" t="b">
        <x:v>0</x:v>
      </x:c>
      <x:c r="F1960" s="62" t="b">
        <x:v>0</x:v>
      </x:c>
      <x:c r="G1960" s="85" t="n">
        <x:v>36357779.35332028</x:v>
      </x:c>
      <x:c r="H1960" s="85" t="n">
        <x:v>78551156.39664444</x:v>
      </x:c>
      <x:c r="I1960" s="85" t="n">
        <x:v>85931516.48428765</x:v>
      </x:c>
      <x:c r="J1960" s="85" t="n">
        <x:v>68999999.99999999</x:v>
      </x:c>
      <x:c r="K1960" s="85" t="n">
        <x:v>447982.1262191784</x:v>
      </x:c>
      <x:c r="L1960" s="28" t="n">
        <x:v>43</x:v>
      </x:c>
      <x:c r="M1960" s="28" t="n">
        <x:v>40</x:v>
      </x:c>
      <x:c r="N1960" s="28" t="n">
        <x:v>1.862645149230957e-9</x:v>
      </x:c>
      <x:c r="O1960" s="28" t="n">
        <x:v>2.9802322387695312e-8</x:v>
      </x:c>
      <x:c r="P1960" s="28" t="n">
        <x:v>0</x:v>
      </x:c>
      <x:c r="Q1960" s="62" t="b">
        <x:v>1</x:v>
      </x:c>
      <x:c r="R1960" s="28" t="n">
        <x:v>23819667.150325477</x:v>
      </x:c>
      <x:c r="S1960" s="28" t="str">
        <x:v>40a21965d4fd7395</x:v>
      </x:c>
    </x:row>
    <x:row r="1961" ht="21" customHeight="1">
      <x:c r="A1961" s="60" t="n">
        <x:v>0.67</x:v>
      </x:c>
      <x:c r="B1961" s="28" t="str">
        <x:v>level_flat</x:v>
      </x:c>
      <x:c r="C1961" s="60" t="n">
        <x:v>0</x:v>
      </x:c>
      <x:c r="D1961" s="60" t="n">
        <x:v>0</x:v>
      </x:c>
      <x:c r="E1961" s="62" t="b">
        <x:v>1</x:v>
      </x:c>
      <x:c r="F1961" s="62" t="b">
        <x:v>1</x:v>
      </x:c>
      <x:c r="G1961" s="85" t="n">
        <x:v>0</x:v>
      </x:c>
      <x:c r="H1961" s="85" t="n">
        <x:v>0</x:v>
      </x:c>
      <x:c r="I1961" s="85" t="n">
        <x:v>0</x:v>
      </x:c>
      <x:c r="J1961" s="85" t="n">
        <x:v>0</x:v>
      </x:c>
      <x:c r="K1961" s="85" t="n">
        <x:v>34950342.60068495</x:v>
      </x:c>
      <x:c r="L1961" s="28" t="n">
        <x:v>0</x:v>
      </x:c>
      <x:c r="M1961" s="28" t="n">
        <x:v>0</x:v>
      </x:c>
      <x:c r="N1961" s="28" t="n">
        <x:v>3.725290298461914e-9</x:v>
      </x:c>
      <x:c r="O1961" s="28" t="n">
        <x:v>0</x:v>
      </x:c>
      <x:c r="P1961" s="28" t="n">
        <x:v>0</x:v>
      </x:c>
      <x:c r="Q1961" s="62" t="b">
        <x:v>1</x:v>
      </x:c>
      <x:c r="R1961" s="28" t="n">
        <x:v>0</x:v>
      </x:c>
      <x:c r="S1961" s="28" t="str">
        <x:v>ad2a89e020c5b2df</x:v>
      </x:c>
    </x:row>
    <x:row r="1962" ht="21" customHeight="1">
      <x:c r="A1962" s="60" t="n">
        <x:v>0.67</x:v>
      </x:c>
      <x:c r="B1962" s="28" t="str">
        <x:v>level_flat</x:v>
      </x:c>
      <x:c r="C1962" s="60" t="n">
        <x:v>0.05</x:v>
      </x:c>
      <x:c r="D1962" s="60" t="n">
        <x:v>0.05</x:v>
      </x:c>
      <x:c r="E1962" s="62" t="b">
        <x:v>1</x:v>
      </x:c>
      <x:c r="F1962" s="62" t="b">
        <x:v>1</x:v>
      </x:c>
      <x:c r="G1962" s="85" t="n">
        <x:v>0</x:v>
      </x:c>
      <x:c r="H1962" s="85" t="n">
        <x:v>0</x:v>
      </x:c>
      <x:c r="I1962" s="85" t="n">
        <x:v>0</x:v>
      </x:c>
      <x:c r="J1962" s="85" t="n">
        <x:v>0</x:v>
      </x:c>
      <x:c r="K1962" s="85" t="n">
        <x:v>23050204.475491762</x:v>
      </x:c>
      <x:c r="L1962" s="28" t="n">
        <x:v>0</x:v>
      </x:c>
      <x:c r="M1962" s="28" t="n">
        <x:v>0</x:v>
      </x:c>
      <x:c r="N1962" s="28" t="n">
        <x:v>1.862645149230957e-9</x:v>
      </x:c>
      <x:c r="O1962" s="28" t="n">
        <x:v>2.9802322387695312e-8</x:v>
      </x:c>
      <x:c r="P1962" s="28" t="n">
        <x:v>0</x:v>
      </x:c>
      <x:c r="Q1962" s="62" t="b">
        <x:v>1</x:v>
      </x:c>
      <x:c r="R1962" s="28" t="n">
        <x:v>0</x:v>
      </x:c>
      <x:c r="S1962" s="28" t="str">
        <x:v>8d537f211138973f</x:v>
      </x:c>
    </x:row>
    <x:row r="1963" ht="21" customHeight="1">
      <x:c r="A1963" s="60" t="n">
        <x:v>0.67</x:v>
      </x:c>
      <x:c r="B1963" s="28" t="str">
        <x:v>level_flat</x:v>
      </x:c>
      <x:c r="C1963" s="60" t="n">
        <x:v>0.1</x:v>
      </x:c>
      <x:c r="D1963" s="60" t="n">
        <x:v>0.1</x:v>
      </x:c>
      <x:c r="E1963" s="62" t="b">
        <x:v>1</x:v>
      </x:c>
      <x:c r="F1963" s="62" t="b">
        <x:v>1</x:v>
      </x:c>
      <x:c r="G1963" s="85" t="n">
        <x:v>0</x:v>
      </x:c>
      <x:c r="H1963" s="85" t="n">
        <x:v>0</x:v>
      </x:c>
      <x:c r="I1963" s="85" t="n">
        <x:v>0</x:v>
      </x:c>
      <x:c r="J1963" s="85" t="n">
        <x:v>0</x:v>
      </x:c>
      <x:c r="K1963" s="85" t="n">
        <x:v>11032122.19126356</x:v>
      </x:c>
      <x:c r="L1963" s="28" t="n">
        <x:v>0</x:v>
      </x:c>
      <x:c r="M1963" s="28" t="n">
        <x:v>0</x:v>
      </x:c>
      <x:c r="N1963" s="28" t="n">
        <x:v>3.725290298461914e-9</x:v>
      </x:c>
      <x:c r="O1963" s="28" t="n">
        <x:v>5.960464477539063e-8</x:v>
      </x:c>
      <x:c r="P1963" s="28" t="n">
        <x:v>0</x:v>
      </x:c>
      <x:c r="Q1963" s="62" t="b">
        <x:v>1</x:v>
      </x:c>
      <x:c r="R1963" s="28" t="n">
        <x:v>0</x:v>
      </x:c>
      <x:c r="S1963" s="28" t="str">
        <x:v>b0548f23e4d3342f</x:v>
      </x:c>
    </x:row>
    <x:row r="1964" ht="21" customHeight="1">
      <x:c r="A1964" s="60" t="n">
        <x:v>0.67</x:v>
      </x:c>
      <x:c r="B1964" s="28" t="str">
        <x:v>level_flat</x:v>
      </x:c>
      <x:c r="C1964" s="60" t="n">
        <x:v>0.15</x:v>
      </x:c>
      <x:c r="D1964" s="60" t="n">
        <x:v>0.15</x:v>
      </x:c>
      <x:c r="E1964" s="62" t="b">
        <x:v>1</x:v>
      </x:c>
      <x:c r="F1964" s="62" t="b">
        <x:v>1</x:v>
      </x:c>
      <x:c r="G1964" s="85" t="n">
        <x:v>0</x:v>
      </x:c>
      <x:c r="H1964" s="85" t="n">
        <x:v>0</x:v>
      </x:c>
      <x:c r="I1964" s="85" t="n">
        <x:v>2110150.9588791933</x:v>
      </x:c>
      <x:c r="J1964" s="85" t="n">
        <x:v>0</x:v>
      </x:c>
      <x:c r="K1964" s="85" t="n">
        <x:v>1756664.6253364102</x:v>
      </x:c>
      <x:c r="L1964" s="28" t="n">
        <x:v>0</x:v>
      </x:c>
      <x:c r="M1964" s="28" t="n">
        <x:v>0</x:v>
      </x:c>
      <x:c r="N1964" s="28" t="n">
        <x:v>1.862645149230957e-9</x:v>
      </x:c>
      <x:c r="O1964" s="28" t="n">
        <x:v>2.9802322387695312e-8</x:v>
      </x:c>
      <x:c r="P1964" s="28" t="n">
        <x:v>0</x:v>
      </x:c>
      <x:c r="Q1964" s="62" t="b">
        <x:v>1</x:v>
      </x:c>
      <x:c r="R1964" s="28" t="n">
        <x:v>0</x:v>
      </x:c>
      <x:c r="S1964" s="28" t="str">
        <x:v>a2fbbdf7c0aa12df</x:v>
      </x:c>
    </x:row>
    <x:row r="1965" ht="21" customHeight="1">
      <x:c r="A1965" s="60" t="n">
        <x:v>0.67</x:v>
      </x:c>
      <x:c r="B1965" s="28" t="str">
        <x:v>level_flat</x:v>
      </x:c>
      <x:c r="C1965" s="60" t="n">
        <x:v>0.2</x:v>
      </x:c>
      <x:c r="D1965" s="60" t="n">
        <x:v>0.2</x:v>
      </x:c>
      <x:c r="E1965" s="62" t="b">
        <x:v>1</x:v>
      </x:c>
      <x:c r="F1965" s="62" t="b">
        <x:v>1</x:v>
      </x:c>
      <x:c r="G1965" s="85" t="n">
        <x:v>0</x:v>
      </x:c>
      <x:c r="H1965" s="85" t="n">
        <x:v>0</x:v>
      </x:c>
      <x:c r="I1965" s="85" t="n">
        <x:v>9968623.03227597</x:v>
      </x:c>
      <x:c r="J1965" s="85" t="n">
        <x:v>6323003.272534203</x:v>
      </x:c>
      <x:c r="K1965" s="85" t="n">
        <x:v>1287727.825065215</x:v>
      </x:c>
      <x:c r="L1965" s="28" t="n">
        <x:v>0</x:v>
      </x:c>
      <x:c r="M1965" s="28" t="n">
        <x:v>0</x:v>
      </x:c>
      <x:c r="N1965" s="28" t="n">
        <x:v>9.313225746154785e-10</x:v>
      </x:c>
      <x:c r="O1965" s="28" t="n">
        <x:v>2.9802322387695312e-8</x:v>
      </x:c>
      <x:c r="P1965" s="28" t="n">
        <x:v>0</x:v>
      </x:c>
      <x:c r="Q1965" s="62" t="b">
        <x:v>1</x:v>
      </x:c>
      <x:c r="R1965" s="28" t="n">
        <x:v>0</x:v>
      </x:c>
      <x:c r="S1965" s="28" t="str">
        <x:v>6a67c96cee50bea3</x:v>
      </x:c>
    </x:row>
    <x:row r="1966" ht="21" customHeight="1">
      <x:c r="A1966" s="60" t="n">
        <x:v>0.67</x:v>
      </x:c>
      <x:c r="B1966" s="28" t="str">
        <x:v>level_flat</x:v>
      </x:c>
      <x:c r="C1966" s="60" t="n">
        <x:v>0.25</x:v>
      </x:c>
      <x:c r="D1966" s="60" t="n">
        <x:v>0.25</x:v>
      </x:c>
      <x:c r="E1966" s="62" t="b">
        <x:v>1</x:v>
      </x:c>
      <x:c r="F1966" s="62" t="b">
        <x:v>1</x:v>
      </x:c>
      <x:c r="G1966" s="85" t="n">
        <x:v>0</x:v>
      </x:c>
      <x:c r="H1966" s="85" t="n">
        <x:v>0</x:v>
      </x:c>
      <x:c r="I1966" s="85" t="n">
        <x:v>16099299.239852492</x:v>
      </x:c>
      <x:c r="J1966" s="85" t="n">
        <x:v>15403754.090667719</x:v>
      </x:c>
      <x:c r="K1966" s="85" t="n">
        <x:v>945919.5828794508</x:v>
      </x:c>
      <x:c r="L1966" s="28" t="n">
        <x:v>0</x:v>
      </x:c>
      <x:c r="M1966" s="28" t="n">
        <x:v>0</x:v>
      </x:c>
      <x:c r="N1966" s="28" t="n">
        <x:v>3.725290298461914e-9</x:v>
      </x:c>
      <x:c r="O1966" s="28" t="n">
        <x:v>2.9802322387695312e-8</x:v>
      </x:c>
      <x:c r="P1966" s="28" t="n">
        <x:v>0</x:v>
      </x:c>
      <x:c r="Q1966" s="62" t="b">
        <x:v>1</x:v>
      </x:c>
      <x:c r="R1966" s="28" t="n">
        <x:v>0</x:v>
      </x:c>
      <x:c r="S1966" s="28" t="str">
        <x:v>583e9f3c9d3bb409</x:v>
      </x:c>
    </x:row>
    <x:row r="1967" ht="21" customHeight="1">
      <x:c r="A1967" s="60" t="n">
        <x:v>0.67</x:v>
      </x:c>
      <x:c r="B1967" s="28" t="str">
        <x:v>level_flat</x:v>
      </x:c>
      <x:c r="C1967" s="60" t="n">
        <x:v>0.3</x:v>
      </x:c>
      <x:c r="D1967" s="60" t="n">
        <x:v>0.3</x:v>
      </x:c>
      <x:c r="E1967" s="62" t="b">
        <x:v>1</x:v>
      </x:c>
      <x:c r="F1967" s="62" t="b">
        <x:v>1</x:v>
      </x:c>
      <x:c r="G1967" s="85" t="n">
        <x:v>0</x:v>
      </x:c>
      <x:c r="H1967" s="85" t="n">
        <x:v>0</x:v>
      </x:c>
      <x:c r="I1967" s="85" t="n">
        <x:v>22383984.51097362</x:v>
      </x:c>
      <x:c r="J1967" s="85" t="n">
        <x:v>24484504.908801176</x:v>
      </x:c>
      <x:c r="K1967" s="85" t="n">
        <x:v>732350.9961676764</x:v>
      </x:c>
      <x:c r="L1967" s="28" t="n">
        <x:v>0</x:v>
      </x:c>
      <x:c r="M1967" s="28" t="n">
        <x:v>0</x:v>
      </x:c>
      <x:c r="N1967" s="28" t="n">
        <x:v>3.725290298461914e-9</x:v>
      </x:c>
      <x:c r="O1967" s="28" t="n">
        <x:v>7.450580596923828e-9</x:v>
      </x:c>
      <x:c r="P1967" s="28" t="n">
        <x:v>0</x:v>
      </x:c>
      <x:c r="Q1967" s="62" t="b">
        <x:v>1</x:v>
      </x:c>
      <x:c r="R1967" s="28" t="n">
        <x:v>0</x:v>
      </x:c>
      <x:c r="S1967" s="28" t="str">
        <x:v>2d876297c56b9453</x:v>
      </x:c>
    </x:row>
    <x:row r="1968" ht="21" customHeight="1">
      <x:c r="A1968" s="60" t="n">
        <x:v>0.67</x:v>
      </x:c>
      <x:c r="B1968" s="28" t="str">
        <x:v>level_flat</x:v>
      </x:c>
      <x:c r="C1968" s="60" t="n">
        <x:v>0.35</x:v>
      </x:c>
      <x:c r="D1968" s="60" t="n">
        <x:v>0.35</x:v>
      </x:c>
      <x:c r="E1968" s="62" t="b">
        <x:v>1</x:v>
      </x:c>
      <x:c r="F1968" s="62" t="b">
        <x:v>1</x:v>
      </x:c>
      <x:c r="G1968" s="85" t="n">
        <x:v>0</x:v>
      </x:c>
      <x:c r="H1968" s="85" t="n">
        <x:v>0</x:v>
      </x:c>
      <x:c r="I1968" s="85" t="n">
        <x:v>28733945.807860143</x:v>
      </x:c>
      <x:c r="J1968" s="85" t="n">
        <x:v>33565255.72693474</x:v>
      </x:c>
      <x:c r="K1968" s="85" t="n">
        <x:v>610457.3756780868</x:v>
      </x:c>
      <x:c r="L1968" s="28" t="n">
        <x:v>0</x:v>
      </x:c>
      <x:c r="M1968" s="28" t="n">
        <x:v>0</x:v>
      </x:c>
      <x:c r="N1968" s="28" t="n">
        <x:v>3.725290298461914e-9</x:v>
      </x:c>
      <x:c r="O1968" s="28" t="n">
        <x:v>2.9802322387695312e-8</x:v>
      </x:c>
      <x:c r="P1968" s="28" t="n">
        <x:v>0</x:v>
      </x:c>
      <x:c r="Q1968" s="62" t="b">
        <x:v>1</x:v>
      </x:c>
      <x:c r="R1968" s="28" t="n">
        <x:v>0</x:v>
      </x:c>
      <x:c r="S1968" s="28" t="str">
        <x:v>a9e1419a2a3f86c0</x:v>
      </x:c>
    </x:row>
    <x:row r="1969" ht="21" customHeight="1">
      <x:c r="A1969" s="60" t="n">
        <x:v>0.67</x:v>
      </x:c>
      <x:c r="B1969" s="28" t="str">
        <x:v>level_flat</x:v>
      </x:c>
      <x:c r="C1969" s="60" t="n">
        <x:v>0.4</x:v>
      </x:c>
      <x:c r="D1969" s="60" t="n">
        <x:v>0.4</x:v>
      </x:c>
      <x:c r="E1969" s="62" t="b">
        <x:v>1</x:v>
      </x:c>
      <x:c r="F1969" s="62" t="b">
        <x:v>1</x:v>
      </x:c>
      <x:c r="G1969" s="85" t="n">
        <x:v>0</x:v>
      </x:c>
      <x:c r="H1969" s="85" t="n">
        <x:v>0</x:v>
      </x:c>
      <x:c r="I1969" s="85" t="n">
        <x:v>37497505.38664165</x:v>
      </x:c>
      <x:c r="J1969" s="85" t="n">
        <x:v>36955495.41582108</x:v>
      </x:c>
      <x:c r="K1969" s="85" t="n">
        <x:v>505703.35791781585</x:v>
      </x:c>
      <x:c r="L1969" s="28" t="n">
        <x:v>8</x:v>
      </x:c>
      <x:c r="M1969" s="28" t="n">
        <x:v>0</x:v>
      </x:c>
      <x:c r="N1969" s="28" t="n">
        <x:v>3.725290298461914e-9</x:v>
      </x:c>
      <x:c r="O1969" s="28" t="n">
        <x:v>2.9802322387695312e-8</x:v>
      </x:c>
      <x:c r="P1969" s="28" t="n">
        <x:v>0</x:v>
      </x:c>
      <x:c r="Q1969" s="62" t="b">
        <x:v>1</x:v>
      </x:c>
      <x:c r="R1969" s="28" t="n">
        <x:v>0</x:v>
      </x:c>
      <x:c r="S1969" s="28" t="str">
        <x:v>ee3c64d4fe026be2</x:v>
      </x:c>
    </x:row>
    <x:row r="1970" ht="21" customHeight="1">
      <x:c r="A1970" s="60" t="n">
        <x:v>0.67</x:v>
      </x:c>
      <x:c r="B1970" s="28" t="str">
        <x:v>level_flat</x:v>
      </x:c>
      <x:c r="C1970" s="60" t="n">
        <x:v>0.45</x:v>
      </x:c>
      <x:c r="D1970" s="60" t="n">
        <x:v>0.45</x:v>
      </x:c>
      <x:c r="E1970" s="62" t="b">
        <x:v>1</x:v>
      </x:c>
      <x:c r="F1970" s="62" t="b">
        <x:v>1</x:v>
      </x:c>
      <x:c r="G1970" s="85" t="n">
        <x:v>0</x:v>
      </x:c>
      <x:c r="H1970" s="85" t="n">
        <x:v>0</x:v>
      </x:c>
      <x:c r="I1970" s="85" t="n">
        <x:v>44492955.681406304</x:v>
      </x:c>
      <x:c r="J1970" s="85" t="n">
        <x:v>44565033.81740086</x:v>
      </x:c>
      <x:c r="K1970" s="85" t="n">
        <x:v>400949.3401575472</x:v>
      </x:c>
      <x:c r="L1970" s="28" t="n">
        <x:v>11</x:v>
      </x:c>
      <x:c r="M1970" s="28" t="n">
        <x:v>0</x:v>
      </x:c>
      <x:c r="N1970" s="28" t="n">
        <x:v>1.862645149230957e-9</x:v>
      </x:c>
      <x:c r="O1970" s="28" t="n">
        <x:v>2.9802322387695312e-8</x:v>
      </x:c>
      <x:c r="P1970" s="28" t="n">
        <x:v>0</x:v>
      </x:c>
      <x:c r="Q1970" s="62" t="b">
        <x:v>1</x:v>
      </x:c>
      <x:c r="R1970" s="28" t="n">
        <x:v>0</x:v>
      </x:c>
      <x:c r="S1970" s="28" t="str">
        <x:v>ba633171f949dc1e</x:v>
      </x:c>
    </x:row>
    <x:row r="1971" ht="21" customHeight="1">
      <x:c r="A1971" s="60" t="n">
        <x:v>0.67</x:v>
      </x:c>
      <x:c r="B1971" s="28" t="str">
        <x:v>level_flat</x:v>
      </x:c>
      <x:c r="C1971" s="60" t="n">
        <x:v>0.5</x:v>
      </x:c>
      <x:c r="D1971" s="60" t="n">
        <x:v>0.5</x:v>
      </x:c>
      <x:c r="E1971" s="62" t="b">
        <x:v>1</x:v>
      </x:c>
      <x:c r="F1971" s="62" t="b">
        <x:v>1</x:v>
      </x:c>
      <x:c r="G1971" s="85" t="n">
        <x:v>0</x:v>
      </x:c>
      <x:c r="H1971" s="85" t="n">
        <x:v>0</x:v>
      </x:c>
      <x:c r="I1971" s="85" t="n">
        <x:v>51292083.84604865</x:v>
      </x:c>
      <x:c r="J1971" s="85" t="n">
        <x:v>52422295.15515938</x:v>
      </x:c>
      <x:c r="K1971" s="85" t="n">
        <x:v>347252.9341780817</x:v>
      </x:c>
      <x:c r="L1971" s="28" t="n">
        <x:v>14</x:v>
      </x:c>
      <x:c r="M1971" s="28" t="n">
        <x:v>1</x:v>
      </x:c>
      <x:c r="N1971" s="28" t="n">
        <x:v>1.862645149230957e-9</x:v>
      </x:c>
      <x:c r="O1971" s="28" t="n">
        <x:v>1.4901161193847656e-8</x:v>
      </x:c>
      <x:c r="P1971" s="28" t="n">
        <x:v>0</x:v>
      </x:c>
      <x:c r="Q1971" s="62" t="b">
        <x:v>1</x:v>
      </x:c>
      <x:c r="R1971" s="28" t="n">
        <x:v>0</x:v>
      </x:c>
      <x:c r="S1971" s="28" t="str">
        <x:v>69de388add77a64b</x:v>
      </x:c>
    </x:row>
    <x:row r="1972" ht="21" customHeight="1">
      <x:c r="A1972" s="60" t="n">
        <x:v>0.67</x:v>
      </x:c>
      <x:c r="B1972" s="28" t="str">
        <x:v>level_flat</x:v>
      </x:c>
      <x:c r="C1972" s="60" t="n">
        <x:v>0.55</x:v>
      </x:c>
      <x:c r="D1972" s="60" t="n">
        <x:v>0.55</x:v>
      </x:c>
      <x:c r="E1972" s="62" t="b">
        <x:v>1</x:v>
      </x:c>
      <x:c r="F1972" s="62" t="b">
        <x:v>1</x:v>
      </x:c>
      <x:c r="G1972" s="85" t="n">
        <x:v>0</x:v>
      </x:c>
      <x:c r="H1972" s="85" t="n">
        <x:v>0</x:v>
      </x:c>
      <x:c r="I1972" s="85" t="n">
        <x:v>57458728.0398916</x:v>
      </x:c>
      <x:c r="J1972" s="85" t="n">
        <x:v>61676350.385774314</x:v>
      </x:c>
      <x:c r="K1972" s="85" t="n">
        <x:v>315343.67266438366</x:v>
      </x:c>
      <x:c r="L1972" s="28" t="n">
        <x:v>17</x:v>
      </x:c>
      <x:c r="M1972" s="28" t="n">
        <x:v>6</x:v>
      </x:c>
      <x:c r="N1972" s="28" t="n">
        <x:v>1.862645149230957e-9</x:v>
      </x:c>
      <x:c r="O1972" s="28" t="n">
        <x:v>2.9802322387695312e-8</x:v>
      </x:c>
      <x:c r="P1972" s="28" t="n">
        <x:v>0</x:v>
      </x:c>
      <x:c r="Q1972" s="62" t="b">
        <x:v>1</x:v>
      </x:c>
      <x:c r="R1972" s="28" t="n">
        <x:v>0</x:v>
      </x:c>
      <x:c r="S1972" s="28" t="str">
        <x:v>d408dce4b0fe6b87</x:v>
      </x:c>
    </x:row>
    <x:row r="1973" ht="21" customHeight="1">
      <x:c r="A1973" s="60" t="n">
        <x:v>0.67</x:v>
      </x:c>
      <x:c r="B1973" s="28" t="str">
        <x:v>level_flat</x:v>
      </x:c>
      <x:c r="C1973" s="60" t="n">
        <x:v>0.6</x:v>
      </x:c>
      <x:c r="D1973" s="60" t="n">
        <x:v>0.6</x:v>
      </x:c>
      <x:c r="E1973" s="62" t="b">
        <x:v>1</x:v>
      </x:c>
      <x:c r="F1973" s="62" t="b">
        <x:v>0</x:v>
      </x:c>
      <x:c r="G1973" s="85" t="n">
        <x:v>430267.3925141413</x:v>
      </x:c>
      <x:c r="H1973" s="85" t="n">
        <x:v>2776326.494041306</x:v>
      </x:c>
      <x:c r="I1973" s="85" t="n">
        <x:v>62083838.260075584</x:v>
      </x:c>
      <x:c r="J1973" s="85" t="n">
        <x:v>68999999.99999999</x:v>
      </x:c>
      <x:c r="K1973" s="85" t="n">
        <x:v>283434.41115068557</x:v>
      </x:c>
      <x:c r="L1973" s="28" t="n">
        <x:v>42</x:v>
      </x:c>
      <x:c r="M1973" s="28" t="n">
        <x:v>32</x:v>
      </x:c>
      <x:c r="N1973" s="28" t="n">
        <x:v>1.862645149230957e-9</x:v>
      </x:c>
      <x:c r="O1973" s="28" t="n">
        <x:v>2.9802322387695312e-8</x:v>
      </x:c>
      <x:c r="P1973" s="28" t="n">
        <x:v>0</x:v>
      </x:c>
      <x:c r="Q1973" s="62" t="b">
        <x:v>1</x:v>
      </x:c>
      <x:c r="R1973" s="28" t="n">
        <x:v>0</x:v>
      </x:c>
      <x:c r="S1973" s="28" t="str">
        <x:v>650c97b1a984c92f</x:v>
      </x:c>
    </x:row>
    <x:row r="1974" ht="21" customHeight="1">
      <x:c r="A1974" s="60" t="n">
        <x:v>0.67</x:v>
      </x:c>
      <x:c r="B1974" s="28" t="str">
        <x:v>level_flat</x:v>
      </x:c>
      <x:c r="C1974" s="60" t="n">
        <x:v>0.65</x:v>
      </x:c>
      <x:c r="D1974" s="60" t="n">
        <x:v>0.65</x:v>
      </x:c>
      <x:c r="E1974" s="62" t="b">
        <x:v>1</x:v>
      </x:c>
      <x:c r="F1974" s="62" t="b">
        <x:v>0</x:v>
      </x:c>
      <x:c r="G1974" s="85" t="n">
        <x:v>2253527.9469121383</x:v>
      </x:c>
      <x:c r="H1974" s="85" t="n">
        <x:v>13880241.570217913</x:v>
      </x:c>
      <x:c r="I1974" s="85" t="n">
        <x:v>63440543.28356845</x:v>
      </x:c>
      <x:c r="J1974" s="85" t="n">
        <x:v>68999999.99999999</x:v>
      </x:c>
      <x:c r="K1974" s="85" t="n">
        <x:v>251525.1496369833</x:v>
      </x:c>
      <x:c r="L1974" s="28" t="n">
        <x:v>43</x:v>
      </x:c>
      <x:c r="M1974" s="28" t="n">
        <x:v>34</x:v>
      </x:c>
      <x:c r="N1974" s="28" t="n">
        <x:v>1.862645149230957e-9</x:v>
      </x:c>
      <x:c r="O1974" s="28" t="n">
        <x:v>2.9802322387695312e-8</x:v>
      </x:c>
      <x:c r="P1974" s="28" t="n">
        <x:v>0</x:v>
      </x:c>
      <x:c r="Q1974" s="62" t="b">
        <x:v>1</x:v>
      </x:c>
      <x:c r="R1974" s="28" t="n">
        <x:v>0</x:v>
      </x:c>
      <x:c r="S1974" s="28" t="str">
        <x:v>cb8bfed1ca96d25b</x:v>
      </x:c>
    </x:row>
    <x:row r="1975" ht="21" customHeight="1">
      <x:c r="A1975" s="60" t="n">
        <x:v>0.67</x:v>
      </x:c>
      <x:c r="B1975" s="28" t="str">
        <x:v>level_flat</x:v>
      </x:c>
      <x:c r="C1975" s="60" t="n">
        <x:v>0.7</x:v>
      </x:c>
      <x:c r="D1975" s="60" t="n">
        <x:v>0.7</x:v>
      </x:c>
      <x:c r="E1975" s="62" t="b">
        <x:v>1</x:v>
      </x:c>
      <x:c r="F1975" s="62" t="b">
        <x:v>0</x:v>
      </x:c>
      <x:c r="G1975" s="85" t="n">
        <x:v>4602603.227949278</x:v>
      </x:c>
      <x:c r="H1975" s="85" t="n">
        <x:v>26139280.348751783</x:v>
      </x:c>
      <x:c r="I1975" s="85" t="n">
        <x:v>63566166.07039722</x:v>
      </x:c>
      <x:c r="J1975" s="85" t="n">
        <x:v>68999999.99999999</x:v>
      </x:c>
      <x:c r="K1975" s="85" t="n">
        <x:v>219615.88812329224</x:v>
      </x:c>
      <x:c r="L1975" s="28" t="n">
        <x:v>43</x:v>
      </x:c>
      <x:c r="M1975" s="28" t="n">
        <x:v>34</x:v>
      </x:c>
      <x:c r="N1975" s="28" t="n">
        <x:v>1.862645149230957e-9</x:v>
      </x:c>
      <x:c r="O1975" s="28" t="n">
        <x:v>2.9802322387695312e-8</x:v>
      </x:c>
      <x:c r="P1975" s="28" t="n">
        <x:v>0</x:v>
      </x:c>
      <x:c r="Q1975" s="62" t="b">
        <x:v>1</x:v>
      </x:c>
      <x:c r="R1975" s="28" t="n">
        <x:v>0</x:v>
      </x:c>
      <x:c r="S1975" s="28" t="str">
        <x:v>654f2b53c0432511</x:v>
      </x:c>
    </x:row>
    <x:row r="1976" ht="21" customHeight="1">
      <x:c r="A1976" s="60" t="n">
        <x:v>0.67</x:v>
      </x:c>
      <x:c r="B1976" s="28" t="str">
        <x:v>level_flat</x:v>
      </x:c>
      <x:c r="C1976" s="60" t="n">
        <x:v>0.75</x:v>
      </x:c>
      <x:c r="D1976" s="60" t="n">
        <x:v>0.75</x:v>
      </x:c>
      <x:c r="E1976" s="62" t="b">
        <x:v>1</x:v>
      </x:c>
      <x:c r="F1976" s="62" t="b">
        <x:v>0</x:v>
      </x:c>
      <x:c r="G1976" s="85" t="n">
        <x:v>6835727.538083512</x:v>
      </x:c>
      <x:c r="H1976" s="85" t="n">
        <x:v>36771713.00886393</x:v>
      </x:c>
      <x:c r="I1976" s="85" t="n">
        <x:v>64772904.680684894</x:v>
      </x:c>
      <x:c r="J1976" s="85" t="n">
        <x:v>68999999.99999999</x:v>
      </x:c>
      <x:c r="K1976" s="85" t="n">
        <x:v>187706.62660958996</x:v>
      </x:c>
      <x:c r="L1976" s="28" t="n">
        <x:v>44</x:v>
      </x:c>
      <x:c r="M1976" s="28" t="n">
        <x:v>36</x:v>
      </x:c>
      <x:c r="N1976" s="28" t="n">
        <x:v>1.862645149230957e-9</x:v>
      </x:c>
      <x:c r="O1976" s="28" t="n">
        <x:v>2.9802322387695312e-8</x:v>
      </x:c>
      <x:c r="P1976" s="28" t="n">
        <x:v>0</x:v>
      </x:c>
      <x:c r="Q1976" s="62" t="b">
        <x:v>1</x:v>
      </x:c>
      <x:c r="R1976" s="28" t="n">
        <x:v>0</x:v>
      </x:c>
      <x:c r="S1976" s="28" t="str">
        <x:v>05a4f77a8a91e2e4</x:v>
      </x:c>
    </x:row>
    <x:row r="1977" ht="21" customHeight="1">
      <x:c r="A1977" s="60" t="n">
        <x:v>0.67</x:v>
      </x:c>
      <x:c r="B1977" s="28" t="str">
        <x:v>level_flat</x:v>
      </x:c>
      <x:c r="C1977" s="60" t="n">
        <x:v>0.8</x:v>
      </x:c>
      <x:c r="D1977" s="60" t="n">
        <x:v>0.8</x:v>
      </x:c>
      <x:c r="E1977" s="62" t="b">
        <x:v>1</x:v>
      </x:c>
      <x:c r="F1977" s="62" t="b">
        <x:v>0</x:v>
      </x:c>
      <x:c r="G1977" s="85" t="n">
        <x:v>9492676.365020834</x:v>
      </x:c>
      <x:c r="H1977" s="85" t="n">
        <x:v>48634261.44075292</x:v>
      </x:c>
      <x:c r="I1977" s="85" t="n">
        <x:v>64847167.24515064</x:v>
      </x:c>
      <x:c r="J1977" s="85" t="n">
        <x:v>68999999.99999999</x:v>
      </x:c>
      <x:c r="K1977" s="85" t="n">
        <x:v>155797.36509589656</x:v>
      </x:c>
      <x:c r="L1977" s="28" t="n">
        <x:v>44</x:v>
      </x:c>
      <x:c r="M1977" s="28" t="n">
        <x:v>37</x:v>
      </x:c>
      <x:c r="N1977" s="28" t="n">
        <x:v>1.862645149230957e-9</x:v>
      </x:c>
      <x:c r="O1977" s="28" t="n">
        <x:v>2.9802322387695312e-8</x:v>
      </x:c>
      <x:c r="P1977" s="28" t="n">
        <x:v>0</x:v>
      </x:c>
      <x:c r="Q1977" s="62" t="b">
        <x:v>1</x:v>
      </x:c>
      <x:c r="R1977" s="28" t="n">
        <x:v>0</x:v>
      </x:c>
      <x:c r="S1977" s="28" t="str">
        <x:v>46ee72b151d57e87</x:v>
      </x:c>
    </x:row>
    <x:row r="1978" ht="21" customHeight="1">
      <x:c r="A1978" s="60" t="n">
        <x:v>0.67</x:v>
      </x:c>
      <x:c r="B1978" s="28" t="str">
        <x:v>level_flat</x:v>
      </x:c>
      <x:c r="C1978" s="60" t="n">
        <x:v>0.85</x:v>
      </x:c>
      <x:c r="D1978" s="60" t="n">
        <x:v>0.85</x:v>
      </x:c>
      <x:c r="E1978" s="62" t="b">
        <x:v>1</x:v>
      </x:c>
      <x:c r="F1978" s="62" t="b">
        <x:v>0</x:v>
      </x:c>
      <x:c r="G1978" s="85" t="n">
        <x:v>12010183.643157106</x:v>
      </x:c>
      <x:c r="H1978" s="85" t="n">
        <x:v>58519388.636972174</x:v>
      </x:c>
      <x:c r="I1978" s="85" t="n">
        <x:v>66182073.00216434</x:v>
      </x:c>
      <x:c r="J1978" s="85" t="n">
        <x:v>68999999.99999999</x:v>
      </x:c>
      <x:c r="K1978" s="85" t="n">
        <x:v>123888.10358219336</x:v>
      </x:c>
      <x:c r="L1978" s="28" t="n">
        <x:v>45</x:v>
      </x:c>
      <x:c r="M1978" s="28" t="n">
        <x:v>38</x:v>
      </x:c>
      <x:c r="N1978" s="28" t="n">
        <x:v>1.862645149230957e-9</x:v>
      </x:c>
      <x:c r="O1978" s="28" t="n">
        <x:v>2.9802322387695312e-8</x:v>
      </x:c>
      <x:c r="P1978" s="28" t="n">
        <x:v>0</x:v>
      </x:c>
      <x:c r="Q1978" s="62" t="b">
        <x:v>1</x:v>
      </x:c>
      <x:c r="R1978" s="28" t="n">
        <x:v>0</x:v>
      </x:c>
      <x:c r="S1978" s="28" t="str">
        <x:v>f68c4abf487a4e5d</x:v>
      </x:c>
    </x:row>
    <x:row r="1979" ht="21" customHeight="1">
      <x:c r="A1979" s="60" t="n">
        <x:v>0.67</x:v>
      </x:c>
      <x:c r="B1979" s="28" t="str">
        <x:v>level_flat</x:v>
      </x:c>
      <x:c r="C1979" s="60" t="n">
        <x:v>0.9</x:v>
      </x:c>
      <x:c r="D1979" s="60" t="n">
        <x:v>0.9</x:v>
      </x:c>
      <x:c r="E1979" s="62" t="b">
        <x:v>1</x:v>
      </x:c>
      <x:c r="F1979" s="62" t="b">
        <x:v>0</x:v>
      </x:c>
      <x:c r="G1979" s="85" t="n">
        <x:v>17496001.795899943</x:v>
      </x:c>
      <x:c r="H1979" s="85" t="n">
        <x:v>67145709.05878459</x:v>
      </x:c>
      <x:c r="I1979" s="85" t="n">
        <x:v>66213492.43194516</x:v>
      </x:c>
      <x:c r="J1979" s="85" t="n">
        <x:v>68999999.99999999</x:v>
      </x:c>
      <x:c r="K1979" s="85" t="n">
        <x:v>91978.84206849623</x:v>
      </x:c>
      <x:c r="L1979" s="28" t="n">
        <x:v>45</x:v>
      </x:c>
      <x:c r="M1979" s="28" t="n">
        <x:v>38</x:v>
      </x:c>
      <x:c r="N1979" s="28" t="n">
        <x:v>1.862645149230957e-9</x:v>
      </x:c>
      <x:c r="O1979" s="28" t="n">
        <x:v>7.450580596923828e-9</x:v>
      </x:c>
      <x:c r="P1979" s="28" t="n">
        <x:v>0</x:v>
      </x:c>
      <x:c r="Q1979" s="62" t="b">
        <x:v>1</x:v>
      </x:c>
      <x:c r="R1979" s="28" t="n">
        <x:v>0</x:v>
      </x:c>
      <x:c r="S1979" s="28" t="str">
        <x:v>d25a6aac353ebe56</x:v>
      </x:c>
    </x:row>
    <x:row r="1980" ht="21" customHeight="1">
      <x:c r="A1980" s="60" t="n">
        <x:v>0.67</x:v>
      </x:c>
      <x:c r="B1980" s="28" t="str">
        <x:v>level_flat</x:v>
      </x:c>
      <x:c r="C1980" s="60" t="n">
        <x:v>0.95</x:v>
      </x:c>
      <x:c r="D1980" s="60" t="n">
        <x:v>0.9219114501462435</x:v>
      </x:c>
      <x:c r="E1980" s="62" t="b">
        <x:v>0</x:v>
      </x:c>
      <x:c r="F1980" s="62" t="b">
        <x:v>0</x:v>
      </x:c>
      <x:c r="G1980" s="85" t="n">
        <x:v>19011334.878097452</x:v>
      </x:c>
      <x:c r="H1980" s="85" t="n">
        <x:v>71979764.64156644</x:v>
      </x:c>
      <x:c r="I1980" s="85" t="n">
        <x:v>66244911.861725986</x:v>
      </x:c>
      <x:c r="J1980" s="85" t="n">
        <x:v>68999999.99999999</x:v>
      </x:c>
      <x:c r="K1980" s="85" t="n">
        <x:v>71187.01828767618</x:v>
      </x:c>
      <x:c r="L1980" s="28" t="n">
        <x:v>45</x:v>
      </x:c>
      <x:c r="M1980" s="28" t="n">
        <x:v>40</x:v>
      </x:c>
      <x:c r="N1980" s="28" t="n">
        <x:v>1.862645149230957e-9</x:v>
      </x:c>
      <x:c r="O1980" s="28" t="n">
        <x:v>1.4901161193847656e-8</x:v>
      </x:c>
      <x:c r="P1980" s="28" t="n">
        <x:v>0</x:v>
      </x:c>
      <x:c r="Q1980" s="62" t="b">
        <x:v>1</x:v>
      </x:c>
      <x:c r="R1980" s="28" t="n">
        <x:v>8426564.956126928</x:v>
      </x:c>
      <x:c r="S1980" s="28" t="str">
        <x:v>c63dadb18a040d81</x:v>
      </x:c>
    </x:row>
    <x:row r="1981" ht="21" customHeight="1">
      <x:c r="A1981" s="60" t="n">
        <x:v>0.67</x:v>
      </x:c>
      <x:c r="B1981" s="28" t="str">
        <x:v>level_flat</x:v>
      </x:c>
      <x:c r="C1981" s="60" t="n">
        <x:v>1</x:v>
      </x:c>
      <x:c r="D1981" s="60" t="n">
        <x:v>0.9350574964161632</x:v>
      </x:c>
      <x:c r="E1981" s="62" t="b">
        <x:v>0</x:v>
      </x:c>
      <x:c r="F1981" s="62" t="b">
        <x:v>0</x:v>
      </x:c>
      <x:c r="G1981" s="85" t="n">
        <x:v>20672988.93102897</x:v>
      </x:c>
      <x:c r="H1981" s="85" t="n">
        <x:v>75116881.2948032</x:v>
      </x:c>
      <x:c r="I1981" s="85" t="n">
        <x:v>66276331.291506805</x:v>
      </x:c>
      <x:c r="J1981" s="85" t="n">
        <x:v>68999999.99999999</x:v>
      </x:c>
      <x:c r="K1981" s="85" t="n">
        <x:v>60510.045205479284</x:v>
      </x:c>
      <x:c r="L1981" s="28" t="n">
        <x:v>45</x:v>
      </x:c>
      <x:c r="M1981" s="28" t="n">
        <x:v>40</x:v>
      </x:c>
      <x:c r="N1981" s="28" t="n">
        <x:v>1.862645149230957e-9</x:v>
      </x:c>
      <x:c r="O1981" s="28" t="n">
        <x:v>7.450580596923828e-9</x:v>
      </x:c>
      <x:c r="P1981" s="28" t="n">
        <x:v>0</x:v>
      </x:c>
      <x:c r="Q1981" s="62" t="b">
        <x:v>1</x:v>
      </x:c>
      <x:c r="R1981" s="28" t="n">
        <x:v>19482751.075151026</x:v>
      </x:c>
      <x:c r="S1981" s="28" t="str">
        <x:v>c75eb8520da2bdf3</x:v>
      </x:c>
    </x:row>
    <x:row r="1982" ht="21" customHeight="1">
      <x:c r="A1982" s="60" t="n">
        <x:v>0.67</x:v>
      </x:c>
      <x:c r="B1982" s="28" t="str">
        <x:v>level_low</x:v>
      </x:c>
      <x:c r="C1982" s="60" t="n">
        <x:v>0</x:v>
      </x:c>
      <x:c r="D1982" s="60" t="n">
        <x:v>0</x:v>
      </x:c>
      <x:c r="E1982" s="62" t="b">
        <x:v>1</x:v>
      </x:c>
      <x:c r="F1982" s="62" t="b">
        <x:v>1</x:v>
      </x:c>
      <x:c r="G1982" s="85" t="n">
        <x:v>0</x:v>
      </x:c>
      <x:c r="H1982" s="85" t="n">
        <x:v>0</x:v>
      </x:c>
      <x:c r="I1982" s="85" t="n">
        <x:v>0</x:v>
      </x:c>
      <x:c r="J1982" s="85" t="n">
        <x:v>0</x:v>
      </x:c>
      <x:c r="K1982" s="85" t="n">
        <x:v>30957516.066438366</x:v>
      </x:c>
      <x:c r="L1982" s="28" t="n">
        <x:v>0</x:v>
      </x:c>
      <x:c r="M1982" s="28" t="n">
        <x:v>0</x:v>
      </x:c>
      <x:c r="N1982" s="28" t="n">
        <x:v>1.862645149230957e-9</x:v>
      </x:c>
      <x:c r="O1982" s="28" t="n">
        <x:v>0</x:v>
      </x:c>
      <x:c r="P1982" s="28" t="n">
        <x:v>0</x:v>
      </x:c>
      <x:c r="Q1982" s="62" t="b">
        <x:v>1</x:v>
      </x:c>
      <x:c r="R1982" s="28" t="n">
        <x:v>0</x:v>
      </x:c>
      <x:c r="S1982" s="28" t="str">
        <x:v>ca9aadc73d447928</x:v>
      </x:c>
    </x:row>
    <x:row r="1983" ht="21" customHeight="1">
      <x:c r="A1983" s="60" t="n">
        <x:v>0.67</x:v>
      </x:c>
      <x:c r="B1983" s="28" t="str">
        <x:v>level_low</x:v>
      </x:c>
      <x:c r="C1983" s="60" t="n">
        <x:v>0.05</x:v>
      </x:c>
      <x:c r="D1983" s="60" t="n">
        <x:v>0.05</x:v>
      </x:c>
      <x:c r="E1983" s="62" t="b">
        <x:v>1</x:v>
      </x:c>
      <x:c r="F1983" s="62" t="b">
        <x:v>1</x:v>
      </x:c>
      <x:c r="G1983" s="85" t="n">
        <x:v>0</x:v>
      </x:c>
      <x:c r="H1983" s="85" t="n">
        <x:v>0</x:v>
      </x:c>
      <x:c r="I1983" s="85" t="n">
        <x:v>0</x:v>
      </x:c>
      <x:c r="J1983" s="85" t="n">
        <x:v>0</x:v>
      </x:c>
      <x:c r="K1983" s="85" t="n">
        <x:v>20247023.264708042</x:v>
      </x:c>
      <x:c r="L1983" s="28" t="n">
        <x:v>0</x:v>
      </x:c>
      <x:c r="M1983" s="28" t="n">
        <x:v>0</x:v>
      </x:c>
      <x:c r="N1983" s="28" t="n">
        <x:v>3.725290298461914e-9</x:v>
      </x:c>
      <x:c r="O1983" s="28" t="n">
        <x:v>2.9802322387695312e-8</x:v>
      </x:c>
      <x:c r="P1983" s="28" t="n">
        <x:v>0</x:v>
      </x:c>
      <x:c r="Q1983" s="62" t="b">
        <x:v>1</x:v>
      </x:c>
      <x:c r="R1983" s="28" t="n">
        <x:v>0</x:v>
      </x:c>
      <x:c r="S1983" s="28" t="str">
        <x:v>a590f1d57727b27c</x:v>
      </x:c>
    </x:row>
    <x:row r="1984" ht="21" customHeight="1">
      <x:c r="A1984" s="60" t="n">
        <x:v>0.67</x:v>
      </x:c>
      <x:c r="B1984" s="28" t="str">
        <x:v>level_low</x:v>
      </x:c>
      <x:c r="C1984" s="60" t="n">
        <x:v>0.1</x:v>
      </x:c>
      <x:c r="D1984" s="60" t="n">
        <x:v>0.1</x:v>
      </x:c>
      <x:c r="E1984" s="62" t="b">
        <x:v>1</x:v>
      </x:c>
      <x:c r="F1984" s="62" t="b">
        <x:v>1</x:v>
      </x:c>
      <x:c r="G1984" s="85" t="n">
        <x:v>0</x:v>
      </x:c>
      <x:c r="H1984" s="85" t="n">
        <x:v>0</x:v>
      </x:c>
      <x:c r="I1984" s="85" t="n">
        <x:v>0</x:v>
      </x:c>
      <x:c r="J1984" s="85" t="n">
        <x:v>0</x:v>
      </x:c>
      <x:c r="K1984" s="85" t="n">
        <x:v>9453275.762482395</x:v>
      </x:c>
      <x:c r="L1984" s="28" t="n">
        <x:v>0</x:v>
      </x:c>
      <x:c r="M1984" s="28" t="n">
        <x:v>0</x:v>
      </x:c>
      <x:c r="N1984" s="28" t="n">
        <x:v>3.725290298461914e-9</x:v>
      </x:c>
      <x:c r="O1984" s="28" t="n">
        <x:v>5.960464477539063e-8</x:v>
      </x:c>
      <x:c r="P1984" s="28" t="n">
        <x:v>0</x:v>
      </x:c>
      <x:c r="Q1984" s="62" t="b">
        <x:v>1</x:v>
      </x:c>
      <x:c r="R1984" s="28" t="n">
        <x:v>0</x:v>
      </x:c>
      <x:c r="S1984" s="28" t="str">
        <x:v>613f08b08290d0ff</x:v>
      </x:c>
    </x:row>
    <x:row r="1985" ht="21" customHeight="1">
      <x:c r="A1985" s="60" t="n">
        <x:v>0.67</x:v>
      </x:c>
      <x:c r="B1985" s="28" t="str">
        <x:v>level_low</x:v>
      </x:c>
      <x:c r="C1985" s="60" t="n">
        <x:v>0.15</x:v>
      </x:c>
      <x:c r="D1985" s="60" t="n">
        <x:v>0.15</x:v>
      </x:c>
      <x:c r="E1985" s="62" t="b">
        <x:v>1</x:v>
      </x:c>
      <x:c r="F1985" s="62" t="b">
        <x:v>1</x:v>
      </x:c>
      <x:c r="G1985" s="85" t="n">
        <x:v>0</x:v>
      </x:c>
      <x:c r="H1985" s="85" t="n">
        <x:v>0</x:v>
      </x:c>
      <x:c r="I1985" s="85" t="n">
        <x:v>1527355.8677489322</x:v>
      </x:c>
      <x:c r="J1985" s="85" t="n">
        <x:v>0</x:v>
      </x:c>
      <x:c r="K1985" s="85" t="n">
        <x:v>942436.749496211</x:v>
      </x:c>
      <x:c r="L1985" s="28" t="n">
        <x:v>0</x:v>
      </x:c>
      <x:c r="M1985" s="28" t="n">
        <x:v>0</x:v>
      </x:c>
      <x:c r="N1985" s="28" t="n">
        <x:v>9.313225746154785e-10</x:v>
      </x:c>
      <x:c r="O1985" s="28" t="n">
        <x:v>2.9802322387695312e-8</x:v>
      </x:c>
      <x:c r="P1985" s="28" t="n">
        <x:v>0</x:v>
      </x:c>
      <x:c r="Q1985" s="62" t="b">
        <x:v>1</x:v>
      </x:c>
      <x:c r="R1985" s="28" t="n">
        <x:v>0</x:v>
      </x:c>
      <x:c r="S1985" s="28" t="str">
        <x:v>ef3a6a507b4efe58</x:v>
      </x:c>
    </x:row>
    <x:row r="1986" ht="21" customHeight="1">
      <x:c r="A1986" s="60" t="n">
        <x:v>0.67</x:v>
      </x:c>
      <x:c r="B1986" s="28" t="str">
        <x:v>level_low</x:v>
      </x:c>
      <x:c r="C1986" s="60" t="n">
        <x:v>0.2</x:v>
      </x:c>
      <x:c r="D1986" s="60" t="n">
        <x:v>0.2</x:v>
      </x:c>
      <x:c r="E1986" s="62" t="b">
        <x:v>1</x:v>
      </x:c>
      <x:c r="F1986" s="62" t="b">
        <x:v>1</x:v>
      </x:c>
      <x:c r="G1986" s="85" t="n">
        <x:v>0</x:v>
      </x:c>
      <x:c r="H1986" s="85" t="n">
        <x:v>0</x:v>
      </x:c>
      <x:c r="I1986" s="85" t="n">
        <x:v>7635444.150652928</x:v>
      </x:c>
      <x:c r="J1986" s="85" t="n">
        <x:v>6323003.272534203</x:v>
      </x:c>
      <x:c r="K1986" s="85" t="n">
        <x:v>696318.6533391798</x:v>
      </x:c>
      <x:c r="L1986" s="28" t="n">
        <x:v>0</x:v>
      </x:c>
      <x:c r="M1986" s="28" t="n">
        <x:v>0</x:v>
      </x:c>
      <x:c r="N1986" s="28" t="n">
        <x:v>3.725290298461914e-9</x:v>
      </x:c>
      <x:c r="O1986" s="28" t="n">
        <x:v>2.9802322387695312e-8</x:v>
      </x:c>
      <x:c r="P1986" s="28" t="n">
        <x:v>0</x:v>
      </x:c>
      <x:c r="Q1986" s="62" t="b">
        <x:v>1</x:v>
      </x:c>
      <x:c r="R1986" s="28" t="n">
        <x:v>0</x:v>
      </x:c>
      <x:c r="S1986" s="28" t="str">
        <x:v>782c74dc70cc39df</x:v>
      </x:c>
    </x:row>
    <x:row r="1987" ht="21" customHeight="1">
      <x:c r="A1987" s="60" t="n">
        <x:v>0.67</x:v>
      </x:c>
      <x:c r="B1987" s="28" t="str">
        <x:v>level_low</x:v>
      </x:c>
      <x:c r="C1987" s="60" t="n">
        <x:v>0.25</x:v>
      </x:c>
      <x:c r="D1987" s="60" t="n">
        <x:v>0.25</x:v>
      </x:c>
      <x:c r="E1987" s="62" t="b">
        <x:v>1</x:v>
      </x:c>
      <x:c r="F1987" s="62" t="b">
        <x:v>1</x:v>
      </x:c>
      <x:c r="G1987" s="85" t="n">
        <x:v>0</x:v>
      </x:c>
      <x:c r="H1987" s="85" t="n">
        <x:v>0</x:v>
      </x:c>
      <x:c r="I1987" s="85" t="n">
        <x:v>11635846.730676988</x:v>
      </x:c>
      <x:c r="J1987" s="85" t="n">
        <x:v>15403754.090667719</x:v>
      </x:c>
      <x:c r="K1987" s="85" t="n">
        <x:v>513405.82644109544</x:v>
      </x:c>
      <x:c r="L1987" s="28" t="n">
        <x:v>0</x:v>
      </x:c>
      <x:c r="M1987" s="28" t="n">
        <x:v>0</x:v>
      </x:c>
      <x:c r="N1987" s="28" t="n">
        <x:v>1.862645149230957e-9</x:v>
      </x:c>
      <x:c r="O1987" s="28" t="n">
        <x:v>2.9802322387695312e-8</x:v>
      </x:c>
      <x:c r="P1987" s="28" t="n">
        <x:v>0</x:v>
      </x:c>
      <x:c r="Q1987" s="62" t="b">
        <x:v>1</x:v>
      </x:c>
      <x:c r="R1987" s="28" t="n">
        <x:v>0</x:v>
      </x:c>
      <x:c r="S1987" s="28" t="str">
        <x:v>b8027e46710026b5</x:v>
      </x:c>
    </x:row>
    <x:row r="1988" ht="21" customHeight="1">
      <x:c r="A1988" s="60" t="n">
        <x:v>0.67</x:v>
      </x:c>
      <x:c r="B1988" s="28" t="str">
        <x:v>level_low</x:v>
      </x:c>
      <x:c r="C1988" s="60" t="n">
        <x:v>0.3</x:v>
      </x:c>
      <x:c r="D1988" s="60" t="n">
        <x:v>0.3</x:v>
      </x:c>
      <x:c r="E1988" s="62" t="b">
        <x:v>1</x:v>
      </x:c>
      <x:c r="F1988" s="62" t="b">
        <x:v>1</x:v>
      </x:c>
      <x:c r="G1988" s="85" t="n">
        <x:v>0</x:v>
      </x:c>
      <x:c r="H1988" s="85" t="n">
        <x:v>0</x:v>
      </x:c>
      <x:c r="I1988" s="85" t="n">
        <x:v>15699175.333623229</x:v>
      </x:c>
      <x:c r="J1988" s="85" t="n">
        <x:v>24484504.908801176</x:v>
      </x:c>
      <x:c r="K1988" s="85" t="n">
        <x:v>394551.8418663042</x:v>
      </x:c>
      <x:c r="L1988" s="28" t="n">
        <x:v>0</x:v>
      </x:c>
      <x:c r="M1988" s="28" t="n">
        <x:v>0</x:v>
      </x:c>
      <x:c r="N1988" s="28" t="n">
        <x:v>3.725290298461914e-9</x:v>
      </x:c>
      <x:c r="O1988" s="28" t="n">
        <x:v>7.450580596923828e-9</x:v>
      </x:c>
      <x:c r="P1988" s="28" t="n">
        <x:v>0</x:v>
      </x:c>
      <x:c r="Q1988" s="62" t="b">
        <x:v>1</x:v>
      </x:c>
      <x:c r="R1988" s="28" t="n">
        <x:v>0</x:v>
      </x:c>
      <x:c r="S1988" s="28" t="str">
        <x:v>07155c5df0d8cc2a</x:v>
      </x:c>
    </x:row>
    <x:row r="1989" ht="21" customHeight="1">
      <x:c r="A1989" s="60" t="n">
        <x:v>0.67</x:v>
      </x:c>
      <x:c r="B1989" s="28" t="str">
        <x:v>level_low</x:v>
      </x:c>
      <x:c r="C1989" s="60" t="n">
        <x:v>0.35</x:v>
      </x:c>
      <x:c r="D1989" s="60" t="n">
        <x:v>0.35</x:v>
      </x:c>
      <x:c r="E1989" s="62" t="b">
        <x:v>1</x:v>
      </x:c>
      <x:c r="F1989" s="62" t="b">
        <x:v>1</x:v>
      </x:c>
      <x:c r="G1989" s="85" t="n">
        <x:v>0</x:v>
      </x:c>
      <x:c r="H1989" s="85" t="n">
        <x:v>0</x:v>
      </x:c>
      <x:c r="I1989" s="85" t="n">
        <x:v>19812095.996204384</x:v>
      </x:c>
      <x:c r="J1989" s="85" t="n">
        <x:v>33565255.72693474</x:v>
      </x:c>
      <x:c r="K1989" s="85" t="n">
        <x:v>328845.72718493105</x:v>
      </x:c>
      <x:c r="L1989" s="28" t="n">
        <x:v>0</x:v>
      </x:c>
      <x:c r="M1989" s="28" t="n">
        <x:v>0</x:v>
      </x:c>
      <x:c r="N1989" s="28" t="n">
        <x:v>9.313225746154785e-10</x:v>
      </x:c>
      <x:c r="O1989" s="28" t="n">
        <x:v>2.9802322387695312e-8</x:v>
      </x:c>
      <x:c r="P1989" s="28" t="n">
        <x:v>0</x:v>
      </x:c>
      <x:c r="Q1989" s="62" t="b">
        <x:v>1</x:v>
      </x:c>
      <x:c r="R1989" s="28" t="n">
        <x:v>0</x:v>
      </x:c>
      <x:c r="S1989" s="28" t="str">
        <x:v>ca87702335f8f222</x:v>
      </x:c>
    </x:row>
    <x:row r="1990" ht="21" customHeight="1">
      <x:c r="A1990" s="60" t="n">
        <x:v>0.67</x:v>
      </x:c>
      <x:c r="B1990" s="28" t="str">
        <x:v>level_low</x:v>
      </x:c>
      <x:c r="C1990" s="60" t="n">
        <x:v>0.4</x:v>
      </x:c>
      <x:c r="D1990" s="60" t="n">
        <x:v>0.4</x:v>
      </x:c>
      <x:c r="E1990" s="62" t="b">
        <x:v>1</x:v>
      </x:c>
      <x:c r="F1990" s="62" t="b">
        <x:v>1</x:v>
      </x:c>
      <x:c r="G1990" s="85" t="n">
        <x:v>0</x:v>
      </x:c>
      <x:c r="H1990" s="85" t="n">
        <x:v>0</x:v>
      </x:c>
      <x:c r="I1990" s="85" t="n">
        <x:v>26717511.228105463</x:v>
      </x:c>
      <x:c r="J1990" s="85" t="n">
        <x:v>38164689.02565459</x:v>
      </x:c>
      <x:c r="K1990" s="85" t="n">
        <x:v>270234.3310684953</x:v>
      </x:c>
      <x:c r="L1990" s="28" t="n">
        <x:v>8</x:v>
      </x:c>
      <x:c r="M1990" s="28" t="n">
        <x:v>0</x:v>
      </x:c>
      <x:c r="N1990" s="28" t="n">
        <x:v>3.725290298461914e-9</x:v>
      </x:c>
      <x:c r="O1990" s="28" t="n">
        <x:v>2.9802322387695312e-8</x:v>
      </x:c>
      <x:c r="P1990" s="28" t="n">
        <x:v>0</x:v>
      </x:c>
      <x:c r="Q1990" s="62" t="b">
        <x:v>1</x:v>
      </x:c>
      <x:c r="R1990" s="28" t="n">
        <x:v>0</x:v>
      </x:c>
      <x:c r="S1990" s="28" t="str">
        <x:v>024c834310b16154</x:v>
      </x:c>
    </x:row>
    <x:row r="1991" ht="21" customHeight="1">
      <x:c r="A1991" s="60" t="n">
        <x:v>0.67</x:v>
      </x:c>
      <x:c r="B1991" s="28" t="str">
        <x:v>level_low</x:v>
      </x:c>
      <x:c r="C1991" s="60" t="n">
        <x:v>0.45</x:v>
      </x:c>
      <x:c r="D1991" s="60" t="n">
        <x:v>0.45</x:v>
      </x:c>
      <x:c r="E1991" s="62" t="b">
        <x:v>1</x:v>
      </x:c>
      <x:c r="F1991" s="62" t="b">
        <x:v>1</x:v>
      </x:c>
      <x:c r="G1991" s="85" t="n">
        <x:v>0</x:v>
      </x:c>
      <x:c r="H1991" s="85" t="n">
        <x:v>0</x:v>
      </x:c>
      <x:c r="I1991" s="85" t="n">
        <x:v>31634961.870723553</x:v>
      </x:c>
      <x:c r="J1991" s="85" t="n">
        <x:v>45927677.86657299</x:v>
      </x:c>
      <x:c r="K1991" s="85" t="n">
        <x:v>211622.93495206145</x:v>
      </x:c>
      <x:c r="L1991" s="28" t="n">
        <x:v>11</x:v>
      </x:c>
      <x:c r="M1991" s="28" t="n">
        <x:v>0</x:v>
      </x:c>
      <x:c r="N1991" s="28" t="n">
        <x:v>3.725290298461914e-9</x:v>
      </x:c>
      <x:c r="O1991" s="28" t="n">
        <x:v>2.9802322387695312e-8</x:v>
      </x:c>
      <x:c r="P1991" s="28" t="n">
        <x:v>0</x:v>
      </x:c>
      <x:c r="Q1991" s="62" t="b">
        <x:v>1</x:v>
      </x:c>
      <x:c r="R1991" s="28" t="n">
        <x:v>0</x:v>
      </x:c>
      <x:c r="S1991" s="28" t="str">
        <x:v>305821c493cb0bc8</x:v>
      </x:c>
    </x:row>
    <x:row r="1992" ht="21" customHeight="1">
      <x:c r="A1992" s="60" t="n">
        <x:v>0.67</x:v>
      </x:c>
      <x:c r="B1992" s="28" t="str">
        <x:v>level_low</x:v>
      </x:c>
      <x:c r="C1992" s="60" t="n">
        <x:v>0.5</x:v>
      </x:c>
      <x:c r="D1992" s="60" t="n">
        <x:v>0.5</x:v>
      </x:c>
      <x:c r="E1992" s="62" t="b">
        <x:v>1</x:v>
      </x:c>
      <x:c r="F1992" s="62" t="b">
        <x:v>1</x:v>
      </x:c>
      <x:c r="G1992" s="85" t="n">
        <x:v>0</x:v>
      </x:c>
      <x:c r="H1992" s="85" t="n">
        <x:v>0</x:v>
      </x:c>
      <x:c r="I1992" s="85" t="n">
        <x:v>36570052.44990879</x:v>
      </x:c>
      <x:c r="J1992" s="85" t="n">
        <x:v>53635075.19068987</x:v>
      </x:c>
      <x:c r="K1992" s="85" t="n">
        <x:v>184450.02458904102</x:v>
      </x:c>
      <x:c r="L1992" s="28" t="n">
        <x:v>15</x:v>
      </x:c>
      <x:c r="M1992" s="28" t="n">
        <x:v>0</x:v>
      </x:c>
      <x:c r="N1992" s="28" t="n">
        <x:v>1.862645149230957e-9</x:v>
      </x:c>
      <x:c r="O1992" s="28" t="n">
        <x:v>1.4901161193847656e-8</x:v>
      </x:c>
      <x:c r="P1992" s="28" t="n">
        <x:v>0</x:v>
      </x:c>
      <x:c r="Q1992" s="62" t="b">
        <x:v>1</x:v>
      </x:c>
      <x:c r="R1992" s="28" t="n">
        <x:v>0</x:v>
      </x:c>
      <x:c r="S1992" s="28" t="str">
        <x:v>325c98ae16a4901e</x:v>
      </x:c>
    </x:row>
    <x:row r="1993" ht="21" customHeight="1">
      <x:c r="A1993" s="60" t="n">
        <x:v>0.67</x:v>
      </x:c>
      <x:c r="B1993" s="28" t="str">
        <x:v>level_low</x:v>
      </x:c>
      <x:c r="C1993" s="60" t="n">
        <x:v>0.55</x:v>
      </x:c>
      <x:c r="D1993" s="60" t="n">
        <x:v>0.55</x:v>
      </x:c>
      <x:c r="E1993" s="62" t="b">
        <x:v>1</x:v>
      </x:c>
      <x:c r="F1993" s="62" t="b">
        <x:v>1</x:v>
      </x:c>
      <x:c r="G1993" s="85" t="n">
        <x:v>0</x:v>
      </x:c>
      <x:c r="H1993" s="85" t="n">
        <x:v>0</x:v>
      </x:c>
      <x:c r="I1993" s="85" t="n">
        <x:v>40658634.150506884</x:v>
      </x:c>
      <x:c r="J1993" s="85" t="n">
        <x:v>62623585.45427666</x:v>
      </x:c>
      <x:c r="K1993" s="85" t="n">
        <x:v>166242.50225342633</x:v>
      </x:c>
      <x:c r="L1993" s="28" t="n">
        <x:v>17</x:v>
      </x:c>
      <x:c r="M1993" s="28" t="n">
        <x:v>0</x:v>
      </x:c>
      <x:c r="N1993" s="28" t="n">
        <x:v>1.862645149230957e-9</x:v>
      </x:c>
      <x:c r="O1993" s="28" t="n">
        <x:v>2.9802322387695312e-8</x:v>
      </x:c>
      <x:c r="P1993" s="28" t="n">
        <x:v>0</x:v>
      </x:c>
      <x:c r="Q1993" s="62" t="b">
        <x:v>1</x:v>
      </x:c>
      <x:c r="R1993" s="28" t="n">
        <x:v>0</x:v>
      </x:c>
      <x:c r="S1993" s="28" t="str">
        <x:v>c07598da4c2cea17</x:v>
      </x:c>
    </x:row>
    <x:row r="1994" ht="21" customHeight="1">
      <x:c r="A1994" s="60" t="n">
        <x:v>0.67</x:v>
      </x:c>
      <x:c r="B1994" s="28" t="str">
        <x:v>level_low</x:v>
      </x:c>
      <x:c r="C1994" s="60" t="n">
        <x:v>0.6</x:v>
      </x:c>
      <x:c r="D1994" s="60" t="n">
        <x:v>0.6</x:v>
      </x:c>
      <x:c r="E1994" s="62" t="b">
        <x:v>1</x:v>
      </x:c>
      <x:c r="F1994" s="62" t="b">
        <x:v>0</x:v>
      </x:c>
      <x:c r="G1994" s="85" t="n">
        <x:v>193029.3302508025</x:v>
      </x:c>
      <x:c r="H1994" s="85" t="n">
        <x:v>2887892.4555353583</x:v>
      </x:c>
      <x:c r="I1994" s="85" t="n">
        <x:v>43669967.66150028</x:v>
      </x:c>
      <x:c r="J1994" s="85" t="n">
        <x:v>68999999.99999999</x:v>
      </x:c>
      <x:c r="K1994" s="85" t="n">
        <x:v>148034.9799178135</x:v>
      </x:c>
      <x:c r="L1994" s="28" t="n">
        <x:v>42</x:v>
      </x:c>
      <x:c r="M1994" s="28" t="n">
        <x:v>23</x:v>
      </x:c>
      <x:c r="N1994" s="28" t="n">
        <x:v>1.862645149230957e-9</x:v>
      </x:c>
      <x:c r="O1994" s="28" t="n">
        <x:v>2.9802322387695312e-8</x:v>
      </x:c>
      <x:c r="P1994" s="28" t="n">
        <x:v>0</x:v>
      </x:c>
      <x:c r="Q1994" s="62" t="b">
        <x:v>1</x:v>
      </x:c>
      <x:c r="R1994" s="28" t="n">
        <x:v>0</x:v>
      </x:c>
      <x:c r="S1994" s="28" t="str">
        <x:v>f2ea86aa15ae2752</x:v>
      </x:c>
    </x:row>
    <x:row r="1995" ht="21" customHeight="1">
      <x:c r="A1995" s="60" t="n">
        <x:v>0.67</x:v>
      </x:c>
      <x:c r="B1995" s="28" t="str">
        <x:v>level_low</x:v>
      </x:c>
      <x:c r="C1995" s="60" t="n">
        <x:v>0.65</x:v>
      </x:c>
      <x:c r="D1995" s="60" t="n">
        <x:v>0.65</x:v>
      </x:c>
      <x:c r="E1995" s="62" t="b">
        <x:v>1</x:v>
      </x:c>
      <x:c r="F1995" s="62" t="b">
        <x:v>0</x:v>
      </x:c>
      <x:c r="G1995" s="85" t="n">
        <x:v>841208.0432923558</x:v>
      </x:c>
      <x:c r="H1995" s="85" t="n">
        <x:v>12668492.709051047</x:v>
      </x:c>
      <x:c r="I1995" s="85" t="n">
        <x:v>44673035.55270549</x:v>
      </x:c>
      <x:c r="J1995" s="85" t="n">
        <x:v>68999999.99999999</x:v>
      </x:c>
      <x:c r="K1995" s="85" t="n">
        <x:v>129827.45758219507</x:v>
      </x:c>
      <x:c r="L1995" s="28" t="n">
        <x:v>43</x:v>
      </x:c>
      <x:c r="M1995" s="28" t="n">
        <x:v>30</x:v>
      </x:c>
      <x:c r="N1995" s="28" t="n">
        <x:v>1.862645149230957e-9</x:v>
      </x:c>
      <x:c r="O1995" s="28" t="n">
        <x:v>2.9802322387695312e-8</x:v>
      </x:c>
      <x:c r="P1995" s="28" t="n">
        <x:v>0</x:v>
      </x:c>
      <x:c r="Q1995" s="62" t="b">
        <x:v>1</x:v>
      </x:c>
      <x:c r="R1995" s="28" t="n">
        <x:v>0</x:v>
      </x:c>
      <x:c r="S1995" s="28" t="str">
        <x:v>c33fca6b50e370f9</x:v>
      </x:c>
    </x:row>
    <x:row r="1996" ht="21" customHeight="1">
      <x:c r="A1996" s="60" t="n">
        <x:v>0.67</x:v>
      </x:c>
      <x:c r="B1996" s="28" t="str">
        <x:v>level_low</x:v>
      </x:c>
      <x:c r="C1996" s="60" t="n">
        <x:v>0.7</x:v>
      </x:c>
      <x:c r="D1996" s="60" t="n">
        <x:v>0.7</x:v>
      </x:c>
      <x:c r="E1996" s="62" t="b">
        <x:v>1</x:v>
      </x:c>
      <x:c r="F1996" s="62" t="b">
        <x:v>0</x:v>
      </x:c>
      <x:c r="G1996" s="85" t="n">
        <x:v>1597807.4917977476</x:v>
      </x:c>
      <x:c r="H1996" s="85" t="n">
        <x:v>23553511.99405739</x:v>
      </x:c>
      <x:c r="I1996" s="85" t="n">
        <x:v>44701475.58636987</x:v>
      </x:c>
      <x:c r="J1996" s="85" t="n">
        <x:v>68999999.99999999</x:v>
      </x:c>
      <x:c r="K1996" s="85" t="n">
        <x:v>111619.93524657433</x:v>
      </x:c>
      <x:c r="L1996" s="28" t="n">
        <x:v>43</x:v>
      </x:c>
      <x:c r="M1996" s="28" t="n">
        <x:v>32</x:v>
      </x:c>
      <x:c r="N1996" s="28" t="n">
        <x:v>1.862645149230957e-9</x:v>
      </x:c>
      <x:c r="O1996" s="28" t="n">
        <x:v>2.9802322387695312e-8</x:v>
      </x:c>
      <x:c r="P1996" s="28" t="n">
        <x:v>0</x:v>
      </x:c>
      <x:c r="Q1996" s="62" t="b">
        <x:v>1</x:v>
      </x:c>
      <x:c r="R1996" s="28" t="n">
        <x:v>0</x:v>
      </x:c>
      <x:c r="S1996" s="28" t="str">
        <x:v>2d5cb1c50528af0d</x:v>
      </x:c>
    </x:row>
    <x:row r="1997" ht="21" customHeight="1">
      <x:c r="A1997" s="60" t="n">
        <x:v>0.67</x:v>
      </x:c>
      <x:c r="B1997" s="28" t="str">
        <x:v>level_low</x:v>
      </x:c>
      <x:c r="C1997" s="60" t="n">
        <x:v>0.75</x:v>
      </x:c>
      <x:c r="D1997" s="60" t="n">
        <x:v>0.75</x:v>
      </x:c>
      <x:c r="E1997" s="62" t="b">
        <x:v>1</x:v>
      </x:c>
      <x:c r="F1997" s="62" t="b">
        <x:v>0</x:v>
      </x:c>
      <x:c r="G1997" s="85" t="n">
        <x:v>2522263.9039132576</x:v>
      </x:c>
      <x:c r="H1997" s="85" t="n">
        <x:v>33194166.898943603</x:v>
      </x:c>
      <x:c r="I1997" s="85" t="n">
        <x:v>45601903.06013699</x:v>
      </x:c>
      <x:c r="J1997" s="85" t="n">
        <x:v>68999999.99999999</x:v>
      </x:c>
      <x:c r="K1997" s="85" t="n">
        <x:v>93412.41291096056</x:v>
      </x:c>
      <x:c r="L1997" s="28" t="n">
        <x:v>44</x:v>
      </x:c>
      <x:c r="M1997" s="28" t="n">
        <x:v>32</x:v>
      </x:c>
      <x:c r="N1997" s="28" t="n">
        <x:v>1.862645149230957e-9</x:v>
      </x:c>
      <x:c r="O1997" s="28" t="n">
        <x:v>2.9802322387695312e-8</x:v>
      </x:c>
      <x:c r="P1997" s="28" t="n">
        <x:v>0</x:v>
      </x:c>
      <x:c r="Q1997" s="62" t="b">
        <x:v>1</x:v>
      </x:c>
      <x:c r="R1997" s="28" t="n">
        <x:v>0</x:v>
      </x:c>
      <x:c r="S1997" s="28" t="str">
        <x:v>af0d4c303b4c2512</x:v>
      </x:c>
    </x:row>
    <x:row r="1998" ht="21" customHeight="1">
      <x:c r="A1998" s="60" t="n">
        <x:v>0.67</x:v>
      </x:c>
      <x:c r="B1998" s="28" t="str">
        <x:v>level_low</x:v>
      </x:c>
      <x:c r="C1998" s="60" t="n">
        <x:v>0.8</x:v>
      </x:c>
      <x:c r="D1998" s="60" t="n">
        <x:v>0.8</x:v>
      </x:c>
      <x:c r="E1998" s="62" t="b">
        <x:v>1</x:v>
      </x:c>
      <x:c r="F1998" s="62" t="b">
        <x:v>0</x:v>
      </x:c>
      <x:c r="G1998" s="85" t="n">
        <x:v>3393298.601043873</x:v>
      </x:c>
      <x:c r="H1998" s="85" t="n">
        <x:v>43826289.8588199</x:v>
      </x:c>
      <x:c r="I1998" s="85" t="n">
        <x:v>45643724.74213699</x:v>
      </x:c>
      <x:c r="J1998" s="85" t="n">
        <x:v>68999999.99999999</x:v>
      </x:c>
      <x:c r="K1998" s="85" t="n">
        <x:v>75204.89057534168</x:v>
      </x:c>
      <x:c r="L1998" s="28" t="n">
        <x:v>44</x:v>
      </x:c>
      <x:c r="M1998" s="28" t="n">
        <x:v>34</x:v>
      </x:c>
      <x:c r="N1998" s="28" t="n">
        <x:v>1.862645149230957e-9</x:v>
      </x:c>
      <x:c r="O1998" s="28" t="n">
        <x:v>2.9802322387695312e-8</x:v>
      </x:c>
      <x:c r="P1998" s="28" t="n">
        <x:v>0</x:v>
      </x:c>
      <x:c r="Q1998" s="62" t="b">
        <x:v>1</x:v>
      </x:c>
      <x:c r="R1998" s="28" t="n">
        <x:v>0</x:v>
      </x:c>
      <x:c r="S1998" s="28" t="str">
        <x:v>a3047853ebf6b5bb</x:v>
      </x:c>
    </x:row>
    <x:row r="1999" ht="21" customHeight="1">
      <x:c r="A1999" s="60" t="n">
        <x:v>0.67</x:v>
      </x:c>
      <x:c r="B1999" s="28" t="str">
        <x:v>level_low</x:v>
      </x:c>
      <x:c r="C1999" s="60" t="n">
        <x:v>0.85</x:v>
      </x:c>
      <x:c r="D1999" s="60" t="n">
        <x:v>0.85</x:v>
      </x:c>
      <x:c r="E1999" s="62" t="b">
        <x:v>1</x:v>
      </x:c>
      <x:c r="F1999" s="62" t="b">
        <x:v>0</x:v>
      </x:c>
      <x:c r="G1999" s="85" t="n">
        <x:v>4462319.29408318</x:v>
      </x:c>
      <x:c r="H1999" s="85" t="n">
        <x:v>53061555.1389561</x:v>
      </x:c>
      <x:c r="I1999" s="85" t="n">
        <x:v>46674140.24791781</x:v>
      </x:c>
      <x:c r="J1999" s="85" t="n">
        <x:v>68999999.99999999</x:v>
      </x:c>
      <x:c r="K1999" s="85" t="n">
        <x:v>56997.36823972837</x:v>
      </x:c>
      <x:c r="L1999" s="28" t="n">
        <x:v>45</x:v>
      </x:c>
      <x:c r="M1999" s="28" t="n">
        <x:v>34</x:v>
      </x:c>
      <x:c r="N1999" s="28" t="n">
        <x:v>9.313225746154785e-10</x:v>
      </x:c>
      <x:c r="O1999" s="28" t="n">
        <x:v>2.9802322387695312e-8</x:v>
      </x:c>
      <x:c r="P1999" s="28" t="n">
        <x:v>0</x:v>
      </x:c>
      <x:c r="Q1999" s="62" t="b">
        <x:v>1</x:v>
      </x:c>
      <x:c r="R1999" s="28" t="n">
        <x:v>0</x:v>
      </x:c>
      <x:c r="S1999" s="28" t="str">
        <x:v>eba3160614f67c4d</x:v>
      </x:c>
    </x:row>
    <x:row r="2000" ht="21" customHeight="1">
      <x:c r="A2000" s="60" t="n">
        <x:v>0.67</x:v>
      </x:c>
      <x:c r="B2000" s="28" t="str">
        <x:v>level_low</x:v>
      </x:c>
      <x:c r="C2000" s="60" t="n">
        <x:v>0.9</x:v>
      </x:c>
      <x:c r="D2000" s="60" t="n">
        <x:v>0.9</x:v>
      </x:c>
      <x:c r="E2000" s="62" t="b">
        <x:v>1</x:v>
      </x:c>
      <x:c r="F2000" s="62" t="b">
        <x:v>0</x:v>
      </x:c>
      <x:c r="G2000" s="85" t="n">
        <x:v>6836427.9887363985</x:v>
      </x:c>
      <x:c r="H2000" s="85" t="n">
        <x:v>62538959.32084235</x:v>
      </x:c>
      <x:c r="I2000" s="85" t="n">
        <x:v>46691656.44235617</x:v>
      </x:c>
      <x:c r="J2000" s="85" t="n">
        <x:v>68999999.99999999</x:v>
      </x:c>
      <x:c r="K2000" s="85" t="n">
        <x:v>38789.845904112284</x:v>
      </x:c>
      <x:c r="L2000" s="28" t="n">
        <x:v>45</x:v>
      </x:c>
      <x:c r="M2000" s="28" t="n">
        <x:v>35</x:v>
      </x:c>
      <x:c r="N2000" s="28" t="n">
        <x:v>1.862645149230957e-9</x:v>
      </x:c>
      <x:c r="O2000" s="28" t="n">
        <x:v>7.450580596923828e-9</x:v>
      </x:c>
      <x:c r="P2000" s="28" t="n">
        <x:v>0</x:v>
      </x:c>
      <x:c r="Q2000" s="62" t="b">
        <x:v>1</x:v>
      </x:c>
      <x:c r="R2000" s="28" t="n">
        <x:v>0</x:v>
      </x:c>
      <x:c r="S2000" s="28" t="str">
        <x:v>1f6df8ddb6730f1c</x:v>
      </x:c>
    </x:row>
    <x:row r="2001" ht="21" customHeight="1">
      <x:c r="A2001" s="60" t="n">
        <x:v>0.67</x:v>
      </x:c>
      <x:c r="B2001" s="28" t="str">
        <x:v>level_low</x:v>
      </x:c>
      <x:c r="C2001" s="60" t="n">
        <x:v>0.95</x:v>
      </x:c>
      <x:c r="D2001" s="60" t="n">
        <x:v>0.9219114501462435</x:v>
      </x:c>
      <x:c r="E2001" s="62" t="b">
        <x:v>0</x:v>
      </x:c>
      <x:c r="F2001" s="62" t="b">
        <x:v>0</x:v>
      </x:c>
      <x:c r="G2001" s="85" t="n">
        <x:v>7588478.293118437</x:v>
      </x:c>
      <x:c r="H2001" s="85" t="n">
        <x:v>66535217.68450432</x:v>
      </x:c>
      <x:c r="I2001" s="85" t="n">
        <x:v>46709172.63679452</x:v>
      </x:c>
      <x:c r="J2001" s="85" t="n">
        <x:v>68999999.99999999</x:v>
      </x:c>
      <x:c r="K2001" s="85" t="n">
        <x:v>20582.32356849432</x:v>
      </x:c>
      <x:c r="L2001" s="28" t="n">
        <x:v>45</x:v>
      </x:c>
      <x:c r="M2001" s="28" t="n">
        <x:v>36</x:v>
      </x:c>
      <x:c r="N2001" s="28" t="n">
        <x:v>1.862645149230957e-9</x:v>
      </x:c>
      <x:c r="O2001" s="28" t="n">
        <x:v>1.4901161193847656e-8</x:v>
      </x:c>
      <x:c r="P2001" s="28" t="n">
        <x:v>0</x:v>
      </x:c>
      <x:c r="Q2001" s="62" t="b">
        <x:v>1</x:v>
      </x:c>
      <x:c r="R2001" s="28" t="n">
        <x:v>8426564.956126928</x:v>
      </x:c>
      <x:c r="S2001" s="28" t="str">
        <x:v>ac68128e989474eb</x:v>
      </x:c>
    </x:row>
    <x:row r="2002" ht="21" customHeight="1">
      <x:c r="A2002" s="60" t="n">
        <x:v>0.67</x:v>
      </x:c>
      <x:c r="B2002" s="28" t="str">
        <x:v>level_low</x:v>
      </x:c>
      <x:c r="C2002" s="60" t="n">
        <x:v>1</x:v>
      </x:c>
      <x:c r="D2002" s="60" t="n">
        <x:v>0.9350574964161632</x:v>
      </x:c>
      <x:c r="E2002" s="62" t="b">
        <x:v>0</x:v>
      </x:c>
      <x:c r="F2002" s="62" t="b">
        <x:v>0</x:v>
      </x:c>
      <x:c r="G2002" s="85" t="n">
        <x:v>8251625.068738215</x:v>
      </x:c>
      <x:c r="H2002" s="85" t="n">
        <x:v>69434104.48139447</x:v>
      </x:c>
      <x:c r="I2002" s="85" t="n">
        <x:v>46726688.83123288</x:v>
      </x:c>
      <x:c r="J2002" s="85" t="n">
        <x:v>68999999.99999999</x:v>
      </x:c>
      <x:c r="K2002" s="85" t="n">
        <x:v>2374.801232878468</x:v>
      </x:c>
      <x:c r="L2002" s="28" t="n">
        <x:v>45</x:v>
      </x:c>
      <x:c r="M2002" s="28" t="n">
        <x:v>36</x:v>
      </x:c>
      <x:c r="N2002" s="28" t="n">
        <x:v>1.862645149230957e-9</x:v>
      </x:c>
      <x:c r="O2002" s="28" t="n">
        <x:v>7.450580596923828e-9</x:v>
      </x:c>
      <x:c r="P2002" s="28" t="n">
        <x:v>0</x:v>
      </x:c>
      <x:c r="Q2002" s="62" t="b">
        <x:v>1</x:v>
      </x:c>
      <x:c r="R2002" s="28" t="n">
        <x:v>19482751.075151026</x:v>
      </x:c>
      <x:c r="S2002" s="28" t="str">
        <x:v>42080ac4642f5772</x:v>
      </x:c>
    </x:row>
    <x:row r="2003" ht="21" customHeight="1">
      <x:c r="A2003" s="60" t="n">
        <x:v>0.67</x:v>
      </x:c>
      <x:c r="B2003" s="28" t="str">
        <x:v>level_high</x:v>
      </x:c>
      <x:c r="C2003" s="60" t="n">
        <x:v>0</x:v>
      </x:c>
      <x:c r="D2003" s="60" t="n">
        <x:v>0</x:v>
      </x:c>
      <x:c r="E2003" s="62" t="b">
        <x:v>1</x:v>
      </x:c>
      <x:c r="F2003" s="62" t="b">
        <x:v>1</x:v>
      </x:c>
      <x:c r="G2003" s="85" t="n">
        <x:v>0</x:v>
      </x:c>
      <x:c r="H2003" s="85" t="n">
        <x:v>0</x:v>
      </x:c>
      <x:c r="I2003" s="85" t="n">
        <x:v>0</x:v>
      </x:c>
      <x:c r="J2003" s="85" t="n">
        <x:v>0</x:v>
      </x:c>
      <x:c r="K2003" s="85" t="n">
        <x:v>39768055.34041095</x:v>
      </x:c>
      <x:c r="L2003" s="28" t="n">
        <x:v>0</x:v>
      </x:c>
      <x:c r="M2003" s="28" t="n">
        <x:v>0</x:v>
      </x:c>
      <x:c r="N2003" s="28" t="n">
        <x:v>3.725290298461914e-9</x:v>
      </x:c>
      <x:c r="O2003" s="28" t="n">
        <x:v>0</x:v>
      </x:c>
      <x:c r="P2003" s="28" t="n">
        <x:v>0</x:v>
      </x:c>
      <x:c r="Q2003" s="62" t="b">
        <x:v>1</x:v>
      </x:c>
      <x:c r="R2003" s="28" t="n">
        <x:v>0</x:v>
      </x:c>
      <x:c r="S2003" s="28" t="str">
        <x:v>a824b50cdfaa5011</x:v>
      </x:c>
    </x:row>
    <x:row r="2004" ht="21" customHeight="1">
      <x:c r="A2004" s="60" t="n">
        <x:v>0.67</x:v>
      </x:c>
      <x:c r="B2004" s="28" t="str">
        <x:v>level_high</x:v>
      </x:c>
      <x:c r="C2004" s="60" t="n">
        <x:v>0.05</x:v>
      </x:c>
      <x:c r="D2004" s="60" t="n">
        <x:v>0.05</x:v>
      </x:c>
      <x:c r="E2004" s="62" t="b">
        <x:v>1</x:v>
      </x:c>
      <x:c r="F2004" s="62" t="b">
        <x:v>1</x:v>
      </x:c>
      <x:c r="G2004" s="85" t="n">
        <x:v>0</x:v>
      </x:c>
      <x:c r="H2004" s="85" t="n">
        <x:v>0</x:v>
      </x:c>
      <x:c r="I2004" s="85" t="n">
        <x:v>0</x:v>
      </x:c>
      <x:c r="J2004" s="85" t="n">
        <x:v>0</x:v>
      </x:c>
      <x:c r="K2004" s="85" t="n">
        <x:v>26439506.32368234</x:v>
      </x:c>
      <x:c r="L2004" s="28" t="n">
        <x:v>0</x:v>
      </x:c>
      <x:c r="M2004" s="28" t="n">
        <x:v>0</x:v>
      </x:c>
      <x:c r="N2004" s="28" t="n">
        <x:v>1.862645149230957e-9</x:v>
      </x:c>
      <x:c r="O2004" s="28" t="n">
        <x:v>2.9802322387695312e-8</x:v>
      </x:c>
      <x:c r="P2004" s="28" t="n">
        <x:v>0</x:v>
      </x:c>
      <x:c r="Q2004" s="62" t="b">
        <x:v>1</x:v>
      </x:c>
      <x:c r="R2004" s="28" t="n">
        <x:v>0</x:v>
      </x:c>
      <x:c r="S2004" s="28" t="str">
        <x:v>0872b493520503ac</x:v>
      </x:c>
    </x:row>
    <x:row r="2005" ht="21" customHeight="1">
      <x:c r="A2005" s="60" t="n">
        <x:v>0.67</x:v>
      </x:c>
      <x:c r="B2005" s="28" t="str">
        <x:v>level_high</x:v>
      </x:c>
      <x:c r="C2005" s="60" t="n">
        <x:v>0.1</x:v>
      </x:c>
      <x:c r="D2005" s="60" t="n">
        <x:v>0.1</x:v>
      </x:c>
      <x:c r="E2005" s="62" t="b">
        <x:v>1</x:v>
      </x:c>
      <x:c r="F2005" s="62" t="b">
        <x:v>1</x:v>
      </x:c>
      <x:c r="G2005" s="85" t="n">
        <x:v>0</x:v>
      </x:c>
      <x:c r="H2005" s="85" t="n">
        <x:v>0</x:v>
      </x:c>
      <x:c r="I2005" s="85" t="n">
        <x:v>0</x:v>
      </x:c>
      <x:c r="J2005" s="85" t="n">
        <x:v>0</x:v>
      </x:c>
      <x:c r="K2005" s="85" t="n">
        <x:v>12951385.797671044</x:v>
      </x:c>
      <x:c r="L2005" s="28" t="n">
        <x:v>0</x:v>
      </x:c>
      <x:c r="M2005" s="28" t="n">
        <x:v>0</x:v>
      </x:c>
      <x:c r="N2005" s="28" t="n">
        <x:v>3.725290298461914e-9</x:v>
      </x:c>
      <x:c r="O2005" s="28" t="n">
        <x:v>5.960464477539063e-8</x:v>
      </x:c>
      <x:c r="P2005" s="28" t="n">
        <x:v>0</x:v>
      </x:c>
      <x:c r="Q2005" s="62" t="b">
        <x:v>1</x:v>
      </x:c>
      <x:c r="R2005" s="28" t="n">
        <x:v>0</x:v>
      </x:c>
      <x:c r="S2005" s="28" t="str">
        <x:v>3bda1cd8d44e1597</x:v>
      </x:c>
    </x:row>
    <x:row r="2006" ht="21" customHeight="1">
      <x:c r="A2006" s="60" t="n">
        <x:v>0.67</x:v>
      </x:c>
      <x:c r="B2006" s="28" t="str">
        <x:v>level_high</x:v>
      </x:c>
      <x:c r="C2006" s="60" t="n">
        <x:v>0.15</x:v>
      </x:c>
      <x:c r="D2006" s="60" t="n">
        <x:v>0.15</x:v>
      </x:c>
      <x:c r="E2006" s="62" t="b">
        <x:v>1</x:v>
      </x:c>
      <x:c r="F2006" s="62" t="b">
        <x:v>1</x:v>
      </x:c>
      <x:c r="G2006" s="85" t="n">
        <x:v>0</x:v>
      </x:c>
      <x:c r="H2006" s="85" t="n">
        <x:v>0</x:v>
      </x:c>
      <x:c r="I2006" s="85" t="n">
        <x:v>2800112.819765607</x:v>
      </x:c>
      <x:c r="J2006" s="85" t="n">
        <x:v>0</x:v>
      </x:c>
      <x:c r="K2006" s="85" t="n">
        <x:v>2779019.5695472867</x:v>
      </x:c>
      <x:c r="L2006" s="28" t="n">
        <x:v>0</x:v>
      </x:c>
      <x:c r="M2006" s="28" t="n">
        <x:v>0</x:v>
      </x:c>
      <x:c r="N2006" s="28" t="n">
        <x:v>3.725290298461914e-9</x:v>
      </x:c>
      <x:c r="O2006" s="28" t="n">
        <x:v>2.9802322387695312e-8</x:v>
      </x:c>
      <x:c r="P2006" s="28" t="n">
        <x:v>0</x:v>
      </x:c>
      <x:c r="Q2006" s="62" t="b">
        <x:v>1</x:v>
      </x:c>
      <x:c r="R2006" s="28" t="n">
        <x:v>0</x:v>
      </x:c>
      <x:c r="S2006" s="28" t="str">
        <x:v>9b5008ec7651c13a</x:v>
      </x:c>
    </x:row>
    <x:row r="2007" ht="21" customHeight="1">
      <x:c r="A2007" s="60" t="n">
        <x:v>0.67</x:v>
      </x:c>
      <x:c r="B2007" s="28" t="str">
        <x:v>level_high</x:v>
      </x:c>
      <x:c r="C2007" s="60" t="n">
        <x:v>0.2</x:v>
      </x:c>
      <x:c r="D2007" s="60" t="n">
        <x:v>0.2</x:v>
      </x:c>
      <x:c r="E2007" s="62" t="b">
        <x:v>1</x:v>
      </x:c>
      <x:c r="F2007" s="62" t="b">
        <x:v>1</x:v>
      </x:c>
      <x:c r="G2007" s="85" t="n">
        <x:v>0</x:v>
      </x:c>
      <x:c r="H2007" s="85" t="n">
        <x:v>0</x:v>
      </x:c>
      <x:c r="I2007" s="85" t="n">
        <x:v>12805159.81136262</x:v>
      </x:c>
      <x:c r="J2007" s="85" t="n">
        <x:v>6323003.272534203</x:v>
      </x:c>
      <x:c r="K2007" s="85" t="n">
        <x:v>2005772.2422049348</x:v>
      </x:c>
      <x:c r="L2007" s="28" t="n">
        <x:v>0</x:v>
      </x:c>
      <x:c r="M2007" s="28" t="n">
        <x:v>0</x:v>
      </x:c>
      <x:c r="N2007" s="28" t="n">
        <x:v>1.862645149230957e-9</x:v>
      </x:c>
      <x:c r="O2007" s="28" t="n">
        <x:v>2.9802322387695312e-8</x:v>
      </x:c>
      <x:c r="P2007" s="28" t="n">
        <x:v>0</x:v>
      </x:c>
      <x:c r="Q2007" s="62" t="b">
        <x:v>1</x:v>
      </x:c>
      <x:c r="R2007" s="28" t="n">
        <x:v>0</x:v>
      </x:c>
      <x:c r="S2007" s="28" t="str">
        <x:v>f9add68a0bfb42a7</x:v>
      </x:c>
    </x:row>
    <x:row r="2008" ht="21" customHeight="1">
      <x:c r="A2008" s="60" t="n">
        <x:v>0.67</x:v>
      </x:c>
      <x:c r="B2008" s="28" t="str">
        <x:v>level_high</x:v>
      </x:c>
      <x:c r="C2008" s="60" t="n">
        <x:v>0.25</x:v>
      </x:c>
      <x:c r="D2008" s="60" t="n">
        <x:v>0.25</x:v>
      </x:c>
      <x:c r="E2008" s="62" t="b">
        <x:v>1</x:v>
      </x:c>
      <x:c r="F2008" s="62" t="b">
        <x:v>1</x:v>
      </x:c>
      <x:c r="G2008" s="85" t="n">
        <x:v>0</x:v>
      </x:c>
      <x:c r="H2008" s="85" t="n">
        <x:v>0</x:v>
      </x:c>
      <x:c r="I2008" s="85" t="n">
        <x:v>21521831.31437697</x:v>
      </x:c>
      <x:c r="J2008" s="85" t="n">
        <x:v>15403754.090667719</x:v>
      </x:c>
      <x:c r="K2008" s="85" t="n">
        <x:v>1471195.3448520568</x:v>
      </x:c>
      <x:c r="L2008" s="28" t="n">
        <x:v>0</x:v>
      </x:c>
      <x:c r="M2008" s="28" t="n">
        <x:v>0</x:v>
      </x:c>
      <x:c r="N2008" s="28" t="n">
        <x:v>3.725290298461914e-9</x:v>
      </x:c>
      <x:c r="O2008" s="28" t="n">
        <x:v>2.9802322387695312e-8</x:v>
      </x:c>
      <x:c r="P2008" s="28" t="n">
        <x:v>0</x:v>
      </x:c>
      <x:c r="Q2008" s="62" t="b">
        <x:v>1</x:v>
      </x:c>
      <x:c r="R2008" s="28" t="n">
        <x:v>0</x:v>
      </x:c>
      <x:c r="S2008" s="28" t="str">
        <x:v>6b13e90b8d0cd655</x:v>
      </x:c>
    </x:row>
    <x:row r="2009" ht="21" customHeight="1">
      <x:c r="A2009" s="60" t="n">
        <x:v>0.67</x:v>
      </x:c>
      <x:c r="B2009" s="28" t="str">
        <x:v>level_high</x:v>
      </x:c>
      <x:c r="C2009" s="60" t="n">
        <x:v>0.3</x:v>
      </x:c>
      <x:c r="D2009" s="60" t="n">
        <x:v>0.3</x:v>
      </x:c>
      <x:c r="E2009" s="62" t="b">
        <x:v>1</x:v>
      </x:c>
      <x:c r="F2009" s="62" t="b">
        <x:v>1</x:v>
      </x:c>
      <x:c r="G2009" s="85" t="n">
        <x:v>0</x:v>
      </x:c>
      <x:c r="H2009" s="85" t="n">
        <x:v>0</x:v>
      </x:c>
      <x:c r="I2009" s="85" t="n">
        <x:v>30399607.888041332</x:v>
      </x:c>
      <x:c r="J2009" s="85" t="n">
        <x:v>24484504.908801176</x:v>
      </x:c>
      <x:c r="K2009" s="85" t="n">
        <x:v>1143911.8831375225</x:v>
      </x:c>
      <x:c r="L2009" s="28" t="n">
        <x:v>0</x:v>
      </x:c>
      <x:c r="M2009" s="28" t="n">
        <x:v>0</x:v>
      </x:c>
      <x:c r="N2009" s="28" t="n">
        <x:v>1.862645149230957e-9</x:v>
      </x:c>
      <x:c r="O2009" s="28" t="n">
        <x:v>7.450580596923828e-9</x:v>
      </x:c>
      <x:c r="P2009" s="28" t="n">
        <x:v>0</x:v>
      </x:c>
      <x:c r="Q2009" s="62" t="b">
        <x:v>1</x:v>
      </x:c>
      <x:c r="R2009" s="28" t="n">
        <x:v>0</x:v>
      </x:c>
      <x:c r="S2009" s="28" t="str">
        <x:v>76966b1922354308</x:v>
      </x:c>
    </x:row>
    <x:row r="2010" ht="21" customHeight="1">
      <x:c r="A2010" s="60" t="n">
        <x:v>0.67</x:v>
      </x:c>
      <x:c r="B2010" s="28" t="str">
        <x:v>level_high</x:v>
      </x:c>
      <x:c r="C2010" s="60" t="n">
        <x:v>0.35</x:v>
      </x:c>
      <x:c r="D2010" s="60" t="n">
        <x:v>0.35</x:v>
      </x:c>
      <x:c r="E2010" s="62" t="b">
        <x:v>1</x:v>
      </x:c>
      <x:c r="F2010" s="62" t="b">
        <x:v>1</x:v>
      </x:c>
      <x:c r="G2010" s="85" t="n">
        <x:v>0</x:v>
      </x:c>
      <x:c r="H2010" s="85" t="n">
        <x:v>0</x:v>
      </x:c>
      <x:c r="I2010" s="85" t="n">
        <x:v>39466282.344851986</x:v>
      </x:c>
      <x:c r="J2010" s="85" t="n">
        <x:v>33565255.72693474</x:v>
      </x:c>
      <x:c r="K2010" s="85" t="n">
        <x:v>952567.5208835577</x:v>
      </x:c>
      <x:c r="L2010" s="28" t="n">
        <x:v>0</x:v>
      </x:c>
      <x:c r="M2010" s="28" t="n">
        <x:v>0</x:v>
      </x:c>
      <x:c r="N2010" s="28" t="n">
        <x:v>1.862645149230957e-9</x:v>
      </x:c>
      <x:c r="O2010" s="28" t="n">
        <x:v>2.9802322387695312e-8</x:v>
      </x:c>
      <x:c r="P2010" s="28" t="n">
        <x:v>0</x:v>
      </x:c>
      <x:c r="Q2010" s="62" t="b">
        <x:v>1</x:v>
      </x:c>
      <x:c r="R2010" s="28" t="n">
        <x:v>0</x:v>
      </x:c>
      <x:c r="S2010" s="28" t="str">
        <x:v>71c0798ae5ef03a1</x:v>
      </x:c>
    </x:row>
    <x:row r="2011" ht="21" customHeight="1">
      <x:c r="A2011" s="60" t="n">
        <x:v>0.67</x:v>
      </x:c>
      <x:c r="B2011" s="28" t="str">
        <x:v>level_high</x:v>
      </x:c>
      <x:c r="C2011" s="60" t="n">
        <x:v>0.4</x:v>
      </x:c>
      <x:c r="D2011" s="60" t="n">
        <x:v>0.4</x:v>
      </x:c>
      <x:c r="E2011" s="62" t="b">
        <x:v>1</x:v>
      </x:c>
      <x:c r="F2011" s="62" t="b">
        <x:v>1</x:v>
      </x:c>
      <x:c r="G2011" s="85" t="n">
        <x:v>0</x:v>
      </x:c>
      <x:c r="H2011" s="85" t="n">
        <x:v>0</x:v>
      </x:c>
      <x:c r="I2011" s="85" t="n">
        <x:v>49534655.15056327</x:v>
      </x:c>
      <x:c r="J2011" s="85" t="n">
        <x:v>37176869.298679225</x:v>
      </x:c>
      <x:c r="K2011" s="85" t="n">
        <x:v>792414.9524383533</x:v>
      </x:c>
      <x:c r="L2011" s="28" t="n">
        <x:v>6</x:v>
      </x:c>
      <x:c r="M2011" s="28" t="n">
        <x:v>0</x:v>
      </x:c>
      <x:c r="N2011" s="28" t="n">
        <x:v>1.862645149230957e-9</x:v>
      </x:c>
      <x:c r="O2011" s="28" t="n">
        <x:v>2.9802322387695312e-8</x:v>
      </x:c>
      <x:c r="P2011" s="28" t="n">
        <x:v>0</x:v>
      </x:c>
      <x:c r="Q2011" s="62" t="b">
        <x:v>1</x:v>
      </x:c>
      <x:c r="R2011" s="28" t="n">
        <x:v>0</x:v>
      </x:c>
      <x:c r="S2011" s="28" t="str">
        <x:v>bb7f493e6a9d3f2d</x:v>
      </x:c>
    </x:row>
    <x:row r="2012" ht="21" customHeight="1">
      <x:c r="A2012" s="60" t="n">
        <x:v>0.67</x:v>
      </x:c>
      <x:c r="B2012" s="28" t="str">
        <x:v>level_high</x:v>
      </x:c>
      <x:c r="C2012" s="60" t="n">
        <x:v>0.45</x:v>
      </x:c>
      <x:c r="D2012" s="60" t="n">
        <x:v>0.45</x:v>
      </x:c>
      <x:c r="E2012" s="62" t="b">
        <x:v>1</x:v>
      </x:c>
      <x:c r="F2012" s="62" t="b">
        <x:v>1</x:v>
      </x:c>
      <x:c r="G2012" s="85" t="n">
        <x:v>0</x:v>
      </x:c>
      <x:c r="H2012" s="85" t="n">
        <x:v>0</x:v>
      </x:c>
      <x:c r="I2012" s="85" t="n">
        <x:v>59101470.83404938</x:v>
      </x:c>
      <x:c r="J2012" s="85" t="n">
        <x:v>43180308.31494967</x:v>
      </x:c>
      <x:c r="K2012" s="85" t="n">
        <x:v>632262.3839931431</x:v>
      </x:c>
      <x:c r="L2012" s="28" t="n">
        <x:v>10</x:v>
      </x:c>
      <x:c r="M2012" s="28" t="n">
        <x:v>0</x:v>
      </x:c>
      <x:c r="N2012" s="28" t="n">
        <x:v>1.862645149230957e-9</x:v>
      </x:c>
      <x:c r="O2012" s="28" t="n">
        <x:v>2.9802322387695312e-8</x:v>
      </x:c>
      <x:c r="P2012" s="28" t="n">
        <x:v>0</x:v>
      </x:c>
      <x:c r="Q2012" s="62" t="b">
        <x:v>1</x:v>
      </x:c>
      <x:c r="R2012" s="28" t="n">
        <x:v>0</x:v>
      </x:c>
      <x:c r="S2012" s="28" t="str">
        <x:v>0bdbc47c61633d62</x:v>
      </x:c>
    </x:row>
    <x:row r="2013" ht="21" customHeight="1">
      <x:c r="A2013" s="60" t="n">
        <x:v>0.67</x:v>
      </x:c>
      <x:c r="B2013" s="28" t="str">
        <x:v>level_high</x:v>
      </x:c>
      <x:c r="C2013" s="60" t="n">
        <x:v>0.5</x:v>
      </x:c>
      <x:c r="D2013" s="60" t="n">
        <x:v>0.5</x:v>
      </x:c>
      <x:c r="E2013" s="62" t="b">
        <x:v>1</x:v>
      </x:c>
      <x:c r="F2013" s="62" t="b">
        <x:v>1</x:v>
      </x:c>
      <x:c r="G2013" s="85" t="n">
        <x:v>0</x:v>
      </x:c>
      <x:c r="H2013" s="85" t="n">
        <x:v>0</x:v>
      </x:c>
      <x:c r="I2013" s="85" t="n">
        <x:v>68309668.32914491</x:v>
      </x:c>
      <x:c r="J2013" s="85" t="n">
        <x:v>50494678.78638467</x:v>
      </x:c>
      <x:c r="K2013" s="85" t="n">
        <x:v>544701.0985616484</x:v>
      </x:c>
      <x:c r="L2013" s="28" t="n">
        <x:v>14</x:v>
      </x:c>
      <x:c r="M2013" s="28" t="n">
        <x:v>3</x:v>
      </x:c>
      <x:c r="N2013" s="28" t="n">
        <x:v>3.725290298461914e-9</x:v>
      </x:c>
      <x:c r="O2013" s="28" t="n">
        <x:v>1.4901161193847656e-8</x:v>
      </x:c>
      <x:c r="P2013" s="28" t="n">
        <x:v>0</x:v>
      </x:c>
      <x:c r="Q2013" s="62" t="b">
        <x:v>1</x:v>
      </x:c>
      <x:c r="R2013" s="28" t="n">
        <x:v>0</x:v>
      </x:c>
      <x:c r="S2013" s="28" t="str">
        <x:v>d3c244b0f7af6862</x:v>
      </x:c>
    </x:row>
    <x:row r="2014" ht="21" customHeight="1">
      <x:c r="A2014" s="60" t="n">
        <x:v>0.67</x:v>
      </x:c>
      <x:c r="B2014" s="28" t="str">
        <x:v>level_high</x:v>
      </x:c>
      <x:c r="C2014" s="60" t="n">
        <x:v>0.55</x:v>
      </x:c>
      <x:c r="D2014" s="60" t="n">
        <x:v>0.55</x:v>
      </x:c>
      <x:c r="E2014" s="62" t="b">
        <x:v>1</x:v>
      </x:c>
      <x:c r="F2014" s="62" t="b">
        <x:v>1</x:v>
      </x:c>
      <x:c r="G2014" s="85" t="n">
        <x:v>0</x:v>
      </x:c>
      <x:c r="H2014" s="85" t="n">
        <x:v>0</x:v>
      </x:c>
      <x:c r="I2014" s="85" t="n">
        <x:v>77060574.6686856</x:v>
      </x:c>
      <x:c r="J2014" s="85" t="n">
        <x:v>60239970.79080289</x:v>
      </x:c>
      <x:c r="K2014" s="85" t="n">
        <x:v>496341.61239041196</x:v>
      </x:c>
      <x:c r="L2014" s="28" t="n">
        <x:v>17</x:v>
      </x:c>
      <x:c r="M2014" s="28" t="n">
        <x:v>8</x:v>
      </x:c>
      <x:c r="N2014" s="28" t="n">
        <x:v>1.862645149230957e-9</x:v>
      </x:c>
      <x:c r="O2014" s="28" t="n">
        <x:v>2.9802322387695312e-8</x:v>
      </x:c>
      <x:c r="P2014" s="28" t="n">
        <x:v>0</x:v>
      </x:c>
      <x:c r="Q2014" s="62" t="b">
        <x:v>1</x:v>
      </x:c>
      <x:c r="R2014" s="28" t="n">
        <x:v>0</x:v>
      </x:c>
      <x:c r="S2014" s="28" t="str">
        <x:v>ad7b2493ba81f98d</x:v>
      </x:c>
    </x:row>
    <x:row r="2015" ht="21" customHeight="1">
      <x:c r="A2015" s="60" t="n">
        <x:v>0.67</x:v>
      </x:c>
      <x:c r="B2015" s="28" t="str">
        <x:v>level_high</x:v>
      </x:c>
      <x:c r="C2015" s="60" t="n">
        <x:v>0.6</x:v>
      </x:c>
      <x:c r="D2015" s="60" t="n">
        <x:v>0.6</x:v>
      </x:c>
      <x:c r="E2015" s="62" t="b">
        <x:v>1</x:v>
      </x:c>
      <x:c r="F2015" s="62" t="b">
        <x:v>0</x:v>
      </x:c>
      <x:c r="G2015" s="85" t="n">
        <x:v>583504.3926123299</x:v>
      </x:c>
      <x:c r="H2015" s="85" t="n">
        <x:v>2236931.681844208</x:v>
      </x:c>
      <x:c r="I2015" s="85" t="n">
        <x:v>84257632.77106738</x:v>
      </x:c>
      <x:c r="J2015" s="85" t="n">
        <x:v>68999999.99999999</x:v>
      </x:c>
      <x:c r="K2015" s="85" t="n">
        <x:v>447982.1262191784</x:v>
      </x:c>
      <x:c r="L2015" s="28" t="n">
        <x:v>42</x:v>
      </x:c>
      <x:c r="M2015" s="28" t="n">
        <x:v>34</x:v>
      </x:c>
      <x:c r="N2015" s="28" t="n">
        <x:v>1.862645149230957e-9</x:v>
      </x:c>
      <x:c r="O2015" s="28" t="n">
        <x:v>2.9802322387695312e-8</x:v>
      </x:c>
      <x:c r="P2015" s="28" t="n">
        <x:v>0</x:v>
      </x:c>
      <x:c r="Q2015" s="62" t="b">
        <x:v>1</x:v>
      </x:c>
      <x:c r="R2015" s="28" t="n">
        <x:v>0</x:v>
      </x:c>
      <x:c r="S2015" s="28" t="str">
        <x:v>6e0c1f3fe629818f</x:v>
      </x:c>
    </x:row>
    <x:row r="2016" ht="21" customHeight="1">
      <x:c r="A2016" s="60" t="n">
        <x:v>0.67</x:v>
      </x:c>
      <x:c r="B2016" s="28" t="str">
        <x:v>level_high</x:v>
      </x:c>
      <x:c r="C2016" s="60" t="n">
        <x:v>0.65</x:v>
      </x:c>
      <x:c r="D2016" s="60" t="n">
        <x:v>0.65</x:v>
      </x:c>
      <x:c r="E2016" s="62" t="b">
        <x:v>1</x:v>
      </x:c>
      <x:c r="F2016" s="62" t="b">
        <x:v>0</x:v>
      </x:c>
      <x:c r="G2016" s="85" t="n">
        <x:v>4359960.724489899</x:v>
      </x:c>
      <x:c r="H2016" s="85" t="n">
        <x:v>14755431.202797562</x:v>
      </x:c>
      <x:c r="I2016" s="85" t="n">
        <x:v>86025610.27877396</x:v>
      </x:c>
      <x:c r="J2016" s="85" t="n">
        <x:v>68999999.99999999</x:v>
      </x:c>
      <x:c r="K2016" s="85" t="n">
        <x:v>399622.64004795125</x:v>
      </x:c>
      <x:c r="L2016" s="28" t="n">
        <x:v>43</x:v>
      </x:c>
      <x:c r="M2016" s="28" t="n">
        <x:v>36</x:v>
      </x:c>
      <x:c r="N2016" s="28" t="n">
        <x:v>1.862645149230957e-9</x:v>
      </x:c>
      <x:c r="O2016" s="28" t="n">
        <x:v>2.9802322387695312e-8</x:v>
      </x:c>
      <x:c r="P2016" s="28" t="n">
        <x:v>0</x:v>
      </x:c>
      <x:c r="Q2016" s="62" t="b">
        <x:v>1</x:v>
      </x:c>
      <x:c r="R2016" s="28" t="n">
        <x:v>0</x:v>
      </x:c>
      <x:c r="S2016" s="28" t="str">
        <x:v>ab33e0e418a6cb35</x:v>
      </x:c>
    </x:row>
    <x:row r="2017" ht="21" customHeight="1">
      <x:c r="A2017" s="60" t="n">
        <x:v>0.67</x:v>
      </x:c>
      <x:c r="B2017" s="28" t="str">
        <x:v>level_high</x:v>
      </x:c>
      <x:c r="C2017" s="60" t="n">
        <x:v>0.7</x:v>
      </x:c>
      <x:c r="D2017" s="60" t="n">
        <x:v>0.7</x:v>
      </x:c>
      <x:c r="E2017" s="62" t="b">
        <x:v>1</x:v>
      </x:c>
      <x:c r="F2017" s="62" t="b">
        <x:v>0</x:v>
      </x:c>
      <x:c r="G2017" s="85" t="n">
        <x:v>9100563.053885778</x:v>
      </x:c>
      <x:c r="H2017" s="85" t="n">
        <x:v>29115075.62546141</x:v>
      </x:c>
      <x:c r="I2017" s="85" t="n">
        <x:v>86217699.23067123</x:v>
      </x:c>
      <x:c r="J2017" s="85" t="n">
        <x:v>68999999.99999999</x:v>
      </x:c>
      <x:c r="K2017" s="85" t="n">
        <x:v>351263.15387671115</x:v>
      </x:c>
      <x:c r="L2017" s="28" t="n">
        <x:v>43</x:v>
      </x:c>
      <x:c r="M2017" s="28" t="n">
        <x:v>37</x:v>
      </x:c>
      <x:c r="N2017" s="28" t="n">
        <x:v>1.862645149230957e-9</x:v>
      </x:c>
      <x:c r="O2017" s="28" t="n">
        <x:v>2.9802322387695312e-8</x:v>
      </x:c>
      <x:c r="P2017" s="28" t="n">
        <x:v>0</x:v>
      </x:c>
      <x:c r="Q2017" s="62" t="b">
        <x:v>1</x:v>
      </x:c>
      <x:c r="R2017" s="28" t="n">
        <x:v>0</x:v>
      </x:c>
      <x:c r="S2017" s="28" t="str">
        <x:v>bfcb17fe950d1885</x:v>
      </x:c>
    </x:row>
    <x:row r="2018" ht="21" customHeight="1">
      <x:c r="A2018" s="60" t="n">
        <x:v>0.67</x:v>
      </x:c>
      <x:c r="B2018" s="28" t="str">
        <x:v>level_high</x:v>
      </x:c>
      <x:c r="C2018" s="60" t="n">
        <x:v>0.75</x:v>
      </x:c>
      <x:c r="D2018" s="60" t="n">
        <x:v>0.75</x:v>
      </x:c>
      <x:c r="E2018" s="62" t="b">
        <x:v>1</x:v>
      </x:c>
      <x:c r="F2018" s="62" t="b">
        <x:v>0</x:v>
      </x:c>
      <x:c r="G2018" s="85" t="n">
        <x:v>13388370.660374517</x:v>
      </x:c>
      <x:c r="H2018" s="85" t="n">
        <x:v>40821150.056215964</x:v>
      </x:c>
      <x:c r="I2018" s="85" t="n">
        <x:v>87776193.68068492</x:v>
      </x:c>
      <x:c r="J2018" s="85" t="n">
        <x:v>68999999.99999999</x:v>
      </x:c>
      <x:c r="K2018" s="85" t="n">
        <x:v>302903.6677054766</x:v>
      </x:c>
      <x:c r="L2018" s="28" t="n">
        <x:v>44</x:v>
      </x:c>
      <x:c r="M2018" s="28" t="n">
        <x:v>38</x:v>
      </x:c>
      <x:c r="N2018" s="28" t="n">
        <x:v>1.862645149230957e-9</x:v>
      </x:c>
      <x:c r="O2018" s="28" t="n">
        <x:v>2.9802322387695312e-8</x:v>
      </x:c>
      <x:c r="P2018" s="28" t="n">
        <x:v>0</x:v>
      </x:c>
      <x:c r="Q2018" s="62" t="b">
        <x:v>1</x:v>
      </x:c>
      <x:c r="R2018" s="28" t="n">
        <x:v>0</x:v>
      </x:c>
      <x:c r="S2018" s="28" t="str">
        <x:v>de9ad93b97404e64</x:v>
      </x:c>
    </x:row>
    <x:row r="2019" ht="21" customHeight="1">
      <x:c r="A2019" s="60" t="n">
        <x:v>0.67</x:v>
      </x:c>
      <x:c r="B2019" s="28" t="str">
        <x:v>level_high</x:v>
      </x:c>
      <x:c r="C2019" s="60" t="n">
        <x:v>0.8</x:v>
      </x:c>
      <x:c r="D2019" s="60" t="n">
        <x:v>0.8</x:v>
      </x:c>
      <x:c r="E2019" s="62" t="b">
        <x:v>1</x:v>
      </x:c>
      <x:c r="F2019" s="62" t="b">
        <x:v>0</x:v>
      </x:c>
      <x:c r="G2019" s="85" t="n">
        <x:v>18432816.480961405</x:v>
      </x:c>
      <x:c r="H2019" s="85" t="n">
        <x:v>54609753.39569923</x:v>
      </x:c>
      <x:c r="I2019" s="85" t="n">
        <x:v>87889404.57117805</x:v>
      </x:c>
      <x:c r="J2019" s="85" t="n">
        <x:v>68999999.99999999</x:v>
      </x:c>
      <x:c r="K2019" s="85" t="n">
        <x:v>254544.18153424948</x:v>
      </x:c>
      <x:c r="L2019" s="28" t="n">
        <x:v>44</x:v>
      </x:c>
      <x:c r="M2019" s="28" t="n">
        <x:v>39</x:v>
      </x:c>
      <x:c r="N2019" s="28" t="n">
        <x:v>1.862645149230957e-9</x:v>
      </x:c>
      <x:c r="O2019" s="28" t="n">
        <x:v>2.9802322387695312e-8</x:v>
      </x:c>
      <x:c r="P2019" s="28" t="n">
        <x:v>0</x:v>
      </x:c>
      <x:c r="Q2019" s="62" t="b">
        <x:v>1</x:v>
      </x:c>
      <x:c r="R2019" s="28" t="n">
        <x:v>0</x:v>
      </x:c>
      <x:c r="S2019" s="28" t="str">
        <x:v>a3d71330498bcfa2</x:v>
      </x:c>
    </x:row>
    <x:row r="2020" ht="21" customHeight="1">
      <x:c r="A2020" s="60" t="n">
        <x:v>0.67</x:v>
      </x:c>
      <x:c r="B2020" s="28" t="str">
        <x:v>level_high</x:v>
      </x:c>
      <x:c r="C2020" s="60" t="n">
        <x:v>0.85</x:v>
      </x:c>
      <x:c r="D2020" s="60" t="n">
        <x:v>0.85</x:v>
      </x:c>
      <x:c r="E2020" s="62" t="b">
        <x:v>1</x:v>
      </x:c>
      <x:c r="F2020" s="62" t="b">
        <x:v>0</x:v>
      </x:c>
      <x:c r="G2020" s="85" t="n">
        <x:v>25574666.001182456</x:v>
      </x:c>
      <x:c r="H2020" s="85" t="n">
        <x:v>64148047.35136918</x:v>
      </x:c>
      <x:c r="I2020" s="85" t="n">
        <x:v>89590631.70627397</x:v>
      </x:c>
      <x:c r="J2020" s="85" t="n">
        <x:v>68999999.99999999</x:v>
      </x:c>
      <x:c r="K2020" s="85" t="n">
        <x:v>206184.6953630196</x:v>
      </x:c>
      <x:c r="L2020" s="28" t="n">
        <x:v>45</x:v>
      </x:c>
      <x:c r="M2020" s="28" t="n">
        <x:v>40</x:v>
      </x:c>
      <x:c r="N2020" s="28" t="n">
        <x:v>1.862645149230957e-9</x:v>
      </x:c>
      <x:c r="O2020" s="28" t="n">
        <x:v>2.9802322387695312e-8</x:v>
      </x:c>
      <x:c r="P2020" s="28" t="n">
        <x:v>0</x:v>
      </x:c>
      <x:c r="Q2020" s="62" t="b">
        <x:v>1</x:v>
      </x:c>
      <x:c r="R2020" s="28" t="n">
        <x:v>0</x:v>
      </x:c>
      <x:c r="S2020" s="28" t="str">
        <x:v>273d6e77767d87fa</x:v>
      </x:c>
    </x:row>
    <x:row r="2021" ht="21" customHeight="1">
      <x:c r="A2021" s="60" t="n">
        <x:v>0.67</x:v>
      </x:c>
      <x:c r="B2021" s="28" t="str">
        <x:v>level_high</x:v>
      </x:c>
      <x:c r="C2021" s="60" t="n">
        <x:v>0.9</x:v>
      </x:c>
      <x:c r="D2021" s="60" t="n">
        <x:v>0.9</x:v>
      </x:c>
      <x:c r="E2021" s="62" t="b">
        <x:v>1</x:v>
      </x:c>
      <x:c r="F2021" s="62" t="b">
        <x:v>0</x:v>
      </x:c>
      <x:c r="G2021" s="85" t="n">
        <x:v>32130668.00635029</x:v>
      </x:c>
      <x:c r="H2021" s="85" t="n">
        <x:v>72883907.13542952</x:v>
      </x:c>
      <x:c r="I2021" s="85" t="n">
        <x:v>89638743.27578083</x:v>
      </x:c>
      <x:c r="J2021" s="85" t="n">
        <x:v>68999999.99999999</x:v>
      </x:c>
      <x:c r="K2021" s="85" t="n">
        <x:v>163863.731095891</x:v>
      </x:c>
      <x:c r="L2021" s="28" t="n">
        <x:v>45</x:v>
      </x:c>
      <x:c r="M2021" s="28" t="n">
        <x:v>40</x:v>
      </x:c>
      <x:c r="N2021" s="28" t="n">
        <x:v>1.862645149230957e-9</x:v>
      </x:c>
      <x:c r="O2021" s="28" t="n">
        <x:v>7.450580596923828e-9</x:v>
      </x:c>
      <x:c r="P2021" s="28" t="n">
        <x:v>0</x:v>
      </x:c>
      <x:c r="Q2021" s="62" t="b">
        <x:v>1</x:v>
      </x:c>
      <x:c r="R2021" s="28" t="n">
        <x:v>0</x:v>
      </x:c>
      <x:c r="S2021" s="28" t="str">
        <x:v>5234273385cfedfd</x:v>
      </x:c>
    </x:row>
    <x:row r="2022" ht="21" customHeight="1">
      <x:c r="A2022" s="60" t="n">
        <x:v>0.67</x:v>
      </x:c>
      <x:c r="B2022" s="28" t="str">
        <x:v>level_high</x:v>
      </x:c>
      <x:c r="C2022" s="60" t="n">
        <x:v>0.95</x:v>
      </x:c>
      <x:c r="D2022" s="60" t="n">
        <x:v>0.9219114501462435</x:v>
      </x:c>
      <x:c r="E2022" s="62" t="b">
        <x:v>0</x:v>
      </x:c>
      <x:c r="F2022" s="62" t="b">
        <x:v>0</x:v>
      </x:c>
      <x:c r="G2022" s="85" t="n">
        <x:v>35035604.058884084</x:v>
      </x:c>
      <x:c r="H2022" s="85" t="n">
        <x:v>78873003.08073996</x:v>
      </x:c>
      <x:c r="I2022" s="85" t="n">
        <x:v>89686854.84528765</x:v>
      </x:c>
      <x:c r="J2022" s="85" t="n">
        <x:v>68999999.99999999</x:v>
      </x:c>
      <x:c r="K2022" s="85" t="n">
        <x:v>147743.6689726054</x:v>
      </x:c>
      <x:c r="L2022" s="28" t="n">
        <x:v>45</x:v>
      </x:c>
      <x:c r="M2022" s="28" t="n">
        <x:v>41</x:v>
      </x:c>
      <x:c r="N2022" s="28" t="n">
        <x:v>0</x:v>
      </x:c>
      <x:c r="O2022" s="28" t="n">
        <x:v>1.4901161193847656e-8</x:v>
      </x:c>
      <x:c r="P2022" s="28" t="n">
        <x:v>0</x:v>
      </x:c>
      <x:c r="Q2022" s="62" t="b">
        <x:v>1</x:v>
      </x:c>
      <x:c r="R2022" s="28" t="n">
        <x:v>8426564.956126928</x:v>
      </x:c>
      <x:c r="S2022" s="28" t="str">
        <x:v>5b9ff8cf6aa1df24</x:v>
      </x:c>
    </x:row>
    <x:row r="2023" ht="21" customHeight="1">
      <x:c r="A2023" s="60" t="n">
        <x:v>0.67</x:v>
      </x:c>
      <x:c r="B2023" s="28" t="str">
        <x:v>level_high</x:v>
      </x:c>
      <x:c r="C2023" s="60" t="n">
        <x:v>1</x:v>
      </x:c>
      <x:c r="D2023" s="60" t="n">
        <x:v>0.9350574964161632</x:v>
      </x:c>
      <x:c r="E2023" s="62" t="b">
        <x:v>0</x:v>
      </x:c>
      <x:c r="F2023" s="62" t="b">
        <x:v>0</x:v>
      </x:c>
      <x:c r="G2023" s="85" t="n">
        <x:v>38110753.299177885</x:v>
      </x:c>
      <x:c r="H2023" s="85" t="n">
        <x:v>82338465.00100583</x:v>
      </x:c>
      <x:c r="I2023" s="85" t="n">
        <x:v>89734966.4147945</x:v>
      </x:c>
      <x:c r="J2023" s="85" t="n">
        <x:v>68999999.99999999</x:v>
      </x:c>
      <x:c r="K2023" s="85" t="n">
        <x:v>131623.60684931793</x:v>
      </x:c>
      <x:c r="L2023" s="28" t="n">
        <x:v>45</x:v>
      </x:c>
      <x:c r="M2023" s="28" t="n">
        <x:v>42</x:v>
      </x:c>
      <x:c r="N2023" s="28" t="n">
        <x:v>1.862645149230957e-9</x:v>
      </x:c>
      <x:c r="O2023" s="28" t="n">
        <x:v>7.450580596923828e-9</x:v>
      </x:c>
      <x:c r="P2023" s="28" t="n">
        <x:v>0</x:v>
      </x:c>
      <x:c r="Q2023" s="62" t="b">
        <x:v>1</x:v>
      </x:c>
      <x:c r="R2023" s="28" t="n">
        <x:v>19482751.075151026</x:v>
      </x:c>
      <x:c r="S2023" s="28" t="str">
        <x:v>d7ef2964ffc08c8c</x:v>
      </x:c>
    </x:row>
    <x:row r="2024" ht="21" customHeight="1">
      <x:c r="A2024" s="60" t="n">
        <x:v>0.68</x:v>
      </x:c>
      <x:c r="B2024" s="28" t="str">
        <x:v>front_flat</x:v>
      </x:c>
      <x:c r="C2024" s="60" t="n">
        <x:v>0</x:v>
      </x:c>
      <x:c r="D2024" s="60" t="n">
        <x:v>0</x:v>
      </x:c>
      <x:c r="E2024" s="62" t="b">
        <x:v>1</x:v>
      </x:c>
      <x:c r="F2024" s="62" t="b">
        <x:v>1</x:v>
      </x:c>
      <x:c r="G2024" s="85" t="n">
        <x:v>0</x:v>
      </x:c>
      <x:c r="H2024" s="85" t="n">
        <x:v>0</x:v>
      </x:c>
      <x:c r="I2024" s="85" t="n">
        <x:v>0</x:v>
      </x:c>
      <x:c r="J2024" s="85" t="n">
        <x:v>0</x:v>
      </x:c>
      <x:c r="K2024" s="85" t="n">
        <x:v>35689016.57328769</x:v>
      </x:c>
      <x:c r="L2024" s="28" t="n">
        <x:v>0</x:v>
      </x:c>
      <x:c r="M2024" s="28" t="n">
        <x:v>0</x:v>
      </x:c>
      <x:c r="N2024" s="28" t="n">
        <x:v>3.725290298461914e-9</x:v>
      </x:c>
      <x:c r="O2024" s="28" t="n">
        <x:v>0</x:v>
      </x:c>
      <x:c r="P2024" s="28" t="n">
        <x:v>0</x:v>
      </x:c>
      <x:c r="Q2024" s="62" t="b">
        <x:v>1</x:v>
      </x:c>
      <x:c r="R2024" s="28" t="n">
        <x:v>0</x:v>
      </x:c>
      <x:c r="S2024" s="28" t="str">
        <x:v>145d8ba1127806ae</x:v>
      </x:c>
    </x:row>
    <x:row r="2025" ht="21" customHeight="1">
      <x:c r="A2025" s="60" t="n">
        <x:v>0.68</x:v>
      </x:c>
      <x:c r="B2025" s="28" t="str">
        <x:v>front_flat</x:v>
      </x:c>
      <x:c r="C2025" s="60" t="n">
        <x:v>0.05</x:v>
      </x:c>
      <x:c r="D2025" s="60" t="n">
        <x:v>0.05</x:v>
      </x:c>
      <x:c r="E2025" s="62" t="b">
        <x:v>1</x:v>
      </x:c>
      <x:c r="F2025" s="62" t="b">
        <x:v>1</x:v>
      </x:c>
      <x:c r="G2025" s="85" t="n">
        <x:v>0</x:v>
      </x:c>
      <x:c r="H2025" s="85" t="n">
        <x:v>0</x:v>
      </x:c>
      <x:c r="I2025" s="85" t="n">
        <x:v>0</x:v>
      </x:c>
      <x:c r="J2025" s="85" t="n">
        <x:v>0</x:v>
      </x:c>
      <x:c r="K2025" s="85" t="n">
        <x:v>23444514.334514264</x:v>
      </x:c>
      <x:c r="L2025" s="28" t="n">
        <x:v>0</x:v>
      </x:c>
      <x:c r="M2025" s="28" t="n">
        <x:v>0</x:v>
      </x:c>
      <x:c r="N2025" s="28" t="n">
        <x:v>3.725290298461914e-9</x:v>
      </x:c>
      <x:c r="O2025" s="28" t="n">
        <x:v>5.960464477539063e-8</x:v>
      </x:c>
      <x:c r="P2025" s="28" t="n">
        <x:v>0</x:v>
      </x:c>
      <x:c r="Q2025" s="62" t="b">
        <x:v>1</x:v>
      </x:c>
      <x:c r="R2025" s="28" t="n">
        <x:v>0</x:v>
      </x:c>
      <x:c r="S2025" s="28" t="str">
        <x:v>944d662097e827e6</x:v>
      </x:c>
    </x:row>
    <x:row r="2026" ht="21" customHeight="1">
      <x:c r="A2026" s="60" t="n">
        <x:v>0.68</x:v>
      </x:c>
      <x:c r="B2026" s="28" t="str">
        <x:v>front_flat</x:v>
      </x:c>
      <x:c r="C2026" s="60" t="n">
        <x:v>0.1</x:v>
      </x:c>
      <x:c r="D2026" s="60" t="n">
        <x:v>0.1</x:v>
      </x:c>
      <x:c r="E2026" s="62" t="b">
        <x:v>1</x:v>
      </x:c>
      <x:c r="F2026" s="62" t="b">
        <x:v>1</x:v>
      </x:c>
      <x:c r="G2026" s="85" t="n">
        <x:v>0</x:v>
      </x:c>
      <x:c r="H2026" s="85" t="n">
        <x:v>0</x:v>
      </x:c>
      <x:c r="I2026" s="85" t="n">
        <x:v>0</x:v>
      </x:c>
      <x:c r="J2026" s="85" t="n">
        <x:v>0</x:v>
      </x:c>
      <x:c r="K2026" s="85" t="n">
        <x:v>11080624.691379525</x:v>
      </x:c>
      <x:c r="L2026" s="28" t="n">
        <x:v>0</x:v>
      </x:c>
      <x:c r="M2026" s="28" t="n">
        <x:v>0</x:v>
      </x:c>
      <x:c r="N2026" s="28" t="n">
        <x:v>3.725290298461914e-9</x:v>
      </x:c>
      <x:c r="O2026" s="28" t="n">
        <x:v>5.960464477539063e-8</x:v>
      </x:c>
      <x:c r="P2026" s="28" t="n">
        <x:v>0</x:v>
      </x:c>
      <x:c r="Q2026" s="62" t="b">
        <x:v>1</x:v>
      </x:c>
      <x:c r="R2026" s="28" t="n">
        <x:v>0</x:v>
      </x:c>
      <x:c r="S2026" s="28" t="str">
        <x:v>6288b164ea1dd7e8</x:v>
      </x:c>
    </x:row>
    <x:row r="2027" ht="21" customHeight="1">
      <x:c r="A2027" s="60" t="n">
        <x:v>0.68</x:v>
      </x:c>
      <x:c r="B2027" s="28" t="str">
        <x:v>front_flat</x:v>
      </x:c>
      <x:c r="C2027" s="60" t="n">
        <x:v>0.15</x:v>
      </x:c>
      <x:c r="D2027" s="60" t="n">
        <x:v>0.15</x:v>
      </x:c>
      <x:c r="E2027" s="62" t="b">
        <x:v>1</x:v>
      </x:c>
      <x:c r="F2027" s="62" t="b">
        <x:v>1</x:v>
      </x:c>
      <x:c r="G2027" s="85" t="n">
        <x:v>0</x:v>
      </x:c>
      <x:c r="H2027" s="85" t="n">
        <x:v>0</x:v>
      </x:c>
      <x:c r="I2027" s="85" t="n">
        <x:v>1741771.3975472078</x:v>
      </x:c>
      <x:c r="J2027" s="85" t="n">
        <x:v>0</x:v>
      </x:c>
      <x:c r="K2027" s="85" t="n">
        <x:v>1176765.4377117315</x:v>
      </x:c>
      <x:c r="L2027" s="28" t="n">
        <x:v>0</x:v>
      </x:c>
      <x:c r="M2027" s="28" t="n">
        <x:v>0</x:v>
      </x:c>
      <x:c r="N2027" s="28" t="n">
        <x:v>3.725290298461914e-9</x:v>
      </x:c>
      <x:c r="O2027" s="28" t="n">
        <x:v>2.9802322387695312e-8</x:v>
      </x:c>
      <x:c r="P2027" s="28" t="n">
        <x:v>0</x:v>
      </x:c>
      <x:c r="Q2027" s="62" t="b">
        <x:v>1</x:v>
      </x:c>
      <x:c r="R2027" s="28" t="n">
        <x:v>0</x:v>
      </x:c>
      <x:c r="S2027" s="28" t="str">
        <x:v>8bfa121665396f97</x:v>
      </x:c>
    </x:row>
    <x:row r="2028" ht="21" customHeight="1">
      <x:c r="A2028" s="60" t="n">
        <x:v>0.68</x:v>
      </x:c>
      <x:c r="B2028" s="28" t="str">
        <x:v>front_flat</x:v>
      </x:c>
      <x:c r="C2028" s="60" t="n">
        <x:v>0.2</x:v>
      </x:c>
      <x:c r="D2028" s="60" t="n">
        <x:v>0.2</x:v>
      </x:c>
      <x:c r="E2028" s="62" t="b">
        <x:v>1</x:v>
      </x:c>
      <x:c r="F2028" s="62" t="b">
        <x:v>1</x:v>
      </x:c>
      <x:c r="G2028" s="85" t="n">
        <x:v>0</x:v>
      </x:c>
      <x:c r="H2028" s="85" t="n">
        <x:v>0</x:v>
      </x:c>
      <x:c r="I2028" s="85" t="n">
        <x:v>9752565.015069202</x:v>
      </x:c>
      <x:c r="J2028" s="85" t="n">
        <x:v>6284479.497374642</x:v>
      </x:c>
      <x:c r="K2028" s="85" t="n">
        <x:v>649654.161469864</x:v>
      </x:c>
      <x:c r="L2028" s="28" t="n">
        <x:v>0</x:v>
      </x:c>
      <x:c r="M2028" s="28" t="n">
        <x:v>0</x:v>
      </x:c>
      <x:c r="N2028" s="28" t="n">
        <x:v>3.725290298461914e-9</x:v>
      </x:c>
      <x:c r="O2028" s="28" t="n">
        <x:v>2.9802322387695312e-8</x:v>
      </x:c>
      <x:c r="P2028" s="28" t="n">
        <x:v>0</x:v>
      </x:c>
      <x:c r="Q2028" s="62" t="b">
        <x:v>1</x:v>
      </x:c>
      <x:c r="R2028" s="28" t="n">
        <x:v>0</x:v>
      </x:c>
      <x:c r="S2028" s="28" t="str">
        <x:v>500e82cee7da3eb6</x:v>
      </x:c>
    </x:row>
    <x:row r="2029" ht="21" customHeight="1">
      <x:c r="A2029" s="60" t="n">
        <x:v>0.68</x:v>
      </x:c>
      <x:c r="B2029" s="28" t="str">
        <x:v>front_flat</x:v>
      </x:c>
      <x:c r="C2029" s="60" t="n">
        <x:v>0.25</x:v>
      </x:c>
      <x:c r="D2029" s="60" t="n">
        <x:v>0.25</x:v>
      </x:c>
      <x:c r="E2029" s="62" t="b">
        <x:v>1</x:v>
      </x:c>
      <x:c r="F2029" s="62" t="b">
        <x:v>1</x:v>
      </x:c>
      <x:c r="G2029" s="85" t="n">
        <x:v>0</x:v>
      </x:c>
      <x:c r="H2029" s="85" t="n">
        <x:v>0</x:v>
      </x:c>
      <x:c r="I2029" s="85" t="n">
        <x:v>16236926.34718695</x:v>
      </x:c>
      <x:c r="J2029" s="85" t="n">
        <x:v>15355599.371718226</x:v>
      </x:c>
      <x:c r="K2029" s="85" t="n">
        <x:v>445383.82683733746</x:v>
      </x:c>
      <x:c r="L2029" s="28" t="n">
        <x:v>0</x:v>
      </x:c>
      <x:c r="M2029" s="28" t="n">
        <x:v>0</x:v>
      </x:c>
      <x:c r="N2029" s="28" t="n">
        <x:v>1.862645149230957e-9</x:v>
      </x:c>
      <x:c r="O2029" s="28" t="n">
        <x:v>1.4901161193847656e-8</x:v>
      </x:c>
      <x:c r="P2029" s="28" t="n">
        <x:v>0</x:v>
      </x:c>
      <x:c r="Q2029" s="62" t="b">
        <x:v>1</x:v>
      </x:c>
      <x:c r="R2029" s="28" t="n">
        <x:v>0</x:v>
      </x:c>
      <x:c r="S2029" s="28" t="str">
        <x:v>066d6b587959a334</x:v>
      </x:c>
    </x:row>
    <x:row r="2030" ht="21" customHeight="1">
      <x:c r="A2030" s="60" t="n">
        <x:v>0.68</x:v>
      </x:c>
      <x:c r="B2030" s="28" t="str">
        <x:v>front_flat</x:v>
      </x:c>
      <x:c r="C2030" s="60" t="n">
        <x:v>0.3</x:v>
      </x:c>
      <x:c r="D2030" s="60" t="n">
        <x:v>0.3</x:v>
      </x:c>
      <x:c r="E2030" s="62" t="b">
        <x:v>1</x:v>
      </x:c>
      <x:c r="F2030" s="62" t="b">
        <x:v>1</x:v>
      </x:c>
      <x:c r="G2030" s="85" t="n">
        <x:v>0</x:v>
      </x:c>
      <x:c r="H2030" s="85" t="n">
        <x:v>0</x:v>
      </x:c>
      <x:c r="I2030" s="85" t="n">
        <x:v>23029053.060152177</x:v>
      </x:c>
      <x:c r="J2030" s="85" t="n">
        <x:v>24426719.24606188</x:v>
      </x:c>
      <x:c r="K2030" s="85" t="n">
        <x:v>354001.71015273954</x:v>
      </x:c>
      <x:c r="L2030" s="28" t="n">
        <x:v>0</x:v>
      </x:c>
      <x:c r="M2030" s="28" t="n">
        <x:v>0</x:v>
      </x:c>
      <x:c r="N2030" s="28" t="n">
        <x:v>1.862645149230957e-9</x:v>
      </x:c>
      <x:c r="O2030" s="28" t="n">
        <x:v>2.9802322387695312e-8</x:v>
      </x:c>
      <x:c r="P2030" s="28" t="n">
        <x:v>0</x:v>
      </x:c>
      <x:c r="Q2030" s="62" t="b">
        <x:v>1</x:v>
      </x:c>
      <x:c r="R2030" s="28" t="n">
        <x:v>0</x:v>
      </x:c>
      <x:c r="S2030" s="28" t="str">
        <x:v>dc49b8aa955a9976</x:v>
      </x:c>
    </x:row>
    <x:row r="2031" ht="21" customHeight="1">
      <x:c r="A2031" s="60" t="n">
        <x:v>0.68</x:v>
      </x:c>
      <x:c r="B2031" s="28" t="str">
        <x:v>front_flat</x:v>
      </x:c>
      <x:c r="C2031" s="60" t="n">
        <x:v>0.35</x:v>
      </x:c>
      <x:c r="D2031" s="60" t="n">
        <x:v>0.35</x:v>
      </x:c>
      <x:c r="E2031" s="62" t="b">
        <x:v>1</x:v>
      </x:c>
      <x:c r="F2031" s="62" t="b">
        <x:v>1</x:v>
      </x:c>
      <x:c r="G2031" s="85" t="n">
        <x:v>0</x:v>
      </x:c>
      <x:c r="H2031" s="85" t="n">
        <x:v>0</x:v>
      </x:c>
      <x:c r="I2031" s="85" t="n">
        <x:v>30963211.44101522</x:v>
      </x:c>
      <x:c r="J2031" s="85" t="n">
        <x:v>30315373.03627011</x:v>
      </x:c>
      <x:c r="K2031" s="85" t="n">
        <x:v>291778.6502010374</x:v>
      </x:c>
      <x:c r="L2031" s="28" t="n">
        <x:v>3</x:v>
      </x:c>
      <x:c r="M2031" s="28" t="n">
        <x:v>0</x:v>
      </x:c>
      <x:c r="N2031" s="28" t="n">
        <x:v>3.725290298461914e-9</x:v>
      </x:c>
      <x:c r="O2031" s="28" t="n">
        <x:v>7.450580596923828e-9</x:v>
      </x:c>
      <x:c r="P2031" s="28" t="n">
        <x:v>0</x:v>
      </x:c>
      <x:c r="Q2031" s="62" t="b">
        <x:v>1</x:v>
      </x:c>
      <x:c r="R2031" s="28" t="n">
        <x:v>0</x:v>
      </x:c>
      <x:c r="S2031" s="28" t="str">
        <x:v>3bbef4adfcf9b7d2</x:v>
      </x:c>
    </x:row>
    <x:row r="2032" ht="21" customHeight="1">
      <x:c r="A2032" s="60" t="n">
        <x:v>0.68</x:v>
      </x:c>
      <x:c r="B2032" s="28" t="str">
        <x:v>front_flat</x:v>
      </x:c>
      <x:c r="C2032" s="60" t="n">
        <x:v>0.4</x:v>
      </x:c>
      <x:c r="D2032" s="60" t="n">
        <x:v>0.4</x:v>
      </x:c>
      <x:c r="E2032" s="62" t="b">
        <x:v>1</x:v>
      </x:c>
      <x:c r="F2032" s="62" t="b">
        <x:v>1</x:v>
      </x:c>
      <x:c r="G2032" s="85" t="n">
        <x:v>0</x:v>
      </x:c>
      <x:c r="H2032" s="85" t="n">
        <x:v>0</x:v>
      </x:c>
      <x:c r="I2032" s="85" t="n">
        <x:v>39858640.44095295</x:v>
      </x:c>
      <x:c r="J2032" s="85" t="n">
        <x:v>33155612.818350647</x:v>
      </x:c>
      <x:c r="K2032" s="85" t="n">
        <x:v>229555.590249312</x:v>
      </x:c>
      <x:c r="L2032" s="28" t="n">
        <x:v>9</x:v>
      </x:c>
      <x:c r="M2032" s="28" t="n">
        <x:v>0</x:v>
      </x:c>
      <x:c r="N2032" s="28" t="n">
        <x:v>3.725290298461914e-9</x:v>
      </x:c>
      <x:c r="O2032" s="28" t="n">
        <x:v>2.9802322387695312e-8</x:v>
      </x:c>
      <x:c r="P2032" s="28" t="n">
        <x:v>0</x:v>
      </x:c>
      <x:c r="Q2032" s="62" t="b">
        <x:v>1</x:v>
      </x:c>
      <x:c r="R2032" s="28" t="n">
        <x:v>0</x:v>
      </x:c>
      <x:c r="S2032" s="28" t="str">
        <x:v>6d9c8c652f3f3f7b</x:v>
      </x:c>
    </x:row>
    <x:row r="2033" ht="21" customHeight="1">
      <x:c r="A2033" s="60" t="n">
        <x:v>0.68</x:v>
      </x:c>
      <x:c r="B2033" s="28" t="str">
        <x:v>front_flat</x:v>
      </x:c>
      <x:c r="C2033" s="60" t="n">
        <x:v>0.45</x:v>
      </x:c>
      <x:c r="D2033" s="60" t="n">
        <x:v>0.45</x:v>
      </x:c>
      <x:c r="E2033" s="62" t="b">
        <x:v>1</x:v>
      </x:c>
      <x:c r="F2033" s="62" t="b">
        <x:v>1</x:v>
      </x:c>
      <x:c r="G2033" s="85" t="n">
        <x:v>0</x:v>
      </x:c>
      <x:c r="H2033" s="85" t="n">
        <x:v>0</x:v>
      </x:c>
      <x:c r="I2033" s="85" t="n">
        <x:v>48116126.26935417</x:v>
      </x:c>
      <x:c r="J2033" s="85" t="n">
        <x:v>38945716.09602307</x:v>
      </x:c>
      <x:c r="K2033" s="85" t="n">
        <x:v>167332.5302976061</x:v>
      </x:c>
      <x:c r="L2033" s="28" t="n">
        <x:v>15</x:v>
      </x:c>
      <x:c r="M2033" s="28" t="n">
        <x:v>0</x:v>
      </x:c>
      <x:c r="N2033" s="28" t="n">
        <x:v>1.862645149230957e-9</x:v>
      </x:c>
      <x:c r="O2033" s="28" t="n">
        <x:v>2.9802322387695312e-8</x:v>
      </x:c>
      <x:c r="P2033" s="28" t="n">
        <x:v>0</x:v>
      </x:c>
      <x:c r="Q2033" s="62" t="b">
        <x:v>1</x:v>
      </x:c>
      <x:c r="R2033" s="28" t="n">
        <x:v>0</x:v>
      </x:c>
      <x:c r="S2033" s="28" t="str">
        <x:v>42e7a00b804e8689</x:v>
      </x:c>
    </x:row>
    <x:row r="2034" ht="21" customHeight="1">
      <x:c r="A2034" s="60" t="n">
        <x:v>0.68</x:v>
      </x:c>
      <x:c r="B2034" s="28" t="str">
        <x:v>front_flat</x:v>
      </x:c>
      <x:c r="C2034" s="60" t="n">
        <x:v>0.5</x:v>
      </x:c>
      <x:c r="D2034" s="60" t="n">
        <x:v>0.5</x:v>
      </x:c>
      <x:c r="E2034" s="62" t="b">
        <x:v>1</x:v>
      </x:c>
      <x:c r="F2034" s="62" t="b">
        <x:v>1</x:v>
      </x:c>
      <x:c r="G2034" s="85" t="n">
        <x:v>0</x:v>
      </x:c>
      <x:c r="H2034" s="85" t="n">
        <x:v>0</x:v>
      </x:c>
      <x:c r="I2034" s="85" t="n">
        <x:v>54809853.52983264</x:v>
      </x:c>
      <x:c r="J2034" s="85" t="n">
        <x:v>48646283.50454106</x:v>
      </x:c>
      <x:c r="K2034" s="85" t="n">
        <x:v>105109.47034588952</x:v>
      </x:c>
      <x:c r="L2034" s="28" t="n">
        <x:v>19</x:v>
      </x:c>
      <x:c r="M2034" s="28" t="n">
        <x:v>0</x:v>
      </x:c>
      <x:c r="N2034" s="28" t="n">
        <x:v>1.862645149230957e-9</x:v>
      </x:c>
      <x:c r="O2034" s="28" t="n">
        <x:v>2.9802322387695312e-8</x:v>
      </x:c>
      <x:c r="P2034" s="28" t="n">
        <x:v>0</x:v>
      </x:c>
      <x:c r="Q2034" s="62" t="b">
        <x:v>1</x:v>
      </x:c>
      <x:c r="R2034" s="28" t="n">
        <x:v>0</x:v>
      </x:c>
      <x:c r="S2034" s="28" t="str">
        <x:v>0848fdce45e196a5</x:v>
      </x:c>
    </x:row>
    <x:row r="2035" ht="21" customHeight="1">
      <x:c r="A2035" s="60" t="n">
        <x:v>0.68</x:v>
      </x:c>
      <x:c r="B2035" s="28" t="str">
        <x:v>front_flat</x:v>
      </x:c>
      <x:c r="C2035" s="60" t="n">
        <x:v>0.55</x:v>
      </x:c>
      <x:c r="D2035" s="60" t="n">
        <x:v>0.55</x:v>
      </x:c>
      <x:c r="E2035" s="62" t="b">
        <x:v>1</x:v>
      </x:c>
      <x:c r="F2035" s="62" t="b">
        <x:v>1</x:v>
      </x:c>
      <x:c r="G2035" s="85" t="n">
        <x:v>0</x:v>
      </x:c>
      <x:c r="H2035" s="85" t="n">
        <x:v>0</x:v>
      </x:c>
      <x:c r="I2035" s="85" t="n">
        <x:v>61122028.56920156</x:v>
      </x:c>
      <x:c r="J2035" s="85" t="n">
        <x:v>58459751.879805855</x:v>
      </x:c>
      <x:c r="K2035" s="85" t="n">
        <x:v>75357.20135959148</x:v>
      </x:c>
      <x:c r="L2035" s="28" t="n">
        <x:v>22</x:v>
      </x:c>
      <x:c r="M2035" s="28" t="n">
        <x:v>3</x:v>
      </x:c>
      <x:c r="N2035" s="28" t="n">
        <x:v>1.862645149230957e-9</x:v>
      </x:c>
      <x:c r="O2035" s="28" t="n">
        <x:v>2.9802322387695312e-8</x:v>
      </x:c>
      <x:c r="P2035" s="28" t="n">
        <x:v>0</x:v>
      </x:c>
      <x:c r="Q2035" s="62" t="b">
        <x:v>1</x:v>
      </x:c>
      <x:c r="R2035" s="28" t="n">
        <x:v>0</x:v>
      </x:c>
      <x:c r="S2035" s="28" t="str">
        <x:v>26e78c83807c686b</x:v>
      </x:c>
    </x:row>
    <x:row r="2036" ht="21" customHeight="1">
      <x:c r="A2036" s="60" t="n">
        <x:v>0.68</x:v>
      </x:c>
      <x:c r="B2036" s="28" t="str">
        <x:v>front_flat</x:v>
      </x:c>
      <x:c r="C2036" s="60" t="n">
        <x:v>0.6</x:v>
      </x:c>
      <x:c r="D2036" s="60" t="n">
        <x:v>0.6</x:v>
      </x:c>
      <x:c r="E2036" s="62" t="b">
        <x:v>1</x:v>
      </x:c>
      <x:c r="F2036" s="62" t="b">
        <x:v>0</x:v>
      </x:c>
      <x:c r="G2036" s="85" t="n">
        <x:v>741480.4450408565</x:v>
      </x:c>
      <x:c r="H2036" s="85" t="n">
        <x:v>4807413.340591178</x:v>
      </x:c>
      <x:c r="I2036" s="85" t="n">
        <x:v>64584164.38356158</x:v>
      </x:c>
      <x:c r="J2036" s="85" t="n">
        <x:v>65999999.999999985</x:v>
      </x:c>
      <x:c r="K2036" s="85" t="n">
        <x:v>54537.10384931418</x:v>
      </x:c>
      <x:c r="L2036" s="28" t="n">
        <x:v>46</x:v>
      </x:c>
      <x:c r="M2036" s="28" t="n">
        <x:v>34</x:v>
      </x:c>
      <x:c r="N2036" s="28" t="n">
        <x:v>1.862645149230957e-9</x:v>
      </x:c>
      <x:c r="O2036" s="28" t="n">
        <x:v>2.9802322387695312e-8</x:v>
      </x:c>
      <x:c r="P2036" s="28" t="n">
        <x:v>0</x:v>
      </x:c>
      <x:c r="Q2036" s="62" t="b">
        <x:v>1</x:v>
      </x:c>
      <x:c r="R2036" s="28" t="n">
        <x:v>0</x:v>
      </x:c>
      <x:c r="S2036" s="28" t="str">
        <x:v>31b1d93b7b47d52d</x:v>
      </x:c>
    </x:row>
    <x:row r="2037" ht="21" customHeight="1">
      <x:c r="A2037" s="60" t="n">
        <x:v>0.68</x:v>
      </x:c>
      <x:c r="B2037" s="28" t="str">
        <x:v>front_flat</x:v>
      </x:c>
      <x:c r="C2037" s="60" t="n">
        <x:v>0.65</x:v>
      </x:c>
      <x:c r="D2037" s="60" t="n">
        <x:v>0.65</x:v>
      </x:c>
      <x:c r="E2037" s="62" t="b">
        <x:v>1</x:v>
      </x:c>
      <x:c r="F2037" s="62" t="b">
        <x:v>0</x:v>
      </x:c>
      <x:c r="G2037" s="85" t="n">
        <x:v>3137445.501994297</x:v>
      </x:c>
      <x:c r="H2037" s="85" t="n">
        <x:v>18136694.71792148</x:v>
      </x:c>
      <x:c r="I2037" s="85" t="n">
        <x:v>64594359.47269754</x:v>
      </x:c>
      <x:c r="J2037" s="85" t="n">
        <x:v>65999999.999999985</x:v>
      </x:c>
      <x:c r="K2037" s="85" t="n">
        <x:v>33717.00633904434</x:v>
      </x:c>
      <x:c r="L2037" s="28" t="n">
        <x:v>46</x:v>
      </x:c>
      <x:c r="M2037" s="28" t="n">
        <x:v>37</x:v>
      </x:c>
      <x:c r="N2037" s="28" t="n">
        <x:v>1.862645149230957e-9</x:v>
      </x:c>
      <x:c r="O2037" s="28" t="n">
        <x:v>2.9802322387695312e-8</x:v>
      </x:c>
      <x:c r="P2037" s="28" t="n">
        <x:v>0</x:v>
      </x:c>
      <x:c r="Q2037" s="62" t="b">
        <x:v>1</x:v>
      </x:c>
      <x:c r="R2037" s="28" t="n">
        <x:v>0</x:v>
      </x:c>
      <x:c r="S2037" s="28" t="str">
        <x:v>41b8821fe6ed9f4c</x:v>
      </x:c>
    </x:row>
    <x:row r="2038" ht="21" customHeight="1">
      <x:c r="A2038" s="60" t="n">
        <x:v>0.68</x:v>
      </x:c>
      <x:c r="B2038" s="28" t="str">
        <x:v>front_flat</x:v>
      </x:c>
      <x:c r="C2038" s="60" t="n">
        <x:v>0.7</x:v>
      </x:c>
      <x:c r="D2038" s="60" t="n">
        <x:v>0.7</x:v>
      </x:c>
      <x:c r="E2038" s="62" t="b">
        <x:v>1</x:v>
      </x:c>
      <x:c r="F2038" s="62" t="b">
        <x:v>0</x:v>
      </x:c>
      <x:c r="G2038" s="85" t="n">
        <x:v>5472663.506724067</x:v>
      </x:c>
      <x:c r="H2038" s="85" t="n">
        <x:v>30999556.66505664</x:v>
      </x:c>
      <x:c r="I2038" s="85" t="n">
        <x:v>64636309.37007049</x:v>
      </x:c>
      <x:c r="J2038" s="85" t="n">
        <x:v>65999999.999999985</x:v>
      </x:c>
      <x:c r="K2038" s="85" t="n">
        <x:v>12896.908828768443</x:v>
      </x:c>
      <x:c r="L2038" s="28" t="n">
        <x:v>46</x:v>
      </x:c>
      <x:c r="M2038" s="28" t="n">
        <x:v>40</x:v>
      </x:c>
      <x:c r="N2038" s="28" t="n">
        <x:v>3.725290298461914e-9</x:v>
      </x:c>
      <x:c r="O2038" s="28" t="n">
        <x:v>2.9802322387695312e-8</x:v>
      </x:c>
      <x:c r="P2038" s="28" t="n">
        <x:v>0</x:v>
      </x:c>
      <x:c r="Q2038" s="62" t="b">
        <x:v>1</x:v>
      </x:c>
      <x:c r="R2038" s="28" t="n">
        <x:v>0</x:v>
      </x:c>
      <x:c r="S2038" s="28" t="str">
        <x:v>84abcaac8fa87b81</x:v>
      </x:c>
    </x:row>
    <x:row r="2039" ht="21" customHeight="1">
      <x:c r="A2039" s="60" t="n">
        <x:v>0.68</x:v>
      </x:c>
      <x:c r="B2039" s="28" t="str">
        <x:v>front_flat</x:v>
      </x:c>
      <x:c r="C2039" s="60" t="n">
        <x:v>0.75</x:v>
      </x:c>
      <x:c r="D2039" s="60" t="n">
        <x:v>0.75</x:v>
      </x:c>
      <x:c r="E2039" s="62" t="b">
        <x:v>1</x:v>
      </x:c>
      <x:c r="F2039" s="62" t="b">
        <x:v>0</x:v>
      </x:c>
      <x:c r="G2039" s="85" t="n">
        <x:v>8113013.138021483</x:v>
      </x:c>
      <x:c r="H2039" s="85" t="n">
        <x:v>43658878.79199901</x:v>
      </x:c>
      <x:c r="I2039" s="85" t="n">
        <x:v>64678259.26744343</x:v>
      </x:c>
      <x:c r="J2039" s="85" t="n">
        <x:v>65999999.999999985</x:v>
      </x:c>
      <x:c r="K2039" s="85" t="n">
        <x:v>0</x:v>
      </x:c>
      <x:c r="L2039" s="28" t="n">
        <x:v>46</x:v>
      </x:c>
      <x:c r="M2039" s="28" t="n">
        <x:v>42</x:v>
      </x:c>
      <x:c r="N2039" s="28" t="n">
        <x:v>1.862645149230957e-9</x:v>
      </x:c>
      <x:c r="O2039" s="28" t="n">
        <x:v>2.9802322387695312e-8</x:v>
      </x:c>
      <x:c r="P2039" s="28" t="n">
        <x:v>0</x:v>
      </x:c>
      <x:c r="Q2039" s="62" t="b">
        <x:v>1</x:v>
      </x:c>
      <x:c r="R2039" s="28" t="n">
        <x:v>0</x:v>
      </x:c>
      <x:c r="S2039" s="28" t="str">
        <x:v>fcf3afe3afa166db</x:v>
      </x:c>
    </x:row>
    <x:row r="2040" ht="21" customHeight="1">
      <x:c r="A2040" s="60" t="n">
        <x:v>0.68</x:v>
      </x:c>
      <x:c r="B2040" s="28" t="str">
        <x:v>front_flat</x:v>
      </x:c>
      <x:c r="C2040" s="60" t="n">
        <x:v>0.8</x:v>
      </x:c>
      <x:c r="D2040" s="60" t="n">
        <x:v>0.8</x:v>
      </x:c>
      <x:c r="E2040" s="62" t="b">
        <x:v>1</x:v>
      </x:c>
      <x:c r="F2040" s="62" t="b">
        <x:v>0</x:v>
      </x:c>
      <x:c r="G2040" s="85" t="n">
        <x:v>10578816.841119403</x:v>
      </x:c>
      <x:c r="H2040" s="85" t="n">
        <x:v>54337197.779982604</x:v>
      </x:c>
      <x:c r="I2040" s="85" t="n">
        <x:v>65982821.91780816</x:v>
      </x:c>
      <x:c r="J2040" s="85" t="n">
        <x:v>65999999.999999985</x:v>
      </x:c>
      <x:c r="K2040" s="85" t="n">
        <x:v>0</x:v>
      </x:c>
      <x:c r="L2040" s="28" t="n">
        <x:v>47</x:v>
      </x:c>
      <x:c r="M2040" s="28" t="n">
        <x:v>44</x:v>
      </x:c>
      <x:c r="N2040" s="28" t="n">
        <x:v>1.862645149230957e-9</x:v>
      </x:c>
      <x:c r="O2040" s="28" t="n">
        <x:v>1.4901161193847656e-8</x:v>
      </x:c>
      <x:c r="P2040" s="28" t="n">
        <x:v>0</x:v>
      </x:c>
      <x:c r="Q2040" s="62" t="b">
        <x:v>1</x:v>
      </x:c>
      <x:c r="R2040" s="28" t="n">
        <x:v>0</x:v>
      </x:c>
      <x:c r="S2040" s="28" t="str">
        <x:v>408a8daca3195150</x:v>
      </x:c>
    </x:row>
    <x:row r="2041" ht="21" customHeight="1">
      <x:c r="A2041" s="60" t="n">
        <x:v>0.68</x:v>
      </x:c>
      <x:c r="B2041" s="28" t="str">
        <x:v>front_flat</x:v>
      </x:c>
      <x:c r="C2041" s="60" t="n">
        <x:v>0.85</x:v>
      </x:c>
      <x:c r="D2041" s="60" t="n">
        <x:v>0.85</x:v>
      </x:c>
      <x:c r="E2041" s="62" t="b">
        <x:v>1</x:v>
      </x:c>
      <x:c r="F2041" s="62" t="b">
        <x:v>0</x:v>
      </x:c>
      <x:c r="G2041" s="85" t="n">
        <x:v>13169452.382457208</x:v>
      </x:c>
      <x:c r="H2041" s="85" t="n">
        <x:v>66756980.98669558</x:v>
      </x:c>
      <x:c r="I2041" s="85" t="n">
        <x:v>65982821.91780816</x:v>
      </x:c>
      <x:c r="J2041" s="85" t="n">
        <x:v>65999999.999999985</x:v>
      </x:c>
      <x:c r="K2041" s="85" t="n">
        <x:v>0</x:v>
      </x:c>
      <x:c r="L2041" s="28" t="n">
        <x:v>47</x:v>
      </x:c>
      <x:c r="M2041" s="28" t="n">
        <x:v>44</x:v>
      </x:c>
      <x:c r="N2041" s="28" t="n">
        <x:v>1.862645149230957e-9</x:v>
      </x:c>
      <x:c r="O2041" s="28" t="n">
        <x:v>1.862645149230957e-9</x:v>
      </x:c>
      <x:c r="P2041" s="28" t="n">
        <x:v>0</x:v>
      </x:c>
      <x:c r="Q2041" s="62" t="b">
        <x:v>1</x:v>
      </x:c>
      <x:c r="R2041" s="28" t="n">
        <x:v>0</x:v>
      </x:c>
      <x:c r="S2041" s="28" t="str">
        <x:v>7786f69a8ab09f56</x:v>
      </x:c>
    </x:row>
    <x:row r="2042" ht="21" customHeight="1">
      <x:c r="A2042" s="60" t="n">
        <x:v>0.68</x:v>
      </x:c>
      <x:c r="B2042" s="28" t="str">
        <x:v>front_flat</x:v>
      </x:c>
      <x:c r="C2042" s="60" t="n">
        <x:v>0.9</x:v>
      </x:c>
      <x:c r="D2042" s="60" t="n">
        <x:v>0.9</x:v>
      </x:c>
      <x:c r="E2042" s="62" t="b">
        <x:v>1</x:v>
      </x:c>
      <x:c r="F2042" s="62" t="b">
        <x:v>0</x:v>
      </x:c>
      <x:c r="G2042" s="85" t="n">
        <x:v>18202778.48282554</x:v>
      </x:c>
      <x:c r="H2042" s="85" t="n">
        <x:v>77921959.50349328</x:v>
      </x:c>
      <x:c r="I2042" s="85" t="n">
        <x:v>65982821.91780816</x:v>
      </x:c>
      <x:c r="J2042" s="85" t="n">
        <x:v>65999999.999999985</x:v>
      </x:c>
      <x:c r="K2042" s="85" t="n">
        <x:v>0</x:v>
      </x:c>
      <x:c r="L2042" s="28" t="n">
        <x:v>47</x:v>
      </x:c>
      <x:c r="M2042" s="28" t="n">
        <x:v>44</x:v>
      </x:c>
      <x:c r="N2042" s="28" t="n">
        <x:v>9.313225746154785e-10</x:v>
      </x:c>
      <x:c r="O2042" s="28" t="n">
        <x:v>1.4901161193847656e-8</x:v>
      </x:c>
      <x:c r="P2042" s="28" t="n">
        <x:v>0</x:v>
      </x:c>
      <x:c r="Q2042" s="62" t="b">
        <x:v>1</x:v>
      </x:c>
      <x:c r="R2042" s="28" t="n">
        <x:v>0</x:v>
      </x:c>
      <x:c r="S2042" s="28" t="str">
        <x:v>7368ce89330d854a</x:v>
      </x:c>
    </x:row>
    <x:row r="2043" ht="21" customHeight="1">
      <x:c r="A2043" s="60" t="n">
        <x:v>0.68</x:v>
      </x:c>
      <x:c r="B2043" s="28" t="str">
        <x:v>front_flat</x:v>
      </x:c>
      <x:c r="C2043" s="60" t="n">
        <x:v>0.95</x:v>
      </x:c>
      <x:c r="D2043" s="60" t="n">
        <x:v>0.9497739906324524</x:v>
      </x:c>
      <x:c r="E2043" s="62" t="b">
        <x:v>0</x:v>
      </x:c>
      <x:c r="F2043" s="62" t="b">
        <x:v>0</x:v>
      </x:c>
      <x:c r="G2043" s="85" t="n">
        <x:v>22671100.49767307</x:v>
      </x:c>
      <x:c r="H2043" s="85" t="n">
        <x:v>85836186.0674938</x:v>
      </x:c>
      <x:c r="I2043" s="85" t="n">
        <x:v>65982821.91780816</x:v>
      </x:c>
      <x:c r="J2043" s="85" t="n">
        <x:v>65999999.999999985</x:v>
      </x:c>
      <x:c r="K2043" s="85" t="n">
        <x:v>0</x:v>
      </x:c>
      <x:c r="L2043" s="28" t="n">
        <x:v>47</x:v>
      </x:c>
      <x:c r="M2043" s="28" t="n">
        <x:v>45</x:v>
      </x:c>
      <x:c r="N2043" s="28" t="n">
        <x:v>1.862645149230957e-9</x:v>
      </x:c>
      <x:c r="O2043" s="28" t="n">
        <x:v>1.4901161193847656e-8</x:v>
      </x:c>
      <x:c r="P2043" s="28" t="n">
        <x:v>0</x:v>
      </x:c>
      <x:c r="Q2043" s="62" t="b">
        <x:v>1</x:v>
      </x:c>
      <x:c r="R2043" s="28" t="n">
        <x:v>67802.81026428938</x:v>
      </x:c>
      <x:c r="S2043" s="28" t="str">
        <x:v>4556800c72416ac5</x:v>
      </x:c>
    </x:row>
    <x:row r="2044" ht="21" customHeight="1">
      <x:c r="A2044" s="60" t="n">
        <x:v>0.68</x:v>
      </x:c>
      <x:c r="B2044" s="28" t="str">
        <x:v>front_flat</x:v>
      </x:c>
      <x:c r="C2044" s="60" t="n">
        <x:v>1</x:v>
      </x:c>
      <x:c r="D2044" s="60" t="n">
        <x:v>0.9646994850752131</x:v>
      </x:c>
      <x:c r="E2044" s="62" t="b">
        <x:v>0</x:v>
      </x:c>
      <x:c r="F2044" s="62" t="b">
        <x:v>0</x:v>
      </x:c>
      <x:c r="G2044" s="85" t="n">
        <x:v>24678385.86381205</x:v>
      </x:c>
      <x:c r="H2044" s="85" t="n">
        <x:v>89670796.40317166</x:v>
      </x:c>
      <x:c r="I2044" s="85" t="n">
        <x:v>65983886.689931445</x:v>
      </x:c>
      <x:c r="J2044" s="85" t="n">
        <x:v>65999999.999999985</x:v>
      </x:c>
      <x:c r="K2044" s="85" t="n">
        <x:v>0</x:v>
      </x:c>
      <x:c r="L2044" s="28" t="n">
        <x:v>47</x:v>
      </x:c>
      <x:c r="M2044" s="28" t="n">
        <x:v>45</x:v>
      </x:c>
      <x:c r="N2044" s="28" t="n">
        <x:v>1.862645149230957e-9</x:v>
      </x:c>
      <x:c r="O2044" s="28" t="n">
        <x:v>3.725290298461914e-9</x:v>
      </x:c>
      <x:c r="P2044" s="28" t="n">
        <x:v>0</x:v>
      </x:c>
      <x:c r="Q2044" s="62" t="b">
        <x:v>1</x:v>
      </x:c>
      <x:c r="R2044" s="28" t="n">
        <x:v>10590154.477436066</x:v>
      </x:c>
      <x:c r="S2044" s="28" t="str">
        <x:v>99b8b9733d137af3</x:v>
      </x:c>
    </x:row>
    <x:row r="2045" ht="21" customHeight="1">
      <x:c r="A2045" s="60" t="n">
        <x:v>0.68</x:v>
      </x:c>
      <x:c r="B2045" s="28" t="str">
        <x:v>front_low</x:v>
      </x:c>
      <x:c r="C2045" s="60" t="n">
        <x:v>0</x:v>
      </x:c>
      <x:c r="D2045" s="60" t="n">
        <x:v>0</x:v>
      </x:c>
      <x:c r="E2045" s="62" t="b">
        <x:v>1</x:v>
      </x:c>
      <x:c r="F2045" s="62" t="b">
        <x:v>1</x:v>
      </x:c>
      <x:c r="G2045" s="85" t="n">
        <x:v>0</x:v>
      </x:c>
      <x:c r="H2045" s="85" t="n">
        <x:v>0</x:v>
      </x:c>
      <x:c r="I2045" s="85" t="n">
        <x:v>0</x:v>
      </x:c>
      <x:c r="J2045" s="85" t="n">
        <x:v>0</x:v>
      </x:c>
      <x:c r="K2045" s="85" t="n">
        <x:v>31696190.039041106</x:v>
      </x:c>
      <x:c r="L2045" s="28" t="n">
        <x:v>0</x:v>
      </x:c>
      <x:c r="M2045" s="28" t="n">
        <x:v>0</x:v>
      </x:c>
      <x:c r="N2045" s="28" t="n">
        <x:v>1.862645149230957e-9</x:v>
      </x:c>
      <x:c r="O2045" s="28" t="n">
        <x:v>0</x:v>
      </x:c>
      <x:c r="P2045" s="28" t="n">
        <x:v>0</x:v>
      </x:c>
      <x:c r="Q2045" s="62" t="b">
        <x:v>1</x:v>
      </x:c>
      <x:c r="R2045" s="28" t="n">
        <x:v>0</x:v>
      </x:c>
      <x:c r="S2045" s="28" t="str">
        <x:v>fa2ab93f250b78d5</x:v>
      </x:c>
    </x:row>
    <x:row r="2046" ht="21" customHeight="1">
      <x:c r="A2046" s="60" t="n">
        <x:v>0.68</x:v>
      </x:c>
      <x:c r="B2046" s="28" t="str">
        <x:v>front_low</x:v>
      </x:c>
      <x:c r="C2046" s="60" t="n">
        <x:v>0.05</x:v>
      </x:c>
      <x:c r="D2046" s="60" t="n">
        <x:v>0.05</x:v>
      </x:c>
      <x:c r="E2046" s="62" t="b">
        <x:v>1</x:v>
      </x:c>
      <x:c r="F2046" s="62" t="b">
        <x:v>1</x:v>
      </x:c>
      <x:c r="G2046" s="85" t="n">
        <x:v>0</x:v>
      </x:c>
      <x:c r="H2046" s="85" t="n">
        <x:v>0</x:v>
      </x:c>
      <x:c r="I2046" s="85" t="n">
        <x:v>0</x:v>
      </x:c>
      <x:c r="J2046" s="85" t="n">
        <x:v>0</x:v>
      </x:c>
      <x:c r="K2046" s="85" t="n">
        <x:v>20787942.000747148</x:v>
      </x:c>
      <x:c r="L2046" s="28" t="n">
        <x:v>0</x:v>
      </x:c>
      <x:c r="M2046" s="28" t="n">
        <x:v>0</x:v>
      </x:c>
      <x:c r="N2046" s="28" t="n">
        <x:v>1.862645149230957e-9</x:v>
      </x:c>
      <x:c r="O2046" s="28" t="n">
        <x:v>5.960464477539063e-8</x:v>
      </x:c>
      <x:c r="P2046" s="28" t="n">
        <x:v>0</x:v>
      </x:c>
      <x:c r="Q2046" s="62" t="b">
        <x:v>1</x:v>
      </x:c>
      <x:c r="R2046" s="28" t="n">
        <x:v>0</x:v>
      </x:c>
      <x:c r="S2046" s="28" t="str">
        <x:v>dff73e06922f7220</x:v>
      </x:c>
    </x:row>
    <x:row r="2047" ht="21" customHeight="1">
      <x:c r="A2047" s="60" t="n">
        <x:v>0.68</x:v>
      </x:c>
      <x:c r="B2047" s="28" t="str">
        <x:v>front_low</x:v>
      </x:c>
      <x:c r="C2047" s="60" t="n">
        <x:v>0.1</x:v>
      </x:c>
      <x:c r="D2047" s="60" t="n">
        <x:v>0.1</x:v>
      </x:c>
      <x:c r="E2047" s="62" t="b">
        <x:v>1</x:v>
      </x:c>
      <x:c r="F2047" s="62" t="b">
        <x:v>1</x:v>
      </x:c>
      <x:c r="G2047" s="85" t="n">
        <x:v>0</x:v>
      </x:c>
      <x:c r="H2047" s="85" t="n">
        <x:v>0</x:v>
      </x:c>
      <x:c r="I2047" s="85" t="n">
        <x:v>0</x:v>
      </x:c>
      <x:c r="J2047" s="85" t="n">
        <x:v>0</x:v>
      </x:c>
      <x:c r="K2047" s="85" t="n">
        <x:v>9795420.50055106</x:v>
      </x:c>
      <x:c r="L2047" s="28" t="n">
        <x:v>0</x:v>
      </x:c>
      <x:c r="M2047" s="28" t="n">
        <x:v>0</x:v>
      </x:c>
      <x:c r="N2047" s="28" t="n">
        <x:v>1.862645149230957e-9</x:v>
      </x:c>
      <x:c r="O2047" s="28" t="n">
        <x:v>5.960464477539063e-8</x:v>
      </x:c>
      <x:c r="P2047" s="28" t="n">
        <x:v>0</x:v>
      </x:c>
      <x:c r="Q2047" s="62" t="b">
        <x:v>1</x:v>
      </x:c>
      <x:c r="R2047" s="28" t="n">
        <x:v>0</x:v>
      </x:c>
      <x:c r="S2047" s="28" t="str">
        <x:v>92228d37b7a4db49</x:v>
      </x:c>
    </x:row>
    <x:row r="2048" ht="21" customHeight="1">
      <x:c r="A2048" s="60" t="n">
        <x:v>0.68</x:v>
      </x:c>
      <x:c r="B2048" s="28" t="str">
        <x:v>front_low</x:v>
      </x:c>
      <x:c r="C2048" s="60" t="n">
        <x:v>0.15</x:v>
      </x:c>
      <x:c r="D2048" s="60" t="n">
        <x:v>0.15</x:v>
      </x:c>
      <x:c r="E2048" s="62" t="b">
        <x:v>1</x:v>
      </x:c>
      <x:c r="F2048" s="62" t="b">
        <x:v>1</x:v>
      </x:c>
      <x:c r="G2048" s="85" t="n">
        <x:v>0</x:v>
      </x:c>
      <x:c r="H2048" s="85" t="n">
        <x:v>0</x:v>
      </x:c>
      <x:c r="I2048" s="85" t="n">
        <x:v>1189363.8917999794</x:v>
      </x:c>
      <x:c r="J2048" s="85" t="n">
        <x:v>0</x:v>
      </x:c>
      <x:c r="K2048" s="85" t="n">
        <x:v>749532.1332882083</x:v>
      </x:c>
      <x:c r="L2048" s="28" t="n">
        <x:v>0</x:v>
      </x:c>
      <x:c r="M2048" s="28" t="n">
        <x:v>0</x:v>
      </x:c>
      <x:c r="N2048" s="28" t="n">
        <x:v>3.725290298461914e-9</x:v>
      </x:c>
      <x:c r="O2048" s="28" t="n">
        <x:v>2.9802322387695312e-8</x:v>
      </x:c>
      <x:c r="P2048" s="28" t="n">
        <x:v>0</x:v>
      </x:c>
      <x:c r="Q2048" s="62" t="b">
        <x:v>1</x:v>
      </x:c>
      <x:c r="R2048" s="28" t="n">
        <x:v>0</x:v>
      </x:c>
      <x:c r="S2048" s="28" t="str">
        <x:v>cdf83cc3c75adccb</x:v>
      </x:c>
    </x:row>
    <x:row r="2049" ht="21" customHeight="1">
      <x:c r="A2049" s="60" t="n">
        <x:v>0.68</x:v>
      </x:c>
      <x:c r="B2049" s="28" t="str">
        <x:v>front_low</x:v>
      </x:c>
      <x:c r="C2049" s="60" t="n">
        <x:v>0.2</x:v>
      </x:c>
      <x:c r="D2049" s="60" t="n">
        <x:v>0.2</x:v>
      </x:c>
      <x:c r="E2049" s="62" t="b">
        <x:v>1</x:v>
      </x:c>
      <x:c r="F2049" s="62" t="b">
        <x:v>1</x:v>
      </x:c>
      <x:c r="G2049" s="85" t="n">
        <x:v>0</x:v>
      </x:c>
      <x:c r="H2049" s="85" t="n">
        <x:v>0</x:v>
      </x:c>
      <x:c r="I2049" s="85" t="n">
        <x:v>7309985.235756626</x:v>
      </x:c>
      <x:c r="J2049" s="85" t="n">
        <x:v>6284479.497374642</x:v>
      </x:c>
      <x:c r="K2049" s="85" t="n">
        <x:v>427094.6530330434</x:v>
      </x:c>
      <x:c r="L2049" s="28" t="n">
        <x:v>0</x:v>
      </x:c>
      <x:c r="M2049" s="28" t="n">
        <x:v>0</x:v>
      </x:c>
      <x:c r="N2049" s="28" t="n">
        <x:v>1.862645149230957e-9</x:v>
      </x:c>
      <x:c r="O2049" s="28" t="n">
        <x:v>2.9802322387695312e-8</x:v>
      </x:c>
      <x:c r="P2049" s="28" t="n">
        <x:v>0</x:v>
      </x:c>
      <x:c r="Q2049" s="62" t="b">
        <x:v>1</x:v>
      </x:c>
      <x:c r="R2049" s="28" t="n">
        <x:v>0</x:v>
      </x:c>
      <x:c r="S2049" s="28" t="str">
        <x:v>105142269d9715fe</x:v>
      </x:c>
    </x:row>
    <x:row r="2050" ht="21" customHeight="1">
      <x:c r="A2050" s="60" t="n">
        <x:v>0.68</x:v>
      </x:c>
      <x:c r="B2050" s="28" t="str">
        <x:v>front_low</x:v>
      </x:c>
      <x:c r="C2050" s="60" t="n">
        <x:v>0.25</x:v>
      </x:c>
      <x:c r="D2050" s="60" t="n">
        <x:v>0.25</x:v>
      </x:c>
      <x:c r="E2050" s="62" t="b">
        <x:v>1</x:v>
      </x:c>
      <x:c r="F2050" s="62" t="b">
        <x:v>1</x:v>
      </x:c>
      <x:c r="G2050" s="85" t="n">
        <x:v>0</x:v>
      </x:c>
      <x:c r="H2050" s="85" t="n">
        <x:v>0</x:v>
      </x:c>
      <x:c r="I2050" s="85" t="n">
        <x:v>11422941.546050983</x:v>
      </x:c>
      <x:c r="J2050" s="85" t="n">
        <x:v>15355599.371718226</x:v>
      </x:c>
      <x:c r="K2050" s="85" t="n">
        <x:v>290664.38786472456</x:v>
      </x:c>
      <x:c r="L2050" s="28" t="n">
        <x:v>0</x:v>
      </x:c>
      <x:c r="M2050" s="28" t="n">
        <x:v>0</x:v>
      </x:c>
      <x:c r="N2050" s="28" t="n">
        <x:v>1.862645149230957e-9</x:v>
      </x:c>
      <x:c r="O2050" s="28" t="n">
        <x:v>1.4901161193847656e-8</x:v>
      </x:c>
      <x:c r="P2050" s="28" t="n">
        <x:v>0</x:v>
      </x:c>
      <x:c r="Q2050" s="62" t="b">
        <x:v>1</x:v>
      </x:c>
      <x:c r="R2050" s="28" t="n">
        <x:v>0</x:v>
      </x:c>
      <x:c r="S2050" s="28" t="str">
        <x:v>9b525cfa6b2e8412</x:v>
      </x:c>
    </x:row>
    <x:row r="2051" ht="21" customHeight="1">
      <x:c r="A2051" s="60" t="n">
        <x:v>0.68</x:v>
      </x:c>
      <x:c r="B2051" s="28" t="str">
        <x:v>front_low</x:v>
      </x:c>
      <x:c r="C2051" s="60" t="n">
        <x:v>0.3</x:v>
      </x:c>
      <x:c r="D2051" s="60" t="n">
        <x:v>0.3</x:v>
      </x:c>
      <x:c r="E2051" s="62" t="b">
        <x:v>1</x:v>
      </x:c>
      <x:c r="F2051" s="62" t="b">
        <x:v>1</x:v>
      </x:c>
      <x:c r="G2051" s="85" t="n">
        <x:v>0</x:v>
      </x:c>
      <x:c r="H2051" s="85" t="n">
        <x:v>0</x:v>
      </x:c>
      <x:c r="I2051" s="85" t="n">
        <x:v>15699362.660662824</x:v>
      </x:c>
      <x:c r="J2051" s="85" t="n">
        <x:v>24426719.24606188</x:v>
      </x:c>
      <x:c r="K2051" s="85" t="n">
        <x:v>214491.7571664418</x:v>
      </x:c>
      <x:c r="L2051" s="28" t="n">
        <x:v>0</x:v>
      </x:c>
      <x:c r="M2051" s="28" t="n">
        <x:v>0</x:v>
      </x:c>
      <x:c r="N2051" s="28" t="n">
        <x:v>3.725290298461914e-9</x:v>
      </x:c>
      <x:c r="O2051" s="28" t="n">
        <x:v>2.9802322387695312e-8</x:v>
      </x:c>
      <x:c r="P2051" s="28" t="n">
        <x:v>0</x:v>
      </x:c>
      <x:c r="Q2051" s="62" t="b">
        <x:v>1</x:v>
      </x:c>
      <x:c r="R2051" s="28" t="n">
        <x:v>0</x:v>
      </x:c>
      <x:c r="S2051" s="28" t="str">
        <x:v>e4cbbcbee93c044b</x:v>
      </x:c>
    </x:row>
    <x:row r="2052" ht="21" customHeight="1">
      <x:c r="A2052" s="60" t="n">
        <x:v>0.68</x:v>
      </x:c>
      <x:c r="B2052" s="28" t="str">
        <x:v>front_low</x:v>
      </x:c>
      <x:c r="C2052" s="60" t="n">
        <x:v>0.35</x:v>
      </x:c>
      <x:c r="D2052" s="60" t="n">
        <x:v>0.35</x:v>
      </x:c>
      <x:c r="E2052" s="62" t="b">
        <x:v>1</x:v>
      </x:c>
      <x:c r="F2052" s="62" t="b">
        <x:v>1</x:v>
      </x:c>
      <x:c r="G2052" s="85" t="n">
        <x:v>0</x:v>
      </x:c>
      <x:c r="H2052" s="85" t="n">
        <x:v>0</x:v>
      </x:c>
      <x:c r="I2052" s="85" t="n">
        <x:v>21938322.018675465</x:v>
      </x:c>
      <x:c r="J2052" s="85" t="n">
        <x:v>30353352.974316716</x:v>
      </x:c>
      <x:c r="K2052" s="85" t="n">
        <x:v>178987.08861198486</x:v>
      </x:c>
      <x:c r="L2052" s="28" t="n">
        <x:v>4</x:v>
      </x:c>
      <x:c r="M2052" s="28" t="n">
        <x:v>0</x:v>
      </x:c>
      <x:c r="N2052" s="28" t="n">
        <x:v>3.725290298461914e-9</x:v>
      </x:c>
      <x:c r="O2052" s="28" t="n">
        <x:v>7.450580596923828e-9</x:v>
      </x:c>
      <x:c r="P2052" s="28" t="n">
        <x:v>0</x:v>
      </x:c>
      <x:c r="Q2052" s="62" t="b">
        <x:v>1</x:v>
      </x:c>
      <x:c r="R2052" s="28" t="n">
        <x:v>0</x:v>
      </x:c>
      <x:c r="S2052" s="28" t="str">
        <x:v>56948ef45f7ab6c8</x:v>
      </x:c>
    </x:row>
    <x:row r="2053" ht="21" customHeight="1">
      <x:c r="A2053" s="60" t="n">
        <x:v>0.68</x:v>
      </x:c>
      <x:c r="B2053" s="28" t="str">
        <x:v>front_low</x:v>
      </x:c>
      <x:c r="C2053" s="60" t="n">
        <x:v>0.4</x:v>
      </x:c>
      <x:c r="D2053" s="60" t="n">
        <x:v>0.4</x:v>
      </x:c>
      <x:c r="E2053" s="62" t="b">
        <x:v>1</x:v>
      </x:c>
      <x:c r="F2053" s="62" t="b">
        <x:v>1</x:v>
      </x:c>
      <x:c r="G2053" s="85" t="n">
        <x:v>0</x:v>
      </x:c>
      <x:c r="H2053" s="85" t="n">
        <x:v>0</x:v>
      </x:c>
      <x:c r="I2053" s="85" t="n">
        <x:v>29676863.189034674</x:v>
      </x:c>
      <x:c r="J2053" s="85" t="n">
        <x:v>33627746.82058078</x:v>
      </x:c>
      <x:c r="K2053" s="85" t="n">
        <x:v>143482.42005753308</x:v>
      </x:c>
      <x:c r="L2053" s="28" t="n">
        <x:v>11</x:v>
      </x:c>
      <x:c r="M2053" s="28" t="n">
        <x:v>0</x:v>
      </x:c>
      <x:c r="N2053" s="28" t="n">
        <x:v>1.862645149230957e-9</x:v>
      </x:c>
      <x:c r="O2053" s="28" t="n">
        <x:v>2.9802322387695312e-8</x:v>
      </x:c>
      <x:c r="P2053" s="28" t="n">
        <x:v>0</x:v>
      </x:c>
      <x:c r="Q2053" s="62" t="b">
        <x:v>1</x:v>
      </x:c>
      <x:c r="R2053" s="28" t="n">
        <x:v>0</x:v>
      </x:c>
      <x:c r="S2053" s="28" t="str">
        <x:v>7f2f9d2169dd3708</x:v>
      </x:c>
    </x:row>
    <x:row r="2054" ht="21" customHeight="1">
      <x:c r="A2054" s="60" t="n">
        <x:v>0.68</x:v>
      </x:c>
      <x:c r="B2054" s="28" t="str">
        <x:v>front_low</x:v>
      </x:c>
      <x:c r="C2054" s="60" t="n">
        <x:v>0.45</x:v>
      </x:c>
      <x:c r="D2054" s="60" t="n">
        <x:v>0.45</x:v>
      </x:c>
      <x:c r="E2054" s="62" t="b">
        <x:v>1</x:v>
      </x:c>
      <x:c r="F2054" s="62" t="b">
        <x:v>1</x:v>
      </x:c>
      <x:c r="G2054" s="85" t="n">
        <x:v>0</x:v>
      </x:c>
      <x:c r="H2054" s="85" t="n">
        <x:v>0</x:v>
      </x:c>
      <x:c r="I2054" s="85" t="n">
        <x:v>35352992.03669399</x:v>
      </x:c>
      <x:c r="J2054" s="85" t="n">
        <x:v>40774771.81370179</x:v>
      </x:c>
      <x:c r="K2054" s="85" t="n">
        <x:v>107977.75150308592</x:v>
      </x:c>
      <x:c r="L2054" s="28" t="n">
        <x:v>17</x:v>
      </x:c>
      <x:c r="M2054" s="28" t="n">
        <x:v>0</x:v>
      </x:c>
      <x:c r="N2054" s="28" t="n">
        <x:v>1.862645149230957e-9</x:v>
      </x:c>
      <x:c r="O2054" s="28" t="n">
        <x:v>2.9802322387695312e-8</x:v>
      </x:c>
      <x:c r="P2054" s="28" t="n">
        <x:v>0</x:v>
      </x:c>
      <x:c r="Q2054" s="62" t="b">
        <x:v>1</x:v>
      </x:c>
      <x:c r="R2054" s="28" t="n">
        <x:v>0</x:v>
      </x:c>
      <x:c r="S2054" s="28" t="str">
        <x:v>3066ad39724955a0</x:v>
      </x:c>
    </x:row>
    <x:row r="2055" ht="21" customHeight="1">
      <x:c r="A2055" s="60" t="n">
        <x:v>0.68</x:v>
      </x:c>
      <x:c r="B2055" s="28" t="str">
        <x:v>front_low</x:v>
      </x:c>
      <x:c r="C2055" s="60" t="n">
        <x:v>0.5</x:v>
      </x:c>
      <x:c r="D2055" s="60" t="n">
        <x:v>0.5</x:v>
      </x:c>
      <x:c r="E2055" s="62" t="b">
        <x:v>1</x:v>
      </x:c>
      <x:c r="F2055" s="62" t="b">
        <x:v>1</x:v>
      </x:c>
      <x:c r="G2055" s="85" t="n">
        <x:v>0</x:v>
      </x:c>
      <x:c r="H2055" s="85" t="n">
        <x:v>0</x:v>
      </x:c>
      <x:c r="I2055" s="85" t="n">
        <x:v>39314657.47821064</x:v>
      </x:c>
      <x:c r="J2055" s="85" t="n">
        <x:v>50535058.80341395</x:v>
      </x:c>
      <x:c r="K2055" s="85" t="n">
        <x:v>72473.08294863086</x:v>
      </x:c>
      <x:c r="L2055" s="28" t="n">
        <x:v>19</x:v>
      </x:c>
      <x:c r="M2055" s="28" t="n">
        <x:v>0</x:v>
      </x:c>
      <x:c r="N2055" s="28" t="n">
        <x:v>1.862645149230957e-9</x:v>
      </x:c>
      <x:c r="O2055" s="28" t="n">
        <x:v>2.9802322387695312e-8</x:v>
      </x:c>
      <x:c r="P2055" s="28" t="n">
        <x:v>0</x:v>
      </x:c>
      <x:c r="Q2055" s="62" t="b">
        <x:v>1</x:v>
      </x:c>
      <x:c r="R2055" s="28" t="n">
        <x:v>0</x:v>
      </x:c>
      <x:c r="S2055" s="28" t="str">
        <x:v>b36b8e715e07f328</x:v>
      </x:c>
    </x:row>
    <x:row r="2056" ht="21" customHeight="1">
      <x:c r="A2056" s="60" t="n">
        <x:v>0.68</x:v>
      </x:c>
      <x:c r="B2056" s="28" t="str">
        <x:v>front_low</x:v>
      </x:c>
      <x:c r="C2056" s="60" t="n">
        <x:v>0.55</x:v>
      </x:c>
      <x:c r="D2056" s="60" t="n">
        <x:v>0.55</x:v>
      </x:c>
      <x:c r="E2056" s="62" t="b">
        <x:v>1</x:v>
      </x:c>
      <x:c r="F2056" s="62" t="b">
        <x:v>1</x:v>
      </x:c>
      <x:c r="G2056" s="85" t="n">
        <x:v>0</x:v>
      </x:c>
      <x:c r="H2056" s="85" t="n">
        <x:v>0</x:v>
      </x:c>
      <x:c r="I2056" s="85" t="n">
        <x:v>43591931.950693965</x:v>
      </x:c>
      <x:c r="J2056" s="85" t="n">
        <x:v>59592663.30223027</x:v>
      </x:c>
      <x:c r="K2056" s="85" t="n">
        <x:v>36968.41439418419</x:v>
      </x:c>
      <x:c r="L2056" s="28" t="n">
        <x:v>23</x:v>
      </x:c>
      <x:c r="M2056" s="28" t="n">
        <x:v>0</x:v>
      </x:c>
      <x:c r="N2056" s="28" t="n">
        <x:v>1.862645149230957e-9</x:v>
      </x:c>
      <x:c r="O2056" s="28" t="n">
        <x:v>2.9802322387695312e-8</x:v>
      </x:c>
      <x:c r="P2056" s="28" t="n">
        <x:v>0</x:v>
      </x:c>
      <x:c r="Q2056" s="62" t="b">
        <x:v>1</x:v>
      </x:c>
      <x:c r="R2056" s="28" t="n">
        <x:v>0</x:v>
      </x:c>
      <x:c r="S2056" s="28" t="str">
        <x:v>098cccda947ba3a9</x:v>
      </x:c>
    </x:row>
    <x:row r="2057" ht="21" customHeight="1">
      <x:c r="A2057" s="60" t="n">
        <x:v>0.68</x:v>
      </x:c>
      <x:c r="B2057" s="28" t="str">
        <x:v>front_low</x:v>
      </x:c>
      <x:c r="C2057" s="60" t="n">
        <x:v>0.6</x:v>
      </x:c>
      <x:c r="D2057" s="60" t="n">
        <x:v>0.6</x:v>
      </x:c>
      <x:c r="E2057" s="62" t="b">
        <x:v>1</x:v>
      </x:c>
      <x:c r="F2057" s="62" t="b">
        <x:v>0</x:v>
      </x:c>
      <x:c r="G2057" s="85" t="n">
        <x:v>285600.0567023232</x:v>
      </x:c>
      <x:c r="H2057" s="85" t="n">
        <x:v>4282312.97533467</x:v>
      </x:c>
      <x:c r="I2057" s="85" t="n">
        <x:v>45588821.91780822</x:v>
      </x:c>
      <x:c r="J2057" s="85" t="n">
        <x:v>65999999.999999985</x:v>
      </x:c>
      <x:c r="K2057" s="85" t="n">
        <x:v>11542.916589041968</x:v>
      </x:c>
      <x:c r="L2057" s="28" t="n">
        <x:v>46</x:v>
      </x:c>
      <x:c r="M2057" s="28" t="n">
        <x:v>22</x:v>
      </x:c>
      <x:c r="N2057" s="28" t="n">
        <x:v>9.313225746154785e-10</x:v>
      </x:c>
      <x:c r="O2057" s="28" t="n">
        <x:v>2.9802322387695312e-8</x:v>
      </x:c>
      <x:c r="P2057" s="28" t="n">
        <x:v>0</x:v>
      </x:c>
      <x:c r="Q2057" s="62" t="b">
        <x:v>1</x:v>
      </x:c>
      <x:c r="R2057" s="28" t="n">
        <x:v>0</x:v>
      </x:c>
      <x:c r="S2057" s="28" t="str">
        <x:v>58a421be4c14bbfe</x:v>
      </x:c>
    </x:row>
    <x:row r="2058" ht="21" customHeight="1">
      <x:c r="A2058" s="60" t="n">
        <x:v>0.68</x:v>
      </x:c>
      <x:c r="B2058" s="28" t="str">
        <x:v>front_low</x:v>
      </x:c>
      <x:c r="C2058" s="60" t="n">
        <x:v>0.65</x:v>
      </x:c>
      <x:c r="D2058" s="60" t="n">
        <x:v>0.65</x:v>
      </x:c>
      <x:c r="E2058" s="62" t="b">
        <x:v>1</x:v>
      </x:c>
      <x:c r="F2058" s="62" t="b">
        <x:v>0</x:v>
      </x:c>
      <x:c r="G2058" s="85" t="n">
        <x:v>1028161.9722262963</x:v>
      </x:c>
      <x:c r="H2058" s="85" t="n">
        <x:v>15486385.114406262</x:v>
      </x:c>
      <x:c r="I2058" s="85" t="n">
        <x:v>45588821.91780822</x:v>
      </x:c>
      <x:c r="J2058" s="85" t="n">
        <x:v>65999999.999999985</x:v>
      </x:c>
      <x:c r="K2058" s="85" t="n">
        <x:v>0</x:v>
      </x:c>
      <x:c r="L2058" s="28" t="n">
        <x:v>46</x:v>
      </x:c>
      <x:c r="M2058" s="28" t="n">
        <x:v>30</x:v>
      </x:c>
      <x:c r="N2058" s="28" t="n">
        <x:v>9.313225746154785e-10</x:v>
      </x:c>
      <x:c r="O2058" s="28" t="n">
        <x:v>2.9802322387695312e-8</x:v>
      </x:c>
      <x:c r="P2058" s="28" t="n">
        <x:v>0</x:v>
      </x:c>
      <x:c r="Q2058" s="62" t="b">
        <x:v>1</x:v>
      </x:c>
      <x:c r="R2058" s="28" t="n">
        <x:v>0</x:v>
      </x:c>
      <x:c r="S2058" s="28" t="str">
        <x:v>cbd615e0eddcec78</x:v>
      </x:c>
    </x:row>
    <x:row r="2059" ht="21" customHeight="1">
      <x:c r="A2059" s="60" t="n">
        <x:v>0.68</x:v>
      </x:c>
      <x:c r="B2059" s="28" t="str">
        <x:v>front_low</x:v>
      </x:c>
      <x:c r="C2059" s="60" t="n">
        <x:v>0.7</x:v>
      </x:c>
      <x:c r="D2059" s="60" t="n">
        <x:v>0.7</x:v>
      </x:c>
      <x:c r="E2059" s="62" t="b">
        <x:v>1</x:v>
      </x:c>
      <x:c r="F2059" s="62" t="b">
        <x:v>0</x:v>
      </x:c>
      <x:c r="G2059" s="85" t="n">
        <x:v>1806608.8906226424</x:v>
      </x:c>
      <x:c r="H2059" s="85" t="n">
        <x:v>26670260.819442857</x:v>
      </x:c>
      <x:c r="I2059" s="85" t="n">
        <x:v>45588821.91780822</x:v>
      </x:c>
      <x:c r="J2059" s="85" t="n">
        <x:v>65999999.999999985</x:v>
      </x:c>
      <x:c r="K2059" s="85" t="n">
        <x:v>0</x:v>
      </x:c>
      <x:c r="L2059" s="28" t="n">
        <x:v>46</x:v>
      </x:c>
      <x:c r="M2059" s="28" t="n">
        <x:v>32</x:v>
      </x:c>
      <x:c r="N2059" s="28" t="n">
        <x:v>1.862645149230957e-9</x:v>
      </x:c>
      <x:c r="O2059" s="28" t="n">
        <x:v>2.9802322387695312e-8</x:v>
      </x:c>
      <x:c r="P2059" s="28" t="n">
        <x:v>0</x:v>
      </x:c>
      <x:c r="Q2059" s="62" t="b">
        <x:v>1</x:v>
      </x:c>
      <x:c r="R2059" s="28" t="n">
        <x:v>0</x:v>
      </x:c>
      <x:c r="S2059" s="28" t="str">
        <x:v>53ce7e2c780cddb7</x:v>
      </x:c>
    </x:row>
    <x:row r="2060" ht="21" customHeight="1">
      <x:c r="A2060" s="60" t="n">
        <x:v>0.68</x:v>
      </x:c>
      <x:c r="B2060" s="28" t="str">
        <x:v>front_low</x:v>
      </x:c>
      <x:c r="C2060" s="60" t="n">
        <x:v>0.75</x:v>
      </x:c>
      <x:c r="D2060" s="60" t="n">
        <x:v>0.75</x:v>
      </x:c>
      <x:c r="E2060" s="62" t="b">
        <x:v>1</x:v>
      </x:c>
      <x:c r="F2060" s="62" t="b">
        <x:v>0</x:v>
      </x:c>
      <x:c r="G2060" s="85" t="n">
        <x:v>2854534.0752006546</x:v>
      </x:c>
      <x:c r="H2060" s="85" t="n">
        <x:v>37568721.18929232</x:v>
      </x:c>
      <x:c r="I2060" s="85" t="n">
        <x:v>45588821.91780822</x:v>
      </x:c>
      <x:c r="J2060" s="85" t="n">
        <x:v>65999999.999999985</x:v>
      </x:c>
      <x:c r="K2060" s="85" t="n">
        <x:v>0</x:v>
      </x:c>
      <x:c r="L2060" s="28" t="n">
        <x:v>46</x:v>
      </x:c>
      <x:c r="M2060" s="28" t="n">
        <x:v>34</x:v>
      </x:c>
      <x:c r="N2060" s="28" t="n">
        <x:v>1.862645149230957e-9</x:v>
      </x:c>
      <x:c r="O2060" s="28" t="n">
        <x:v>2.9802322387695312e-8</x:v>
      </x:c>
      <x:c r="P2060" s="28" t="n">
        <x:v>0</x:v>
      </x:c>
      <x:c r="Q2060" s="62" t="b">
        <x:v>1</x:v>
      </x:c>
      <x:c r="R2060" s="28" t="n">
        <x:v>0</x:v>
      </x:c>
      <x:c r="S2060" s="28" t="str">
        <x:v>41c9beaa80f00d88</x:v>
      </x:c>
    </x:row>
    <x:row r="2061" ht="21" customHeight="1">
      <x:c r="A2061" s="60" t="n">
        <x:v>0.68</x:v>
      </x:c>
      <x:c r="B2061" s="28" t="str">
        <x:v>front_low</x:v>
      </x:c>
      <x:c r="C2061" s="60" t="n">
        <x:v>0.8</x:v>
      </x:c>
      <x:c r="D2061" s="60" t="n">
        <x:v>0.8</x:v>
      </x:c>
      <x:c r="E2061" s="62" t="b">
        <x:v>1</x:v>
      </x:c>
      <x:c r="F2061" s="62" t="b">
        <x:v>0</x:v>
      </x:c>
      <x:c r="G2061" s="85" t="n">
        <x:v>3632735.5748938518</x:v>
      </x:c>
      <x:c r="H2061" s="85" t="n">
        <x:v>47329549.07662837</x:v>
      </x:c>
      <x:c r="I2061" s="85" t="n">
        <x:v>46576109.5890411</x:v>
      </x:c>
      <x:c r="J2061" s="85" t="n">
        <x:v>65999999.999999985</x:v>
      </x:c>
      <x:c r="K2061" s="85" t="n">
        <x:v>0</x:v>
      </x:c>
      <x:c r="L2061" s="28" t="n">
        <x:v>47</x:v>
      </x:c>
      <x:c r="M2061" s="28" t="n">
        <x:v>36</x:v>
      </x:c>
      <x:c r="N2061" s="28" t="n">
        <x:v>1.862645149230957e-9</x:v>
      </x:c>
      <x:c r="O2061" s="28" t="n">
        <x:v>1.4901161193847656e-8</x:v>
      </x:c>
      <x:c r="P2061" s="28" t="n">
        <x:v>0</x:v>
      </x:c>
      <x:c r="Q2061" s="62" t="b">
        <x:v>1</x:v>
      </x:c>
      <x:c r="R2061" s="28" t="n">
        <x:v>0</x:v>
      </x:c>
      <x:c r="S2061" s="28" t="str">
        <x:v>7a9f0f64a28a99f9</x:v>
      </x:c>
    </x:row>
    <x:row r="2062" ht="21" customHeight="1">
      <x:c r="A2062" s="60" t="n">
        <x:v>0.68</x:v>
      </x:c>
      <x:c r="B2062" s="28" t="str">
        <x:v>front_low</x:v>
      </x:c>
      <x:c r="C2062" s="60" t="n">
        <x:v>0.85</x:v>
      </x:c>
      <x:c r="D2062" s="60" t="n">
        <x:v>0.85</x:v>
      </x:c>
      <x:c r="E2062" s="62" t="b">
        <x:v>1</x:v>
      </x:c>
      <x:c r="F2062" s="62" t="b">
        <x:v>0</x:v>
      </x:c>
      <x:c r="G2062" s="85" t="n">
        <x:v>4745284.642453606</x:v>
      </x:c>
      <x:c r="H2062" s="85" t="n">
        <x:v>58077085.377623074</x:v>
      </x:c>
      <x:c r="I2062" s="85" t="n">
        <x:v>46576109.5890411</x:v>
      </x:c>
      <x:c r="J2062" s="85" t="n">
        <x:v>65999999.999999985</x:v>
      </x:c>
      <x:c r="K2062" s="85" t="n">
        <x:v>0</x:v>
      </x:c>
      <x:c r="L2062" s="28" t="n">
        <x:v>47</x:v>
      </x:c>
      <x:c r="M2062" s="28" t="n">
        <x:v>38</x:v>
      </x:c>
      <x:c r="N2062" s="28" t="n">
        <x:v>9.313225746154785e-10</x:v>
      </x:c>
      <x:c r="O2062" s="28" t="n">
        <x:v>1.862645149230957e-9</x:v>
      </x:c>
      <x:c r="P2062" s="28" t="n">
        <x:v>0</x:v>
      </x:c>
      <x:c r="Q2062" s="62" t="b">
        <x:v>1</x:v>
      </x:c>
      <x:c r="R2062" s="28" t="n">
        <x:v>0</x:v>
      </x:c>
      <x:c r="S2062" s="28" t="str">
        <x:v>3f6cb46a9f0b4f54</x:v>
      </x:c>
    </x:row>
    <x:row r="2063" ht="21" customHeight="1">
      <x:c r="A2063" s="60" t="n">
        <x:v>0.68</x:v>
      </x:c>
      <x:c r="B2063" s="28" t="str">
        <x:v>front_low</x:v>
      </x:c>
      <x:c r="C2063" s="60" t="n">
        <x:v>0.9</x:v>
      </x:c>
      <x:c r="D2063" s="60" t="n">
        <x:v>0.9</x:v>
      </x:c>
      <x:c r="E2063" s="62" t="b">
        <x:v>1</x:v>
      </x:c>
      <x:c r="F2063" s="62" t="b">
        <x:v>0</x:v>
      </x:c>
      <x:c r="G2063" s="85" t="n">
        <x:v>5820031.353332499</x:v>
      </x:c>
      <x:c r="H2063" s="85" t="n">
        <x:v>68711201.50751072</x:v>
      </x:c>
      <x:c r="I2063" s="85" t="n">
        <x:v>46576109.5890411</x:v>
      </x:c>
      <x:c r="J2063" s="85" t="n">
        <x:v>65999999.999999985</x:v>
      </x:c>
      <x:c r="K2063" s="85" t="n">
        <x:v>0</x:v>
      </x:c>
      <x:c r="L2063" s="28" t="n">
        <x:v>47</x:v>
      </x:c>
      <x:c r="M2063" s="28" t="n">
        <x:v>39</x:v>
      </x:c>
      <x:c r="N2063" s="28" t="n">
        <x:v>9.313225746154785e-10</x:v>
      </x:c>
      <x:c r="O2063" s="28" t="n">
        <x:v>1.4901161193847656e-8</x:v>
      </x:c>
      <x:c r="P2063" s="28" t="n">
        <x:v>0</x:v>
      </x:c>
      <x:c r="Q2063" s="62" t="b">
        <x:v>1</x:v>
      </x:c>
      <x:c r="R2063" s="28" t="n">
        <x:v>0</x:v>
      </x:c>
      <x:c r="S2063" s="28" t="str">
        <x:v>c8a637a7268ba9b4</x:v>
      </x:c>
    </x:row>
    <x:row r="2064" ht="21" customHeight="1">
      <x:c r="A2064" s="60" t="n">
        <x:v>0.68</x:v>
      </x:c>
      <x:c r="B2064" s="28" t="str">
        <x:v>front_low</x:v>
      </x:c>
      <x:c r="C2064" s="60" t="n">
        <x:v>0.95</x:v>
      </x:c>
      <x:c r="D2064" s="60" t="n">
        <x:v>0.9497739906324524</x:v>
      </x:c>
      <x:c r="E2064" s="62" t="b">
        <x:v>0</x:v>
      </x:c>
      <x:c r="F2064" s="62" t="b">
        <x:v>0</x:v>
      </x:c>
      <x:c r="G2064" s="85" t="n">
        <x:v>8791741.88102443</x:v>
      </x:c>
      <x:c r="H2064" s="85" t="n">
        <x:v>77085344.028776</x:v>
      </x:c>
      <x:c r="I2064" s="85" t="n">
        <x:v>46576109.5890411</x:v>
      </x:c>
      <x:c r="J2064" s="85" t="n">
        <x:v>65999999.999999985</x:v>
      </x:c>
      <x:c r="K2064" s="85" t="n">
        <x:v>0</x:v>
      </x:c>
      <x:c r="L2064" s="28" t="n">
        <x:v>47</x:v>
      </x:c>
      <x:c r="M2064" s="28" t="n">
        <x:v>40</x:v>
      </x:c>
      <x:c r="N2064" s="28" t="n">
        <x:v>1.862645149230957e-9</x:v>
      </x:c>
      <x:c r="O2064" s="28" t="n">
        <x:v>1.4901161193847656e-8</x:v>
      </x:c>
      <x:c r="P2064" s="28" t="n">
        <x:v>0</x:v>
      </x:c>
      <x:c r="Q2064" s="62" t="b">
        <x:v>1</x:v>
      </x:c>
      <x:c r="R2064" s="28" t="n">
        <x:v>67802.81026428938</x:v>
      </x:c>
      <x:c r="S2064" s="28" t="str">
        <x:v>3983506a60a24412</x:v>
      </x:c>
    </x:row>
    <x:row r="2065" ht="21" customHeight="1">
      <x:c r="A2065" s="60" t="n">
        <x:v>0.68</x:v>
      </x:c>
      <x:c r="B2065" s="28" t="str">
        <x:v>front_low</x:v>
      </x:c>
      <x:c r="C2065" s="60" t="n">
        <x:v>1</x:v>
      </x:c>
      <x:c r="D2065" s="60" t="n">
        <x:v>0.9646994850752131</x:v>
      </x:c>
      <x:c r="E2065" s="62" t="b">
        <x:v>0</x:v>
      </x:c>
      <x:c r="F2065" s="62" t="b">
        <x:v>0</x:v>
      </x:c>
      <x:c r="G2065" s="85" t="n">
        <x:v>9570768.47338275</x:v>
      </x:c>
      <x:c r="H2065" s="85" t="n">
        <x:v>80534165.40527709</x:v>
      </x:c>
      <x:c r="I2065" s="85" t="n">
        <x:v>46576109.5890411</x:v>
      </x:c>
      <x:c r="J2065" s="85" t="n">
        <x:v>65999999.999999985</x:v>
      </x:c>
      <x:c r="K2065" s="85" t="n">
        <x:v>0</x:v>
      </x:c>
      <x:c r="L2065" s="28" t="n">
        <x:v>47</x:v>
      </x:c>
      <x:c r="M2065" s="28" t="n">
        <x:v>42</x:v>
      </x:c>
      <x:c r="N2065" s="28" t="n">
        <x:v>9.313225746154785e-10</x:v>
      </x:c>
      <x:c r="O2065" s="28" t="n">
        <x:v>3.725290298461914e-9</x:v>
      </x:c>
      <x:c r="P2065" s="28" t="n">
        <x:v>0</x:v>
      </x:c>
      <x:c r="Q2065" s="62" t="b">
        <x:v>1</x:v>
      </x:c>
      <x:c r="R2065" s="28" t="n">
        <x:v>10590154.477436066</x:v>
      </x:c>
      <x:c r="S2065" s="28" t="str">
        <x:v>57f28db1079d7290</x:v>
      </x:c>
    </x:row>
    <x:row r="2066" ht="21" customHeight="1">
      <x:c r="A2066" s="60" t="n">
        <x:v>0.68</x:v>
      </x:c>
      <x:c r="B2066" s="28" t="str">
        <x:v>front_high</x:v>
      </x:c>
      <x:c r="C2066" s="60" t="n">
        <x:v>0</x:v>
      </x:c>
      <x:c r="D2066" s="60" t="n">
        <x:v>0</x:v>
      </x:c>
      <x:c r="E2066" s="62" t="b">
        <x:v>1</x:v>
      </x:c>
      <x:c r="F2066" s="62" t="b">
        <x:v>1</x:v>
      </x:c>
      <x:c r="G2066" s="85" t="n">
        <x:v>0</x:v>
      </x:c>
      <x:c r="H2066" s="85" t="n">
        <x:v>0</x:v>
      </x:c>
      <x:c r="I2066" s="85" t="n">
        <x:v>0</x:v>
      </x:c>
      <x:c r="J2066" s="85" t="n">
        <x:v>0</x:v>
      </x:c>
      <x:c r="K2066" s="85" t="n">
        <x:v>40506729.313013695</x:v>
      </x:c>
      <x:c r="L2066" s="28" t="n">
        <x:v>0</x:v>
      </x:c>
      <x:c r="M2066" s="28" t="n">
        <x:v>0</x:v>
      </x:c>
      <x:c r="N2066" s="28" t="n">
        <x:v>3.725290298461914e-9</x:v>
      </x:c>
      <x:c r="O2066" s="28" t="n">
        <x:v>0</x:v>
      </x:c>
      <x:c r="P2066" s="28" t="n">
        <x:v>0</x:v>
      </x:c>
      <x:c r="Q2066" s="62" t="b">
        <x:v>1</x:v>
      </x:c>
      <x:c r="R2066" s="28" t="n">
        <x:v>0</x:v>
      </x:c>
      <x:c r="S2066" s="28" t="str">
        <x:v>9858cd529ad446f8</x:v>
      </x:c>
    </x:row>
    <x:row r="2067" ht="21" customHeight="1">
      <x:c r="A2067" s="60" t="n">
        <x:v>0.68</x:v>
      </x:c>
      <x:c r="B2067" s="28" t="str">
        <x:v>front_high</x:v>
      </x:c>
      <x:c r="C2067" s="60" t="n">
        <x:v>0.05</x:v>
      </x:c>
      <x:c r="D2067" s="60" t="n">
        <x:v>0.05</x:v>
      </x:c>
      <x:c r="E2067" s="62" t="b">
        <x:v>1</x:v>
      </x:c>
      <x:c r="F2067" s="62" t="b">
        <x:v>1</x:v>
      </x:c>
      <x:c r="G2067" s="85" t="n">
        <x:v>0</x:v>
      </x:c>
      <x:c r="H2067" s="85" t="n">
        <x:v>0</x:v>
      </x:c>
      <x:c r="I2067" s="85" t="n">
        <x:v>0</x:v>
      </x:c>
      <x:c r="J2067" s="85" t="n">
        <x:v>0</x:v>
      </x:c>
      <x:c r="K2067" s="85" t="n">
        <x:v>26657756.213524166</x:v>
      </x:c>
      <x:c r="L2067" s="28" t="n">
        <x:v>0</x:v>
      </x:c>
      <x:c r="M2067" s="28" t="n">
        <x:v>0</x:v>
      </x:c>
      <x:c r="N2067" s="28" t="n">
        <x:v>3.725290298461914e-9</x:v>
      </x:c>
      <x:c r="O2067" s="28" t="n">
        <x:v>5.960464477539063e-8</x:v>
      </x:c>
      <x:c r="P2067" s="28" t="n">
        <x:v>0</x:v>
      </x:c>
      <x:c r="Q2067" s="62" t="b">
        <x:v>1</x:v>
      </x:c>
      <x:c r="R2067" s="28" t="n">
        <x:v>0</x:v>
      </x:c>
      <x:c r="S2067" s="28" t="str">
        <x:v>2d3f13b4884efa38</x:v>
      </x:c>
    </x:row>
    <x:row r="2068" ht="21" customHeight="1">
      <x:c r="A2068" s="60" t="n">
        <x:v>0.68</x:v>
      </x:c>
      <x:c r="B2068" s="28" t="str">
        <x:v>front_high</x:v>
      </x:c>
      <x:c r="C2068" s="60" t="n">
        <x:v>0.1</x:v>
      </x:c>
      <x:c r="D2068" s="60" t="n">
        <x:v>0.1</x:v>
      </x:c>
      <x:c r="E2068" s="62" t="b">
        <x:v>1</x:v>
      </x:c>
      <x:c r="F2068" s="62" t="b">
        <x:v>1</x:v>
      </x:c>
      <x:c r="G2068" s="85" t="n">
        <x:v>0</x:v>
      </x:c>
      <x:c r="H2068" s="85" t="n">
        <x:v>0</x:v>
      </x:c>
      <x:c r="I2068" s="85" t="n">
        <x:v>0</x:v>
      </x:c>
      <x:c r="J2068" s="85" t="n">
        <x:v>0</x:v>
      </x:c>
      <x:c r="K2068" s="85" t="n">
        <x:v>12647258.978722073</x:v>
      </x:c>
      <x:c r="L2068" s="28" t="n">
        <x:v>0</x:v>
      </x:c>
      <x:c r="M2068" s="28" t="n">
        <x:v>0</x:v>
      </x:c>
      <x:c r="N2068" s="28" t="n">
        <x:v>3.725290298461914e-9</x:v>
      </x:c>
      <x:c r="O2068" s="28" t="n">
        <x:v>5.960464477539063e-8</x:v>
      </x:c>
      <x:c r="P2068" s="28" t="n">
        <x:v>0</x:v>
      </x:c>
      <x:c r="Q2068" s="62" t="b">
        <x:v>1</x:v>
      </x:c>
      <x:c r="R2068" s="28" t="n">
        <x:v>0</x:v>
      </x:c>
      <x:c r="S2068" s="28" t="str">
        <x:v>448e3963ed5e5cea</x:v>
      </x:c>
    </x:row>
    <x:row r="2069" ht="21" customHeight="1">
      <x:c r="A2069" s="60" t="n">
        <x:v>0.68</x:v>
      </x:c>
      <x:c r="B2069" s="28" t="str">
        <x:v>front_high</x:v>
      </x:c>
      <x:c r="C2069" s="60" t="n">
        <x:v>0.15</x:v>
      </x:c>
      <x:c r="D2069" s="60" t="n">
        <x:v>0.15</x:v>
      </x:c>
      <x:c r="E2069" s="62" t="b">
        <x:v>1</x:v>
      </x:c>
      <x:c r="F2069" s="62" t="b">
        <x:v>1</x:v>
      </x:c>
      <x:c r="G2069" s="85" t="n">
        <x:v>0</x:v>
      </x:c>
      <x:c r="H2069" s="85" t="n">
        <x:v>0</x:v>
      </x:c>
      <x:c r="I2069" s="85" t="n">
        <x:v>2408039.181656412</x:v>
      </x:c>
      <x:c r="J2069" s="85" t="n">
        <x:v>0</x:v>
      </x:c>
      <x:c r="K2069" s="85" t="n">
        <x:v>1699634.5498103204</x:v>
      </x:c>
      <x:c r="L2069" s="28" t="n">
        <x:v>0</x:v>
      </x:c>
      <x:c r="M2069" s="28" t="n">
        <x:v>0</x:v>
      </x:c>
      <x:c r="N2069" s="28" t="n">
        <x:v>3.725290298461914e-9</x:v>
      </x:c>
      <x:c r="O2069" s="28" t="n">
        <x:v>2.9802322387695312e-8</x:v>
      </x:c>
      <x:c r="P2069" s="28" t="n">
        <x:v>0</x:v>
      </x:c>
      <x:c r="Q2069" s="62" t="b">
        <x:v>1</x:v>
      </x:c>
      <x:c r="R2069" s="28" t="n">
        <x:v>0</x:v>
      </x:c>
      <x:c r="S2069" s="28" t="str">
        <x:v>71b373191066e693</x:v>
      </x:c>
    </x:row>
    <x:row r="2070" ht="21" customHeight="1">
      <x:c r="A2070" s="60" t="n">
        <x:v>0.68</x:v>
      </x:c>
      <x:c r="B2070" s="28" t="str">
        <x:v>front_high</x:v>
      </x:c>
      <x:c r="C2070" s="60" t="n">
        <x:v>0.2</x:v>
      </x:c>
      <x:c r="D2070" s="60" t="n">
        <x:v>0.2</x:v>
      </x:c>
      <x:c r="E2070" s="62" t="b">
        <x:v>1</x:v>
      </x:c>
      <x:c r="F2070" s="62" t="b">
        <x:v>1</x:v>
      </x:c>
      <x:c r="G2070" s="85" t="n">
        <x:v>0</x:v>
      </x:c>
      <x:c r="H2070" s="85" t="n">
        <x:v>0</x:v>
      </x:c>
      <x:c r="I2070" s="85" t="n">
        <x:v>12766112.999519523</x:v>
      </x:c>
      <x:c r="J2070" s="85" t="n">
        <x:v>6284479.497374642</x:v>
      </x:c>
      <x:c r="K2070" s="85" t="n">
        <x:v>947445.4661274082</x:v>
      </x:c>
      <x:c r="L2070" s="28" t="n">
        <x:v>0</x:v>
      </x:c>
      <x:c r="M2070" s="28" t="n">
        <x:v>0</x:v>
      </x:c>
      <x:c r="N2070" s="28" t="n">
        <x:v>1.862645149230957e-9</x:v>
      </x:c>
      <x:c r="O2070" s="28" t="n">
        <x:v>2.9802322387695312e-8</x:v>
      </x:c>
      <x:c r="P2070" s="28" t="n">
        <x:v>0</x:v>
      </x:c>
      <x:c r="Q2070" s="62" t="b">
        <x:v>1</x:v>
      </x:c>
      <x:c r="R2070" s="28" t="n">
        <x:v>0</x:v>
      </x:c>
      <x:c r="S2070" s="28" t="str">
        <x:v>4a42cc3c9c5df53f</x:v>
      </x:c>
    </x:row>
    <x:row r="2071" ht="21" customHeight="1">
      <x:c r="A2071" s="60" t="n">
        <x:v>0.68</x:v>
      </x:c>
      <x:c r="B2071" s="28" t="str">
        <x:v>front_high</x:v>
      </x:c>
      <x:c r="C2071" s="60" t="n">
        <x:v>0.25</x:v>
      </x:c>
      <x:c r="D2071" s="60" t="n">
        <x:v>0.25</x:v>
      </x:c>
      <x:c r="E2071" s="62" t="b">
        <x:v>1</x:v>
      </x:c>
      <x:c r="F2071" s="62" t="b">
        <x:v>1</x:v>
      </x:c>
      <x:c r="G2071" s="85" t="n">
        <x:v>0</x:v>
      </x:c>
      <x:c r="H2071" s="85" t="n">
        <x:v>0</x:v>
      </x:c>
      <x:c r="I2071" s="85" t="n">
        <x:v>22186612.59280218</x:v>
      </x:c>
      <x:c r="J2071" s="85" t="n">
        <x:v>15355599.371718226</x:v>
      </x:c>
      <x:c r="K2071" s="85" t="n">
        <x:v>649344.1701523883</x:v>
      </x:c>
      <x:c r="L2071" s="28" t="n">
        <x:v>0</x:v>
      </x:c>
      <x:c r="M2071" s="28" t="n">
        <x:v>0</x:v>
      </x:c>
      <x:c r="N2071" s="28" t="n">
        <x:v>1.862645149230957e-9</x:v>
      </x:c>
      <x:c r="O2071" s="28" t="n">
        <x:v>1.4901161193847656e-8</x:v>
      </x:c>
      <x:c r="P2071" s="28" t="n">
        <x:v>0</x:v>
      </x:c>
      <x:c r="Q2071" s="62" t="b">
        <x:v>1</x:v>
      </x:c>
      <x:c r="R2071" s="28" t="n">
        <x:v>0</x:v>
      </x:c>
      <x:c r="S2071" s="28" t="str">
        <x:v>6106b4418d6be82d</x:v>
      </x:c>
    </x:row>
    <x:row r="2072" ht="21" customHeight="1">
      <x:c r="A2072" s="60" t="n">
        <x:v>0.68</x:v>
      </x:c>
      <x:c r="B2072" s="28" t="str">
        <x:v>front_high</x:v>
      </x:c>
      <x:c r="C2072" s="60" t="n">
        <x:v>0.3</x:v>
      </x:c>
      <x:c r="D2072" s="60" t="n">
        <x:v>0.3</x:v>
      </x:c>
      <x:c r="E2072" s="62" t="b">
        <x:v>1</x:v>
      </x:c>
      <x:c r="F2072" s="62" t="b">
        <x:v>1</x:v>
      </x:c>
      <x:c r="G2072" s="85" t="n">
        <x:v>0</x:v>
      </x:c>
      <x:c r="H2072" s="85" t="n">
        <x:v>0</x:v>
      </x:c>
      <x:c r="I2072" s="85" t="n">
        <x:v>31861667.18347773</x:v>
      </x:c>
      <x:c r="J2072" s="85" t="n">
        <x:v>24426719.24606188</x:v>
      </x:c>
      <x:c r="K2072" s="85" t="n">
        <x:v>523484.49261849385</x:v>
      </x:c>
      <x:c r="L2072" s="28" t="n">
        <x:v>0</x:v>
      </x:c>
      <x:c r="M2072" s="28" t="n">
        <x:v>0</x:v>
      </x:c>
      <x:c r="N2072" s="28" t="n">
        <x:v>3.725290298461914e-9</x:v>
      </x:c>
      <x:c r="O2072" s="28" t="n">
        <x:v>2.9802322387695312e-8</x:v>
      </x:c>
      <x:c r="P2072" s="28" t="n">
        <x:v>0</x:v>
      </x:c>
      <x:c r="Q2072" s="62" t="b">
        <x:v>1</x:v>
      </x:c>
      <x:c r="R2072" s="28" t="n">
        <x:v>0</x:v>
      </x:c>
      <x:c r="S2072" s="28" t="str">
        <x:v>a63948acecf6ae76</x:v>
      </x:c>
    </x:row>
    <x:row r="2073" ht="21" customHeight="1">
      <x:c r="A2073" s="60" t="n">
        <x:v>0.68</x:v>
      </x:c>
      <x:c r="B2073" s="28" t="str">
        <x:v>front_high</x:v>
      </x:c>
      <x:c r="C2073" s="60" t="n">
        <x:v>0.35</x:v>
      </x:c>
      <x:c r="D2073" s="60" t="n">
        <x:v>0.35</x:v>
      </x:c>
      <x:c r="E2073" s="62" t="b">
        <x:v>1</x:v>
      </x:c>
      <x:c r="F2073" s="62" t="b">
        <x:v>1</x:v>
      </x:c>
      <x:c r="G2073" s="85" t="n">
        <x:v>0</x:v>
      </x:c>
      <x:c r="H2073" s="85" t="n">
        <x:v>0</x:v>
      </x:c>
      <x:c r="I2073" s="85" t="n">
        <x:v>41799488.19914203</x:v>
      </x:c>
      <x:c r="J2073" s="85" t="n">
        <x:v>30926349.136730704</x:v>
      </x:c>
      <x:c r="K2073" s="85" t="n">
        <x:v>429183.4945845768</x:v>
      </x:c>
      <x:c r="L2073" s="28" t="n">
        <x:v>2</x:v>
      </x:c>
      <x:c r="M2073" s="28" t="n">
        <x:v>0</x:v>
      </x:c>
      <x:c r="N2073" s="28" t="n">
        <x:v>3.725290298461914e-9</x:v>
      </x:c>
      <x:c r="O2073" s="28" t="n">
        <x:v>7.450580596923828e-9</x:v>
      </x:c>
      <x:c r="P2073" s="28" t="n">
        <x:v>0</x:v>
      </x:c>
      <x:c r="Q2073" s="62" t="b">
        <x:v>1</x:v>
      </x:c>
      <x:c r="R2073" s="28" t="n">
        <x:v>0</x:v>
      </x:c>
      <x:c r="S2073" s="28" t="str">
        <x:v>fb32e0d0cbd48cdb</x:v>
      </x:c>
    </x:row>
    <x:row r="2074" ht="21" customHeight="1">
      <x:c r="A2074" s="60" t="n">
        <x:v>0.68</x:v>
      </x:c>
      <x:c r="B2074" s="28" t="str">
        <x:v>front_high</x:v>
      </x:c>
      <x:c r="C2074" s="60" t="n">
        <x:v>0.4</x:v>
      </x:c>
      <x:c r="D2074" s="60" t="n">
        <x:v>0.4</x:v>
      </x:c>
      <x:c r="E2074" s="62" t="b">
        <x:v>1</x:v>
      </x:c>
      <x:c r="F2074" s="62" t="b">
        <x:v>1</x:v>
      </x:c>
      <x:c r="G2074" s="85" t="n">
        <x:v>0</x:v>
      </x:c>
      <x:c r="H2074" s="85" t="n">
        <x:v>0</x:v>
      </x:c>
      <x:c r="I2074" s="85" t="n">
        <x:v>51725394.344961084</x:v>
      </x:c>
      <x:c r="J2074" s="85" t="n">
        <x:v>33037386.539576832</x:v>
      </x:c>
      <x:c r="K2074" s="85" t="n">
        <x:v>334882.49655068305</x:v>
      </x:c>
      <x:c r="L2074" s="28" t="n">
        <x:v>7</x:v>
      </x:c>
      <x:c r="M2074" s="28" t="n">
        <x:v>0</x:v>
      </x:c>
      <x:c r="N2074" s="28" t="n">
        <x:v>3.725290298461914e-9</x:v>
      </x:c>
      <x:c r="O2074" s="28" t="n">
        <x:v>2.9802322387695312e-8</x:v>
      </x:c>
      <x:c r="P2074" s="28" t="n">
        <x:v>0</x:v>
      </x:c>
      <x:c r="Q2074" s="62" t="b">
        <x:v>1</x:v>
      </x:c>
      <x:c r="R2074" s="28" t="n">
        <x:v>0</x:v>
      </x:c>
      <x:c r="S2074" s="28" t="str">
        <x:v>7f25cc89d4ae423f</x:v>
      </x:c>
    </x:row>
    <x:row r="2075" ht="21" customHeight="1">
      <x:c r="A2075" s="60" t="n">
        <x:v>0.68</x:v>
      </x:c>
      <x:c r="B2075" s="28" t="str">
        <x:v>front_high</x:v>
      </x:c>
      <x:c r="C2075" s="60" t="n">
        <x:v>0.45</x:v>
      </x:c>
      <x:c r="D2075" s="60" t="n">
        <x:v>0.45</x:v>
      </x:c>
      <x:c r="E2075" s="62" t="b">
        <x:v>1</x:v>
      </x:c>
      <x:c r="F2075" s="62" t="b">
        <x:v>1</x:v>
      </x:c>
      <x:c r="G2075" s="85" t="n">
        <x:v>0</x:v>
      </x:c>
      <x:c r="H2075" s="85" t="n">
        <x:v>0</x:v>
      </x:c>
      <x:c r="I2075" s="85" t="n">
        <x:v>62099733.070201956</x:v>
      </x:c>
      <x:c r="J2075" s="85" t="n">
        <x:v>37000742.11325477</x:v>
      </x:c>
      <x:c r="K2075" s="85" t="n">
        <x:v>240581.49851678274</x:v>
      </x:c>
      <x:c r="L2075" s="28" t="n">
        <x:v>13</x:v>
      </x:c>
      <x:c r="M2075" s="28" t="n">
        <x:v>0</x:v>
      </x:c>
      <x:c r="N2075" s="28" t="n">
        <x:v>3.725290298461914e-9</x:v>
      </x:c>
      <x:c r="O2075" s="28" t="n">
        <x:v>2.9802322387695312e-8</x:v>
      </x:c>
      <x:c r="P2075" s="28" t="n">
        <x:v>0</x:v>
      </x:c>
      <x:c r="Q2075" s="62" t="b">
        <x:v>1</x:v>
      </x:c>
      <x:c r="R2075" s="28" t="n">
        <x:v>0</x:v>
      </x:c>
      <x:c r="S2075" s="28" t="str">
        <x:v>dcd7ac11b515484a</x:v>
      </x:c>
    </x:row>
    <x:row r="2076" ht="21" customHeight="1">
      <x:c r="A2076" s="60" t="n">
        <x:v>0.68</x:v>
      </x:c>
      <x:c r="B2076" s="28" t="str">
        <x:v>front_high</x:v>
      </x:c>
      <x:c r="C2076" s="60" t="n">
        <x:v>0.5</x:v>
      </x:c>
      <x:c r="D2076" s="60" t="n">
        <x:v>0.5</x:v>
      </x:c>
      <x:c r="E2076" s="62" t="b">
        <x:v>1</x:v>
      </x:c>
      <x:c r="F2076" s="62" t="b">
        <x:v>1</x:v>
      </x:c>
      <x:c r="G2076" s="85" t="n">
        <x:v>0</x:v>
      </x:c>
      <x:c r="H2076" s="85" t="n">
        <x:v>0</x:v>
      </x:c>
      <x:c r="I2076" s="85" t="n">
        <x:v>72147673.63578281</x:v>
      </x:c>
      <x:c r="J2076" s="85" t="n">
        <x:v>46378592.04579019</x:v>
      </x:c>
      <x:c r="K2076" s="85" t="n">
        <x:v>170012.40503424688</x:v>
      </x:c>
      <x:c r="L2076" s="28" t="n">
        <x:v>18</x:v>
      </x:c>
      <x:c r="M2076" s="28" t="n">
        <x:v>0</x:v>
      </x:c>
      <x:c r="N2076" s="28" t="n">
        <x:v>1.862645149230957e-9</x:v>
      </x:c>
      <x:c r="O2076" s="28" t="n">
        <x:v>2.9802322387695312e-8</x:v>
      </x:c>
      <x:c r="P2076" s="28" t="n">
        <x:v>0</x:v>
      </x:c>
      <x:c r="Q2076" s="62" t="b">
        <x:v>1</x:v>
      </x:c>
      <x:c r="R2076" s="28" t="n">
        <x:v>0</x:v>
      </x:c>
      <x:c r="S2076" s="28" t="str">
        <x:v>29f088cbb55cda44</x:v>
      </x:c>
    </x:row>
    <x:row r="2077" ht="21" customHeight="1">
      <x:c r="A2077" s="60" t="n">
        <x:v>0.68</x:v>
      </x:c>
      <x:c r="B2077" s="28" t="str">
        <x:v>front_high</x:v>
      </x:c>
      <x:c r="C2077" s="60" t="n">
        <x:v>0.55</x:v>
      </x:c>
      <x:c r="D2077" s="60" t="n">
        <x:v>0.55</x:v>
      </x:c>
      <x:c r="E2077" s="62" t="b">
        <x:v>1</x:v>
      </x:c>
      <x:c r="F2077" s="62" t="b">
        <x:v>1</x:v>
      </x:c>
      <x:c r="G2077" s="85" t="n">
        <x:v>0</x:v>
      </x:c>
      <x:c r="H2077" s="85" t="n">
        <x:v>0</x:v>
      </x:c>
      <x:c r="I2077" s="85" t="n">
        <x:v>81448896.53809592</x:v>
      </x:c>
      <x:c r="J2077" s="85" t="n">
        <x:v>56540396.97498939</x:v>
      </x:c>
      <x:c r="K2077" s="85" t="n">
        <x:v>138578.28389383483</x:v>
      </x:c>
      <x:c r="L2077" s="28" t="n">
        <x:v>22</x:v>
      </x:c>
      <x:c r="M2077" s="28" t="n">
        <x:v>10</x:v>
      </x:c>
      <x:c r="N2077" s="28" t="n">
        <x:v>1.862645149230957e-9</x:v>
      </x:c>
      <x:c r="O2077" s="28" t="n">
        <x:v>2.9802322387695312e-8</x:v>
      </x:c>
      <x:c r="P2077" s="28" t="n">
        <x:v>0</x:v>
      </x:c>
      <x:c r="Q2077" s="62" t="b">
        <x:v>1</x:v>
      </x:c>
      <x:c r="R2077" s="28" t="n">
        <x:v>0</x:v>
      </x:c>
      <x:c r="S2077" s="28" t="str">
        <x:v>29426acd9e99d4f3</x:v>
      </x:c>
    </x:row>
    <x:row r="2078" ht="21" customHeight="1">
      <x:c r="A2078" s="60" t="n">
        <x:v>0.68</x:v>
      </x:c>
      <x:c r="B2078" s="28" t="str">
        <x:v>front_high</x:v>
      </x:c>
      <x:c r="C2078" s="60" t="n">
        <x:v>0.6</x:v>
      </x:c>
      <x:c r="D2078" s="60" t="n">
        <x:v>0.6</x:v>
      </x:c>
      <x:c r="E2078" s="62" t="b">
        <x:v>1</x:v>
      </x:c>
      <x:c r="F2078" s="62" t="b">
        <x:v>0</x:v>
      </x:c>
      <x:c r="G2078" s="85" t="n">
        <x:v>1346954.5810818132</x:v>
      </x:c>
      <x:c r="H2078" s="85" t="n">
        <x:v>5212123.388074252</x:v>
      </x:c>
      <x:c r="I2078" s="85" t="n">
        <x:v>87422412.43916027</x:v>
      </x:c>
      <x:c r="J2078" s="85" t="n">
        <x:v>65999999.999999985</x:v>
      </x:c>
      <x:c r="K2078" s="85" t="n">
        <x:v>107144.1627534265</x:v>
      </x:c>
      <x:c r="L2078" s="28" t="n">
        <x:v>46</x:v>
      </x:c>
      <x:c r="M2078" s="28" t="n">
        <x:v>38</x:v>
      </x:c>
      <x:c r="N2078" s="28" t="n">
        <x:v>1.862645149230957e-9</x:v>
      </x:c>
      <x:c r="O2078" s="28" t="n">
        <x:v>2.9802322387695312e-8</x:v>
      </x:c>
      <x:c r="P2078" s="28" t="n">
        <x:v>0</x:v>
      </x:c>
      <x:c r="Q2078" s="62" t="b">
        <x:v>1</x:v>
      </x:c>
      <x:c r="R2078" s="28" t="n">
        <x:v>0</x:v>
      </x:c>
      <x:c r="S2078" s="28" t="str">
        <x:v>40aa15a5e0dd8f90</x:v>
      </x:c>
    </x:row>
    <x:row r="2079" ht="21" customHeight="1">
      <x:c r="A2079" s="60" t="n">
        <x:v>0.68</x:v>
      </x:c>
      <x:c r="B2079" s="28" t="str">
        <x:v>front_high</x:v>
      </x:c>
      <x:c r="C2079" s="60" t="n">
        <x:v>0.65</x:v>
      </x:c>
      <x:c r="D2079" s="60" t="n">
        <x:v>0.65</x:v>
      </x:c>
      <x:c r="E2079" s="62" t="b">
        <x:v>1</x:v>
      </x:c>
      <x:c r="F2079" s="62" t="b">
        <x:v>0</x:v>
      </x:c>
      <x:c r="G2079" s="85" t="n">
        <x:v>6271973.912771562</x:v>
      </x:c>
      <x:c r="H2079" s="85" t="n">
        <x:v>21214175.608089585</x:v>
      </x:c>
      <x:c r="I2079" s="85" t="n">
        <x:v>87485826.25098526</x:v>
      </x:c>
      <x:c r="J2079" s="85" t="n">
        <x:v>65999999.999999985</x:v>
      </x:c>
      <x:c r="K2079" s="85" t="n">
        <x:v>75710.04161301072</x:v>
      </x:c>
      <x:c r="L2079" s="28" t="n">
        <x:v>46</x:v>
      </x:c>
      <x:c r="M2079" s="28" t="n">
        <x:v>43</x:v>
      </x:c>
      <x:c r="N2079" s="28" t="n">
        <x:v>1.862645149230957e-9</x:v>
      </x:c>
      <x:c r="O2079" s="28" t="n">
        <x:v>2.9802322387695312e-8</x:v>
      </x:c>
      <x:c r="P2079" s="28" t="n">
        <x:v>0</x:v>
      </x:c>
      <x:c r="Q2079" s="62" t="b">
        <x:v>1</x:v>
      </x:c>
      <x:c r="R2079" s="28" t="n">
        <x:v>0</x:v>
      </x:c>
      <x:c r="S2079" s="28" t="str">
        <x:v>9690ffd346b7827b</x:v>
      </x:c>
    </x:row>
    <x:row r="2080" ht="21" customHeight="1">
      <x:c r="A2080" s="60" t="n">
        <x:v>0.68</x:v>
      </x:c>
      <x:c r="B2080" s="28" t="str">
        <x:v>front_high</x:v>
      </x:c>
      <x:c r="C2080" s="60" t="n">
        <x:v>0.7</x:v>
      </x:c>
      <x:c r="D2080" s="60" t="n">
        <x:v>0.7</x:v>
      </x:c>
      <x:c r="E2080" s="62" t="b">
        <x:v>1</x:v>
      </x:c>
      <x:c r="F2080" s="62" t="b">
        <x:v>0</x:v>
      </x:c>
      <x:c r="G2080" s="85" t="n">
        <x:v>11549886.709341004</x:v>
      </x:c>
      <x:c r="H2080" s="85" t="n">
        <x:v>36514805.65335777</x:v>
      </x:c>
      <x:c r="I2080" s="85" t="n">
        <x:v>87549240.06281027</x:v>
      </x:c>
      <x:c r="J2080" s="85" t="n">
        <x:v>65999999.999999985</x:v>
      </x:c>
      <x:c r="K2080" s="85" t="n">
        <x:v>44275.92047260146</x:v>
      </x:c>
      <x:c r="L2080" s="28" t="n">
        <x:v>46</x:v>
      </x:c>
      <x:c r="M2080" s="28" t="n">
        <x:v>44</x:v>
      </x:c>
      <x:c r="N2080" s="28" t="n">
        <x:v>1.862645149230957e-9</x:v>
      </x:c>
      <x:c r="O2080" s="28" t="n">
        <x:v>2.9802322387695312e-8</x:v>
      </x:c>
      <x:c r="P2080" s="28" t="n">
        <x:v>0</x:v>
      </x:c>
      <x:c r="Q2080" s="62" t="b">
        <x:v>1</x:v>
      </x:c>
      <x:c r="R2080" s="28" t="n">
        <x:v>0</x:v>
      </x:c>
      <x:c r="S2080" s="28" t="str">
        <x:v>58bc7ca35fe31e14</x:v>
      </x:c>
    </x:row>
    <x:row r="2081" ht="21" customHeight="1">
      <x:c r="A2081" s="60" t="n">
        <x:v>0.68</x:v>
      </x:c>
      <x:c r="B2081" s="28" t="str">
        <x:v>front_high</x:v>
      </x:c>
      <x:c r="C2081" s="60" t="n">
        <x:v>0.75</x:v>
      </x:c>
      <x:c r="D2081" s="60" t="n">
        <x:v>0.75</x:v>
      </x:c>
      <x:c r="E2081" s="62" t="b">
        <x:v>1</x:v>
      </x:c>
      <x:c r="F2081" s="62" t="b">
        <x:v>0</x:v>
      </x:c>
      <x:c r="G2081" s="85" t="n">
        <x:v>16890929.204319023</x:v>
      </x:c>
      <x:c r="H2081" s="85" t="n">
        <x:v>51452506.56931599</x:v>
      </x:c>
      <x:c r="I2081" s="85" t="n">
        <x:v>87612653.87463528</x:v>
      </x:c>
      <x:c r="J2081" s="85" t="n">
        <x:v>65999999.999999985</x:v>
      </x:c>
      <x:c r="K2081" s="85" t="n">
        <x:v>12841.79933219499</x:v>
      </x:c>
      <x:c r="L2081" s="28" t="n">
        <x:v>46</x:v>
      </x:c>
      <x:c r="M2081" s="28" t="n">
        <x:v>45</x:v>
      </x:c>
      <x:c r="N2081" s="28" t="n">
        <x:v>1.862645149230957e-9</x:v>
      </x:c>
      <x:c r="O2081" s="28" t="n">
        <x:v>2.9802322387695312e-8</x:v>
      </x:c>
      <x:c r="P2081" s="28" t="n">
        <x:v>0</x:v>
      </x:c>
      <x:c r="Q2081" s="62" t="b">
        <x:v>1</x:v>
      </x:c>
      <x:c r="R2081" s="28" t="n">
        <x:v>0</x:v>
      </x:c>
      <x:c r="S2081" s="28" t="str">
        <x:v>a78523efe59e667e</x:v>
      </x:c>
    </x:row>
    <x:row r="2082" ht="21" customHeight="1">
      <x:c r="A2082" s="60" t="n">
        <x:v>0.68</x:v>
      </x:c>
      <x:c r="B2082" s="28" t="str">
        <x:v>front_high</x:v>
      </x:c>
      <x:c r="C2082" s="60" t="n">
        <x:v>0.8</x:v>
      </x:c>
      <x:c r="D2082" s="60" t="n">
        <x:v>0.8</x:v>
      </x:c>
      <x:c r="E2082" s="62" t="b">
        <x:v>1</x:v>
      </x:c>
      <x:c r="F2082" s="62" t="b">
        <x:v>0</x:v>
      </x:c>
      <x:c r="G2082" s="85" t="n">
        <x:v>21233368.58927249</x:v>
      </x:c>
      <x:c r="H2082" s="85" t="n">
        <x:v>63615255.6988845</x:v>
      </x:c>
      <x:c r="I2082" s="85" t="n">
        <x:v>89270876.71232878</x:v>
      </x:c>
      <x:c r="J2082" s="85" t="n">
        <x:v>65999999.999999985</x:v>
      </x:c>
      <x:c r="K2082" s="85" t="n">
        <x:v>0</x:v>
      </x:c>
      <x:c r="L2082" s="28" t="n">
        <x:v>47</x:v>
      </x:c>
      <x:c r="M2082" s="28" t="n">
        <x:v>45</x:v>
      </x:c>
      <x:c r="N2082" s="28" t="n">
        <x:v>1.862645149230957e-9</x:v>
      </x:c>
      <x:c r="O2082" s="28" t="n">
        <x:v>1.4901161193847656e-8</x:v>
      </x:c>
      <x:c r="P2082" s="28" t="n">
        <x:v>0</x:v>
      </x:c>
      <x:c r="Q2082" s="62" t="b">
        <x:v>1</x:v>
      </x:c>
      <x:c r="R2082" s="28" t="n">
        <x:v>0</x:v>
      </x:c>
      <x:c r="S2082" s="28" t="str">
        <x:v>62cb0606d7189773</x:v>
      </x:c>
    </x:row>
    <x:row r="2083" ht="21" customHeight="1">
      <x:c r="A2083" s="60" t="n">
        <x:v>0.68</x:v>
      </x:c>
      <x:c r="B2083" s="28" t="str">
        <x:v>front_high</x:v>
      </x:c>
      <x:c r="C2083" s="60" t="n">
        <x:v>0.85</x:v>
      </x:c>
      <x:c r="D2083" s="60" t="n">
        <x:v>0.85</x:v>
      </x:c>
      <x:c r="E2083" s="62" t="b">
        <x:v>1</x:v>
      </x:c>
      <x:c r="F2083" s="62" t="b">
        <x:v>0</x:v>
      </x:c>
      <x:c r="G2083" s="85" t="n">
        <x:v>28216829.374432746</x:v>
      </x:c>
      <x:c r="H2083" s="85" t="n">
        <x:v>77458652.46634142</x:v>
      </x:c>
      <x:c r="I2083" s="85" t="n">
        <x:v>89270876.71232878</x:v>
      </x:c>
      <x:c r="J2083" s="85" t="n">
        <x:v>65999999.999999985</x:v>
      </x:c>
      <x:c r="K2083" s="85" t="n">
        <x:v>0</x:v>
      </x:c>
      <x:c r="L2083" s="28" t="n">
        <x:v>47</x:v>
      </x:c>
      <x:c r="M2083" s="28" t="n">
        <x:v>45</x:v>
      </x:c>
      <x:c r="N2083" s="28" t="n">
        <x:v>1.862645149230957e-9</x:v>
      </x:c>
      <x:c r="O2083" s="28" t="n">
        <x:v>1.862645149230957e-9</x:v>
      </x:c>
      <x:c r="P2083" s="28" t="n">
        <x:v>0</x:v>
      </x:c>
      <x:c r="Q2083" s="62" t="b">
        <x:v>1</x:v>
      </x:c>
      <x:c r="R2083" s="28" t="n">
        <x:v>0</x:v>
      </x:c>
      <x:c r="S2083" s="28" t="str">
        <x:v>65c55e284ad63486</x:v>
      </x:c>
    </x:row>
    <x:row r="2084" ht="21" customHeight="1">
      <x:c r="A2084" s="60" t="n">
        <x:v>0.68</x:v>
      </x:c>
      <x:c r="B2084" s="28" t="str">
        <x:v>front_high</x:v>
      </x:c>
      <x:c r="C2084" s="60" t="n">
        <x:v>0.9</x:v>
      </x:c>
      <x:c r="D2084" s="60" t="n">
        <x:v>0.9</x:v>
      </x:c>
      <x:c r="E2084" s="62" t="b">
        <x:v>1</x:v>
      </x:c>
      <x:c r="F2084" s="62" t="b">
        <x:v>0</x:v>
      </x:c>
      <x:c r="G2084" s="85" t="n">
        <x:v>37951924.87075277</x:v>
      </x:c>
      <x:c r="H2084" s="85" t="n">
        <x:v>87969796.83712962</x:v>
      </x:c>
      <x:c r="I2084" s="85" t="n">
        <x:v>89270876.71232878</x:v>
      </x:c>
      <x:c r="J2084" s="85" t="n">
        <x:v>65999999.999999985</x:v>
      </x:c>
      <x:c r="K2084" s="85" t="n">
        <x:v>0</x:v>
      </x:c>
      <x:c r="L2084" s="28" t="n">
        <x:v>47</x:v>
      </x:c>
      <x:c r="M2084" s="28" t="n">
        <x:v>45</x:v>
      </x:c>
      <x:c r="N2084" s="28" t="n">
        <x:v>1.862645149230957e-9</x:v>
      </x:c>
      <x:c r="O2084" s="28" t="n">
        <x:v>1.4901161193847656e-8</x:v>
      </x:c>
      <x:c r="P2084" s="28" t="n">
        <x:v>0</x:v>
      </x:c>
      <x:c r="Q2084" s="62" t="b">
        <x:v>1</x:v>
      </x:c>
      <x:c r="R2084" s="28" t="n">
        <x:v>0</x:v>
      </x:c>
      <x:c r="S2084" s="28" t="str">
        <x:v>b0d4782272e59193</x:v>
      </x:c>
    </x:row>
    <x:row r="2085" ht="21" customHeight="1">
      <x:c r="A2085" s="60" t="n">
        <x:v>0.68</x:v>
      </x:c>
      <x:c r="B2085" s="28" t="str">
        <x:v>front_high</x:v>
      </x:c>
      <x:c r="C2085" s="60" t="n">
        <x:v>0.95</x:v>
      </x:c>
      <x:c r="D2085" s="60" t="n">
        <x:v>0.9497739906324524</x:v>
      </x:c>
      <x:c r="E2085" s="62" t="b">
        <x:v>0</x:v>
      </x:c>
      <x:c r="F2085" s="62" t="b">
        <x:v>0</x:v>
      </x:c>
      <x:c r="G2085" s="85" t="n">
        <x:v>43310149.8787345</x:v>
      </x:c>
      <x:c r="H2085" s="85" t="n">
        <x:v>97500861.66836132</x:v>
      </x:c>
      <x:c r="I2085" s="85" t="n">
        <x:v>89272812.49344863</x:v>
      </x:c>
      <x:c r="J2085" s="85" t="n">
        <x:v>65999999.999999985</x:v>
      </x:c>
      <x:c r="K2085" s="85" t="n">
        <x:v>0</x:v>
      </x:c>
      <x:c r="L2085" s="28" t="n">
        <x:v>47</x:v>
      </x:c>
      <x:c r="M2085" s="28" t="n">
        <x:v>45</x:v>
      </x:c>
      <x:c r="N2085" s="28" t="n">
        <x:v>1.862645149230957e-9</x:v>
      </x:c>
      <x:c r="O2085" s="28" t="n">
        <x:v>1.4901161193847656e-8</x:v>
      </x:c>
      <x:c r="P2085" s="28" t="n">
        <x:v>0</x:v>
      </x:c>
      <x:c r="Q2085" s="62" t="b">
        <x:v>1</x:v>
      </x:c>
      <x:c r="R2085" s="28" t="n">
        <x:v>67802.81026428938</x:v>
      </x:c>
      <x:c r="S2085" s="28" t="str">
        <x:v>0bfc67187d54a554</x:v>
      </x:c>
    </x:row>
    <x:row r="2086" ht="21" customHeight="1">
      <x:c r="A2086" s="60" t="n">
        <x:v>0.68</x:v>
      </x:c>
      <x:c r="B2086" s="28" t="str">
        <x:v>front_high</x:v>
      </x:c>
      <x:c r="C2086" s="60" t="n">
        <x:v>1</x:v>
      </x:c>
      <x:c r="D2086" s="60" t="n">
        <x:v>0.9646994850752131</x:v>
      </x:c>
      <x:c r="E2086" s="62" t="b">
        <x:v>0</x:v>
      </x:c>
      <x:c r="F2086" s="62" t="b">
        <x:v>0</x:v>
      </x:c>
      <x:c r="G2086" s="85" t="n">
        <x:v>47223147.35224843</x:v>
      </x:c>
      <x:c r="H2086" s="85" t="n">
        <x:v>101680018.76898617</x:v>
      </x:c>
      <x:c r="I2086" s="85" t="n">
        <x:v>89304246.61458905</x:v>
      </x:c>
      <x:c r="J2086" s="85" t="n">
        <x:v>65999999.999999985</x:v>
      </x:c>
      <x:c r="K2086" s="85" t="n">
        <x:v>0</x:v>
      </x:c>
      <x:c r="L2086" s="28" t="n">
        <x:v>47</x:v>
      </x:c>
      <x:c r="M2086" s="28" t="n">
        <x:v>46</x:v>
      </x:c>
      <x:c r="N2086" s="28" t="n">
        <x:v>1.862645149230957e-9</x:v>
      </x:c>
      <x:c r="O2086" s="28" t="n">
        <x:v>3.725290298461914e-9</x:v>
      </x:c>
      <x:c r="P2086" s="28" t="n">
        <x:v>0</x:v>
      </x:c>
      <x:c r="Q2086" s="62" t="b">
        <x:v>1</x:v>
      </x:c>
      <x:c r="R2086" s="28" t="n">
        <x:v>10590154.477436066</x:v>
      </x:c>
      <x:c r="S2086" s="28" t="str">
        <x:v>07cf2c67a342f4b5</x:v>
      </x:c>
    </x:row>
    <x:row r="2087" ht="21" customHeight="1">
      <x:c r="A2087" s="60" t="n">
        <x:v>0.68</x:v>
      </x:c>
      <x:c r="B2087" s="28" t="str">
        <x:v>middle_flat</x:v>
      </x:c>
      <x:c r="C2087" s="60" t="n">
        <x:v>0</x:v>
      </x:c>
      <x:c r="D2087" s="60" t="n">
        <x:v>0</x:v>
      </x:c>
      <x:c r="E2087" s="62" t="b">
        <x:v>1</x:v>
      </x:c>
      <x:c r="F2087" s="62" t="b">
        <x:v>1</x:v>
      </x:c>
      <x:c r="G2087" s="85" t="n">
        <x:v>0</x:v>
      </x:c>
      <x:c r="H2087" s="85" t="n">
        <x:v>0</x:v>
      </x:c>
      <x:c r="I2087" s="85" t="n">
        <x:v>0</x:v>
      </x:c>
      <x:c r="J2087" s="85" t="n">
        <x:v>0</x:v>
      </x:c>
      <x:c r="K2087" s="85" t="n">
        <x:v>35689016.57328769</x:v>
      </x:c>
      <x:c r="L2087" s="28" t="n">
        <x:v>0</x:v>
      </x:c>
      <x:c r="M2087" s="28" t="n">
        <x:v>0</x:v>
      </x:c>
      <x:c r="N2087" s="28" t="n">
        <x:v>3.725290298461914e-9</x:v>
      </x:c>
      <x:c r="O2087" s="28" t="n">
        <x:v>0</x:v>
      </x:c>
      <x:c r="P2087" s="28" t="n">
        <x:v>0</x:v>
      </x:c>
      <x:c r="Q2087" s="62" t="b">
        <x:v>1</x:v>
      </x:c>
      <x:c r="R2087" s="28" t="n">
        <x:v>0</x:v>
      </x:c>
      <x:c r="S2087" s="28" t="str">
        <x:v>1722360b2713d71b</x:v>
      </x:c>
    </x:row>
    <x:row r="2088" ht="21" customHeight="1">
      <x:c r="A2088" s="60" t="n">
        <x:v>0.68</x:v>
      </x:c>
      <x:c r="B2088" s="28" t="str">
        <x:v>middle_flat</x:v>
      </x:c>
      <x:c r="C2088" s="60" t="n">
        <x:v>0.05</x:v>
      </x:c>
      <x:c r="D2088" s="60" t="n">
        <x:v>0.05</x:v>
      </x:c>
      <x:c r="E2088" s="62" t="b">
        <x:v>1</x:v>
      </x:c>
      <x:c r="F2088" s="62" t="b">
        <x:v>1</x:v>
      </x:c>
      <x:c r="G2088" s="85" t="n">
        <x:v>0</x:v>
      </x:c>
      <x:c r="H2088" s="85" t="n">
        <x:v>0</x:v>
      </x:c>
      <x:c r="I2088" s="85" t="n">
        <x:v>0</x:v>
      </x:c>
      <x:c r="J2088" s="85" t="n">
        <x:v>0</x:v>
      </x:c>
      <x:c r="K2088" s="85" t="n">
        <x:v>23755275.469974913</x:v>
      </x:c>
      <x:c r="L2088" s="28" t="n">
        <x:v>0</x:v>
      </x:c>
      <x:c r="M2088" s="28" t="n">
        <x:v>0</x:v>
      </x:c>
      <x:c r="N2088" s="28" t="n">
        <x:v>3.725290298461914e-9</x:v>
      </x:c>
      <x:c r="O2088" s="28" t="n">
        <x:v>2.9802322387695312e-8</x:v>
      </x:c>
      <x:c r="P2088" s="28" t="n">
        <x:v>0</x:v>
      </x:c>
      <x:c r="Q2088" s="62" t="b">
        <x:v>1</x:v>
      </x:c>
      <x:c r="R2088" s="28" t="n">
        <x:v>0</x:v>
      </x:c>
      <x:c r="S2088" s="28" t="str">
        <x:v>c48f3e829e588e8b</x:v>
      </x:c>
    </x:row>
    <x:row r="2089" ht="21" customHeight="1">
      <x:c r="A2089" s="60" t="n">
        <x:v>0.68</x:v>
      </x:c>
      <x:c r="B2089" s="28" t="str">
        <x:v>middle_flat</x:v>
      </x:c>
      <x:c r="C2089" s="60" t="n">
        <x:v>0.1</x:v>
      </x:c>
      <x:c r="D2089" s="60" t="n">
        <x:v>0.1</x:v>
      </x:c>
      <x:c r="E2089" s="62" t="b">
        <x:v>1</x:v>
      </x:c>
      <x:c r="F2089" s="62" t="b">
        <x:v>1</x:v>
      </x:c>
      <x:c r="G2089" s="85" t="n">
        <x:v>0</x:v>
      </x:c>
      <x:c r="H2089" s="85" t="n">
        <x:v>0</x:v>
      </x:c>
      <x:c r="I2089" s="85" t="n">
        <x:v>0</x:v>
      </x:c>
      <x:c r="J2089" s="85" t="n">
        <x:v>0</x:v>
      </x:c>
      <x:c r="K2089" s="85" t="n">
        <x:v>11702697.573127605</x:v>
      </x:c>
      <x:c r="L2089" s="28" t="n">
        <x:v>0</x:v>
      </x:c>
      <x:c r="M2089" s="28" t="n">
        <x:v>0</x:v>
      </x:c>
      <x:c r="N2089" s="28" t="n">
        <x:v>3.725290298461914e-9</x:v>
      </x:c>
      <x:c r="O2089" s="28" t="n">
        <x:v>5.960464477539063e-8</x:v>
      </x:c>
      <x:c r="P2089" s="28" t="n">
        <x:v>0</x:v>
      </x:c>
      <x:c r="Q2089" s="62" t="b">
        <x:v>1</x:v>
      </x:c>
      <x:c r="R2089" s="28" t="n">
        <x:v>0</x:v>
      </x:c>
      <x:c r="S2089" s="28" t="str">
        <x:v>8af7e25a59777991</x:v>
      </x:c>
    </x:row>
    <x:row r="2090" ht="21" customHeight="1">
      <x:c r="A2090" s="60" t="n">
        <x:v>0.68</x:v>
      </x:c>
      <x:c r="B2090" s="28" t="str">
        <x:v>middle_flat</x:v>
      </x:c>
      <x:c r="C2090" s="60" t="n">
        <x:v>0.15</x:v>
      </x:c>
      <x:c r="D2090" s="60" t="n">
        <x:v>0.15</x:v>
      </x:c>
      <x:c r="E2090" s="62" t="b">
        <x:v>1</x:v>
      </x:c>
      <x:c r="F2090" s="62" t="b">
        <x:v>1</x:v>
      </x:c>
      <x:c r="G2090" s="85" t="n">
        <x:v>0</x:v>
      </x:c>
      <x:c r="H2090" s="85" t="n">
        <x:v>0</x:v>
      </x:c>
      <x:c r="I2090" s="85" t="n">
        <x:v>1847768.5032212336</x:v>
      </x:c>
      <x:c r="J2090" s="85" t="n">
        <x:v>0</x:v>
      </x:c>
      <x:c r="K2090" s="85" t="n">
        <x:v>2133624.334046319</x:v>
      </x:c>
      <x:c r="L2090" s="28" t="n">
        <x:v>0</x:v>
      </x:c>
      <x:c r="M2090" s="28" t="n">
        <x:v>0</x:v>
      </x:c>
      <x:c r="N2090" s="28" t="n">
        <x:v>3.725290298461914e-9</x:v>
      </x:c>
      <x:c r="O2090" s="28" t="n">
        <x:v>2.9802322387695312e-8</x:v>
      </x:c>
      <x:c r="P2090" s="28" t="n">
        <x:v>0</x:v>
      </x:c>
      <x:c r="Q2090" s="62" t="b">
        <x:v>1</x:v>
      </x:c>
      <x:c r="R2090" s="28" t="n">
        <x:v>0</x:v>
      </x:c>
      <x:c r="S2090" s="28" t="str">
        <x:v>12e916edf8d20436</x:v>
      </x:c>
    </x:row>
    <x:row r="2091" ht="21" customHeight="1">
      <x:c r="A2091" s="60" t="n">
        <x:v>0.68</x:v>
      </x:c>
      <x:c r="B2091" s="28" t="str">
        <x:v>middle_flat</x:v>
      </x:c>
      <x:c r="C2091" s="60" t="n">
        <x:v>0.2</x:v>
      </x:c>
      <x:c r="D2091" s="60" t="n">
        <x:v>0.2</x:v>
      </x:c>
      <x:c r="E2091" s="62" t="b">
        <x:v>1</x:v>
      </x:c>
      <x:c r="F2091" s="62" t="b">
        <x:v>1</x:v>
      </x:c>
      <x:c r="G2091" s="85" t="n">
        <x:v>0</x:v>
      </x:c>
      <x:c r="H2091" s="85" t="n">
        <x:v>0</x:v>
      </x:c>
      <x:c r="I2091" s="85" t="n">
        <x:v>9752017.270311166</x:v>
      </x:c>
      <x:c r="J2091" s="85" t="n">
        <x:v>6318282.052720841</x:v>
      </x:c>
      <x:c r="K2091" s="85" t="n">
        <x:v>1667923.5733576454</x:v>
      </x:c>
      <x:c r="L2091" s="28" t="n">
        <x:v>0</x:v>
      </x:c>
      <x:c r="M2091" s="28" t="n">
        <x:v>0</x:v>
      </x:c>
      <x:c r="N2091" s="28" t="n">
        <x:v>1.862645149230957e-9</x:v>
      </x:c>
      <x:c r="O2091" s="28" t="n">
        <x:v>2.9802322387695312e-8</x:v>
      </x:c>
      <x:c r="P2091" s="28" t="n">
        <x:v>0</x:v>
      </x:c>
      <x:c r="Q2091" s="62" t="b">
        <x:v>1</x:v>
      </x:c>
      <x:c r="R2091" s="28" t="n">
        <x:v>0</x:v>
      </x:c>
      <x:c r="S2091" s="28" t="str">
        <x:v>1ef4ed9fb1a67bac</x:v>
      </x:c>
    </x:row>
    <x:row r="2092" ht="21" customHeight="1">
      <x:c r="A2092" s="60" t="n">
        <x:v>0.68</x:v>
      </x:c>
      <x:c r="B2092" s="28" t="str">
        <x:v>middle_flat</x:v>
      </x:c>
      <x:c r="C2092" s="60" t="n">
        <x:v>0.25</x:v>
      </x:c>
      <x:c r="D2092" s="60" t="n">
        <x:v>0.25</x:v>
      </x:c>
      <x:c r="E2092" s="62" t="b">
        <x:v>1</x:v>
      </x:c>
      <x:c r="F2092" s="62" t="b">
        <x:v>1</x:v>
      </x:c>
      <x:c r="G2092" s="85" t="n">
        <x:v>0</x:v>
      </x:c>
      <x:c r="H2092" s="85" t="n">
        <x:v>0</x:v>
      </x:c>
      <x:c r="I2092" s="85" t="n">
        <x:v>15931187.582238259</x:v>
      </x:c>
      <x:c r="J2092" s="85" t="n">
        <x:v>15397852.56590101</x:v>
      </x:c>
      <x:c r="K2092" s="85" t="n">
        <x:v>1350532.1033408935</x:v>
      </x:c>
      <x:c r="L2092" s="28" t="n">
        <x:v>0</x:v>
      </x:c>
      <x:c r="M2092" s="28" t="n">
        <x:v>0</x:v>
      </x:c>
      <x:c r="N2092" s="28" t="n">
        <x:v>3.725290298461914e-9</x:v>
      </x:c>
      <x:c r="O2092" s="28" t="n">
        <x:v>2.9802322387695312e-8</x:v>
      </x:c>
      <x:c r="P2092" s="28" t="n">
        <x:v>0</x:v>
      </x:c>
      <x:c r="Q2092" s="62" t="b">
        <x:v>1</x:v>
      </x:c>
      <x:c r="R2092" s="28" t="n">
        <x:v>0</x:v>
      </x:c>
      <x:c r="S2092" s="28" t="str">
        <x:v>6bef5444cb9f7aa1</x:v>
      </x:c>
    </x:row>
    <x:row r="2093" ht="21" customHeight="1">
      <x:c r="A2093" s="60" t="n">
        <x:v>0.68</x:v>
      </x:c>
      <x:c r="B2093" s="28" t="str">
        <x:v>middle_flat</x:v>
      </x:c>
      <x:c r="C2093" s="60" t="n">
        <x:v>0.3</x:v>
      </x:c>
      <x:c r="D2093" s="60" t="n">
        <x:v>0.3</x:v>
      </x:c>
      <x:c r="E2093" s="62" t="b">
        <x:v>1</x:v>
      </x:c>
      <x:c r="F2093" s="62" t="b">
        <x:v>1</x:v>
      </x:c>
      <x:c r="G2093" s="85" t="n">
        <x:v>0</x:v>
      </x:c>
      <x:c r="H2093" s="85" t="n">
        <x:v>0</x:v>
      </x:c>
      <x:c r="I2093" s="85" t="n">
        <x:v>22279949.717050232</x:v>
      </x:c>
      <x:c r="J2093" s="85" t="n">
        <x:v>24477423.079081118</x:v>
      </x:c>
      <x:c r="K2093" s="85" t="n">
        <x:v>1105699.5455581148</x:v>
      </x:c>
      <x:c r="L2093" s="28" t="n">
        <x:v>0</x:v>
      </x:c>
      <x:c r="M2093" s="28" t="n">
        <x:v>0</x:v>
      </x:c>
      <x:c r="N2093" s="28" t="n">
        <x:v>1.862645149230957e-9</x:v>
      </x:c>
      <x:c r="O2093" s="28" t="n">
        <x:v>2.9802322387695312e-8</x:v>
      </x:c>
      <x:c r="P2093" s="28" t="n">
        <x:v>0</x:v>
      </x:c>
      <x:c r="Q2093" s="62" t="b">
        <x:v>1</x:v>
      </x:c>
      <x:c r="R2093" s="28" t="n">
        <x:v>0</x:v>
      </x:c>
      <x:c r="S2093" s="28" t="str">
        <x:v>989ecf689d479abe</x:v>
      </x:c>
    </x:row>
    <x:row r="2094" ht="21" customHeight="1">
      <x:c r="A2094" s="60" t="n">
        <x:v>0.68</x:v>
      </x:c>
      <x:c r="B2094" s="28" t="str">
        <x:v>middle_flat</x:v>
      </x:c>
      <x:c r="C2094" s="60" t="n">
        <x:v>0.35</x:v>
      </x:c>
      <x:c r="D2094" s="60" t="n">
        <x:v>0.35</x:v>
      </x:c>
      <x:c r="E2094" s="62" t="b">
        <x:v>1</x:v>
      </x:c>
      <x:c r="F2094" s="62" t="b">
        <x:v>1</x:v>
      </x:c>
      <x:c r="G2094" s="85" t="n">
        <x:v>0</x:v>
      </x:c>
      <x:c r="H2094" s="85" t="n">
        <x:v>0</x:v>
      </x:c>
      <x:c r="I2094" s="85" t="n">
        <x:v>30423973.095300313</x:v>
      </x:c>
      <x:c r="J2094" s="85" t="n">
        <x:v>28945444.688793495</x:v>
      </x:c>
      <x:c r="K2094" s="85" t="n">
        <x:v>923633.7992698494</x:v>
      </x:c>
      <x:c r="L2094" s="28" t="n">
        <x:v>5</x:v>
      </x:c>
      <x:c r="M2094" s="28" t="n">
        <x:v>0</x:v>
      </x:c>
      <x:c r="N2094" s="28" t="n">
        <x:v>3.725290298461914e-9</x:v>
      </x:c>
      <x:c r="O2094" s="28" t="n">
        <x:v>2.9802322387695312e-8</x:v>
      </x:c>
      <x:c r="P2094" s="28" t="n">
        <x:v>0</x:v>
      </x:c>
      <x:c r="Q2094" s="62" t="b">
        <x:v>1</x:v>
      </x:c>
      <x:c r="R2094" s="28" t="n">
        <x:v>0</x:v>
      </x:c>
      <x:c r="S2094" s="28" t="str">
        <x:v>6874e80a243ca0e6</x:v>
      </x:c>
    </x:row>
    <x:row r="2095" ht="21" customHeight="1">
      <x:c r="A2095" s="60" t="n">
        <x:v>0.68</x:v>
      </x:c>
      <x:c r="B2095" s="28" t="str">
        <x:v>middle_flat</x:v>
      </x:c>
      <x:c r="C2095" s="60" t="n">
        <x:v>0.4</x:v>
      </x:c>
      <x:c r="D2095" s="60" t="n">
        <x:v>0.4</x:v>
      </x:c>
      <x:c r="E2095" s="62" t="b">
        <x:v>1</x:v>
      </x:c>
      <x:c r="F2095" s="62" t="b">
        <x:v>1</x:v>
      </x:c>
      <x:c r="G2095" s="85" t="n">
        <x:v>0</x:v>
      </x:c>
      <x:c r="H2095" s="85" t="n">
        <x:v>0</x:v>
      </x:c>
      <x:c r="I2095" s="85" t="n">
        <x:v>37937882.905341506</x:v>
      </x:c>
      <x:c r="J2095" s="85" t="n">
        <x:v>35226265.0414102</x:v>
      </x:c>
      <x:c r="K2095" s="85" t="n">
        <x:v>796309.7863342466</x:v>
      </x:c>
      <x:c r="L2095" s="28" t="n">
        <x:v>9</x:v>
      </x:c>
      <x:c r="M2095" s="28" t="n">
        <x:v>0</x:v>
      </x:c>
      <x:c r="N2095" s="28" t="n">
        <x:v>1.862645149230957e-9</x:v>
      </x:c>
      <x:c r="O2095" s="28" t="n">
        <x:v>2.9802322387695312e-8</x:v>
      </x:c>
      <x:c r="P2095" s="28" t="n">
        <x:v>0</x:v>
      </x:c>
      <x:c r="Q2095" s="62" t="b">
        <x:v>1</x:v>
      </x:c>
      <x:c r="R2095" s="28" t="n">
        <x:v>0</x:v>
      </x:c>
      <x:c r="S2095" s="28" t="str">
        <x:v>9f9fec6be209b369</x:v>
      </x:c>
    </x:row>
    <x:row r="2096" ht="21" customHeight="1">
      <x:c r="A2096" s="60" t="n">
        <x:v>0.68</x:v>
      </x:c>
      <x:c r="B2096" s="28" t="str">
        <x:v>middle_flat</x:v>
      </x:c>
      <x:c r="C2096" s="60" t="n">
        <x:v>0.45</x:v>
      </x:c>
      <x:c r="D2096" s="60" t="n">
        <x:v>0.45</x:v>
      </x:c>
      <x:c r="E2096" s="62" t="b">
        <x:v>1</x:v>
      </x:c>
      <x:c r="F2096" s="62" t="b">
        <x:v>1</x:v>
      </x:c>
      <x:c r="G2096" s="85" t="n">
        <x:v>0</x:v>
      </x:c>
      <x:c r="H2096" s="85" t="n">
        <x:v>0</x:v>
      </x:c>
      <x:c r="I2096" s="85" t="n">
        <x:v>44781184.304436654</x:v>
      </x:c>
      <x:c r="J2096" s="85" t="n">
        <x:v>43219026.65356553</x:v>
      </x:c>
      <x:c r="K2096" s="85" t="n">
        <x:v>712506.5721260312</x:v>
      </x:c>
      <x:c r="L2096" s="28" t="n">
        <x:v>13</x:v>
      </x:c>
      <x:c r="M2096" s="28" t="n">
        <x:v>0</x:v>
      </x:c>
      <x:c r="N2096" s="28" t="n">
        <x:v>3.725290298461914e-9</x:v>
      </x:c>
      <x:c r="O2096" s="28" t="n">
        <x:v>2.9802322387695312e-8</x:v>
      </x:c>
      <x:c r="P2096" s="28" t="n">
        <x:v>0</x:v>
      </x:c>
      <x:c r="Q2096" s="62" t="b">
        <x:v>1</x:v>
      </x:c>
      <x:c r="R2096" s="28" t="n">
        <x:v>0</x:v>
      </x:c>
      <x:c r="S2096" s="28" t="str">
        <x:v>9582a77b63bd117a</x:v>
      </x:c>
    </x:row>
    <x:row r="2097" ht="21" customHeight="1">
      <x:c r="A2097" s="60" t="n">
        <x:v>0.68</x:v>
      </x:c>
      <x:c r="B2097" s="28" t="str">
        <x:v>middle_flat</x:v>
      </x:c>
      <x:c r="C2097" s="60" t="n">
        <x:v>0.5</x:v>
      </x:c>
      <x:c r="D2097" s="60" t="n">
        <x:v>0.5</x:v>
      </x:c>
      <x:c r="E2097" s="62" t="b">
        <x:v>1</x:v>
      </x:c>
      <x:c r="F2097" s="62" t="b">
        <x:v>1</x:v>
      </x:c>
      <x:c r="G2097" s="85" t="n">
        <x:v>0</x:v>
      </x:c>
      <x:c r="H2097" s="85" t="n">
        <x:v>0</x:v>
      </x:c>
      <x:c r="I2097" s="85" t="n">
        <x:v>51182934.74061364</x:v>
      </x:c>
      <x:c r="J2097" s="85" t="n">
        <x:v>52095828.06161041</x:v>
      </x:c>
      <x:c r="K2097" s="85" t="n">
        <x:v>628703.3579178159</x:v>
      </x:c>
      <x:c r="L2097" s="28" t="n">
        <x:v>16</x:v>
      </x:c>
      <x:c r="M2097" s="28" t="n">
        <x:v>0</x:v>
      </x:c>
      <x:c r="N2097" s="28" t="n">
        <x:v>3.725290298461914e-9</x:v>
      </x:c>
      <x:c r="O2097" s="28" t="n">
        <x:v>1.4901161193847656e-8</x:v>
      </x:c>
      <x:c r="P2097" s="28" t="n">
        <x:v>0</x:v>
      </x:c>
      <x:c r="Q2097" s="62" t="b">
        <x:v>1</x:v>
      </x:c>
      <x:c r="R2097" s="28" t="n">
        <x:v>0</x:v>
      </x:c>
      <x:c r="S2097" s="28" t="str">
        <x:v>3dc32d8609b3a375</x:v>
      </x:c>
    </x:row>
    <x:row r="2098" ht="21" customHeight="1">
      <x:c r="A2098" s="60" t="n">
        <x:v>0.68</x:v>
      </x:c>
      <x:c r="B2098" s="28" t="str">
        <x:v>middle_flat</x:v>
      </x:c>
      <x:c r="C2098" s="60" t="n">
        <x:v>0.55</x:v>
      </x:c>
      <x:c r="D2098" s="60" t="n">
        <x:v>0.55</x:v>
      </x:c>
      <x:c r="E2098" s="62" t="b">
        <x:v>1</x:v>
      </x:c>
      <x:c r="F2098" s="62" t="b">
        <x:v>1</x:v>
      </x:c>
      <x:c r="G2098" s="85" t="n">
        <x:v>0</x:v>
      </x:c>
      <x:c r="H2098" s="85" t="n">
        <x:v>0</x:v>
      </x:c>
      <x:c r="I2098" s="85" t="n">
        <x:v>57253311.54915944</x:v>
      </x:c>
      <x:c r="J2098" s="85" t="n">
        <x:v>61600503.79013612</x:v>
      </x:c>
      <x:c r="K2098" s="85" t="n">
        <x:v>544900.1437095891</x:v>
      </x:c>
      <x:c r="L2098" s="28" t="n">
        <x:v>20</x:v>
      </x:c>
      <x:c r="M2098" s="28" t="n">
        <x:v>8</x:v>
      </x:c>
      <x:c r="N2098" s="28" t="n">
        <x:v>1.862645149230957e-9</x:v>
      </x:c>
      <x:c r="O2098" s="28" t="n">
        <x:v>2.9802322387695312e-8</x:v>
      </x:c>
      <x:c r="P2098" s="28" t="n">
        <x:v>0</x:v>
      </x:c>
      <x:c r="Q2098" s="62" t="b">
        <x:v>1</x:v>
      </x:c>
      <x:c r="R2098" s="28" t="n">
        <x:v>0</x:v>
      </x:c>
      <x:c r="S2098" s="28" t="str">
        <x:v>e65cb707e6c3ff53</x:v>
      </x:c>
    </x:row>
    <x:row r="2099" ht="21" customHeight="1">
      <x:c r="A2099" s="60" t="n">
        <x:v>0.68</x:v>
      </x:c>
      <x:c r="B2099" s="28" t="str">
        <x:v>middle_flat</x:v>
      </x:c>
      <x:c r="C2099" s="60" t="n">
        <x:v>0.6</x:v>
      </x:c>
      <x:c r="D2099" s="60" t="n">
        <x:v>0.6</x:v>
      </x:c>
      <x:c r="E2099" s="62" t="b">
        <x:v>1</x:v>
      </x:c>
      <x:c r="F2099" s="62" t="b">
        <x:v>0</x:v>
      </x:c>
      <x:c r="G2099" s="85" t="n">
        <x:v>1223328.042582192</x:v>
      </x:c>
      <x:c r="H2099" s="85" t="n">
        <x:v>7957858.726639965</x:v>
      </x:c>
      <x:c r="I2099" s="85" t="n">
        <x:v>59207614.258933045</x:v>
      </x:c>
      <x:c r="J2099" s="85" t="n">
        <x:v>65999999.999999985</x:v>
      </x:c>
      <x:c r="K2099" s="85" t="n">
        <x:v>461096.92950136913</x:v>
      </x:c>
      <x:c r="L2099" s="28" t="n">
        <x:v>42</x:v>
      </x:c>
      <x:c r="M2099" s="28" t="n">
        <x:v>34</x:v>
      </x:c>
      <x:c r="N2099" s="28" t="n">
        <x:v>1.862645149230957e-9</x:v>
      </x:c>
      <x:c r="O2099" s="28" t="n">
        <x:v>2.9802322387695312e-8</x:v>
      </x:c>
      <x:c r="P2099" s="28" t="n">
        <x:v>0</x:v>
      </x:c>
      <x:c r="Q2099" s="62" t="b">
        <x:v>1</x:v>
      </x:c>
      <x:c r="R2099" s="28" t="n">
        <x:v>0</x:v>
      </x:c>
      <x:c r="S2099" s="28" t="str">
        <x:v>9015c70308c95431</x:v>
      </x:c>
    </x:row>
    <x:row r="2100" ht="21" customHeight="1">
      <x:c r="A2100" s="60" t="n">
        <x:v>0.68</x:v>
      </x:c>
      <x:c r="B2100" s="28" t="str">
        <x:v>middle_flat</x:v>
      </x:c>
      <x:c r="C2100" s="60" t="n">
        <x:v>0.65</x:v>
      </x:c>
      <x:c r="D2100" s="60" t="n">
        <x:v>0.65</x:v>
      </x:c>
      <x:c r="E2100" s="62" t="b">
        <x:v>1</x:v>
      </x:c>
      <x:c r="F2100" s="62" t="b">
        <x:v>0</x:v>
      </x:c>
      <x:c r="G2100" s="85" t="n">
        <x:v>3312302.55840517</x:v>
      </x:c>
      <x:c r="H2100" s="85" t="n">
        <x:v>18916456.490916625</x:v>
      </x:c>
      <x:c r="I2100" s="85" t="n">
        <x:v>60520766.339583166</x:v>
      </x:c>
      <x:c r="J2100" s="85" t="n">
        <x:v>65999999.999999985</x:v>
      </x:c>
      <x:c r="K2100" s="85" t="n">
        <x:v>395483.7501205447</x:v>
      </x:c>
      <x:c r="L2100" s="28" t="n">
        <x:v>43</x:v>
      </x:c>
      <x:c r="M2100" s="28" t="n">
        <x:v>36</x:v>
      </x:c>
      <x:c r="N2100" s="28" t="n">
        <x:v>1.862645149230957e-9</x:v>
      </x:c>
      <x:c r="O2100" s="28" t="n">
        <x:v>2.9802322387695312e-8</x:v>
      </x:c>
      <x:c r="P2100" s="28" t="n">
        <x:v>0</x:v>
      </x:c>
      <x:c r="Q2100" s="62" t="b">
        <x:v>1</x:v>
      </x:c>
      <x:c r="R2100" s="28" t="n">
        <x:v>0</x:v>
      </x:c>
      <x:c r="S2100" s="28" t="str">
        <x:v>ad4dce434b6a9970</x:v>
      </x:c>
    </x:row>
    <x:row r="2101" ht="21" customHeight="1">
      <x:c r="A2101" s="60" t="n">
        <x:v>0.68</x:v>
      </x:c>
      <x:c r="B2101" s="28" t="str">
        <x:v>middle_flat</x:v>
      </x:c>
      <x:c r="C2101" s="60" t="n">
        <x:v>0.7</x:v>
      </x:c>
      <x:c r="D2101" s="60" t="n">
        <x:v>0.7</x:v>
      </x:c>
      <x:c r="E2101" s="62" t="b">
        <x:v>1</x:v>
      </x:c>
      <x:c r="F2101" s="62" t="b">
        <x:v>0</x:v>
      </x:c>
      <x:c r="G2101" s="85" t="n">
        <x:v>5538870.46396893</x:v>
      </x:c>
      <x:c r="H2101" s="85" t="n">
        <x:v>31252342.990598146</x:v>
      </x:c>
      <x:c r="I2101" s="85" t="n">
        <x:v>60565632.97961433</x:v>
      </x:c>
      <x:c r="J2101" s="85" t="n">
        <x:v>65999999.999999985</x:v>
      </x:c>
      <x:c r="K2101" s="85" t="n">
        <x:v>369956.3409095905</x:v>
      </x:c>
      <x:c r="L2101" s="28" t="n">
        <x:v>43</x:v>
      </x:c>
      <x:c r="M2101" s="28" t="n">
        <x:v>37</x:v>
      </x:c>
      <x:c r="N2101" s="28" t="n">
        <x:v>1.862645149230957e-9</x:v>
      </x:c>
      <x:c r="O2101" s="28" t="n">
        <x:v>1.4901161193847656e-8</x:v>
      </x:c>
      <x:c r="P2101" s="28" t="n">
        <x:v>0</x:v>
      </x:c>
      <x:c r="Q2101" s="62" t="b">
        <x:v>1</x:v>
      </x:c>
      <x:c r="R2101" s="28" t="n">
        <x:v>0</x:v>
      </x:c>
      <x:c r="S2101" s="28" t="str">
        <x:v>91833cb3b75c7516</x:v>
      </x:c>
    </x:row>
    <x:row r="2102" ht="21" customHeight="1">
      <x:c r="A2102" s="60" t="n">
        <x:v>0.68</x:v>
      </x:c>
      <x:c r="B2102" s="28" t="str">
        <x:v>middle_flat</x:v>
      </x:c>
      <x:c r="C2102" s="60" t="n">
        <x:v>0.75</x:v>
      </x:c>
      <x:c r="D2102" s="60" t="n">
        <x:v>0.75</x:v>
      </x:c>
      <x:c r="E2102" s="62" t="b">
        <x:v>1</x:v>
      </x:c>
      <x:c r="F2102" s="62" t="b">
        <x:v>0</x:v>
      </x:c>
      <x:c r="G2102" s="85" t="n">
        <x:v>7809960.47131009</x:v>
      </x:c>
      <x:c r="H2102" s="85" t="n">
        <x:v>41825927.78645703</x:v>
      </x:c>
      <x:c r="I2102" s="85" t="n">
        <x:v>61756109.58904105</x:v>
      </x:c>
      <x:c r="J2102" s="85" t="n">
        <x:v>65999999.999999985</x:v>
      </x:c>
      <x:c r="K2102" s="85" t="n">
        <x:v>344428.9316986311</x:v>
      </x:c>
      <x:c r="L2102" s="28" t="n">
        <x:v>44</x:v>
      </x:c>
      <x:c r="M2102" s="28" t="n">
        <x:v>38</x:v>
      </x:c>
      <x:c r="N2102" s="28" t="n">
        <x:v>1.862645149230957e-9</x:v>
      </x:c>
      <x:c r="O2102" s="28" t="n">
        <x:v>2.9802322387695312e-8</x:v>
      </x:c>
      <x:c r="P2102" s="28" t="n">
        <x:v>0</x:v>
      </x:c>
      <x:c r="Q2102" s="62" t="b">
        <x:v>1</x:v>
      </x:c>
      <x:c r="R2102" s="28" t="n">
        <x:v>0</x:v>
      </x:c>
      <x:c r="S2102" s="28" t="str">
        <x:v>1a2053a627e37294</x:v>
      </x:c>
    </x:row>
    <x:row r="2103" ht="21" customHeight="1">
      <x:c r="A2103" s="60" t="n">
        <x:v>0.68</x:v>
      </x:c>
      <x:c r="B2103" s="28" t="str">
        <x:v>middle_flat</x:v>
      </x:c>
      <x:c r="C2103" s="60" t="n">
        <x:v>0.8</x:v>
      </x:c>
      <x:c r="D2103" s="60" t="n">
        <x:v>0.8</x:v>
      </x:c>
      <x:c r="E2103" s="62" t="b">
        <x:v>1</x:v>
      </x:c>
      <x:c r="F2103" s="62" t="b">
        <x:v>0</x:v>
      </x:c>
      <x:c r="G2103" s="85" t="n">
        <x:v>10486207.62592258</x:v>
      </x:c>
      <x:c r="H2103" s="85" t="n">
        <x:v>53759604.95201695</x:v>
      </x:c>
      <x:c r="I2103" s="85" t="n">
        <x:v>61762823.860953376</x:v>
      </x:c>
      <x:c r="J2103" s="85" t="n">
        <x:v>65999999.999999985</x:v>
      </x:c>
      <x:c r="K2103" s="85" t="n">
        <x:v>318901.5224876666</x:v>
      </x:c>
      <x:c r="L2103" s="28" t="n">
        <x:v>44</x:v>
      </x:c>
      <x:c r="M2103" s="28" t="n">
        <x:v>38</x:v>
      </x:c>
      <x:c r="N2103" s="28" t="n">
        <x:v>1.862645149230957e-9</x:v>
      </x:c>
      <x:c r="O2103" s="28" t="n">
        <x:v>1.4901161193847656e-8</x:v>
      </x:c>
      <x:c r="P2103" s="28" t="n">
        <x:v>0</x:v>
      </x:c>
      <x:c r="Q2103" s="62" t="b">
        <x:v>1</x:v>
      </x:c>
      <x:c r="R2103" s="28" t="n">
        <x:v>0</x:v>
      </x:c>
      <x:c r="S2103" s="28" t="str">
        <x:v>1c5af14e32e62484</x:v>
      </x:c>
    </x:row>
    <x:row r="2104" ht="21" customHeight="1">
      <x:c r="A2104" s="60" t="n">
        <x:v>0.68</x:v>
      </x:c>
      <x:c r="B2104" s="28" t="str">
        <x:v>middle_flat</x:v>
      </x:c>
      <x:c r="C2104" s="60" t="n">
        <x:v>0.85</x:v>
      </x:c>
      <x:c r="D2104" s="60" t="n">
        <x:v>0.85</x:v>
      </x:c>
      <x:c r="E2104" s="62" t="b">
        <x:v>1</x:v>
      </x:c>
      <x:c r="F2104" s="62" t="b">
        <x:v>0</x:v>
      </x:c>
      <x:c r="G2104" s="85" t="n">
        <x:v>13188846.586382374</x:v>
      </x:c>
      <x:c r="H2104" s="85" t="n">
        <x:v>65524057.71776797</x:v>
      </x:c>
      <x:c r="I2104" s="85" t="n">
        <x:v>61799835.72056981</x:v>
      </x:c>
      <x:c r="J2104" s="85" t="n">
        <x:v>65999999.999999985</x:v>
      </x:c>
      <x:c r="K2104" s="85" t="n">
        <x:v>293374.11327671097</x:v>
      </x:c>
      <x:c r="L2104" s="28" t="n">
        <x:v>44</x:v>
      </x:c>
      <x:c r="M2104" s="28" t="n">
        <x:v>39</x:v>
      </x:c>
      <x:c r="N2104" s="28" t="n">
        <x:v>1.862645149230957e-9</x:v>
      </x:c>
      <x:c r="O2104" s="28" t="n">
        <x:v>2.9802322387695312e-8</x:v>
      </x:c>
      <x:c r="P2104" s="28" t="n">
        <x:v>0</x:v>
      </x:c>
      <x:c r="Q2104" s="62" t="b">
        <x:v>1</x:v>
      </x:c>
      <x:c r="R2104" s="28" t="n">
        <x:v>0</x:v>
      </x:c>
      <x:c r="S2104" s="28" t="str">
        <x:v>66c448e0f2fbe4be</x:v>
      </x:c>
    </x:row>
    <x:row r="2105" ht="21" customHeight="1">
      <x:c r="A2105" s="60" t="n">
        <x:v>0.68</x:v>
      </x:c>
      <x:c r="B2105" s="28" t="str">
        <x:v>middle_flat</x:v>
      </x:c>
      <x:c r="C2105" s="60" t="n">
        <x:v>0.9</x:v>
      </x:c>
      <x:c r="D2105" s="60" t="n">
        <x:v>0.9</x:v>
      </x:c>
      <x:c r="E2105" s="62" t="b">
        <x:v>1</x:v>
      </x:c>
      <x:c r="F2105" s="62" t="b">
        <x:v>0</x:v>
      </x:c>
      <x:c r="G2105" s="85" t="n">
        <x:v>19009824.742380556</x:v>
      </x:c>
      <x:c r="H2105" s="85" t="n">
        <x:v>75135615.71983375</x:v>
      </x:c>
      <x:c r="I2105" s="85" t="n">
        <x:v>61859245.77214242</x:v>
      </x:c>
      <x:c r="J2105" s="85" t="n">
        <x:v>65999999.999999985</x:v>
      </x:c>
      <x:c r="K2105" s="85" t="n">
        <x:v>267846.7040657562</x:v>
      </x:c>
      <x:c r="L2105" s="28" t="n">
        <x:v>44</x:v>
      </x:c>
      <x:c r="M2105" s="28" t="n">
        <x:v>40</x:v>
      </x:c>
      <x:c r="N2105" s="28" t="n">
        <x:v>1.862645149230957e-9</x:v>
      </x:c>
      <x:c r="O2105" s="28" t="n">
        <x:v>2.9802322387695312e-8</x:v>
      </x:c>
      <x:c r="P2105" s="28" t="n">
        <x:v>0</x:v>
      </x:c>
      <x:c r="Q2105" s="62" t="b">
        <x:v>1</x:v>
      </x:c>
      <x:c r="R2105" s="28" t="n">
        <x:v>0</x:v>
      </x:c>
      <x:c r="S2105" s="28" t="str">
        <x:v>27639fce131f70f5</x:v>
      </x:c>
    </x:row>
    <x:row r="2106" ht="21" customHeight="1">
      <x:c r="A2106" s="60" t="n">
        <x:v>0.68</x:v>
      </x:c>
      <x:c r="B2106" s="28" t="str">
        <x:v>middle_flat</x:v>
      </x:c>
      <x:c r="C2106" s="60" t="n">
        <x:v>0.95</x:v>
      </x:c>
      <x:c r="D2106" s="60" t="n">
        <x:v>0.9361238209331334</x:v>
      </x:c>
      <x:c r="E2106" s="62" t="b">
        <x:v>0</x:v>
      </x:c>
      <x:c r="F2106" s="62" t="b">
        <x:v>0</x:v>
      </x:c>
      <x:c r="G2106" s="85" t="n">
        <x:v>21016847.407936122</x:v>
      </x:c>
      <x:c r="H2106" s="85" t="n">
        <x:v>79572935.81072035</x:v>
      </x:c>
      <x:c r="I2106" s="85" t="n">
        <x:v>63223145.42581912</x:v>
      </x:c>
      <x:c r="J2106" s="85" t="n">
        <x:v>65999999.999999985</x:v>
      </x:c>
      <x:c r="K2106" s="85" t="n">
        <x:v>242319.29485479585</x:v>
      </x:c>
      <x:c r="L2106" s="28" t="n">
        <x:v>45</x:v>
      </x:c>
      <x:c r="M2106" s="28" t="n">
        <x:v>40</x:v>
      </x:c>
      <x:c r="N2106" s="28" t="n">
        <x:v>1.862645149230957e-9</x:v>
      </x:c>
      <x:c r="O2106" s="28" t="n">
        <x:v>1.4901161193847656e-8</x:v>
      </x:c>
      <x:c r="P2106" s="28" t="n">
        <x:v>0</x:v>
      </x:c>
      <x:c r="Q2106" s="62" t="b">
        <x:v>1</x:v>
      </x:c>
      <x:c r="R2106" s="28" t="n">
        <x:v>4162853.720059991</x:v>
      </x:c>
      <x:c r="S2106" s="28" t="str">
        <x:v>d10823c7c9b1de80</x:v>
      </x:c>
    </x:row>
    <x:row r="2107" ht="21" customHeight="1">
      <x:c r="A2107" s="60" t="n">
        <x:v>0.68</x:v>
      </x:c>
      <x:c r="B2107" s="28" t="str">
        <x:v>middle_flat</x:v>
      </x:c>
      <x:c r="C2107" s="60" t="n">
        <x:v>1</x:v>
      </x:c>
      <x:c r="D2107" s="60" t="n">
        <x:v>0.9498342654879072</x:v>
      </x:c>
      <x:c r="E2107" s="62" t="b">
        <x:v>0</x:v>
      </x:c>
      <x:c r="F2107" s="62" t="b">
        <x:v>0</x:v>
      </x:c>
      <x:c r="G2107" s="85" t="n">
        <x:v>22782174.988640904</x:v>
      </x:c>
      <x:c r="H2107" s="85" t="n">
        <x:v>82780769.62981255</x:v>
      </x:c>
      <x:c r="I2107" s="85" t="n">
        <x:v>63248280.96964378</x:v>
      </x:c>
      <x:c r="J2107" s="85" t="n">
        <x:v>65999999.999999985</x:v>
      </x:c>
      <x:c r="K2107" s="85" t="n">
        <x:v>216791.88564384208</x:v>
      </x:c>
      <x:c r="L2107" s="28" t="n">
        <x:v>45</x:v>
      </x:c>
      <x:c r="M2107" s="28" t="n">
        <x:v>40</x:v>
      </x:c>
      <x:c r="N2107" s="28" t="n">
        <x:v>1.862645149230957e-9</x:v>
      </x:c>
      <x:c r="O2107" s="28" t="n">
        <x:v>1.4901161193847656e-8</x:v>
      </x:c>
      <x:c r="P2107" s="28" t="n">
        <x:v>0</x:v>
      </x:c>
      <x:c r="Q2107" s="62" t="b">
        <x:v>1</x:v>
      </x:c>
      <x:c r="R2107" s="28" t="n">
        <x:v>15049720.35362786</x:v>
      </x:c>
      <x:c r="S2107" s="28" t="str">
        <x:v>9f4c098cf0f9c7fb</x:v>
      </x:c>
    </x:row>
    <x:row r="2108" ht="21" customHeight="1">
      <x:c r="A2108" s="60" t="n">
        <x:v>0.68</x:v>
      </x:c>
      <x:c r="B2108" s="28" t="str">
        <x:v>middle_low</x:v>
      </x:c>
      <x:c r="C2108" s="60" t="n">
        <x:v>0</x:v>
      </x:c>
      <x:c r="D2108" s="60" t="n">
        <x:v>0</x:v>
      </x:c>
      <x:c r="E2108" s="62" t="b">
        <x:v>1</x:v>
      </x:c>
      <x:c r="F2108" s="62" t="b">
        <x:v>1</x:v>
      </x:c>
      <x:c r="G2108" s="85" t="n">
        <x:v>0</x:v>
      </x:c>
      <x:c r="H2108" s="85" t="n">
        <x:v>0</x:v>
      </x:c>
      <x:c r="I2108" s="85" t="n">
        <x:v>0</x:v>
      </x:c>
      <x:c r="J2108" s="85" t="n">
        <x:v>0</x:v>
      </x:c>
      <x:c r="K2108" s="85" t="n">
        <x:v>31696190.039041106</x:v>
      </x:c>
      <x:c r="L2108" s="28" t="n">
        <x:v>0</x:v>
      </x:c>
      <x:c r="M2108" s="28" t="n">
        <x:v>0</x:v>
      </x:c>
      <x:c r="N2108" s="28" t="n">
        <x:v>1.862645149230957e-9</x:v>
      </x:c>
      <x:c r="O2108" s="28" t="n">
        <x:v>0</x:v>
      </x:c>
      <x:c r="P2108" s="28" t="n">
        <x:v>0</x:v>
      </x:c>
      <x:c r="Q2108" s="62" t="b">
        <x:v>1</x:v>
      </x:c>
      <x:c r="R2108" s="28" t="n">
        <x:v>0</x:v>
      </x:c>
      <x:c r="S2108" s="28" t="str">
        <x:v>c90e62642e49eb8e</x:v>
      </x:c>
    </x:row>
    <x:row r="2109" ht="21" customHeight="1">
      <x:c r="A2109" s="60" t="n">
        <x:v>0.68</x:v>
      </x:c>
      <x:c r="B2109" s="28" t="str">
        <x:v>middle_low</x:v>
      </x:c>
      <x:c r="C2109" s="60" t="n">
        <x:v>0.05</x:v>
      </x:c>
      <x:c r="D2109" s="60" t="n">
        <x:v>0.05</x:v>
      </x:c>
      <x:c r="E2109" s="62" t="b">
        <x:v>1</x:v>
      </x:c>
      <x:c r="F2109" s="62" t="b">
        <x:v>1</x:v>
      </x:c>
      <x:c r="G2109" s="85" t="n">
        <x:v>0</x:v>
      </x:c>
      <x:c r="H2109" s="85" t="n">
        <x:v>0</x:v>
      </x:c>
      <x:c r="I2109" s="85" t="n">
        <x:v>0</x:v>
      </x:c>
      <x:c r="J2109" s="85" t="n">
        <x:v>0</x:v>
      </x:c>
      <x:c r="K2109" s="85" t="n">
        <x:v>20967468.433748774</x:v>
      </x:c>
      <x:c r="L2109" s="28" t="n">
        <x:v>0</x:v>
      </x:c>
      <x:c r="M2109" s="28" t="n">
        <x:v>0</x:v>
      </x:c>
      <x:c r="N2109" s="28" t="n">
        <x:v>3.725290298461914e-9</x:v>
      </x:c>
      <x:c r="O2109" s="28" t="n">
        <x:v>2.9802322387695312e-8</x:v>
      </x:c>
      <x:c r="P2109" s="28" t="n">
        <x:v>0</x:v>
      </x:c>
      <x:c r="Q2109" s="62" t="b">
        <x:v>1</x:v>
      </x:c>
      <x:c r="R2109" s="28" t="n">
        <x:v>0</x:v>
      </x:c>
      <x:c r="S2109" s="28" t="str">
        <x:v>2f07d2255861f2ea</x:v>
      </x:c>
    </x:row>
    <x:row r="2110" ht="21" customHeight="1">
      <x:c r="A2110" s="60" t="n">
        <x:v>0.68</x:v>
      </x:c>
      <x:c r="B2110" s="28" t="str">
        <x:v>middle_low</x:v>
      </x:c>
      <x:c r="C2110" s="60" t="n">
        <x:v>0.1</x:v>
      </x:c>
      <x:c r="D2110" s="60" t="n">
        <x:v>0.1</x:v>
      </x:c>
      <x:c r="E2110" s="62" t="b">
        <x:v>1</x:v>
      </x:c>
      <x:c r="F2110" s="62" t="b">
        <x:v>1</x:v>
      </x:c>
      <x:c r="G2110" s="85" t="n">
        <x:v>0</x:v>
      </x:c>
      <x:c r="H2110" s="85" t="n">
        <x:v>0</x:v>
      </x:c>
      <x:c r="I2110" s="85" t="n">
        <x:v>0</x:v>
      </x:c>
      <x:c r="J2110" s="85" t="n">
        <x:v>0</x:v>
      </x:c>
      <x:c r="K2110" s="85" t="n">
        <x:v>10154862.033020355</x:v>
      </x:c>
      <x:c r="L2110" s="28" t="n">
        <x:v>0</x:v>
      </x:c>
      <x:c r="M2110" s="28" t="n">
        <x:v>0</x:v>
      </x:c>
      <x:c r="N2110" s="28" t="n">
        <x:v>1.862645149230957e-9</x:v>
      </x:c>
      <x:c r="O2110" s="28" t="n">
        <x:v>5.960464477539063e-8</x:v>
      </x:c>
      <x:c r="P2110" s="28" t="n">
        <x:v>0</x:v>
      </x:c>
      <x:c r="Q2110" s="62" t="b">
        <x:v>1</x:v>
      </x:c>
      <x:c r="R2110" s="28" t="n">
        <x:v>0</x:v>
      </x:c>
      <x:c r="S2110" s="28" t="str">
        <x:v>2607c3ba714f4f18</x:v>
      </x:c>
    </x:row>
    <x:row r="2111" ht="21" customHeight="1">
      <x:c r="A2111" s="60" t="n">
        <x:v>0.68</x:v>
      </x:c>
      <x:c r="B2111" s="28" t="str">
        <x:v>middle_low</x:v>
      </x:c>
      <x:c r="C2111" s="60" t="n">
        <x:v>0.15</x:v>
      </x:c>
      <x:c r="D2111" s="60" t="n">
        <x:v>0.15</x:v>
      </x:c>
      <x:c r="E2111" s="62" t="b">
        <x:v>1</x:v>
      </x:c>
      <x:c r="F2111" s="62" t="b">
        <x:v>1</x:v>
      </x:c>
      <x:c r="G2111" s="85" t="n">
        <x:v>0</x:v>
      </x:c>
      <x:c r="H2111" s="85" t="n">
        <x:v>0</x:v>
      </x:c>
      <x:c r="I2111" s="85" t="n">
        <x:v>1248600.1577381631</x:v>
      </x:c>
      <x:c r="J2111" s="85" t="n">
        <x:v>0</x:v>
      </x:c>
      <x:c r="K2111" s="85" t="n">
        <x:v>1289810.4258417338</x:v>
      </x:c>
      <x:c r="L2111" s="28" t="n">
        <x:v>0</x:v>
      </x:c>
      <x:c r="M2111" s="28" t="n">
        <x:v>0</x:v>
      </x:c>
      <x:c r="N2111" s="28" t="n">
        <x:v>1.862645149230957e-9</x:v>
      </x:c>
      <x:c r="O2111" s="28" t="n">
        <x:v>2.9802322387695312e-8</x:v>
      </x:c>
      <x:c r="P2111" s="28" t="n">
        <x:v>0</x:v>
      </x:c>
      <x:c r="Q2111" s="62" t="b">
        <x:v>1</x:v>
      </x:c>
      <x:c r="R2111" s="28" t="n">
        <x:v>0</x:v>
      </x:c>
      <x:c r="S2111" s="28" t="str">
        <x:v>41c7d6932eed5aee</x:v>
      </x:c>
    </x:row>
    <x:row r="2112" ht="21" customHeight="1">
      <x:c r="A2112" s="60" t="n">
        <x:v>0.68</x:v>
      </x:c>
      <x:c r="B2112" s="28" t="str">
        <x:v>middle_low</x:v>
      </x:c>
      <x:c r="C2112" s="60" t="n">
        <x:v>0.2</x:v>
      </x:c>
      <x:c r="D2112" s="60" t="n">
        <x:v>0.2</x:v>
      </x:c>
      <x:c r="E2112" s="62" t="b">
        <x:v>1</x:v>
      </x:c>
      <x:c r="F2112" s="62" t="b">
        <x:v>1</x:v>
      </x:c>
      <x:c r="G2112" s="85" t="n">
        <x:v>0</x:v>
      </x:c>
      <x:c r="H2112" s="85" t="n">
        <x:v>0</x:v>
      </x:c>
      <x:c r="I2112" s="85" t="n">
        <x:v>7334083.309522383</x:v>
      </x:c>
      <x:c r="J2112" s="85" t="n">
        <x:v>6318282.052720841</x:v>
      </x:c>
      <x:c r="K2112" s="85" t="n">
        <x:v>1017291.136785043</x:v>
      </x:c>
      <x:c r="L2112" s="28" t="n">
        <x:v>0</x:v>
      </x:c>
      <x:c r="M2112" s="28" t="n">
        <x:v>0</x:v>
      </x:c>
      <x:c r="N2112" s="28" t="n">
        <x:v>1.862645149230957e-9</x:v>
      </x:c>
      <x:c r="O2112" s="28" t="n">
        <x:v>2.9802322387695312e-8</x:v>
      </x:c>
      <x:c r="P2112" s="28" t="n">
        <x:v>0</x:v>
      </x:c>
      <x:c r="Q2112" s="62" t="b">
        <x:v>1</x:v>
      </x:c>
      <x:c r="R2112" s="28" t="n">
        <x:v>0</x:v>
      </x:c>
      <x:c r="S2112" s="28" t="str">
        <x:v>b09855adcba314f0</x:v>
      </x:c>
    </x:row>
    <x:row r="2113" ht="21" customHeight="1">
      <x:c r="A2113" s="60" t="n">
        <x:v>0.68</x:v>
      </x:c>
      <x:c r="B2113" s="28" t="str">
        <x:v>middle_low</x:v>
      </x:c>
      <x:c r="C2113" s="60" t="n">
        <x:v>0.25</x:v>
      </x:c>
      <x:c r="D2113" s="60" t="n">
        <x:v>0.25</x:v>
      </x:c>
      <x:c r="E2113" s="62" t="b">
        <x:v>1</x:v>
      </x:c>
      <x:c r="F2113" s="62" t="b">
        <x:v>1</x:v>
      </x:c>
      <x:c r="G2113" s="85" t="n">
        <x:v>0</x:v>
      </x:c>
      <x:c r="H2113" s="85" t="n">
        <x:v>0</x:v>
      </x:c>
      <x:c r="I2113" s="85" t="n">
        <x:v>11344781.227345854</x:v>
      </x:c>
      <x:c r="J2113" s="85" t="n">
        <x:v>15397852.56590101</x:v>
      </x:c>
      <x:c r="K2113" s="85" t="n">
        <x:v>839960.6740634958</x:v>
      </x:c>
      <x:c r="L2113" s="28" t="n">
        <x:v>0</x:v>
      </x:c>
      <x:c r="M2113" s="28" t="n">
        <x:v>0</x:v>
      </x:c>
      <x:c r="N2113" s="28" t="n">
        <x:v>1.862645149230957e-9</x:v>
      </x:c>
      <x:c r="O2113" s="28" t="n">
        <x:v>2.9802322387695312e-8</x:v>
      </x:c>
      <x:c r="P2113" s="28" t="n">
        <x:v>0</x:v>
      </x:c>
      <x:c r="Q2113" s="62" t="b">
        <x:v>1</x:v>
      </x:c>
      <x:c r="R2113" s="28" t="n">
        <x:v>0</x:v>
      </x:c>
      <x:c r="S2113" s="28" t="str">
        <x:v>c451b7c06eebd53e</x:v>
      </x:c>
    </x:row>
    <x:row r="2114" ht="21" customHeight="1">
      <x:c r="A2114" s="60" t="n">
        <x:v>0.68</x:v>
      </x:c>
      <x:c r="B2114" s="28" t="str">
        <x:v>middle_low</x:v>
      </x:c>
      <x:c r="C2114" s="60" t="n">
        <x:v>0.3</x:v>
      </x:c>
      <x:c r="D2114" s="60" t="n">
        <x:v>0.3</x:v>
      </x:c>
      <x:c r="E2114" s="62" t="b">
        <x:v>1</x:v>
      </x:c>
      <x:c r="F2114" s="62" t="b">
        <x:v>1</x:v>
      </x:c>
      <x:c r="G2114" s="85" t="n">
        <x:v>0</x:v>
      </x:c>
      <x:c r="H2114" s="85" t="n">
        <x:v>0</x:v>
      </x:c>
      <x:c r="I2114" s="85" t="n">
        <x:v>15413569.383362943</x:v>
      </x:c>
      <x:c r="J2114" s="85" t="n">
        <x:v>24477423.079081118</x:v>
      </x:c>
      <x:c r="K2114" s="85" t="n">
        <x:v>683122.3064526358</x:v>
      </x:c>
      <x:c r="L2114" s="28" t="n">
        <x:v>0</x:v>
      </x:c>
      <x:c r="M2114" s="28" t="n">
        <x:v>0</x:v>
      </x:c>
      <x:c r="N2114" s="28" t="n">
        <x:v>1.862645149230957e-9</x:v>
      </x:c>
      <x:c r="O2114" s="28" t="n">
        <x:v>2.9802322387695312e-8</x:v>
      </x:c>
      <x:c r="P2114" s="28" t="n">
        <x:v>0</x:v>
      </x:c>
      <x:c r="Q2114" s="62" t="b">
        <x:v>1</x:v>
      </x:c>
      <x:c r="R2114" s="28" t="n">
        <x:v>0</x:v>
      </x:c>
      <x:c r="S2114" s="28" t="str">
        <x:v>8f0ec8ac458f760b</x:v>
      </x:c>
    </x:row>
    <x:row r="2115" ht="21" customHeight="1">
      <x:c r="A2115" s="60" t="n">
        <x:v>0.68</x:v>
      </x:c>
      <x:c r="B2115" s="28" t="str">
        <x:v>middle_low</x:v>
      </x:c>
      <x:c r="C2115" s="60" t="n">
        <x:v>0.35</x:v>
      </x:c>
      <x:c r="D2115" s="60" t="n">
        <x:v>0.35</x:v>
      </x:c>
      <x:c r="E2115" s="62" t="b">
        <x:v>1</x:v>
      </x:c>
      <x:c r="F2115" s="62" t="b">
        <x:v>1</x:v>
      </x:c>
      <x:c r="G2115" s="85" t="n">
        <x:v>0</x:v>
      </x:c>
      <x:c r="H2115" s="85" t="n">
        <x:v>0</x:v>
      </x:c>
      <x:c r="I2115" s="85" t="n">
        <x:v>21744328.25787484</x:v>
      </x:c>
      <x:c r="J2115" s="85" t="n">
        <x:v>29937997.215007827</x:v>
      </x:c>
      <x:c r="K2115" s="85" t="n">
        <x:v>581641.4815006733</x:v>
      </x:c>
      <x:c r="L2115" s="28" t="n">
        <x:v>5</x:v>
      </x:c>
      <x:c r="M2115" s="28" t="n">
        <x:v>0</x:v>
      </x:c>
      <x:c r="N2115" s="28" t="n">
        <x:v>3.725290298461914e-9</x:v>
      </x:c>
      <x:c r="O2115" s="28" t="n">
        <x:v>2.9802322387695312e-8</x:v>
      </x:c>
      <x:c r="P2115" s="28" t="n">
        <x:v>0</x:v>
      </x:c>
      <x:c r="Q2115" s="62" t="b">
        <x:v>1</x:v>
      </x:c>
      <x:c r="R2115" s="28" t="n">
        <x:v>0</x:v>
      </x:c>
      <x:c r="S2115" s="28" t="str">
        <x:v>b8d3913998909c01</x:v>
      </x:c>
    </x:row>
    <x:row r="2116" ht="21" customHeight="1">
      <x:c r="A2116" s="60" t="n">
        <x:v>0.68</x:v>
      </x:c>
      <x:c r="B2116" s="28" t="str">
        <x:v>middle_low</x:v>
      </x:c>
      <x:c r="C2116" s="60" t="n">
        <x:v>0.4</x:v>
      </x:c>
      <x:c r="D2116" s="60" t="n">
        <x:v>0.4</x:v>
      </x:c>
      <x:c r="E2116" s="62" t="b">
        <x:v>1</x:v>
      </x:c>
      <x:c r="F2116" s="62" t="b">
        <x:v>1</x:v>
      </x:c>
      <x:c r="G2116" s="85" t="n">
        <x:v>0</x:v>
      </x:c>
      <x:c r="H2116" s="85" t="n">
        <x:v>0</x:v>
      </x:c>
      <x:c r="I2116" s="85" t="n">
        <x:v>27514003.566855915</x:v>
      </x:c>
      <x:c r="J2116" s="85" t="n">
        <x:v>36303010.87570464</x:v>
      </x:c>
      <x:c r="K2116" s="85" t="n">
        <x:v>487012.5648547949</x:v>
      </x:c>
      <x:c r="L2116" s="28" t="n">
        <x:v>10</x:v>
      </x:c>
      <x:c r="M2116" s="28" t="n">
        <x:v>0</x:v>
      </x:c>
      <x:c r="N2116" s="28" t="n">
        <x:v>1.862645149230957e-9</x:v>
      </x:c>
      <x:c r="O2116" s="28" t="n">
        <x:v>2.9802322387695312e-8</x:v>
      </x:c>
      <x:c r="P2116" s="28" t="n">
        <x:v>0</x:v>
      </x:c>
      <x:c r="Q2116" s="62" t="b">
        <x:v>1</x:v>
      </x:c>
      <x:c r="R2116" s="28" t="n">
        <x:v>0</x:v>
      </x:c>
      <x:c r="S2116" s="28" t="str">
        <x:v>736383389a5e546c</x:v>
      </x:c>
    </x:row>
    <x:row r="2117" ht="21" customHeight="1">
      <x:c r="A2117" s="60" t="n">
        <x:v>0.68</x:v>
      </x:c>
      <x:c r="B2117" s="28" t="str">
        <x:v>middle_low</x:v>
      </x:c>
      <x:c r="C2117" s="60" t="n">
        <x:v>0.45</x:v>
      </x:c>
      <x:c r="D2117" s="60" t="n">
        <x:v>0.45</x:v>
      </x:c>
      <x:c r="E2117" s="62" t="b">
        <x:v>1</x:v>
      </x:c>
      <x:c r="F2117" s="62" t="b">
        <x:v>1</x:v>
      </x:c>
      <x:c r="G2117" s="85" t="n">
        <x:v>0</x:v>
      </x:c>
      <x:c r="H2117" s="85" t="n">
        <x:v>0</x:v>
      </x:c>
      <x:c r="I2117" s="85" t="n">
        <x:v>32061040.890562944</x:v>
      </x:c>
      <x:c r="J2117" s="85" t="n">
        <x:v>44667882.39060236</x:v>
      </x:c>
      <x:c r="K2117" s="85" t="n">
        <x:v>440123.4479616412</x:v>
      </x:c>
      <x:c r="L2117" s="28" t="n">
        <x:v>13</x:v>
      </x:c>
      <x:c r="M2117" s="28" t="n">
        <x:v>0</x:v>
      </x:c>
      <x:c r="N2117" s="28" t="n">
        <x:v>1.862645149230957e-9</x:v>
      </x:c>
      <x:c r="O2117" s="28" t="n">
        <x:v>2.9802322387695312e-8</x:v>
      </x:c>
      <x:c r="P2117" s="28" t="n">
        <x:v>0</x:v>
      </x:c>
      <x:c r="Q2117" s="62" t="b">
        <x:v>1</x:v>
      </x:c>
      <x:c r="R2117" s="28" t="n">
        <x:v>0</x:v>
      </x:c>
      <x:c r="S2117" s="28" t="str">
        <x:v>be2fc6b56a3eae55</x:v>
      </x:c>
    </x:row>
    <x:row r="2118" ht="21" customHeight="1">
      <x:c r="A2118" s="60" t="n">
        <x:v>0.68</x:v>
      </x:c>
      <x:c r="B2118" s="28" t="str">
        <x:v>middle_low</x:v>
      </x:c>
      <x:c r="C2118" s="60" t="n">
        <x:v>0.5</x:v>
      </x:c>
      <x:c r="D2118" s="60" t="n">
        <x:v>0.5</x:v>
      </x:c>
      <x:c r="E2118" s="62" t="b">
        <x:v>1</x:v>
      </x:c>
      <x:c r="F2118" s="62" t="b">
        <x:v>1</x:v>
      </x:c>
      <x:c r="G2118" s="85" t="n">
        <x:v>0</x:v>
      </x:c>
      <x:c r="H2118" s="85" t="n">
        <x:v>0</x:v>
      </x:c>
      <x:c r="I2118" s="85" t="n">
        <x:v>36442713.864989735</x:v>
      </x:c>
      <x:c r="J2118" s="85" t="n">
        <x:v>53231360.22037523</x:v>
      </x:c>
      <x:c r="K2118" s="85" t="n">
        <x:v>393234.3310684956</x:v>
      </x:c>
      <x:c r="L2118" s="28" t="n">
        <x:v>16</x:v>
      </x:c>
      <x:c r="M2118" s="28" t="n">
        <x:v>0</x:v>
      </x:c>
      <x:c r="N2118" s="28" t="n">
        <x:v>1.862645149230957e-9</x:v>
      </x:c>
      <x:c r="O2118" s="28" t="n">
        <x:v>1.4901161193847656e-8</x:v>
      </x:c>
      <x:c r="P2118" s="28" t="n">
        <x:v>0</x:v>
      </x:c>
      <x:c r="Q2118" s="62" t="b">
        <x:v>1</x:v>
      </x:c>
      <x:c r="R2118" s="28" t="n">
        <x:v>0</x:v>
      </x:c>
      <x:c r="S2118" s="28" t="str">
        <x:v>bd92feba1d3a08c6</x:v>
      </x:c>
    </x:row>
    <x:row r="2119" ht="21" customHeight="1">
      <x:c r="A2119" s="60" t="n">
        <x:v>0.68</x:v>
      </x:c>
      <x:c r="B2119" s="28" t="str">
        <x:v>middle_low</x:v>
      </x:c>
      <x:c r="C2119" s="60" t="n">
        <x:v>0.55</x:v>
      </x:c>
      <x:c r="D2119" s="60" t="n">
        <x:v>0.55</x:v>
      </x:c>
      <x:c r="E2119" s="62" t="b">
        <x:v>1</x:v>
      </x:c>
      <x:c r="F2119" s="62" t="b">
        <x:v>1</x:v>
      </x:c>
      <x:c r="G2119" s="85" t="n">
        <x:v>0</x:v>
      </x:c>
      <x:c r="H2119" s="85" t="n">
        <x:v>0</x:v>
      </x:c>
      <x:c r="I2119" s="85" t="n">
        <x:v>40527339.31147346</x:v>
      </x:c>
      <x:c r="J2119" s="85" t="n">
        <x:v>62139249.34100635</x:v>
      </x:c>
      <x:c r="K2119" s="85" t="n">
        <x:v>346345.2141753433</x:v>
      </x:c>
      <x:c r="L2119" s="28" t="n">
        <x:v>21</x:v>
      </x:c>
      <x:c r="M2119" s="28" t="n">
        <x:v>0</x:v>
      </x:c>
      <x:c r="N2119" s="28" t="n">
        <x:v>1.862645149230957e-9</x:v>
      </x:c>
      <x:c r="O2119" s="28" t="n">
        <x:v>2.9802322387695312e-8</x:v>
      </x:c>
      <x:c r="P2119" s="28" t="n">
        <x:v>0</x:v>
      </x:c>
      <x:c r="Q2119" s="62" t="b">
        <x:v>1</x:v>
      </x:c>
      <x:c r="R2119" s="28" t="n">
        <x:v>0</x:v>
      </x:c>
      <x:c r="S2119" s="28" t="str">
        <x:v>eaa6dcd13874e07a</x:v>
      </x:c>
    </x:row>
    <x:row r="2120" ht="21" customHeight="1">
      <x:c r="A2120" s="60" t="n">
        <x:v>0.68</x:v>
      </x:c>
      <x:c r="B2120" s="28" t="str">
        <x:v>middle_low</x:v>
      </x:c>
      <x:c r="C2120" s="60" t="n">
        <x:v>0.6</x:v>
      </x:c>
      <x:c r="D2120" s="60" t="n">
        <x:v>0.6</x:v>
      </x:c>
      <x:c r="E2120" s="62" t="b">
        <x:v>1</x:v>
      </x:c>
      <x:c r="F2120" s="62" t="b">
        <x:v>0</x:v>
      </x:c>
      <x:c r="G2120" s="85" t="n">
        <x:v>453539.8079133926</x:v>
      </x:c>
      <x:c r="H2120" s="85" t="n">
        <x:v>6816345.131232793</x:v>
      </x:c>
      <x:c r="I2120" s="85" t="n">
        <x:v>41644219.21999336</x:v>
      </x:c>
      <x:c r="J2120" s="85" t="n">
        <x:v>65999999.999999985</x:v>
      </x:c>
      <x:c r="K2120" s="85" t="n">
        <x:v>299456.09728219255</x:v>
      </x:c>
      <x:c r="L2120" s="28" t="n">
        <x:v>42</x:v>
      </x:c>
      <x:c r="M2120" s="28" t="n">
        <x:v>28</x:v>
      </x:c>
      <x:c r="N2120" s="28" t="n">
        <x:v>1.862645149230957e-9</x:v>
      </x:c>
      <x:c r="O2120" s="28" t="n">
        <x:v>2.9802322387695312e-8</x:v>
      </x:c>
      <x:c r="P2120" s="28" t="n">
        <x:v>0</x:v>
      </x:c>
      <x:c r="Q2120" s="62" t="b">
        <x:v>1</x:v>
      </x:c>
      <x:c r="R2120" s="28" t="n">
        <x:v>0</x:v>
      </x:c>
      <x:c r="S2120" s="28" t="str">
        <x:v>068f8400da91c369</x:v>
      </x:c>
    </x:row>
    <x:row r="2121" ht="21" customHeight="1">
      <x:c r="A2121" s="60" t="n">
        <x:v>0.68</x:v>
      </x:c>
      <x:c r="B2121" s="28" t="str">
        <x:v>middle_low</x:v>
      </x:c>
      <x:c r="C2121" s="60" t="n">
        <x:v>0.65</x:v>
      </x:c>
      <x:c r="D2121" s="60" t="n">
        <x:v>0.65</x:v>
      </x:c>
      <x:c r="E2121" s="62" t="b">
        <x:v>1</x:v>
      </x:c>
      <x:c r="F2121" s="62" t="b">
        <x:v>0</x:v>
      </x:c>
      <x:c r="G2121" s="85" t="n">
        <x:v>1102878.9506188922</x:v>
      </x:c>
      <x:c r="H2121" s="85" t="n">
        <x:v>16614369.277388066</x:v>
      </x:c>
      <x:c r="I2121" s="85" t="n">
        <x:v>42660085.60814143</x:v>
      </x:c>
      <x:c r="J2121" s="85" t="n">
        <x:v>65999999.999999985</x:v>
      </x:c>
      <x:c r="K2121" s="85" t="n">
        <x:v>252566.98038904357</x:v>
      </x:c>
      <x:c r="L2121" s="28" t="n">
        <x:v>43</x:v>
      </x:c>
      <x:c r="M2121" s="28" t="n">
        <x:v>31</x:v>
      </x:c>
      <x:c r="N2121" s="28" t="n">
        <x:v>1.862645149230957e-9</x:v>
      </x:c>
      <x:c r="O2121" s="28" t="n">
        <x:v>2.9802322387695312e-8</x:v>
      </x:c>
      <x:c r="P2121" s="28" t="n">
        <x:v>0</x:v>
      </x:c>
      <x:c r="Q2121" s="62" t="b">
        <x:v>1</x:v>
      </x:c>
      <x:c r="R2121" s="28" t="n">
        <x:v>0</x:v>
      </x:c>
      <x:c r="S2121" s="28" t="str">
        <x:v>d7b66630666b5102</x:v>
      </x:c>
    </x:row>
    <x:row r="2122" ht="21" customHeight="1">
      <x:c r="A2122" s="60" t="n">
        <x:v>0.68</x:v>
      </x:c>
      <x:c r="B2122" s="28" t="str">
        <x:v>middle_low</x:v>
      </x:c>
      <x:c r="C2122" s="60" t="n">
        <x:v>0.7</x:v>
      </x:c>
      <x:c r="D2122" s="60" t="n">
        <x:v>0.7</x:v>
      </x:c>
      <x:c r="E2122" s="62" t="b">
        <x:v>1</x:v>
      </x:c>
      <x:c r="F2122" s="62" t="b">
        <x:v>0</x:v>
      </x:c>
      <x:c r="G2122" s="85" t="n">
        <x:v>1938276.252138653</x:v>
      </x:c>
      <x:c r="H2122" s="85" t="n">
        <x:v>27490340.438967086</x:v>
      </x:c>
      <x:c r="I2122" s="85" t="n">
        <x:v>42685011.68400479</x:v>
      </x:c>
      <x:c r="J2122" s="85" t="n">
        <x:v>65999999.999999985</x:v>
      </x:c>
      <x:c r="K2122" s="85" t="n">
        <x:v>223595.51833424706</x:v>
      </x:c>
      <x:c r="L2122" s="28" t="n">
        <x:v>43</x:v>
      </x:c>
      <x:c r="M2122" s="28" t="n">
        <x:v>33</x:v>
      </x:c>
      <x:c r="N2122" s="28" t="n">
        <x:v>1.862645149230957e-9</x:v>
      </x:c>
      <x:c r="O2122" s="28" t="n">
        <x:v>1.4901161193847656e-8</x:v>
      </x:c>
      <x:c r="P2122" s="28" t="n">
        <x:v>0</x:v>
      </x:c>
      <x:c r="Q2122" s="62" t="b">
        <x:v>1</x:v>
      </x:c>
      <x:c r="R2122" s="28" t="n">
        <x:v>0</x:v>
      </x:c>
      <x:c r="S2122" s="28" t="str">
        <x:v>887dbe249e59254a</x:v>
      </x:c>
    </x:row>
    <x:row r="2123" ht="21" customHeight="1">
      <x:c r="A2123" s="60" t="n">
        <x:v>0.68</x:v>
      </x:c>
      <x:c r="B2123" s="28" t="str">
        <x:v>middle_low</x:v>
      </x:c>
      <x:c r="C2123" s="60" t="n">
        <x:v>0.75</x:v>
      </x:c>
      <x:c r="D2123" s="60" t="n">
        <x:v>0.75</x:v>
      </x:c>
      <x:c r="E2123" s="62" t="b">
        <x:v>1</x:v>
      </x:c>
      <x:c r="F2123" s="62" t="b">
        <x:v>0</x:v>
      </x:c>
      <x:c r="G2123" s="85" t="n">
        <x:v>2820986.354582632</x:v>
      </x:c>
      <x:c r="H2123" s="85" t="n">
        <x:v>37124876.74601326</x:v>
      </x:c>
      <x:c r="I2123" s="85" t="n">
        <x:v>43592547.94520548</x:v>
      </x:c>
      <x:c r="J2123" s="85" t="n">
        <x:v>65999999.999999985</x:v>
      </x:c>
      <x:c r="K2123" s="85" t="n">
        <x:v>209029.50046575902</x:v>
      </x:c>
      <x:c r="L2123" s="28" t="n">
        <x:v>44</x:v>
      </x:c>
      <x:c r="M2123" s="28" t="n">
        <x:v>34</x:v>
      </x:c>
      <x:c r="N2123" s="28" t="n">
        <x:v>1.862645149230957e-9</x:v>
      </x:c>
      <x:c r="O2123" s="28" t="n">
        <x:v>2.9802322387695312e-8</x:v>
      </x:c>
      <x:c r="P2123" s="28" t="n">
        <x:v>0</x:v>
      </x:c>
      <x:c r="Q2123" s="62" t="b">
        <x:v>1</x:v>
      </x:c>
      <x:c r="R2123" s="28" t="n">
        <x:v>0</x:v>
      </x:c>
      <x:c r="S2123" s="28" t="str">
        <x:v>47214732f87f6186</x:v>
      </x:c>
    </x:row>
    <x:row r="2124" ht="21" customHeight="1">
      <x:c r="A2124" s="60" t="n">
        <x:v>0.68</x:v>
      </x:c>
      <x:c r="B2124" s="28" t="str">
        <x:v>middle_low</x:v>
      </x:c>
      <x:c r="C2124" s="60" t="n">
        <x:v>0.8</x:v>
      </x:c>
      <x:c r="D2124" s="60" t="n">
        <x:v>0.8</x:v>
      </x:c>
      <x:c r="E2124" s="62" t="b">
        <x:v>1</x:v>
      </x:c>
      <x:c r="F2124" s="62" t="b">
        <x:v>0</x:v>
      </x:c>
      <x:c r="G2124" s="85" t="n">
        <x:v>3691356.990117439</x:v>
      </x:c>
      <x:c r="H2124" s="85" t="n">
        <x:v>47790660.66288537</x:v>
      </x:c>
      <x:c r="I2124" s="85" t="n">
        <x:v>43592547.94520548</x:v>
      </x:c>
      <x:c r="J2124" s="85" t="n">
        <x:v>65999999.999999985</x:v>
      </x:c>
      <x:c r="K2124" s="85" t="n">
        <x:v>194463.48259726074</x:v>
      </x:c>
      <x:c r="L2124" s="28" t="n">
        <x:v>44</x:v>
      </x:c>
      <x:c r="M2124" s="28" t="n">
        <x:v>35</x:v>
      </x:c>
      <x:c r="N2124" s="28" t="n">
        <x:v>1.862645149230957e-9</x:v>
      </x:c>
      <x:c r="O2124" s="28" t="n">
        <x:v>1.4901161193847656e-8</x:v>
      </x:c>
      <x:c r="P2124" s="28" t="n">
        <x:v>0</x:v>
      </x:c>
      <x:c r="Q2124" s="62" t="b">
        <x:v>1</x:v>
      </x:c>
      <x:c r="R2124" s="28" t="n">
        <x:v>0</x:v>
      </x:c>
      <x:c r="S2124" s="28" t="str">
        <x:v>f14c12a02d758b8d</x:v>
      </x:c>
    </x:row>
    <x:row r="2125" ht="21" customHeight="1">
      <x:c r="A2125" s="60" t="n">
        <x:v>0.68</x:v>
      </x:c>
      <x:c r="B2125" s="28" t="str">
        <x:v>middle_low</x:v>
      </x:c>
      <x:c r="C2125" s="60" t="n">
        <x:v>0.85</x:v>
      </x:c>
      <x:c r="D2125" s="60" t="n">
        <x:v>0.85</x:v>
      </x:c>
      <x:c r="E2125" s="62" t="b">
        <x:v>1</x:v>
      </x:c>
      <x:c r="F2125" s="62" t="b">
        <x:v>0</x:v>
      </x:c>
      <x:c r="G2125" s="85" t="n">
        <x:v>4847420.573379976</x:v>
      </x:c>
      <x:c r="H2125" s="85" t="n">
        <x:v>58209391.08014642</x:v>
      </x:c>
      <x:c r="I2125" s="85" t="n">
        <x:v>43592547.94520548</x:v>
      </x:c>
      <x:c r="J2125" s="85" t="n">
        <x:v>65999999.999999985</x:v>
      </x:c>
      <x:c r="K2125" s="85" t="n">
        <x:v>179897.46472877037</x:v>
      </x:c>
      <x:c r="L2125" s="28" t="n">
        <x:v>44</x:v>
      </x:c>
      <x:c r="M2125" s="28" t="n">
        <x:v>36</x:v>
      </x:c>
      <x:c r="N2125" s="28" t="n">
        <x:v>1.862645149230957e-9</x:v>
      </x:c>
      <x:c r="O2125" s="28" t="n">
        <x:v>2.9802322387695312e-8</x:v>
      </x:c>
      <x:c r="P2125" s="28" t="n">
        <x:v>0</x:v>
      </x:c>
      <x:c r="Q2125" s="62" t="b">
        <x:v>1</x:v>
      </x:c>
      <x:c r="R2125" s="28" t="n">
        <x:v>0</x:v>
      </x:c>
      <x:c r="S2125" s="28" t="str">
        <x:v>345f38df766e7969</x:v>
      </x:c>
    </x:row>
    <x:row r="2126" ht="21" customHeight="1">
      <x:c r="A2126" s="60" t="n">
        <x:v>0.68</x:v>
      </x:c>
      <x:c r="B2126" s="28" t="str">
        <x:v>middle_low</x:v>
      </x:c>
      <x:c r="C2126" s="60" t="n">
        <x:v>0.9</x:v>
      </x:c>
      <x:c r="D2126" s="60" t="n">
        <x:v>0.9</x:v>
      </x:c>
      <x:c r="E2126" s="62" t="b">
        <x:v>1</x:v>
      </x:c>
      <x:c r="F2126" s="62" t="b">
        <x:v>0</x:v>
      </x:c>
      <x:c r="G2126" s="85" t="n">
        <x:v>6097789.693067834</x:v>
      </x:c>
      <x:c r="H2126" s="85" t="n">
        <x:v>68407125.79358219</x:v>
      </x:c>
      <x:c r="I2126" s="85" t="n">
        <x:v>43592547.94520548</x:v>
      </x:c>
      <x:c r="J2126" s="85" t="n">
        <x:v>65999999.999999985</x:v>
      </x:c>
      <x:c r="K2126" s="85" t="n">
        <x:v>165331.44686027442</x:v>
      </x:c>
      <x:c r="L2126" s="28" t="n">
        <x:v>44</x:v>
      </x:c>
      <x:c r="M2126" s="28" t="n">
        <x:v>37</x:v>
      </x:c>
      <x:c r="N2126" s="28" t="n">
        <x:v>1.862645149230957e-9</x:v>
      </x:c>
      <x:c r="O2126" s="28" t="n">
        <x:v>2.9802322387695312e-8</x:v>
      </x:c>
      <x:c r="P2126" s="28" t="n">
        <x:v>0</x:v>
      </x:c>
      <x:c r="Q2126" s="62" t="b">
        <x:v>1</x:v>
      </x:c>
      <x:c r="R2126" s="28" t="n">
        <x:v>0</x:v>
      </x:c>
      <x:c r="S2126" s="28" t="str">
        <x:v>2e3a71fa9b00dd4e</x:v>
      </x:c>
    </x:row>
    <x:row r="2127" ht="21" customHeight="1">
      <x:c r="A2127" s="60" t="n">
        <x:v>0.68</x:v>
      </x:c>
      <x:c r="B2127" s="28" t="str">
        <x:v>middle_low</x:v>
      </x:c>
      <x:c r="C2127" s="60" t="n">
        <x:v>0.95</x:v>
      </x:c>
      <x:c r="D2127" s="60" t="n">
        <x:v>0.9361238209331334</x:v>
      </x:c>
      <x:c r="E2127" s="62" t="b">
        <x:v>0</x:v>
      </x:c>
      <x:c r="F2127" s="62" t="b">
        <x:v>0</x:v>
      </x:c>
      <x:c r="G2127" s="85" t="n">
        <x:v>8333160.186179185</x:v>
      </x:c>
      <x:c r="H2127" s="85" t="n">
        <x:v>73064533.5692763</x:v>
      </x:c>
      <x:c r="I2127" s="85" t="n">
        <x:v>44590684.93150685</x:v>
      </x:c>
      <x:c r="J2127" s="85" t="n">
        <x:v>65999999.999999985</x:v>
      </x:c>
      <x:c r="K2127" s="85" t="n">
        <x:v>150765.4289917808</x:v>
      </x:c>
      <x:c r="L2127" s="28" t="n">
        <x:v>45</x:v>
      </x:c>
      <x:c r="M2127" s="28" t="n">
        <x:v>38</x:v>
      </x:c>
      <x:c r="N2127" s="28" t="n">
        <x:v>1.862645149230957e-9</x:v>
      </x:c>
      <x:c r="O2127" s="28" t="n">
        <x:v>1.4901161193847656e-8</x:v>
      </x:c>
      <x:c r="P2127" s="28" t="n">
        <x:v>0</x:v>
      </x:c>
      <x:c r="Q2127" s="62" t="b">
        <x:v>1</x:v>
      </x:c>
      <x:c r="R2127" s="28" t="n">
        <x:v>4162853.720059991</x:v>
      </x:c>
      <x:c r="S2127" s="28" t="str">
        <x:v>0390fd8fdc37bc18</x:v>
      </x:c>
    </x:row>
    <x:row r="2128" ht="21" customHeight="1">
      <x:c r="A2128" s="60" t="n">
        <x:v>0.68</x:v>
      </x:c>
      <x:c r="B2128" s="28" t="str">
        <x:v>middle_low</x:v>
      </x:c>
      <x:c r="C2128" s="60" t="n">
        <x:v>1</x:v>
      </x:c>
      <x:c r="D2128" s="60" t="n">
        <x:v>0.9498342654879072</x:v>
      </x:c>
      <x:c r="E2128" s="62" t="b">
        <x:v>0</x:v>
      </x:c>
      <x:c r="F2128" s="62" t="b">
        <x:v>0</x:v>
      </x:c>
      <x:c r="G2128" s="85" t="n">
        <x:v>9039154.62828121</x:v>
      </x:c>
      <x:c r="H2128" s="85" t="n">
        <x:v>76060848.82132563</x:v>
      </x:c>
      <x:c r="I2128" s="85" t="n">
        <x:v>44598771.99868493</x:v>
      </x:c>
      <x:c r="J2128" s="85" t="n">
        <x:v>65999999.999999985</x:v>
      </x:c>
      <x:c r="K2128" s="85" t="n">
        <x:v>136199.4111232872</x:v>
      </x:c>
      <x:c r="L2128" s="28" t="n">
        <x:v>45</x:v>
      </x:c>
      <x:c r="M2128" s="28" t="n">
        <x:v>38</x:v>
      </x:c>
      <x:c r="N2128" s="28" t="n">
        <x:v>1.862645149230957e-9</x:v>
      </x:c>
      <x:c r="O2128" s="28" t="n">
        <x:v>1.4901161193847656e-8</x:v>
      </x:c>
      <x:c r="P2128" s="28" t="n">
        <x:v>0</x:v>
      </x:c>
      <x:c r="Q2128" s="62" t="b">
        <x:v>1</x:v>
      </x:c>
      <x:c r="R2128" s="28" t="n">
        <x:v>15049720.35362786</x:v>
      </x:c>
      <x:c r="S2128" s="28" t="str">
        <x:v>75b55030d128207f</x:v>
      </x:c>
    </x:row>
    <x:row r="2129" ht="21" customHeight="1">
      <x:c r="A2129" s="60" t="n">
        <x:v>0.68</x:v>
      </x:c>
      <x:c r="B2129" s="28" t="str">
        <x:v>middle_high</x:v>
      </x:c>
      <x:c r="C2129" s="60" t="n">
        <x:v>0</x:v>
      </x:c>
      <x:c r="D2129" s="60" t="n">
        <x:v>0</x:v>
      </x:c>
      <x:c r="E2129" s="62" t="b">
        <x:v>1</x:v>
      </x:c>
      <x:c r="F2129" s="62" t="b">
        <x:v>1</x:v>
      </x:c>
      <x:c r="G2129" s="85" t="n">
        <x:v>0</x:v>
      </x:c>
      <x:c r="H2129" s="85" t="n">
        <x:v>0</x:v>
      </x:c>
      <x:c r="I2129" s="85" t="n">
        <x:v>0</x:v>
      </x:c>
      <x:c r="J2129" s="85" t="n">
        <x:v>0</x:v>
      </x:c>
      <x:c r="K2129" s="85" t="n">
        <x:v>40506729.313013695</x:v>
      </x:c>
      <x:c r="L2129" s="28" t="n">
        <x:v>0</x:v>
      </x:c>
      <x:c r="M2129" s="28" t="n">
        <x:v>0</x:v>
      </x:c>
      <x:c r="N2129" s="28" t="n">
        <x:v>3.725290298461914e-9</x:v>
      </x:c>
      <x:c r="O2129" s="28" t="n">
        <x:v>0</x:v>
      </x:c>
      <x:c r="P2129" s="28" t="n">
        <x:v>0</x:v>
      </x:c>
      <x:c r="Q2129" s="62" t="b">
        <x:v>1</x:v>
      </x:c>
      <x:c r="R2129" s="28" t="n">
        <x:v>0</x:v>
      </x:c>
      <x:c r="S2129" s="28" t="str">
        <x:v>429839c29b05d317</x:v>
      </x:c>
    </x:row>
    <x:row r="2130" ht="21" customHeight="1">
      <x:c r="A2130" s="60" t="n">
        <x:v>0.68</x:v>
      </x:c>
      <x:c r="B2130" s="28" t="str">
        <x:v>middle_high</x:v>
      </x:c>
      <x:c r="C2130" s="60" t="n">
        <x:v>0.05</x:v>
      </x:c>
      <x:c r="D2130" s="60" t="n">
        <x:v>0.05</x:v>
      </x:c>
      <x:c r="E2130" s="62" t="b">
        <x:v>1</x:v>
      </x:c>
      <x:c r="F2130" s="62" t="b">
        <x:v>1</x:v>
      </x:c>
      <x:c r="G2130" s="85" t="n">
        <x:v>0</x:v>
      </x:c>
      <x:c r="H2130" s="85" t="n">
        <x:v>0</x:v>
      </x:c>
      <x:c r="I2130" s="85" t="n">
        <x:v>0</x:v>
      </x:c>
      <x:c r="J2130" s="85" t="n">
        <x:v>0</x:v>
      </x:c>
      <x:c r="K2130" s="85" t="n">
        <x:v>27126120.050211634</x:v>
      </x:c>
      <x:c r="L2130" s="28" t="n">
        <x:v>0</x:v>
      </x:c>
      <x:c r="M2130" s="28" t="n">
        <x:v>0</x:v>
      </x:c>
      <x:c r="N2130" s="28" t="n">
        <x:v>3.725290298461914e-9</x:v>
      </x:c>
      <x:c r="O2130" s="28" t="n">
        <x:v>2.9802322387695312e-8</x:v>
      </x:c>
      <x:c r="P2130" s="28" t="n">
        <x:v>0</x:v>
      </x:c>
      <x:c r="Q2130" s="62" t="b">
        <x:v>1</x:v>
      </x:c>
      <x:c r="R2130" s="28" t="n">
        <x:v>0</x:v>
      </x:c>
      <x:c r="S2130" s="28" t="str">
        <x:v>7ddb9ce3d3f895a6</x:v>
      </x:c>
    </x:row>
    <x:row r="2131" ht="21" customHeight="1">
      <x:c r="A2131" s="60" t="n">
        <x:v>0.68</x:v>
      </x:c>
      <x:c r="B2131" s="28" t="str">
        <x:v>middle_high</x:v>
      </x:c>
      <x:c r="C2131" s="60" t="n">
        <x:v>0.1</x:v>
      </x:c>
      <x:c r="D2131" s="60" t="n">
        <x:v>0.1</x:v>
      </x:c>
      <x:c r="E2131" s="62" t="b">
        <x:v>1</x:v>
      </x:c>
      <x:c r="F2131" s="62" t="b">
        <x:v>1</x:v>
      </x:c>
      <x:c r="G2131" s="85" t="n">
        <x:v>0</x:v>
      </x:c>
      <x:c r="H2131" s="85" t="n">
        <x:v>0</x:v>
      </x:c>
      <x:c r="I2131" s="85" t="n">
        <x:v>0</x:v>
      </x:c>
      <x:c r="J2131" s="85" t="n">
        <x:v>0</x:v>
      </x:c>
      <x:c r="K2131" s="85" t="n">
        <x:v>13584731.59615684</x:v>
      </x:c>
      <x:c r="L2131" s="28" t="n">
        <x:v>0</x:v>
      </x:c>
      <x:c r="M2131" s="28" t="n">
        <x:v>0</x:v>
      </x:c>
      <x:c r="N2131" s="28" t="n">
        <x:v>3.725290298461914e-9</x:v>
      </x:c>
      <x:c r="O2131" s="28" t="n">
        <x:v>5.960464477539063e-8</x:v>
      </x:c>
      <x:c r="P2131" s="28" t="n">
        <x:v>0</x:v>
      </x:c>
      <x:c r="Q2131" s="62" t="b">
        <x:v>1</x:v>
      </x:c>
      <x:c r="R2131" s="28" t="n">
        <x:v>0</x:v>
      </x:c>
      <x:c r="S2131" s="28" t="str">
        <x:v>1db6bc02e175beb3</x:v>
      </x:c>
    </x:row>
    <x:row r="2132" ht="21" customHeight="1">
      <x:c r="A2132" s="60" t="n">
        <x:v>0.68</x:v>
      </x:c>
      <x:c r="B2132" s="28" t="str">
        <x:v>middle_high</x:v>
      </x:c>
      <x:c r="C2132" s="60" t="n">
        <x:v>0.15</x:v>
      </x:c>
      <x:c r="D2132" s="60" t="n">
        <x:v>0.15</x:v>
      </x:c>
      <x:c r="E2132" s="62" t="b">
        <x:v>1</x:v>
      </x:c>
      <x:c r="F2132" s="62" t="b">
        <x:v>1</x:v>
      </x:c>
      <x:c r="G2132" s="85" t="n">
        <x:v>0</x:v>
      </x:c>
      <x:c r="H2132" s="85" t="n">
        <x:v>0</x:v>
      </x:c>
      <x:c r="I2132" s="85" t="n">
        <x:v>2557395.9296283075</x:v>
      </x:c>
      <x:c r="J2132" s="85" t="n">
        <x:v>0</x:v>
      </x:c>
      <x:c r="K2132" s="85" t="n">
        <x:v>3158433.051255409</x:v>
      </x:c>
      <x:c r="L2132" s="28" t="n">
        <x:v>0</x:v>
      </x:c>
      <x:c r="M2132" s="28" t="n">
        <x:v>0</x:v>
      </x:c>
      <x:c r="N2132" s="28" t="n">
        <x:v>3.725290298461914e-9</x:v>
      </x:c>
      <x:c r="O2132" s="28" t="n">
        <x:v>2.9802322387695312e-8</x:v>
      </x:c>
      <x:c r="P2132" s="28" t="n">
        <x:v>0</x:v>
      </x:c>
      <x:c r="Q2132" s="62" t="b">
        <x:v>1</x:v>
      </x:c>
      <x:c r="R2132" s="28" t="n">
        <x:v>0</x:v>
      </x:c>
      <x:c r="S2132" s="28" t="str">
        <x:v>58ffc4be450db456</x:v>
      </x:c>
    </x:row>
    <x:row r="2133" ht="21" customHeight="1">
      <x:c r="A2133" s="60" t="n">
        <x:v>0.68</x:v>
      </x:c>
      <x:c r="B2133" s="28" t="str">
        <x:v>middle_high</x:v>
      </x:c>
      <x:c r="C2133" s="60" t="n">
        <x:v>0.2</x:v>
      </x:c>
      <x:c r="D2133" s="60" t="n">
        <x:v>0.2</x:v>
      </x:c>
      <x:c r="E2133" s="62" t="b">
        <x:v>1</x:v>
      </x:c>
      <x:c r="F2133" s="62" t="b">
        <x:v>1</x:v>
      </x:c>
      <x:c r="G2133" s="85" t="n">
        <x:v>0</x:v>
      </x:c>
      <x:c r="H2133" s="85" t="n">
        <x:v>0</x:v>
      </x:c>
      <x:c r="I2133" s="85" t="n">
        <x:v>12710653.010724755</x:v>
      </x:c>
      <x:c r="J2133" s="85" t="n">
        <x:v>6318282.052720841</x:v>
      </x:c>
      <x:c r="K2133" s="85" t="n">
        <x:v>2457076.4110420356</x:v>
      </x:c>
      <x:c r="L2133" s="28" t="n">
        <x:v>0</x:v>
      </x:c>
      <x:c r="M2133" s="28" t="n">
        <x:v>0</x:v>
      </x:c>
      <x:c r="N2133" s="28" t="n">
        <x:v>3.725290298461914e-9</x:v>
      </x:c>
      <x:c r="O2133" s="28" t="n">
        <x:v>2.9802322387695312e-8</x:v>
      </x:c>
      <x:c r="P2133" s="28" t="n">
        <x:v>0</x:v>
      </x:c>
      <x:c r="Q2133" s="62" t="b">
        <x:v>1</x:v>
      </x:c>
      <x:c r="R2133" s="28" t="n">
        <x:v>0</x:v>
      </x:c>
      <x:c r="S2133" s="28" t="str">
        <x:v>efb13188cbdfd068</x:v>
      </x:c>
    </x:row>
    <x:row r="2134" ht="21" customHeight="1">
      <x:c r="A2134" s="60" t="n">
        <x:v>0.68</x:v>
      </x:c>
      <x:c r="B2134" s="28" t="str">
        <x:v>middle_high</x:v>
      </x:c>
      <x:c r="C2134" s="60" t="n">
        <x:v>0.25</x:v>
      </x:c>
      <x:c r="D2134" s="60" t="n">
        <x:v>0.25</x:v>
      </x:c>
      <x:c r="E2134" s="62" t="b">
        <x:v>1</x:v>
      </x:c>
      <x:c r="F2134" s="62" t="b">
        <x:v>1</x:v>
      </x:c>
      <x:c r="G2134" s="85" t="n">
        <x:v>0</x:v>
      </x:c>
      <x:c r="H2134" s="85" t="n">
        <x:v>0</x:v>
      </x:c>
      <x:c r="I2134" s="85" t="n">
        <x:v>21530318.06057922</x:v>
      </x:c>
      <x:c r="J2134" s="85" t="n">
        <x:v>15397852.56590101</x:v>
      </x:c>
      <x:c r="K2134" s="85" t="n">
        <x:v>1971523.2189395186</x:v>
      </x:c>
      <x:c r="L2134" s="28" t="n">
        <x:v>0</x:v>
      </x:c>
      <x:c r="M2134" s="28" t="n">
        <x:v>0</x:v>
      </x:c>
      <x:c r="N2134" s="28" t="n">
        <x:v>3.725290298461914e-9</x:v>
      </x:c>
      <x:c r="O2134" s="28" t="n">
        <x:v>2.9802322387695312e-8</x:v>
      </x:c>
      <x:c r="P2134" s="28" t="n">
        <x:v>0</x:v>
      </x:c>
      <x:c r="Q2134" s="62" t="b">
        <x:v>1</x:v>
      </x:c>
      <x:c r="R2134" s="28" t="n">
        <x:v>0</x:v>
      </x:c>
      <x:c r="S2134" s="28" t="str">
        <x:v>34a54eaf3687e871</x:v>
      </x:c>
    </x:row>
    <x:row r="2135" ht="21" customHeight="1">
      <x:c r="A2135" s="60" t="n">
        <x:v>0.68</x:v>
      </x:c>
      <x:c r="B2135" s="28" t="str">
        <x:v>middle_high</x:v>
      </x:c>
      <x:c r="C2135" s="60" t="n">
        <x:v>0.3</x:v>
      </x:c>
      <x:c r="D2135" s="60" t="n">
        <x:v>0.3</x:v>
      </x:c>
      <x:c r="E2135" s="62" t="b">
        <x:v>1</x:v>
      </x:c>
      <x:c r="F2135" s="62" t="b">
        <x:v>1</x:v>
      </x:c>
      <x:c r="G2135" s="85" t="n">
        <x:v>0</x:v>
      </x:c>
      <x:c r="H2135" s="85" t="n">
        <x:v>0</x:v>
      </x:c>
      <x:c r="I2135" s="85" t="n">
        <x:v>30507327.024612825</x:v>
      </x:c>
      <x:c r="J2135" s="85" t="n">
        <x:v>24477423.079081118</x:v>
      </x:c>
      <x:c r="K2135" s="85" t="n">
        <x:v>1619045.8053395008</x:v>
      </x:c>
      <x:c r="L2135" s="28" t="n">
        <x:v>0</x:v>
      </x:c>
      <x:c r="M2135" s="28" t="n">
        <x:v>0</x:v>
      </x:c>
      <x:c r="N2135" s="28" t="n">
        <x:v>3.725290298461914e-9</x:v>
      </x:c>
      <x:c r="O2135" s="28" t="n">
        <x:v>2.9802322387695312e-8</x:v>
      </x:c>
      <x:c r="P2135" s="28" t="n">
        <x:v>0</x:v>
      </x:c>
      <x:c r="Q2135" s="62" t="b">
        <x:v>1</x:v>
      </x:c>
      <x:c r="R2135" s="28" t="n">
        <x:v>0</x:v>
      </x:c>
      <x:c r="S2135" s="28" t="str">
        <x:v>e22119e823706cae</x:v>
      </x:c>
    </x:row>
    <x:row r="2136" ht="21" customHeight="1">
      <x:c r="A2136" s="60" t="n">
        <x:v>0.68</x:v>
      </x:c>
      <x:c r="B2136" s="28" t="str">
        <x:v>middle_high</x:v>
      </x:c>
      <x:c r="C2136" s="60" t="n">
        <x:v>0.35</x:v>
      </x:c>
      <x:c r="D2136" s="60" t="n">
        <x:v>0.35</x:v>
      </x:c>
      <x:c r="E2136" s="62" t="b">
        <x:v>1</x:v>
      </x:c>
      <x:c r="F2136" s="62" t="b">
        <x:v>1</x:v>
      </x:c>
      <x:c r="G2136" s="85" t="n">
        <x:v>0</x:v>
      </x:c>
      <x:c r="H2136" s="85" t="n">
        <x:v>0</x:v>
      </x:c>
      <x:c r="I2136" s="85" t="n">
        <x:v>40207890.34175911</x:v>
      </x:c>
      <x:c r="J2136" s="85" t="n">
        <x:v>28770531.47979419</x:v>
      </x:c>
      <x:c r="K2136" s="85" t="n">
        <x:v>1340229.4128503923</x:v>
      </x:c>
      <x:c r="L2136" s="28" t="n">
        <x:v>4</x:v>
      </x:c>
      <x:c r="M2136" s="28" t="n">
        <x:v>0</x:v>
      </x:c>
      <x:c r="N2136" s="28" t="n">
        <x:v>1.862645149230957e-9</x:v>
      </x:c>
      <x:c r="O2136" s="28" t="n">
        <x:v>2.9802322387695312e-8</x:v>
      </x:c>
      <x:c r="P2136" s="28" t="n">
        <x:v>0</x:v>
      </x:c>
      <x:c r="Q2136" s="62" t="b">
        <x:v>1</x:v>
      </x:c>
      <x:c r="R2136" s="28" t="n">
        <x:v>0</x:v>
      </x:c>
      <x:c r="S2136" s="28" t="str">
        <x:v>e60876fbbe55d992</x:v>
      </x:c>
    </x:row>
    <x:row r="2137" ht="21" customHeight="1">
      <x:c r="A2137" s="60" t="n">
        <x:v>0.68</x:v>
      </x:c>
      <x:c r="B2137" s="28" t="str">
        <x:v>middle_high</x:v>
      </x:c>
      <x:c r="C2137" s="60" t="n">
        <x:v>0.4</x:v>
      </x:c>
      <x:c r="D2137" s="60" t="n">
        <x:v>0.4</x:v>
      </x:c>
      <x:c r="E2137" s="62" t="b">
        <x:v>1</x:v>
      </x:c>
      <x:c r="F2137" s="62" t="b">
        <x:v>1</x:v>
      </x:c>
      <x:c r="G2137" s="85" t="n">
        <x:v>0</x:v>
      </x:c>
      <x:c r="H2137" s="85" t="n">
        <x:v>0</x:v>
      </x:c>
      <x:c r="I2137" s="85" t="n">
        <x:v>49947959.05345508</x:v>
      </x:c>
      <x:c r="J2137" s="85" t="n">
        <x:v>33323589.56095251</x:v>
      </x:c>
      <x:c r="K2137" s="85" t="n">
        <x:v>1171659.0619506794</x:v>
      </x:c>
      <x:c r="L2137" s="28" t="n">
        <x:v>9</x:v>
      </x:c>
      <x:c r="M2137" s="28" t="n">
        <x:v>0</x:v>
      </x:c>
      <x:c r="N2137" s="28" t="n">
        <x:v>1.862645149230957e-9</x:v>
      </x:c>
      <x:c r="O2137" s="28" t="n">
        <x:v>2.9802322387695312e-8</x:v>
      </x:c>
      <x:c r="P2137" s="28" t="n">
        <x:v>0</x:v>
      </x:c>
      <x:c r="Q2137" s="62" t="b">
        <x:v>1</x:v>
      </x:c>
      <x:c r="R2137" s="28" t="n">
        <x:v>0</x:v>
      </x:c>
      <x:c r="S2137" s="28" t="str">
        <x:v>15793b6a4f78554d</x:v>
      </x:c>
    </x:row>
    <x:row r="2138" ht="21" customHeight="1">
      <x:c r="A2138" s="60" t="n">
        <x:v>0.68</x:v>
      </x:c>
      <x:c r="B2138" s="28" t="str">
        <x:v>middle_high</x:v>
      </x:c>
      <x:c r="C2138" s="60" t="n">
        <x:v>0.45</x:v>
      </x:c>
      <x:c r="D2138" s="60" t="n">
        <x:v>0.45</x:v>
      </x:c>
      <x:c r="E2138" s="62" t="b">
        <x:v>1</x:v>
      </x:c>
      <x:c r="F2138" s="62" t="b">
        <x:v>1</x:v>
      </x:c>
      <x:c r="G2138" s="85" t="n">
        <x:v>0</x:v>
      </x:c>
      <x:c r="H2138" s="85" t="n">
        <x:v>0</x:v>
      </x:c>
      <x:c r="I2138" s="85" t="n">
        <x:v>59167022.68035074</x:v>
      </x:c>
      <x:c r="J2138" s="85" t="n">
        <x:v>41724416.82638001</x:v>
      </x:c>
      <x:c r="K2138" s="85" t="n">
        <x:v>1043537.0071945195</x:v>
      </x:c>
      <x:c r="L2138" s="28" t="n">
        <x:v>12</x:v>
      </x:c>
      <x:c r="M2138" s="28" t="n">
        <x:v>0</x:v>
      </x:c>
      <x:c r="N2138" s="28" t="n">
        <x:v>3.725290298461914e-9</x:v>
      </x:c>
      <x:c r="O2138" s="28" t="n">
        <x:v>2.9802322387695312e-8</x:v>
      </x:c>
      <x:c r="P2138" s="28" t="n">
        <x:v>0</x:v>
      </x:c>
      <x:c r="Q2138" s="62" t="b">
        <x:v>1</x:v>
      </x:c>
      <x:c r="R2138" s="28" t="n">
        <x:v>0</x:v>
      </x:c>
      <x:c r="S2138" s="28" t="str">
        <x:v>0db9bf96e0abdd4b</x:v>
      </x:c>
    </x:row>
    <x:row r="2139" ht="21" customHeight="1">
      <x:c r="A2139" s="60" t="n">
        <x:v>0.68</x:v>
      </x:c>
      <x:c r="B2139" s="28" t="str">
        <x:v>middle_high</x:v>
      </x:c>
      <x:c r="C2139" s="60" t="n">
        <x:v>0.5</x:v>
      </x:c>
      <x:c r="D2139" s="60" t="n">
        <x:v>0.5</x:v>
      </x:c>
      <x:c r="E2139" s="62" t="b">
        <x:v>1</x:v>
      </x:c>
      <x:c r="F2139" s="62" t="b">
        <x:v>1</x:v>
      </x:c>
      <x:c r="G2139" s="85" t="n">
        <x:v>0</x:v>
      </x:c>
      <x:c r="H2139" s="85" t="n">
        <x:v>0</x:v>
      </x:c>
      <x:c r="I2139" s="85" t="n">
        <x:v>68236119.3903136</x:v>
      </x:c>
      <x:c r="J2139" s="85" t="n">
        <x:v>50740943.71130911</x:v>
      </x:c>
      <x:c r="K2139" s="85" t="n">
        <x:v>915414.9524383543</x:v>
      </x:c>
      <x:c r="L2139" s="28" t="n">
        <x:v>15</x:v>
      </x:c>
      <x:c r="M2139" s="28" t="n">
        <x:v>7</x:v>
      </x:c>
      <x:c r="N2139" s="28" t="n">
        <x:v>3.725290298461914e-9</x:v>
      </x:c>
      <x:c r="O2139" s="28" t="n">
        <x:v>1.4901161193847656e-8</x:v>
      </x:c>
      <x:c r="P2139" s="28" t="n">
        <x:v>0</x:v>
      </x:c>
      <x:c r="Q2139" s="62" t="b">
        <x:v>1</x:v>
      </x:c>
      <x:c r="R2139" s="28" t="n">
        <x:v>0</x:v>
      </x:c>
      <x:c r="S2139" s="28" t="str">
        <x:v>f1acf39595a97f18</x:v>
      </x:c>
    </x:row>
    <x:row r="2140" ht="21" customHeight="1">
      <x:c r="A2140" s="60" t="n">
        <x:v>0.68</x:v>
      </x:c>
      <x:c r="B2140" s="28" t="str">
        <x:v>middle_high</x:v>
      </x:c>
      <x:c r="C2140" s="60" t="n">
        <x:v>0.55</x:v>
      </x:c>
      <x:c r="D2140" s="60" t="n">
        <x:v>0.55</x:v>
      </x:c>
      <x:c r="E2140" s="62" t="b">
        <x:v>1</x:v>
      </x:c>
      <x:c r="F2140" s="62" t="b">
        <x:v>1</x:v>
      </x:c>
      <x:c r="G2140" s="85" t="n">
        <x:v>0</x:v>
      </x:c>
      <x:c r="H2140" s="85" t="n">
        <x:v>0</x:v>
      </x:c>
      <x:c r="I2140" s="85" t="n">
        <x:v>76961285.36689198</x:v>
      </x:c>
      <x:c r="J2140" s="85" t="n">
        <x:v>60700103.49448739</x:v>
      </x:c>
      <x:c r="K2140" s="85" t="n">
        <x:v>787292.8976821869</x:v>
      </x:c>
      <x:c r="L2140" s="28" t="n">
        <x:v>19</x:v>
      </x:c>
      <x:c r="M2140" s="28" t="n">
        <x:v>13</x:v>
      </x:c>
      <x:c r="N2140" s="28" t="n">
        <x:v>1.862645149230957e-9</x:v>
      </x:c>
      <x:c r="O2140" s="28" t="n">
        <x:v>2.9802322387695312e-8</x:v>
      </x:c>
      <x:c r="P2140" s="28" t="n">
        <x:v>0</x:v>
      </x:c>
      <x:c r="Q2140" s="62" t="b">
        <x:v>1</x:v>
      </x:c>
      <x:c r="R2140" s="28" t="n">
        <x:v>0</x:v>
      </x:c>
      <x:c r="S2140" s="28" t="str">
        <x:v>ed3620adb2be677d</x:v>
      </x:c>
    </x:row>
    <x:row r="2141" ht="21" customHeight="1">
      <x:c r="A2141" s="60" t="n">
        <x:v>0.68</x:v>
      </x:c>
      <x:c r="B2141" s="28" t="str">
        <x:v>middle_high</x:v>
      </x:c>
      <x:c r="C2141" s="60" t="n">
        <x:v>0.6</x:v>
      </x:c>
      <x:c r="D2141" s="60" t="n">
        <x:v>0.6</x:v>
      </x:c>
      <x:c r="E2141" s="62" t="b">
        <x:v>1</x:v>
      </x:c>
      <x:c r="F2141" s="62" t="b">
        <x:v>0</x:v>
      </x:c>
      <x:c r="G2141" s="85" t="n">
        <x:v>2406033.549441123</x:v>
      </x:c>
      <x:c r="H2141" s="85" t="n">
        <x:v>9319837.120578956</x:v>
      </x:c>
      <x:c r="I2141" s="85" t="n">
        <x:v>80281832.09115118</x:v>
      </x:c>
      <x:c r="J2141" s="85" t="n">
        <x:v>65999999.999999985</x:v>
      </x:c>
      <x:c r="K2141" s="85" t="n">
        <x:v>663729.7600109628</x:v>
      </x:c>
      <x:c r="L2141" s="28" t="n">
        <x:v>42</x:v>
      </x:c>
      <x:c r="M2141" s="28" t="n">
        <x:v>37</x:v>
      </x:c>
      <x:c r="N2141" s="28" t="n">
        <x:v>1.862645149230957e-9</x:v>
      </x:c>
      <x:c r="O2141" s="28" t="n">
        <x:v>2.9802322387695312e-8</x:v>
      </x:c>
      <x:c r="P2141" s="28" t="n">
        <x:v>0</x:v>
      </x:c>
      <x:c r="Q2141" s="62" t="b">
        <x:v>1</x:v>
      </x:c>
      <x:c r="R2141" s="28" t="n">
        <x:v>0</x:v>
      </x:c>
      <x:c r="S2141" s="28" t="str">
        <x:v>206898eb5f8e7da5</x:v>
      </x:c>
    </x:row>
    <x:row r="2142" ht="21" customHeight="1">
      <x:c r="A2142" s="60" t="n">
        <x:v>0.68</x:v>
      </x:c>
      <x:c r="B2142" s="28" t="str">
        <x:v>middle_high</x:v>
      </x:c>
      <x:c r="C2142" s="60" t="n">
        <x:v>0.65</x:v>
      </x:c>
      <x:c r="D2142" s="60" t="n">
        <x:v>0.65</x:v>
      </x:c>
      <x:c r="E2142" s="62" t="b">
        <x:v>1</x:v>
      </x:c>
      <x:c r="F2142" s="62" t="b">
        <x:v>0</x:v>
      </x:c>
      <x:c r="G2142" s="85" t="n">
        <x:v>6369043.4005574025</x:v>
      </x:c>
      <x:c r="H2142" s="85" t="n">
        <x:v>21469496.18147694</x:v>
      </x:c>
      <x:c r="I2142" s="85" t="n">
        <x:v>81952648.16763116</x:v>
      </x:c>
      <x:c r="J2142" s="85" t="n">
        <x:v>65999999.999999985</x:v>
      </x:c>
      <x:c r="K2142" s="85" t="n">
        <x:v>587006.6140986311</x:v>
      </x:c>
      <x:c r="L2142" s="28" t="n">
        <x:v>43</x:v>
      </x:c>
      <x:c r="M2142" s="28" t="n">
        <x:v>38</x:v>
      </x:c>
      <x:c r="N2142" s="28" t="n">
        <x:v>1.862645149230957e-9</x:v>
      </x:c>
      <x:c r="O2142" s="28" t="n">
        <x:v>2.9802322387695312e-8</x:v>
      </x:c>
      <x:c r="P2142" s="28" t="n">
        <x:v>0</x:v>
      </x:c>
      <x:c r="Q2142" s="62" t="b">
        <x:v>1</x:v>
      </x:c>
      <x:c r="R2142" s="28" t="n">
        <x:v>0</x:v>
      </x:c>
      <x:c r="S2142" s="28" t="str">
        <x:v>4a97ff5d1cfcee37</x:v>
      </x:c>
    </x:row>
    <x:row r="2143" ht="21" customHeight="1">
      <x:c r="A2143" s="60" t="n">
        <x:v>0.68</x:v>
      </x:c>
      <x:c r="B2143" s="28" t="str">
        <x:v>middle_high</x:v>
      </x:c>
      <x:c r="C2143" s="60" t="n">
        <x:v>0.7</x:v>
      </x:c>
      <x:c r="D2143" s="60" t="n">
        <x:v>0.7</x:v>
      </x:c>
      <x:c r="E2143" s="62" t="b">
        <x:v>1</x:v>
      </x:c>
      <x:c r="F2143" s="62" t="b">
        <x:v>0</x:v>
      </x:c>
      <x:c r="G2143" s="85" t="n">
        <x:v>11366491.346974567</x:v>
      </x:c>
      <x:c r="H2143" s="85" t="n">
        <x:v>35776234.34062775</x:v>
      </x:c>
      <x:c r="I2143" s="85" t="n">
        <x:v>82024915.07609932</x:v>
      </x:c>
      <x:c r="J2143" s="85" t="n">
        <x:v>65999999.999999985</x:v>
      </x:c>
      <x:c r="K2143" s="85" t="n">
        <x:v>547664.2357041093</x:v>
      </x:c>
      <x:c r="L2143" s="28" t="n">
        <x:v>43</x:v>
      </x:c>
      <x:c r="M2143" s="28" t="n">
        <x:v>38</x:v>
      </x:c>
      <x:c r="N2143" s="28" t="n">
        <x:v>3.725290298461914e-9</x:v>
      </x:c>
      <x:c r="O2143" s="28" t="n">
        <x:v>1.4901161193847656e-8</x:v>
      </x:c>
      <x:c r="P2143" s="28" t="n">
        <x:v>0</x:v>
      </x:c>
      <x:c r="Q2143" s="62" t="b">
        <x:v>1</x:v>
      </x:c>
      <x:c r="R2143" s="28" t="n">
        <x:v>0</x:v>
      </x:c>
      <x:c r="S2143" s="28" t="str">
        <x:v>3d5222e1fdccbdb7</x:v>
      </x:c>
    </x:row>
    <x:row r="2144" ht="21" customHeight="1">
      <x:c r="A2144" s="60" t="n">
        <x:v>0.68</x:v>
      </x:c>
      <x:c r="B2144" s="28" t="str">
        <x:v>middle_high</x:v>
      </x:c>
      <x:c r="C2144" s="60" t="n">
        <x:v>0.75</x:v>
      </x:c>
      <x:c r="D2144" s="60" t="n">
        <x:v>0.75</x:v>
      </x:c>
      <x:c r="E2144" s="62" t="b">
        <x:v>1</x:v>
      </x:c>
      <x:c r="F2144" s="62" t="b">
        <x:v>0</x:v>
      </x:c>
      <x:c r="G2144" s="85" t="n">
        <x:v>15583108.461197365</x:v>
      </x:c>
      <x:c r="H2144" s="85" t="n">
        <x:v>47467814.68589379</x:v>
      </x:c>
      <x:c r="I2144" s="85" t="n">
        <x:v>83607922.7669041</x:v>
      </x:c>
      <x:c r="J2144" s="85" t="n">
        <x:v>65999999.999999985</x:v>
      </x:c>
      <x:c r="K2144" s="85" t="n">
        <x:v>508976.64676712384</x:v>
      </x:c>
      <x:c r="L2144" s="28" t="n">
        <x:v>44</x:v>
      </x:c>
      <x:c r="M2144" s="28" t="n">
        <x:v>40</x:v>
      </x:c>
      <x:c r="N2144" s="28" t="n">
        <x:v>1.862645149230957e-9</x:v>
      </x:c>
      <x:c r="O2144" s="28" t="n">
        <x:v>2.9802322387695312e-8</x:v>
      </x:c>
      <x:c r="P2144" s="28" t="n">
        <x:v>0</x:v>
      </x:c>
      <x:c r="Q2144" s="62" t="b">
        <x:v>1</x:v>
      </x:c>
      <x:c r="R2144" s="28" t="n">
        <x:v>0</x:v>
      </x:c>
      <x:c r="S2144" s="28" t="str">
        <x:v>ba1dbb36787e34be</x:v>
      </x:c>
    </x:row>
    <x:row r="2145" ht="21" customHeight="1">
      <x:c r="A2145" s="60" t="n">
        <x:v>0.68</x:v>
      </x:c>
      <x:c r="B2145" s="28" t="str">
        <x:v>middle_high</x:v>
      </x:c>
      <x:c r="C2145" s="60" t="n">
        <x:v>0.8</x:v>
      </x:c>
      <x:c r="D2145" s="60" t="n">
        <x:v>0.8</x:v>
      </x:c>
      <x:c r="E2145" s="62" t="b">
        <x:v>1</x:v>
      </x:c>
      <x:c r="F2145" s="62" t="b">
        <x:v>0</x:v>
      </x:c>
      <x:c r="G2145" s="85" t="n">
        <x:v>20662386.555499867</x:v>
      </x:c>
      <x:c r="H2145" s="85" t="n">
        <x:v>61393414.82124607</x:v>
      </x:c>
      <x:c r="I2145" s="85" t="n">
        <x:v>83667288.62570958</x:v>
      </x:c>
      <x:c r="J2145" s="85" t="n">
        <x:v>65999999.999999985</x:v>
      </x:c>
      <x:c r="K2145" s="85" t="n">
        <x:v>470289.05783013476</x:v>
      </x:c>
      <x:c r="L2145" s="28" t="n">
        <x:v>44</x:v>
      </x:c>
      <x:c r="M2145" s="28" t="n">
        <x:v>40</x:v>
      </x:c>
      <x:c r="N2145" s="28" t="n">
        <x:v>1.862645149230957e-9</x:v>
      </x:c>
      <x:c r="O2145" s="28" t="n">
        <x:v>1.4901161193847656e-8</x:v>
      </x:c>
      <x:c r="P2145" s="28" t="n">
        <x:v>0</x:v>
      </x:c>
      <x:c r="Q2145" s="62" t="b">
        <x:v>1</x:v>
      </x:c>
      <x:c r="R2145" s="28" t="n">
        <x:v>0</x:v>
      </x:c>
      <x:c r="S2145" s="28" t="str">
        <x:v>5382a6ccb18f152e</x:v>
      </x:c>
    </x:row>
    <x:row r="2146" ht="21" customHeight="1">
      <x:c r="A2146" s="60" t="n">
        <x:v>0.68</x:v>
      </x:c>
      <x:c r="B2146" s="28" t="str">
        <x:v>middle_high</x:v>
      </x:c>
      <x:c r="C2146" s="60" t="n">
        <x:v>0.85</x:v>
      </x:c>
      <x:c r="D2146" s="60" t="n">
        <x:v>0.85</x:v>
      </x:c>
      <x:c r="E2146" s="62" t="b">
        <x:v>1</x:v>
      </x:c>
      <x:c r="F2146" s="62" t="b">
        <x:v>0</x:v>
      </x:c>
      <x:c r="G2146" s="85" t="n">
        <x:v>28369648.971347056</x:v>
      </x:c>
      <x:c r="H2146" s="85" t="n">
        <x:v>73846648.5613875</x:v>
      </x:c>
      <x:c r="I2146" s="85" t="n">
        <x:v>83757857.33810411</x:v>
      </x:c>
      <x:c r="J2146" s="85" t="n">
        <x:v>65999999.999999985</x:v>
      </x:c>
      <x:c r="K2146" s="85" t="n">
        <x:v>431601.46889315214</x:v>
      </x:c>
      <x:c r="L2146" s="28" t="n">
        <x:v>44</x:v>
      </x:c>
      <x:c r="M2146" s="28" t="n">
        <x:v>40</x:v>
      </x:c>
      <x:c r="N2146" s="28" t="n">
        <x:v>1.862645149230957e-9</x:v>
      </x:c>
      <x:c r="O2146" s="28" t="n">
        <x:v>2.9802322387695312e-8</x:v>
      </x:c>
      <x:c r="P2146" s="28" t="n">
        <x:v>0</x:v>
      </x:c>
      <x:c r="Q2146" s="62" t="b">
        <x:v>1</x:v>
      </x:c>
      <x:c r="R2146" s="28" t="n">
        <x:v>0</x:v>
      </x:c>
      <x:c r="S2146" s="28" t="str">
        <x:v>5f36177ca275564e</x:v>
      </x:c>
    </x:row>
    <x:row r="2147" ht="21" customHeight="1">
      <x:c r="A2147" s="60" t="n">
        <x:v>0.68</x:v>
      </x:c>
      <x:c r="B2147" s="28" t="str">
        <x:v>middle_high</x:v>
      </x:c>
      <x:c r="C2147" s="60" t="n">
        <x:v>0.9</x:v>
      </x:c>
      <x:c r="D2147" s="60" t="n">
        <x:v>0.9</x:v>
      </x:c>
      <x:c r="E2147" s="62" t="b">
        <x:v>1</x:v>
      </x:c>
      <x:c r="F2147" s="62" t="b">
        <x:v>0</x:v>
      </x:c>
      <x:c r="G2147" s="85" t="n">
        <x:v>36156419.47936813</x:v>
      </x:c>
      <x:c r="H2147" s="85" t="n">
        <x:v>82902326.03611445</x:v>
      </x:c>
      <x:c r="I2147" s="85" t="n">
        <x:v>83848426.05049862</x:v>
      </x:c>
      <x:c r="J2147" s="85" t="n">
        <x:v>65999999.999999985</x:v>
      </x:c>
      <x:c r="K2147" s="85" t="n">
        <x:v>392913.8799561667</x:v>
      </x:c>
      <x:c r="L2147" s="28" t="n">
        <x:v>44</x:v>
      </x:c>
      <x:c r="M2147" s="28" t="n">
        <x:v>41</x:v>
      </x:c>
      <x:c r="N2147" s="28" t="n">
        <x:v>1.862645149230957e-9</x:v>
      </x:c>
      <x:c r="O2147" s="28" t="n">
        <x:v>2.9802322387695312e-8</x:v>
      </x:c>
      <x:c r="P2147" s="28" t="n">
        <x:v>0</x:v>
      </x:c>
      <x:c r="Q2147" s="62" t="b">
        <x:v>1</x:v>
      </x:c>
      <x:c r="R2147" s="28" t="n">
        <x:v>0</x:v>
      </x:c>
      <x:c r="S2147" s="28" t="str">
        <x:v>22bd92a4b347e15a</x:v>
      </x:c>
    </x:row>
    <x:row r="2148" ht="21" customHeight="1">
      <x:c r="A2148" s="60" t="n">
        <x:v>0.68</x:v>
      </x:c>
      <x:c r="B2148" s="28" t="str">
        <x:v>middle_high</x:v>
      </x:c>
      <x:c r="C2148" s="60" t="n">
        <x:v>0.95</x:v>
      </x:c>
      <x:c r="D2148" s="60" t="n">
        <x:v>0.9361238209331334</x:v>
      </x:c>
      <x:c r="E2148" s="62" t="b">
        <x:v>0</x:v>
      </x:c>
      <x:c r="F2148" s="62" t="b">
        <x:v>0</x:v>
      </x:c>
      <x:c r="G2148" s="85" t="n">
        <x:v>39045056.87678613</x:v>
      </x:c>
      <x:c r="H2148" s="85" t="n">
        <x:v>87899180.67787717</x:v>
      </x:c>
      <x:c r="I2148" s="85" t="n">
        <x:v>85588233.62088767</x:v>
      </x:c>
      <x:c r="J2148" s="85" t="n">
        <x:v>65999999.999999985</x:v>
      </x:c>
      <x:c r="K2148" s="85" t="n">
        <x:v>354226.29101917386</x:v>
      </x:c>
      <x:c r="L2148" s="28" t="n">
        <x:v>45</x:v>
      </x:c>
      <x:c r="M2148" s="28" t="n">
        <x:v>41</x:v>
      </x:c>
      <x:c r="N2148" s="28" t="n">
        <x:v>1.862645149230957e-9</x:v>
      </x:c>
      <x:c r="O2148" s="28" t="n">
        <x:v>1.4901161193847656e-8</x:v>
      </x:c>
      <x:c r="P2148" s="28" t="n">
        <x:v>0</x:v>
      </x:c>
      <x:c r="Q2148" s="62" t="b">
        <x:v>1</x:v>
      </x:c>
      <x:c r="R2148" s="28" t="n">
        <x:v>4162853.720059991</x:v>
      </x:c>
      <x:c r="S2148" s="28" t="str">
        <x:v>b818a5beec20f458</x:v>
      </x:c>
    </x:row>
    <x:row r="2149" ht="21" customHeight="1">
      <x:c r="A2149" s="60" t="n">
        <x:v>0.68</x:v>
      </x:c>
      <x:c r="B2149" s="28" t="str">
        <x:v>middle_high</x:v>
      </x:c>
      <x:c r="C2149" s="60" t="n">
        <x:v>1</x:v>
      </x:c>
      <x:c r="D2149" s="60" t="n">
        <x:v>0.9498342654879072</x:v>
      </x:c>
      <x:c r="E2149" s="62" t="b">
        <x:v>0</x:v>
      </x:c>
      <x:c r="F2149" s="62" t="b">
        <x:v>0</x:v>
      </x:c>
      <x:c r="G2149" s="85" t="n">
        <x:v>42298868.698760524</x:v>
      </x:c>
      <x:c r="H2149" s="85" t="n">
        <x:v>91386908.3771211</x:v>
      </x:c>
      <x:c r="I2149" s="85" t="n">
        <x:v>85626722.87649314</x:v>
      </x:c>
      <x:c r="J2149" s="85" t="n">
        <x:v>65999999.999999985</x:v>
      </x:c>
      <x:c r="K2149" s="85" t="n">
        <x:v>315538.70208219497</x:v>
      </x:c>
      <x:c r="L2149" s="28" t="n">
        <x:v>45</x:v>
      </x:c>
      <x:c r="M2149" s="28" t="n">
        <x:v>42</x:v>
      </x:c>
      <x:c r="N2149" s="28" t="n">
        <x:v>1.862645149230957e-9</x:v>
      </x:c>
      <x:c r="O2149" s="28" t="n">
        <x:v>1.4901161193847656e-8</x:v>
      </x:c>
      <x:c r="P2149" s="28" t="n">
        <x:v>0</x:v>
      </x:c>
      <x:c r="Q2149" s="62" t="b">
        <x:v>1</x:v>
      </x:c>
      <x:c r="R2149" s="28" t="n">
        <x:v>15049720.35362786</x:v>
      </x:c>
      <x:c r="S2149" s="28" t="str">
        <x:v>fb97fc90026f2c31</x:v>
      </x:c>
    </x:row>
    <x:row r="2150" ht="21" customHeight="1">
      <x:c r="A2150" s="60" t="n">
        <x:v>0.68</x:v>
      </x:c>
      <x:c r="B2150" s="28" t="str">
        <x:v>back_flat</x:v>
      </x:c>
      <x:c r="C2150" s="60" t="n">
        <x:v>0</x:v>
      </x:c>
      <x:c r="D2150" s="60" t="n">
        <x:v>0</x:v>
      </x:c>
      <x:c r="E2150" s="62" t="b">
        <x:v>1</x:v>
      </x:c>
      <x:c r="F2150" s="62" t="b">
        <x:v>1</x:v>
      </x:c>
      <x:c r="G2150" s="85" t="n">
        <x:v>0</x:v>
      </x:c>
      <x:c r="H2150" s="85" t="n">
        <x:v>0</x:v>
      </x:c>
      <x:c r="I2150" s="85" t="n">
        <x:v>0</x:v>
      </x:c>
      <x:c r="J2150" s="85" t="n">
        <x:v>0</x:v>
      </x:c>
      <x:c r="K2150" s="85" t="n">
        <x:v>35689016.57328769</x:v>
      </x:c>
      <x:c r="L2150" s="28" t="n">
        <x:v>0</x:v>
      </x:c>
      <x:c r="M2150" s="28" t="n">
        <x:v>0</x:v>
      </x:c>
      <x:c r="N2150" s="28" t="n">
        <x:v>3.725290298461914e-9</x:v>
      </x:c>
      <x:c r="O2150" s="28" t="n">
        <x:v>0</x:v>
      </x:c>
      <x:c r="P2150" s="28" t="n">
        <x:v>0</x:v>
      </x:c>
      <x:c r="Q2150" s="62" t="b">
        <x:v>1</x:v>
      </x:c>
      <x:c r="R2150" s="28" t="n">
        <x:v>0</x:v>
      </x:c>
      <x:c r="S2150" s="28" t="str">
        <x:v>58219c1124d3eef7</x:v>
      </x:c>
    </x:row>
    <x:row r="2151" ht="21" customHeight="1">
      <x:c r="A2151" s="60" t="n">
        <x:v>0.68</x:v>
      </x:c>
      <x:c r="B2151" s="28" t="str">
        <x:v>back_flat</x:v>
      </x:c>
      <x:c r="C2151" s="60" t="n">
        <x:v>0.05</x:v>
      </x:c>
      <x:c r="D2151" s="60" t="n">
        <x:v>0.05</x:v>
      </x:c>
      <x:c r="E2151" s="62" t="b">
        <x:v>1</x:v>
      </x:c>
      <x:c r="F2151" s="62" t="b">
        <x:v>1</x:v>
      </x:c>
      <x:c r="G2151" s="85" t="n">
        <x:v>0</x:v>
      </x:c>
      <x:c r="H2151" s="85" t="n">
        <x:v>0</x:v>
      </x:c>
      <x:c r="I2151" s="85" t="n">
        <x:v>0</x:v>
      </x:c>
      <x:c r="J2151" s="85" t="n">
        <x:v>0</x:v>
      </x:c>
      <x:c r="K2151" s="85" t="n">
        <x:v>23947980.545469686</x:v>
      </x:c>
      <x:c r="L2151" s="28" t="n">
        <x:v>0</x:v>
      </x:c>
      <x:c r="M2151" s="28" t="n">
        <x:v>0</x:v>
      </x:c>
      <x:c r="N2151" s="28" t="n">
        <x:v>3.725290298461914e-9</x:v>
      </x:c>
      <x:c r="O2151" s="28" t="n">
        <x:v>5.960464477539063e-8</x:v>
      </x:c>
      <x:c r="P2151" s="28" t="n">
        <x:v>0</x:v>
      </x:c>
      <x:c r="Q2151" s="62" t="b">
        <x:v>1</x:v>
      </x:c>
      <x:c r="R2151" s="28" t="n">
        <x:v>0</x:v>
      </x:c>
      <x:c r="S2151" s="28" t="str">
        <x:v>a2254046f821b99f</x:v>
      </x:c>
    </x:row>
    <x:row r="2152" ht="21" customHeight="1">
      <x:c r="A2152" s="60" t="n">
        <x:v>0.68</x:v>
      </x:c>
      <x:c r="B2152" s="28" t="str">
        <x:v>back_flat</x:v>
      </x:c>
      <x:c r="C2152" s="60" t="n">
        <x:v>0.1</x:v>
      </x:c>
      <x:c r="D2152" s="60" t="n">
        <x:v>0.1</x:v>
      </x:c>
      <x:c r="E2152" s="62" t="b">
        <x:v>1</x:v>
      </x:c>
      <x:c r="F2152" s="62" t="b">
        <x:v>1</x:v>
      </x:c>
      <x:c r="G2152" s="85" t="n">
        <x:v>0</x:v>
      </x:c>
      <x:c r="H2152" s="85" t="n">
        <x:v>0</x:v>
      </x:c>
      <x:c r="I2152" s="85" t="n">
        <x:v>0</x:v>
      </x:c>
      <x:c r="J2152" s="85" t="n">
        <x:v>0</x:v>
      </x:c>
      <x:c r="K2152" s="85" t="n">
        <x:v>12089712.979887322</x:v>
      </x:c>
      <x:c r="L2152" s="28" t="n">
        <x:v>0</x:v>
      </x:c>
      <x:c r="M2152" s="28" t="n">
        <x:v>0</x:v>
      </x:c>
      <x:c r="N2152" s="28" t="n">
        <x:v>1.862645149230957e-9</x:v>
      </x:c>
      <x:c r="O2152" s="28" t="n">
        <x:v>5.960464477539063e-8</x:v>
      </x:c>
      <x:c r="P2152" s="28" t="n">
        <x:v>0</x:v>
      </x:c>
      <x:c r="Q2152" s="62" t="b">
        <x:v>1</x:v>
      </x:c>
      <x:c r="R2152" s="28" t="n">
        <x:v>0</x:v>
      </x:c>
      <x:c r="S2152" s="28" t="str">
        <x:v>e2c7852f048e5921</x:v>
      </x:c>
    </x:row>
    <x:row r="2153" ht="21" customHeight="1">
      <x:c r="A2153" s="60" t="n">
        <x:v>0.68</x:v>
      </x:c>
      <x:c r="B2153" s="28" t="str">
        <x:v>back_flat</x:v>
      </x:c>
      <x:c r="C2153" s="60" t="n">
        <x:v>0.15</x:v>
      </x:c>
      <x:c r="D2153" s="60" t="n">
        <x:v>0.15</x:v>
      </x:c>
      <x:c r="E2153" s="62" t="b">
        <x:v>1</x:v>
      </x:c>
      <x:c r="F2153" s="62" t="b">
        <x:v>1</x:v>
      </x:c>
      <x:c r="G2153" s="85" t="n">
        <x:v>0</x:v>
      </x:c>
      <x:c r="H2153" s="85" t="n">
        <x:v>0</x:v>
      </x:c>
      <x:c r="I2153" s="85" t="n">
        <x:v>1826830.4269292771</x:v>
      </x:c>
      <x:c r="J2153" s="85" t="n">
        <x:v>0</x:v>
      </x:c>
      <x:c r="K2153" s="85" t="n">
        <x:v>2578425.04365233</x:v>
      </x:c>
      <x:c r="L2153" s="28" t="n">
        <x:v>0</x:v>
      </x:c>
      <x:c r="M2153" s="28" t="n">
        <x:v>0</x:v>
      </x:c>
      <x:c r="N2153" s="28" t="n">
        <x:v>3.725290298461914e-9</x:v>
      </x:c>
      <x:c r="O2153" s="28" t="n">
        <x:v>5.960464477539063e-8</x:v>
      </x:c>
      <x:c r="P2153" s="28" t="n">
        <x:v>0</x:v>
      </x:c>
      <x:c r="Q2153" s="62" t="b">
        <x:v>1</x:v>
      </x:c>
      <x:c r="R2153" s="28" t="n">
        <x:v>0</x:v>
      </x:c>
      <x:c r="S2153" s="28" t="str">
        <x:v>956558f43768533d</x:v>
      </x:c>
    </x:row>
    <x:row r="2154" ht="21" customHeight="1">
      <x:c r="A2154" s="60" t="n">
        <x:v>0.68</x:v>
      </x:c>
      <x:c r="B2154" s="28" t="str">
        <x:v>back_flat</x:v>
      </x:c>
      <x:c r="C2154" s="60" t="n">
        <x:v>0.2</x:v>
      </x:c>
      <x:c r="D2154" s="60" t="n">
        <x:v>0.2</x:v>
      </x:c>
      <x:c r="E2154" s="62" t="b">
        <x:v>1</x:v>
      </x:c>
      <x:c r="F2154" s="62" t="b">
        <x:v>1</x:v>
      </x:c>
      <x:c r="G2154" s="85" t="n">
        <x:v>0</x:v>
      </x:c>
      <x:c r="H2154" s="85" t="n">
        <x:v>0</x:v>
      </x:c>
      <x:c r="I2154" s="85" t="n">
        <x:v>9539222.06378074</x:v>
      </x:c>
      <x:c r="J2154" s="85" t="n">
        <x:v>6341080.834812399</x:v>
      </x:c>
      <x:c r="K2154" s="85" t="n">
        <x:v>2090703.7416628073</x:v>
      </x:c>
      <x:c r="L2154" s="28" t="n">
        <x:v>0</x:v>
      </x:c>
      <x:c r="M2154" s="28" t="n">
        <x:v>0</x:v>
      </x:c>
      <x:c r="N2154" s="28" t="n">
        <x:v>1.862645149230957e-9</x:v>
      </x:c>
      <x:c r="O2154" s="28" t="n">
        <x:v>2.9802322387695312e-8</x:v>
      </x:c>
      <x:c r="P2154" s="28" t="n">
        <x:v>0</x:v>
      </x:c>
      <x:c r="Q2154" s="62" t="b">
        <x:v>1</x:v>
      </x:c>
      <x:c r="R2154" s="28" t="n">
        <x:v>0</x:v>
      </x:c>
      <x:c r="S2154" s="28" t="str">
        <x:v>9b51efdb968aa5fa</x:v>
      </x:c>
    </x:row>
    <x:row r="2155" ht="21" customHeight="1">
      <x:c r="A2155" s="60" t="n">
        <x:v>0.68</x:v>
      </x:c>
      <x:c r="B2155" s="28" t="str">
        <x:v>back_flat</x:v>
      </x:c>
      <x:c r="C2155" s="60" t="n">
        <x:v>0.25</x:v>
      </x:c>
      <x:c r="D2155" s="60" t="n">
        <x:v>0.25</x:v>
      </x:c>
      <x:c r="E2155" s="62" t="b">
        <x:v>1</x:v>
      </x:c>
      <x:c r="F2155" s="62" t="b">
        <x:v>1</x:v>
      </x:c>
      <x:c r="G2155" s="85" t="n">
        <x:v>0</x:v>
      </x:c>
      <x:c r="H2155" s="85" t="n">
        <x:v>0</x:v>
      </x:c>
      <x:c r="I2155" s="85" t="n">
        <x:v>15484078.068977924</x:v>
      </x:c>
      <x:c r="J2155" s="85" t="n">
        <x:v>15426351.043515647</x:v>
      </x:c>
      <x:c r="K2155" s="85" t="n">
        <x:v>1727607.2221447993</x:v>
      </x:c>
      <x:c r="L2155" s="28" t="n">
        <x:v>0</x:v>
      </x:c>
      <x:c r="M2155" s="28" t="n">
        <x:v>0</x:v>
      </x:c>
      <x:c r="N2155" s="28" t="n">
        <x:v>3.725290298461914e-9</x:v>
      </x:c>
      <x:c r="O2155" s="28" t="n">
        <x:v>2.9802322387695312e-8</x:v>
      </x:c>
      <x:c r="P2155" s="28" t="n">
        <x:v>0</x:v>
      </x:c>
      <x:c r="Q2155" s="62" t="b">
        <x:v>1</x:v>
      </x:c>
      <x:c r="R2155" s="28" t="n">
        <x:v>0</x:v>
      </x:c>
      <x:c r="S2155" s="28" t="str">
        <x:v>3ce058737f191f43</x:v>
      </x:c>
    </x:row>
    <x:row r="2156" ht="21" customHeight="1">
      <x:c r="A2156" s="60" t="n">
        <x:v>0.68</x:v>
      </x:c>
      <x:c r="B2156" s="28" t="str">
        <x:v>back_flat</x:v>
      </x:c>
      <x:c r="C2156" s="60" t="n">
        <x:v>0.3</x:v>
      </x:c>
      <x:c r="D2156" s="60" t="n">
        <x:v>0.3</x:v>
      </x:c>
      <x:c r="E2156" s="62" t="b">
        <x:v>1</x:v>
      </x:c>
      <x:c r="F2156" s="62" t="b">
        <x:v>1</x:v>
      </x:c>
      <x:c r="G2156" s="85" t="n">
        <x:v>0</x:v>
      </x:c>
      <x:c r="H2156" s="85" t="n">
        <x:v>0</x:v>
      </x:c>
      <x:c r="I2156" s="85" t="n">
        <x:v>21573826.478252903</x:v>
      </x:c>
      <x:c r="J2156" s="85" t="n">
        <x:v>24511621.25221868</x:v>
      </x:c>
      <x:c r="K2156" s="85" t="n">
        <x:v>1485630.7758888286</x:v>
      </x:c>
      <x:c r="L2156" s="28" t="n">
        <x:v>0</x:v>
      </x:c>
      <x:c r="M2156" s="28" t="n">
        <x:v>0</x:v>
      </x:c>
      <x:c r="N2156" s="28" t="n">
        <x:v>1.862645149230957e-9</x:v>
      </x:c>
      <x:c r="O2156" s="28" t="n">
        <x:v>2.9802322387695312e-8</x:v>
      </x:c>
      <x:c r="P2156" s="28" t="n">
        <x:v>0</x:v>
      </x:c>
      <x:c r="Q2156" s="62" t="b">
        <x:v>1</x:v>
      </x:c>
      <x:c r="R2156" s="28" t="n">
        <x:v>0</x:v>
      </x:c>
      <x:c r="S2156" s="28" t="str">
        <x:v>9a68bc2256bacb39</x:v>
      </x:c>
    </x:row>
    <x:row r="2157" ht="21" customHeight="1">
      <x:c r="A2157" s="60" t="n">
        <x:v>0.68</x:v>
      </x:c>
      <x:c r="B2157" s="28" t="str">
        <x:v>back_flat</x:v>
      </x:c>
      <x:c r="C2157" s="60" t="n">
        <x:v>0.35</x:v>
      </x:c>
      <x:c r="D2157" s="60" t="n">
        <x:v>0.35</x:v>
      </x:c>
      <x:c r="E2157" s="62" t="b">
        <x:v>1</x:v>
      </x:c>
      <x:c r="F2157" s="62" t="b">
        <x:v>1</x:v>
      </x:c>
      <x:c r="G2157" s="85" t="n">
        <x:v>0</x:v>
      </x:c>
      <x:c r="H2157" s="85" t="n">
        <x:v>0</x:v>
      </x:c>
      <x:c r="I2157" s="85" t="n">
        <x:v>28461899.370145828</x:v>
      </x:c>
      <x:c r="J2157" s="85" t="n">
        <x:v>31931979.57954833</x:v>
      </x:c>
      <x:c r="K2157" s="85" t="n">
        <x:v>1243654.3296328662</x:v>
      </x:c>
      <x:c r="L2157" s="28" t="n">
        <x:v>3</x:v>
      </x:c>
      <x:c r="M2157" s="28" t="n">
        <x:v>0</x:v>
      </x:c>
      <x:c r="N2157" s="28" t="n">
        <x:v>3.725290298461914e-9</x:v>
      </x:c>
      <x:c r="O2157" s="28" t="n">
        <x:v>2.9802322387695312e-8</x:v>
      </x:c>
      <x:c r="P2157" s="28" t="n">
        <x:v>0</x:v>
      </x:c>
      <x:c r="Q2157" s="62" t="b">
        <x:v>1</x:v>
      </x:c>
      <x:c r="R2157" s="28" t="n">
        <x:v>0</x:v>
      </x:c>
      <x:c r="S2157" s="28" t="str">
        <x:v>754eaed1395c7042</x:v>
      </x:c>
    </x:row>
    <x:row r="2158" ht="21" customHeight="1">
      <x:c r="A2158" s="60" t="n">
        <x:v>0.68</x:v>
      </x:c>
      <x:c r="B2158" s="28" t="str">
        <x:v>back_flat</x:v>
      </x:c>
      <x:c r="C2158" s="60" t="n">
        <x:v>0.4</x:v>
      </x:c>
      <x:c r="D2158" s="60" t="n">
        <x:v>0.4</x:v>
      </x:c>
      <x:c r="E2158" s="62" t="b">
        <x:v>1</x:v>
      </x:c>
      <x:c r="F2158" s="62" t="b">
        <x:v>1</x:v>
      </x:c>
      <x:c r="G2158" s="85" t="n">
        <x:v>0</x:v>
      </x:c>
      <x:c r="H2158" s="85" t="n">
        <x:v>0</x:v>
      </x:c>
      <x:c r="I2158" s="85" t="n">
        <x:v>36217234.36274776</x:v>
      </x:c>
      <x:c r="J2158" s="85" t="n">
        <x:v>37107000.32722204</x:v>
      </x:c>
      <x:c r="K2158" s="85" t="n">
        <x:v>1096090.2224848298</x:v>
      </x:c>
      <x:c r="L2158" s="28" t="n">
        <x:v>8</x:v>
      </x:c>
      <x:c r="M2158" s="28" t="n">
        <x:v>0</x:v>
      </x:c>
      <x:c r="N2158" s="28" t="n">
        <x:v>1.862645149230957e-9</x:v>
      </x:c>
      <x:c r="O2158" s="28" t="n">
        <x:v>2.9802322387695312e-8</x:v>
      </x:c>
      <x:c r="P2158" s="28" t="n">
        <x:v>0</x:v>
      </x:c>
      <x:c r="Q2158" s="62" t="b">
        <x:v>1</x:v>
      </x:c>
      <x:c r="R2158" s="28" t="n">
        <x:v>0</x:v>
      </x:c>
      <x:c r="S2158" s="28" t="str">
        <x:v>c9d54146aa73253a</x:v>
      </x:c>
    </x:row>
    <x:row r="2159" ht="21" customHeight="1">
      <x:c r="A2159" s="60" t="n">
        <x:v>0.68</x:v>
      </x:c>
      <x:c r="B2159" s="28" t="str">
        <x:v>back_flat</x:v>
      </x:c>
      <x:c r="C2159" s="60" t="n">
        <x:v>0.45</x:v>
      </x:c>
      <x:c r="D2159" s="60" t="n">
        <x:v>0.45</x:v>
      </x:c>
      <x:c r="E2159" s="62" t="b">
        <x:v>1</x:v>
      </x:c>
      <x:c r="F2159" s="62" t="b">
        <x:v>1</x:v>
      </x:c>
      <x:c r="G2159" s="85" t="n">
        <x:v>0</x:v>
      </x:c>
      <x:c r="H2159" s="85" t="n">
        <x:v>0</x:v>
      </x:c>
      <x:c r="I2159" s="85" t="n">
        <x:v>43063561.62923346</x:v>
      </x:c>
      <x:c r="J2159" s="85" t="n">
        <x:v>44320483.48682882</x:v>
      </x:c>
      <x:c r="K2159" s="85" t="n">
        <x:v>958339.7473844632</x:v>
      </x:c>
      <x:c r="L2159" s="28" t="n">
        <x:v>12</x:v>
      </x:c>
      <x:c r="M2159" s="28" t="n">
        <x:v>0</x:v>
      </x:c>
      <x:c r="N2159" s="28" t="n">
        <x:v>3.725290298461914e-9</x:v>
      </x:c>
      <x:c r="O2159" s="28" t="n">
        <x:v>1.4901161193847656e-8</x:v>
      </x:c>
      <x:c r="P2159" s="28" t="n">
        <x:v>0</x:v>
      </x:c>
      <x:c r="Q2159" s="62" t="b">
        <x:v>1</x:v>
      </x:c>
      <x:c r="R2159" s="28" t="n">
        <x:v>0</x:v>
      </x:c>
      <x:c r="S2159" s="28" t="str">
        <x:v>cc6469c0ffa3a72c</x:v>
      </x:c>
    </x:row>
    <x:row r="2160" ht="21" customHeight="1">
      <x:c r="A2160" s="60" t="n">
        <x:v>0.68</x:v>
      </x:c>
      <x:c r="B2160" s="28" t="str">
        <x:v>back_flat</x:v>
      </x:c>
      <x:c r="C2160" s="60" t="n">
        <x:v>0.5</x:v>
      </x:c>
      <x:c r="D2160" s="60" t="n">
        <x:v>0.5</x:v>
      </x:c>
      <x:c r="E2160" s="62" t="b">
        <x:v>1</x:v>
      </x:c>
      <x:c r="F2160" s="62" t="b">
        <x:v>1</x:v>
      </x:c>
      <x:c r="G2160" s="85" t="n">
        <x:v>0</x:v>
      </x:c>
      <x:c r="H2160" s="85" t="n">
        <x:v>0</x:v>
      </x:c>
      <x:c r="I2160" s="85" t="n">
        <x:v>49140011.151700325</x:v>
      </x:c>
      <x:c r="J2160" s="85" t="n">
        <x:v>53427315.7544897</x:v>
      </x:c>
      <x:c r="K2160" s="85" t="n">
        <x:v>838211.3934383595</x:v>
      </x:c>
      <x:c r="L2160" s="28" t="n">
        <x:v>14</x:v>
      </x:c>
      <x:c r="M2160" s="28" t="n">
        <x:v>3</x:v>
      </x:c>
      <x:c r="N2160" s="28" t="n">
        <x:v>3.725290298461914e-9</x:v>
      </x:c>
      <x:c r="O2160" s="28" t="n">
        <x:v>2.9802322387695312e-8</x:v>
      </x:c>
      <x:c r="P2160" s="28" t="n">
        <x:v>0</x:v>
      </x:c>
      <x:c r="Q2160" s="62" t="b">
        <x:v>1</x:v>
      </x:c>
      <x:c r="R2160" s="28" t="n">
        <x:v>0</x:v>
      </x:c>
      <x:c r="S2160" s="28" t="str">
        <x:v>f9aed43fe5e893dd</x:v>
      </x:c>
    </x:row>
    <x:row r="2161" ht="21" customHeight="1">
      <x:c r="A2161" s="60" t="n">
        <x:v>0.68</x:v>
      </x:c>
      <x:c r="B2161" s="28" t="str">
        <x:v>back_flat</x:v>
      </x:c>
      <x:c r="C2161" s="60" t="n">
        <x:v>0.55</x:v>
      </x:c>
      <x:c r="D2161" s="60" t="n">
        <x:v>0.55</x:v>
      </x:c>
      <x:c r="E2161" s="62" t="b">
        <x:v>1</x:v>
      </x:c>
      <x:c r="F2161" s="62" t="b">
        <x:v>1</x:v>
      </x:c>
      <x:c r="G2161" s="85" t="n">
        <x:v>0</x:v>
      </x:c>
      <x:c r="H2161" s="85" t="n">
        <x:v>0</x:v>
      </x:c>
      <x:c r="I2161" s="85" t="n">
        <x:v>55038130.46709104</x:v>
      </x:c>
      <x:c r="J2161" s="85" t="n">
        <x:v>62748977.74974092</x:v>
      </x:c>
      <x:c r="K2161" s="85" t="n">
        <x:v>775358.982782188</x:v>
      </x:c>
      <x:c r="L2161" s="28" t="n">
        <x:v>19</x:v>
      </x:c>
      <x:c r="M2161" s="28" t="n">
        <x:v>7</x:v>
      </x:c>
      <x:c r="N2161" s="28" t="n">
        <x:v>1.862645149230957e-9</x:v>
      </x:c>
      <x:c r="O2161" s="28" t="n">
        <x:v>2.9802322387695312e-8</x:v>
      </x:c>
      <x:c r="P2161" s="28" t="n">
        <x:v>0</x:v>
      </x:c>
      <x:c r="Q2161" s="62" t="b">
        <x:v>1</x:v>
      </x:c>
      <x:c r="R2161" s="28" t="n">
        <x:v>0</x:v>
      </x:c>
      <x:c r="S2161" s="28" t="str">
        <x:v>738f230249d455ef</x:v>
      </x:c>
    </x:row>
    <x:row r="2162" ht="21" customHeight="1">
      <x:c r="A2162" s="60" t="n">
        <x:v>0.68</x:v>
      </x:c>
      <x:c r="B2162" s="28" t="str">
        <x:v>back_flat</x:v>
      </x:c>
      <x:c r="C2162" s="60" t="n">
        <x:v>0.6</x:v>
      </x:c>
      <x:c r="D2162" s="60" t="n">
        <x:v>0.6</x:v>
      </x:c>
      <x:c r="E2162" s="62" t="b">
        <x:v>1</x:v>
      </x:c>
      <x:c r="F2162" s="62" t="b">
        <x:v>0</x:v>
      </x:c>
      <x:c r="G2162" s="85" t="n">
        <x:v>1376721.4183895325</x:v>
      </x:c>
      <x:c r="H2162" s="85" t="n">
        <x:v>8963156.15122092</x:v>
      </x:c>
      <x:c r="I2162" s="85" t="n">
        <x:v>56446852.11414132</x:v>
      </x:c>
      <x:c r="J2162" s="85" t="n">
        <x:v>65999999.999999985</x:v>
      </x:c>
      <x:c r="K2162" s="85" t="n">
        <x:v>712506.5721260312</x:v>
      </x:c>
      <x:c r="L2162" s="28" t="n">
        <x:v>40</x:v>
      </x:c>
      <x:c r="M2162" s="28" t="n">
        <x:v>32</x:v>
      </x:c>
      <x:c r="N2162" s="28" t="n">
        <x:v>1.862645149230957e-9</x:v>
      </x:c>
      <x:c r="O2162" s="28" t="n">
        <x:v>2.9802322387695312e-8</x:v>
      </x:c>
      <x:c r="P2162" s="28" t="n">
        <x:v>0</x:v>
      </x:c>
      <x:c r="Q2162" s="62" t="b">
        <x:v>1</x:v>
      </x:c>
      <x:c r="R2162" s="28" t="n">
        <x:v>0</x:v>
      </x:c>
      <x:c r="S2162" s="28" t="str">
        <x:v>c540c1f3a9fff5f4</x:v>
      </x:c>
    </x:row>
    <x:row r="2163" ht="21" customHeight="1">
      <x:c r="A2163" s="60" t="n">
        <x:v>0.68</x:v>
      </x:c>
      <x:c r="B2163" s="28" t="str">
        <x:v>back_flat</x:v>
      </x:c>
      <x:c r="C2163" s="60" t="n">
        <x:v>0.65</x:v>
      </x:c>
      <x:c r="D2163" s="60" t="n">
        <x:v>0.65</x:v>
      </x:c>
      <x:c r="E2163" s="62" t="b">
        <x:v>1</x:v>
      </x:c>
      <x:c r="F2163" s="62" t="b">
        <x:v>0</x:v>
      </x:c>
      <x:c r="G2163" s="85" t="n">
        <x:v>3435156.2409067783</x:v>
      </x:c>
      <x:c r="H2163" s="85" t="n">
        <x:v>19541261.963102132</x:v>
      </x:c>
      <x:c r="I2163" s="85" t="n">
        <x:v>57794985.46106638</x:v>
      </x:c>
      <x:c r="J2163" s="85" t="n">
        <x:v>65999999.999999985</x:v>
      </x:c>
      <x:c r="K2163" s="85" t="n">
        <x:v>649654.161469864</x:v>
      </x:c>
      <x:c r="L2163" s="28" t="n">
        <x:v>41</x:v>
      </x:c>
      <x:c r="M2163" s="28" t="n">
        <x:v>34</x:v>
      </x:c>
      <x:c r="N2163" s="28" t="n">
        <x:v>1.862645149230957e-9</x:v>
      </x:c>
      <x:c r="O2163" s="28" t="n">
        <x:v>1.4901161193847656e-8</x:v>
      </x:c>
      <x:c r="P2163" s="28" t="n">
        <x:v>0</x:v>
      </x:c>
      <x:c r="Q2163" s="62" t="b">
        <x:v>1</x:v>
      </x:c>
      <x:c r="R2163" s="28" t="n">
        <x:v>0</x:v>
      </x:c>
      <x:c r="S2163" s="28" t="str">
        <x:v>879edddea875cd3a</x:v>
      </x:c>
    </x:row>
    <x:row r="2164" ht="21" customHeight="1">
      <x:c r="A2164" s="60" t="n">
        <x:v>0.68</x:v>
      </x:c>
      <x:c r="B2164" s="28" t="str">
        <x:v>back_flat</x:v>
      </x:c>
      <x:c r="C2164" s="60" t="n">
        <x:v>0.7</x:v>
      </x:c>
      <x:c r="D2164" s="60" t="n">
        <x:v>0.7</x:v>
      </x:c>
      <x:c r="E2164" s="62" t="b">
        <x:v>1</x:v>
      </x:c>
      <x:c r="F2164" s="62" t="b">
        <x:v>0</x:v>
      </x:c>
      <x:c r="G2164" s="85" t="n">
        <x:v>5631445.456391899</x:v>
      </x:c>
      <x:c r="H2164" s="85" t="n">
        <x:v>31540977.682551652</x:v>
      </x:c>
      <x:c r="I2164" s="85" t="n">
        <x:v>57920410.63920954</x:v>
      </x:c>
      <x:c r="J2164" s="85" t="n">
        <x:v>65999999.999999985</x:v>
      </x:c>
      <x:c r="K2164" s="85" t="n">
        <x:v>586801.750813703</x:v>
      </x:c>
      <x:c r="L2164" s="28" t="n">
        <x:v>41</x:v>
      </x:c>
      <x:c r="M2164" s="28" t="n">
        <x:v>34</x:v>
      </x:c>
      <x:c r="N2164" s="28" t="n">
        <x:v>1.862645149230957e-9</x:v>
      </x:c>
      <x:c r="O2164" s="28" t="n">
        <x:v>2.9802322387695312e-8</x:v>
      </x:c>
      <x:c r="P2164" s="28" t="n">
        <x:v>0</x:v>
      </x:c>
      <x:c r="Q2164" s="62" t="b">
        <x:v>1</x:v>
      </x:c>
      <x:c r="R2164" s="28" t="n">
        <x:v>0</x:v>
      </x:c>
      <x:c r="S2164" s="28" t="str">
        <x:v>27ed252b8174f5d6</x:v>
      </x:c>
    </x:row>
    <x:row r="2165" ht="21" customHeight="1">
      <x:c r="A2165" s="60" t="n">
        <x:v>0.68</x:v>
      </x:c>
      <x:c r="B2165" s="28" t="str">
        <x:v>back_flat</x:v>
      </x:c>
      <x:c r="C2165" s="60" t="n">
        <x:v>0.75</x:v>
      </x:c>
      <x:c r="D2165" s="60" t="n">
        <x:v>0.75</x:v>
      </x:c>
      <x:c r="E2165" s="62" t="b">
        <x:v>1</x:v>
      </x:c>
      <x:c r="F2165" s="62" t="b">
        <x:v>0</x:v>
      </x:c>
      <x:c r="G2165" s="85" t="n">
        <x:v>7957638.380670054</x:v>
      </x:c>
      <x:c r="H2165" s="85" t="n">
        <x:v>41745196.821866855</x:v>
      </x:c>
      <x:c r="I2165" s="85" t="n">
        <x:v>59150504.395429954</x:v>
      </x:c>
      <x:c r="J2165" s="85" t="n">
        <x:v>65999999.999999985</x:v>
      </x:c>
      <x:c r="K2165" s="85" t="n">
        <x:v>523949.3401575472</x:v>
      </x:c>
      <x:c r="L2165" s="28" t="n">
        <x:v>42</x:v>
      </x:c>
      <x:c r="M2165" s="28" t="n">
        <x:v>36</x:v>
      </x:c>
      <x:c r="N2165" s="28" t="n">
        <x:v>1.862645149230957e-9</x:v>
      </x:c>
      <x:c r="O2165" s="28" t="n">
        <x:v>2.9802322387695312e-8</x:v>
      </x:c>
      <x:c r="P2165" s="28" t="n">
        <x:v>0</x:v>
      </x:c>
      <x:c r="Q2165" s="62" t="b">
        <x:v>1</x:v>
      </x:c>
      <x:c r="R2165" s="28" t="n">
        <x:v>0</x:v>
      </x:c>
      <x:c r="S2165" s="28" t="str">
        <x:v>a58e4c4a09487344</x:v>
      </x:c>
    </x:row>
    <x:row r="2166" ht="21" customHeight="1">
      <x:c r="A2166" s="60" t="n">
        <x:v>0.68</x:v>
      </x:c>
      <x:c r="B2166" s="28" t="str">
        <x:v>back_flat</x:v>
      </x:c>
      <x:c r="C2166" s="60" t="n">
        <x:v>0.8</x:v>
      </x:c>
      <x:c r="D2166" s="60" t="n">
        <x:v>0.8</x:v>
      </x:c>
      <x:c r="E2166" s="62" t="b">
        <x:v>1</x:v>
      </x:c>
      <x:c r="F2166" s="62" t="b">
        <x:v>0</x:v>
      </x:c>
      <x:c r="G2166" s="85" t="n">
        <x:v>10448959.888754696</x:v>
      </x:c>
      <x:c r="H2166" s="85" t="n">
        <x:v>53346395.47415532</x:v>
      </x:c>
      <x:c r="I2166" s="85" t="n">
        <x:v>59227001.19275086</x:v>
      </x:c>
      <x:c r="J2166" s="85" t="n">
        <x:v>65999999.999999985</x:v>
      </x:c>
      <x:c r="K2166" s="85" t="n">
        <x:v>461096.92950136913</x:v>
      </x:c>
      <x:c r="L2166" s="28" t="n">
        <x:v>42</x:v>
      </x:c>
      <x:c r="M2166" s="28" t="n">
        <x:v>36</x:v>
      </x:c>
      <x:c r="N2166" s="28" t="n">
        <x:v>1.862645149230957e-9</x:v>
      </x:c>
      <x:c r="O2166" s="28" t="n">
        <x:v>1.4901161193847656e-8</x:v>
      </x:c>
      <x:c r="P2166" s="28" t="n">
        <x:v>0</x:v>
      </x:c>
      <x:c r="Q2166" s="62" t="b">
        <x:v>1</x:v>
      </x:c>
      <x:c r="R2166" s="28" t="n">
        <x:v>0</x:v>
      </x:c>
      <x:c r="S2166" s="28" t="str">
        <x:v>977b32d532cae130</x:v>
      </x:c>
    </x:row>
    <x:row r="2167" ht="21" customHeight="1">
      <x:c r="A2167" s="60" t="n">
        <x:v>0.68</x:v>
      </x:c>
      <x:c r="B2167" s="28" t="str">
        <x:v>back_flat</x:v>
      </x:c>
      <x:c r="C2167" s="60" t="n">
        <x:v>0.85</x:v>
      </x:c>
      <x:c r="D2167" s="60" t="n">
        <x:v>0.85</x:v>
      </x:c>
      <x:c r="E2167" s="62" t="b">
        <x:v>1</x:v>
      </x:c>
      <x:c r="F2167" s="62" t="b">
        <x:v>0</x:v>
      </x:c>
      <x:c r="G2167" s="85" t="n">
        <x:v>13863127.395024527</x:v>
      </x:c>
      <x:c r="H2167" s="85" t="n">
        <x:v>62666225.12317873</x:v>
      </x:c>
      <x:c r="I2167" s="85" t="n">
        <x:v>60516431.87847461</x:v>
      </x:c>
      <x:c r="J2167" s="85" t="n">
        <x:v>65999999.999999985</x:v>
      </x:c>
      <x:c r="K2167" s="85" t="n">
        <x:v>401865.6024232871</x:v>
      </x:c>
      <x:c r="L2167" s="28" t="n">
        <x:v>43</x:v>
      </x:c>
      <x:c r="M2167" s="28" t="n">
        <x:v>36</x:v>
      </x:c>
      <x:c r="N2167" s="28" t="n">
        <x:v>1.862645149230957e-9</x:v>
      </x:c>
      <x:c r="O2167" s="28" t="n">
        <x:v>2.9802322387695312e-8</x:v>
      </x:c>
      <x:c r="P2167" s="28" t="n">
        <x:v>0</x:v>
      </x:c>
      <x:c r="Q2167" s="62" t="b">
        <x:v>1</x:v>
      </x:c>
      <x:c r="R2167" s="28" t="n">
        <x:v>0</x:v>
      </x:c>
      <x:c r="S2167" s="28" t="str">
        <x:v>cdfe4c5816588c8b</x:v>
      </x:c>
    </x:row>
    <x:row r="2168" ht="21" customHeight="1">
      <x:c r="A2168" s="60" t="n">
        <x:v>0.68</x:v>
      </x:c>
      <x:c r="B2168" s="28" t="str">
        <x:v>back_flat</x:v>
      </x:c>
      <x:c r="C2168" s="60" t="n">
        <x:v>0.9</x:v>
      </x:c>
      <x:c r="D2168" s="60" t="n">
        <x:v>0.8948658400492392</x:v>
      </x:c>
      <x:c r="E2168" s="62" t="b">
        <x:v>0</x:v>
      </x:c>
      <x:c r="F2168" s="62" t="b">
        <x:v>0</x:v>
      </x:c>
      <x:c r="G2168" s="85" t="n">
        <x:v>18297692.656020846</x:v>
      </x:c>
      <x:c r="H2168" s="85" t="n">
        <x:v>69277808.17650315</x:v>
      </x:c>
      <x:c r="I2168" s="85" t="n">
        <x:v>60550486.693727344</x:v>
      </x:c>
      <x:c r="J2168" s="85" t="n">
        <x:v>65999999.999999985</x:v>
      </x:c>
      <x:c r="K2168" s="85" t="n">
        <x:v>382720.045515066</x:v>
      </x:c>
      <x:c r="L2168" s="28" t="n">
        <x:v>43</x:v>
      </x:c>
      <x:c r="M2168" s="28" t="n">
        <x:v>38</x:v>
      </x:c>
      <x:c r="N2168" s="28" t="n">
        <x:v>1.862645149230957e-9</x:v>
      </x:c>
      <x:c r="O2168" s="28" t="n">
        <x:v>2.9802322387695312e-8</x:v>
      </x:c>
      <x:c r="P2168" s="28" t="n">
        <x:v>0</x:v>
      </x:c>
      <x:c r="Q2168" s="62" t="b">
        <x:v>1</x:v>
      </x:c>
      <x:c r="R2168" s="28" t="n">
        <x:v>1540247.9852282405</x:v>
      </x:c>
      <x:c r="S2168" s="28" t="str">
        <x:v>c9a5848972f3be05</x:v>
      </x:c>
    </x:row>
    <x:row r="2169" ht="21" customHeight="1">
      <x:c r="A2169" s="60" t="n">
        <x:v>0.68</x:v>
      </x:c>
      <x:c r="B2169" s="28" t="str">
        <x:v>back_flat</x:v>
      </x:c>
      <x:c r="C2169" s="60" t="n">
        <x:v>0.95</x:v>
      </x:c>
      <x:c r="D2169" s="60" t="n">
        <x:v>0.9083032015334562</x:v>
      </x:c>
      <x:c r="E2169" s="62" t="b">
        <x:v>0</x:v>
      </x:c>
      <x:c r="F2169" s="62" t="b">
        <x:v>0</x:v>
      </x:c>
      <x:c r="G2169" s="85" t="n">
        <x:v>19310048.047319796</x:v>
      </x:c>
      <x:c r="H2169" s="85" t="n">
        <x:v>73110737.49296425</x:v>
      </x:c>
      <x:c r="I2169" s="85" t="n">
        <x:v>60584541.50898009</x:v>
      </x:c>
      <x:c r="J2169" s="85" t="n">
        <x:v>65999999.999999985</x:v>
      </x:c>
      <x:c r="K2169" s="85" t="n">
        <x:v>363574.48860684806</x:v>
      </x:c>
      <x:c r="L2169" s="28" t="n">
        <x:v>43</x:v>
      </x:c>
      <x:c r="M2169" s="28" t="n">
        <x:v>38</x:v>
      </x:c>
      <x:c r="N2169" s="28" t="n">
        <x:v>1.862645149230957e-9</x:v>
      </x:c>
      <x:c r="O2169" s="28" t="n">
        <x:v>2.9802322387695312e-8</x:v>
      </x:c>
      <x:c r="P2169" s="28" t="n">
        <x:v>0</x:v>
      </x:c>
      <x:c r="Q2169" s="62" t="b">
        <x:v>1</x:v>
      </x:c>
      <x:c r="R2169" s="28" t="n">
        <x:v>12509039.539963126</x:v>
      </x:c>
      <x:c r="S2169" s="28" t="str">
        <x:v>ac4d658563238ff8</x:v>
      </x:c>
    </x:row>
    <x:row r="2170" ht="21" customHeight="1">
      <x:c r="A2170" s="60" t="n">
        <x:v>0.68</x:v>
      </x:c>
      <x:c r="B2170" s="28" t="str">
        <x:v>back_flat</x:v>
      </x:c>
      <x:c r="C2170" s="60" t="n">
        <x:v>1</x:v>
      </x:c>
      <x:c r="D2170" s="60" t="n">
        <x:v>0.920601109498915</x:v>
      </x:c>
      <x:c r="E2170" s="62" t="b">
        <x:v>0</x:v>
      </x:c>
      <x:c r="F2170" s="62" t="b">
        <x:v>0</x:v>
      </x:c>
      <x:c r="G2170" s="85" t="n">
        <x:v>20485882.821598366</x:v>
      </x:c>
      <x:c r="H2170" s="85" t="n">
        <x:v>74437016.98207505</x:v>
      </x:c>
      <x:c r="I2170" s="85" t="n">
        <x:v>61756109.58904105</x:v>
      </x:c>
      <x:c r="J2170" s="85" t="n">
        <x:v>65999999.999999985</x:v>
      </x:c>
      <x:c r="K2170" s="85" t="n">
        <x:v>344428.9316986311</x:v>
      </x:c>
      <x:c r="L2170" s="28" t="n">
        <x:v>44</x:v>
      </x:c>
      <x:c r="M2170" s="28" t="n">
        <x:v>38</x:v>
      </x:c>
      <x:c r="N2170" s="28" t="n">
        <x:v>1.862645149230957e-9</x:v>
      </x:c>
      <x:c r="O2170" s="28" t="n">
        <x:v>2.9802322387695312e-8</x:v>
      </x:c>
      <x:c r="P2170" s="28" t="n">
        <x:v>0</x:v>
      </x:c>
      <x:c r="Q2170" s="62" t="b">
        <x:v>1</x:v>
      </x:c>
      <x:c r="R2170" s="28" t="n">
        <x:v>23819667.150325477</x:v>
      </x:c>
      <x:c r="S2170" s="28" t="str">
        <x:v>955c5024882cab79</x:v>
      </x:c>
    </x:row>
    <x:row r="2171" ht="21" customHeight="1">
      <x:c r="A2171" s="60" t="n">
        <x:v>0.68</x:v>
      </x:c>
      <x:c r="B2171" s="28" t="str">
        <x:v>back_low</x:v>
      </x:c>
      <x:c r="C2171" s="60" t="n">
        <x:v>0</x:v>
      </x:c>
      <x:c r="D2171" s="60" t="n">
        <x:v>0</x:v>
      </x:c>
      <x:c r="E2171" s="62" t="b">
        <x:v>1</x:v>
      </x:c>
      <x:c r="F2171" s="62" t="b">
        <x:v>1</x:v>
      </x:c>
      <x:c r="G2171" s="85" t="n">
        <x:v>0</x:v>
      </x:c>
      <x:c r="H2171" s="85" t="n">
        <x:v>0</x:v>
      </x:c>
      <x:c r="I2171" s="85" t="n">
        <x:v>0</x:v>
      </x:c>
      <x:c r="J2171" s="85" t="n">
        <x:v>0</x:v>
      </x:c>
      <x:c r="K2171" s="85" t="n">
        <x:v>31696190.039041106</x:v>
      </x:c>
      <x:c r="L2171" s="28" t="n">
        <x:v>0</x:v>
      </x:c>
      <x:c r="M2171" s="28" t="n">
        <x:v>0</x:v>
      </x:c>
      <x:c r="N2171" s="28" t="n">
        <x:v>1.862645149230957e-9</x:v>
      </x:c>
      <x:c r="O2171" s="28" t="n">
        <x:v>0</x:v>
      </x:c>
      <x:c r="P2171" s="28" t="n">
        <x:v>0</x:v>
      </x:c>
      <x:c r="Q2171" s="62" t="b">
        <x:v>1</x:v>
      </x:c>
      <x:c r="R2171" s="28" t="n">
        <x:v>0</x:v>
      </x:c>
      <x:c r="S2171" s="28" t="str">
        <x:v>0665606b451aec52</x:v>
      </x:c>
    </x:row>
    <x:row r="2172" ht="21" customHeight="1">
      <x:c r="A2172" s="60" t="n">
        <x:v>0.68</x:v>
      </x:c>
      <x:c r="B2172" s="28" t="str">
        <x:v>back_low</x:v>
      </x:c>
      <x:c r="C2172" s="60" t="n">
        <x:v>0.05</x:v>
      </x:c>
      <x:c r="D2172" s="60" t="n">
        <x:v>0.05</x:v>
      </x:c>
      <x:c r="E2172" s="62" t="b">
        <x:v>1</x:v>
      </x:c>
      <x:c r="F2172" s="62" t="b">
        <x:v>1</x:v>
      </x:c>
      <x:c r="G2172" s="85" t="n">
        <x:v>0</x:v>
      </x:c>
      <x:c r="H2172" s="85" t="n">
        <x:v>0</x:v>
      </x:c>
      <x:c r="I2172" s="85" t="n">
        <x:v>0</x:v>
      </x:c>
      <x:c r="J2172" s="85" t="n">
        <x:v>0</x:v>
      </x:c>
      <x:c r="K2172" s="85" t="n">
        <x:v>21076970.740429405</x:v>
      </x:c>
      <x:c r="L2172" s="28" t="n">
        <x:v>0</x:v>
      </x:c>
      <x:c r="M2172" s="28" t="n">
        <x:v>0</x:v>
      </x:c>
      <x:c r="N2172" s="28" t="n">
        <x:v>3.725290298461914e-9</x:v>
      </x:c>
      <x:c r="O2172" s="28" t="n">
        <x:v>5.960464477539063e-8</x:v>
      </x:c>
      <x:c r="P2172" s="28" t="n">
        <x:v>0</x:v>
      </x:c>
      <x:c r="Q2172" s="62" t="b">
        <x:v>1</x:v>
      </x:c>
      <x:c r="R2172" s="28" t="n">
        <x:v>0</x:v>
      </x:c>
      <x:c r="S2172" s="28" t="str">
        <x:v>37cf5634205eca89</x:v>
      </x:c>
    </x:row>
    <x:row r="2173" ht="21" customHeight="1">
      <x:c r="A2173" s="60" t="n">
        <x:v>0.68</x:v>
      </x:c>
      <x:c r="B2173" s="28" t="str">
        <x:v>back_low</x:v>
      </x:c>
      <x:c r="C2173" s="60" t="n">
        <x:v>0.1</x:v>
      </x:c>
      <x:c r="D2173" s="60" t="n">
        <x:v>0.1</x:v>
      </x:c>
      <x:c r="E2173" s="62" t="b">
        <x:v>1</x:v>
      </x:c>
      <x:c r="F2173" s="62" t="b">
        <x:v>1</x:v>
      </x:c>
      <x:c r="G2173" s="85" t="n">
        <x:v>0</x:v>
      </x:c>
      <x:c r="H2173" s="85" t="n">
        <x:v>0</x:v>
      </x:c>
      <x:c r="I2173" s="85" t="n">
        <x:v>0</x:v>
      </x:c>
      <x:c r="J2173" s="85" t="n">
        <x:v>0</x:v>
      </x:c>
      <x:c r="K2173" s="85" t="n">
        <x:v>10374999.768101687</x:v>
      </x:c>
      <x:c r="L2173" s="28" t="n">
        <x:v>0</x:v>
      </x:c>
      <x:c r="M2173" s="28" t="n">
        <x:v>0</x:v>
      </x:c>
      <x:c r="N2173" s="28" t="n">
        <x:v>1.862645149230957e-9</x:v>
      </x:c>
      <x:c r="O2173" s="28" t="n">
        <x:v>5.960464477539063e-8</x:v>
      </x:c>
      <x:c r="P2173" s="28" t="n">
        <x:v>0</x:v>
      </x:c>
      <x:c r="Q2173" s="62" t="b">
        <x:v>1</x:v>
      </x:c>
      <x:c r="R2173" s="28" t="n">
        <x:v>0</x:v>
      </x:c>
      <x:c r="S2173" s="28" t="str">
        <x:v>063b9c82a9edfef0</x:v>
      </x:c>
    </x:row>
    <x:row r="2174" ht="21" customHeight="1">
      <x:c r="A2174" s="60" t="n">
        <x:v>0.68</x:v>
      </x:c>
      <x:c r="B2174" s="28" t="str">
        <x:v>back_low</x:v>
      </x:c>
      <x:c r="C2174" s="60" t="n">
        <x:v>0.15</x:v>
      </x:c>
      <x:c r="D2174" s="60" t="n">
        <x:v>0.15</x:v>
      </x:c>
      <x:c r="E2174" s="62" t="b">
        <x:v>1</x:v>
      </x:c>
      <x:c r="F2174" s="62" t="b">
        <x:v>1</x:v>
      </x:c>
      <x:c r="G2174" s="85" t="n">
        <x:v>0</x:v>
      </x:c>
      <x:c r="H2174" s="85" t="n">
        <x:v>0</x:v>
      </x:c>
      <x:c r="I2174" s="85" t="n">
        <x:v>1231012.0469540763</x:v>
      </x:c>
      <x:c r="J2174" s="85" t="n">
        <x:v>0</x:v>
      </x:c>
      <x:c r="K2174" s="85" t="n">
        <x:v>1525438.2551249969</x:v>
      </x:c>
      <x:c r="L2174" s="28" t="n">
        <x:v>0</x:v>
      </x:c>
      <x:c r="M2174" s="28" t="n">
        <x:v>0</x:v>
      </x:c>
      <x:c r="N2174" s="28" t="n">
        <x:v>1.862645149230957e-9</x:v>
      </x:c>
      <x:c r="O2174" s="28" t="n">
        <x:v>5.960464477539063e-8</x:v>
      </x:c>
      <x:c r="P2174" s="28" t="n">
        <x:v>0</x:v>
      </x:c>
      <x:c r="Q2174" s="62" t="b">
        <x:v>1</x:v>
      </x:c>
      <x:c r="R2174" s="28" t="n">
        <x:v>0</x:v>
      </x:c>
      <x:c r="S2174" s="28" t="str">
        <x:v>40627e429b94c169</x:v>
      </x:c>
    </x:row>
    <x:row r="2175" ht="21" customHeight="1">
      <x:c r="A2175" s="60" t="n">
        <x:v>0.68</x:v>
      </x:c>
      <x:c r="B2175" s="28" t="str">
        <x:v>back_low</x:v>
      </x:c>
      <x:c r="C2175" s="60" t="n">
        <x:v>0.2</x:v>
      </x:c>
      <x:c r="D2175" s="60" t="n">
        <x:v>0.2</x:v>
      </x:c>
      <x:c r="E2175" s="62" t="b">
        <x:v>1</x:v>
      </x:c>
      <x:c r="F2175" s="62" t="b">
        <x:v>1</x:v>
      </x:c>
      <x:c r="G2175" s="85" t="n">
        <x:v>0</x:v>
      </x:c>
      <x:c r="H2175" s="85" t="n">
        <x:v>0</x:v>
      </x:c>
      <x:c r="I2175" s="85" t="n">
        <x:v>7214760.597784317</x:v>
      </x:c>
      <x:c r="J2175" s="85" t="n">
        <x:v>6341080.834812399</x:v>
      </x:c>
      <x:c r="K2175" s="85" t="n">
        <x:v>1265786.372565682</x:v>
      </x:c>
      <x:c r="L2175" s="28" t="n">
        <x:v>0</x:v>
      </x:c>
      <x:c r="M2175" s="28" t="n">
        <x:v>0</x:v>
      </x:c>
      <x:c r="N2175" s="28" t="n">
        <x:v>1.862645149230957e-9</x:v>
      </x:c>
      <x:c r="O2175" s="28" t="n">
        <x:v>2.9802322387695312e-8</x:v>
      </x:c>
      <x:c r="P2175" s="28" t="n">
        <x:v>0</x:v>
      </x:c>
      <x:c r="Q2175" s="62" t="b">
        <x:v>1</x:v>
      </x:c>
      <x:c r="R2175" s="28" t="n">
        <x:v>0</x:v>
      </x:c>
      <x:c r="S2175" s="28" t="str">
        <x:v>c3e62e546f641608</x:v>
      </x:c>
    </x:row>
    <x:row r="2176" ht="21" customHeight="1">
      <x:c r="A2176" s="60" t="n">
        <x:v>0.68</x:v>
      </x:c>
      <x:c r="B2176" s="28" t="str">
        <x:v>back_low</x:v>
      </x:c>
      <x:c r="C2176" s="60" t="n">
        <x:v>0.25</x:v>
      </x:c>
      <x:c r="D2176" s="60" t="n">
        <x:v>0.25</x:v>
      </x:c>
      <x:c r="E2176" s="62" t="b">
        <x:v>1</x:v>
      </x:c>
      <x:c r="F2176" s="62" t="b">
        <x:v>1</x:v>
      </x:c>
      <x:c r="G2176" s="85" t="n">
        <x:v>0</x:v>
      </x:c>
      <x:c r="H2176" s="85" t="n">
        <x:v>0</x:v>
      </x:c>
      <x:c r="I2176" s="85" t="n">
        <x:v>11125184.040399516</x:v>
      </x:c>
      <x:c r="J2176" s="85" t="n">
        <x:v>15426351.043515647</x:v>
      </x:c>
      <x:c r="K2176" s="85" t="n">
        <x:v>1054671.0088577934</x:v>
      </x:c>
      <x:c r="L2176" s="28" t="n">
        <x:v>0</x:v>
      </x:c>
      <x:c r="M2176" s="28" t="n">
        <x:v>0</x:v>
      </x:c>
      <x:c r="N2176" s="28" t="n">
        <x:v>9.313225746154785e-10</x:v>
      </x:c>
      <x:c r="O2176" s="28" t="n">
        <x:v>2.9802322387695312e-8</x:v>
      </x:c>
      <x:c r="P2176" s="28" t="n">
        <x:v>0</x:v>
      </x:c>
      <x:c r="Q2176" s="62" t="b">
        <x:v>1</x:v>
      </x:c>
      <x:c r="R2176" s="28" t="n">
        <x:v>0</x:v>
      </x:c>
      <x:c r="S2176" s="28" t="str">
        <x:v>d9f04f5f6cab0813</x:v>
      </x:c>
    </x:row>
    <x:row r="2177" ht="21" customHeight="1">
      <x:c r="A2177" s="60" t="n">
        <x:v>0.68</x:v>
      </x:c>
      <x:c r="B2177" s="28" t="str">
        <x:v>back_low</x:v>
      </x:c>
      <x:c r="C2177" s="60" t="n">
        <x:v>0.3</x:v>
      </x:c>
      <x:c r="D2177" s="60" t="n">
        <x:v>0.3</x:v>
      </x:c>
      <x:c r="E2177" s="62" t="b">
        <x:v>1</x:v>
      </x:c>
      <x:c r="F2177" s="62" t="b">
        <x:v>1</x:v>
      </x:c>
      <x:c r="G2177" s="85" t="n">
        <x:v>0</x:v>
      </x:c>
      <x:c r="H2177" s="85" t="n">
        <x:v>0</x:v>
      </x:c>
      <x:c r="I2177" s="85" t="n">
        <x:v>15082488.585497508</x:v>
      </x:c>
      <x:c r="J2177" s="85" t="n">
        <x:v>24511621.25221868</x:v>
      </x:c>
      <x:c r="K2177" s="85" t="n">
        <x:v>915422.2669929418</x:v>
      </x:c>
      <x:c r="L2177" s="28" t="n">
        <x:v>0</x:v>
      </x:c>
      <x:c r="M2177" s="28" t="n">
        <x:v>0</x:v>
      </x:c>
      <x:c r="N2177" s="28" t="n">
        <x:v>1.862645149230957e-9</x:v>
      </x:c>
      <x:c r="O2177" s="28" t="n">
        <x:v>2.9802322387695312e-8</x:v>
      </x:c>
      <x:c r="P2177" s="28" t="n">
        <x:v>0</x:v>
      </x:c>
      <x:c r="Q2177" s="62" t="b">
        <x:v>1</x:v>
      </x:c>
      <x:c r="R2177" s="28" t="n">
        <x:v>0</x:v>
      </x:c>
      <x:c r="S2177" s="28" t="str">
        <x:v>c5a63f086fe4e661</x:v>
      </x:c>
    </x:row>
    <x:row r="2178" ht="21" customHeight="1">
      <x:c r="A2178" s="60" t="n">
        <x:v>0.68</x:v>
      </x:c>
      <x:c r="B2178" s="28" t="str">
        <x:v>back_low</x:v>
      </x:c>
      <x:c r="C2178" s="60" t="n">
        <x:v>0.35</x:v>
      </x:c>
      <x:c r="D2178" s="60" t="n">
        <x:v>0.35</x:v>
      </x:c>
      <x:c r="E2178" s="62" t="b">
        <x:v>1</x:v>
      </x:c>
      <x:c r="F2178" s="62" t="b">
        <x:v>1</x:v>
      </x:c>
      <x:c r="G2178" s="85" t="n">
        <x:v>0</x:v>
      </x:c>
      <x:c r="H2178" s="85" t="n">
        <x:v>0</x:v>
      </x:c>
      <x:c r="I2178" s="85" t="n">
        <x:v>19918860.259299666</x:v>
      </x:c>
      <x:c r="J2178" s="85" t="n">
        <x:v>32234379.87061563</x:v>
      </x:c>
      <x:c r="K2178" s="85" t="n">
        <x:v>780223.8135465452</x:v>
      </x:c>
      <x:c r="L2178" s="28" t="n">
        <x:v>3</x:v>
      </x:c>
      <x:c r="M2178" s="28" t="n">
        <x:v>0</x:v>
      </x:c>
      <x:c r="N2178" s="28" t="n">
        <x:v>1.862645149230957e-9</x:v>
      </x:c>
      <x:c r="O2178" s="28" t="n">
        <x:v>2.9802322387695312e-8</x:v>
      </x:c>
      <x:c r="P2178" s="28" t="n">
        <x:v>0</x:v>
      </x:c>
      <x:c r="Q2178" s="62" t="b">
        <x:v>1</x:v>
      </x:c>
      <x:c r="R2178" s="28" t="n">
        <x:v>0</x:v>
      </x:c>
      <x:c r="S2178" s="28" t="str">
        <x:v>2ef4b33cad6d213c</x:v>
      </x:c>
    </x:row>
    <x:row r="2179" ht="21" customHeight="1">
      <x:c r="A2179" s="60" t="n">
        <x:v>0.68</x:v>
      </x:c>
      <x:c r="B2179" s="28" t="str">
        <x:v>back_low</x:v>
      </x:c>
      <x:c r="C2179" s="60" t="n">
        <x:v>0.4</x:v>
      </x:c>
      <x:c r="D2179" s="60" t="n">
        <x:v>0.4</x:v>
      </x:c>
      <x:c r="E2179" s="62" t="b">
        <x:v>1</x:v>
      </x:c>
      <x:c r="F2179" s="62" t="b">
        <x:v>1</x:v>
      </x:c>
      <x:c r="G2179" s="85" t="n">
        <x:v>0</x:v>
      </x:c>
      <x:c r="H2179" s="85" t="n">
        <x:v>0</x:v>
      </x:c>
      <x:c r="I2179" s="85" t="n">
        <x:v>26009411.4694704</x:v>
      </x:c>
      <x:c r="J2179" s="85" t="n">
        <x:v>37913892.02993468</x:v>
      </x:c>
      <x:c r="K2179" s="85" t="n">
        <x:v>677638.6173451014</x:v>
      </x:c>
      <x:c r="L2179" s="28" t="n">
        <x:v>9</x:v>
      </x:c>
      <x:c r="M2179" s="28" t="n">
        <x:v>0</x:v>
      </x:c>
      <x:c r="N2179" s="28" t="n">
        <x:v>3.725290298461914e-9</x:v>
      </x:c>
      <x:c r="O2179" s="28" t="n">
        <x:v>2.9802322387695312e-8</x:v>
      </x:c>
      <x:c r="P2179" s="28" t="n">
        <x:v>0</x:v>
      </x:c>
      <x:c r="Q2179" s="62" t="b">
        <x:v>1</x:v>
      </x:c>
      <x:c r="R2179" s="28" t="n">
        <x:v>0</x:v>
      </x:c>
      <x:c r="S2179" s="28" t="str">
        <x:v>480f7ea7017996d5</x:v>
      </x:c>
    </x:row>
    <x:row r="2180" ht="21" customHeight="1">
      <x:c r="A2180" s="60" t="n">
        <x:v>0.68</x:v>
      </x:c>
      <x:c r="B2180" s="28" t="str">
        <x:v>back_low</x:v>
      </x:c>
      <x:c r="C2180" s="60" t="n">
        <x:v>0.45</x:v>
      </x:c>
      <x:c r="D2180" s="60" t="n">
        <x:v>0.45</x:v>
      </x:c>
      <x:c r="E2180" s="62" t="b">
        <x:v>1</x:v>
      </x:c>
      <x:c r="F2180" s="62" t="b">
        <x:v>1</x:v>
      </x:c>
      <x:c r="G2180" s="85" t="n">
        <x:v>0</x:v>
      </x:c>
      <x:c r="H2180" s="85" t="n">
        <x:v>0</x:v>
      </x:c>
      <x:c r="I2180" s="85" t="n">
        <x:v>30808573.837678157</x:v>
      </x:c>
      <x:c r="J2180" s="85" t="n">
        <x:v>45642258.615657896</x:v>
      </x:c>
      <x:c r="K2180" s="85" t="n">
        <x:v>600842.5374926849</x:v>
      </x:c>
      <x:c r="L2180" s="28" t="n">
        <x:v>12</x:v>
      </x:c>
      <x:c r="M2180" s="28" t="n">
        <x:v>0</x:v>
      </x:c>
      <x:c r="N2180" s="28" t="n">
        <x:v>3.725290298461914e-9</x:v>
      </x:c>
      <x:c r="O2180" s="28" t="n">
        <x:v>1.4901161193847656e-8</x:v>
      </x:c>
      <x:c r="P2180" s="28" t="n">
        <x:v>0</x:v>
      </x:c>
      <x:c r="Q2180" s="62" t="b">
        <x:v>1</x:v>
      </x:c>
      <x:c r="R2180" s="28" t="n">
        <x:v>0</x:v>
      </x:c>
      <x:c r="S2180" s="28" t="str">
        <x:v>3e262f3515296095</x:v>
      </x:c>
    </x:row>
    <x:row r="2181" ht="21" customHeight="1">
      <x:c r="A2181" s="60" t="n">
        <x:v>0.68</x:v>
      </x:c>
      <x:c r="B2181" s="28" t="str">
        <x:v>back_low</x:v>
      </x:c>
      <x:c r="C2181" s="60" t="n">
        <x:v>0.5</x:v>
      </x:c>
      <x:c r="D2181" s="60" t="n">
        <x:v>0.5</x:v>
      </x:c>
      <x:c r="E2181" s="62" t="b">
        <x:v>1</x:v>
      </x:c>
      <x:c r="F2181" s="62" t="b">
        <x:v>1</x:v>
      </x:c>
      <x:c r="G2181" s="85" t="n">
        <x:v>0</x:v>
      </x:c>
      <x:c r="H2181" s="85" t="n">
        <x:v>0</x:v>
      </x:c>
      <x:c r="I2181" s="85" t="n">
        <x:v>34896758.4163204</x:v>
      </x:c>
      <x:c r="J2181" s="85" t="n">
        <x:v>54422324.76570181</x:v>
      </x:c>
      <x:c r="K2181" s="85" t="n">
        <x:v>524046.45764027745</x:v>
      </x:c>
      <x:c r="L2181" s="28" t="n">
        <x:v>14</x:v>
      </x:c>
      <x:c r="M2181" s="28" t="n">
        <x:v>0</x:v>
      </x:c>
      <x:c r="N2181" s="28" t="n">
        <x:v>3.725290298461914e-9</x:v>
      </x:c>
      <x:c r="O2181" s="28" t="n">
        <x:v>2.9802322387695312e-8</x:v>
      </x:c>
      <x:c r="P2181" s="28" t="n">
        <x:v>0</x:v>
      </x:c>
      <x:c r="Q2181" s="62" t="b">
        <x:v>1</x:v>
      </x:c>
      <x:c r="R2181" s="28" t="n">
        <x:v>0</x:v>
      </x:c>
      <x:c r="S2181" s="28" t="str">
        <x:v>fc59bf5ff8e7eea1</x:v>
      </x:c>
    </x:row>
    <x:row r="2182" ht="21" customHeight="1">
      <x:c r="A2182" s="60" t="n">
        <x:v>0.68</x:v>
      </x:c>
      <x:c r="B2182" s="28" t="str">
        <x:v>back_low</x:v>
      </x:c>
      <x:c r="C2182" s="60" t="n">
        <x:v>0.55</x:v>
      </x:c>
      <x:c r="D2182" s="60" t="n">
        <x:v>0.55</x:v>
      </x:c>
      <x:c r="E2182" s="62" t="b">
        <x:v>1</x:v>
      </x:c>
      <x:c r="F2182" s="62" t="b">
        <x:v>1</x:v>
      </x:c>
      <x:c r="G2182" s="85" t="n">
        <x:v>0</x:v>
      </x:c>
      <x:c r="H2182" s="85" t="n">
        <x:v>0</x:v>
      </x:c>
      <x:c r="I2182" s="85" t="n">
        <x:v>38891494.26507967</x:v>
      </x:c>
      <x:c r="J2182" s="85" t="n">
        <x:v>63240354.77079891</x:v>
      </x:c>
      <x:c r="K2182" s="85" t="n">
        <x:v>475290.28563150717</x:v>
      </x:c>
      <x:c r="L2182" s="28" t="n">
        <x:v>20</x:v>
      </x:c>
      <x:c r="M2182" s="28" t="n">
        <x:v>0</x:v>
      </x:c>
      <x:c r="N2182" s="28" t="n">
        <x:v>1.862645149230957e-9</x:v>
      </x:c>
      <x:c r="O2182" s="28" t="n">
        <x:v>2.9802322387695312e-8</x:v>
      </x:c>
      <x:c r="P2182" s="28" t="n">
        <x:v>0</x:v>
      </x:c>
      <x:c r="Q2182" s="62" t="b">
        <x:v>1</x:v>
      </x:c>
      <x:c r="R2182" s="28" t="n">
        <x:v>0</x:v>
      </x:c>
      <x:c r="S2182" s="28" t="str">
        <x:v>0891f155441098a7</x:v>
      </x:c>
    </x:row>
    <x:row r="2183" ht="21" customHeight="1">
      <x:c r="A2183" s="60" t="n">
        <x:v>0.68</x:v>
      </x:c>
      <x:c r="B2183" s="28" t="str">
        <x:v>back_low</x:v>
      </x:c>
      <x:c r="C2183" s="60" t="n">
        <x:v>0.6</x:v>
      </x:c>
      <x:c r="D2183" s="60" t="n">
        <x:v>0.6</x:v>
      </x:c>
      <x:c r="E2183" s="62" t="b">
        <x:v>1</x:v>
      </x:c>
      <x:c r="F2183" s="62" t="b">
        <x:v>0</x:v>
      </x:c>
      <x:c r="G2183" s="85" t="n">
        <x:v>521264.07332261436</x:v>
      </x:c>
      <x:c r="H2183" s="85" t="n">
        <x:v>7839728.881214665</x:v>
      </x:c>
      <x:c r="I2183" s="85" t="n">
        <x:v>39692717.54614137</x:v>
      </x:c>
      <x:c r="J2183" s="85" t="n">
        <x:v>65999999.999999985</x:v>
      </x:c>
      <x:c r="K2183" s="85" t="n">
        <x:v>440123.4479616412</x:v>
      </x:c>
      <x:c r="L2183" s="28" t="n">
        <x:v>40</x:v>
      </x:c>
      <x:c r="M2183" s="28" t="n">
        <x:v>30</x:v>
      </x:c>
      <x:c r="N2183" s="28" t="n">
        <x:v>1.862645149230957e-9</x:v>
      </x:c>
      <x:c r="O2183" s="28" t="n">
        <x:v>2.9802322387695312e-8</x:v>
      </x:c>
      <x:c r="P2183" s="28" t="n">
        <x:v>0</x:v>
      </x:c>
      <x:c r="Q2183" s="62" t="b">
        <x:v>1</x:v>
      </x:c>
      <x:c r="R2183" s="28" t="n">
        <x:v>0</x:v>
      </x:c>
      <x:c r="S2183" s="28" t="str">
        <x:v>594abb91a4581f03</x:v>
      </x:c>
    </x:row>
    <x:row r="2184" ht="21" customHeight="1">
      <x:c r="A2184" s="60" t="n">
        <x:v>0.68</x:v>
      </x:c>
      <x:c r="B2184" s="28" t="str">
        <x:v>back_low</x:v>
      </x:c>
      <x:c r="C2184" s="60" t="n">
        <x:v>0.65</x:v>
      </x:c>
      <x:c r="D2184" s="60" t="n">
        <x:v>0.65</x:v>
      </x:c>
      <x:c r="E2184" s="62" t="b">
        <x:v>1</x:v>
      </x:c>
      <x:c r="F2184" s="62" t="b">
        <x:v>0</x:v>
      </x:c>
      <x:c r="G2184" s="85" t="n">
        <x:v>1160686.1911103828</x:v>
      </x:c>
      <x:c r="H2184" s="85" t="n">
        <x:v>17488325.217158314</x:v>
      </x:c>
      <x:c r="I2184" s="85" t="n">
        <x:v>40705686.562891945</x:v>
      </x:c>
      <x:c r="J2184" s="85" t="n">
        <x:v>65999999.999999985</x:v>
      </x:c>
      <x:c r="K2184" s="85" t="n">
        <x:v>404956.6102917815</x:v>
      </x:c>
      <x:c r="L2184" s="28" t="n">
        <x:v>41</x:v>
      </x:c>
      <x:c r="M2184" s="28" t="n">
        <x:v>31</x:v>
      </x:c>
      <x:c r="N2184" s="28" t="n">
        <x:v>1.862645149230957e-9</x:v>
      </x:c>
      <x:c r="O2184" s="28" t="n">
        <x:v>1.4901161193847656e-8</x:v>
      </x:c>
      <x:c r="P2184" s="28" t="n">
        <x:v>0</x:v>
      </x:c>
      <x:c r="Q2184" s="62" t="b">
        <x:v>1</x:v>
      </x:c>
      <x:c r="R2184" s="28" t="n">
        <x:v>0</x:v>
      </x:c>
      <x:c r="S2184" s="28" t="str">
        <x:v>bf40fc1b132803cc</x:v>
      </x:c>
    </x:row>
    <x:row r="2185" ht="21" customHeight="1">
      <x:c r="A2185" s="60" t="n">
        <x:v>0.68</x:v>
      </x:c>
      <x:c r="B2185" s="28" t="str">
        <x:v>back_low</x:v>
      </x:c>
      <x:c r="C2185" s="60" t="n">
        <x:v>0.7</x:v>
      </x:c>
      <x:c r="D2185" s="60" t="n">
        <x:v>0.7</x:v>
      </x:c>
      <x:c r="E2185" s="62" t="b">
        <x:v>1</x:v>
      </x:c>
      <x:c r="F2185" s="62" t="b">
        <x:v>0</x:v>
      </x:c>
      <x:c r="G2185" s="85" t="n">
        <x:v>2103505.0055392403</x:v>
      </x:c>
      <x:c r="H2185" s="85" t="n">
        <x:v>28127252.766276713</x:v>
      </x:c>
      <x:c r="I2185" s="85" t="n">
        <x:v>40733226.79291419</x:v>
      </x:c>
      <x:c r="J2185" s="85" t="n">
        <x:v>65999999.999999985</x:v>
      </x:c>
      <x:c r="K2185" s="85" t="n">
        <x:v>369789.7726219206</x:v>
      </x:c>
      <x:c r="L2185" s="28" t="n">
        <x:v>41</x:v>
      </x:c>
      <x:c r="M2185" s="28" t="n">
        <x:v>32</x:v>
      </x:c>
      <x:c r="N2185" s="28" t="n">
        <x:v>1.862645149230957e-9</x:v>
      </x:c>
      <x:c r="O2185" s="28" t="n">
        <x:v>2.9802322387695312e-8</x:v>
      </x:c>
      <x:c r="P2185" s="28" t="n">
        <x:v>0</x:v>
      </x:c>
      <x:c r="Q2185" s="62" t="b">
        <x:v>1</x:v>
      </x:c>
      <x:c r="R2185" s="28" t="n">
        <x:v>0</x:v>
      </x:c>
      <x:c r="S2185" s="28" t="str">
        <x:v>076352e696f5bc91</x:v>
      </x:c>
    </x:row>
    <x:row r="2186" ht="21" customHeight="1">
      <x:c r="A2186" s="60" t="n">
        <x:v>0.68</x:v>
      </x:c>
      <x:c r="B2186" s="28" t="str">
        <x:v>back_low</x:v>
      </x:c>
      <x:c r="C2186" s="60" t="n">
        <x:v>0.75</x:v>
      </x:c>
      <x:c r="D2186" s="60" t="n">
        <x:v>0.75</x:v>
      </x:c>
      <x:c r="E2186" s="62" t="b">
        <x:v>1</x:v>
      </x:c>
      <x:c r="F2186" s="62" t="b">
        <x:v>0</x:v>
      </x:c>
      <x:c r="G2186" s="85" t="n">
        <x:v>2860001.845476516</x:v>
      </x:c>
      <x:c r="H2186" s="85" t="n">
        <x:v>37632324.666212484</x:v>
      </x:c>
      <x:c r="I2186" s="85" t="n">
        <x:v>41617972.60273972</x:v>
      </x:c>
      <x:c r="J2186" s="85" t="n">
        <x:v>65999999.999999985</x:v>
      </x:c>
      <x:c r="K2186" s="85" t="n">
        <x:v>334622.9349520617</x:v>
      </x:c>
      <x:c r="L2186" s="28" t="n">
        <x:v>42</x:v>
      </x:c>
      <x:c r="M2186" s="28" t="n">
        <x:v>32</x:v>
      </x:c>
      <x:c r="N2186" s="28" t="n">
        <x:v>1.862645149230957e-9</x:v>
      </x:c>
      <x:c r="O2186" s="28" t="n">
        <x:v>2.9802322387695312e-8</x:v>
      </x:c>
      <x:c r="P2186" s="28" t="n">
        <x:v>0</x:v>
      </x:c>
      <x:c r="Q2186" s="62" t="b">
        <x:v>1</x:v>
      </x:c>
      <x:c r="R2186" s="28" t="n">
        <x:v>0</x:v>
      </x:c>
      <x:c r="S2186" s="28" t="str">
        <x:v>12d6610bdf080bf4</x:v>
      </x:c>
    </x:row>
    <x:row r="2187" ht="21" customHeight="1">
      <x:c r="A2187" s="60" t="n">
        <x:v>0.68</x:v>
      </x:c>
      <x:c r="B2187" s="28" t="str">
        <x:v>back_low</x:v>
      </x:c>
      <x:c r="C2187" s="60" t="n">
        <x:v>0.8</x:v>
      </x:c>
      <x:c r="D2187" s="60" t="n">
        <x:v>0.8</x:v>
      </x:c>
      <x:c r="E2187" s="62" t="b">
        <x:v>1</x:v>
      </x:c>
      <x:c r="F2187" s="62" t="b">
        <x:v>0</x:v>
      </x:c>
      <x:c r="G2187" s="85" t="n">
        <x:v>3842466.227786403</x:v>
      </x:c>
      <x:c r="H2187" s="85" t="n">
        <x:v>48047951.608687244</x:v>
      </x:c>
      <x:c r="I2187" s="85" t="n">
        <x:v>41655354.885879666</x:v>
      </x:c>
      <x:c r="J2187" s="85" t="n">
        <x:v>65999999.999999985</x:v>
      </x:c>
      <x:c r="K2187" s="85" t="n">
        <x:v>299456.09728219255</x:v>
      </x:c>
      <x:c r="L2187" s="28" t="n">
        <x:v>42</x:v>
      </x:c>
      <x:c r="M2187" s="28" t="n">
        <x:v>33</x:v>
      </x:c>
      <x:c r="N2187" s="28" t="n">
        <x:v>1.862645149230957e-9</x:v>
      </x:c>
      <x:c r="O2187" s="28" t="n">
        <x:v>1.4901161193847656e-8</x:v>
      </x:c>
      <x:c r="P2187" s="28" t="n">
        <x:v>0</x:v>
      </x:c>
      <x:c r="Q2187" s="62" t="b">
        <x:v>1</x:v>
      </x:c>
      <x:c r="R2187" s="28" t="n">
        <x:v>0</x:v>
      </x:c>
      <x:c r="S2187" s="28" t="str">
        <x:v>11fbc49eca992caa</x:v>
      </x:c>
    </x:row>
    <x:row r="2188" ht="21" customHeight="1">
      <x:c r="A2188" s="60" t="n">
        <x:v>0.68</x:v>
      </x:c>
      <x:c r="B2188" s="28" t="str">
        <x:v>back_low</x:v>
      </x:c>
      <x:c r="C2188" s="60" t="n">
        <x:v>0.85</x:v>
      </x:c>
      <x:c r="D2188" s="60" t="n">
        <x:v>0.85</x:v>
      </x:c>
      <x:c r="E2188" s="62" t="b">
        <x:v>1</x:v>
      </x:c>
      <x:c r="F2188" s="62" t="b">
        <x:v>0</x:v>
      </x:c>
      <x:c r="G2188" s="85" t="n">
        <x:v>4837210.041257831</x:v>
      </x:c>
      <x:c r="H2188" s="85" t="n">
        <x:v>57174305.18337983</x:v>
      </x:c>
      <x:c r="I2188" s="85" t="n">
        <x:v>42657813.96401575</x:v>
      </x:c>
      <x:c r="J2188" s="85" t="n">
        <x:v>65999999.999999985</x:v>
      </x:c>
      <x:c r="K2188" s="85" t="n">
        <x:v>264289.25961232383</x:v>
      </x:c>
      <x:c r="L2188" s="28" t="n">
        <x:v>43</x:v>
      </x:c>
      <x:c r="M2188" s="28" t="n">
        <x:v>34</x:v>
      </x:c>
      <x:c r="N2188" s="28" t="n">
        <x:v>9.313225746154785e-10</x:v>
      </x:c>
      <x:c r="O2188" s="28" t="n">
        <x:v>2.9802322387695312e-8</x:v>
      </x:c>
      <x:c r="P2188" s="28" t="n">
        <x:v>0</x:v>
      </x:c>
      <x:c r="Q2188" s="62" t="b">
        <x:v>1</x:v>
      </x:c>
      <x:c r="R2188" s="28" t="n">
        <x:v>0</x:v>
      </x:c>
      <x:c r="S2188" s="28" t="str">
        <x:v>c2d17a21614d6c24</x:v>
      </x:c>
    </x:row>
    <x:row r="2189" ht="21" customHeight="1">
      <x:c r="A2189" s="60" t="n">
        <x:v>0.68</x:v>
      </x:c>
      <x:c r="B2189" s="28" t="str">
        <x:v>back_low</x:v>
      </x:c>
      <x:c r="C2189" s="60" t="n">
        <x:v>0.9</x:v>
      </x:c>
      <x:c r="D2189" s="60" t="n">
        <x:v>0.8948658400492392</x:v>
      </x:c>
      <x:c r="E2189" s="62" t="b">
        <x:v>0</x:v>
      </x:c>
      <x:c r="F2189" s="62" t="b">
        <x:v>0</x:v>
      </x:c>
      <x:c r="G2189" s="85" t="n">
        <x:v>7364335.876472747</x:v>
      </x:c>
      <x:c r="H2189" s="85" t="n">
        <x:v>64569953.51587963</x:v>
      </x:c>
      <x:c r="I2189" s="85" t="n">
        <x:v>42676741.4547274</x:v>
      </x:c>
      <x:c r="J2189" s="85" t="n">
        <x:v>65999999.999999985</x:v>
      </x:c>
      <x:c r="K2189" s="85" t="n">
        <x:v>230878.52726849387</x:v>
      </x:c>
      <x:c r="L2189" s="28" t="n">
        <x:v>43</x:v>
      </x:c>
      <x:c r="M2189" s="28" t="n">
        <x:v>34</x:v>
      </x:c>
      <x:c r="N2189" s="28" t="n">
        <x:v>1.862645149230957e-9</x:v>
      </x:c>
      <x:c r="O2189" s="28" t="n">
        <x:v>2.9802322387695312e-8</x:v>
      </x:c>
      <x:c r="P2189" s="28" t="n">
        <x:v>0</x:v>
      </x:c>
      <x:c r="Q2189" s="62" t="b">
        <x:v>1</x:v>
      </x:c>
      <x:c r="R2189" s="28" t="n">
        <x:v>1540247.9852282405</x:v>
      </x:c>
      <x:c r="S2189" s="28" t="str">
        <x:v>c2ece49933fb2849</x:v>
      </x:c>
    </x:row>
    <x:row r="2190" ht="21" customHeight="1">
      <x:c r="A2190" s="60" t="n">
        <x:v>0.68</x:v>
      </x:c>
      <x:c r="B2190" s="28" t="str">
        <x:v>back_low</x:v>
      </x:c>
      <x:c r="C2190" s="60" t="n">
        <x:v>0.95</x:v>
      </x:c>
      <x:c r="D2190" s="60" t="n">
        <x:v>0.9083032015334562</x:v>
      </x:c>
      <x:c r="E2190" s="62" t="b">
        <x:v>0</x:v>
      </x:c>
      <x:c r="F2190" s="62" t="b">
        <x:v>0</x:v>
      </x:c>
      <x:c r="G2190" s="85" t="n">
        <x:v>7727979.89381961</x:v>
      </x:c>
      <x:c r="H2190" s="85" t="n">
        <x:v>67758357.42497195</x:v>
      </x:c>
      <x:c r="I2190" s="85" t="n">
        <x:v>42695668.94543903</x:v>
      </x:c>
      <x:c r="J2190" s="85" t="n">
        <x:v>65999999.999999985</x:v>
      </x:c>
      <x:c r="K2190" s="85" t="n">
        <x:v>219954.013867126</x:v>
      </x:c>
      <x:c r="L2190" s="28" t="n">
        <x:v>43</x:v>
      </x:c>
      <x:c r="M2190" s="28" t="n">
        <x:v>35</x:v>
      </x:c>
      <x:c r="N2190" s="28" t="n">
        <x:v>1.862645149230957e-9</x:v>
      </x:c>
      <x:c r="O2190" s="28" t="n">
        <x:v>2.9802322387695312e-8</x:v>
      </x:c>
      <x:c r="P2190" s="28" t="n">
        <x:v>0</x:v>
      </x:c>
      <x:c r="Q2190" s="62" t="b">
        <x:v>1</x:v>
      </x:c>
      <x:c r="R2190" s="28" t="n">
        <x:v>12509039.539963126</x:v>
      </x:c>
      <x:c r="S2190" s="28" t="str">
        <x:v>90f18e6229469ab0</x:v>
      </x:c>
    </x:row>
    <x:row r="2191" ht="21" customHeight="1">
      <x:c r="A2191" s="60" t="n">
        <x:v>0.68</x:v>
      </x:c>
      <x:c r="B2191" s="28" t="str">
        <x:v>back_low</x:v>
      </x:c>
      <x:c r="C2191" s="60" t="n">
        <x:v>1</x:v>
      </x:c>
      <x:c r="D2191" s="60" t="n">
        <x:v>0.920601109498915</x:v>
      </x:c>
      <x:c r="E2191" s="62" t="b">
        <x:v>0</x:v>
      </x:c>
      <x:c r="F2191" s="62" t="b">
        <x:v>0</x:v>
      </x:c>
      <x:c r="G2191" s="85" t="n">
        <x:v>8248179.529617339</x:v>
      </x:c>
      <x:c r="H2191" s="85" t="n">
        <x:v>69405111.65618479</x:v>
      </x:c>
      <x:c r="I2191" s="85" t="n">
        <x:v>43592547.94520548</x:v>
      </x:c>
      <x:c r="J2191" s="85" t="n">
        <x:v>65999999.999999985</x:v>
      </x:c>
      <x:c r="K2191" s="85" t="n">
        <x:v>209029.50046575902</x:v>
      </x:c>
      <x:c r="L2191" s="28" t="n">
        <x:v>44</x:v>
      </x:c>
      <x:c r="M2191" s="28" t="n">
        <x:v>36</x:v>
      </x:c>
      <x:c r="N2191" s="28" t="n">
        <x:v>1.862645149230957e-9</x:v>
      </x:c>
      <x:c r="O2191" s="28" t="n">
        <x:v>2.9802322387695312e-8</x:v>
      </x:c>
      <x:c r="P2191" s="28" t="n">
        <x:v>0</x:v>
      </x:c>
      <x:c r="Q2191" s="62" t="b">
        <x:v>1</x:v>
      </x:c>
      <x:c r="R2191" s="28" t="n">
        <x:v>23819667.150325477</x:v>
      </x:c>
      <x:c r="S2191" s="28" t="str">
        <x:v>0fda72496f16480a</x:v>
      </x:c>
    </x:row>
    <x:row r="2192" ht="21" customHeight="1">
      <x:c r="A2192" s="60" t="n">
        <x:v>0.68</x:v>
      </x:c>
      <x:c r="B2192" s="28" t="str">
        <x:v>back_high</x:v>
      </x:c>
      <x:c r="C2192" s="60" t="n">
        <x:v>0</x:v>
      </x:c>
      <x:c r="D2192" s="60" t="n">
        <x:v>0</x:v>
      </x:c>
      <x:c r="E2192" s="62" t="b">
        <x:v>1</x:v>
      </x:c>
      <x:c r="F2192" s="62" t="b">
        <x:v>1</x:v>
      </x:c>
      <x:c r="G2192" s="85" t="n">
        <x:v>0</x:v>
      </x:c>
      <x:c r="H2192" s="85" t="n">
        <x:v>0</x:v>
      </x:c>
      <x:c r="I2192" s="85" t="n">
        <x:v>0</x:v>
      </x:c>
      <x:c r="J2192" s="85" t="n">
        <x:v>0</x:v>
      </x:c>
      <x:c r="K2192" s="85" t="n">
        <x:v>40506729.313013695</x:v>
      </x:c>
      <x:c r="L2192" s="28" t="n">
        <x:v>0</x:v>
      </x:c>
      <x:c r="M2192" s="28" t="n">
        <x:v>0</x:v>
      </x:c>
      <x:c r="N2192" s="28" t="n">
        <x:v>3.725290298461914e-9</x:v>
      </x:c>
      <x:c r="O2192" s="28" t="n">
        <x:v>0</x:v>
      </x:c>
      <x:c r="P2192" s="28" t="n">
        <x:v>0</x:v>
      </x:c>
      <x:c r="Q2192" s="62" t="b">
        <x:v>1</x:v>
      </x:c>
      <x:c r="R2192" s="28" t="n">
        <x:v>0</x:v>
      </x:c>
      <x:c r="S2192" s="28" t="str">
        <x:v>420889b2946810c3</x:v>
      </x:c>
    </x:row>
    <x:row r="2193" ht="21" customHeight="1">
      <x:c r="A2193" s="60" t="n">
        <x:v>0.68</x:v>
      </x:c>
      <x:c r="B2193" s="28" t="str">
        <x:v>back_high</x:v>
      </x:c>
      <x:c r="C2193" s="60" t="n">
        <x:v>0.05</x:v>
      </x:c>
      <x:c r="D2193" s="60" t="n">
        <x:v>0.05</x:v>
      </x:c>
      <x:c r="E2193" s="62" t="b">
        <x:v>1</x:v>
      </x:c>
      <x:c r="F2193" s="62" t="b">
        <x:v>1</x:v>
      </x:c>
      <x:c r="G2193" s="85" t="n">
        <x:v>0</x:v>
      </x:c>
      <x:c r="H2193" s="85" t="n">
        <x:v>0</x:v>
      </x:c>
      <x:c r="I2193" s="85" t="n">
        <x:v>0</x:v>
      </x:c>
      <x:c r="J2193" s="85" t="n">
        <x:v>0</x:v>
      </x:c>
      <x:c r="K2193" s="85" t="n">
        <x:v>27418736.185484212</x:v>
      </x:c>
      <x:c r="L2193" s="28" t="n">
        <x:v>0</x:v>
      </x:c>
      <x:c r="M2193" s="28" t="n">
        <x:v>0</x:v>
      </x:c>
      <x:c r="N2193" s="28" t="n">
        <x:v>3.725290298461914e-9</x:v>
      </x:c>
      <x:c r="O2193" s="28" t="n">
        <x:v>5.960464477539063e-8</x:v>
      </x:c>
      <x:c r="P2193" s="28" t="n">
        <x:v>0</x:v>
      </x:c>
      <x:c r="Q2193" s="62" t="b">
        <x:v>1</x:v>
      </x:c>
      <x:c r="R2193" s="28" t="n">
        <x:v>0</x:v>
      </x:c>
      <x:c r="S2193" s="28" t="str">
        <x:v>b47ff385f5c5e111</x:v>
      </x:c>
    </x:row>
    <x:row r="2194" ht="21" customHeight="1">
      <x:c r="A2194" s="60" t="n">
        <x:v>0.68</x:v>
      </x:c>
      <x:c r="B2194" s="28" t="str">
        <x:v>back_high</x:v>
      </x:c>
      <x:c r="C2194" s="60" t="n">
        <x:v>0.1</x:v>
      </x:c>
      <x:c r="D2194" s="60" t="n">
        <x:v>0.1</x:v>
      </x:c>
      <x:c r="E2194" s="62" t="b">
        <x:v>1</x:v>
      </x:c>
      <x:c r="F2194" s="62" t="b">
        <x:v>1</x:v>
      </x:c>
      <x:c r="G2194" s="85" t="n">
        <x:v>0</x:v>
      </x:c>
      <x:c r="H2194" s="85" t="n">
        <x:v>0</x:v>
      </x:c>
      <x:c r="I2194" s="85" t="n">
        <x:v>0</x:v>
      </x:c>
      <x:c r="J2194" s="85" t="n">
        <x:v>0</x:v>
      </x:c>
      <x:c r="K2194" s="85" t="n">
        <x:v>14172135.683332238</x:v>
      </x:c>
      <x:c r="L2194" s="28" t="n">
        <x:v>0</x:v>
      </x:c>
      <x:c r="M2194" s="28" t="n">
        <x:v>0</x:v>
      </x:c>
      <x:c r="N2194" s="28" t="n">
        <x:v>3.725290298461914e-9</x:v>
      </x:c>
      <x:c r="O2194" s="28" t="n">
        <x:v>5.960464477539063e-8</x:v>
      </x:c>
      <x:c r="P2194" s="28" t="n">
        <x:v>0</x:v>
      </x:c>
      <x:c r="Q2194" s="62" t="b">
        <x:v>1</x:v>
      </x:c>
      <x:c r="R2194" s="28" t="n">
        <x:v>0</x:v>
      </x:c>
      <x:c r="S2194" s="28" t="str">
        <x:v>5131e76a36de9138</x:v>
      </x:c>
    </x:row>
    <x:row r="2195" ht="21" customHeight="1">
      <x:c r="A2195" s="60" t="n">
        <x:v>0.68</x:v>
      </x:c>
      <x:c r="B2195" s="28" t="str">
        <x:v>back_high</x:v>
      </x:c>
      <x:c r="C2195" s="60" t="n">
        <x:v>0.15</x:v>
      </x:c>
      <x:c r="D2195" s="60" t="n">
        <x:v>0.15</x:v>
      </x:c>
      <x:c r="E2195" s="62" t="b">
        <x:v>1</x:v>
      </x:c>
      <x:c r="F2195" s="62" t="b">
        <x:v>1</x:v>
      </x:c>
      <x:c r="G2195" s="85" t="n">
        <x:v>0</x:v>
      </x:c>
      <x:c r="H2195" s="85" t="n">
        <x:v>0</x:v>
      </x:c>
      <x:c r="I2195" s="85" t="n">
        <x:v>2532414.6976166973</x:v>
      </x:c>
      <x:c r="J2195" s="85" t="n">
        <x:v>0</x:v>
      </x:c>
      <x:c r="K2195" s="85" t="n">
        <x:v>3854635.0178930615</x:v>
      </x:c>
      <x:c r="L2195" s="28" t="n">
        <x:v>0</x:v>
      </x:c>
      <x:c r="M2195" s="28" t="n">
        <x:v>0</x:v>
      </x:c>
      <x:c r="N2195" s="28" t="n">
        <x:v>3.725290298461914e-9</x:v>
      </x:c>
      <x:c r="O2195" s="28" t="n">
        <x:v>5.960464477539063e-8</x:v>
      </x:c>
      <x:c r="P2195" s="28" t="n">
        <x:v>0</x:v>
      </x:c>
      <x:c r="Q2195" s="62" t="b">
        <x:v>1</x:v>
      </x:c>
      <x:c r="R2195" s="28" t="n">
        <x:v>0</x:v>
      </x:c>
      <x:c r="S2195" s="28" t="str">
        <x:v>4dcf10fbd3a91e72</x:v>
      </x:c>
    </x:row>
    <x:row r="2196" ht="21" customHeight="1">
      <x:c r="A2196" s="60" t="n">
        <x:v>0.68</x:v>
      </x:c>
      <x:c r="B2196" s="28" t="str">
        <x:v>back_high</x:v>
      </x:c>
      <x:c r="C2196" s="60" t="n">
        <x:v>0.2</x:v>
      </x:c>
      <x:c r="D2196" s="60" t="n">
        <x:v>0.2</x:v>
      </x:c>
      <x:c r="E2196" s="62" t="b">
        <x:v>1</x:v>
      </x:c>
      <x:c r="F2196" s="62" t="b">
        <x:v>1</x:v>
      </x:c>
      <x:c r="G2196" s="85" t="n">
        <x:v>0</x:v>
      </x:c>
      <x:c r="H2196" s="85" t="n">
        <x:v>0</x:v>
      </x:c>
      <x:c r="I2196" s="85" t="n">
        <x:v>12322303.305314766</x:v>
      </x:c>
      <x:c r="J2196" s="85" t="n">
        <x:v>6341080.834812399</x:v>
      </x:c>
      <x:c r="K2196" s="85" t="n">
        <x:v>3091083.056480439</x:v>
      </x:c>
      <x:c r="L2196" s="28" t="n">
        <x:v>0</x:v>
      </x:c>
      <x:c r="M2196" s="28" t="n">
        <x:v>0</x:v>
      </x:c>
      <x:c r="N2196" s="28" t="n">
        <x:v>1.862645149230957e-9</x:v>
      </x:c>
      <x:c r="O2196" s="28" t="n">
        <x:v>2.9802322387695312e-8</x:v>
      </x:c>
      <x:c r="P2196" s="28" t="n">
        <x:v>0</x:v>
      </x:c>
      <x:c r="Q2196" s="62" t="b">
        <x:v>1</x:v>
      </x:c>
      <x:c r="R2196" s="28" t="n">
        <x:v>0</x:v>
      </x:c>
      <x:c r="S2196" s="28" t="str">
        <x:v>e639e94925820197</x:v>
      </x:c>
    </x:row>
    <x:row r="2197" ht="21" customHeight="1">
      <x:c r="A2197" s="60" t="n">
        <x:v>0.68</x:v>
      </x:c>
      <x:c r="B2197" s="28" t="str">
        <x:v>back_high</x:v>
      </x:c>
      <x:c r="C2197" s="60" t="n">
        <x:v>0.25</x:v>
      </x:c>
      <x:c r="D2197" s="60" t="n">
        <x:v>0.25</x:v>
      </x:c>
      <x:c r="E2197" s="62" t="b">
        <x:v>1</x:v>
      </x:c>
      <x:c r="F2197" s="62" t="b">
        <x:v>1</x:v>
      </x:c>
      <x:c r="G2197" s="85" t="n">
        <x:v>0</x:v>
      </x:c>
      <x:c r="H2197" s="85" t="n">
        <x:v>0</x:v>
      </x:c>
      <x:c r="I2197" s="85" t="n">
        <x:v>20770248.887258325</x:v>
      </x:c>
      <x:c r="J2197" s="85" t="n">
        <x:v>15426351.043515647</x:v>
      </x:c>
      <x:c r="K2197" s="85" t="n">
        <x:v>2548401.922328356</x:v>
      </x:c>
      <x:c r="L2197" s="28" t="n">
        <x:v>0</x:v>
      </x:c>
      <x:c r="M2197" s="28" t="n">
        <x:v>0</x:v>
      </x:c>
      <x:c r="N2197" s="28" t="n">
        <x:v>3.725290298461914e-9</x:v>
      </x:c>
      <x:c r="O2197" s="28" t="n">
        <x:v>2.9802322387695312e-8</x:v>
      </x:c>
      <x:c r="P2197" s="28" t="n">
        <x:v>0</x:v>
      </x:c>
      <x:c r="Q2197" s="62" t="b">
        <x:v>1</x:v>
      </x:c>
      <x:c r="R2197" s="28" t="n">
        <x:v>0</x:v>
      </x:c>
      <x:c r="S2197" s="28" t="str">
        <x:v>3b1928f969a30c67</x:v>
      </x:c>
    </x:row>
    <x:row r="2198" ht="21" customHeight="1">
      <x:c r="A2198" s="60" t="n">
        <x:v>0.68</x:v>
      </x:c>
      <x:c r="B2198" s="28" t="str">
        <x:v>back_high</x:v>
      </x:c>
      <x:c r="C2198" s="60" t="n">
        <x:v>0.3</x:v>
      </x:c>
      <x:c r="D2198" s="60" t="n">
        <x:v>0.3</x:v>
      </x:c>
      <x:c r="E2198" s="62" t="b">
        <x:v>1</x:v>
      </x:c>
      <x:c r="F2198" s="62" t="b">
        <x:v>1</x:v>
      </x:c>
      <x:c r="G2198" s="85" t="n">
        <x:v>0</x:v>
      </x:c>
      <x:c r="H2198" s="85" t="n">
        <x:v>0</x:v>
      </x:c>
      <x:c r="I2198" s="85" t="n">
        <x:v>29390072.633970957</x:v>
      </x:c>
      <x:c r="J2198" s="85" t="n">
        <x:v>24511621.25221868</x:v>
      </x:c>
      <x:c r="K2198" s="85" t="n">
        <x:v>2178224.4709036252</x:v>
      </x:c>
      <x:c r="L2198" s="28" t="n">
        <x:v>0</x:v>
      </x:c>
      <x:c r="M2198" s="28" t="n">
        <x:v>0</x:v>
      </x:c>
      <x:c r="N2198" s="28" t="n">
        <x:v>3.725290298461914e-9</x:v>
      </x:c>
      <x:c r="O2198" s="28" t="n">
        <x:v>2.9802322387695312e-8</x:v>
      </x:c>
      <x:c r="P2198" s="28" t="n">
        <x:v>0</x:v>
      </x:c>
      <x:c r="Q2198" s="62" t="b">
        <x:v>1</x:v>
      </x:c>
      <x:c r="R2198" s="28" t="n">
        <x:v>0</x:v>
      </x:c>
      <x:c r="S2198" s="28" t="str">
        <x:v>51fa3404a371a247</x:v>
      </x:c>
    </x:row>
    <x:row r="2199" ht="21" customHeight="1">
      <x:c r="A2199" s="60" t="n">
        <x:v>0.68</x:v>
      </x:c>
      <x:c r="B2199" s="28" t="str">
        <x:v>back_high</x:v>
      </x:c>
      <x:c r="C2199" s="60" t="n">
        <x:v>0.35</x:v>
      </x:c>
      <x:c r="D2199" s="60" t="n">
        <x:v>0.35</x:v>
      </x:c>
      <x:c r="E2199" s="62" t="b">
        <x:v>1</x:v>
      </x:c>
      <x:c r="F2199" s="62" t="b">
        <x:v>1</x:v>
      </x:c>
      <x:c r="G2199" s="85" t="n">
        <x:v>0</x:v>
      </x:c>
      <x:c r="H2199" s="85" t="n">
        <x:v>0</x:v>
      </x:c>
      <x:c r="I2199" s="85" t="n">
        <x:v>38615942.315384604</x:v>
      </x:c>
      <x:c r="J2199" s="85" t="n">
        <x:v>31561246.62373525</x:v>
      </x:c>
      <x:c r="K2199" s="85" t="n">
        <x:v>1815415.8823681865</x:v>
      </x:c>
      <x:c r="L2199" s="28" t="n">
        <x:v>3</x:v>
      </x:c>
      <x:c r="M2199" s="28" t="n">
        <x:v>0</x:v>
      </x:c>
      <x:c r="N2199" s="28" t="n">
        <x:v>1.862645149230957e-9</x:v>
      </x:c>
      <x:c r="O2199" s="28" t="n">
        <x:v>2.9802322387695312e-8</x:v>
      </x:c>
      <x:c r="P2199" s="28" t="n">
        <x:v>0</x:v>
      </x:c>
      <x:c r="Q2199" s="62" t="b">
        <x:v>1</x:v>
      </x:c>
      <x:c r="R2199" s="28" t="n">
        <x:v>0</x:v>
      </x:c>
      <x:c r="S2199" s="28" t="str">
        <x:v>59b6c376ec4a5414</x:v>
      </x:c>
    </x:row>
    <x:row r="2200" ht="21" customHeight="1">
      <x:c r="A2200" s="60" t="n">
        <x:v>0.68</x:v>
      </x:c>
      <x:c r="B2200" s="28" t="str">
        <x:v>back_high</x:v>
      </x:c>
      <x:c r="C2200" s="60" t="n">
        <x:v>0.4</x:v>
      </x:c>
      <x:c r="D2200" s="60" t="n">
        <x:v>0.4</x:v>
      </x:c>
      <x:c r="E2200" s="62" t="b">
        <x:v>1</x:v>
      </x:c>
      <x:c r="F2200" s="62" t="b">
        <x:v>1</x:v>
      </x:c>
      <x:c r="G2200" s="85" t="n">
        <x:v>0</x:v>
      </x:c>
      <x:c r="H2200" s="85" t="n">
        <x:v>0</x:v>
      </x:c>
      <x:c r="I2200" s="85" t="n">
        <x:v>48112164.98604294</x:v>
      </x:c>
      <x:c r="J2200" s="85" t="n">
        <x:v>35692951.80299448</x:v>
      </x:c>
      <x:c r="K2200" s="85" t="n">
        <x:v>1604483.2712388092</x:v>
      </x:c>
      <x:c r="L2200" s="28" t="n">
        <x:v>8</x:v>
      </x:c>
      <x:c r="M2200" s="28" t="n">
        <x:v>0</x:v>
      </x:c>
      <x:c r="N2200" s="28" t="n">
        <x:v>3.725290298461914e-9</x:v>
      </x:c>
      <x:c r="O2200" s="28" t="n">
        <x:v>2.9802322387695312e-8</x:v>
      </x:c>
      <x:c r="P2200" s="28" t="n">
        <x:v>0</x:v>
      </x:c>
      <x:c r="Q2200" s="62" t="b">
        <x:v>1</x:v>
      </x:c>
      <x:c r="R2200" s="28" t="n">
        <x:v>0</x:v>
      </x:c>
      <x:c r="S2200" s="28" t="str">
        <x:v>d82a7e2248b2dc55</x:v>
      </x:c>
    </x:row>
    <x:row r="2201" ht="21" customHeight="1">
      <x:c r="A2201" s="60" t="n">
        <x:v>0.68</x:v>
      </x:c>
      <x:c r="B2201" s="28" t="str">
        <x:v>back_high</x:v>
      </x:c>
      <x:c r="C2201" s="60" t="n">
        <x:v>0.45</x:v>
      </x:c>
      <x:c r="D2201" s="60" t="n">
        <x:v>0.45</x:v>
      </x:c>
      <x:c r="E2201" s="62" t="b">
        <x:v>1</x:v>
      </x:c>
      <x:c r="F2201" s="62" t="b">
        <x:v>1</x:v>
      </x:c>
      <x:c r="G2201" s="85" t="n">
        <x:v>0</x:v>
      </x:c>
      <x:c r="H2201" s="85" t="n">
        <x:v>0</x:v>
      </x:c>
      <x:c r="I2201" s="85" t="n">
        <x:v>57067695.783547744</x:v>
      </x:c>
      <x:c r="J2201" s="85" t="n">
        <x:v>42930481.49774331</x:v>
      </x:c>
      <x:c r="K2201" s="85" t="n">
        <x:v>1393550.6601093947</x:v>
      </x:c>
      <x:c r="L2201" s="28" t="n">
        <x:v>11</x:v>
      </x:c>
      <x:c r="M2201" s="28" t="n">
        <x:v>1</x:v>
      </x:c>
      <x:c r="N2201" s="28" t="n">
        <x:v>3.725290298461914e-9</x:v>
      </x:c>
      <x:c r="O2201" s="28" t="n">
        <x:v>1.4901161193847656e-8</x:v>
      </x:c>
      <x:c r="P2201" s="28" t="n">
        <x:v>0</x:v>
      </x:c>
      <x:c r="Q2201" s="62" t="b">
        <x:v>1</x:v>
      </x:c>
      <x:c r="R2201" s="28" t="n">
        <x:v>0</x:v>
      </x:c>
      <x:c r="S2201" s="28" t="str">
        <x:v>eeb31edffd94e1b0</x:v>
      </x:c>
    </x:row>
    <x:row r="2202" ht="21" customHeight="1">
      <x:c r="A2202" s="60" t="n">
        <x:v>0.68</x:v>
      </x:c>
      <x:c r="B2202" s="28" t="str">
        <x:v>back_high</x:v>
      </x:c>
      <x:c r="C2202" s="60" t="n">
        <x:v>0.5</x:v>
      </x:c>
      <x:c r="D2202" s="60" t="n">
        <x:v>0.5</x:v>
      </x:c>
      <x:c r="E2202" s="62" t="b">
        <x:v>1</x:v>
      </x:c>
      <x:c r="F2202" s="62" t="b">
        <x:v>1</x:v>
      </x:c>
      <x:c r="G2202" s="85" t="n">
        <x:v>0</x:v>
      </x:c>
      <x:c r="H2202" s="85" t="n">
        <x:v>0</x:v>
      </x:c>
      <x:c r="I2202" s="85" t="n">
        <x:v>65730180.01959386</x:v>
      </x:c>
      <x:c r="J2202" s="85" t="n">
        <x:v>52010323.201615624</x:v>
      </x:c>
      <x:c r="K2202" s="85" t="n">
        <x:v>1235720.0893287593</x:v>
      </x:c>
      <x:c r="L2202" s="28" t="n">
        <x:v>14</x:v>
      </x:c>
      <x:c r="M2202" s="28" t="n">
        <x:v>6</x:v>
      </x:c>
      <x:c r="N2202" s="28" t="n">
        <x:v>3.725290298461914e-9</x:v>
      </x:c>
      <x:c r="O2202" s="28" t="n">
        <x:v>2.9802322387695312e-8</x:v>
      </x:c>
      <x:c r="P2202" s="28" t="n">
        <x:v>0</x:v>
      </x:c>
      <x:c r="Q2202" s="62" t="b">
        <x:v>1</x:v>
      </x:c>
      <x:c r="R2202" s="28" t="n">
        <x:v>0</x:v>
      </x:c>
      <x:c r="S2202" s="28" t="str">
        <x:v>da39c9e50adcdced</x:v>
      </x:c>
    </x:row>
    <x:row r="2203" ht="21" customHeight="1">
      <x:c r="A2203" s="60" t="n">
        <x:v>0.68</x:v>
      </x:c>
      <x:c r="B2203" s="28" t="str">
        <x:v>back_high</x:v>
      </x:c>
      <x:c r="C2203" s="60" t="n">
        <x:v>0.55</x:v>
      </x:c>
      <x:c r="D2203" s="60" t="n">
        <x:v>0.55</x:v>
      </x:c>
      <x:c r="E2203" s="62" t="b">
        <x:v>1</x:v>
      </x:c>
      <x:c r="F2203" s="62" t="b">
        <x:v>1</x:v>
      </x:c>
      <x:c r="G2203" s="85" t="n">
        <x:v>0</x:v>
      </x:c>
      <x:c r="H2203" s="85" t="n">
        <x:v>0</x:v>
      </x:c>
      <x:c r="I2203" s="85" t="n">
        <x:v>74065822.35552634</x:v>
      </x:c>
      <x:c r="J2203" s="85" t="n">
        <x:v>61925246.26439</x:v>
      </x:c>
      <x:c r="K2203" s="85" t="n">
        <x:v>1139628.5482616357</x:v>
      </x:c>
      <x:c r="L2203" s="28" t="n">
        <x:v>18</x:v>
      </x:c>
      <x:c r="M2203" s="28" t="n">
        <x:v>9</x:v>
      </x:c>
      <x:c r="N2203" s="28" t="n">
        <x:v>1.862645149230957e-9</x:v>
      </x:c>
      <x:c r="O2203" s="28" t="n">
        <x:v>2.9802322387695312e-8</x:v>
      </x:c>
      <x:c r="P2203" s="28" t="n">
        <x:v>0</x:v>
      </x:c>
      <x:c r="Q2203" s="62" t="b">
        <x:v>1</x:v>
      </x:c>
      <x:c r="R2203" s="28" t="n">
        <x:v>0</x:v>
      </x:c>
      <x:c r="S2203" s="28" t="str">
        <x:v>bcade7af65b1b6e7</x:v>
      </x:c>
    </x:row>
    <x:row r="2204" ht="21" customHeight="1">
      <x:c r="A2204" s="60" t="n">
        <x:v>0.68</x:v>
      </x:c>
      <x:c r="B2204" s="28" t="str">
        <x:v>back_high</x:v>
      </x:c>
      <x:c r="C2204" s="60" t="n">
        <x:v>0.6</x:v>
      </x:c>
      <x:c r="D2204" s="60" t="n">
        <x:v>0.6</x:v>
      </x:c>
      <x:c r="E2204" s="62" t="b">
        <x:v>1</x:v>
      </x:c>
      <x:c r="F2204" s="62" t="b">
        <x:v>0</x:v>
      </x:c>
      <x:c r="G2204" s="85" t="n">
        <x:v>2829375.5199391097</x:v>
      </x:c>
      <x:c r="H2204" s="85" t="n">
        <x:v>10173540.664890543</x:v>
      </x:c>
      <x:c r="I2204" s="85" t="n">
        <x:v>76627563.6831955</x:v>
      </x:c>
      <x:c r="J2204" s="85" t="n">
        <x:v>65999999.999999985</x:v>
      </x:c>
      <x:c r="K2204" s="85" t="n">
        <x:v>1043537.0071945195</x:v>
      </x:c>
      <x:c r="L2204" s="28" t="n">
        <x:v>40</x:v>
      </x:c>
      <x:c r="M2204" s="28" t="n">
        <x:v>34</x:v>
      </x:c>
      <x:c r="N2204" s="28" t="n">
        <x:v>1.862645149230957e-9</x:v>
      </x:c>
      <x:c r="O2204" s="28" t="n">
        <x:v>2.9802322387695312e-8</x:v>
      </x:c>
      <x:c r="P2204" s="28" t="n">
        <x:v>0</x:v>
      </x:c>
      <x:c r="Q2204" s="62" t="b">
        <x:v>1</x:v>
      </x:c>
      <x:c r="R2204" s="28" t="n">
        <x:v>0</x:v>
      </x:c>
      <x:c r="S2204" s="28" t="str">
        <x:v>9f029ff363164419</x:v>
      </x:c>
    </x:row>
    <x:row r="2205" ht="21" customHeight="1">
      <x:c r="A2205" s="60" t="n">
        <x:v>0.68</x:v>
      </x:c>
      <x:c r="B2205" s="28" t="str">
        <x:v>back_high</x:v>
      </x:c>
      <x:c r="C2205" s="60" t="n">
        <x:v>0.65</x:v>
      </x:c>
      <x:c r="D2205" s="60" t="n">
        <x:v>0.65</x:v>
      </x:c>
      <x:c r="E2205" s="62" t="b">
        <x:v>1</x:v>
      </x:c>
      <x:c r="F2205" s="62" t="b">
        <x:v>0</x:v>
      </x:c>
      <x:c r="G2205" s="85" t="n">
        <x:v>6518685.422340963</x:v>
      </x:c>
      <x:c r="H2205" s="85" t="n">
        <x:v>21829878.33584482</x:v>
      </x:c>
      <x:c r="I2205" s="85" t="n">
        <x:v>78410075.04995683</x:v>
      </x:c>
      <x:c r="J2205" s="85" t="n">
        <x:v>65999999.999999985</x:v>
      </x:c>
      <x:c r="K2205" s="85" t="n">
        <x:v>947445.4661274082</x:v>
      </x:c>
      <x:c r="L2205" s="28" t="n">
        <x:v>41</x:v>
      </x:c>
      <x:c r="M2205" s="28" t="n">
        <x:v>36</x:v>
      </x:c>
      <x:c r="N2205" s="28" t="n">
        <x:v>1.862645149230957e-9</x:v>
      </x:c>
      <x:c r="O2205" s="28" t="n">
        <x:v>1.4901161193847656e-8</x:v>
      </x:c>
      <x:c r="P2205" s="28" t="n">
        <x:v>0</x:v>
      </x:c>
      <x:c r="Q2205" s="62" t="b">
        <x:v>1</x:v>
      </x:c>
      <x:c r="R2205" s="28" t="n">
        <x:v>0</x:v>
      </x:c>
      <x:c r="S2205" s="28" t="str">
        <x:v>08a0cc9eeb37793a</x:v>
      </x:c>
    </x:row>
    <x:row r="2206" ht="21" customHeight="1">
      <x:c r="A2206" s="60" t="n">
        <x:v>0.68</x:v>
      </x:c>
      <x:c r="B2206" s="28" t="str">
        <x:v>back_high</x:v>
      </x:c>
      <x:c r="C2206" s="60" t="n">
        <x:v>0.7</x:v>
      </x:c>
      <x:c r="D2206" s="60" t="n">
        <x:v>0.7</x:v>
      </x:c>
      <x:c r="E2206" s="62" t="b">
        <x:v>1</x:v>
      </x:c>
      <x:c r="F2206" s="62" t="b">
        <x:v>0</x:v>
      </x:c>
      <x:c r="G2206" s="85" t="n">
        <x:v>11401193.47233798</x:v>
      </x:c>
      <x:c r="H2206" s="85" t="n">
        <x:v>35430880.342195354</x:v>
      </x:c>
      <x:c r="I2206" s="85" t="n">
        <x:v>78601123.0521137</x:v>
      </x:c>
      <x:c r="J2206" s="85" t="n">
        <x:v>65999999.999999985</x:v>
      </x:c>
      <x:c r="K2206" s="85" t="n">
        <x:v>851353.9250602751</x:v>
      </x:c>
      <x:c r="L2206" s="28" t="n">
        <x:v>41</x:v>
      </x:c>
      <x:c r="M2206" s="28" t="n">
        <x:v>36</x:v>
      </x:c>
      <x:c r="N2206" s="28" t="n">
        <x:v>1.862645149230957e-9</x:v>
      </x:c>
      <x:c r="O2206" s="28" t="n">
        <x:v>2.9802322387695312e-8</x:v>
      </x:c>
      <x:c r="P2206" s="28" t="n">
        <x:v>0</x:v>
      </x:c>
      <x:c r="Q2206" s="62" t="b">
        <x:v>1</x:v>
      </x:c>
      <x:c r="R2206" s="28" t="n">
        <x:v>0</x:v>
      </x:c>
      <x:c r="S2206" s="28" t="str">
        <x:v>066e01a19a7bea2a</x:v>
      </x:c>
    </x:row>
    <x:row r="2207" ht="21" customHeight="1">
      <x:c r="A2207" s="60" t="n">
        <x:v>0.68</x:v>
      </x:c>
      <x:c r="B2207" s="28" t="str">
        <x:v>back_high</x:v>
      </x:c>
      <x:c r="C2207" s="60" t="n">
        <x:v>0.75</x:v>
      </x:c>
      <x:c r="D2207" s="60" t="n">
        <x:v>0.75</x:v>
      </x:c>
      <x:c r="E2207" s="62" t="b">
        <x:v>1</x:v>
      </x:c>
      <x:c r="F2207" s="62" t="b">
        <x:v>0</x:v>
      </x:c>
      <x:c r="G2207" s="85" t="n">
        <x:v>15372719.7785962</x:v>
      </x:c>
      <x:c r="H2207" s="85" t="n">
        <x:v>46708023.54652345</x:v>
      </x:c>
      <x:c r="I2207" s="85" t="n">
        <x:v>80194685.6440848</x:v>
      </x:c>
      <x:c r="J2207" s="85" t="n">
        <x:v>65999999.999999985</x:v>
      </x:c>
      <x:c r="K2207" s="85" t="n">
        <x:v>755262.383993144</x:v>
      </x:c>
      <x:c r="L2207" s="28" t="n">
        <x:v>42</x:v>
      </x:c>
      <x:c r="M2207" s="28" t="n">
        <x:v>37</x:v>
      </x:c>
      <x:c r="N2207" s="28" t="n">
        <x:v>1.862645149230957e-9</x:v>
      </x:c>
      <x:c r="O2207" s="28" t="n">
        <x:v>2.9802322387695312e-8</x:v>
      </x:c>
      <x:c r="P2207" s="28" t="n">
        <x:v>0</x:v>
      </x:c>
      <x:c r="Q2207" s="62" t="b">
        <x:v>1</x:v>
      </x:c>
      <x:c r="R2207" s="28" t="n">
        <x:v>0</x:v>
      </x:c>
      <x:c r="S2207" s="28" t="str">
        <x:v>5a863052861d5e26</x:v>
      </x:c>
    </x:row>
    <x:row r="2208" ht="21" customHeight="1">
      <x:c r="A2208" s="60" t="n">
        <x:v>0.68</x:v>
      </x:c>
      <x:c r="B2208" s="28" t="str">
        <x:v>back_high</x:v>
      </x:c>
      <x:c r="C2208" s="60" t="n">
        <x:v>0.8</x:v>
      </x:c>
      <x:c r="D2208" s="60" t="n">
        <x:v>0.8</x:v>
      </x:c>
      <x:c r="E2208" s="62" t="b">
        <x:v>1</x:v>
      </x:c>
      <x:c r="F2208" s="62" t="b">
        <x:v>0</x:v>
      </x:c>
      <x:c r="G2208" s="85" t="n">
        <x:v>20767257.263543382</x:v>
      </x:c>
      <x:c r="H2208" s="85" t="n">
        <x:v>59587039.243448816</x:v>
      </x:c>
      <x:c r="I2208" s="85" t="n">
        <x:v>80311125.44702378</x:v>
      </x:c>
      <x:c r="J2208" s="85" t="n">
        <x:v>65999999.999999985</x:v>
      </x:c>
      <x:c r="K2208" s="85" t="n">
        <x:v>663729.7600109628</x:v>
      </x:c>
      <x:c r="L2208" s="28" t="n">
        <x:v>42</x:v>
      </x:c>
      <x:c r="M2208" s="28" t="n">
        <x:v>38</x:v>
      </x:c>
      <x:c r="N2208" s="28" t="n">
        <x:v>1.862645149230957e-9</x:v>
      </x:c>
      <x:c r="O2208" s="28" t="n">
        <x:v>1.4901161193847656e-8</x:v>
      </x:c>
      <x:c r="P2208" s="28" t="n">
        <x:v>0</x:v>
      </x:c>
      <x:c r="Q2208" s="62" t="b">
        <x:v>1</x:v>
      </x:c>
      <x:c r="R2208" s="28" t="n">
        <x:v>0</x:v>
      </x:c>
      <x:c r="S2208" s="28" t="str">
        <x:v>f60a9352663ecd91</x:v>
      </x:c>
    </x:row>
    <x:row r="2209" ht="21" customHeight="1">
      <x:c r="A2209" s="60" t="n">
        <x:v>0.68</x:v>
      </x:c>
      <x:c r="B2209" s="28" t="str">
        <x:v>back_high</x:v>
      </x:c>
      <x:c r="C2209" s="60" t="n">
        <x:v>0.85</x:v>
      </x:c>
      <x:c r="D2209" s="60" t="n">
        <x:v>0.85</x:v>
      </x:c>
      <x:c r="E2209" s="62" t="b">
        <x:v>1</x:v>
      </x:c>
      <x:c r="F2209" s="62" t="b">
        <x:v>0</x:v>
      </x:c>
      <x:c r="G2209" s="85" t="n">
        <x:v>28741415.85628794</x:v>
      </x:c>
      <x:c r="H2209" s="85" t="n">
        <x:v>67581975.04834926</x:v>
      </x:c>
      <x:c r="I2209" s="85" t="n">
        <x:v>81945837.1010089</x:v>
      </x:c>
      <x:c r="J2209" s="85" t="n">
        <x:v>65999999.999999985</x:v>
      </x:c>
      <x:c r="K2209" s="85" t="n">
        <x:v>606187.4005767266</x:v>
      </x:c>
      <x:c r="L2209" s="28" t="n">
        <x:v>43</x:v>
      </x:c>
      <x:c r="M2209" s="28" t="n">
        <x:v>38</x:v>
      </x:c>
      <x:c r="N2209" s="28" t="n">
        <x:v>1.862645149230957e-9</x:v>
      </x:c>
      <x:c r="O2209" s="28" t="n">
        <x:v>2.9802322387695312e-8</x:v>
      </x:c>
      <x:c r="P2209" s="28" t="n">
        <x:v>0</x:v>
      </x:c>
      <x:c r="Q2209" s="62" t="b">
        <x:v>1</x:v>
      </x:c>
      <x:c r="R2209" s="28" t="n">
        <x:v>0</x:v>
      </x:c>
      <x:c r="S2209" s="28" t="str">
        <x:v>d3fbeba1289fbce9</x:v>
      </x:c>
    </x:row>
    <x:row r="2210" ht="21" customHeight="1">
      <x:c r="A2210" s="60" t="n">
        <x:v>0.68</x:v>
      </x:c>
      <x:c r="B2210" s="28" t="str">
        <x:v>back_high</x:v>
      </x:c>
      <x:c r="C2210" s="60" t="n">
        <x:v>0.9</x:v>
      </x:c>
      <x:c r="D2210" s="60" t="n">
        <x:v>0.8948658400492392</x:v>
      </x:c>
      <x:c r="E2210" s="62" t="b">
        <x:v>0</x:v>
      </x:c>
      <x:c r="F2210" s="62" t="b">
        <x:v>0</x:v>
      </x:c>
      <x:c r="G2210" s="85" t="n">
        <x:v>33382140.329524584</x:v>
      </x:c>
      <x:c r="H2210" s="85" t="n">
        <x:v>75150685.36072923</x:v>
      </x:c>
      <x:c r="I2210" s="85" t="n">
        <x:v>81998053.69002877</x:v>
      </x:c>
      <x:c r="J2210" s="85" t="n">
        <x:v>65999999.999999985</x:v>
      </x:c>
      <x:c r="K2210" s="85" t="n">
        <x:v>567008.030172603</x:v>
      </x:c>
      <x:c r="L2210" s="28" t="n">
        <x:v>43</x:v>
      </x:c>
      <x:c r="M2210" s="28" t="n">
        <x:v>39</x:v>
      </x:c>
      <x:c r="N2210" s="28" t="n">
        <x:v>1.862645149230957e-9</x:v>
      </x:c>
      <x:c r="O2210" s="28" t="n">
        <x:v>2.9802322387695312e-8</x:v>
      </x:c>
      <x:c r="P2210" s="28" t="n">
        <x:v>0</x:v>
      </x:c>
      <x:c r="Q2210" s="62" t="b">
        <x:v>1</x:v>
      </x:c>
      <x:c r="R2210" s="28" t="n">
        <x:v>1540247.9852282405</x:v>
      </x:c>
      <x:c r="S2210" s="28" t="str">
        <x:v>ee3ecbb2df564dd8</x:v>
      </x:c>
    </x:row>
    <x:row r="2211" ht="21" customHeight="1">
      <x:c r="A2211" s="60" t="n">
        <x:v>0.68</x:v>
      </x:c>
      <x:c r="B2211" s="28" t="str">
        <x:v>back_high</x:v>
      </x:c>
      <x:c r="C2211" s="60" t="n">
        <x:v>0.95</x:v>
      </x:c>
      <x:c r="D2211" s="60" t="n">
        <x:v>0.9083032015334562</x:v>
      </x:c>
      <x:c r="E2211" s="62" t="b">
        <x:v>0</x:v>
      </x:c>
      <x:c r="F2211" s="62" t="b">
        <x:v>0</x:v>
      </x:c>
      <x:c r="G2211" s="85" t="n">
        <x:v>35478616.85160944</x:v>
      </x:c>
      <x:c r="H2211" s="85" t="n">
        <x:v>79870324.24314119</x:v>
      </x:c>
      <x:c r="I2211" s="85" t="n">
        <x:v>82066749.89171714</x:v>
      </x:c>
      <x:c r="J2211" s="85" t="n">
        <x:v>65999999.999999985</x:v>
      </x:c>
      <x:c r="K2211" s="85" t="n">
        <x:v>537992.3384698629</x:v>
      </x:c>
      <x:c r="L2211" s="28" t="n">
        <x:v>43</x:v>
      </x:c>
      <x:c r="M2211" s="28" t="n">
        <x:v>40</x:v>
      </x:c>
      <x:c r="N2211" s="28" t="n">
        <x:v>1.862645149230957e-9</x:v>
      </x:c>
      <x:c r="O2211" s="28" t="n">
        <x:v>2.9802322387695312e-8</x:v>
      </x:c>
      <x:c r="P2211" s="28" t="n">
        <x:v>0</x:v>
      </x:c>
      <x:c r="Q2211" s="62" t="b">
        <x:v>1</x:v>
      </x:c>
      <x:c r="R2211" s="28" t="n">
        <x:v>12509039.539963126</x:v>
      </x:c>
      <x:c r="S2211" s="28" t="str">
        <x:v>945fa29502be613d</x:v>
      </x:c>
    </x:row>
    <x:row r="2212" ht="21" customHeight="1">
      <x:c r="A2212" s="60" t="n">
        <x:v>0.68</x:v>
      </x:c>
      <x:c r="B2212" s="28" t="str">
        <x:v>back_high</x:v>
      </x:c>
      <x:c r="C2212" s="60" t="n">
        <x:v>1</x:v>
      </x:c>
      <x:c r="D2212" s="60" t="n">
        <x:v>0.920601109498915</x:v>
      </x:c>
      <x:c r="E2212" s="62" t="b">
        <x:v>0</x:v>
      </x:c>
      <x:c r="F2212" s="62" t="b">
        <x:v>0</x:v>
      </x:c>
      <x:c r="G2212" s="85" t="n">
        <x:v>37356016.200166725</x:v>
      </x:c>
      <x:c r="H2212" s="85" t="n">
        <x:v>80707851.88443875</x:v>
      </x:c>
      <x:c r="I2212" s="85" t="n">
        <x:v>83607922.7669041</x:v>
      </x:c>
      <x:c r="J2212" s="85" t="n">
        <x:v>65999999.999999985</x:v>
      </x:c>
      <x:c r="K2212" s="85" t="n">
        <x:v>508976.64676712384</x:v>
      </x:c>
      <x:c r="L2212" s="28" t="n">
        <x:v>44</x:v>
      </x:c>
      <x:c r="M2212" s="28" t="n">
        <x:v>40</x:v>
      </x:c>
      <x:c r="N2212" s="28" t="n">
        <x:v>1.862645149230957e-9</x:v>
      </x:c>
      <x:c r="O2212" s="28" t="n">
        <x:v>2.9802322387695312e-8</x:v>
      </x:c>
      <x:c r="P2212" s="28" t="n">
        <x:v>0</x:v>
      </x:c>
      <x:c r="Q2212" s="62" t="b">
        <x:v>1</x:v>
      </x:c>
      <x:c r="R2212" s="28" t="n">
        <x:v>23819667.150325477</x:v>
      </x:c>
      <x:c r="S2212" s="28" t="str">
        <x:v>40a21965d4fd7395</x:v>
      </x:c>
    </x:row>
    <x:row r="2213" ht="21" customHeight="1">
      <x:c r="A2213" s="60" t="n">
        <x:v>0.68</x:v>
      </x:c>
      <x:c r="B2213" s="28" t="str">
        <x:v>level_flat</x:v>
      </x:c>
      <x:c r="C2213" s="60" t="n">
        <x:v>0</x:v>
      </x:c>
      <x:c r="D2213" s="60" t="n">
        <x:v>0</x:v>
      </x:c>
      <x:c r="E2213" s="62" t="b">
        <x:v>1</x:v>
      </x:c>
      <x:c r="F2213" s="62" t="b">
        <x:v>1</x:v>
      </x:c>
      <x:c r="G2213" s="85" t="n">
        <x:v>0</x:v>
      </x:c>
      <x:c r="H2213" s="85" t="n">
        <x:v>0</x:v>
      </x:c>
      <x:c r="I2213" s="85" t="n">
        <x:v>0</x:v>
      </x:c>
      <x:c r="J2213" s="85" t="n">
        <x:v>0</x:v>
      </x:c>
      <x:c r="K2213" s="85" t="n">
        <x:v>35689016.57328769</x:v>
      </x:c>
      <x:c r="L2213" s="28" t="n">
        <x:v>0</x:v>
      </x:c>
      <x:c r="M2213" s="28" t="n">
        <x:v>0</x:v>
      </x:c>
      <x:c r="N2213" s="28" t="n">
        <x:v>3.725290298461914e-9</x:v>
      </x:c>
      <x:c r="O2213" s="28" t="n">
        <x:v>0</x:v>
      </x:c>
      <x:c r="P2213" s="28" t="n">
        <x:v>0</x:v>
      </x:c>
      <x:c r="Q2213" s="62" t="b">
        <x:v>1</x:v>
      </x:c>
      <x:c r="R2213" s="28" t="n">
        <x:v>0</x:v>
      </x:c>
      <x:c r="S2213" s="28" t="str">
        <x:v>ad2a89e020c5b2df</x:v>
      </x:c>
    </x:row>
    <x:row r="2214" ht="21" customHeight="1">
      <x:c r="A2214" s="60" t="n">
        <x:v>0.68</x:v>
      </x:c>
      <x:c r="B2214" s="28" t="str">
        <x:v>level_flat</x:v>
      </x:c>
      <x:c r="C2214" s="60" t="n">
        <x:v>0.05</x:v>
      </x:c>
      <x:c r="D2214" s="60" t="n">
        <x:v>0.05</x:v>
      </x:c>
      <x:c r="E2214" s="62" t="b">
        <x:v>1</x:v>
      </x:c>
      <x:c r="F2214" s="62" t="b">
        <x:v>1</x:v>
      </x:c>
      <x:c r="G2214" s="85" t="n">
        <x:v>0</x:v>
      </x:c>
      <x:c r="H2214" s="85" t="n">
        <x:v>0</x:v>
      </x:c>
      <x:c r="I2214" s="85" t="n">
        <x:v>0</x:v>
      </x:c>
      <x:c r="J2214" s="85" t="n">
        <x:v>0</x:v>
      </x:c>
      <x:c r="K2214" s="85" t="n">
        <x:v>23788878.4480945</x:v>
      </x:c>
      <x:c r="L2214" s="28" t="n">
        <x:v>0</x:v>
      </x:c>
      <x:c r="M2214" s="28" t="n">
        <x:v>0</x:v>
      </x:c>
      <x:c r="N2214" s="28" t="n">
        <x:v>1.862645149230957e-9</x:v>
      </x:c>
      <x:c r="O2214" s="28" t="n">
        <x:v>2.9802322387695312e-8</x:v>
      </x:c>
      <x:c r="P2214" s="28" t="n">
        <x:v>0</x:v>
      </x:c>
      <x:c r="Q2214" s="62" t="b">
        <x:v>1</x:v>
      </x:c>
      <x:c r="R2214" s="28" t="n">
        <x:v>0</x:v>
      </x:c>
      <x:c r="S2214" s="28" t="str">
        <x:v>8d537f211138973f</x:v>
      </x:c>
    </x:row>
    <x:row r="2215" ht="21" customHeight="1">
      <x:c r="A2215" s="60" t="n">
        <x:v>0.68</x:v>
      </x:c>
      <x:c r="B2215" s="28" t="str">
        <x:v>level_flat</x:v>
      </x:c>
      <x:c r="C2215" s="60" t="n">
        <x:v>0.1</x:v>
      </x:c>
      <x:c r="D2215" s="60" t="n">
        <x:v>0.1</x:v>
      </x:c>
      <x:c r="E2215" s="62" t="b">
        <x:v>1</x:v>
      </x:c>
      <x:c r="F2215" s="62" t="b">
        <x:v>1</x:v>
      </x:c>
      <x:c r="G2215" s="85" t="n">
        <x:v>0</x:v>
      </x:c>
      <x:c r="H2215" s="85" t="n">
        <x:v>0</x:v>
      </x:c>
      <x:c r="I2215" s="85" t="n">
        <x:v>0</x:v>
      </x:c>
      <x:c r="J2215" s="85" t="n">
        <x:v>0</x:v>
      </x:c>
      <x:c r="K2215" s="85" t="n">
        <x:v>11770796.163866282</x:v>
      </x:c>
      <x:c r="L2215" s="28" t="n">
        <x:v>0</x:v>
      </x:c>
      <x:c r="M2215" s="28" t="n">
        <x:v>0</x:v>
      </x:c>
      <x:c r="N2215" s="28" t="n">
        <x:v>3.725290298461914e-9</x:v>
      </x:c>
      <x:c r="O2215" s="28" t="n">
        <x:v>5.960464477539063e-8</x:v>
      </x:c>
      <x:c r="P2215" s="28" t="n">
        <x:v>0</x:v>
      </x:c>
      <x:c r="Q2215" s="62" t="b">
        <x:v>1</x:v>
      </x:c>
      <x:c r="R2215" s="28" t="n">
        <x:v>0</x:v>
      </x:c>
      <x:c r="S2215" s="28" t="str">
        <x:v>b0548f23e4d3342f</x:v>
      </x:c>
    </x:row>
    <x:row r="2216" ht="21" customHeight="1">
      <x:c r="A2216" s="60" t="n">
        <x:v>0.68</x:v>
      </x:c>
      <x:c r="B2216" s="28" t="str">
        <x:v>level_flat</x:v>
      </x:c>
      <x:c r="C2216" s="60" t="n">
        <x:v>0.15</x:v>
      </x:c>
      <x:c r="D2216" s="60" t="n">
        <x:v>0.15</x:v>
      </x:c>
      <x:c r="E2216" s="62" t="b">
        <x:v>1</x:v>
      </x:c>
      <x:c r="F2216" s="62" t="b">
        <x:v>1</x:v>
      </x:c>
      <x:c r="G2216" s="85" t="n">
        <x:v>0</x:v>
      </x:c>
      <x:c r="H2216" s="85" t="n">
        <x:v>0</x:v>
      </x:c>
      <x:c r="I2216" s="85" t="n">
        <x:v>1801808.4931257686</x:v>
      </x:c>
      <x:c r="J2216" s="85" t="n">
        <x:v>0</x:v>
      </x:c>
      <x:c r="K2216" s="85" t="n">
        <x:v>2113631.8756562243</x:v>
      </x:c>
      <x:c r="L2216" s="28" t="n">
        <x:v>0</x:v>
      </x:c>
      <x:c r="M2216" s="28" t="n">
        <x:v>0</x:v>
      </x:c>
      <x:c r="N2216" s="28" t="n">
        <x:v>1.862645149230957e-9</x:v>
      </x:c>
      <x:c r="O2216" s="28" t="n">
        <x:v>2.9802322387695312e-8</x:v>
      </x:c>
      <x:c r="P2216" s="28" t="n">
        <x:v>0</x:v>
      </x:c>
      <x:c r="Q2216" s="62" t="b">
        <x:v>1</x:v>
      </x:c>
      <x:c r="R2216" s="28" t="n">
        <x:v>0</x:v>
      </x:c>
      <x:c r="S2216" s="28" t="str">
        <x:v>a2fbbdf7c0aa12df</x:v>
      </x:c>
    </x:row>
    <x:row r="2217" ht="21" customHeight="1">
      <x:c r="A2217" s="60" t="n">
        <x:v>0.68</x:v>
      </x:c>
      <x:c r="B2217" s="28" t="str">
        <x:v>level_flat</x:v>
      </x:c>
      <x:c r="C2217" s="60" t="n">
        <x:v>0.2</x:v>
      </x:c>
      <x:c r="D2217" s="60" t="n">
        <x:v>0.2</x:v>
      </x:c>
      <x:c r="E2217" s="62" t="b">
        <x:v>1</x:v>
      </x:c>
      <x:c r="F2217" s="62" t="b">
        <x:v>1</x:v>
      </x:c>
      <x:c r="G2217" s="85" t="n">
        <x:v>0</x:v>
      </x:c>
      <x:c r="H2217" s="85" t="n">
        <x:v>0</x:v>
      </x:c>
      <x:c r="I2217" s="85" t="n">
        <x:v>9573045.241323706</x:v>
      </x:c>
      <x:c r="J2217" s="85" t="n">
        <x:v>6323003.27253421</x:v>
      </x:c>
      <x:c r="K2217" s="85" t="n">
        <x:v>1552799.0648320958</x:v>
      </x:c>
      <x:c r="L2217" s="28" t="n">
        <x:v>0</x:v>
      </x:c>
      <x:c r="M2217" s="28" t="n">
        <x:v>0</x:v>
      </x:c>
      <x:c r="N2217" s="28" t="n">
        <x:v>9.313225746154785e-10</x:v>
      </x:c>
      <x:c r="O2217" s="28" t="n">
        <x:v>2.9802322387695312e-8</x:v>
      </x:c>
      <x:c r="P2217" s="28" t="n">
        <x:v>0</x:v>
      </x:c>
      <x:c r="Q2217" s="62" t="b">
        <x:v>1</x:v>
      </x:c>
      <x:c r="R2217" s="28" t="n">
        <x:v>0</x:v>
      </x:c>
      <x:c r="S2217" s="28" t="str">
        <x:v>6a67c96cee50bea3</x:v>
      </x:c>
    </x:row>
    <x:row r="2218" ht="21" customHeight="1">
      <x:c r="A2218" s="60" t="n">
        <x:v>0.68</x:v>
      </x:c>
      <x:c r="B2218" s="28" t="str">
        <x:v>level_flat</x:v>
      </x:c>
      <x:c r="C2218" s="60" t="n">
        <x:v>0.25</x:v>
      </x:c>
      <x:c r="D2218" s="60" t="n">
        <x:v>0.25</x:v>
      </x:c>
      <x:c r="E2218" s="62" t="b">
        <x:v>1</x:v>
      </x:c>
      <x:c r="F2218" s="62" t="b">
        <x:v>1</x:v>
      </x:c>
      <x:c r="G2218" s="85" t="n">
        <x:v>0</x:v>
      </x:c>
      <x:c r="H2218" s="85" t="n">
        <x:v>0</x:v>
      </x:c>
      <x:c r="I2218" s="85" t="n">
        <x:v>15633466.341581635</x:v>
      </x:c>
      <x:c r="J2218" s="85" t="n">
        <x:v>15403754.090667719</x:v>
      </x:c>
      <x:c r="K2218" s="85" t="n">
        <x:v>1183208.6508520588</x:v>
      </x:c>
      <x:c r="L2218" s="28" t="n">
        <x:v>0</x:v>
      </x:c>
      <x:c r="M2218" s="28" t="n">
        <x:v>0</x:v>
      </x:c>
      <x:c r="N2218" s="28" t="n">
        <x:v>3.725290298461914e-9</x:v>
      </x:c>
      <x:c r="O2218" s="28" t="n">
        <x:v>2.9802322387695312e-8</x:v>
      </x:c>
      <x:c r="P2218" s="28" t="n">
        <x:v>0</x:v>
      </x:c>
      <x:c r="Q2218" s="62" t="b">
        <x:v>1</x:v>
      </x:c>
      <x:c r="R2218" s="28" t="n">
        <x:v>0</x:v>
      </x:c>
      <x:c r="S2218" s="28" t="str">
        <x:v>583e9f3c9d3bb409</x:v>
      </x:c>
    </x:row>
    <x:row r="2219" ht="21" customHeight="1">
      <x:c r="A2219" s="60" t="n">
        <x:v>0.68</x:v>
      </x:c>
      <x:c r="B2219" s="28" t="str">
        <x:v>level_flat</x:v>
      </x:c>
      <x:c r="C2219" s="60" t="n">
        <x:v>0.3</x:v>
      </x:c>
      <x:c r="D2219" s="60" t="n">
        <x:v>0.3</x:v>
      </x:c>
      <x:c r="E2219" s="62" t="b">
        <x:v>1</x:v>
      </x:c>
      <x:c r="F2219" s="62" t="b">
        <x:v>1</x:v>
      </x:c>
      <x:c r="G2219" s="85" t="n">
        <x:v>0</x:v>
      </x:c>
      <x:c r="H2219" s="85" t="n">
        <x:v>0</x:v>
      </x:c>
      <x:c r="I2219" s="85" t="n">
        <x:v>21861318.75754896</x:v>
      </x:c>
      <x:c r="J2219" s="85" t="n">
        <x:v>24484504.908801176</x:v>
      </x:c>
      <x:c r="K2219" s="85" t="n">
        <x:v>916682.5030169919</x:v>
      </x:c>
      <x:c r="L2219" s="28" t="n">
        <x:v>0</x:v>
      </x:c>
      <x:c r="M2219" s="28" t="n">
        <x:v>0</x:v>
      </x:c>
      <x:c r="N2219" s="28" t="n">
        <x:v>3.725290298461914e-9</x:v>
      </x:c>
      <x:c r="O2219" s="28" t="n">
        <x:v>7.450580596923828e-9</x:v>
      </x:c>
      <x:c r="P2219" s="28" t="n">
        <x:v>0</x:v>
      </x:c>
      <x:c r="Q2219" s="62" t="b">
        <x:v>1</x:v>
      </x:c>
      <x:c r="R2219" s="28" t="n">
        <x:v>0</x:v>
      </x:c>
      <x:c r="S2219" s="28" t="str">
        <x:v>2d876297c56b9453</x:v>
      </x:c>
    </x:row>
    <x:row r="2220" ht="21" customHeight="1">
      <x:c r="A2220" s="60" t="n">
        <x:v>0.68</x:v>
      </x:c>
      <x:c r="B2220" s="28" t="str">
        <x:v>level_flat</x:v>
      </x:c>
      <x:c r="C2220" s="60" t="n">
        <x:v>0.35</x:v>
      </x:c>
      <x:c r="D2220" s="60" t="n">
        <x:v>0.35</x:v>
      </x:c>
      <x:c r="E2220" s="62" t="b">
        <x:v>1</x:v>
      </x:c>
      <x:c r="F2220" s="62" t="b">
        <x:v>1</x:v>
      </x:c>
      <x:c r="G2220" s="85" t="n">
        <x:v>0</x:v>
      </x:c>
      <x:c r="H2220" s="85" t="n">
        <x:v>0</x:v>
      </x:c>
      <x:c r="I2220" s="85" t="n">
        <x:v>28719393.46478575</x:v>
      </x:c>
      <x:c r="J2220" s="85" t="n">
        <x:v>32193809.744289238</x:v>
      </x:c>
      <x:c r="K2220" s="85" t="n">
        <x:v>733457.3756780868</x:v>
      </x:c>
      <x:c r="L2220" s="28" t="n">
        <x:v>2</x:v>
      </x:c>
      <x:c r="M2220" s="28" t="n">
        <x:v>0</x:v>
      </x:c>
      <x:c r="N2220" s="28" t="n">
        <x:v>3.725290298461914e-9</x:v>
      </x:c>
      <x:c r="O2220" s="28" t="n">
        <x:v>2.9802322387695312e-8</x:v>
      </x:c>
      <x:c r="P2220" s="28" t="n">
        <x:v>0</x:v>
      </x:c>
      <x:c r="Q2220" s="62" t="b">
        <x:v>1</x:v>
      </x:c>
      <x:c r="R2220" s="28" t="n">
        <x:v>0</x:v>
      </x:c>
      <x:c r="S2220" s="28" t="str">
        <x:v>a9e1419a2a3f86c0</x:v>
      </x:c>
    </x:row>
    <x:row r="2221" ht="21" customHeight="1">
      <x:c r="A2221" s="60" t="n">
        <x:v>0.68</x:v>
      </x:c>
      <x:c r="B2221" s="28" t="str">
        <x:v>level_flat</x:v>
      </x:c>
      <x:c r="C2221" s="60" t="n">
        <x:v>0.4</x:v>
      </x:c>
      <x:c r="D2221" s="60" t="n">
        <x:v>0.4</x:v>
      </x:c>
      <x:c r="E2221" s="62" t="b">
        <x:v>1</x:v>
      </x:c>
      <x:c r="F2221" s="62" t="b">
        <x:v>1</x:v>
      </x:c>
      <x:c r="G2221" s="85" t="n">
        <x:v>0</x:v>
      </x:c>
      <x:c r="H2221" s="85" t="n">
        <x:v>0</x:v>
      </x:c>
      <x:c r="I2221" s="85" t="n">
        <x:v>37208728.79776201</x:v>
      </x:c>
      <x:c r="J2221" s="85" t="n">
        <x:v>36068049.02919791</x:v>
      </x:c>
      <x:c r="K2221" s="85" t="n">
        <x:v>628703.3579178159</x:v>
      </x:c>
      <x:c r="L2221" s="28" t="n">
        <x:v>9</x:v>
      </x:c>
      <x:c r="M2221" s="28" t="n">
        <x:v>0</x:v>
      </x:c>
      <x:c r="N2221" s="28" t="n">
        <x:v>3.725290298461914e-9</x:v>
      </x:c>
      <x:c r="O2221" s="28" t="n">
        <x:v>2.9802322387695312e-8</x:v>
      </x:c>
      <x:c r="P2221" s="28" t="n">
        <x:v>0</x:v>
      </x:c>
      <x:c r="Q2221" s="62" t="b">
        <x:v>1</x:v>
      </x:c>
      <x:c r="R2221" s="28" t="n">
        <x:v>0</x:v>
      </x:c>
      <x:c r="S2221" s="28" t="str">
        <x:v>ee3c64d4fe026be2</x:v>
      </x:c>
    </x:row>
    <x:row r="2222" ht="21" customHeight="1">
      <x:c r="A2222" s="60" t="n">
        <x:v>0.68</x:v>
      </x:c>
      <x:c r="B2222" s="28" t="str">
        <x:v>level_flat</x:v>
      </x:c>
      <x:c r="C2222" s="60" t="n">
        <x:v>0.45</x:v>
      </x:c>
      <x:c r="D2222" s="60" t="n">
        <x:v>0.45</x:v>
      </x:c>
      <x:c r="E2222" s="62" t="b">
        <x:v>1</x:v>
      </x:c>
      <x:c r="F2222" s="62" t="b">
        <x:v>1</x:v>
      </x:c>
      <x:c r="G2222" s="85" t="n">
        <x:v>0</x:v>
      </x:c>
      <x:c r="H2222" s="85" t="n">
        <x:v>0</x:v>
      </x:c>
      <x:c r="I2222" s="85" t="n">
        <x:v>44086517.013963014</x:v>
      </x:c>
      <x:c r="J2222" s="85" t="n">
        <x:v>43697796.671437696</x:v>
      </x:c>
      <x:c r="K2222" s="85" t="n">
        <x:v>523949.3401575472</x:v>
      </x:c>
      <x:c r="L2222" s="28" t="n">
        <x:v>12</x:v>
      </x:c>
      <x:c r="M2222" s="28" t="n">
        <x:v>0</x:v>
      </x:c>
      <x:c r="N2222" s="28" t="n">
        <x:v>1.862645149230957e-9</x:v>
      </x:c>
      <x:c r="O2222" s="28" t="n">
        <x:v>2.9802322387695312e-8</x:v>
      </x:c>
      <x:c r="P2222" s="28" t="n">
        <x:v>0</x:v>
      </x:c>
      <x:c r="Q2222" s="62" t="b">
        <x:v>1</x:v>
      </x:c>
      <x:c r="R2222" s="28" t="n">
        <x:v>0</x:v>
      </x:c>
      <x:c r="S2222" s="28" t="str">
        <x:v>ba633171f949dc1e</x:v>
      </x:c>
    </x:row>
    <x:row r="2223" ht="21" customHeight="1">
      <x:c r="A2223" s="60" t="n">
        <x:v>0.68</x:v>
      </x:c>
      <x:c r="B2223" s="28" t="str">
        <x:v>level_flat</x:v>
      </x:c>
      <x:c r="C2223" s="60" t="n">
        <x:v>0.5</x:v>
      </x:c>
      <x:c r="D2223" s="60" t="n">
        <x:v>0.5</x:v>
      </x:c>
      <x:c r="E2223" s="62" t="b">
        <x:v>1</x:v>
      </x:c>
      <x:c r="F2223" s="62" t="b">
        <x:v>1</x:v>
      </x:c>
      <x:c r="G2223" s="85" t="n">
        <x:v>0</x:v>
      </x:c>
      <x:c r="H2223" s="85" t="n">
        <x:v>0</x:v>
      </x:c>
      <x:c r="I2223" s="85" t="n">
        <x:v>50951837.029482275</x:v>
      </x:c>
      <x:c r="J2223" s="85" t="n">
        <x:v>51319238.112227835</x:v>
      </x:c>
      <x:c r="K2223" s="85" t="n">
        <x:v>419195.32239726</x:v>
      </x:c>
      <x:c r="L2223" s="28" t="n">
        <x:v>16</x:v>
      </x:c>
      <x:c r="M2223" s="28" t="n">
        <x:v>1</x:v>
      </x:c>
      <x:c r="N2223" s="28" t="n">
        <x:v>1.862645149230957e-9</x:v>
      </x:c>
      <x:c r="O2223" s="28" t="n">
        <x:v>1.4901161193847656e-8</x:v>
      </x:c>
      <x:c r="P2223" s="28" t="n">
        <x:v>0</x:v>
      </x:c>
      <x:c r="Q2223" s="62" t="b">
        <x:v>1</x:v>
      </x:c>
      <x:c r="R2223" s="28" t="n">
        <x:v>0</x:v>
      </x:c>
      <x:c r="S2223" s="28" t="str">
        <x:v>69de388add77a64b</x:v>
      </x:c>
    </x:row>
    <x:row r="2224" ht="21" customHeight="1">
      <x:c r="A2224" s="60" t="n">
        <x:v>0.68</x:v>
      </x:c>
      <x:c r="B2224" s="28" t="str">
        <x:v>level_flat</x:v>
      </x:c>
      <x:c r="C2224" s="60" t="n">
        <x:v>0.55</x:v>
      </x:c>
      <x:c r="D2224" s="60" t="n">
        <x:v>0.55</x:v>
      </x:c>
      <x:c r="E2224" s="62" t="b">
        <x:v>1</x:v>
      </x:c>
      <x:c r="F2224" s="62" t="b">
        <x:v>1</x:v>
      </x:c>
      <x:c r="G2224" s="85" t="n">
        <x:v>0</x:v>
      </x:c>
      <x:c r="H2224" s="85" t="n">
        <x:v>0</x:v>
      </x:c>
      <x:c r="I2224" s="85" t="n">
        <x:v>56955105.76936145</x:v>
      </x:c>
      <x:c r="J2224" s="85" t="n">
        <x:v>60862489.15426135</x:v>
      </x:c>
      <x:c r="K2224" s="85" t="n">
        <x:v>376338.1932123292</x:v>
      </x:c>
      <x:c r="L2224" s="28" t="n">
        <x:v>19</x:v>
      </x:c>
      <x:c r="M2224" s="28" t="n">
        <x:v>7</x:v>
      </x:c>
      <x:c r="N2224" s="28" t="n">
        <x:v>1.862645149230957e-9</x:v>
      </x:c>
      <x:c r="O2224" s="28" t="n">
        <x:v>2.9802322387695312e-8</x:v>
      </x:c>
      <x:c r="P2224" s="28" t="n">
        <x:v>0</x:v>
      </x:c>
      <x:c r="Q2224" s="62" t="b">
        <x:v>1</x:v>
      </x:c>
      <x:c r="R2224" s="28" t="n">
        <x:v>0</x:v>
      </x:c>
      <x:c r="S2224" s="28" t="str">
        <x:v>d408dce4b0fe6b87</x:v>
      </x:c>
    </x:row>
    <x:row r="2225" ht="21" customHeight="1">
      <x:c r="A2225" s="60" t="n">
        <x:v>0.68</x:v>
      </x:c>
      <x:c r="B2225" s="28" t="str">
        <x:v>level_flat</x:v>
      </x:c>
      <x:c r="C2225" s="60" t="n">
        <x:v>0.6</x:v>
      </x:c>
      <x:c r="D2225" s="60" t="n">
        <x:v>0.6</x:v>
      </x:c>
      <x:c r="E2225" s="62" t="b">
        <x:v>1</x:v>
      </x:c>
      <x:c r="F2225" s="62" t="b">
        <x:v>0</x:v>
      </x:c>
      <x:c r="G2225" s="85" t="n">
        <x:v>809538.6660217947</x:v>
      </x:c>
      <x:c r="H2225" s="85" t="n">
        <x:v>5255015.692728443</x:v>
      </x:c>
      <x:c r="I2225" s="85" t="n">
        <x:v>60553822.6875342</x:v>
      </x:c>
      <x:c r="J2225" s="85" t="n">
        <x:v>65999999.999999985</x:v>
      </x:c>
      <x:c r="K2225" s="85" t="n">
        <x:v>344428.9316986311</x:v>
      </x:c>
      <x:c r="L2225" s="28" t="n">
        <x:v>43</x:v>
      </x:c>
      <x:c r="M2225" s="28" t="n">
        <x:v>32</x:v>
      </x:c>
      <x:c r="N2225" s="28" t="n">
        <x:v>1.862645149230957e-9</x:v>
      </x:c>
      <x:c r="O2225" s="28" t="n">
        <x:v>2.9802322387695312e-8</x:v>
      </x:c>
      <x:c r="P2225" s="28" t="n">
        <x:v>0</x:v>
      </x:c>
      <x:c r="Q2225" s="62" t="b">
        <x:v>1</x:v>
      </x:c>
      <x:c r="R2225" s="28" t="n">
        <x:v>0</x:v>
      </x:c>
      <x:c r="S2225" s="28" t="str">
        <x:v>650c97b1a984c92f</x:v>
      </x:c>
    </x:row>
    <x:row r="2226" ht="21" customHeight="1">
      <x:c r="A2226" s="60" t="n">
        <x:v>0.68</x:v>
      </x:c>
      <x:c r="B2226" s="28" t="str">
        <x:v>level_flat</x:v>
      </x:c>
      <x:c r="C2226" s="60" t="n">
        <x:v>0.65</x:v>
      </x:c>
      <x:c r="D2226" s="60" t="n">
        <x:v>0.65</x:v>
      </x:c>
      <x:c r="E2226" s="62" t="b">
        <x:v>1</x:v>
      </x:c>
      <x:c r="F2226" s="62" t="b">
        <x:v>0</x:v>
      </x:c>
      <x:c r="G2226" s="85" t="n">
        <x:v>3134881.5914994166</x:v>
      </x:c>
      <x:c r="H2226" s="85" t="n">
        <x:v>17912226.67457641</x:v>
      </x:c>
      <x:c r="I2226" s="85" t="n">
        <x:v>60620465.80874652</x:v>
      </x:c>
      <x:c r="J2226" s="85" t="n">
        <x:v>65999999.999999985</x:v>
      </x:c>
      <x:c r="K2226" s="85" t="n">
        <x:v>312519.6701849288</x:v>
      </x:c>
      <x:c r="L2226" s="28" t="n">
        <x:v>43</x:v>
      </x:c>
      <x:c r="M2226" s="28" t="n">
        <x:v>34</x:v>
      </x:c>
      <x:c r="N2226" s="28" t="n">
        <x:v>1.862645149230957e-9</x:v>
      </x:c>
      <x:c r="O2226" s="28" t="n">
        <x:v>2.9802322387695312e-8</x:v>
      </x:c>
      <x:c r="P2226" s="28" t="n">
        <x:v>0</x:v>
      </x:c>
      <x:c r="Q2226" s="62" t="b">
        <x:v>1</x:v>
      </x:c>
      <x:c r="R2226" s="28" t="n">
        <x:v>0</x:v>
      </x:c>
      <x:c r="S2226" s="28" t="str">
        <x:v>cb8bfed1ca96d25b</x:v>
      </x:c>
    </x:row>
    <x:row r="2227" ht="21" customHeight="1">
      <x:c r="A2227" s="60" t="n">
        <x:v>0.68</x:v>
      </x:c>
      <x:c r="B2227" s="28" t="str">
        <x:v>level_flat</x:v>
      </x:c>
      <x:c r="C2227" s="60" t="n">
        <x:v>0.7</x:v>
      </x:c>
      <x:c r="D2227" s="60" t="n">
        <x:v>0.7</x:v>
      </x:c>
      <x:c r="E2227" s="62" t="b">
        <x:v>1</x:v>
      </x:c>
      <x:c r="F2227" s="62" t="b">
        <x:v>0</x:v>
      </x:c>
      <x:c r="G2227" s="85" t="n">
        <x:v>5080100.315840463</x:v>
      </x:c>
      <x:c r="H2227" s="85" t="n">
        <x:v>28693146.292595368</x:v>
      </x:c>
      <x:c r="I2227" s="85" t="n">
        <x:v>61829540.74635611</x:v>
      </x:c>
      <x:c r="J2227" s="85" t="n">
        <x:v>65999999.999999985</x:v>
      </x:c>
      <x:c r="K2227" s="85" t="n">
        <x:v>280610.40867123776</x:v>
      </x:c>
      <x:c r="L2227" s="28" t="n">
        <x:v>44</x:v>
      </x:c>
      <x:c r="M2227" s="28" t="n">
        <x:v>35</x:v>
      </x:c>
      <x:c r="N2227" s="28" t="n">
        <x:v>1.862645149230957e-9</x:v>
      </x:c>
      <x:c r="O2227" s="28" t="n">
        <x:v>2.9802322387695312e-8</x:v>
      </x:c>
      <x:c r="P2227" s="28" t="n">
        <x:v>0</x:v>
      </x:c>
      <x:c r="Q2227" s="62" t="b">
        <x:v>1</x:v>
      </x:c>
      <x:c r="R2227" s="28" t="n">
        <x:v>0</x:v>
      </x:c>
      <x:c r="S2227" s="28" t="str">
        <x:v>654f2b53c0432511</x:v>
      </x:c>
    </x:row>
    <x:row r="2228" ht="21" customHeight="1">
      <x:c r="A2228" s="60" t="n">
        <x:v>0.68</x:v>
      </x:c>
      <x:c r="B2228" s="28" t="str">
        <x:v>level_flat</x:v>
      </x:c>
      <x:c r="C2228" s="60" t="n">
        <x:v>0.75</x:v>
      </x:c>
      <x:c r="D2228" s="60" t="n">
        <x:v>0.75</x:v>
      </x:c>
      <x:c r="E2228" s="62" t="b">
        <x:v>1</x:v>
      </x:c>
      <x:c r="F2228" s="62" t="b">
        <x:v>0</x:v>
      </x:c>
      <x:c r="G2228" s="85" t="n">
        <x:v>7670631.987856327</x:v>
      </x:c>
      <x:c r="H2228" s="85" t="n">
        <x:v>40758996.78139596</x:v>
      </x:c>
      <x:c r="I2228" s="85" t="n">
        <x:v>61903803.31082186</x:v>
      </x:c>
      <x:c r="J2228" s="85" t="n">
        <x:v>65999999.999999985</x:v>
      </x:c>
      <x:c r="K2228" s="85" t="n">
        <x:v>248701.14715753548</x:v>
      </x:c>
      <x:c r="L2228" s="28" t="n">
        <x:v>44</x:v>
      </x:c>
      <x:c r="M2228" s="28" t="n">
        <x:v>36</x:v>
      </x:c>
      <x:c r="N2228" s="28" t="n">
        <x:v>1.862645149230957e-9</x:v>
      </x:c>
      <x:c r="O2228" s="28" t="n">
        <x:v>2.9802322387695312e-8</x:v>
      </x:c>
      <x:c r="P2228" s="28" t="n">
        <x:v>0</x:v>
      </x:c>
      <x:c r="Q2228" s="62" t="b">
        <x:v>1</x:v>
      </x:c>
      <x:c r="R2228" s="28" t="n">
        <x:v>0</x:v>
      </x:c>
      <x:c r="S2228" s="28" t="str">
        <x:v>05a4f77a8a91e2e4</x:v>
      </x:c>
    </x:row>
    <x:row r="2229" ht="21" customHeight="1">
      <x:c r="A2229" s="60" t="n">
        <x:v>0.68</x:v>
      </x:c>
      <x:c r="B2229" s="28" t="str">
        <x:v>level_flat</x:v>
      </x:c>
      <x:c r="C2229" s="60" t="n">
        <x:v>0.8</x:v>
      </x:c>
      <x:c r="D2229" s="60" t="n">
        <x:v>0.8</x:v>
      </x:c>
      <x:c r="E2229" s="62" t="b">
        <x:v>1</x:v>
      </x:c>
      <x:c r="F2229" s="62" t="b">
        <x:v>0</x:v>
      </x:c>
      <x:c r="G2229" s="85" t="n">
        <x:v>9948580.685489902</x:v>
      </x:c>
      <x:c r="H2229" s="85" t="n">
        <x:v>50933309.20216781</x:v>
      </x:c>
      <x:c r="I2229" s="85" t="n">
        <x:v>63248280.96964378</x:v>
      </x:c>
      <x:c r="J2229" s="85" t="n">
        <x:v>65999999.999999985</x:v>
      </x:c>
      <x:c r="K2229" s="85" t="n">
        <x:v>216791.88564384208</x:v>
      </x:c>
      <x:c r="L2229" s="28" t="n">
        <x:v>45</x:v>
      </x:c>
      <x:c r="M2229" s="28" t="n">
        <x:v>37</x:v>
      </x:c>
      <x:c r="N2229" s="28" t="n">
        <x:v>1.862645149230957e-9</x:v>
      </x:c>
      <x:c r="O2229" s="28" t="n">
        <x:v>2.9802322387695312e-8</x:v>
      </x:c>
      <x:c r="P2229" s="28" t="n">
        <x:v>0</x:v>
      </x:c>
      <x:c r="Q2229" s="62" t="b">
        <x:v>1</x:v>
      </x:c>
      <x:c r="R2229" s="28" t="n">
        <x:v>0</x:v>
      </x:c>
      <x:c r="S2229" s="28" t="str">
        <x:v>46ee72b151d57e87</x:v>
      </x:c>
    </x:row>
    <x:row r="2230" ht="21" customHeight="1">
      <x:c r="A2230" s="60" t="n">
        <x:v>0.68</x:v>
      </x:c>
      <x:c r="B2230" s="28" t="str">
        <x:v>level_flat</x:v>
      </x:c>
      <x:c r="C2230" s="60" t="n">
        <x:v>0.85</x:v>
      </x:c>
      <x:c r="D2230" s="60" t="n">
        <x:v>0.85</x:v>
      </x:c>
      <x:c r="E2230" s="62" t="b">
        <x:v>1</x:v>
      </x:c>
      <x:c r="F2230" s="62" t="b">
        <x:v>0</x:v>
      </x:c>
      <x:c r="G2230" s="85" t="n">
        <x:v>12921350.308738716</x:v>
      </x:c>
      <x:c r="H2230" s="85" t="n">
        <x:v>62464347.74848867</x:v>
      </x:c>
      <x:c r="I2230" s="85" t="n">
        <x:v>63279700.399424605</x:v>
      </x:c>
      <x:c r="J2230" s="85" t="n">
        <x:v>65999999.999999985</x:v>
      </x:c>
      <x:c r="K2230" s="85" t="n">
        <x:v>184882.6241301389</x:v>
      </x:c>
      <x:c r="L2230" s="28" t="n">
        <x:v>45</x:v>
      </x:c>
      <x:c r="M2230" s="28" t="n">
        <x:v>38</x:v>
      </x:c>
      <x:c r="N2230" s="28" t="n">
        <x:v>1.862645149230957e-9</x:v>
      </x:c>
      <x:c r="O2230" s="28" t="n">
        <x:v>2.9802322387695312e-8</x:v>
      </x:c>
      <x:c r="P2230" s="28" t="n">
        <x:v>0</x:v>
      </x:c>
      <x:c r="Q2230" s="62" t="b">
        <x:v>1</x:v>
      </x:c>
      <x:c r="R2230" s="28" t="n">
        <x:v>0</x:v>
      </x:c>
      <x:c r="S2230" s="28" t="str">
        <x:v>f68c4abf487a4e5d</x:v>
      </x:c>
    </x:row>
    <x:row r="2231" ht="21" customHeight="1">
      <x:c r="A2231" s="60" t="n">
        <x:v>0.68</x:v>
      </x:c>
      <x:c r="B2231" s="28" t="str">
        <x:v>level_flat</x:v>
      </x:c>
      <x:c r="C2231" s="60" t="n">
        <x:v>0.9</x:v>
      </x:c>
      <x:c r="D2231" s="60" t="n">
        <x:v>0.9</x:v>
      </x:c>
      <x:c r="E2231" s="62" t="b">
        <x:v>1</x:v>
      </x:c>
      <x:c r="F2231" s="62" t="b">
        <x:v>0</x:v>
      </x:c>
      <x:c r="G2231" s="85" t="n">
        <x:v>18493334.549294654</x:v>
      </x:c>
      <x:c r="H2231" s="85" t="n">
        <x:v>70921760.41546142</x:v>
      </x:c>
      <x:c r="I2231" s="85" t="n">
        <x:v>63311119.82920542</x:v>
      </x:c>
      <x:c r="J2231" s="85" t="n">
        <x:v>65999999.999999985</x:v>
      </x:c>
      <x:c r="K2231" s="85" t="n">
        <x:v>152973.36261644174</x:v>
      </x:c>
      <x:c r="L2231" s="28" t="n">
        <x:v>45</x:v>
      </x:c>
      <x:c r="M2231" s="28" t="n">
        <x:v>39</x:v>
      </x:c>
      <x:c r="N2231" s="28" t="n">
        <x:v>1.862645149230957e-9</x:v>
      </x:c>
      <x:c r="O2231" s="28" t="n">
        <x:v>7.450580596923828e-9</x:v>
      </x:c>
      <x:c r="P2231" s="28" t="n">
        <x:v>0</x:v>
      </x:c>
      <x:c r="Q2231" s="62" t="b">
        <x:v>1</x:v>
      </x:c>
      <x:c r="R2231" s="28" t="n">
        <x:v>0</x:v>
      </x:c>
      <x:c r="S2231" s="28" t="str">
        <x:v>d25a6aac353ebe56</x:v>
      </x:c>
    </x:row>
    <x:row r="2232" ht="21" customHeight="1">
      <x:c r="A2232" s="60" t="n">
        <x:v>0.68</x:v>
      </x:c>
      <x:c r="B2232" s="28" t="str">
        <x:v>level_flat</x:v>
      </x:c>
      <x:c r="C2232" s="60" t="n">
        <x:v>0.95</x:v>
      </x:c>
      <x:c r="D2232" s="60" t="n">
        <x:v>0.9219114501462435</x:v>
      </x:c>
      <x:c r="E2232" s="62" t="b">
        <x:v>0</x:v>
      </x:c>
      <x:c r="F2232" s="62" t="b">
        <x:v>0</x:v>
      </x:c>
      <x:c r="G2232" s="85" t="n">
        <x:v>20008667.631492175</x:v>
      </x:c>
      <x:c r="H2232" s="85" t="n">
        <x:v>75755815.99824329</x:v>
      </x:c>
      <x:c r="I2232" s="85" t="n">
        <x:v>63342539.25898624</x:v>
      </x:c>
      <x:c r="J2232" s="85" t="n">
        <x:v>65999999.999999985</x:v>
      </x:c>
      <x:c r="K2232" s="85" t="n">
        <x:v>121064.10110274694</x:v>
      </x:c>
      <x:c r="L2232" s="28" t="n">
        <x:v>45</x:v>
      </x:c>
      <x:c r="M2232" s="28" t="n">
        <x:v>40</x:v>
      </x:c>
      <x:c r="N2232" s="28" t="n">
        <x:v>9.313225746154785e-10</x:v>
      </x:c>
      <x:c r="O2232" s="28" t="n">
        <x:v>1.4901161193847656e-8</x:v>
      </x:c>
      <x:c r="P2232" s="28" t="n">
        <x:v>0</x:v>
      </x:c>
      <x:c r="Q2232" s="62" t="b">
        <x:v>1</x:v>
      </x:c>
      <x:c r="R2232" s="28" t="n">
        <x:v>8426564.956126928</x:v>
      </x:c>
      <x:c r="S2232" s="28" t="str">
        <x:v>c63dadb18a040d81</x:v>
      </x:c>
    </x:row>
    <x:row r="2233" ht="21" customHeight="1">
      <x:c r="A2233" s="60" t="n">
        <x:v>0.68</x:v>
      </x:c>
      <x:c r="B2233" s="28" t="str">
        <x:v>level_flat</x:v>
      </x:c>
      <x:c r="C2233" s="60" t="n">
        <x:v>1</x:v>
      </x:c>
      <x:c r="D2233" s="60" t="n">
        <x:v>0.9350574964161632</x:v>
      </x:c>
      <x:c r="E2233" s="62" t="b">
        <x:v>0</x:v>
      </x:c>
      <x:c r="F2233" s="62" t="b">
        <x:v>0</x:v>
      </x:c>
      <x:c r="G2233" s="85" t="n">
        <x:v>21700800.789868176</x:v>
      </x:c>
      <x:c r="H2233" s="85" t="n">
        <x:v>78851514.03956005</x:v>
      </x:c>
      <x:c r="I2233" s="85" t="n">
        <x:v>63373958.68876707</x:v>
      </x:c>
      <x:c r="J2233" s="85" t="n">
        <x:v>65999999.999999985</x:v>
      </x:c>
      <x:c r="K2233" s="85" t="n">
        <x:v>90838.81232876706</x:v>
      </x:c>
      <x:c r="L2233" s="28" t="n">
        <x:v>45</x:v>
      </x:c>
      <x:c r="M2233" s="28" t="n">
        <x:v>40</x:v>
      </x:c>
      <x:c r="N2233" s="28" t="n">
        <x:v>1.862645149230957e-9</x:v>
      </x:c>
      <x:c r="O2233" s="28" t="n">
        <x:v>7.450580596923828e-9</x:v>
      </x:c>
      <x:c r="P2233" s="28" t="n">
        <x:v>0</x:v>
      </x:c>
      <x:c r="Q2233" s="62" t="b">
        <x:v>1</x:v>
      </x:c>
      <x:c r="R2233" s="28" t="n">
        <x:v>19482751.075151026</x:v>
      </x:c>
      <x:c r="S2233" s="28" t="str">
        <x:v>c75eb8520da2bdf3</x:v>
      </x:c>
    </x:row>
    <x:row r="2234" ht="21" customHeight="1">
      <x:c r="A2234" s="60" t="n">
        <x:v>0.68</x:v>
      </x:c>
      <x:c r="B2234" s="28" t="str">
        <x:v>level_low</x:v>
      </x:c>
      <x:c r="C2234" s="60" t="n">
        <x:v>0</x:v>
      </x:c>
      <x:c r="D2234" s="60" t="n">
        <x:v>0</x:v>
      </x:c>
      <x:c r="E2234" s="62" t="b">
        <x:v>1</x:v>
      </x:c>
      <x:c r="F2234" s="62" t="b">
        <x:v>1</x:v>
      </x:c>
      <x:c r="G2234" s="85" t="n">
        <x:v>0</x:v>
      </x:c>
      <x:c r="H2234" s="85" t="n">
        <x:v>0</x:v>
      </x:c>
      <x:c r="I2234" s="85" t="n">
        <x:v>0</x:v>
      </x:c>
      <x:c r="J2234" s="85" t="n">
        <x:v>0</x:v>
      </x:c>
      <x:c r="K2234" s="85" t="n">
        <x:v>31696190.039041106</x:v>
      </x:c>
      <x:c r="L2234" s="28" t="n">
        <x:v>0</x:v>
      </x:c>
      <x:c r="M2234" s="28" t="n">
        <x:v>0</x:v>
      </x:c>
      <x:c r="N2234" s="28" t="n">
        <x:v>1.862645149230957e-9</x:v>
      </x:c>
      <x:c r="O2234" s="28" t="n">
        <x:v>0</x:v>
      </x:c>
      <x:c r="P2234" s="28" t="n">
        <x:v>0</x:v>
      </x:c>
      <x:c r="Q2234" s="62" t="b">
        <x:v>1</x:v>
      </x:c>
      <x:c r="R2234" s="28" t="n">
        <x:v>0</x:v>
      </x:c>
      <x:c r="S2234" s="28" t="str">
        <x:v>ca9aadc73d447928</x:v>
      </x:c>
    </x:row>
    <x:row r="2235" ht="21" customHeight="1">
      <x:c r="A2235" s="60" t="n">
        <x:v>0.68</x:v>
      </x:c>
      <x:c r="B2235" s="28" t="str">
        <x:v>level_low</x:v>
      </x:c>
      <x:c r="C2235" s="60" t="n">
        <x:v>0.05</x:v>
      </x:c>
      <x:c r="D2235" s="60" t="n">
        <x:v>0.05</x:v>
      </x:c>
      <x:c r="E2235" s="62" t="b">
        <x:v>1</x:v>
      </x:c>
      <x:c r="F2235" s="62" t="b">
        <x:v>1</x:v>
      </x:c>
      <x:c r="G2235" s="85" t="n">
        <x:v>0</x:v>
      </x:c>
      <x:c r="H2235" s="85" t="n">
        <x:v>0</x:v>
      </x:c>
      <x:c r="I2235" s="85" t="n">
        <x:v>0</x:v>
      </x:c>
      <x:c r="J2235" s="85" t="n">
        <x:v>0</x:v>
      </x:c>
      <x:c r="K2235" s="85" t="n">
        <x:v>20985697.23731078</x:v>
      </x:c>
      <x:c r="L2235" s="28" t="n">
        <x:v>0</x:v>
      </x:c>
      <x:c r="M2235" s="28" t="n">
        <x:v>0</x:v>
      </x:c>
      <x:c r="N2235" s="28" t="n">
        <x:v>3.725290298461914e-9</x:v>
      </x:c>
      <x:c r="O2235" s="28" t="n">
        <x:v>2.9802322387695312e-8</x:v>
      </x:c>
      <x:c r="P2235" s="28" t="n">
        <x:v>0</x:v>
      </x:c>
      <x:c r="Q2235" s="62" t="b">
        <x:v>1</x:v>
      </x:c>
      <x:c r="R2235" s="28" t="n">
        <x:v>0</x:v>
      </x:c>
      <x:c r="S2235" s="28" t="str">
        <x:v>a590f1d57727b27c</x:v>
      </x:c>
    </x:row>
    <x:row r="2236" ht="21" customHeight="1">
      <x:c r="A2236" s="60" t="n">
        <x:v>0.68</x:v>
      </x:c>
      <x:c r="B2236" s="28" t="str">
        <x:v>level_low</x:v>
      </x:c>
      <x:c r="C2236" s="60" t="n">
        <x:v>0.1</x:v>
      </x:c>
      <x:c r="D2236" s="60" t="n">
        <x:v>0.1</x:v>
      </x:c>
      <x:c r="E2236" s="62" t="b">
        <x:v>1</x:v>
      </x:c>
      <x:c r="F2236" s="62" t="b">
        <x:v>1</x:v>
      </x:c>
      <x:c r="G2236" s="85" t="n">
        <x:v>0</x:v>
      </x:c>
      <x:c r="H2236" s="85" t="n">
        <x:v>0</x:v>
      </x:c>
      <x:c r="I2236" s="85" t="n">
        <x:v>0</x:v>
      </x:c>
      <x:c r="J2236" s="85" t="n">
        <x:v>0</x:v>
      </x:c>
      <x:c r="K2236" s="85" t="n">
        <x:v>10191949.735085119</x:v>
      </x:c>
      <x:c r="L2236" s="28" t="n">
        <x:v>0</x:v>
      </x:c>
      <x:c r="M2236" s="28" t="n">
        <x:v>0</x:v>
      </x:c>
      <x:c r="N2236" s="28" t="n">
        <x:v>3.725290298461914e-9</x:v>
      </x:c>
      <x:c r="O2236" s="28" t="n">
        <x:v>5.960464477539063e-8</x:v>
      </x:c>
      <x:c r="P2236" s="28" t="n">
        <x:v>0</x:v>
      </x:c>
      <x:c r="Q2236" s="62" t="b">
        <x:v>1</x:v>
      </x:c>
      <x:c r="R2236" s="28" t="n">
        <x:v>0</x:v>
      </x:c>
      <x:c r="S2236" s="28" t="str">
        <x:v>613f08b08290d0ff</x:v>
      </x:c>
    </x:row>
    <x:row r="2237" ht="21" customHeight="1">
      <x:c r="A2237" s="60" t="n">
        <x:v>0.68</x:v>
      </x:c>
      <x:c r="B2237" s="28" t="str">
        <x:v>level_low</x:v>
      </x:c>
      <x:c r="C2237" s="60" t="n">
        <x:v>0.15</x:v>
      </x:c>
      <x:c r="D2237" s="60" t="n">
        <x:v>0.15</x:v>
      </x:c>
      <x:c r="E2237" s="62" t="b">
        <x:v>1</x:v>
      </x:c>
      <x:c r="F2237" s="62" t="b">
        <x:v>1</x:v>
      </x:c>
      <x:c r="G2237" s="85" t="n">
        <x:v>0</x:v>
      </x:c>
      <x:c r="H2237" s="85" t="n">
        <x:v>0</x:v>
      </x:c>
      <x:c r="I2237" s="85" t="n">
        <x:v>1219013.4019955082</x:v>
      </x:c>
      <x:c r="J2237" s="85" t="n">
        <x:v>0</x:v>
      </x:c>
      <x:c r="K2237" s="85" t="n">
        <x:v>1261757.088652546</x:v>
      </x:c>
      <x:c r="L2237" s="28" t="n">
        <x:v>0</x:v>
      </x:c>
      <x:c r="M2237" s="28" t="n">
        <x:v>0</x:v>
      </x:c>
      <x:c r="N2237" s="28" t="n">
        <x:v>1.862645149230957e-9</x:v>
      </x:c>
      <x:c r="O2237" s="28" t="n">
        <x:v>2.9802322387695312e-8</x:v>
      </x:c>
      <x:c r="P2237" s="28" t="n">
        <x:v>0</x:v>
      </x:c>
      <x:c r="Q2237" s="62" t="b">
        <x:v>1</x:v>
      </x:c>
      <x:c r="R2237" s="28" t="n">
        <x:v>0</x:v>
      </x:c>
      <x:c r="S2237" s="28" t="str">
        <x:v>ef3a6a507b4efe58</x:v>
      </x:c>
    </x:row>
    <x:row r="2238" ht="21" customHeight="1">
      <x:c r="A2238" s="60" t="n">
        <x:v>0.68</x:v>
      </x:c>
      <x:c r="B2238" s="28" t="str">
        <x:v>level_low</x:v>
      </x:c>
      <x:c r="C2238" s="60" t="n">
        <x:v>0.2</x:v>
      </x:c>
      <x:c r="D2238" s="60" t="n">
        <x:v>0.2</x:v>
      </x:c>
      <x:c r="E2238" s="62" t="b">
        <x:v>1</x:v>
      </x:c>
      <x:c r="F2238" s="62" t="b">
        <x:v>1</x:v>
      </x:c>
      <x:c r="G2238" s="85" t="n">
        <x:v>0</x:v>
      </x:c>
      <x:c r="H2238" s="85" t="n">
        <x:v>0</x:v>
      </x:c>
      <x:c r="I2238" s="85" t="n">
        <x:v>7242666.875614887</x:v>
      </x:c>
      <x:c r="J2238" s="85" t="n">
        <x:v>6323003.27253421</x:v>
      </x:c>
      <x:c r="K2238" s="85" t="n">
        <x:v>962941.7326616064</x:v>
      </x:c>
      <x:c r="L2238" s="28" t="n">
        <x:v>0</x:v>
      </x:c>
      <x:c r="M2238" s="28" t="n">
        <x:v>0</x:v>
      </x:c>
      <x:c r="N2238" s="28" t="n">
        <x:v>1.862645149230957e-9</x:v>
      </x:c>
      <x:c r="O2238" s="28" t="n">
        <x:v>2.9802322387695312e-8</x:v>
      </x:c>
      <x:c r="P2238" s="28" t="n">
        <x:v>0</x:v>
      </x:c>
      <x:c r="Q2238" s="62" t="b">
        <x:v>1</x:v>
      </x:c>
      <x:c r="R2238" s="28" t="n">
        <x:v>0</x:v>
      </x:c>
      <x:c r="S2238" s="28" t="str">
        <x:v>782c74dc70cc39df</x:v>
      </x:c>
    </x:row>
    <x:row r="2239" ht="21" customHeight="1">
      <x:c r="A2239" s="60" t="n">
        <x:v>0.68</x:v>
      </x:c>
      <x:c r="B2239" s="28" t="str">
        <x:v>level_low</x:v>
      </x:c>
      <x:c r="C2239" s="60" t="n">
        <x:v>0.25</x:v>
      </x:c>
      <x:c r="D2239" s="60" t="n">
        <x:v>0.25</x:v>
      </x:c>
      <x:c r="E2239" s="62" t="b">
        <x:v>1</x:v>
      </x:c>
      <x:c r="F2239" s="62" t="b">
        <x:v>1</x:v>
      </x:c>
      <x:c r="G2239" s="85" t="n">
        <x:v>0</x:v>
      </x:c>
      <x:c r="H2239" s="85" t="n">
        <x:v>0</x:v>
      </x:c>
      <x:c r="I2239" s="85" t="n">
        <x:v>11174175.497800274</x:v>
      </x:c>
      <x:c r="J2239" s="85" t="n">
        <x:v>15403754.090667719</x:v>
      </x:c>
      <x:c r="K2239" s="85" t="n">
        <x:v>746666.3026328783</x:v>
      </x:c>
      <x:c r="L2239" s="28" t="n">
        <x:v>0</x:v>
      </x:c>
      <x:c r="M2239" s="28" t="n">
        <x:v>0</x:v>
      </x:c>
      <x:c r="N2239" s="28" t="n">
        <x:v>1.862645149230957e-9</x:v>
      </x:c>
      <x:c r="O2239" s="28" t="n">
        <x:v>2.9802322387695312e-8</x:v>
      </x:c>
      <x:c r="P2239" s="28" t="n">
        <x:v>0</x:v>
      </x:c>
      <x:c r="Q2239" s="62" t="b">
        <x:v>1</x:v>
      </x:c>
      <x:c r="R2239" s="28" t="n">
        <x:v>0</x:v>
      </x:c>
      <x:c r="S2239" s="28" t="str">
        <x:v>b8027e46710026b5</x:v>
      </x:c>
    </x:row>
    <x:row r="2240" ht="21" customHeight="1">
      <x:c r="A2240" s="60" t="n">
        <x:v>0.68</x:v>
      </x:c>
      <x:c r="B2240" s="28" t="str">
        <x:v>level_low</x:v>
      </x:c>
      <x:c r="C2240" s="60" t="n">
        <x:v>0.3</x:v>
      </x:c>
      <x:c r="D2240" s="60" t="n">
        <x:v>0.3</x:v>
      </x:c>
      <x:c r="E2240" s="62" t="b">
        <x:v>1</x:v>
      </x:c>
      <x:c r="F2240" s="62" t="b">
        <x:v>1</x:v>
      </x:c>
      <x:c r="G2240" s="85" t="n">
        <x:v>0</x:v>
      </x:c>
      <x:c r="H2240" s="85" t="n">
        <x:v>0</x:v>
      </x:c>
      <x:c r="I2240" s="85" t="n">
        <x:v>15208842.507908238</x:v>
      </x:c>
      <x:c r="J2240" s="85" t="n">
        <x:v>24484504.908801176</x:v>
      </x:c>
      <x:c r="K2240" s="85" t="n">
        <x:v>578883.3487156196</x:v>
      </x:c>
      <x:c r="L2240" s="28" t="n">
        <x:v>0</x:v>
      </x:c>
      <x:c r="M2240" s="28" t="n">
        <x:v>0</x:v>
      </x:c>
      <x:c r="N2240" s="28" t="n">
        <x:v>3.725290298461914e-9</x:v>
      </x:c>
      <x:c r="O2240" s="28" t="n">
        <x:v>7.450580596923828e-9</x:v>
      </x:c>
      <x:c r="P2240" s="28" t="n">
        <x:v>0</x:v>
      </x:c>
      <x:c r="Q2240" s="62" t="b">
        <x:v>1</x:v>
      </x:c>
      <x:c r="R2240" s="28" t="n">
        <x:v>0</x:v>
      </x:c>
      <x:c r="S2240" s="28" t="str">
        <x:v>07155c5df0d8cc2a</x:v>
      </x:c>
    </x:row>
    <x:row r="2241" ht="21" customHeight="1">
      <x:c r="A2241" s="60" t="n">
        <x:v>0.68</x:v>
      </x:c>
      <x:c r="B2241" s="28" t="str">
        <x:v>level_low</x:v>
      </x:c>
      <x:c r="C2241" s="60" t="n">
        <x:v>0.35</x:v>
      </x:c>
      <x:c r="D2241" s="60" t="n">
        <x:v>0.35</x:v>
      </x:c>
      <x:c r="E2241" s="62" t="b">
        <x:v>1</x:v>
      </x:c>
      <x:c r="F2241" s="62" t="b">
        <x:v>1</x:v>
      </x:c>
      <x:c r="G2241" s="85" t="n">
        <x:v>0</x:v>
      </x:c>
      <x:c r="H2241" s="85" t="n">
        <x:v>0</x:v>
      </x:c>
      <x:c r="I2241" s="85" t="n">
        <x:v>19944505.38077268</x:v>
      </x:c>
      <x:c r="J2241" s="85" t="n">
        <x:v>32475262.939132396</x:v>
      </x:c>
      <x:c r="K2241" s="85" t="n">
        <x:v>460029.36414082476</x:v>
      </x:c>
      <x:c r="L2241" s="28" t="n">
        <x:v>2</x:v>
      </x:c>
      <x:c r="M2241" s="28" t="n">
        <x:v>0</x:v>
      </x:c>
      <x:c r="N2241" s="28" t="n">
        <x:v>9.313225746154785e-10</x:v>
      </x:c>
      <x:c r="O2241" s="28" t="n">
        <x:v>2.9802322387695312e-8</x:v>
      </x:c>
      <x:c r="P2241" s="28" t="n">
        <x:v>0</x:v>
      </x:c>
      <x:c r="Q2241" s="62" t="b">
        <x:v>1</x:v>
      </x:c>
      <x:c r="R2241" s="28" t="n">
        <x:v>0</x:v>
      </x:c>
      <x:c r="S2241" s="28" t="str">
        <x:v>ca87702335f8f222</x:v>
      </x:c>
    </x:row>
    <x:row r="2242" ht="21" customHeight="1">
      <x:c r="A2242" s="60" t="n">
        <x:v>0.68</x:v>
      </x:c>
      <x:c r="B2242" s="28" t="str">
        <x:v>level_low</x:v>
      </x:c>
      <x:c r="C2242" s="60" t="n">
        <x:v>0.4</x:v>
      </x:c>
      <x:c r="D2242" s="60" t="n">
        <x:v>0.4</x:v>
      </x:c>
      <x:c r="E2242" s="62" t="b">
        <x:v>1</x:v>
      </x:c>
      <x:c r="F2242" s="62" t="b">
        <x:v>1</x:v>
      </x:c>
      <x:c r="G2242" s="85" t="n">
        <x:v>0</x:v>
      </x:c>
      <x:c r="H2242" s="85" t="n">
        <x:v>0</x:v>
      </x:c>
      <x:c r="I2242" s="85" t="n">
        <x:v>26572957.450748436</x:v>
      </x:c>
      <x:c r="J2242" s="85" t="n">
        <x:v>37405806.79802493</x:v>
      </x:c>
      <x:c r="K2242" s="85" t="n">
        <x:v>393234.3310684956</x:v>
      </x:c>
      <x:c r="L2242" s="28" t="n">
        <x:v>9</x:v>
      </x:c>
      <x:c r="M2242" s="28" t="n">
        <x:v>0</x:v>
      </x:c>
      <x:c r="N2242" s="28" t="n">
        <x:v>3.725290298461914e-9</x:v>
      </x:c>
      <x:c r="O2242" s="28" t="n">
        <x:v>2.9802322387695312e-8</x:v>
      </x:c>
      <x:c r="P2242" s="28" t="n">
        <x:v>0</x:v>
      </x:c>
      <x:c r="Q2242" s="62" t="b">
        <x:v>1</x:v>
      </x:c>
      <x:c r="R2242" s="28" t="n">
        <x:v>0</x:v>
      </x:c>
      <x:c r="S2242" s="28" t="str">
        <x:v>024c834310b16154</x:v>
      </x:c>
    </x:row>
    <x:row r="2243" ht="21" customHeight="1">
      <x:c r="A2243" s="60" t="n">
        <x:v>0.68</x:v>
      </x:c>
      <x:c r="B2243" s="28" t="str">
        <x:v>level_low</x:v>
      </x:c>
      <x:c r="C2243" s="60" t="n">
        <x:v>0.45</x:v>
      </x:c>
      <x:c r="D2243" s="60" t="n">
        <x:v>0.45</x:v>
      </x:c>
      <x:c r="E2243" s="62" t="b">
        <x:v>1</x:v>
      </x:c>
      <x:c r="F2243" s="62" t="b">
        <x:v>1</x:v>
      </x:c>
      <x:c r="G2243" s="85" t="n">
        <x:v>0</x:v>
      </x:c>
      <x:c r="H2243" s="85" t="n">
        <x:v>0</x:v>
      </x:c>
      <x:c r="I2243" s="85" t="n">
        <x:v>31632506.962791957</x:v>
      </x:c>
      <x:c r="J2243" s="85" t="n">
        <x:v>44882056.71633382</x:v>
      </x:c>
      <x:c r="K2243" s="85" t="n">
        <x:v>334622.9349520617</x:v>
      </x:c>
      <x:c r="L2243" s="28" t="n">
        <x:v>13</x:v>
      </x:c>
      <x:c r="M2243" s="28" t="n">
        <x:v>0</x:v>
      </x:c>
      <x:c r="N2243" s="28" t="n">
        <x:v>3.725290298461914e-9</x:v>
      </x:c>
      <x:c r="O2243" s="28" t="n">
        <x:v>2.9802322387695312e-8</x:v>
      </x:c>
      <x:c r="P2243" s="28" t="n">
        <x:v>0</x:v>
      </x:c>
      <x:c r="Q2243" s="62" t="b">
        <x:v>1</x:v>
      </x:c>
      <x:c r="R2243" s="28" t="n">
        <x:v>0</x:v>
      </x:c>
      <x:c r="S2243" s="28" t="str">
        <x:v>305821c493cb0bc8</x:v>
      </x:c>
    </x:row>
    <x:row r="2244" ht="21" customHeight="1">
      <x:c r="A2244" s="60" t="n">
        <x:v>0.68</x:v>
      </x:c>
      <x:c r="B2244" s="28" t="str">
        <x:v>level_low</x:v>
      </x:c>
      <x:c r="C2244" s="60" t="n">
        <x:v>0.5</x:v>
      </x:c>
      <x:c r="D2244" s="60" t="n">
        <x:v>0.5</x:v>
      </x:c>
      <x:c r="E2244" s="62" t="b">
        <x:v>1</x:v>
      </x:c>
      <x:c r="F2244" s="62" t="b">
        <x:v>1</x:v>
      </x:c>
      <x:c r="G2244" s="85" t="n">
        <x:v>0</x:v>
      </x:c>
      <x:c r="H2244" s="85" t="n">
        <x:v>0</x:v>
      </x:c>
      <x:c r="I2244" s="85" t="n">
        <x:v>36335771.261060305</x:v>
      </x:c>
      <x:c r="J2244" s="85" t="n">
        <x:v>52835451.69391882</x:v>
      </x:c>
      <x:c r="K2244" s="85" t="n">
        <x:v>276011.5388356176</x:v>
      </x:c>
      <x:c r="L2244" s="28" t="n">
        <x:v>16</x:v>
      </x:c>
      <x:c r="M2244" s="28" t="n">
        <x:v>0</x:v>
      </x:c>
      <x:c r="N2244" s="28" t="n">
        <x:v>9.313225746154785e-10</x:v>
      </x:c>
      <x:c r="O2244" s="28" t="n">
        <x:v>1.4901161193847656e-8</x:v>
      </x:c>
      <x:c r="P2244" s="28" t="n">
        <x:v>0</x:v>
      </x:c>
      <x:c r="Q2244" s="62" t="b">
        <x:v>1</x:v>
      </x:c>
      <x:c r="R2244" s="28" t="n">
        <x:v>0</x:v>
      </x:c>
      <x:c r="S2244" s="28" t="str">
        <x:v>325c98ae16a4901e</x:v>
      </x:c>
    </x:row>
    <x:row r="2245" ht="21" customHeight="1">
      <x:c r="A2245" s="60" t="n">
        <x:v>0.68</x:v>
      </x:c>
      <x:c r="B2245" s="28" t="str">
        <x:v>level_low</x:v>
      </x:c>
      <x:c r="C2245" s="60" t="n">
        <x:v>0.55</x:v>
      </x:c>
      <x:c r="D2245" s="60" t="n">
        <x:v>0.55</x:v>
      </x:c>
      <x:c r="E2245" s="62" t="b">
        <x:v>1</x:v>
      </x:c>
      <x:c r="F2245" s="62" t="b">
        <x:v>1</x:v>
      </x:c>
      <x:c r="G2245" s="85" t="n">
        <x:v>0</x:v>
      </x:c>
      <x:c r="H2245" s="85" t="n">
        <x:v>0</x:v>
      </x:c>
      <x:c r="I2245" s="85" t="n">
        <x:v>40400896.50485912</x:v>
      </x:c>
      <x:c r="J2245" s="85" t="n">
        <x:v>61786741.670126006</x:v>
      </x:c>
      <x:c r="K2245" s="85" t="n">
        <x:v>227237.02280137184</x:v>
      </x:c>
      <x:c r="L2245" s="28" t="n">
        <x:v>20</x:v>
      </x:c>
      <x:c r="M2245" s="28" t="n">
        <x:v>0</x:v>
      </x:c>
      <x:c r="N2245" s="28" t="n">
        <x:v>1.862645149230957e-9</x:v>
      </x:c>
      <x:c r="O2245" s="28" t="n">
        <x:v>2.9802322387695312e-8</x:v>
      </x:c>
      <x:c r="P2245" s="28" t="n">
        <x:v>0</x:v>
      </x:c>
      <x:c r="Q2245" s="62" t="b">
        <x:v>1</x:v>
      </x:c>
      <x:c r="R2245" s="28" t="n">
        <x:v>0</x:v>
      </x:c>
      <x:c r="S2245" s="28" t="str">
        <x:v>c07598da4c2cea17</x:v>
      </x:c>
    </x:row>
    <x:row r="2246" ht="21" customHeight="1">
      <x:c r="A2246" s="60" t="n">
        <x:v>0.68</x:v>
      </x:c>
      <x:c r="B2246" s="28" t="str">
        <x:v>level_low</x:v>
      </x:c>
      <x:c r="C2246" s="60" t="n">
        <x:v>0.6</x:v>
      </x:c>
      <x:c r="D2246" s="60" t="n">
        <x:v>0.6</x:v>
      </x:c>
      <x:c r="E2246" s="62" t="b">
        <x:v>1</x:v>
      </x:c>
      <x:c r="F2246" s="62" t="b">
        <x:v>0</x:v>
      </x:c>
      <x:c r="G2246" s="85" t="n">
        <x:v>348915.4797952149</x:v>
      </x:c>
      <x:c r="H2246" s="85" t="n">
        <x:v>5239198.830513305</x:v>
      </x:c>
      <x:c r="I2246" s="85" t="n">
        <x:v>42677327.02589041</x:v>
      </x:c>
      <x:c r="J2246" s="85" t="n">
        <x:v>65999999.999999985</x:v>
      </x:c>
      <x:c r="K2246" s="85" t="n">
        <x:v>209029.50046575902</x:v>
      </x:c>
      <x:c r="L2246" s="28" t="n">
        <x:v>43</x:v>
      </x:c>
      <x:c r="M2246" s="28" t="n">
        <x:v>27</x:v>
      </x:c>
      <x:c r="N2246" s="28" t="n">
        <x:v>1.862645149230957e-9</x:v>
      </x:c>
      <x:c r="O2246" s="28" t="n">
        <x:v>2.9802322387695312e-8</x:v>
      </x:c>
      <x:c r="P2246" s="28" t="n">
        <x:v>0</x:v>
      </x:c>
      <x:c r="Q2246" s="62" t="b">
        <x:v>1</x:v>
      </x:c>
      <x:c r="R2246" s="28" t="n">
        <x:v>0</x:v>
      </x:c>
      <x:c r="S2246" s="28" t="str">
        <x:v>f2ea86aa15ae2752</x:v>
      </x:c>
    </x:row>
    <x:row r="2247" ht="21" customHeight="1">
      <x:c r="A2247" s="60" t="n">
        <x:v>0.68</x:v>
      </x:c>
      <x:c r="B2247" s="28" t="str">
        <x:v>level_low</x:v>
      </x:c>
      <x:c r="C2247" s="60" t="n">
        <x:v>0.65</x:v>
      </x:c>
      <x:c r="D2247" s="60" t="n">
        <x:v>0.65</x:v>
      </x:c>
      <x:c r="E2247" s="62" t="b">
        <x:v>1</x:v>
      </x:c>
      <x:c r="F2247" s="62" t="b">
        <x:v>0</x:v>
      </x:c>
      <x:c r="G2247" s="85" t="n">
        <x:v>1071585.3885371</x:v>
      </x:c>
      <x:c r="H2247" s="85" t="n">
        <x:v>16143385.905833317</x:v>
      </x:c>
      <x:c r="I2247" s="85" t="n">
        <x:v>42705767.05955479</x:v>
      </x:c>
      <x:c r="J2247" s="85" t="n">
        <x:v>65999999.999999985</x:v>
      </x:c>
      <x:c r="K2247" s="85" t="n">
        <x:v>190821.97813014057</x:v>
      </x:c>
      <x:c r="L2247" s="28" t="n">
        <x:v>43</x:v>
      </x:c>
      <x:c r="M2247" s="28" t="n">
        <x:v>30</x:v>
      </x:c>
      <x:c r="N2247" s="28" t="n">
        <x:v>1.862645149230957e-9</x:v>
      </x:c>
      <x:c r="O2247" s="28" t="n">
        <x:v>2.9802322387695312e-8</x:v>
      </x:c>
      <x:c r="P2247" s="28" t="n">
        <x:v>0</x:v>
      </x:c>
      <x:c r="Q2247" s="62" t="b">
        <x:v>1</x:v>
      </x:c>
      <x:c r="R2247" s="28" t="n">
        <x:v>0</x:v>
      </x:c>
      <x:c r="S2247" s="28" t="str">
        <x:v>c33fca6b50e370f9</x:v>
      </x:c>
    </x:row>
    <x:row r="2248" ht="21" customHeight="1">
      <x:c r="A2248" s="60" t="n">
        <x:v>0.68</x:v>
      </x:c>
      <x:c r="B2248" s="28" t="str">
        <x:v>level_low</x:v>
      </x:c>
      <x:c r="C2248" s="60" t="n">
        <x:v>0.7</x:v>
      </x:c>
      <x:c r="D2248" s="60" t="n">
        <x:v>0.7</x:v>
      </x:c>
      <x:c r="E2248" s="62" t="b">
        <x:v>1</x:v>
      </x:c>
      <x:c r="F2248" s="62" t="b">
        <x:v>0</x:v>
      </x:c>
      <x:c r="G2248" s="85" t="n">
        <x:v>1840466.7607268158</x:v>
      </x:c>
      <x:c r="H2248" s="85" t="n">
        <x:v>25987774.276841775</x:v>
      </x:c>
      <x:c r="I2248" s="85" t="n">
        <x:v>43592547.94520548</x:v>
      </x:c>
      <x:c r="J2248" s="85" t="n">
        <x:v>65999999.999999985</x:v>
      </x:c>
      <x:c r="K2248" s="85" t="n">
        <x:v>172614.45579451986</x:v>
      </x:c>
      <x:c r="L2248" s="28" t="n">
        <x:v>44</x:v>
      </x:c>
      <x:c r="M2248" s="28" t="n">
        <x:v>32</x:v>
      </x:c>
      <x:c r="N2248" s="28" t="n">
        <x:v>1.862645149230957e-9</x:v>
      </x:c>
      <x:c r="O2248" s="28" t="n">
        <x:v>2.9802322387695312e-8</x:v>
      </x:c>
      <x:c r="P2248" s="28" t="n">
        <x:v>0</x:v>
      </x:c>
      <x:c r="Q2248" s="62" t="b">
        <x:v>1</x:v>
      </x:c>
      <x:c r="R2248" s="28" t="n">
        <x:v>0</x:v>
      </x:c>
      <x:c r="S2248" s="28" t="str">
        <x:v>2d5cb1c50528af0d</x:v>
      </x:c>
    </x:row>
    <x:row r="2249" ht="21" customHeight="1">
      <x:c r="A2249" s="60" t="n">
        <x:v>0.68</x:v>
      </x:c>
      <x:c r="B2249" s="28" t="str">
        <x:v>level_low</x:v>
      </x:c>
      <x:c r="C2249" s="60" t="n">
        <x:v>0.75</x:v>
      </x:c>
      <x:c r="D2249" s="60" t="n">
        <x:v>0.75</x:v>
      </x:c>
      <x:c r="E2249" s="62" t="b">
        <x:v>1</x:v>
      </x:c>
      <x:c r="F2249" s="62" t="b">
        <x:v>0</x:v>
      </x:c>
      <x:c r="G2249" s="85" t="n">
        <x:v>2782820.2254451634</x:v>
      </x:c>
      <x:c r="H2249" s="85" t="n">
        <x:v>36620192.95748842</x:v>
      </x:c>
      <x:c r="I2249" s="85" t="n">
        <x:v>43592547.94520548</x:v>
      </x:c>
      <x:c r="J2249" s="85" t="n">
        <x:v>65999999.999999985</x:v>
      </x:c>
      <x:c r="K2249" s="85" t="n">
        <x:v>154406.93345890607</x:v>
      </x:c>
      <x:c r="L2249" s="28" t="n">
        <x:v>44</x:v>
      </x:c>
      <x:c r="M2249" s="28" t="n">
        <x:v>32</x:v>
      </x:c>
      <x:c r="N2249" s="28" t="n">
        <x:v>1.862645149230957e-9</x:v>
      </x:c>
      <x:c r="O2249" s="28" t="n">
        <x:v>2.9802322387695312e-8</x:v>
      </x:c>
      <x:c r="P2249" s="28" t="n">
        <x:v>0</x:v>
      </x:c>
      <x:c r="Q2249" s="62" t="b">
        <x:v>1</x:v>
      </x:c>
      <x:c r="R2249" s="28" t="n">
        <x:v>0</x:v>
      </x:c>
      <x:c r="S2249" s="28" t="str">
        <x:v>af0d4c303b4c2512</x:v>
      </x:c>
    </x:row>
    <x:row r="2250" ht="21" customHeight="1">
      <x:c r="A2250" s="60" t="n">
        <x:v>0.68</x:v>
      </x:c>
      <x:c r="B2250" s="28" t="str">
        <x:v>level_low</x:v>
      </x:c>
      <x:c r="C2250" s="60" t="n">
        <x:v>0.8</x:v>
      </x:c>
      <x:c r="D2250" s="60" t="n">
        <x:v>0.8</x:v>
      </x:c>
      <x:c r="E2250" s="62" t="b">
        <x:v>1</x:v>
      </x:c>
      <x:c r="F2250" s="62" t="b">
        <x:v>0</x:v>
      </x:c>
      <x:c r="G2250" s="85" t="n">
        <x:v>3582510.163564305</x:v>
      </x:c>
      <x:c r="H2250" s="85" t="n">
        <x:v>46108672.33168984</x:v>
      </x:c>
      <x:c r="I2250" s="85" t="n">
        <x:v>44598771.99868493</x:v>
      </x:c>
      <x:c r="J2250" s="85" t="n">
        <x:v>65999999.999999985</x:v>
      </x:c>
      <x:c r="K2250" s="85" t="n">
        <x:v>136199.4111232872</x:v>
      </x:c>
      <x:c r="L2250" s="28" t="n">
        <x:v>45</x:v>
      </x:c>
      <x:c r="M2250" s="28" t="n">
        <x:v>34</x:v>
      </x:c>
      <x:c r="N2250" s="28" t="n">
        <x:v>1.862645149230957e-9</x:v>
      </x:c>
      <x:c r="O2250" s="28" t="n">
        <x:v>2.9802322387695312e-8</x:v>
      </x:c>
      <x:c r="P2250" s="28" t="n">
        <x:v>0</x:v>
      </x:c>
      <x:c r="Q2250" s="62" t="b">
        <x:v>1</x:v>
      </x:c>
      <x:c r="R2250" s="28" t="n">
        <x:v>0</x:v>
      </x:c>
      <x:c r="S2250" s="28" t="str">
        <x:v>a3047853ebf6b5bb</x:v>
      </x:c>
    </x:row>
    <x:row r="2251" ht="21" customHeight="1">
      <x:c r="A2251" s="60" t="n">
        <x:v>0.68</x:v>
      </x:c>
      <x:c r="B2251" s="28" t="str">
        <x:v>level_low</x:v>
      </x:c>
      <x:c r="C2251" s="60" t="n">
        <x:v>0.85</x:v>
      </x:c>
      <x:c r="D2251" s="60" t="n">
        <x:v>0.85</x:v>
      </x:c>
      <x:c r="E2251" s="62" t="b">
        <x:v>1</x:v>
      </x:c>
      <x:c r="F2251" s="62" t="b">
        <x:v>0</x:v>
      </x:c>
      <x:c r="G2251" s="85" t="n">
        <x:v>4754292.105004613</x:v>
      </x:c>
      <x:c r="H2251" s="85" t="n">
        <x:v>56471252.019017644</x:v>
      </x:c>
      <x:c r="I2251" s="85" t="n">
        <x:v>44616288.19312328</x:v>
      </x:c>
      <x:c r="J2251" s="85" t="n">
        <x:v>65999999.999999985</x:v>
      </x:c>
      <x:c r="K2251" s="85" t="n">
        <x:v>117991.88878767389</x:v>
      </x:c>
      <x:c r="L2251" s="28" t="n">
        <x:v>45</x:v>
      </x:c>
      <x:c r="M2251" s="28" t="n">
        <x:v>34</x:v>
      </x:c>
      <x:c r="N2251" s="28" t="n">
        <x:v>1.862645149230957e-9</x:v>
      </x:c>
      <x:c r="O2251" s="28" t="n">
        <x:v>2.9802322387695312e-8</x:v>
      </x:c>
      <x:c r="P2251" s="28" t="n">
        <x:v>0</x:v>
      </x:c>
      <x:c r="Q2251" s="62" t="b">
        <x:v>1</x:v>
      </x:c>
      <x:c r="R2251" s="28" t="n">
        <x:v>0</x:v>
      </x:c>
      <x:c r="S2251" s="28" t="str">
        <x:v>eba3160614f67c4d</x:v>
      </x:c>
    </x:row>
    <x:row r="2252" ht="21" customHeight="1">
      <x:c r="A2252" s="60" t="n">
        <x:v>0.68</x:v>
      </x:c>
      <x:c r="B2252" s="28" t="str">
        <x:v>level_low</x:v>
      </x:c>
      <x:c r="C2252" s="60" t="n">
        <x:v>0.9</x:v>
      </x:c>
      <x:c r="D2252" s="60" t="n">
        <x:v>0.9</x:v>
      </x:c>
      <x:c r="E2252" s="62" t="b">
        <x:v>1</x:v>
      </x:c>
      <x:c r="F2252" s="62" t="b">
        <x:v>0</x:v>
      </x:c>
      <x:c r="G2252" s="85" t="n">
        <x:v>7229966.698732072</x:v>
      </x:c>
      <x:c r="H2252" s="85" t="n">
        <x:v>65853332.72928322</x:v>
      </x:c>
      <x:c r="I2252" s="85" t="n">
        <x:v>44633804.38756164</x:v>
      </x:c>
      <x:c r="J2252" s="85" t="n">
        <x:v>65999999.999999985</x:v>
      </x:c>
      <x:c r="K2252" s="85" t="n">
        <x:v>99784.3664520578</x:v>
      </x:c>
      <x:c r="L2252" s="28" t="n">
        <x:v>45</x:v>
      </x:c>
      <x:c r="M2252" s="28" t="n">
        <x:v>36</x:v>
      </x:c>
      <x:c r="N2252" s="28" t="n">
        <x:v>1.862645149230957e-9</x:v>
      </x:c>
      <x:c r="O2252" s="28" t="n">
        <x:v>7.450580596923828e-9</x:v>
      </x:c>
      <x:c r="P2252" s="28" t="n">
        <x:v>0</x:v>
      </x:c>
      <x:c r="Q2252" s="62" t="b">
        <x:v>1</x:v>
      </x:c>
      <x:c r="R2252" s="28" t="n">
        <x:v>0</x:v>
      </x:c>
      <x:c r="S2252" s="28" t="str">
        <x:v>1f6df8ddb6730f1c</x:v>
      </x:c>
    </x:row>
    <x:row r="2253" ht="21" customHeight="1">
      <x:c r="A2253" s="60" t="n">
        <x:v>0.68</x:v>
      </x:c>
      <x:c r="B2253" s="28" t="str">
        <x:v>level_low</x:v>
      </x:c>
      <x:c r="C2253" s="60" t="n">
        <x:v>0.95</x:v>
      </x:c>
      <x:c r="D2253" s="60" t="n">
        <x:v>0.9219114501462435</x:v>
      </x:c>
      <x:c r="E2253" s="62" t="b">
        <x:v>0</x:v>
      </x:c>
      <x:c r="F2253" s="62" t="b">
        <x:v>0</x:v>
      </x:c>
      <x:c r="G2253" s="85" t="n">
        <x:v>7966489.390707448</x:v>
      </x:c>
      <x:c r="H2253" s="85" t="n">
        <x:v>69849591.09294525</x:v>
      </x:c>
      <x:c r="I2253" s="85" t="n">
        <x:v>44651320.581999995</x:v>
      </x:c>
      <x:c r="J2253" s="85" t="n">
        <x:v>65999999.999999985</x:v>
      </x:c>
      <x:c r="K2253" s="85" t="n">
        <x:v>81576.84411643984</x:v>
      </x:c>
      <x:c r="L2253" s="28" t="n">
        <x:v>45</x:v>
      </x:c>
      <x:c r="M2253" s="28" t="n">
        <x:v>36</x:v>
      </x:c>
      <x:c r="N2253" s="28" t="n">
        <x:v>1.862645149230957e-9</x:v>
      </x:c>
      <x:c r="O2253" s="28" t="n">
        <x:v>1.4901161193847656e-8</x:v>
      </x:c>
      <x:c r="P2253" s="28" t="n">
        <x:v>0</x:v>
      </x:c>
      <x:c r="Q2253" s="62" t="b">
        <x:v>1</x:v>
      </x:c>
      <x:c r="R2253" s="28" t="n">
        <x:v>8426564.956126928</x:v>
      </x:c>
      <x:c r="S2253" s="28" t="str">
        <x:v>ac68128e989474eb</x:v>
      </x:c>
    </x:row>
    <x:row r="2254" ht="21" customHeight="1">
      <x:c r="A2254" s="60" t="n">
        <x:v>0.68</x:v>
      </x:c>
      <x:c r="B2254" s="28" t="str">
        <x:v>level_low</x:v>
      </x:c>
      <x:c r="C2254" s="60" t="n">
        <x:v>1</x:v>
      </x:c>
      <x:c r="D2254" s="60" t="n">
        <x:v>0.9350574964161632</x:v>
      </x:c>
      <x:c r="E2254" s="62" t="b">
        <x:v>0</x:v>
      </x:c>
      <x:c r="F2254" s="62" t="b">
        <x:v>0</x:v>
      </x:c>
      <x:c r="G2254" s="85" t="n">
        <x:v>8643631.501869233</x:v>
      </x:c>
      <x:c r="H2254" s="85" t="n">
        <x:v>72732680.87194297</x:v>
      </x:c>
      <x:c r="I2254" s="85" t="n">
        <x:v>44668836.776438355</x:v>
      </x:c>
      <x:c r="J2254" s="85" t="n">
        <x:v>65999999.999999985</x:v>
      </x:c>
      <x:c r="K2254" s="85" t="n">
        <x:v>63369.32178082375</x:v>
      </x:c>
      <x:c r="L2254" s="28" t="n">
        <x:v>45</x:v>
      </x:c>
      <x:c r="M2254" s="28" t="n">
        <x:v>37</x:v>
      </x:c>
      <x:c r="N2254" s="28" t="n">
        <x:v>0</x:v>
      </x:c>
      <x:c r="O2254" s="28" t="n">
        <x:v>7.450580596923828e-9</x:v>
      </x:c>
      <x:c r="P2254" s="28" t="n">
        <x:v>0</x:v>
      </x:c>
      <x:c r="Q2254" s="62" t="b">
        <x:v>1</x:v>
      </x:c>
      <x:c r="R2254" s="28" t="n">
        <x:v>19482751.075151026</x:v>
      </x:c>
      <x:c r="S2254" s="28" t="str">
        <x:v>42080ac4642f5772</x:v>
      </x:c>
    </x:row>
    <x:row r="2255" ht="21" customHeight="1">
      <x:c r="A2255" s="60" t="n">
        <x:v>0.68</x:v>
      </x:c>
      <x:c r="B2255" s="28" t="str">
        <x:v>level_high</x:v>
      </x:c>
      <x:c r="C2255" s="60" t="n">
        <x:v>0</x:v>
      </x:c>
      <x:c r="D2255" s="60" t="n">
        <x:v>0</x:v>
      </x:c>
      <x:c r="E2255" s="62" t="b">
        <x:v>1</x:v>
      </x:c>
      <x:c r="F2255" s="62" t="b">
        <x:v>1</x:v>
      </x:c>
      <x:c r="G2255" s="85" t="n">
        <x:v>0</x:v>
      </x:c>
      <x:c r="H2255" s="85" t="n">
        <x:v>0</x:v>
      </x:c>
      <x:c r="I2255" s="85" t="n">
        <x:v>0</x:v>
      </x:c>
      <x:c r="J2255" s="85" t="n">
        <x:v>0</x:v>
      </x:c>
      <x:c r="K2255" s="85" t="n">
        <x:v>40506729.313013695</x:v>
      </x:c>
      <x:c r="L2255" s="28" t="n">
        <x:v>0</x:v>
      </x:c>
      <x:c r="M2255" s="28" t="n">
        <x:v>0</x:v>
      </x:c>
      <x:c r="N2255" s="28" t="n">
        <x:v>3.725290298461914e-9</x:v>
      </x:c>
      <x:c r="O2255" s="28" t="n">
        <x:v>0</x:v>
      </x:c>
      <x:c r="P2255" s="28" t="n">
        <x:v>0</x:v>
      </x:c>
      <x:c r="Q2255" s="62" t="b">
        <x:v>1</x:v>
      </x:c>
      <x:c r="R2255" s="28" t="n">
        <x:v>0</x:v>
      </x:c>
      <x:c r="S2255" s="28" t="str">
        <x:v>a824b50cdfaa5011</x:v>
      </x:c>
    </x:row>
    <x:row r="2256" ht="21" customHeight="1">
      <x:c r="A2256" s="60" t="n">
        <x:v>0.68</x:v>
      </x:c>
      <x:c r="B2256" s="28" t="str">
        <x:v>level_high</x:v>
      </x:c>
      <x:c r="C2256" s="60" t="n">
        <x:v>0.05</x:v>
      </x:c>
      <x:c r="D2256" s="60" t="n">
        <x:v>0.05</x:v>
      </x:c>
      <x:c r="E2256" s="62" t="b">
        <x:v>1</x:v>
      </x:c>
      <x:c r="F2256" s="62" t="b">
        <x:v>1</x:v>
      </x:c>
      <x:c r="G2256" s="85" t="n">
        <x:v>0</x:v>
      </x:c>
      <x:c r="H2256" s="85" t="n">
        <x:v>0</x:v>
      </x:c>
      <x:c r="I2256" s="85" t="n">
        <x:v>0</x:v>
      </x:c>
      <x:c r="J2256" s="85" t="n">
        <x:v>0</x:v>
      </x:c>
      <x:c r="K2256" s="85" t="n">
        <x:v>27178180.29628508</x:v>
      </x:c>
      <x:c r="L2256" s="28" t="n">
        <x:v>0</x:v>
      </x:c>
      <x:c r="M2256" s="28" t="n">
        <x:v>0</x:v>
      </x:c>
      <x:c r="N2256" s="28" t="n">
        <x:v>3.725290298461914e-9</x:v>
      </x:c>
      <x:c r="O2256" s="28" t="n">
        <x:v>2.9802322387695312e-8</x:v>
      </x:c>
      <x:c r="P2256" s="28" t="n">
        <x:v>0</x:v>
      </x:c>
      <x:c r="Q2256" s="62" t="b">
        <x:v>1</x:v>
      </x:c>
      <x:c r="R2256" s="28" t="n">
        <x:v>0</x:v>
      </x:c>
      <x:c r="S2256" s="28" t="str">
        <x:v>0872b493520503ac</x:v>
      </x:c>
    </x:row>
    <x:row r="2257" ht="21" customHeight="1">
      <x:c r="A2257" s="60" t="n">
        <x:v>0.68</x:v>
      </x:c>
      <x:c r="B2257" s="28" t="str">
        <x:v>level_high</x:v>
      </x:c>
      <x:c r="C2257" s="60" t="n">
        <x:v>0.1</x:v>
      </x:c>
      <x:c r="D2257" s="60" t="n">
        <x:v>0.1</x:v>
      </x:c>
      <x:c r="E2257" s="62" t="b">
        <x:v>1</x:v>
      </x:c>
      <x:c r="F2257" s="62" t="b">
        <x:v>1</x:v>
      </x:c>
      <x:c r="G2257" s="85" t="n">
        <x:v>0</x:v>
      </x:c>
      <x:c r="H2257" s="85" t="n">
        <x:v>0</x:v>
      </x:c>
      <x:c r="I2257" s="85" t="n">
        <x:v>0</x:v>
      </x:c>
      <x:c r="J2257" s="85" t="n">
        <x:v>0</x:v>
      </x:c>
      <x:c r="K2257" s="85" t="n">
        <x:v>13690059.770273767</x:v>
      </x:c>
      <x:c r="L2257" s="28" t="n">
        <x:v>0</x:v>
      </x:c>
      <x:c r="M2257" s="28" t="n">
        <x:v>0</x:v>
      </x:c>
      <x:c r="N2257" s="28" t="n">
        <x:v>3.725290298461914e-9</x:v>
      </x:c>
      <x:c r="O2257" s="28" t="n">
        <x:v>5.960464477539063e-8</x:v>
      </x:c>
      <x:c r="P2257" s="28" t="n">
        <x:v>0</x:v>
      </x:c>
      <x:c r="Q2257" s="62" t="b">
        <x:v>1</x:v>
      </x:c>
      <x:c r="R2257" s="28" t="n">
        <x:v>0</x:v>
      </x:c>
      <x:c r="S2257" s="28" t="str">
        <x:v>3bda1cd8d44e1597</x:v>
      </x:c>
    </x:row>
    <x:row r="2258" ht="21" customHeight="1">
      <x:c r="A2258" s="60" t="n">
        <x:v>0.68</x:v>
      </x:c>
      <x:c r="B2258" s="28" t="str">
        <x:v>level_high</x:v>
      </x:c>
      <x:c r="C2258" s="60" t="n">
        <x:v>0.15</x:v>
      </x:c>
      <x:c r="D2258" s="60" t="n">
        <x:v>0.15</x:v>
      </x:c>
      <x:c r="E2258" s="62" t="b">
        <x:v>1</x:v>
      </x:c>
      <x:c r="F2258" s="62" t="b">
        <x:v>1</x:v>
      </x:c>
      <x:c r="G2258" s="85" t="n">
        <x:v>0</x:v>
      </x:c>
      <x:c r="H2258" s="85" t="n">
        <x:v>0</x:v>
      </x:c>
      <x:c r="I2258" s="85" t="n">
        <x:v>2491770.354012182</x:v>
      </x:c>
      <x:c r="J2258" s="85" t="n">
        <x:v>0</x:v>
      </x:c>
      <x:c r="K2258" s="85" t="n">
        <x:v>3148356.555848658</x:v>
      </x:c>
      <x:c r="L2258" s="28" t="n">
        <x:v>0</x:v>
      </x:c>
      <x:c r="M2258" s="28" t="n">
        <x:v>0</x:v>
      </x:c>
      <x:c r="N2258" s="28" t="n">
        <x:v>3.725290298461914e-9</x:v>
      </x:c>
      <x:c r="O2258" s="28" t="n">
        <x:v>2.9802322387695312e-8</x:v>
      </x:c>
      <x:c r="P2258" s="28" t="n">
        <x:v>0</x:v>
      </x:c>
      <x:c r="Q2258" s="62" t="b">
        <x:v>1</x:v>
      </x:c>
      <x:c r="R2258" s="28" t="n">
        <x:v>0</x:v>
      </x:c>
      <x:c r="S2258" s="28" t="str">
        <x:v>9b5008ec7651c13a</x:v>
      </x:c>
    </x:row>
    <x:row r="2259" ht="21" customHeight="1">
      <x:c r="A2259" s="60" t="n">
        <x:v>0.68</x:v>
      </x:c>
      <x:c r="B2259" s="28" t="str">
        <x:v>level_high</x:v>
      </x:c>
      <x:c r="C2259" s="60" t="n">
        <x:v>0.2</x:v>
      </x:c>
      <x:c r="D2259" s="60" t="n">
        <x:v>0.2</x:v>
      </x:c>
      <x:c r="E2259" s="62" t="b">
        <x:v>1</x:v>
      </x:c>
      <x:c r="F2259" s="62" t="b">
        <x:v>1</x:v>
      </x:c>
      <x:c r="G2259" s="85" t="n">
        <x:v>0</x:v>
      </x:c>
      <x:c r="H2259" s="85" t="n">
        <x:v>0</x:v>
      </x:c>
      <x:c r="I2259" s="85" t="n">
        <x:v>12358785.653740522</x:v>
      </x:c>
      <x:c r="J2259" s="85" t="n">
        <x:v>6323003.27253421</x:v>
      </x:c>
      <x:c r="K2259" s="85" t="n">
        <x:v>2270941.3795210794</x:v>
      </x:c>
      <x:c r="L2259" s="28" t="n">
        <x:v>0</x:v>
      </x:c>
      <x:c r="M2259" s="28" t="n">
        <x:v>0</x:v>
      </x:c>
      <x:c r="N2259" s="28" t="n">
        <x:v>1.862645149230957e-9</x:v>
      </x:c>
      <x:c r="O2259" s="28" t="n">
        <x:v>2.9802322387695312e-8</x:v>
      </x:c>
      <x:c r="P2259" s="28" t="n">
        <x:v>0</x:v>
      </x:c>
      <x:c r="Q2259" s="62" t="b">
        <x:v>1</x:v>
      </x:c>
      <x:c r="R2259" s="28" t="n">
        <x:v>0</x:v>
      </x:c>
      <x:c r="S2259" s="28" t="str">
        <x:v>f9add68a0bfb42a7</x:v>
      </x:c>
    </x:row>
    <x:row r="2260" ht="21" customHeight="1">
      <x:c r="A2260" s="60" t="n">
        <x:v>0.68</x:v>
      </x:c>
      <x:c r="B2260" s="28" t="str">
        <x:v>level_high</x:v>
      </x:c>
      <x:c r="C2260" s="60" t="n">
        <x:v>0.25</x:v>
      </x:c>
      <x:c r="D2260" s="60" t="n">
        <x:v>0.25</x:v>
      </x:c>
      <x:c r="E2260" s="62" t="b">
        <x:v>1</x:v>
      </x:c>
      <x:c r="F2260" s="62" t="b">
        <x:v>1</x:v>
      </x:c>
      <x:c r="G2260" s="85" t="n">
        <x:v>0</x:v>
      </x:c>
      <x:c r="H2260" s="85" t="n">
        <x:v>0</x:v>
      </x:c>
      <x:c r="I2260" s="85" t="n">
        <x:v>20999165.56095231</x:v>
      </x:c>
      <x:c r="J2260" s="85" t="n">
        <x:v>15403754.090667719</x:v>
      </x:c>
      <x:c r="K2260" s="85" t="n">
        <x:v>1715314.240769866</x:v>
      </x:c>
      <x:c r="L2260" s="28" t="n">
        <x:v>0</x:v>
      </x:c>
      <x:c r="M2260" s="28" t="n">
        <x:v>0</x:v>
      </x:c>
      <x:c r="N2260" s="28" t="n">
        <x:v>3.725290298461914e-9</x:v>
      </x:c>
      <x:c r="O2260" s="28" t="n">
        <x:v>2.9802322387695312e-8</x:v>
      </x:c>
      <x:c r="P2260" s="28" t="n">
        <x:v>0</x:v>
      </x:c>
      <x:c r="Q2260" s="62" t="b">
        <x:v>1</x:v>
      </x:c>
      <x:c r="R2260" s="28" t="n">
        <x:v>0</x:v>
      </x:c>
      <x:c r="S2260" s="28" t="str">
        <x:v>6b13e90b8d0cd655</x:v>
      </x:c>
    </x:row>
    <x:row r="2261" ht="21" customHeight="1">
      <x:c r="A2261" s="60" t="n">
        <x:v>0.68</x:v>
      </x:c>
      <x:c r="B2261" s="28" t="str">
        <x:v>level_high</x:v>
      </x:c>
      <x:c r="C2261" s="60" t="n">
        <x:v>0.3</x:v>
      </x:c>
      <x:c r="D2261" s="60" t="n">
        <x:v>0.3</x:v>
      </x:c>
      <x:c r="E2261" s="62" t="b">
        <x:v>1</x:v>
      </x:c>
      <x:c r="F2261" s="62" t="b">
        <x:v>1</x:v>
      </x:c>
      <x:c r="G2261" s="85" t="n">
        <x:v>0</x:v>
      </x:c>
      <x:c r="H2261" s="85" t="n">
        <x:v>0</x:v>
      </x:c>
      <x:c r="I2261" s="85" t="n">
        <x:v>29869944.025060512</x:v>
      </x:c>
      <x:c r="J2261" s="85" t="n">
        <x:v>24484504.908801176</x:v>
      </x:c>
      <x:c r="K2261" s="85" t="n">
        <x:v>1328243.3899868377</x:v>
      </x:c>
      <x:c r="L2261" s="28" t="n">
        <x:v>0</x:v>
      </x:c>
      <x:c r="M2261" s="28" t="n">
        <x:v>0</x:v>
      </x:c>
      <x:c r="N2261" s="28" t="n">
        <x:v>1.862645149230957e-9</x:v>
      </x:c>
      <x:c r="O2261" s="28" t="n">
        <x:v>7.450580596923828e-9</x:v>
      </x:c>
      <x:c r="P2261" s="28" t="n">
        <x:v>0</x:v>
      </x:c>
      <x:c r="Q2261" s="62" t="b">
        <x:v>1</x:v>
      </x:c>
      <x:c r="R2261" s="28" t="n">
        <x:v>0</x:v>
      </x:c>
      <x:c r="S2261" s="28" t="str">
        <x:v>76966b1922354308</x:v>
      </x:c>
    </x:row>
    <x:row r="2262" ht="21" customHeight="1">
      <x:c r="A2262" s="60" t="n">
        <x:v>0.68</x:v>
      </x:c>
      <x:c r="B2262" s="28" t="str">
        <x:v>level_high</x:v>
      </x:c>
      <x:c r="C2262" s="60" t="n">
        <x:v>0.35</x:v>
      </x:c>
      <x:c r="D2262" s="60" t="n">
        <x:v>0.35</x:v>
      </x:c>
      <x:c r="E2262" s="62" t="b">
        <x:v>1</x:v>
      </x:c>
      <x:c r="F2262" s="62" t="b">
        <x:v>1</x:v>
      </x:c>
      <x:c r="G2262" s="85" t="n">
        <x:v>0</x:v>
      </x:c>
      <x:c r="H2262" s="85" t="n">
        <x:v>0</x:v>
      </x:c>
      <x:c r="I2262" s="85" t="n">
        <x:v>39208521.761103615</x:v>
      </x:c>
      <x:c r="J2262" s="85" t="n">
        <x:v>31851928.422990296</x:v>
      </x:c>
      <x:c r="K2262" s="85" t="n">
        <x:v>1075567.5208835586</x:v>
      </x:c>
      <x:c r="L2262" s="28" t="n">
        <x:v>2</x:v>
      </x:c>
      <x:c r="M2262" s="28" t="n">
        <x:v>0</x:v>
      </x:c>
      <x:c r="N2262" s="28" t="n">
        <x:v>1.862645149230957e-9</x:v>
      </x:c>
      <x:c r="O2262" s="28" t="n">
        <x:v>2.9802322387695312e-8</x:v>
      </x:c>
      <x:c r="P2262" s="28" t="n">
        <x:v>0</x:v>
      </x:c>
      <x:c r="Q2262" s="62" t="b">
        <x:v>1</x:v>
      </x:c>
      <x:c r="R2262" s="28" t="n">
        <x:v>0</x:v>
      </x:c>
      <x:c r="S2262" s="28" t="str">
        <x:v>71c0798ae5ef03a1</x:v>
      </x:c>
    </x:row>
    <x:row r="2263" ht="21" customHeight="1">
      <x:c r="A2263" s="60" t="n">
        <x:v>0.68</x:v>
      </x:c>
      <x:c r="B2263" s="28" t="str">
        <x:v>level_high</x:v>
      </x:c>
      <x:c r="C2263" s="60" t="n">
        <x:v>0.4</x:v>
      </x:c>
      <x:c r="D2263" s="60" t="n">
        <x:v>0.4</x:v>
      </x:c>
      <x:c r="E2263" s="62" t="b">
        <x:v>1</x:v>
      </x:c>
      <x:c r="F2263" s="62" t="b">
        <x:v>1</x:v>
      </x:c>
      <x:c r="G2263" s="85" t="n">
        <x:v>0</x:v>
      </x:c>
      <x:c r="H2263" s="85" t="n">
        <x:v>0</x:v>
      </x:c>
      <x:c r="I2263" s="85" t="n">
        <x:v>49312392.218243584</x:v>
      </x:c>
      <x:c r="J2263" s="85" t="n">
        <x:v>34342942.22430209</x:v>
      </x:c>
      <x:c r="K2263" s="85" t="n">
        <x:v>915414.9524383543</x:v>
      </x:c>
      <x:c r="L2263" s="28" t="n">
        <x:v>9</x:v>
      </x:c>
      <x:c r="M2263" s="28" t="n">
        <x:v>0</x:v>
      </x:c>
      <x:c r="N2263" s="28" t="n">
        <x:v>1.862645149230957e-9</x:v>
      </x:c>
      <x:c r="O2263" s="28" t="n">
        <x:v>2.9802322387695312e-8</x:v>
      </x:c>
      <x:c r="P2263" s="28" t="n">
        <x:v>0</x:v>
      </x:c>
      <x:c r="Q2263" s="62" t="b">
        <x:v>1</x:v>
      </x:c>
      <x:c r="R2263" s="28" t="n">
        <x:v>0</x:v>
      </x:c>
      <x:c r="S2263" s="28" t="str">
        <x:v>bb7f493e6a9d3f2d</x:v>
      </x:c>
    </x:row>
    <x:row r="2264" ht="21" customHeight="1">
      <x:c r="A2264" s="60" t="n">
        <x:v>0.68</x:v>
      </x:c>
      <x:c r="B2264" s="28" t="str">
        <x:v>level_high</x:v>
      </x:c>
      <x:c r="C2264" s="60" t="n">
        <x:v>0.45</x:v>
      </x:c>
      <x:c r="D2264" s="60" t="n">
        <x:v>0.45</x:v>
      </x:c>
      <x:c r="E2264" s="62" t="b">
        <x:v>1</x:v>
      </x:c>
      <x:c r="F2264" s="62" t="b">
        <x:v>1</x:v>
      </x:c>
      <x:c r="G2264" s="85" t="n">
        <x:v>0</x:v>
      </x:c>
      <x:c r="H2264" s="85" t="n">
        <x:v>0</x:v>
      </x:c>
      <x:c r="I2264" s="85" t="n">
        <x:v>58556181.66515052</x:v>
      </x:c>
      <x:c r="J2264" s="85" t="n">
        <x:v>41745037.83516279</x:v>
      </x:c>
      <x:c r="K2264" s="85" t="n">
        <x:v>755262.383993144</x:v>
      </x:c>
      <x:c r="L2264" s="28" t="n">
        <x:v>12</x:v>
      </x:c>
      <x:c r="M2264" s="28" t="n">
        <x:v>1</x:v>
      </x:c>
      <x:c r="N2264" s="28" t="n">
        <x:v>1.862645149230957e-9</x:v>
      </x:c>
      <x:c r="O2264" s="28" t="n">
        <x:v>2.9802322387695312e-8</x:v>
      </x:c>
      <x:c r="P2264" s="28" t="n">
        <x:v>0</x:v>
      </x:c>
      <x:c r="Q2264" s="62" t="b">
        <x:v>1</x:v>
      </x:c>
      <x:c r="R2264" s="28" t="n">
        <x:v>0</x:v>
      </x:c>
      <x:c r="S2264" s="28" t="str">
        <x:v>0bdbc47c61633d62</x:v>
      </x:c>
    </x:row>
    <x:row r="2265" ht="21" customHeight="1">
      <x:c r="A2265" s="60" t="n">
        <x:v>0.68</x:v>
      </x:c>
      <x:c r="B2265" s="28" t="str">
        <x:v>level_high</x:v>
      </x:c>
      <x:c r="C2265" s="60" t="n">
        <x:v>0.5</x:v>
      </x:c>
      <x:c r="D2265" s="60" t="n">
        <x:v>0.5</x:v>
      </x:c>
      <x:c r="E2265" s="62" t="b">
        <x:v>1</x:v>
      </x:c>
      <x:c r="F2265" s="62" t="b">
        <x:v>1</x:v>
      </x:c>
      <x:c r="G2265" s="85" t="n">
        <x:v>0</x:v>
      </x:c>
      <x:c r="H2265" s="85" t="n">
        <x:v>0</x:v>
      </x:c>
      <x:c r="I2265" s="85" t="n">
        <x:v>67583797.00710747</x:v>
      </x:c>
      <x:c r="J2265" s="85" t="n">
        <x:v>49420828.31839637</x:v>
      </x:c>
      <x:c r="K2265" s="85" t="n">
        <x:v>625368.1870548027</x:v>
      </x:c>
      <x:c r="L2265" s="28" t="n">
        <x:v>15</x:v>
      </x:c>
      <x:c r="M2265" s="28" t="n">
        <x:v>4</x:v>
      </x:c>
      <x:c r="N2265" s="28" t="n">
        <x:v>3.725290298461914e-9</x:v>
      </x:c>
      <x:c r="O2265" s="28" t="n">
        <x:v>1.4901161193847656e-8</x:v>
      </x:c>
      <x:c r="P2265" s="28" t="n">
        <x:v>0</x:v>
      </x:c>
      <x:c r="Q2265" s="62" t="b">
        <x:v>1</x:v>
      </x:c>
      <x:c r="R2265" s="28" t="n">
        <x:v>0</x:v>
      </x:c>
      <x:c r="S2265" s="28" t="str">
        <x:v>d3c244b0f7af6862</x:v>
      </x:c>
    </x:row>
    <x:row r="2266" ht="21" customHeight="1">
      <x:c r="A2266" s="60" t="n">
        <x:v>0.68</x:v>
      </x:c>
      <x:c r="B2266" s="28" t="str">
        <x:v>level_high</x:v>
      </x:c>
      <x:c r="C2266" s="60" t="n">
        <x:v>0.55</x:v>
      </x:c>
      <x:c r="D2266" s="60" t="n">
        <x:v>0.55</x:v>
      </x:c>
      <x:c r="E2266" s="62" t="b">
        <x:v>1</x:v>
      </x:c>
      <x:c r="F2266" s="62" t="b">
        <x:v>1</x:v>
      </x:c>
      <x:c r="G2266" s="85" t="n">
        <x:v>0</x:v>
      </x:c>
      <x:c r="H2266" s="85" t="n">
        <x:v>0</x:v>
      </x:c>
      <x:c r="I2266" s="85" t="n">
        <x:v>76217439.3765036</x:v>
      </x:c>
      <x:c r="J2266" s="85" t="n">
        <x:v>59400579.01571872</x:v>
      </x:c>
      <x:c r="K2266" s="85" t="n">
        <x:v>557336.1329383575</x:v>
      </x:c>
      <x:c r="L2266" s="28" t="n">
        <x:v>18</x:v>
      </x:c>
      <x:c r="M2266" s="28" t="n">
        <x:v>8</x:v>
      </x:c>
      <x:c r="N2266" s="28" t="n">
        <x:v>1.862645149230957e-9</x:v>
      </x:c>
      <x:c r="O2266" s="28" t="n">
        <x:v>2.9802322387695312e-8</x:v>
      </x:c>
      <x:c r="P2266" s="28" t="n">
        <x:v>0</x:v>
      </x:c>
      <x:c r="Q2266" s="62" t="b">
        <x:v>1</x:v>
      </x:c>
      <x:c r="R2266" s="28" t="n">
        <x:v>0</x:v>
      </x:c>
      <x:c r="S2266" s="28" t="str">
        <x:v>ad7b2493ba81f98d</x:v>
      </x:c>
    </x:row>
    <x:row r="2267" ht="21" customHeight="1">
      <x:c r="A2267" s="60" t="n">
        <x:v>0.68</x:v>
      </x:c>
      <x:c r="B2267" s="28" t="str">
        <x:v>level_high</x:v>
      </x:c>
      <x:c r="C2267" s="60" t="n">
        <x:v>0.6</x:v>
      </x:c>
      <x:c r="D2267" s="60" t="n">
        <x:v>0.6</x:v>
      </x:c>
      <x:c r="E2267" s="62" t="b">
        <x:v>1</x:v>
      </x:c>
      <x:c r="F2267" s="62" t="b">
        <x:v>0</x:v>
      </x:c>
      <x:c r="G2267" s="85" t="n">
        <x:v>1240376.3225315735</x:v>
      </x:c>
      <x:c r="H2267" s="85" t="n">
        <x:v>4799460.081217997</x:v>
      </x:c>
      <x:c r="I2267" s="85" t="n">
        <x:v>82060231.02978082</x:v>
      </x:c>
      <x:c r="J2267" s="85" t="n">
        <x:v>65999999.999999985</x:v>
      </x:c>
      <x:c r="K2267" s="85" t="n">
        <x:v>508976.64676712384</x:v>
      </x:c>
      <x:c r="L2267" s="28" t="n">
        <x:v>43</x:v>
      </x:c>
      <x:c r="M2267" s="28" t="n">
        <x:v>34</x:v>
      </x:c>
      <x:c r="N2267" s="28" t="n">
        <x:v>1.862645149230957e-9</x:v>
      </x:c>
      <x:c r="O2267" s="28" t="n">
        <x:v>2.9802322387695312e-8</x:v>
      </x:c>
      <x:c r="P2267" s="28" t="n">
        <x:v>0</x:v>
      </x:c>
      <x:c r="Q2267" s="62" t="b">
        <x:v>1</x:v>
      </x:c>
      <x:c r="R2267" s="28" t="n">
        <x:v>0</x:v>
      </x:c>
      <x:c r="S2267" s="28" t="str">
        <x:v>6e0c1f3fe629818f</x:v>
      </x:c>
    </x:row>
    <x:row r="2268" ht="21" customHeight="1">
      <x:c r="A2268" s="60" t="n">
        <x:v>0.68</x:v>
      </x:c>
      <x:c r="B2268" s="28" t="str">
        <x:v>level_high</x:v>
      </x:c>
      <x:c r="C2268" s="60" t="n">
        <x:v>0.65</x:v>
      </x:c>
      <x:c r="D2268" s="60" t="n">
        <x:v>0.65</x:v>
      </x:c>
      <x:c r="E2268" s="62" t="b">
        <x:v>1</x:v>
      </x:c>
      <x:c r="F2268" s="62" t="b">
        <x:v>0</x:v>
      </x:c>
      <x:c r="G2268" s="85" t="n">
        <x:v>5825003.020126009</x:v>
      </x:c>
      <x:c r="H2268" s="85" t="n">
        <x:v>19678687.029767636</x:v>
      </x:c>
      <x:c r="I2268" s="85" t="n">
        <x:v>82221117.12808904</x:v>
      </x:c>
      <x:c r="J2268" s="85" t="n">
        <x:v>65999999.999999985</x:v>
      </x:c>
      <x:c r="K2268" s="85" t="n">
        <x:v>460617.16059589677</x:v>
      </x:c>
      <x:c r="L2268" s="28" t="n">
        <x:v>43</x:v>
      </x:c>
      <x:c r="M2268" s="28" t="n">
        <x:v>36</x:v>
      </x:c>
      <x:c r="N2268" s="28" t="n">
        <x:v>1.862645149230957e-9</x:v>
      </x:c>
      <x:c r="O2268" s="28" t="n">
        <x:v>2.9802322387695312e-8</x:v>
      </x:c>
      <x:c r="P2268" s="28" t="n">
        <x:v>0</x:v>
      </x:c>
      <x:c r="Q2268" s="62" t="b">
        <x:v>1</x:v>
      </x:c>
      <x:c r="R2268" s="28" t="n">
        <x:v>0</x:v>
      </x:c>
      <x:c r="S2268" s="28" t="str">
        <x:v>ab33e0e418a6cb35</x:v>
      </x:c>
    </x:row>
    <x:row r="2269" ht="21" customHeight="1">
      <x:c r="A2269" s="60" t="n">
        <x:v>0.68</x:v>
      </x:c>
      <x:c r="B2269" s="28" t="str">
        <x:v>level_high</x:v>
      </x:c>
      <x:c r="C2269" s="60" t="n">
        <x:v>0.7</x:v>
      </x:c>
      <x:c r="D2269" s="60" t="n">
        <x:v>0.7</x:v>
      </x:c>
      <x:c r="E2269" s="62" t="b">
        <x:v>1</x:v>
      </x:c>
      <x:c r="F2269" s="62" t="b">
        <x:v>0</x:v>
      </x:c>
      <x:c r="G2269" s="85" t="n">
        <x:v>9997315.26914895</x:v>
      </x:c>
      <x:c r="H2269" s="85" t="n">
        <x:v>31661517.600371994</x:v>
      </x:c>
      <x:c r="I2269" s="85" t="n">
        <x:v>83803141.69430137</x:v>
      </x:c>
      <x:c r="J2269" s="85" t="n">
        <x:v>65999999.999999985</x:v>
      </x:c>
      <x:c r="K2269" s="85" t="n">
        <x:v>412257.67442465667</x:v>
      </x:c>
      <x:c r="L2269" s="28" t="n">
        <x:v>44</x:v>
      </x:c>
      <x:c r="M2269" s="28" t="n">
        <x:v>38</x:v>
      </x:c>
      <x:c r="N2269" s="28" t="n">
        <x:v>1.862645149230957e-9</x:v>
      </x:c>
      <x:c r="O2269" s="28" t="n">
        <x:v>2.9802322387695312e-8</x:v>
      </x:c>
      <x:c r="P2269" s="28" t="n">
        <x:v>0</x:v>
      </x:c>
      <x:c r="Q2269" s="62" t="b">
        <x:v>1</x:v>
      </x:c>
      <x:c r="R2269" s="28" t="n">
        <x:v>0</x:v>
      </x:c>
      <x:c r="S2269" s="28" t="str">
        <x:v>bfcb17fe950d1885</x:v>
      </x:c>
    </x:row>
    <x:row r="2270" ht="21" customHeight="1">
      <x:c r="A2270" s="60" t="n">
        <x:v>0.68</x:v>
      </x:c>
      <x:c r="B2270" s="28" t="str">
        <x:v>level_high</x:v>
      </x:c>
      <x:c r="C2270" s="60" t="n">
        <x:v>0.75</x:v>
      </x:c>
      <x:c r="D2270" s="60" t="n">
        <x:v>0.75</x:v>
      </x:c>
      <x:c r="E2270" s="62" t="b">
        <x:v>1</x:v>
      </x:c>
      <x:c r="F2270" s="62" t="b">
        <x:v>0</x:v>
      </x:c>
      <x:c r="G2270" s="85" t="n">
        <x:v>14999965.891482612</x:v>
      </x:c>
      <x:c r="H2270" s="85" t="n">
        <x:v>45653420.321183115</x:v>
      </x:c>
      <x:c r="I2270" s="85" t="n">
        <x:v>83916352.5847945</x:v>
      </x:c>
      <x:c r="J2270" s="85" t="n">
        <x:v>65999999.999999985</x:v>
      </x:c>
      <x:c r="K2270" s="85" t="n">
        <x:v>363898.1882534221</x:v>
      </x:c>
      <x:c r="L2270" s="28" t="n">
        <x:v>44</x:v>
      </x:c>
      <x:c r="M2270" s="28" t="n">
        <x:v>38</x:v>
      </x:c>
      <x:c r="N2270" s="28" t="n">
        <x:v>3.725290298461914e-9</x:v>
      </x:c>
      <x:c r="O2270" s="28" t="n">
        <x:v>2.9802322387695312e-8</x:v>
      </x:c>
      <x:c r="P2270" s="28" t="n">
        <x:v>0</x:v>
      </x:c>
      <x:c r="Q2270" s="62" t="b">
        <x:v>1</x:v>
      </x:c>
      <x:c r="R2270" s="28" t="n">
        <x:v>0</x:v>
      </x:c>
      <x:c r="S2270" s="28" t="str">
        <x:v>de9ad93b97404e64</x:v>
      </x:c>
    </x:row>
    <x:row r="2271" ht="21" customHeight="1">
      <x:c r="A2271" s="60" t="n">
        <x:v>0.68</x:v>
      </x:c>
      <x:c r="B2271" s="28" t="str">
        <x:v>level_high</x:v>
      </x:c>
      <x:c r="C2271" s="60" t="n">
        <x:v>0.8</x:v>
      </x:c>
      <x:c r="D2271" s="60" t="n">
        <x:v>0.8</x:v>
      </x:c>
      <x:c r="E2271" s="62" t="b">
        <x:v>1</x:v>
      </x:c>
      <x:c r="F2271" s="62" t="b">
        <x:v>0</x:v>
      </x:c>
      <x:c r="G2271" s="85" t="n">
        <x:v>19279225.473562486</x:v>
      </x:c>
      <x:c r="H2271" s="85" t="n">
        <x:v>56788696.593093835</x:v>
      </x:c>
      <x:c r="I2271" s="85" t="n">
        <x:v>85626722.87649314</x:v>
      </x:c>
      <x:c r="J2271" s="85" t="n">
        <x:v>65999999.999999985</x:v>
      </x:c>
      <x:c r="K2271" s="85" t="n">
        <x:v>315538.70208219497</x:v>
      </x:c>
      <x:c r="L2271" s="28" t="n">
        <x:v>45</x:v>
      </x:c>
      <x:c r="M2271" s="28" t="n">
        <x:v>40</x:v>
      </x:c>
      <x:c r="N2271" s="28" t="n">
        <x:v>1.862645149230957e-9</x:v>
      </x:c>
      <x:c r="O2271" s="28" t="n">
        <x:v>2.9802322387695312e-8</x:v>
      </x:c>
      <x:c r="P2271" s="28" t="n">
        <x:v>0</x:v>
      </x:c>
      <x:c r="Q2271" s="62" t="b">
        <x:v>1</x:v>
      </x:c>
      <x:c r="R2271" s="28" t="n">
        <x:v>0</x:v>
      </x:c>
      <x:c r="S2271" s="28" t="str">
        <x:v>a3d71330498bcfa2</x:v>
      </x:c>
    </x:row>
    <x:row r="2272" ht="21" customHeight="1">
      <x:c r="A2272" s="60" t="n">
        <x:v>0.68</x:v>
      </x:c>
      <x:c r="B2272" s="28" t="str">
        <x:v>level_high</x:v>
      </x:c>
      <x:c r="C2272" s="60" t="n">
        <x:v>0.85</x:v>
      </x:c>
      <x:c r="D2272" s="60" t="n">
        <x:v>0.85</x:v>
      </x:c>
      <x:c r="E2272" s="62" t="b">
        <x:v>1</x:v>
      </x:c>
      <x:c r="F2272" s="62" t="b">
        <x:v>0</x:v>
      </x:c>
      <x:c r="G2272" s="85" t="n">
        <x:v>27737364.708774645</x:v>
      </x:c>
      <x:c r="H2272" s="85" t="n">
        <x:v>68639569.56059334</x:v>
      </x:c>
      <x:c r="I2272" s="85" t="n">
        <x:v>85674834.446</x:v>
      </x:c>
      <x:c r="J2272" s="85" t="n">
        <x:v>65999999.999999985</x:v>
      </x:c>
      <x:c r="K2272" s="85" t="n">
        <x:v>267179.2159109651</x:v>
      </x:c>
      <x:c r="L2272" s="28" t="n">
        <x:v>45</x:v>
      </x:c>
      <x:c r="M2272" s="28" t="n">
        <x:v>40</x:v>
      </x:c>
      <x:c r="N2272" s="28" t="n">
        <x:v>9.313225746154785e-10</x:v>
      </x:c>
      <x:c r="O2272" s="28" t="n">
        <x:v>2.9802322387695312e-8</x:v>
      </x:c>
      <x:c r="P2272" s="28" t="n">
        <x:v>0</x:v>
      </x:c>
      <x:c r="Q2272" s="62" t="b">
        <x:v>1</x:v>
      </x:c>
      <x:c r="R2272" s="28" t="n">
        <x:v>0</x:v>
      </x:c>
      <x:c r="S2272" s="28" t="str">
        <x:v>273d6e77767d87fa</x:v>
      </x:c>
    </x:row>
    <x:row r="2273" ht="21" customHeight="1">
      <x:c r="A2273" s="60" t="n">
        <x:v>0.68</x:v>
      </x:c>
      <x:c r="B2273" s="28" t="str">
        <x:v>level_high</x:v>
      </x:c>
      <x:c r="C2273" s="60" t="n">
        <x:v>0.9</x:v>
      </x:c>
      <x:c r="D2273" s="60" t="n">
        <x:v>0.9</x:v>
      </x:c>
      <x:c r="E2273" s="62" t="b">
        <x:v>1</x:v>
      </x:c>
      <x:c r="F2273" s="62" t="b">
        <x:v>0</x:v>
      </x:c>
      <x:c r="G2273" s="85" t="n">
        <x:v>34090062.24266937</x:v>
      </x:c>
      <x:c r="H2273" s="85" t="n">
        <x:v>77294943.04558076</x:v>
      </x:c>
      <x:c r="I2273" s="85" t="n">
        <x:v>85722946.01550685</x:v>
      </x:c>
      <x:c r="J2273" s="85" t="n">
        <x:v>65999999.999999985</x:v>
      </x:c>
      <x:c r="K2273" s="85" t="n">
        <x:v>218819.72973972867</x:v>
      </x:c>
      <x:c r="L2273" s="28" t="n">
        <x:v>45</x:v>
      </x:c>
      <x:c r="M2273" s="28" t="n">
        <x:v>40</x:v>
      </x:c>
      <x:c r="N2273" s="28" t="n">
        <x:v>1.862645149230957e-9</x:v>
      </x:c>
      <x:c r="O2273" s="28" t="n">
        <x:v>7.450580596923828e-9</x:v>
      </x:c>
      <x:c r="P2273" s="28" t="n">
        <x:v>0</x:v>
      </x:c>
      <x:c r="Q2273" s="62" t="b">
        <x:v>1</x:v>
      </x:c>
      <x:c r="R2273" s="28" t="n">
        <x:v>0</x:v>
      </x:c>
      <x:c r="S2273" s="28" t="str">
        <x:v>5234273385cfedfd</x:v>
      </x:c>
    </x:row>
    <x:row r="2274" ht="21" customHeight="1">
      <x:c r="A2274" s="60" t="n">
        <x:v>0.68</x:v>
      </x:c>
      <x:c r="B2274" s="28" t="str">
        <x:v>level_high</x:v>
      </x:c>
      <x:c r="C2274" s="60" t="n">
        <x:v>0.95</x:v>
      </x:c>
      <x:c r="D2274" s="60" t="n">
        <x:v>0.9219114501462435</x:v>
      </x:c>
      <x:c r="E2274" s="62" t="b">
        <x:v>0</x:v>
      </x:c>
      <x:c r="F2274" s="62" t="b">
        <x:v>0</x:v>
      </x:c>
      <x:c r="G2274" s="85" t="n">
        <x:v>36994998.295203164</x:v>
      </x:c>
      <x:c r="H2274" s="85" t="n">
        <x:v>83284038.9908912</x:v>
      </x:c>
      <x:c r="I2274" s="85" t="n">
        <x:v>85771057.58501369</x:v>
      </x:c>
      <x:c r="J2274" s="85" t="n">
        <x:v>65999999.999999985</x:v>
      </x:c>
      <x:c r="K2274" s="85" t="n">
        <x:v>178072.4360958934</x:v>
      </x:c>
      <x:c r="L2274" s="28" t="n">
        <x:v>45</x:v>
      </x:c>
      <x:c r="M2274" s="28" t="n">
        <x:v>42</x:v>
      </x:c>
      <x:c r="N2274" s="28" t="n">
        <x:v>1.862645149230957e-9</x:v>
      </x:c>
      <x:c r="O2274" s="28" t="n">
        <x:v>1.4901161193847656e-8</x:v>
      </x:c>
      <x:c r="P2274" s="28" t="n">
        <x:v>0</x:v>
      </x:c>
      <x:c r="Q2274" s="62" t="b">
        <x:v>1</x:v>
      </x:c>
      <x:c r="R2274" s="28" t="n">
        <x:v>8426564.956126928</x:v>
      </x:c>
      <x:c r="S2274" s="28" t="str">
        <x:v>5b9ff8cf6aa1df24</x:v>
      </x:c>
    </x:row>
    <x:row r="2275" ht="21" customHeight="1">
      <x:c r="A2275" s="60" t="n">
        <x:v>0.68</x:v>
      </x:c>
      <x:c r="B2275" s="28" t="str">
        <x:v>level_high</x:v>
      </x:c>
      <x:c r="C2275" s="60" t="n">
        <x:v>1</x:v>
      </x:c>
      <x:c r="D2275" s="60" t="n">
        <x:v>0.9350574964161632</x:v>
      </x:c>
      <x:c r="E2275" s="62" t="b">
        <x:v>0</x:v>
      </x:c>
      <x:c r="F2275" s="62" t="b">
        <x:v>0</x:v>
      </x:c>
      <x:c r="G2275" s="85" t="n">
        <x:v>40115038.383772016</x:v>
      </x:c>
      <x:c r="H2275" s="85" t="n">
        <x:v>86668732.52404247</x:v>
      </x:c>
      <x:c r="I2275" s="85" t="n">
        <x:v>85819169.15452054</x:v>
      </x:c>
      <x:c r="J2275" s="85" t="n">
        <x:v>65999999.999999985</x:v>
      </x:c>
      <x:c r="K2275" s="85" t="n">
        <x:v>161952.37397260594</x:v>
      </x:c>
      <x:c r="L2275" s="28" t="n">
        <x:v>45</x:v>
      </x:c>
      <x:c r="M2275" s="28" t="n">
        <x:v>42</x:v>
      </x:c>
      <x:c r="N2275" s="28" t="n">
        <x:v>1.862645149230957e-9</x:v>
      </x:c>
      <x:c r="O2275" s="28" t="n">
        <x:v>7.450580596923828e-9</x:v>
      </x:c>
      <x:c r="P2275" s="28" t="n">
        <x:v>0</x:v>
      </x:c>
      <x:c r="Q2275" s="62" t="b">
        <x:v>1</x:v>
      </x:c>
      <x:c r="R2275" s="28" t="n">
        <x:v>19482751.075151026</x:v>
      </x:c>
      <x:c r="S2275" s="28" t="str">
        <x:v>d7ef2964ffc08c8c</x:v>
      </x:c>
    </x:row>
    <x:row r="2276" ht="21" customHeight="1">
      <x:c r="A2276" s="60" t="n">
        <x:v>0.69</x:v>
      </x:c>
      <x:c r="B2276" s="28" t="str">
        <x:v>front_flat</x:v>
      </x:c>
      <x:c r="C2276" s="60" t="n">
        <x:v>0</x:v>
      </x:c>
      <x:c r="D2276" s="60" t="n">
        <x:v>0</x:v>
      </x:c>
      <x:c r="E2276" s="62" t="b">
        <x:v>1</x:v>
      </x:c>
      <x:c r="F2276" s="62" t="b">
        <x:v>1</x:v>
      </x:c>
      <x:c r="G2276" s="85" t="n">
        <x:v>0</x:v>
      </x:c>
      <x:c r="H2276" s="85" t="n">
        <x:v>0</x:v>
      </x:c>
      <x:c r="I2276" s="85" t="n">
        <x:v>0</x:v>
      </x:c>
      <x:c r="J2276" s="85" t="n">
        <x:v>0</x:v>
      </x:c>
      <x:c r="K2276" s="85" t="n">
        <x:v>36427690.54589042</x:v>
      </x:c>
      <x:c r="L2276" s="28" t="n">
        <x:v>0</x:v>
      </x:c>
      <x:c r="M2276" s="28" t="n">
        <x:v>0</x:v>
      </x:c>
      <x:c r="N2276" s="28" t="n">
        <x:v>3.725290298461914e-9</x:v>
      </x:c>
      <x:c r="O2276" s="28" t="n">
        <x:v>0</x:v>
      </x:c>
      <x:c r="P2276" s="28" t="n">
        <x:v>0</x:v>
      </x:c>
      <x:c r="Q2276" s="62" t="b">
        <x:v>1</x:v>
      </x:c>
      <x:c r="R2276" s="28" t="n">
        <x:v>0</x:v>
      </x:c>
      <x:c r="S2276" s="28" t="str">
        <x:v>145d8ba1127806ae</x:v>
      </x:c>
    </x:row>
    <x:row r="2277" ht="21" customHeight="1">
      <x:c r="A2277" s="60" t="n">
        <x:v>0.69</x:v>
      </x:c>
      <x:c r="B2277" s="28" t="str">
        <x:v>front_flat</x:v>
      </x:c>
      <x:c r="C2277" s="60" t="n">
        <x:v>0.05</x:v>
      </x:c>
      <x:c r="D2277" s="60" t="n">
        <x:v>0.05</x:v>
      </x:c>
      <x:c r="E2277" s="62" t="b">
        <x:v>1</x:v>
      </x:c>
      <x:c r="F2277" s="62" t="b">
        <x:v>1</x:v>
      </x:c>
      <x:c r="G2277" s="85" t="n">
        <x:v>0</x:v>
      </x:c>
      <x:c r="H2277" s="85" t="n">
        <x:v>0</x:v>
      </x:c>
      <x:c r="I2277" s="85" t="n">
        <x:v>0</x:v>
      </x:c>
      <x:c r="J2277" s="85" t="n">
        <x:v>0</x:v>
      </x:c>
      <x:c r="K2277" s="85" t="n">
        <x:v>24183188.307117004</x:v>
      </x:c>
      <x:c r="L2277" s="28" t="n">
        <x:v>0</x:v>
      </x:c>
      <x:c r="M2277" s="28" t="n">
        <x:v>0</x:v>
      </x:c>
      <x:c r="N2277" s="28" t="n">
        <x:v>1.862645149230957e-9</x:v>
      </x:c>
      <x:c r="O2277" s="28" t="n">
        <x:v>5.960464477539063e-8</x:v>
      </x:c>
      <x:c r="P2277" s="28" t="n">
        <x:v>0</x:v>
      </x:c>
      <x:c r="Q2277" s="62" t="b">
        <x:v>1</x:v>
      </x:c>
      <x:c r="R2277" s="28" t="n">
        <x:v>0</x:v>
      </x:c>
      <x:c r="S2277" s="28" t="str">
        <x:v>944d662097e827e6</x:v>
      </x:c>
    </x:row>
    <x:row r="2278" ht="21" customHeight="1">
      <x:c r="A2278" s="60" t="n">
        <x:v>0.69</x:v>
      </x:c>
      <x:c r="B2278" s="28" t="str">
        <x:v>front_flat</x:v>
      </x:c>
      <x:c r="C2278" s="60" t="n">
        <x:v>0.1</x:v>
      </x:c>
      <x:c r="D2278" s="60" t="n">
        <x:v>0.1</x:v>
      </x:c>
      <x:c r="E2278" s="62" t="b">
        <x:v>1</x:v>
      </x:c>
      <x:c r="F2278" s="62" t="b">
        <x:v>1</x:v>
      </x:c>
      <x:c r="G2278" s="85" t="n">
        <x:v>0</x:v>
      </x:c>
      <x:c r="H2278" s="85" t="n">
        <x:v>0</x:v>
      </x:c>
      <x:c r="I2278" s="85" t="n">
        <x:v>0</x:v>
      </x:c>
      <x:c r="J2278" s="85" t="n">
        <x:v>0</x:v>
      </x:c>
      <x:c r="K2278" s="85" t="n">
        <x:v>11819298.663982224</x:v>
      </x:c>
      <x:c r="L2278" s="28" t="n">
        <x:v>0</x:v>
      </x:c>
      <x:c r="M2278" s="28" t="n">
        <x:v>0</x:v>
      </x:c>
      <x:c r="N2278" s="28" t="n">
        <x:v>3.725290298461914e-9</x:v>
      </x:c>
      <x:c r="O2278" s="28" t="n">
        <x:v>5.960464477539063e-8</x:v>
      </x:c>
      <x:c r="P2278" s="28" t="n">
        <x:v>0</x:v>
      </x:c>
      <x:c r="Q2278" s="62" t="b">
        <x:v>1</x:v>
      </x:c>
      <x:c r="R2278" s="28" t="n">
        <x:v>0</x:v>
      </x:c>
      <x:c r="S2278" s="28" t="str">
        <x:v>6288b164ea1dd7e8</x:v>
      </x:c>
    </x:row>
    <x:row r="2279" ht="21" customHeight="1">
      <x:c r="A2279" s="60" t="n">
        <x:v>0.69</x:v>
      </x:c>
      <x:c r="B2279" s="28" t="str">
        <x:v>front_flat</x:v>
      </x:c>
      <x:c r="C2279" s="60" t="n">
        <x:v>0.15</x:v>
      </x:c>
      <x:c r="D2279" s="60" t="n">
        <x:v>0.15</x:v>
      </x:c>
      <x:c r="E2279" s="62" t="b">
        <x:v>1</x:v>
      </x:c>
      <x:c r="F2279" s="62" t="b">
        <x:v>1</x:v>
      </x:c>
      <x:c r="G2279" s="85" t="n">
        <x:v>0</x:v>
      </x:c>
      <x:c r="H2279" s="85" t="n">
        <x:v>0</x:v>
      </x:c>
      <x:c r="I2279" s="85" t="n">
        <x:v>1422257.650595998</x:v>
      </x:c>
      <x:c r="J2279" s="85" t="n">
        <x:v>0</x:v>
      </x:c>
      <x:c r="K2279" s="85" t="n">
        <x:v>1484096.9445610456</x:v>
      </x:c>
      <x:c r="L2279" s="28" t="n">
        <x:v>0</x:v>
      </x:c>
      <x:c r="M2279" s="28" t="n">
        <x:v>0</x:v>
      </x:c>
      <x:c r="N2279" s="28" t="n">
        <x:v>3.725290298461914e-9</x:v>
      </x:c>
      <x:c r="O2279" s="28" t="n">
        <x:v>2.9802322387695312e-8</x:v>
      </x:c>
      <x:c r="P2279" s="28" t="n">
        <x:v>0</x:v>
      </x:c>
      <x:c r="Q2279" s="62" t="b">
        <x:v>1</x:v>
      </x:c>
      <x:c r="R2279" s="28" t="n">
        <x:v>0</x:v>
      </x:c>
      <x:c r="S2279" s="28" t="str">
        <x:v>8bfa121665396f97</x:v>
      </x:c>
    </x:row>
    <x:row r="2280" ht="21" customHeight="1">
      <x:c r="A2280" s="60" t="n">
        <x:v>0.69</x:v>
      </x:c>
      <x:c r="B2280" s="28" t="str">
        <x:v>front_flat</x:v>
      </x:c>
      <x:c r="C2280" s="60" t="n">
        <x:v>0.2</x:v>
      </x:c>
      <x:c r="D2280" s="60" t="n">
        <x:v>0.2</x:v>
      </x:c>
      <x:c r="E2280" s="62" t="b">
        <x:v>1</x:v>
      </x:c>
      <x:c r="F2280" s="62" t="b">
        <x:v>1</x:v>
      </x:c>
      <x:c r="G2280" s="85" t="n">
        <x:v>0</x:v>
      </x:c>
      <x:c r="H2280" s="85" t="n">
        <x:v>0</x:v>
      </x:c>
      <x:c r="I2280" s="85" t="n">
        <x:v>9290893.782192493</x:v>
      </x:c>
      <x:c r="J2280" s="85" t="n">
        <x:v>6284479.497374642</x:v>
      </x:c>
      <x:c r="K2280" s="85" t="n">
        <x:v>825496.2152823596</x:v>
      </x:c>
      <x:c r="L2280" s="28" t="n">
        <x:v>0</x:v>
      </x:c>
      <x:c r="M2280" s="28" t="n">
        <x:v>0</x:v>
      </x:c>
      <x:c r="N2280" s="28" t="n">
        <x:v>3.725290298461914e-9</x:v>
      </x:c>
      <x:c r="O2280" s="28" t="n">
        <x:v>2.9802322387695312e-8</x:v>
      </x:c>
      <x:c r="P2280" s="28" t="n">
        <x:v>0</x:v>
      </x:c>
      <x:c r="Q2280" s="62" t="b">
        <x:v>1</x:v>
      </x:c>
      <x:c r="R2280" s="28" t="n">
        <x:v>0</x:v>
      </x:c>
      <x:c r="S2280" s="28" t="str">
        <x:v>500e82cee7da3eb6</x:v>
      </x:c>
    </x:row>
    <x:row r="2281" ht="21" customHeight="1">
      <x:c r="A2281" s="60" t="n">
        <x:v>0.69</x:v>
      </x:c>
      <x:c r="B2281" s="28" t="str">
        <x:v>front_flat</x:v>
      </x:c>
      <x:c r="C2281" s="60" t="n">
        <x:v>0.25</x:v>
      </x:c>
      <x:c r="D2281" s="60" t="n">
        <x:v>0.25</x:v>
      </x:c>
      <x:c r="E2281" s="62" t="b">
        <x:v>1</x:v>
      </x:c>
      <x:c r="F2281" s="62" t="b">
        <x:v>1</x:v>
      </x:c>
      <x:c r="G2281" s="85" t="n">
        <x:v>0</x:v>
      </x:c>
      <x:c r="H2281" s="85" t="n">
        <x:v>0</x:v>
      </x:c>
      <x:c r="I2281" s="85" t="n">
        <x:v>15652255.114310242</x:v>
      </x:c>
      <x:c r="J2281" s="85" t="n">
        <x:v>15355599.371718226</x:v>
      </x:c>
      <x:c r="K2281" s="85" t="n">
        <x:v>568383.8268373375</x:v>
      </x:c>
      <x:c r="L2281" s="28" t="n">
        <x:v>0</x:v>
      </x:c>
      <x:c r="M2281" s="28" t="n">
        <x:v>0</x:v>
      </x:c>
      <x:c r="N2281" s="28" t="n">
        <x:v>1.862645149230957e-9</x:v>
      </x:c>
      <x:c r="O2281" s="28" t="n">
        <x:v>1.4901161193847656e-8</x:v>
      </x:c>
      <x:c r="P2281" s="28" t="n">
        <x:v>0</x:v>
      </x:c>
      <x:c r="Q2281" s="62" t="b">
        <x:v>1</x:v>
      </x:c>
      <x:c r="R2281" s="28" t="n">
        <x:v>0</x:v>
      </x:c>
      <x:c r="S2281" s="28" t="str">
        <x:v>066d6b587959a334</x:v>
      </x:c>
    </x:row>
    <x:row r="2282" ht="21" customHeight="1">
      <x:c r="A2282" s="60" t="n">
        <x:v>0.69</x:v>
      </x:c>
      <x:c r="B2282" s="28" t="str">
        <x:v>front_flat</x:v>
      </x:c>
      <x:c r="C2282" s="60" t="n">
        <x:v>0.3</x:v>
      </x:c>
      <x:c r="D2282" s="60" t="n">
        <x:v>0.3</x:v>
      </x:c>
      <x:c r="E2282" s="62" t="b">
        <x:v>1</x:v>
      </x:c>
      <x:c r="F2282" s="62" t="b">
        <x:v>1</x:v>
      </x:c>
      <x:c r="G2282" s="85" t="n">
        <x:v>0</x:v>
      </x:c>
      <x:c r="H2282" s="85" t="n">
        <x:v>0</x:v>
      </x:c>
      <x:c r="I2282" s="85" t="n">
        <x:v>22355689.772365138</x:v>
      </x:c>
      <x:c r="J2282" s="85" t="n">
        <x:v>24426719.24606188</x:v>
      </x:c>
      <x:c r="K2282" s="85" t="n">
        <x:v>414996.2307006846</x:v>
      </x:c>
      <x:c r="L2282" s="28" t="n">
        <x:v>0</x:v>
      </x:c>
      <x:c r="M2282" s="28" t="n">
        <x:v>0</x:v>
      </x:c>
      <x:c r="N2282" s="28" t="n">
        <x:v>1.862645149230957e-9</x:v>
      </x:c>
      <x:c r="O2282" s="28" t="n">
        <x:v>2.9802322387695312e-8</x:v>
      </x:c>
      <x:c r="P2282" s="28" t="n">
        <x:v>0</x:v>
      </x:c>
      <x:c r="Q2282" s="62" t="b">
        <x:v>1</x:v>
      </x:c>
      <x:c r="R2282" s="28" t="n">
        <x:v>0</x:v>
      </x:c>
      <x:c r="S2282" s="28" t="str">
        <x:v>dc49b8aa955a9976</x:v>
      </x:c>
    </x:row>
    <x:row r="2283" ht="21" customHeight="1">
      <x:c r="A2283" s="60" t="n">
        <x:v>0.69</x:v>
      </x:c>
      <x:c r="B2283" s="28" t="str">
        <x:v>front_flat</x:v>
      </x:c>
      <x:c r="C2283" s="60" t="n">
        <x:v>0.35</x:v>
      </x:c>
      <x:c r="D2283" s="60" t="n">
        <x:v>0.35</x:v>
      </x:c>
      <x:c r="E2283" s="62" t="b">
        <x:v>1</x:v>
      </x:c>
      <x:c r="F2283" s="62" t="b">
        <x:v>1</x:v>
      </x:c>
      <x:c r="G2283" s="85" t="n">
        <x:v>0</x:v>
      </x:c>
      <x:c r="H2283" s="85" t="n">
        <x:v>0</x:v>
      </x:c>
      <x:c r="I2283" s="85" t="n">
        <x:v>30986175.23729601</x:v>
      </x:c>
      <x:c r="J2283" s="85" t="n">
        <x:v>27846738.053515848</x:v>
      </x:c>
      <x:c r="K2283" s="85" t="n">
        <x:v>352773.17074898246</x:v>
      </x:c>
      <x:c r="L2283" s="28" t="n">
        <x:v>5</x:v>
      </x:c>
      <x:c r="M2283" s="28" t="n">
        <x:v>0</x:v>
      </x:c>
      <x:c r="N2283" s="28" t="n">
        <x:v>3.725290298461914e-9</x:v>
      </x:c>
      <x:c r="O2283" s="28" t="n">
        <x:v>7.450580596923828e-9</x:v>
      </x:c>
      <x:c r="P2283" s="28" t="n">
        <x:v>0</x:v>
      </x:c>
      <x:c r="Q2283" s="62" t="b">
        <x:v>1</x:v>
      </x:c>
      <x:c r="R2283" s="28" t="n">
        <x:v>0</x:v>
      </x:c>
      <x:c r="S2283" s="28" t="str">
        <x:v>3bbef4adfcf9b7d2</x:v>
      </x:c>
    </x:row>
    <x:row r="2284" ht="21" customHeight="1">
      <x:c r="A2284" s="60" t="n">
        <x:v>0.69</x:v>
      </x:c>
      <x:c r="B2284" s="28" t="str">
        <x:v>front_flat</x:v>
      </x:c>
      <x:c r="C2284" s="60" t="n">
        <x:v>0.4</x:v>
      </x:c>
      <x:c r="D2284" s="60" t="n">
        <x:v>0.4</x:v>
      </x:c>
      <x:c r="E2284" s="62" t="b">
        <x:v>1</x:v>
      </x:c>
      <x:c r="F2284" s="62" t="b">
        <x:v>1</x:v>
      </x:c>
      <x:c r="G2284" s="85" t="n">
        <x:v>0</x:v>
      </x:c>
      <x:c r="H2284" s="85" t="n">
        <x:v>0</x:v>
      </x:c>
      <x:c r="I2284" s="85" t="n">
        <x:v>40074189.116285205</x:v>
      </x:c>
      <x:c r="J2284" s="85" t="n">
        <x:v>30678227.53425885</x:v>
      </x:c>
      <x:c r="K2284" s="85" t="n">
        <x:v>290550.11079725705</x:v>
      </x:c>
      <x:c r="L2284" s="28" t="n">
        <x:v>12</x:v>
      </x:c>
      <x:c r="M2284" s="28" t="n">
        <x:v>0</x:v>
      </x:c>
      <x:c r="N2284" s="28" t="n">
        <x:v>3.725290298461914e-9</x:v>
      </x:c>
      <x:c r="O2284" s="28" t="n">
        <x:v>2.9802322387695312e-8</x:v>
      </x:c>
      <x:c r="P2284" s="28" t="n">
        <x:v>0</x:v>
      </x:c>
      <x:c r="Q2284" s="62" t="b">
        <x:v>1</x:v>
      </x:c>
      <x:c r="R2284" s="28" t="n">
        <x:v>0</x:v>
      </x:c>
      <x:c r="S2284" s="28" t="str">
        <x:v>6d9c8c652f3f3f7b</x:v>
      </x:c>
    </x:row>
    <x:row r="2285" ht="21" customHeight="1">
      <x:c r="A2285" s="60" t="n">
        <x:v>0.69</x:v>
      </x:c>
      <x:c r="B2285" s="28" t="str">
        <x:v>front_flat</x:v>
      </x:c>
      <x:c r="C2285" s="60" t="n">
        <x:v>0.45</x:v>
      </x:c>
      <x:c r="D2285" s="60" t="n">
        <x:v>0.45</x:v>
      </x:c>
      <x:c r="E2285" s="62" t="b">
        <x:v>1</x:v>
      </x:c>
      <x:c r="F2285" s="62" t="b">
        <x:v>1</x:v>
      </x:c>
      <x:c r="G2285" s="85" t="n">
        <x:v>0</x:v>
      </x:c>
      <x:c r="H2285" s="85" t="n">
        <x:v>0</x:v>
      </x:c>
      <x:c r="I2285" s="85" t="n">
        <x:v>47541288.85740595</x:v>
      </x:c>
      <x:c r="J2285" s="85" t="n">
        <x:v>38646302.217978925</x:v>
      </x:c>
      <x:c r="K2285" s="85" t="n">
        <x:v>228327.05084555116</x:v>
      </x:c>
      <x:c r="L2285" s="28" t="n">
        <x:v>17</x:v>
      </x:c>
      <x:c r="M2285" s="28" t="n">
        <x:v>0</x:v>
      </x:c>
      <x:c r="N2285" s="28" t="n">
        <x:v>1.862645149230957e-9</x:v>
      </x:c>
      <x:c r="O2285" s="28" t="n">
        <x:v>2.9802322387695312e-8</x:v>
      </x:c>
      <x:c r="P2285" s="28" t="n">
        <x:v>0</x:v>
      </x:c>
      <x:c r="Q2285" s="62" t="b">
        <x:v>1</x:v>
      </x:c>
      <x:c r="R2285" s="28" t="n">
        <x:v>0</x:v>
      </x:c>
      <x:c r="S2285" s="28" t="str">
        <x:v>42e7a00b804e8689</x:v>
      </x:c>
    </x:row>
    <x:row r="2286" ht="21" customHeight="1">
      <x:c r="A2286" s="60" t="n">
        <x:v>0.69</x:v>
      </x:c>
      <x:c r="B2286" s="28" t="str">
        <x:v>front_flat</x:v>
      </x:c>
      <x:c r="C2286" s="60" t="n">
        <x:v>0.5</x:v>
      </x:c>
      <x:c r="D2286" s="60" t="n">
        <x:v>0.5</x:v>
      </x:c>
      <x:c r="E2286" s="62" t="b">
        <x:v>1</x:v>
      </x:c>
      <x:c r="F2286" s="62" t="b">
        <x:v>1</x:v>
      </x:c>
      <x:c r="G2286" s="85" t="n">
        <x:v>0</x:v>
      </x:c>
      <x:c r="H2286" s="85" t="n">
        <x:v>0</x:v>
      </x:c>
      <x:c r="I2286" s="85" t="n">
        <x:v>54193647.232258506</x:v>
      </x:c>
      <x:c r="J2286" s="85" t="n">
        <x:v>47871541.22813665</x:v>
      </x:c>
      <x:c r="K2286" s="85" t="n">
        <x:v>166103.99089383456</x:v>
      </x:c>
      <x:c r="L2286" s="28" t="n">
        <x:v>20</x:v>
      </x:c>
      <x:c r="M2286" s="28" t="n">
        <x:v>0</x:v>
      </x:c>
      <x:c r="N2286" s="28" t="n">
        <x:v>1.862645149230957e-9</x:v>
      </x:c>
      <x:c r="O2286" s="28" t="n">
        <x:v>2.9802322387695312e-8</x:v>
      </x:c>
      <x:c r="P2286" s="28" t="n">
        <x:v>0</x:v>
      </x:c>
      <x:c r="Q2286" s="62" t="b">
        <x:v>1</x:v>
      </x:c>
      <x:c r="R2286" s="28" t="n">
        <x:v>0</x:v>
      </x:c>
      <x:c r="S2286" s="28" t="str">
        <x:v>0848fdce45e196a5</x:v>
      </x:c>
    </x:row>
    <x:row r="2287" ht="21" customHeight="1">
      <x:c r="A2287" s="60" t="n">
        <x:v>0.69</x:v>
      </x:c>
      <x:c r="B2287" s="28" t="str">
        <x:v>front_flat</x:v>
      </x:c>
      <x:c r="C2287" s="60" t="n">
        <x:v>0.55</x:v>
      </x:c>
      <x:c r="D2287" s="60" t="n">
        <x:v>0.55</x:v>
      </x:c>
      <x:c r="E2287" s="62" t="b">
        <x:v>1</x:v>
      </x:c>
      <x:c r="F2287" s="62" t="b">
        <x:v>1</x:v>
      </x:c>
      <x:c r="G2287" s="85" t="n">
        <x:v>0</x:v>
      </x:c>
      <x:c r="H2287" s="85" t="n">
        <x:v>0</x:v>
      </x:c>
      <x:c r="I2287" s="85" t="n">
        <x:v>60058993.09315343</x:v>
      </x:c>
      <x:c r="J2287" s="85" t="n">
        <x:v>59045821.84712172</x:v>
      </x:c>
      <x:c r="K2287" s="85" t="n">
        <x:v>105685.96848287902</x:v>
      </x:c>
      <x:c r="L2287" s="28" t="n">
        <x:v>25</x:v>
      </x:c>
      <x:c r="M2287" s="28" t="n">
        <x:v>7</x:v>
      </x:c>
      <x:c r="N2287" s="28" t="n">
        <x:v>1.862645149230957e-9</x:v>
      </x:c>
      <x:c r="O2287" s="28" t="n">
        <x:v>2.9802322387695312e-8</x:v>
      </x:c>
      <x:c r="P2287" s="28" t="n">
        <x:v>0</x:v>
      </x:c>
      <x:c r="Q2287" s="62" t="b">
        <x:v>1</x:v>
      </x:c>
      <x:c r="R2287" s="28" t="n">
        <x:v>0</x:v>
      </x:c>
      <x:c r="S2287" s="28" t="str">
        <x:v>26e78c83807c686b</x:v>
      </x:c>
    </x:row>
    <x:row r="2288" ht="21" customHeight="1">
      <x:c r="A2288" s="60" t="n">
        <x:v>0.69</x:v>
      </x:c>
      <x:c r="B2288" s="28" t="str">
        <x:v>front_flat</x:v>
      </x:c>
      <x:c r="C2288" s="60" t="n">
        <x:v>0.6</x:v>
      </x:c>
      <x:c r="D2288" s="60" t="n">
        <x:v>0.6</x:v>
      </x:c>
      <x:c r="E2288" s="62" t="b">
        <x:v>1</x:v>
      </x:c>
      <x:c r="F2288" s="62" t="b">
        <x:v>0</x:v>
      </x:c>
      <x:c r="G2288" s="85" t="n">
        <x:v>1407393.1305864984</x:v>
      </x:c>
      <x:c r="H2288" s="85" t="n">
        <x:v>9159418.610237362</x:v>
      </x:c>
      <x:c r="I2288" s="85" t="n">
        <x:v>61648520.547945164</x:v>
      </x:c>
      <x:c r="J2288" s="85" t="n">
        <x:v>63000000.000000015</x:v>
      </x:c>
      <x:c r="K2288" s="85" t="n">
        <x:v>84865.87097260173</x:v>
      </x:c>
      <x:c r="L2288" s="28" t="n">
        <x:v>46</x:v>
      </x:c>
      <x:c r="M2288" s="28" t="n">
        <x:v>34</x:v>
      </x:c>
      <x:c r="N2288" s="28" t="n">
        <x:v>1.862645149230957e-9</x:v>
      </x:c>
      <x:c r="O2288" s="28" t="n">
        <x:v>2.9802322387695312e-8</x:v>
      </x:c>
      <x:c r="P2288" s="28" t="n">
        <x:v>0</x:v>
      </x:c>
      <x:c r="Q2288" s="62" t="b">
        <x:v>1</x:v>
      </x:c>
      <x:c r="R2288" s="28" t="n">
        <x:v>0</x:v>
      </x:c>
      <x:c r="S2288" s="28" t="str">
        <x:v>31b1d93b7b47d52d</x:v>
      </x:c>
    </x:row>
    <x:row r="2289" ht="21" customHeight="1">
      <x:c r="A2289" s="60" t="n">
        <x:v>0.69</x:v>
      </x:c>
      <x:c r="B2289" s="28" t="str">
        <x:v>front_flat</x:v>
      </x:c>
      <x:c r="C2289" s="60" t="n">
        <x:v>0.65</x:v>
      </x:c>
      <x:c r="D2289" s="60" t="n">
        <x:v>0.65</x:v>
      </x:c>
      <x:c r="E2289" s="62" t="b">
        <x:v>1</x:v>
      </x:c>
      <x:c r="F2289" s="62" t="b">
        <x:v>0</x:v>
      </x:c>
      <x:c r="G2289" s="85" t="n">
        <x:v>3920668.528922847</x:v>
      </x:c>
      <x:c r="H2289" s="85" t="n">
        <x:v>22303825.318215493</x:v>
      </x:c>
      <x:c r="I2289" s="85" t="n">
        <x:v>61648520.547945164</x:v>
      </x:c>
      <x:c r="J2289" s="85" t="n">
        <x:v>63000000.000000015</x:v>
      </x:c>
      <x:c r="K2289" s="85" t="n">
        <x:v>64045.77346233188</x:v>
      </x:c>
      <x:c r="L2289" s="28" t="n">
        <x:v>46</x:v>
      </x:c>
      <x:c r="M2289" s="28" t="n">
        <x:v>38</x:v>
      </x:c>
      <x:c r="N2289" s="28" t="n">
        <x:v>1.862645149230957e-9</x:v>
      </x:c>
      <x:c r="O2289" s="28" t="n">
        <x:v>2.9802322387695312e-8</x:v>
      </x:c>
      <x:c r="P2289" s="28" t="n">
        <x:v>0</x:v>
      </x:c>
      <x:c r="Q2289" s="62" t="b">
        <x:v>1</x:v>
      </x:c>
      <x:c r="R2289" s="28" t="n">
        <x:v>0</x:v>
      </x:c>
      <x:c r="S2289" s="28" t="str">
        <x:v>41b8821fe6ed9f4c</x:v>
      </x:c>
    </x:row>
    <x:row r="2290" ht="21" customHeight="1">
      <x:c r="A2290" s="60" t="n">
        <x:v>0.69</x:v>
      </x:c>
      <x:c r="B2290" s="28" t="str">
        <x:v>front_flat</x:v>
      </x:c>
      <x:c r="C2290" s="60" t="n">
        <x:v>0.7</x:v>
      </x:c>
      <x:c r="D2290" s="60" t="n">
        <x:v>0.7</x:v>
      </x:c>
      <x:c r="E2290" s="62" t="b">
        <x:v>1</x:v>
      </x:c>
      <x:c r="F2290" s="62" t="b">
        <x:v>0</x:v>
      </x:c>
      <x:c r="G2290" s="85" t="n">
        <x:v>6251699.435315485</x:v>
      </x:c>
      <x:c r="H2290" s="85" t="n">
        <x:v>35166185.902204104</x:v>
      </x:c>
      <x:c r="I2290" s="85" t="n">
        <x:v>61669999.78102942</x:v>
      </x:c>
      <x:c r="J2290" s="85" t="n">
        <x:v>63000000.000000015</x:v>
      </x:c>
      <x:c r="K2290" s="85" t="n">
        <x:v>43225.675952055986</x:v>
      </x:c>
      <x:c r="L2290" s="28" t="n">
        <x:v>46</x:v>
      </x:c>
      <x:c r="M2290" s="28" t="n">
        <x:v>41</x:v>
      </x:c>
      <x:c r="N2290" s="28" t="n">
        <x:v>1.862645149230957e-9</x:v>
      </x:c>
      <x:c r="O2290" s="28" t="n">
        <x:v>2.9802322387695312e-8</x:v>
      </x:c>
      <x:c r="P2290" s="28" t="n">
        <x:v>0</x:v>
      </x:c>
      <x:c r="Q2290" s="62" t="b">
        <x:v>1</x:v>
      </x:c>
      <x:c r="R2290" s="28" t="n">
        <x:v>0</x:v>
      </x:c>
      <x:c r="S2290" s="28" t="str">
        <x:v>84abcaac8fa87b81</x:v>
      </x:c>
    </x:row>
    <x:row r="2291" ht="21" customHeight="1">
      <x:c r="A2291" s="60" t="n">
        <x:v>0.69</x:v>
      </x:c>
      <x:c r="B2291" s="28" t="str">
        <x:v>front_flat</x:v>
      </x:c>
      <x:c r="C2291" s="60" t="n">
        <x:v>0.75</x:v>
      </x:c>
      <x:c r="D2291" s="60" t="n">
        <x:v>0.75</x:v>
      </x:c>
      <x:c r="E2291" s="62" t="b">
        <x:v>1</x:v>
      </x:c>
      <x:c r="F2291" s="62" t="b">
        <x:v>0</x:v>
      </x:c>
      <x:c r="G2291" s="85" t="n">
        <x:v>8604742.825468207</x:v>
      </x:c>
      <x:c r="H2291" s="85" t="n">
        <x:v>46007250.27781642</x:v>
      </x:c>
      <x:c r="I2291" s="85" t="n">
        <x:v>62983602.739725985</x:v>
      </x:c>
      <x:c r="J2291" s="85" t="n">
        <x:v>63000000.000000015</x:v>
      </x:c>
      <x:c r="K2291" s="85" t="n">
        <x:v>22405.578441776364</x:v>
      </x:c>
      <x:c r="L2291" s="28" t="n">
        <x:v>47</x:v>
      </x:c>
      <x:c r="M2291" s="28" t="n">
        <x:v>42</x:v>
      </x:c>
      <x:c r="N2291" s="28" t="n">
        <x:v>1.862645149230957e-9</x:v>
      </x:c>
      <x:c r="O2291" s="28" t="n">
        <x:v>2.9802322387695312e-8</x:v>
      </x:c>
      <x:c r="P2291" s="28" t="n">
        <x:v>0</x:v>
      </x:c>
      <x:c r="Q2291" s="62" t="b">
        <x:v>1</x:v>
      </x:c>
      <x:c r="R2291" s="28" t="n">
        <x:v>0</x:v>
      </x:c>
      <x:c r="S2291" s="28" t="str">
        <x:v>fcf3afe3afa166db</x:v>
      </x:c>
    </x:row>
    <x:row r="2292" ht="21" customHeight="1">
      <x:c r="A2292" s="60" t="n">
        <x:v>0.69</x:v>
      </x:c>
      <x:c r="B2292" s="28" t="str">
        <x:v>front_flat</x:v>
      </x:c>
      <x:c r="C2292" s="60" t="n">
        <x:v>0.8</x:v>
      </x:c>
      <x:c r="D2292" s="60" t="n">
        <x:v>0.8</x:v>
      </x:c>
      <x:c r="E2292" s="62" t="b">
        <x:v>1</x:v>
      </x:c>
      <x:c r="F2292" s="62" t="b">
        <x:v>0</x:v>
      </x:c>
      <x:c r="G2292" s="85" t="n">
        <x:v>11396003.094307939</x:v>
      </x:c>
      <x:c r="H2292" s="85" t="n">
        <x:v>58458128.733475484</x:v>
      </x:c>
      <x:c r="I2292" s="85" t="n">
        <x:v>62983602.739725985</x:v>
      </x:c>
      <x:c r="J2292" s="85" t="n">
        <x:v>63000000.000000015</x:v>
      </x:c>
      <x:c r="K2292" s="85" t="n">
        <x:v>1585.4809315088496</x:v>
      </x:c>
      <x:c r="L2292" s="28" t="n">
        <x:v>47</x:v>
      </x:c>
      <x:c r="M2292" s="28" t="n">
        <x:v>44</x:v>
      </x:c>
      <x:c r="N2292" s="28" t="n">
        <x:v>9.313225746154785e-10</x:v>
      </x:c>
      <x:c r="O2292" s="28" t="n">
        <x:v>1.4901161193847656e-8</x:v>
      </x:c>
      <x:c r="P2292" s="28" t="n">
        <x:v>0</x:v>
      </x:c>
      <x:c r="Q2292" s="62" t="b">
        <x:v>1</x:v>
      </x:c>
      <x:c r="R2292" s="28" t="n">
        <x:v>0</x:v>
      </x:c>
      <x:c r="S2292" s="28" t="str">
        <x:v>408a8daca3195150</x:v>
      </x:c>
    </x:row>
    <x:row r="2293" ht="21" customHeight="1">
      <x:c r="A2293" s="60" t="n">
        <x:v>0.69</x:v>
      </x:c>
      <x:c r="B2293" s="28" t="str">
        <x:v>front_flat</x:v>
      </x:c>
      <x:c r="C2293" s="60" t="n">
        <x:v>0.85</x:v>
      </x:c>
      <x:c r="D2293" s="60" t="n">
        <x:v>0.85</x:v>
      </x:c>
      <x:c r="E2293" s="62" t="b">
        <x:v>1</x:v>
      </x:c>
      <x:c r="F2293" s="62" t="b">
        <x:v>0</x:v>
      </x:c>
      <x:c r="G2293" s="85" t="n">
        <x:v>14067202.535543336</x:v>
      </x:c>
      <x:c r="H2293" s="85" t="n">
        <x:v>70833196.41532221</x:v>
      </x:c>
      <x:c r="I2293" s="85" t="n">
        <x:v>62983602.739725985</x:v>
      </x:c>
      <x:c r="J2293" s="85" t="n">
        <x:v>63000000.000000015</x:v>
      </x:c>
      <x:c r="K2293" s="85" t="n">
        <x:v>0</x:v>
      </x:c>
      <x:c r="L2293" s="28" t="n">
        <x:v>47</x:v>
      </x:c>
      <x:c r="M2293" s="28" t="n">
        <x:v>44</x:v>
      </x:c>
      <x:c r="N2293" s="28" t="n">
        <x:v>1.862645149230957e-9</x:v>
      </x:c>
      <x:c r="O2293" s="28" t="n">
        <x:v>1.862645149230957e-9</x:v>
      </x:c>
      <x:c r="P2293" s="28" t="n">
        <x:v>0</x:v>
      </x:c>
      <x:c r="Q2293" s="62" t="b">
        <x:v>1</x:v>
      </x:c>
      <x:c r="R2293" s="28" t="n">
        <x:v>0</x:v>
      </x:c>
      <x:c r="S2293" s="28" t="str">
        <x:v>7786f69a8ab09f56</x:v>
      </x:c>
    </x:row>
    <x:row r="2294" ht="21" customHeight="1">
      <x:c r="A2294" s="60" t="n">
        <x:v>0.69</x:v>
      </x:c>
      <x:c r="B2294" s="28" t="str">
        <x:v>front_flat</x:v>
      </x:c>
      <x:c r="C2294" s="60" t="n">
        <x:v>0.9</x:v>
      </x:c>
      <x:c r="D2294" s="60" t="n">
        <x:v>0.9</x:v>
      </x:c>
      <x:c r="E2294" s="62" t="b">
        <x:v>1</x:v>
      </x:c>
      <x:c r="F2294" s="62" t="b">
        <x:v>0</x:v>
      </x:c>
      <x:c r="G2294" s="85" t="n">
        <x:v>19374687.938961186</x:v>
      </x:c>
      <x:c r="H2294" s="85" t="n">
        <x:v>81823647.29397982</x:v>
      </x:c>
      <x:c r="I2294" s="85" t="n">
        <x:v>62983602.739725985</x:v>
      </x:c>
      <x:c r="J2294" s="85" t="n">
        <x:v>63000000.000000015</x:v>
      </x:c>
      <x:c r="K2294" s="85" t="n">
        <x:v>0</x:v>
      </x:c>
      <x:c r="L2294" s="28" t="n">
        <x:v>47</x:v>
      </x:c>
      <x:c r="M2294" s="28" t="n">
        <x:v>45</x:v>
      </x:c>
      <x:c r="N2294" s="28" t="n">
        <x:v>9.313225746154785e-10</x:v>
      </x:c>
      <x:c r="O2294" s="28" t="n">
        <x:v>1.4901161193847656e-8</x:v>
      </x:c>
      <x:c r="P2294" s="28" t="n">
        <x:v>0</x:v>
      </x:c>
      <x:c r="Q2294" s="62" t="b">
        <x:v>1</x:v>
      </x:c>
      <x:c r="R2294" s="28" t="n">
        <x:v>0</x:v>
      </x:c>
      <x:c r="S2294" s="28" t="str">
        <x:v>7368ce89330d854a</x:v>
      </x:c>
    </x:row>
    <x:row r="2295" ht="21" customHeight="1">
      <x:c r="A2295" s="60" t="n">
        <x:v>0.69</x:v>
      </x:c>
      <x:c r="B2295" s="28" t="str">
        <x:v>front_flat</x:v>
      </x:c>
      <x:c r="C2295" s="60" t="n">
        <x:v>0.95</x:v>
      </x:c>
      <x:c r="D2295" s="60" t="n">
        <x:v>0.9497739906324524</x:v>
      </x:c>
      <x:c r="E2295" s="62" t="b">
        <x:v>0</x:v>
      </x:c>
      <x:c r="F2295" s="62" t="b">
        <x:v>0</x:v>
      </x:c>
      <x:c r="G2295" s="85" t="n">
        <x:v>23690556.02064052</x:v>
      </x:c>
      <x:c r="H2295" s="85" t="n">
        <x:v>89695997.54713279</x:v>
      </x:c>
      <x:c r="I2295" s="85" t="n">
        <x:v>62983602.739725985</x:v>
      </x:c>
      <x:c r="J2295" s="85" t="n">
        <x:v>63000000.000000015</x:v>
      </x:c>
      <x:c r="K2295" s="85" t="n">
        <x:v>0</x:v>
      </x:c>
      <x:c r="L2295" s="28" t="n">
        <x:v>47</x:v>
      </x:c>
      <x:c r="M2295" s="28" t="n">
        <x:v>45</x:v>
      </x:c>
      <x:c r="N2295" s="28" t="n">
        <x:v>9.313225746154785e-10</x:v>
      </x:c>
      <x:c r="O2295" s="28" t="n">
        <x:v>1.4901161193847656e-8</x:v>
      </x:c>
      <x:c r="P2295" s="28" t="n">
        <x:v>0</x:v>
      </x:c>
      <x:c r="Q2295" s="62" t="b">
        <x:v>1</x:v>
      </x:c>
      <x:c r="R2295" s="28" t="n">
        <x:v>67802.81026428938</x:v>
      </x:c>
      <x:c r="S2295" s="28" t="str">
        <x:v>4556800c72416ac5</x:v>
      </x:c>
    </x:row>
    <x:row r="2296" ht="21" customHeight="1">
      <x:c r="A2296" s="60" t="n">
        <x:v>0.69</x:v>
      </x:c>
      <x:c r="B2296" s="28" t="str">
        <x:v>front_flat</x:v>
      </x:c>
      <x:c r="C2296" s="60" t="n">
        <x:v>1</x:v>
      </x:c>
      <x:c r="D2296" s="60" t="n">
        <x:v>0.9646994850752131</x:v>
      </x:c>
      <x:c r="E2296" s="62" t="b">
        <x:v>0</x:v>
      </x:c>
      <x:c r="F2296" s="62" t="b">
        <x:v>0</x:v>
      </x:c>
      <x:c r="G2296" s="85" t="n">
        <x:v>25728996.577737343</x:v>
      </x:c>
      <x:c r="H2296" s="85" t="n">
        <x:v>93488270.52596396</x:v>
      </x:c>
      <x:c r="I2296" s="85" t="n">
        <x:v>62983602.739725985</x:v>
      </x:c>
      <x:c r="J2296" s="85" t="n">
        <x:v>63000000.000000015</x:v>
      </x:c>
      <x:c r="K2296" s="85" t="n">
        <x:v>0</x:v>
      </x:c>
      <x:c r="L2296" s="28" t="n">
        <x:v>47</x:v>
      </x:c>
      <x:c r="M2296" s="28" t="n">
        <x:v>45</x:v>
      </x:c>
      <x:c r="N2296" s="28" t="n">
        <x:v>1.862645149230957e-9</x:v>
      </x:c>
      <x:c r="O2296" s="28" t="n">
        <x:v>3.725290298461914e-9</x:v>
      </x:c>
      <x:c r="P2296" s="28" t="n">
        <x:v>0</x:v>
      </x:c>
      <x:c r="Q2296" s="62" t="b">
        <x:v>1</x:v>
      </x:c>
      <x:c r="R2296" s="28" t="n">
        <x:v>10590154.477436066</x:v>
      </x:c>
      <x:c r="S2296" s="28" t="str">
        <x:v>99b8b9733d137af3</x:v>
      </x:c>
    </x:row>
    <x:row r="2297" ht="21" customHeight="1">
      <x:c r="A2297" s="60" t="n">
        <x:v>0.69</x:v>
      </x:c>
      <x:c r="B2297" s="28" t="str">
        <x:v>front_low</x:v>
      </x:c>
      <x:c r="C2297" s="60" t="n">
        <x:v>0</x:v>
      </x:c>
      <x:c r="D2297" s="60" t="n">
        <x:v>0</x:v>
      </x:c>
      <x:c r="E2297" s="62" t="b">
        <x:v>1</x:v>
      </x:c>
      <x:c r="F2297" s="62" t="b">
        <x:v>1</x:v>
      </x:c>
      <x:c r="G2297" s="85" t="n">
        <x:v>0</x:v>
      </x:c>
      <x:c r="H2297" s="85" t="n">
        <x:v>0</x:v>
      </x:c>
      <x:c r="I2297" s="85" t="n">
        <x:v>0</x:v>
      </x:c>
      <x:c r="J2297" s="85" t="n">
        <x:v>0</x:v>
      </x:c>
      <x:c r="K2297" s="85" t="n">
        <x:v>32434864.01164384</x:v>
      </x:c>
      <x:c r="L2297" s="28" t="n">
        <x:v>0</x:v>
      </x:c>
      <x:c r="M2297" s="28" t="n">
        <x:v>0</x:v>
      </x:c>
      <x:c r="N2297" s="28" t="n">
        <x:v>3.725290298461914e-9</x:v>
      </x:c>
      <x:c r="O2297" s="28" t="n">
        <x:v>0</x:v>
      </x:c>
      <x:c r="P2297" s="28" t="n">
        <x:v>0</x:v>
      </x:c>
      <x:c r="Q2297" s="62" t="b">
        <x:v>1</x:v>
      </x:c>
      <x:c r="R2297" s="28" t="n">
        <x:v>0</x:v>
      </x:c>
      <x:c r="S2297" s="28" t="str">
        <x:v>fa2ab93f250b78d5</x:v>
      </x:c>
    </x:row>
    <x:row r="2298" ht="21" customHeight="1">
      <x:c r="A2298" s="60" t="n">
        <x:v>0.69</x:v>
      </x:c>
      <x:c r="B2298" s="28" t="str">
        <x:v>front_low</x:v>
      </x:c>
      <x:c r="C2298" s="60" t="n">
        <x:v>0.05</x:v>
      </x:c>
      <x:c r="D2298" s="60" t="n">
        <x:v>0.05</x:v>
      </x:c>
      <x:c r="E2298" s="62" t="b">
        <x:v>1</x:v>
      </x:c>
      <x:c r="F2298" s="62" t="b">
        <x:v>1</x:v>
      </x:c>
      <x:c r="G2298" s="85" t="n">
        <x:v>0</x:v>
      </x:c>
      <x:c r="H2298" s="85" t="n">
        <x:v>0</x:v>
      </x:c>
      <x:c r="I2298" s="85" t="n">
        <x:v>0</x:v>
      </x:c>
      <x:c r="J2298" s="85" t="n">
        <x:v>0</x:v>
      </x:c>
      <x:c r="K2298" s="85" t="n">
        <x:v>21526615.973349877</x:v>
      </x:c>
      <x:c r="L2298" s="28" t="n">
        <x:v>0</x:v>
      </x:c>
      <x:c r="M2298" s="28" t="n">
        <x:v>0</x:v>
      </x:c>
      <x:c r="N2298" s="28" t="n">
        <x:v>1.862645149230957e-9</x:v>
      </x:c>
      <x:c r="O2298" s="28" t="n">
        <x:v>5.960464477539063e-8</x:v>
      </x:c>
      <x:c r="P2298" s="28" t="n">
        <x:v>0</x:v>
      </x:c>
      <x:c r="Q2298" s="62" t="b">
        <x:v>1</x:v>
      </x:c>
      <x:c r="R2298" s="28" t="n">
        <x:v>0</x:v>
      </x:c>
      <x:c r="S2298" s="28" t="str">
        <x:v>dff73e06922f7220</x:v>
      </x:c>
    </x:row>
    <x:row r="2299" ht="21" customHeight="1">
      <x:c r="A2299" s="60" t="n">
        <x:v>0.69</x:v>
      </x:c>
      <x:c r="B2299" s="28" t="str">
        <x:v>front_low</x:v>
      </x:c>
      <x:c r="C2299" s="60" t="n">
        <x:v>0.1</x:v>
      </x:c>
      <x:c r="D2299" s="60" t="n">
        <x:v>0.1</x:v>
      </x:c>
      <x:c r="E2299" s="62" t="b">
        <x:v>1</x:v>
      </x:c>
      <x:c r="F2299" s="62" t="b">
        <x:v>1</x:v>
      </x:c>
      <x:c r="G2299" s="85" t="n">
        <x:v>0</x:v>
      </x:c>
      <x:c r="H2299" s="85" t="n">
        <x:v>0</x:v>
      </x:c>
      <x:c r="I2299" s="85" t="n">
        <x:v>0</x:v>
      </x:c>
      <x:c r="J2299" s="85" t="n">
        <x:v>0</x:v>
      </x:c>
      <x:c r="K2299" s="85" t="n">
        <x:v>10534094.473153759</x:v>
      </x:c>
      <x:c r="L2299" s="28" t="n">
        <x:v>0</x:v>
      </x:c>
      <x:c r="M2299" s="28" t="n">
        <x:v>0</x:v>
      </x:c>
      <x:c r="N2299" s="28" t="n">
        <x:v>3.725290298461914e-9</x:v>
      </x:c>
      <x:c r="O2299" s="28" t="n">
        <x:v>5.960464477539063e-8</x:v>
      </x:c>
      <x:c r="P2299" s="28" t="n">
        <x:v>0</x:v>
      </x:c>
      <x:c r="Q2299" s="62" t="b">
        <x:v>1</x:v>
      </x:c>
      <x:c r="R2299" s="28" t="n">
        <x:v>0</x:v>
      </x:c>
      <x:c r="S2299" s="28" t="str">
        <x:v>92228d37b7a4db49</x:v>
      </x:c>
    </x:row>
    <x:row r="2300" ht="21" customHeight="1">
      <x:c r="A2300" s="60" t="n">
        <x:v>0.69</x:v>
      </x:c>
      <x:c r="B2300" s="28" t="str">
        <x:v>front_low</x:v>
      </x:c>
      <x:c r="C2300" s="60" t="n">
        <x:v>0.15</x:v>
      </x:c>
      <x:c r="D2300" s="60" t="n">
        <x:v>0.15</x:v>
      </x:c>
      <x:c r="E2300" s="62" t="b">
        <x:v>1</x:v>
      </x:c>
      <x:c r="F2300" s="62" t="b">
        <x:v>1</x:v>
      </x:c>
      <x:c r="G2300" s="85" t="n">
        <x:v>0</x:v>
      </x:c>
      <x:c r="H2300" s="85" t="n">
        <x:v>0</x:v>
      </x:c>
      <x:c r="I2300" s="85" t="n">
        <x:v>869850.144848772</x:v>
      </x:c>
      <x:c r="J2300" s="85" t="n">
        <x:v>0</x:v>
      </x:c>
      <x:c r="K2300" s="85" t="n">
        <x:v>1056863.6401375192</x:v>
      </x:c>
      <x:c r="L2300" s="28" t="n">
        <x:v>0</x:v>
      </x:c>
      <x:c r="M2300" s="28" t="n">
        <x:v>0</x:v>
      </x:c>
      <x:c r="N2300" s="28" t="n">
        <x:v>3.725290298461914e-9</x:v>
      </x:c>
      <x:c r="O2300" s="28" t="n">
        <x:v>2.9802322387695312e-8</x:v>
      </x:c>
      <x:c r="P2300" s="28" t="n">
        <x:v>0</x:v>
      </x:c>
      <x:c r="Q2300" s="62" t="b">
        <x:v>1</x:v>
      </x:c>
      <x:c r="R2300" s="28" t="n">
        <x:v>0</x:v>
      </x:c>
      <x:c r="S2300" s="28" t="str">
        <x:v>cdf83cc3c75adccb</x:v>
      </x:c>
    </x:row>
    <x:row r="2301" ht="21" customHeight="1">
      <x:c r="A2301" s="60" t="n">
        <x:v>0.69</x:v>
      </x:c>
      <x:c r="B2301" s="28" t="str">
        <x:v>front_low</x:v>
      </x:c>
      <x:c r="C2301" s="60" t="n">
        <x:v>0.2</x:v>
      </x:c>
      <x:c r="D2301" s="60" t="n">
        <x:v>0.2</x:v>
      </x:c>
      <x:c r="E2301" s="62" t="b">
        <x:v>1</x:v>
      </x:c>
      <x:c r="F2301" s="62" t="b">
        <x:v>1</x:v>
      </x:c>
      <x:c r="G2301" s="85" t="n">
        <x:v>0</x:v>
      </x:c>
      <x:c r="H2301" s="85" t="n">
        <x:v>0</x:v>
      </x:c>
      <x:c r="I2301" s="85" t="n">
        <x:v>6903259.342488468</x:v>
      </x:c>
      <x:c r="J2301" s="85" t="n">
        <x:v>6284479.497374642</x:v>
      </x:c>
      <x:c r="K2301" s="85" t="n">
        <x:v>643754.7927196118</x:v>
      </x:c>
      <x:c r="L2301" s="28" t="n">
        <x:v>0</x:v>
      </x:c>
      <x:c r="M2301" s="28" t="n">
        <x:v>0</x:v>
      </x:c>
      <x:c r="N2301" s="28" t="n">
        <x:v>1.862645149230957e-9</x:v>
      </x:c>
      <x:c r="O2301" s="28" t="n">
        <x:v>2.9802322387695312e-8</x:v>
      </x:c>
      <x:c r="P2301" s="28" t="n">
        <x:v>0</x:v>
      </x:c>
      <x:c r="Q2301" s="62" t="b">
        <x:v>1</x:v>
      </x:c>
      <x:c r="R2301" s="28" t="n">
        <x:v>0</x:v>
      </x:c>
      <x:c r="S2301" s="28" t="str">
        <x:v>105142269d9715fe</x:v>
      </x:c>
    </x:row>
    <x:row r="2302" ht="21" customHeight="1">
      <x:c r="A2302" s="60" t="n">
        <x:v>0.69</x:v>
      </x:c>
      <x:c r="B2302" s="28" t="str">
        <x:v>front_low</x:v>
      </x:c>
      <x:c r="C2302" s="60" t="n">
        <x:v>0.25</x:v>
      </x:c>
      <x:c r="D2302" s="60" t="n">
        <x:v>0.25</x:v>
      </x:c>
      <x:c r="E2302" s="62" t="b">
        <x:v>1</x:v>
      </x:c>
      <x:c r="F2302" s="62" t="b">
        <x:v>1</x:v>
      </x:c>
      <x:c r="G2302" s="85" t="n">
        <x:v>0</x:v>
      </x:c>
      <x:c r="H2302" s="85" t="n">
        <x:v>0</x:v>
      </x:c>
      <x:c r="I2302" s="85" t="n">
        <x:v>10925600.200003963</x:v>
      </x:c>
      <x:c r="J2302" s="85" t="n">
        <x:v>15355599.371718226</x:v>
      </x:c>
      <x:c r="K2302" s="85" t="n">
        <x:v>413664.38786472264</x:v>
      </x:c>
      <x:c r="L2302" s="28" t="n">
        <x:v>0</x:v>
      </x:c>
      <x:c r="M2302" s="28" t="n">
        <x:v>0</x:v>
      </x:c>
      <x:c r="N2302" s="28" t="n">
        <x:v>1.862645149230957e-9</x:v>
      </x:c>
      <x:c r="O2302" s="28" t="n">
        <x:v>1.4901161193847656e-8</x:v>
      </x:c>
      <x:c r="P2302" s="28" t="n">
        <x:v>0</x:v>
      </x:c>
      <x:c r="Q2302" s="62" t="b">
        <x:v>1</x:v>
      </x:c>
      <x:c r="R2302" s="28" t="n">
        <x:v>0</x:v>
      </x:c>
      <x:c r="S2302" s="28" t="str">
        <x:v>9b525cfa6b2e8412</x:v>
      </x:c>
    </x:row>
    <x:row r="2303" ht="21" customHeight="1">
      <x:c r="A2303" s="60" t="n">
        <x:v>0.69</x:v>
      </x:c>
      <x:c r="B2303" s="28" t="str">
        <x:v>front_low</x:v>
      </x:c>
      <x:c r="C2303" s="60" t="n">
        <x:v>0.3</x:v>
      </x:c>
      <x:c r="D2303" s="60" t="n">
        <x:v>0.3</x:v>
      </x:c>
      <x:c r="E2303" s="62" t="b">
        <x:v>1</x:v>
      </x:c>
      <x:c r="F2303" s="62" t="b">
        <x:v>1</x:v>
      </x:c>
      <x:c r="G2303" s="85" t="n">
        <x:v>0</x:v>
      </x:c>
      <x:c r="H2303" s="85" t="n">
        <x:v>0</x:v>
      </x:c>
      <x:c r="I2303" s="85" t="n">
        <x:v>15087330.879725093</x:v>
      </x:c>
      <x:c r="J2303" s="85" t="n">
        <x:v>24426719.24606188</x:v>
      </x:c>
      <x:c r="K2303" s="85" t="n">
        <x:v>299372.16543767514</x:v>
      </x:c>
      <x:c r="L2303" s="28" t="n">
        <x:v>0</x:v>
      </x:c>
      <x:c r="M2303" s="28" t="n">
        <x:v>0</x:v>
      </x:c>
      <x:c r="N2303" s="28" t="n">
        <x:v>3.725290298461914e-9</x:v>
      </x:c>
      <x:c r="O2303" s="28" t="n">
        <x:v>2.9802322387695312e-8</x:v>
      </x:c>
      <x:c r="P2303" s="28" t="n">
        <x:v>0</x:v>
      </x:c>
      <x:c r="Q2303" s="62" t="b">
        <x:v>1</x:v>
      </x:c>
      <x:c r="R2303" s="28" t="n">
        <x:v>0</x:v>
      </x:c>
      <x:c r="S2303" s="28" t="str">
        <x:v>e4cbbcbee93c044b</x:v>
      </x:c>
    </x:row>
    <x:row r="2304" ht="21" customHeight="1">
      <x:c r="A2304" s="60" t="n">
        <x:v>0.69</x:v>
      </x:c>
      <x:c r="B2304" s="28" t="str">
        <x:v>front_low</x:v>
      </x:c>
      <x:c r="C2304" s="60" t="n">
        <x:v>0.35</x:v>
      </x:c>
      <x:c r="D2304" s="60" t="n">
        <x:v>0.35</x:v>
      </x:c>
      <x:c r="E2304" s="62" t="b">
        <x:v>1</x:v>
      </x:c>
      <x:c r="F2304" s="62" t="b">
        <x:v>1</x:v>
      </x:c>
      <x:c r="G2304" s="85" t="n">
        <x:v>0</x:v>
      </x:c>
      <x:c r="H2304" s="85" t="n">
        <x:v>0</x:v>
      </x:c>
      <x:c r="I2304" s="85" t="n">
        <x:v>22966950.817121875</x:v>
      </x:c>
      <x:c r="J2304" s="85" t="n">
        <x:v>27380937.1407192</x:v>
      </x:c>
      <x:c r="K2304" s="85" t="n">
        <x:v>239981.609159929</x:v>
      </x:c>
      <x:c r="L2304" s="28" t="n">
        <x:v>7</x:v>
      </x:c>
      <x:c r="M2304" s="28" t="n">
        <x:v>0</x:v>
      </x:c>
      <x:c r="N2304" s="28" t="n">
        <x:v>3.725290298461914e-9</x:v>
      </x:c>
      <x:c r="O2304" s="28" t="n">
        <x:v>7.450580596923828e-9</x:v>
      </x:c>
      <x:c r="P2304" s="28" t="n">
        <x:v>0</x:v>
      </x:c>
      <x:c r="Q2304" s="62" t="b">
        <x:v>1</x:v>
      </x:c>
      <x:c r="R2304" s="28" t="n">
        <x:v>0</x:v>
      </x:c>
      <x:c r="S2304" s="28" t="str">
        <x:v>56948ef45f7ab6c8</x:v>
      </x:c>
    </x:row>
    <x:row r="2305" ht="21" customHeight="1">
      <x:c r="A2305" s="60" t="n">
        <x:v>0.69</x:v>
      </x:c>
      <x:c r="B2305" s="28" t="str">
        <x:v>front_low</x:v>
      </x:c>
      <x:c r="C2305" s="60" t="n">
        <x:v>0.4</x:v>
      </x:c>
      <x:c r="D2305" s="60" t="n">
        <x:v>0.4</x:v>
      </x:c>
      <x:c r="E2305" s="62" t="b">
        <x:v>1</x:v>
      </x:c>
      <x:c r="F2305" s="62" t="b">
        <x:v>1</x:v>
      </x:c>
      <x:c r="G2305" s="85" t="n">
        <x:v>0</x:v>
      </x:c>
      <x:c r="H2305" s="85" t="n">
        <x:v>0</x:v>
      </x:c>
      <x:c r="I2305" s="85" t="n">
        <x:v>29918068.59173867</x:v>
      </x:c>
      <x:c r="J2305" s="85" t="n">
        <x:v>32108669.669033594</x:v>
      </x:c>
      <x:c r="K2305" s="85" t="n">
        <x:v>204476.9406054772</x:v>
      </x:c>
      <x:c r="L2305" s="28" t="n">
        <x:v>14</x:v>
      </x:c>
      <x:c r="M2305" s="28" t="n">
        <x:v>0</x:v>
      </x:c>
      <x:c r="N2305" s="28" t="n">
        <x:v>1.862645149230957e-9</x:v>
      </x:c>
      <x:c r="O2305" s="28" t="n">
        <x:v>2.9802322387695312e-8</x:v>
      </x:c>
      <x:c r="P2305" s="28" t="n">
        <x:v>0</x:v>
      </x:c>
      <x:c r="Q2305" s="62" t="b">
        <x:v>1</x:v>
      </x:c>
      <x:c r="R2305" s="28" t="n">
        <x:v>0</x:v>
      </x:c>
      <x:c r="S2305" s="28" t="str">
        <x:v>7f2f9d2169dd3708</x:v>
      </x:c>
    </x:row>
    <x:row r="2306" ht="21" customHeight="1">
      <x:c r="A2306" s="60" t="n">
        <x:v>0.69</x:v>
      </x:c>
      <x:c r="B2306" s="28" t="str">
        <x:v>front_low</x:v>
      </x:c>
      <x:c r="C2306" s="60" t="n">
        <x:v>0.45</x:v>
      </x:c>
      <x:c r="D2306" s="60" t="n">
        <x:v>0.45</x:v>
      </x:c>
      <x:c r="E2306" s="62" t="b">
        <x:v>1</x:v>
      </x:c>
      <x:c r="F2306" s="62" t="b">
        <x:v>1</x:v>
      </x:c>
      <x:c r="G2306" s="85" t="n">
        <x:v>0</x:v>
      </x:c>
      <x:c r="H2306" s="85" t="n">
        <x:v>0</x:v>
      </x:c>
      <x:c r="I2306" s="85" t="n">
        <x:v>34617908.42787048</x:v>
      </x:c>
      <x:c r="J2306" s="85" t="n">
        <x:v>40738272.718620375</x:v>
      </x:c>
      <x:c r="K2306" s="85" t="n">
        <x:v>168972.27205103004</x:v>
      </x:c>
      <x:c r="L2306" s="28" t="n">
        <x:v>18</x:v>
      </x:c>
      <x:c r="M2306" s="28" t="n">
        <x:v>0</x:v>
      </x:c>
      <x:c r="N2306" s="28" t="n">
        <x:v>1.862645149230957e-9</x:v>
      </x:c>
      <x:c r="O2306" s="28" t="n">
        <x:v>2.9802322387695312e-8</x:v>
      </x:c>
      <x:c r="P2306" s="28" t="n">
        <x:v>0</x:v>
      </x:c>
      <x:c r="Q2306" s="62" t="b">
        <x:v>1</x:v>
      </x:c>
      <x:c r="R2306" s="28" t="n">
        <x:v>0</x:v>
      </x:c>
      <x:c r="S2306" s="28" t="str">
        <x:v>3066ad39724955a0</x:v>
      </x:c>
    </x:row>
    <x:row r="2307" ht="21" customHeight="1">
      <x:c r="A2307" s="60" t="n">
        <x:v>0.69</x:v>
      </x:c>
      <x:c r="B2307" s="28" t="str">
        <x:v>front_low</x:v>
      </x:c>
      <x:c r="C2307" s="60" t="n">
        <x:v>0.5</x:v>
      </x:c>
      <x:c r="D2307" s="60" t="n">
        <x:v>0.5</x:v>
      </x:c>
      <x:c r="E2307" s="62" t="b">
        <x:v>1</x:v>
      </x:c>
      <x:c r="F2307" s="62" t="b">
        <x:v>1</x:v>
      </x:c>
      <x:c r="G2307" s="85" t="n">
        <x:v>0</x:v>
      </x:c>
      <x:c r="H2307" s="85" t="n">
        <x:v>0</x:v>
      </x:c>
      <x:c r="I2307" s="85" t="n">
        <x:v>39051432.49431712</x:v>
      </x:c>
      <x:c r="J2307" s="85" t="n">
        <x:v>49625071.037006505</x:v>
      </x:c>
      <x:c r="K2307" s="85" t="n">
        <x:v>133467.60349657497</x:v>
      </x:c>
      <x:c r="L2307" s="28" t="n">
        <x:v>21</x:v>
      </x:c>
      <x:c r="M2307" s="28" t="n">
        <x:v>0</x:v>
      </x:c>
      <x:c r="N2307" s="28" t="n">
        <x:v>1.862645149230957e-9</x:v>
      </x:c>
      <x:c r="O2307" s="28" t="n">
        <x:v>2.9802322387695312e-8</x:v>
      </x:c>
      <x:c r="P2307" s="28" t="n">
        <x:v>0</x:v>
      </x:c>
      <x:c r="Q2307" s="62" t="b">
        <x:v>1</x:v>
      </x:c>
      <x:c r="R2307" s="28" t="n">
        <x:v>0</x:v>
      </x:c>
      <x:c r="S2307" s="28" t="str">
        <x:v>b36b8e715e07f328</x:v>
      </x:c>
    </x:row>
    <x:row r="2308" ht="21" customHeight="1">
      <x:c r="A2308" s="60" t="n">
        <x:v>0.69</x:v>
      </x:c>
      <x:c r="B2308" s="28" t="str">
        <x:v>front_low</x:v>
      </x:c>
      <x:c r="C2308" s="60" t="n">
        <x:v>0.55</x:v>
      </x:c>
      <x:c r="D2308" s="60" t="n">
        <x:v>0.55</x:v>
      </x:c>
      <x:c r="E2308" s="62" t="b">
        <x:v>1</x:v>
      </x:c>
      <x:c r="F2308" s="62" t="b">
        <x:v>1</x:v>
      </x:c>
      <x:c r="G2308" s="85" t="n">
        <x:v>0</x:v>
      </x:c>
      <x:c r="H2308" s="85" t="n">
        <x:v>0</x:v>
      </x:c>
      <x:c r="I2308" s="85" t="n">
        <x:v>42615029.341896884</x:v>
      </x:c>
      <x:c r="J2308" s="85" t="n">
        <x:v>59802643.38894002</x:v>
      </x:c>
      <x:c r="K2308" s="85" t="n">
        <x:v>97962.93494212831</x:v>
      </x:c>
      <x:c r="L2308" s="28" t="n">
        <x:v>25</x:v>
      </x:c>
      <x:c r="M2308" s="28" t="n">
        <x:v>0</x:v>
      </x:c>
      <x:c r="N2308" s="28" t="n">
        <x:v>1.862645149230957e-9</x:v>
      </x:c>
      <x:c r="O2308" s="28" t="n">
        <x:v>2.9802322387695312e-8</x:v>
      </x:c>
      <x:c r="P2308" s="28" t="n">
        <x:v>0</x:v>
      </x:c>
      <x:c r="Q2308" s="62" t="b">
        <x:v>1</x:v>
      </x:c>
      <x:c r="R2308" s="28" t="n">
        <x:v>0</x:v>
      </x:c>
      <x:c r="S2308" s="28" t="str">
        <x:v>098cccda947ba3a9</x:v>
      </x:c>
    </x:row>
    <x:row r="2309" ht="21" customHeight="1">
      <x:c r="A2309" s="60" t="n">
        <x:v>0.69</x:v>
      </x:c>
      <x:c r="B2309" s="28" t="str">
        <x:v>front_low</x:v>
      </x:c>
      <x:c r="C2309" s="60" t="n">
        <x:v>0.6</x:v>
      </x:c>
      <x:c r="D2309" s="60" t="n">
        <x:v>0.6</x:v>
      </x:c>
      <x:c r="E2309" s="62" t="b">
        <x:v>1</x:v>
      </x:c>
      <x:c r="F2309" s="62" t="b">
        <x:v>0</x:v>
      </x:c>
      <x:c r="G2309" s="85" t="n">
        <x:v>519291.0306437758</x:v>
      </x:c>
      <x:c r="H2309" s="85" t="n">
        <x:v>7807187.24036227</x:v>
      </x:c>
      <x:c r="I2309" s="85" t="n">
        <x:v>43516602.73972603</x:v>
      </x:c>
      <x:c r="J2309" s="85" t="n">
        <x:v>63000000.000000015</x:v>
      </x:c>
      <x:c r="K2309" s="85" t="n">
        <x:v>62458.26638767161</x:v>
      </x:c>
      <x:c r="L2309" s="28" t="n">
        <x:v>46</x:v>
      </x:c>
      <x:c r="M2309" s="28" t="n">
        <x:v>26</x:v>
      </x:c>
      <x:c r="N2309" s="28" t="n">
        <x:v>9.313225746154785e-10</x:v>
      </x:c>
      <x:c r="O2309" s="28" t="n">
        <x:v>2.9802322387695312e-8</x:v>
      </x:c>
      <x:c r="P2309" s="28" t="n">
        <x:v>0</x:v>
      </x:c>
      <x:c r="Q2309" s="62" t="b">
        <x:v>1</x:v>
      </x:c>
      <x:c r="R2309" s="28" t="n">
        <x:v>0</x:v>
      </x:c>
      <x:c r="S2309" s="28" t="str">
        <x:v>58a421be4c14bbfe</x:v>
      </x:c>
    </x:row>
    <x:row r="2310" ht="21" customHeight="1">
      <x:c r="A2310" s="60" t="n">
        <x:v>0.69</x:v>
      </x:c>
      <x:c r="B2310" s="28" t="str">
        <x:v>front_low</x:v>
      </x:c>
      <x:c r="C2310" s="60" t="n">
        <x:v>0.65</x:v>
      </x:c>
      <x:c r="D2310" s="60" t="n">
        <x:v>0.65</x:v>
      </x:c>
      <x:c r="E2310" s="62" t="b">
        <x:v>1</x:v>
      </x:c>
      <x:c r="F2310" s="62" t="b">
        <x:v>0</x:v>
      </x:c>
      <x:c r="G2310" s="85" t="n">
        <x:v>1261852.946167754</x:v>
      </x:c>
      <x:c r="H2310" s="85" t="n">
        <x:v>19011259.379433937</x:v>
      </x:c>
      <x:c r="I2310" s="85" t="n">
        <x:v>43516602.73972603</x:v>
      </x:c>
      <x:c r="J2310" s="85" t="n">
        <x:v>63000000.000000015</x:v>
      </x:c>
      <x:c r="K2310" s="85" t="n">
        <x:v>29892.23041438384</x:v>
      </x:c>
      <x:c r="L2310" s="28" t="n">
        <x:v>46</x:v>
      </x:c>
      <x:c r="M2310" s="28" t="n">
        <x:v>31</x:v>
      </x:c>
      <x:c r="N2310" s="28" t="n">
        <x:v>9.313225746154785e-10</x:v>
      </x:c>
      <x:c r="O2310" s="28" t="n">
        <x:v>2.9802322387695312e-8</x:v>
      </x:c>
      <x:c r="P2310" s="28" t="n">
        <x:v>0</x:v>
      </x:c>
      <x:c r="Q2310" s="62" t="b">
        <x:v>1</x:v>
      </x:c>
      <x:c r="R2310" s="28" t="n">
        <x:v>0</x:v>
      </x:c>
      <x:c r="S2310" s="28" t="str">
        <x:v>cbd615e0eddcec78</x:v>
      </x:c>
    </x:row>
    <x:row r="2311" ht="21" customHeight="1">
      <x:c r="A2311" s="60" t="n">
        <x:v>0.69</x:v>
      </x:c>
      <x:c r="B2311" s="28" t="str">
        <x:v>front_low</x:v>
      </x:c>
      <x:c r="C2311" s="60" t="n">
        <x:v>0.7</x:v>
      </x:c>
      <x:c r="D2311" s="60" t="n">
        <x:v>0.7</x:v>
      </x:c>
      <x:c r="E2311" s="62" t="b">
        <x:v>1</x:v>
      </x:c>
      <x:c r="F2311" s="62" t="b">
        <x:v>0</x:v>
      </x:c>
      <x:c r="G2311" s="85" t="n">
        <x:v>2151411.0334354388</x:v>
      </x:c>
      <x:c r="H2311" s="85" t="n">
        <x:v>30129180.21278271</x:v>
      </x:c>
      <x:c r="I2311" s="85" t="n">
        <x:v>43516602.73972603</x:v>
      </x:c>
      <x:c r="J2311" s="85" t="n">
        <x:v>63000000.000000015</x:v>
      </x:c>
      <x:c r="K2311" s="85" t="n">
        <x:v>17912.777116436308</x:v>
      </x:c>
      <x:c r="L2311" s="28" t="n">
        <x:v>46</x:v>
      </x:c>
      <x:c r="M2311" s="28" t="n">
        <x:v>33</x:v>
      </x:c>
      <x:c r="N2311" s="28" t="n">
        <x:v>9.313225746154785e-10</x:v>
      </x:c>
      <x:c r="O2311" s="28" t="n">
        <x:v>2.9802322387695312e-8</x:v>
      </x:c>
      <x:c r="P2311" s="28" t="n">
        <x:v>0</x:v>
      </x:c>
      <x:c r="Q2311" s="62" t="b">
        <x:v>1</x:v>
      </x:c>
      <x:c r="R2311" s="28" t="n">
        <x:v>0</x:v>
      </x:c>
      <x:c r="S2311" s="28" t="str">
        <x:v>53ce7e2c780cddb7</x:v>
      </x:c>
    </x:row>
    <x:row r="2312" ht="21" customHeight="1">
      <x:c r="A2312" s="60" t="n">
        <x:v>0.69</x:v>
      </x:c>
      <x:c r="B2312" s="28" t="str">
        <x:v>front_low</x:v>
      </x:c>
      <x:c r="C2312" s="60" t="n">
        <x:v>0.75</x:v>
      </x:c>
      <x:c r="D2312" s="60" t="n">
        <x:v>0.75</x:v>
      </x:c>
      <x:c r="E2312" s="62" t="b">
        <x:v>1</x:v>
      </x:c>
      <x:c r="F2312" s="62" t="b">
        <x:v>0</x:v>
      </x:c>
      <x:c r="G2312" s="85" t="n">
        <x:v>3030220.8497985615</x:v>
      </x:c>
      <x:c r="H2312" s="85" t="n">
        <x:v>39878807.02553412</x:v>
      </x:c>
      <x:c r="I2312" s="85" t="n">
        <x:v>44459013.69863014</x:v>
      </x:c>
      <x:c r="J2312" s="85" t="n">
        <x:v>63000000.000000015</x:v>
      </x:c>
      <x:c r="K2312" s="85" t="n">
        <x:v>5933.323818493896</x:v>
      </x:c>
      <x:c r="L2312" s="28" t="n">
        <x:v>47</x:v>
      </x:c>
      <x:c r="M2312" s="28" t="n">
        <x:v>34</x:v>
      </x:c>
      <x:c r="N2312" s="28" t="n">
        <x:v>1.862645149230957e-9</x:v>
      </x:c>
      <x:c r="O2312" s="28" t="n">
        <x:v>2.9802322387695312e-8</x:v>
      </x:c>
      <x:c r="P2312" s="28" t="n">
        <x:v>0</x:v>
      </x:c>
      <x:c r="Q2312" s="62" t="b">
        <x:v>1</x:v>
      </x:c>
      <x:c r="R2312" s="28" t="n">
        <x:v>0</x:v>
      </x:c>
      <x:c r="S2312" s="28" t="str">
        <x:v>41c9beaa80f00d88</x:v>
      </x:c>
    </x:row>
    <x:row r="2313" ht="21" customHeight="1">
      <x:c r="A2313" s="60" t="n">
        <x:v>0.69</x:v>
      </x:c>
      <x:c r="B2313" s="28" t="str">
        <x:v>front_low</x:v>
      </x:c>
      <x:c r="C2313" s="60" t="n">
        <x:v>0.8</x:v>
      </x:c>
      <x:c r="D2313" s="60" t="n">
        <x:v>0.8</x:v>
      </x:c>
      <x:c r="E2313" s="62" t="b">
        <x:v>1</x:v>
      </x:c>
      <x:c r="F2313" s="62" t="b">
        <x:v>0</x:v>
      </x:c>
      <x:c r="G2313" s="85" t="n">
        <x:v>3913518.7009016043</x:v>
      </x:c>
      <x:c r="H2313" s="85" t="n">
        <x:v>50804774.37592526</x:v>
      </x:c>
      <x:c r="I2313" s="85" t="n">
        <x:v>44459013.69863014</x:v>
      </x:c>
      <x:c r="J2313" s="85" t="n">
        <x:v>63000000.000000015</x:v>
      </x:c>
      <x:c r="K2313" s="85" t="n">
        <x:v>0</x:v>
      </x:c>
      <x:c r="L2313" s="28" t="n">
        <x:v>47</x:v>
      </x:c>
      <x:c r="M2313" s="28" t="n">
        <x:v>36</x:v>
      </x:c>
      <x:c r="N2313" s="28" t="n">
        <x:v>1.862645149230957e-9</x:v>
      </x:c>
      <x:c r="O2313" s="28" t="n">
        <x:v>1.4901161193847656e-8</x:v>
      </x:c>
      <x:c r="P2313" s="28" t="n">
        <x:v>0</x:v>
      </x:c>
      <x:c r="Q2313" s="62" t="b">
        <x:v>1</x:v>
      </x:c>
      <x:c r="R2313" s="28" t="n">
        <x:v>0</x:v>
      </x:c>
      <x:c r="S2313" s="28" t="str">
        <x:v>7a9f0f64a28a99f9</x:v>
      </x:c>
    </x:row>
    <x:row r="2314" ht="21" customHeight="1">
      <x:c r="A2314" s="60" t="n">
        <x:v>0.69</x:v>
      </x:c>
      <x:c r="B2314" s="28" t="str">
        <x:v>front_low</x:v>
      </x:c>
      <x:c r="C2314" s="60" t="n">
        <x:v>0.85</x:v>
      </x:c>
      <x:c r="D2314" s="60" t="n">
        <x:v>0.85</x:v>
      </x:c>
      <x:c r="E2314" s="62" t="b">
        <x:v>1</x:v>
      </x:c>
      <x:c r="F2314" s="62" t="b">
        <x:v>0</x:v>
      </x:c>
      <x:c r="G2314" s="85" t="n">
        <x:v>5056530.519078309</x:v>
      </x:c>
      <x:c r="H2314" s="85" t="n">
        <x:v>61519340.474675335</x:v>
      </x:c>
      <x:c r="I2314" s="85" t="n">
        <x:v>44459013.69863014</x:v>
      </x:c>
      <x:c r="J2314" s="85" t="n">
        <x:v>63000000.000000015</x:v>
      </x:c>
      <x:c r="K2314" s="85" t="n">
        <x:v>0</x:v>
      </x:c>
      <x:c r="L2314" s="28" t="n">
        <x:v>47</x:v>
      </x:c>
      <x:c r="M2314" s="28" t="n">
        <x:v>38</x:v>
      </x:c>
      <x:c r="N2314" s="28" t="n">
        <x:v>9.313225746154785e-10</x:v>
      </x:c>
      <x:c r="O2314" s="28" t="n">
        <x:v>1.862645149230957e-9</x:v>
      </x:c>
      <x:c r="P2314" s="28" t="n">
        <x:v>0</x:v>
      </x:c>
      <x:c r="Q2314" s="62" t="b">
        <x:v>1</x:v>
      </x:c>
      <x:c r="R2314" s="28" t="n">
        <x:v>0</x:v>
      </x:c>
      <x:c r="S2314" s="28" t="str">
        <x:v>3f6cb46a9f0b4f54</x:v>
      </x:c>
    </x:row>
    <x:row r="2315" ht="21" customHeight="1">
      <x:c r="A2315" s="60" t="n">
        <x:v>0.69</x:v>
      </x:c>
      <x:c r="B2315" s="28" t="str">
        <x:v>front_low</x:v>
      </x:c>
      <x:c r="C2315" s="60" t="n">
        <x:v>0.9</x:v>
      </x:c>
      <x:c r="D2315" s="60" t="n">
        <x:v>0.9</x:v>
      </x:c>
      <x:c r="E2315" s="62" t="b">
        <x:v>1</x:v>
      </x:c>
      <x:c r="F2315" s="62" t="b">
        <x:v>0</x:v>
      </x:c>
      <x:c r="G2315" s="85" t="n">
        <x:v>6114792.128834872</x:v>
      </x:c>
      <x:c r="H2315" s="85" t="n">
        <x:v>72153456.60456288</x:v>
      </x:c>
      <x:c r="I2315" s="85" t="n">
        <x:v>44459013.69863014</x:v>
      </x:c>
      <x:c r="J2315" s="85" t="n">
        <x:v>63000000.000000015</x:v>
      </x:c>
      <x:c r="K2315" s="85" t="n">
        <x:v>0</x:v>
      </x:c>
      <x:c r="L2315" s="28" t="n">
        <x:v>47</x:v>
      </x:c>
      <x:c r="M2315" s="28" t="n">
        <x:v>40</x:v>
      </x:c>
      <x:c r="N2315" s="28" t="n">
        <x:v>9.313225746154785e-10</x:v>
      </x:c>
      <x:c r="O2315" s="28" t="n">
        <x:v>1.4901161193847656e-8</x:v>
      </x:c>
      <x:c r="P2315" s="28" t="n">
        <x:v>0</x:v>
      </x:c>
      <x:c r="Q2315" s="62" t="b">
        <x:v>1</x:v>
      </x:c>
      <x:c r="R2315" s="28" t="n">
        <x:v>0</x:v>
      </x:c>
      <x:c r="S2315" s="28" t="str">
        <x:v>c8a637a7268ba9b4</x:v>
      </x:c>
    </x:row>
    <x:row r="2316" ht="21" customHeight="1">
      <x:c r="A2316" s="60" t="n">
        <x:v>0.69</x:v>
      </x:c>
      <x:c r="B2316" s="28" t="str">
        <x:v>front_low</x:v>
      </x:c>
      <x:c r="C2316" s="60" t="n">
        <x:v>0.95</x:v>
      </x:c>
      <x:c r="D2316" s="60" t="n">
        <x:v>0.9497739906324524</x:v>
      </x:c>
      <x:c r="E2316" s="62" t="b">
        <x:v>0</x:v>
      </x:c>
      <x:c r="F2316" s="62" t="b">
        <x:v>0</x:v>
      </x:c>
      <x:c r="G2316" s="85" t="n">
        <x:v>9173362.49810242</x:v>
      </x:c>
      <x:c r="H2316" s="85" t="n">
        <x:v>80431365.43773288</x:v>
      </x:c>
      <x:c r="I2316" s="85" t="n">
        <x:v>44459013.69863014</x:v>
      </x:c>
      <x:c r="J2316" s="85" t="n">
        <x:v>63000000.000000015</x:v>
      </x:c>
      <x:c r="K2316" s="85" t="n">
        <x:v>0</x:v>
      </x:c>
      <x:c r="L2316" s="28" t="n">
        <x:v>47</x:v>
      </x:c>
      <x:c r="M2316" s="28" t="n">
        <x:v>41</x:v>
      </x:c>
      <x:c r="N2316" s="28" t="n">
        <x:v>9.313225746154785e-10</x:v>
      </x:c>
      <x:c r="O2316" s="28" t="n">
        <x:v>1.4901161193847656e-8</x:v>
      </x:c>
      <x:c r="P2316" s="28" t="n">
        <x:v>0</x:v>
      </x:c>
      <x:c r="Q2316" s="62" t="b">
        <x:v>1</x:v>
      </x:c>
      <x:c r="R2316" s="28" t="n">
        <x:v>67802.81026428938</x:v>
      </x:c>
      <x:c r="S2316" s="28" t="str">
        <x:v>3983506a60a24412</x:v>
      </x:c>
    </x:row>
    <x:row r="2317" ht="21" customHeight="1">
      <x:c r="A2317" s="60" t="n">
        <x:v>0.69</x:v>
      </x:c>
      <x:c r="B2317" s="28" t="str">
        <x:v>front_low</x:v>
      </x:c>
      <x:c r="C2317" s="60" t="n">
        <x:v>1</x:v>
      </x:c>
      <x:c r="D2317" s="60" t="n">
        <x:v>0.9646994850752131</x:v>
      </x:c>
      <x:c r="E2317" s="62" t="b">
        <x:v>0</x:v>
      </x:c>
      <x:c r="F2317" s="62" t="b">
        <x:v>0</x:v>
      </x:c>
      <x:c r="G2317" s="85" t="n">
        <x:v>9966518.063445466</x:v>
      </x:c>
      <x:c r="H2317" s="85" t="n">
        <x:v>83864238.95515124</x:v>
      </x:c>
      <x:c r="I2317" s="85" t="n">
        <x:v>44459013.69863014</x:v>
      </x:c>
      <x:c r="J2317" s="85" t="n">
        <x:v>63000000.000000015</x:v>
      </x:c>
      <x:c r="K2317" s="85" t="n">
        <x:v>0</x:v>
      </x:c>
      <x:c r="L2317" s="28" t="n">
        <x:v>47</x:v>
      </x:c>
      <x:c r="M2317" s="28" t="n">
        <x:v>42</x:v>
      </x:c>
      <x:c r="N2317" s="28" t="n">
        <x:v>9.313225746154785e-10</x:v>
      </x:c>
      <x:c r="O2317" s="28" t="n">
        <x:v>3.725290298461914e-9</x:v>
      </x:c>
      <x:c r="P2317" s="28" t="n">
        <x:v>0</x:v>
      </x:c>
      <x:c r="Q2317" s="62" t="b">
        <x:v>1</x:v>
      </x:c>
      <x:c r="R2317" s="28" t="n">
        <x:v>10590154.477436066</x:v>
      </x:c>
      <x:c r="S2317" s="28" t="str">
        <x:v>57f28db1079d7290</x:v>
      </x:c>
    </x:row>
    <x:row r="2318" ht="21" customHeight="1">
      <x:c r="A2318" s="60" t="n">
        <x:v>0.69</x:v>
      </x:c>
      <x:c r="B2318" s="28" t="str">
        <x:v>front_high</x:v>
      </x:c>
      <x:c r="C2318" s="60" t="n">
        <x:v>0</x:v>
      </x:c>
      <x:c r="D2318" s="60" t="n">
        <x:v>0</x:v>
      </x:c>
      <x:c r="E2318" s="62" t="b">
        <x:v>1</x:v>
      </x:c>
      <x:c r="F2318" s="62" t="b">
        <x:v>1</x:v>
      </x:c>
      <x:c r="G2318" s="85" t="n">
        <x:v>0</x:v>
      </x:c>
      <x:c r="H2318" s="85" t="n">
        <x:v>0</x:v>
      </x:c>
      <x:c r="I2318" s="85" t="n">
        <x:v>0</x:v>
      </x:c>
      <x:c r="J2318" s="85" t="n">
        <x:v>0</x:v>
      </x:c>
      <x:c r="K2318" s="85" t="n">
        <x:v>41245403.285616435</x:v>
      </x:c>
      <x:c r="L2318" s="28" t="n">
        <x:v>0</x:v>
      </x:c>
      <x:c r="M2318" s="28" t="n">
        <x:v>0</x:v>
      </x:c>
      <x:c r="N2318" s="28" t="n">
        <x:v>3.725290298461914e-9</x:v>
      </x:c>
      <x:c r="O2318" s="28" t="n">
        <x:v>0</x:v>
      </x:c>
      <x:c r="P2318" s="28" t="n">
        <x:v>0</x:v>
      </x:c>
      <x:c r="Q2318" s="62" t="b">
        <x:v>1</x:v>
      </x:c>
      <x:c r="R2318" s="28" t="n">
        <x:v>0</x:v>
      </x:c>
      <x:c r="S2318" s="28" t="str">
        <x:v>9858cd529ad446f8</x:v>
      </x:c>
    </x:row>
    <x:row r="2319" ht="21" customHeight="1">
      <x:c r="A2319" s="60" t="n">
        <x:v>0.69</x:v>
      </x:c>
      <x:c r="B2319" s="28" t="str">
        <x:v>front_high</x:v>
      </x:c>
      <x:c r="C2319" s="60" t="n">
        <x:v>0.05</x:v>
      </x:c>
      <x:c r="D2319" s="60" t="n">
        <x:v>0.05</x:v>
      </x:c>
      <x:c r="E2319" s="62" t="b">
        <x:v>1</x:v>
      </x:c>
      <x:c r="F2319" s="62" t="b">
        <x:v>1</x:v>
      </x:c>
      <x:c r="G2319" s="85" t="n">
        <x:v>0</x:v>
      </x:c>
      <x:c r="H2319" s="85" t="n">
        <x:v>0</x:v>
      </x:c>
      <x:c r="I2319" s="85" t="n">
        <x:v>0</x:v>
      </x:c>
      <x:c r="J2319" s="85" t="n">
        <x:v>0</x:v>
      </x:c>
      <x:c r="K2319" s="85" t="n">
        <x:v>27396430.186126903</x:v>
      </x:c>
      <x:c r="L2319" s="28" t="n">
        <x:v>0</x:v>
      </x:c>
      <x:c r="M2319" s="28" t="n">
        <x:v>0</x:v>
      </x:c>
      <x:c r="N2319" s="28" t="n">
        <x:v>3.725290298461914e-9</x:v>
      </x:c>
      <x:c r="O2319" s="28" t="n">
        <x:v>5.960464477539063e-8</x:v>
      </x:c>
      <x:c r="P2319" s="28" t="n">
        <x:v>0</x:v>
      </x:c>
      <x:c r="Q2319" s="62" t="b">
        <x:v>1</x:v>
      </x:c>
      <x:c r="R2319" s="28" t="n">
        <x:v>0</x:v>
      </x:c>
      <x:c r="S2319" s="28" t="str">
        <x:v>2d3f13b4884efa38</x:v>
      </x:c>
    </x:row>
    <x:row r="2320" ht="21" customHeight="1">
      <x:c r="A2320" s="60" t="n">
        <x:v>0.69</x:v>
      </x:c>
      <x:c r="B2320" s="28" t="str">
        <x:v>front_high</x:v>
      </x:c>
      <x:c r="C2320" s="60" t="n">
        <x:v>0.1</x:v>
      </x:c>
      <x:c r="D2320" s="60" t="n">
        <x:v>0.1</x:v>
      </x:c>
      <x:c r="E2320" s="62" t="b">
        <x:v>1</x:v>
      </x:c>
      <x:c r="F2320" s="62" t="b">
        <x:v>1</x:v>
      </x:c>
      <x:c r="G2320" s="85" t="n">
        <x:v>0</x:v>
      </x:c>
      <x:c r="H2320" s="85" t="n">
        <x:v>0</x:v>
      </x:c>
      <x:c r="I2320" s="85" t="n">
        <x:v>0</x:v>
      </x:c>
      <x:c r="J2320" s="85" t="n">
        <x:v>0</x:v>
      </x:c>
      <x:c r="K2320" s="85" t="n">
        <x:v>13385932.951324772</x:v>
      </x:c>
      <x:c r="L2320" s="28" t="n">
        <x:v>0</x:v>
      </x:c>
      <x:c r="M2320" s="28" t="n">
        <x:v>0</x:v>
      </x:c>
      <x:c r="N2320" s="28" t="n">
        <x:v>3.725290298461914e-9</x:v>
      </x:c>
      <x:c r="O2320" s="28" t="n">
        <x:v>5.960464477539063e-8</x:v>
      </x:c>
      <x:c r="P2320" s="28" t="n">
        <x:v>0</x:v>
      </x:c>
      <x:c r="Q2320" s="62" t="b">
        <x:v>1</x:v>
      </x:c>
      <x:c r="R2320" s="28" t="n">
        <x:v>0</x:v>
      </x:c>
      <x:c r="S2320" s="28" t="str">
        <x:v>448e3963ed5e5cea</x:v>
      </x:c>
    </x:row>
    <x:row r="2321" ht="21" customHeight="1">
      <x:c r="A2321" s="60" t="n">
        <x:v>0.69</x:v>
      </x:c>
      <x:c r="B2321" s="28" t="str">
        <x:v>front_high</x:v>
      </x:c>
      <x:c r="C2321" s="60" t="n">
        <x:v>0.15</x:v>
      </x:c>
      <x:c r="D2321" s="60" t="n">
        <x:v>0.15</x:v>
      </x:c>
      <x:c r="E2321" s="62" t="b">
        <x:v>1</x:v>
      </x:c>
      <x:c r="F2321" s="62" t="b">
        <x:v>1</x:v>
      </x:c>
      <x:c r="G2321" s="85" t="n">
        <x:v>0</x:v>
      </x:c>
      <x:c r="H2321" s="85" t="n">
        <x:v>0</x:v>
      </x:c>
      <x:c r="I2321" s="85" t="n">
        <x:v>2075764.243389166</x:v>
      </x:c>
      <x:c r="J2321" s="85" t="n">
        <x:v>0</x:v>
      </x:c>
      <x:c r="K2321" s="85" t="n">
        <x:v>2006966.0566596345</x:v>
      </x:c>
      <x:c r="L2321" s="28" t="n">
        <x:v>0</x:v>
      </x:c>
      <x:c r="M2321" s="28" t="n">
        <x:v>0</x:v>
      </x:c>
      <x:c r="N2321" s="28" t="n">
        <x:v>3.725290298461914e-9</x:v>
      </x:c>
      <x:c r="O2321" s="28" t="n">
        <x:v>2.9802322387695312e-8</x:v>
      </x:c>
      <x:c r="P2321" s="28" t="n">
        <x:v>0</x:v>
      </x:c>
      <x:c r="Q2321" s="62" t="b">
        <x:v>1</x:v>
      </x:c>
      <x:c r="R2321" s="28" t="n">
        <x:v>0</x:v>
      </x:c>
      <x:c r="S2321" s="28" t="str">
        <x:v>71b373191066e693</x:v>
      </x:c>
    </x:row>
    <x:row r="2322" ht="21" customHeight="1">
      <x:c r="A2322" s="60" t="n">
        <x:v>0.69</x:v>
      </x:c>
      <x:c r="B2322" s="28" t="str">
        <x:v>front_high</x:v>
      </x:c>
      <x:c r="C2322" s="60" t="n">
        <x:v>0.2</x:v>
      </x:c>
      <x:c r="D2322" s="60" t="n">
        <x:v>0.2</x:v>
      </x:c>
      <x:c r="E2322" s="62" t="b">
        <x:v>1</x:v>
      </x:c>
      <x:c r="F2322" s="62" t="b">
        <x:v>1</x:v>
      </x:c>
      <x:c r="G2322" s="85" t="n">
        <x:v>0</x:v>
      </x:c>
      <x:c r="H2322" s="85" t="n">
        <x:v>0</x:v>
      </x:c>
      <x:c r="I2322" s="85" t="n">
        <x:v>12243447.246094868</x:v>
      </x:c>
      <x:c r="J2322" s="85" t="n">
        <x:v>6284479.497374642</x:v>
      </x:c>
      <x:c r="K2322" s="85" t="n">
        <x:v>1088506.7188911324</x:v>
      </x:c>
      <x:c r="L2322" s="28" t="n">
        <x:v>0</x:v>
      </x:c>
      <x:c r="M2322" s="28" t="n">
        <x:v>0</x:v>
      </x:c>
      <x:c r="N2322" s="28" t="n">
        <x:v>1.862645149230957e-9</x:v>
      </x:c>
      <x:c r="O2322" s="28" t="n">
        <x:v>2.9802322387695312e-8</x:v>
      </x:c>
      <x:c r="P2322" s="28" t="n">
        <x:v>0</x:v>
      </x:c>
      <x:c r="Q2322" s="62" t="b">
        <x:v>1</x:v>
      </x:c>
      <x:c r="R2322" s="28" t="n">
        <x:v>0</x:v>
      </x:c>
      <x:c r="S2322" s="28" t="str">
        <x:v>4a42cc3c9c5df53f</x:v>
      </x:c>
    </x:row>
    <x:row r="2323" ht="21" customHeight="1">
      <x:c r="A2323" s="60" t="n">
        <x:v>0.69</x:v>
      </x:c>
      <x:c r="B2323" s="28" t="str">
        <x:v>front_high</x:v>
      </x:c>
      <x:c r="C2323" s="60" t="n">
        <x:v>0.25</x:v>
      </x:c>
      <x:c r="D2323" s="60" t="n">
        <x:v>0.25</x:v>
      </x:c>
      <x:c r="E2323" s="62" t="b">
        <x:v>1</x:v>
      </x:c>
      <x:c r="F2323" s="62" t="b">
        <x:v>1</x:v>
      </x:c>
      <x:c r="G2323" s="85" t="n">
        <x:v>0</x:v>
      </x:c>
      <x:c r="H2323" s="85" t="n">
        <x:v>0</x:v>
      </x:c>
      <x:c r="I2323" s="85" t="n">
        <x:v>21540609.853076153</x:v>
      </x:c>
      <x:c r="J2323" s="85" t="n">
        <x:v>15355599.371718226</x:v>
      </x:c>
      <x:c r="K2323" s="85" t="n">
        <x:v>758147.9576592377</x:v>
      </x:c>
      <x:c r="L2323" s="28" t="n">
        <x:v>0</x:v>
      </x:c>
      <x:c r="M2323" s="28" t="n">
        <x:v>0</x:v>
      </x:c>
      <x:c r="N2323" s="28" t="n">
        <x:v>1.862645149230957e-9</x:v>
      </x:c>
      <x:c r="O2323" s="28" t="n">
        <x:v>1.4901161193847656e-8</x:v>
      </x:c>
      <x:c r="P2323" s="28" t="n">
        <x:v>0</x:v>
      </x:c>
      <x:c r="Q2323" s="62" t="b">
        <x:v>1</x:v>
      </x:c>
      <x:c r="R2323" s="28" t="n">
        <x:v>0</x:v>
      </x:c>
      <x:c r="S2323" s="28" t="str">
        <x:v>6106b4418d6be82d</x:v>
      </x:c>
    </x:row>
    <x:row r="2324" ht="21" customHeight="1">
      <x:c r="A2324" s="60" t="n">
        <x:v>0.69</x:v>
      </x:c>
      <x:c r="B2324" s="28" t="str">
        <x:v>front_high</x:v>
      </x:c>
      <x:c r="C2324" s="60" t="n">
        <x:v>0.3</x:v>
      </x:c>
      <x:c r="D2324" s="60" t="n">
        <x:v>0.3</x:v>
      </x:c>
      <x:c r="E2324" s="62" t="b">
        <x:v>1</x:v>
      </x:c>
      <x:c r="F2324" s="62" t="b">
        <x:v>1</x:v>
      </x:c>
      <x:c r="G2324" s="85" t="n">
        <x:v>0</x:v>
      </x:c>
      <x:c r="H2324" s="85" t="n">
        <x:v>0</x:v>
      </x:c>
      <x:c r="I2324" s="85" t="n">
        <x:v>31157301.155964658</x:v>
      </x:c>
      <x:c r="J2324" s="85" t="n">
        <x:v>24426719.24606188</x:v>
      </x:c>
      <x:c r="K2324" s="85" t="n">
        <x:v>584479.0131664389</x:v>
      </x:c>
      <x:c r="L2324" s="28" t="n">
        <x:v>0</x:v>
      </x:c>
      <x:c r="M2324" s="28" t="n">
        <x:v>0</x:v>
      </x:c>
      <x:c r="N2324" s="28" t="n">
        <x:v>3.725290298461914e-9</x:v>
      </x:c>
      <x:c r="O2324" s="28" t="n">
        <x:v>2.9802322387695312e-8</x:v>
      </x:c>
      <x:c r="P2324" s="28" t="n">
        <x:v>0</x:v>
      </x:c>
      <x:c r="Q2324" s="62" t="b">
        <x:v>1</x:v>
      </x:c>
      <x:c r="R2324" s="28" t="n">
        <x:v>0</x:v>
      </x:c>
      <x:c r="S2324" s="28" t="str">
        <x:v>a63948acecf6ae76</x:v>
      </x:c>
    </x:row>
    <x:row r="2325" ht="21" customHeight="1">
      <x:c r="A2325" s="60" t="n">
        <x:v>0.69</x:v>
      </x:c>
      <x:c r="B2325" s="28" t="str">
        <x:v>front_high</x:v>
      </x:c>
      <x:c r="C2325" s="60" t="n">
        <x:v>0.35</x:v>
      </x:c>
      <x:c r="D2325" s="60" t="n">
        <x:v>0.35</x:v>
      </x:c>
      <x:c r="E2325" s="62" t="b">
        <x:v>1</x:v>
      </x:c>
      <x:c r="F2325" s="62" t="b">
        <x:v>1</x:v>
      </x:c>
      <x:c r="G2325" s="85" t="n">
        <x:v>0</x:v>
      </x:c>
      <x:c r="H2325" s="85" t="n">
        <x:v>0</x:v>
      </x:c>
      <x:c r="I2325" s="85" t="n">
        <x:v>41023426.263174444</x:v>
      </x:c>
      <x:c r="J2325" s="85" t="n">
        <x:v>27931308.483390566</x:v>
      </x:c>
      <x:c r="K2325" s="85" t="n">
        <x:v>490178.01513252186</x:v>
      </x:c>
      <x:c r="L2325" s="28" t="n">
        <x:v>4</x:v>
      </x:c>
      <x:c r="M2325" s="28" t="n">
        <x:v>0</x:v>
      </x:c>
      <x:c r="N2325" s="28" t="n">
        <x:v>3.725290298461914e-9</x:v>
      </x:c>
      <x:c r="O2325" s="28" t="n">
        <x:v>7.450580596923828e-9</x:v>
      </x:c>
      <x:c r="P2325" s="28" t="n">
        <x:v>0</x:v>
      </x:c>
      <x:c r="Q2325" s="62" t="b">
        <x:v>1</x:v>
      </x:c>
      <x:c r="R2325" s="28" t="n">
        <x:v>0</x:v>
      </x:c>
      <x:c r="S2325" s="28" t="str">
        <x:v>fb32e0d0cbd48cdb</x:v>
      </x:c>
    </x:row>
    <x:row r="2326" ht="21" customHeight="1">
      <x:c r="A2326" s="60" t="n">
        <x:v>0.69</x:v>
      </x:c>
      <x:c r="B2326" s="28" t="str">
        <x:v>front_high</x:v>
      </x:c>
      <x:c r="C2326" s="60" t="n">
        <x:v>0.4</x:v>
      </x:c>
      <x:c r="D2326" s="60" t="n">
        <x:v>0.4</x:v>
      </x:c>
      <x:c r="E2326" s="62" t="b">
        <x:v>1</x:v>
      </x:c>
      <x:c r="F2326" s="62" t="b">
        <x:v>1</x:v>
      </x:c>
      <x:c r="G2326" s="85" t="n">
        <x:v>0</x:v>
      </x:c>
      <x:c r="H2326" s="85" t="n">
        <x:v>0</x:v>
      </x:c>
      <x:c r="I2326" s="85" t="n">
        <x:v>51041453.440418184</x:v>
      </x:c>
      <x:c r="J2326" s="85" t="n">
        <x:v>30623626.753411837</x:v>
      </x:c>
      <x:c r="K2326" s="85" t="n">
        <x:v>395877.0170986281</x:v>
      </x:c>
      <x:c r="L2326" s="28" t="n">
        <x:v>9</x:v>
      </x:c>
      <x:c r="M2326" s="28" t="n">
        <x:v>0</x:v>
      </x:c>
      <x:c r="N2326" s="28" t="n">
        <x:v>3.725290298461914e-9</x:v>
      </x:c>
      <x:c r="O2326" s="28" t="n">
        <x:v>2.9802322387695312e-8</x:v>
      </x:c>
      <x:c r="P2326" s="28" t="n">
        <x:v>0</x:v>
      </x:c>
      <x:c r="Q2326" s="62" t="b">
        <x:v>1</x:v>
      </x:c>
      <x:c r="R2326" s="28" t="n">
        <x:v>0</x:v>
      </x:c>
      <x:c r="S2326" s="28" t="str">
        <x:v>7f25cc89d4ae423f</x:v>
      </x:c>
    </x:row>
    <x:row r="2327" ht="21" customHeight="1">
      <x:c r="A2327" s="60" t="n">
        <x:v>0.69</x:v>
      </x:c>
      <x:c r="B2327" s="28" t="str">
        <x:v>front_high</x:v>
      </x:c>
      <x:c r="C2327" s="60" t="n">
        <x:v>0.45</x:v>
      </x:c>
      <x:c r="D2327" s="60" t="n">
        <x:v>0.45</x:v>
      </x:c>
      <x:c r="E2327" s="62" t="b">
        <x:v>1</x:v>
      </x:c>
      <x:c r="F2327" s="62" t="b">
        <x:v>1</x:v>
      </x:c>
      <x:c r="G2327" s="85" t="n">
        <x:v>0</x:v>
      </x:c>
      <x:c r="H2327" s="85" t="n">
        <x:v>0</x:v>
      </x:c>
      <x:c r="I2327" s="85" t="n">
        <x:v>61719079.11477579</x:v>
      </x:c>
      <x:c r="J2327" s="85" t="n">
        <x:v>35883868.48008208</x:v>
      </x:c>
      <x:c r="K2327" s="85" t="n">
        <x:v>301576.0190647278</x:v>
      </x:c>
      <x:c r="L2327" s="28" t="n">
        <x:v>16</x:v>
      </x:c>
      <x:c r="M2327" s="28" t="n">
        <x:v>0</x:v>
      </x:c>
      <x:c r="N2327" s="28" t="n">
        <x:v>3.725290298461914e-9</x:v>
      </x:c>
      <x:c r="O2327" s="28" t="n">
        <x:v>2.9802322387695312e-8</x:v>
      </x:c>
      <x:c r="P2327" s="28" t="n">
        <x:v>0</x:v>
      </x:c>
      <x:c r="Q2327" s="62" t="b">
        <x:v>1</x:v>
      </x:c>
      <x:c r="R2327" s="28" t="n">
        <x:v>0</x:v>
      </x:c>
      <x:c r="S2327" s="28" t="str">
        <x:v>dcd7ac11b515484a</x:v>
      </x:c>
    </x:row>
    <x:row r="2328" ht="21" customHeight="1">
      <x:c r="A2328" s="60" t="n">
        <x:v>0.69</x:v>
      </x:c>
      <x:c r="B2328" s="28" t="str">
        <x:v>front_high</x:v>
      </x:c>
      <x:c r="C2328" s="60" t="n">
        <x:v>0.5</x:v>
      </x:c>
      <x:c r="D2328" s="60" t="n">
        <x:v>0.5</x:v>
      </x:c>
      <x:c r="E2328" s="62" t="b">
        <x:v>1</x:v>
      </x:c>
      <x:c r="F2328" s="62" t="b">
        <x:v>1</x:v>
      </x:c>
      <x:c r="G2328" s="85" t="n">
        <x:v>0</x:v>
      </x:c>
      <x:c r="H2328" s="85" t="n">
        <x:v>0</x:v>
      </x:c>
      <x:c r="I2328" s="85" t="n">
        <x:v>71341605.89771093</x:v>
      </x:c>
      <x:c r="J2328" s="85" t="n">
        <x:v>45042658.964267574</x:v>
      </x:c>
      <x:c r="K2328" s="85" t="n">
        <x:v>207275.02103081538</x:v>
      </x:c>
      <x:c r="L2328" s="28" t="n">
        <x:v>20</x:v>
      </x:c>
      <x:c r="M2328" s="28" t="n">
        <x:v>1</x:v>
      </x:c>
      <x:c r="N2328" s="28" t="n">
        <x:v>1.862645149230957e-9</x:v>
      </x:c>
      <x:c r="O2328" s="28" t="n">
        <x:v>2.9802322387695312e-8</x:v>
      </x:c>
      <x:c r="P2328" s="28" t="n">
        <x:v>0</x:v>
      </x:c>
      <x:c r="Q2328" s="62" t="b">
        <x:v>1</x:v>
      </x:c>
      <x:c r="R2328" s="28" t="n">
        <x:v>0</x:v>
      </x:c>
      <x:c r="S2328" s="28" t="str">
        <x:v>29f088cbb55cda44</x:v>
      </x:c>
    </x:row>
    <x:row r="2329" ht="21" customHeight="1">
      <x:c r="A2329" s="60" t="n">
        <x:v>0.69</x:v>
      </x:c>
      <x:c r="B2329" s="28" t="str">
        <x:v>front_high</x:v>
      </x:c>
      <x:c r="C2329" s="60" t="n">
        <x:v>0.55</x:v>
      </x:c>
      <x:c r="D2329" s="60" t="n">
        <x:v>0.55</x:v>
      </x:c>
      <x:c r="E2329" s="62" t="b">
        <x:v>1</x:v>
      </x:c>
      <x:c r="F2329" s="62" t="b">
        <x:v>1</x:v>
      </x:c>
      <x:c r="G2329" s="85" t="n">
        <x:v>0</x:v>
      </x:c>
      <x:c r="H2329" s="85" t="n">
        <x:v>0</x:v>
      </x:c>
      <x:c r="I2329" s="85" t="n">
        <x:v>80441631.928425</x:v>
      </x:c>
      <x:c r="J2329" s="85" t="n">
        <x:v>57827878.764835</x:v>
      </x:c>
      <x:c r="K2329" s="85" t="n">
        <x:v>168907.0510171226</x:v>
      </x:c>
      <x:c r="L2329" s="28" t="n">
        <x:v>24</x:v>
      </x:c>
      <x:c r="M2329" s="28" t="n">
        <x:v>13</x:v>
      </x:c>
      <x:c r="N2329" s="28" t="n">
        <x:v>1.862645149230957e-9</x:v>
      </x:c>
      <x:c r="O2329" s="28" t="n">
        <x:v>2.9802322387695312e-8</x:v>
      </x:c>
      <x:c r="P2329" s="28" t="n">
        <x:v>0</x:v>
      </x:c>
      <x:c r="Q2329" s="62" t="b">
        <x:v>1</x:v>
      </x:c>
      <x:c r="R2329" s="28" t="n">
        <x:v>0</x:v>
      </x:c>
      <x:c r="S2329" s="28" t="str">
        <x:v>29426acd9e99d4f3</x:v>
      </x:c>
    </x:row>
    <x:row r="2330" ht="21" customHeight="1">
      <x:c r="A2330" s="60" t="n">
        <x:v>0.69</x:v>
      </x:c>
      <x:c r="B2330" s="28" t="str">
        <x:v>front_high</x:v>
      </x:c>
      <x:c r="C2330" s="60" t="n">
        <x:v>0.6</x:v>
      </x:c>
      <x:c r="D2330" s="60" t="n">
        <x:v>0.6</x:v>
      </x:c>
      <x:c r="E2330" s="62" t="b">
        <x:v>1</x:v>
      </x:c>
      <x:c r="F2330" s="62" t="b">
        <x:v>0</x:v>
      </x:c>
      <x:c r="G2330" s="85" t="n">
        <x:v>2904920.463246148</x:v>
      </x:c>
      <x:c r="H2330" s="85" t="n">
        <x:v>10720943.851532351</x:v>
      </x:c>
      <x:c r="I2330" s="85" t="n">
        <x:v>83419993.26107813</x:v>
      </x:c>
      <x:c r="J2330" s="85" t="n">
        <x:v>63000000.000000015</x:v>
      </x:c>
      <x:c r="K2330" s="85" t="n">
        <x:v>137472.92987671428</x:v>
      </x:c>
      <x:c r="L2330" s="28" t="n">
        <x:v>46</x:v>
      </x:c>
      <x:c r="M2330" s="28" t="n">
        <x:v>41</x:v>
      </x:c>
      <x:c r="N2330" s="28" t="n">
        <x:v>1.862645149230957e-9</x:v>
      </x:c>
      <x:c r="O2330" s="28" t="n">
        <x:v>2.9802322387695312e-8</x:v>
      </x:c>
      <x:c r="P2330" s="28" t="n">
        <x:v>0</x:v>
      </x:c>
      <x:c r="Q2330" s="62" t="b">
        <x:v>1</x:v>
      </x:c>
      <x:c r="R2330" s="28" t="n">
        <x:v>0</x:v>
      </x:c>
      <x:c r="S2330" s="28" t="str">
        <x:v>40aa15a5e0dd8f90</x:v>
      </x:c>
    </x:row>
    <x:row r="2331" ht="21" customHeight="1">
      <x:c r="A2331" s="60" t="n">
        <x:v>0.69</x:v>
      </x:c>
      <x:c r="B2331" s="28" t="str">
        <x:v>front_high</x:v>
      </x:c>
      <x:c r="C2331" s="60" t="n">
        <x:v>0.65</x:v>
      </x:c>
      <x:c r="D2331" s="60" t="n">
        <x:v>0.65</x:v>
      </x:c>
      <x:c r="E2331" s="62" t="b">
        <x:v>1</x:v>
      </x:c>
      <x:c r="F2331" s="62" t="b">
        <x:v>0</x:v>
      </x:c>
      <x:c r="G2331" s="85" t="n">
        <x:v>7905118.94441546</x:v>
      </x:c>
      <x:c r="H2331" s="85" t="n">
        <x:v>26415460.31401216</x:v>
      </x:c>
      <x:c r="I2331" s="85" t="n">
        <x:v>83483407.07290313</x:v>
      </x:c>
      <x:c r="J2331" s="85" t="n">
        <x:v>63000000.000000015</x:v>
      </x:c>
      <x:c r="K2331" s="85" t="n">
        <x:v>106038.8087362985</x:v>
      </x:c>
      <x:c r="L2331" s="28" t="n">
        <x:v>46</x:v>
      </x:c>
      <x:c r="M2331" s="28" t="n">
        <x:v>44</x:v>
      </x:c>
      <x:c r="N2331" s="28" t="n">
        <x:v>1.862645149230957e-9</x:v>
      </x:c>
      <x:c r="O2331" s="28" t="n">
        <x:v>2.9802322387695312e-8</x:v>
      </x:c>
      <x:c r="P2331" s="28" t="n">
        <x:v>0</x:v>
      </x:c>
      <x:c r="Q2331" s="62" t="b">
        <x:v>1</x:v>
      </x:c>
      <x:c r="R2331" s="28" t="n">
        <x:v>0</x:v>
      </x:c>
      <x:c r="S2331" s="28" t="str">
        <x:v>9690ffd346b7827b</x:v>
      </x:c>
    </x:row>
    <x:row r="2332" ht="21" customHeight="1">
      <x:c r="A2332" s="60" t="n">
        <x:v>0.69</x:v>
      </x:c>
      <x:c r="B2332" s="28" t="str">
        <x:v>front_high</x:v>
      </x:c>
      <x:c r="C2332" s="60" t="n">
        <x:v>0.7</x:v>
      </x:c>
      <x:c r="D2332" s="60" t="n">
        <x:v>0.7</x:v>
      </x:c>
      <x:c r="E2332" s="62" t="b">
        <x:v>1</x:v>
      </x:c>
      <x:c r="F2332" s="62" t="b">
        <x:v>0</x:v>
      </x:c>
      <x:c r="G2332" s="85" t="n">
        <x:v>13315687.150118208</x:v>
      </x:c>
      <x:c r="H2332" s="85" t="n">
        <x:v>41529020.60056154</x:v>
      </x:c>
      <x:c r="I2332" s="85" t="n">
        <x:v>83546820.88472813</x:v>
      </x:c>
      <x:c r="J2332" s="85" t="n">
        <x:v>63000000.000000015</x:v>
      </x:c>
      <x:c r="K2332" s="85" t="n">
        <x:v>74604.68759588923</x:v>
      </x:c>
      <x:c r="L2332" s="28" t="n">
        <x:v>46</x:v>
      </x:c>
      <x:c r="M2332" s="28" t="n">
        <x:v>44</x:v>
      </x:c>
      <x:c r="N2332" s="28" t="n">
        <x:v>1.862645149230957e-9</x:v>
      </x:c>
      <x:c r="O2332" s="28" t="n">
        <x:v>2.9802322387695312e-8</x:v>
      </x:c>
      <x:c r="P2332" s="28" t="n">
        <x:v>0</x:v>
      </x:c>
      <x:c r="Q2332" s="62" t="b">
        <x:v>1</x:v>
      </x:c>
      <x:c r="R2332" s="28" t="n">
        <x:v>0</x:v>
      </x:c>
      <x:c r="S2332" s="28" t="str">
        <x:v>58bc7ca35fe31e14</x:v>
      </x:c>
    </x:row>
    <x:row r="2333" ht="21" customHeight="1">
      <x:c r="A2333" s="60" t="n">
        <x:v>0.69</x:v>
      </x:c>
      <x:c r="B2333" s="28" t="str">
        <x:v>front_high</x:v>
      </x:c>
      <x:c r="C2333" s="60" t="n">
        <x:v>0.75</x:v>
      </x:c>
      <x:c r="D2333" s="60" t="n">
        <x:v>0.75</x:v>
      </x:c>
      <x:c r="E2333" s="62" t="b">
        <x:v>1</x:v>
      </x:c>
      <x:c r="F2333" s="62" t="b">
        <x:v>0</x:v>
      </x:c>
      <x:c r="G2333" s="85" t="n">
        <x:v>17669721.680800468</x:v>
      </x:c>
      <x:c r="H2333" s="85" t="n">
        <x:v>53787668.43504937</x:v>
      </x:c>
      <x:c r="I2333" s="85" t="n">
        <x:v>85213109.58904116</x:v>
      </x:c>
      <x:c r="J2333" s="85" t="n">
        <x:v>63000000.000000015</x:v>
      </x:c>
      <x:c r="K2333" s="85" t="n">
        <x:v>43170.56645548277</x:v>
      </x:c>
      <x:c r="L2333" s="28" t="n">
        <x:v>47</x:v>
      </x:c>
      <x:c r="M2333" s="28" t="n">
        <x:v>45</x:v>
      </x:c>
      <x:c r="N2333" s="28" t="n">
        <x:v>1.862645149230957e-9</x:v>
      </x:c>
      <x:c r="O2333" s="28" t="n">
        <x:v>2.9802322387695312e-8</x:v>
      </x:c>
      <x:c r="P2333" s="28" t="n">
        <x:v>0</x:v>
      </x:c>
      <x:c r="Q2333" s="62" t="b">
        <x:v>1</x:v>
      </x:c>
      <x:c r="R2333" s="28" t="n">
        <x:v>0</x:v>
      </x:c>
      <x:c r="S2333" s="28" t="str">
        <x:v>a78523efe59e667e</x:v>
      </x:c>
    </x:row>
    <x:row r="2334" ht="21" customHeight="1">
      <x:c r="A2334" s="60" t="n">
        <x:v>0.69</x:v>
      </x:c>
      <x:c r="B2334" s="28" t="str">
        <x:v>front_high</x:v>
      </x:c>
      <x:c r="C2334" s="60" t="n">
        <x:v>0.8</x:v>
      </x:c>
      <x:c r="D2334" s="60" t="n">
        <x:v>0.8</x:v>
      </x:c>
      <x:c r="E2334" s="62" t="b">
        <x:v>1</x:v>
      </x:c>
      <x:c r="F2334" s="62" t="b">
        <x:v>0</x:v>
      </x:c>
      <x:c r="G2334" s="85" t="n">
        <x:v>23090287.391294446</x:v>
      </x:c>
      <x:c r="H2334" s="85" t="n">
        <x:v>68629470.64608808</x:v>
      </x:c>
      <x:c r="I2334" s="85" t="n">
        <x:v>85213109.58904116</x:v>
      </x:c>
      <x:c r="J2334" s="85" t="n">
        <x:v>63000000.000000015</x:v>
      </x:c>
      <x:c r="K2334" s="85" t="n">
        <x:v>11736.445315069781</x:v>
      </x:c>
      <x:c r="L2334" s="28" t="n">
        <x:v>47</x:v>
      </x:c>
      <x:c r="M2334" s="28" t="n">
        <x:v>45</x:v>
      </x:c>
      <x:c r="N2334" s="28" t="n">
        <x:v>1.862645149230957e-9</x:v>
      </x:c>
      <x:c r="O2334" s="28" t="n">
        <x:v>1.4901161193847656e-8</x:v>
      </x:c>
      <x:c r="P2334" s="28" t="n">
        <x:v>0</x:v>
      </x:c>
      <x:c r="Q2334" s="62" t="b">
        <x:v>1</x:v>
      </x:c>
      <x:c r="R2334" s="28" t="n">
        <x:v>0</x:v>
      </x:c>
      <x:c r="S2334" s="28" t="str">
        <x:v>62cb0606d7189773</x:v>
      </x:c>
    </x:row>
    <x:row r="2335" ht="21" customHeight="1">
      <x:c r="A2335" s="60" t="n">
        <x:v>0.69</x:v>
      </x:c>
      <x:c r="B2335" s="28" t="str">
        <x:v>front_high</x:v>
      </x:c>
      <x:c r="C2335" s="60" t="n">
        <x:v>0.85</x:v>
      </x:c>
      <x:c r="D2335" s="60" t="n">
        <x:v>0.85</x:v>
      </x:c>
      <x:c r="E2335" s="62" t="b">
        <x:v>1</x:v>
      </x:c>
      <x:c r="F2335" s="62" t="b">
        <x:v>0</x:v>
      </x:c>
      <x:c r="G2335" s="85" t="n">
        <x:v>30464587.093558695</x:v>
      </x:c>
      <x:c r="H2335" s="85" t="n">
        <x:v>82348316.30811416</x:v>
      </x:c>
      <x:c r="I2335" s="85" t="n">
        <x:v>85213109.58904116</x:v>
      </x:c>
      <x:c r="J2335" s="85" t="n">
        <x:v>63000000.000000015</x:v>
      </x:c>
      <x:c r="K2335" s="85" t="n">
        <x:v>0</x:v>
      </x:c>
      <x:c r="L2335" s="28" t="n">
        <x:v>47</x:v>
      </x:c>
      <x:c r="M2335" s="28" t="n">
        <x:v>45</x:v>
      </x:c>
      <x:c r="N2335" s="28" t="n">
        <x:v>1.862645149230957e-9</x:v>
      </x:c>
      <x:c r="O2335" s="28" t="n">
        <x:v>1.862645149230957e-9</x:v>
      </x:c>
      <x:c r="P2335" s="28" t="n">
        <x:v>0</x:v>
      </x:c>
      <x:c r="Q2335" s="62" t="b">
        <x:v>1</x:v>
      </x:c>
      <x:c r="R2335" s="28" t="n">
        <x:v>0</x:v>
      </x:c>
      <x:c r="S2335" s="28" t="str">
        <x:v>65c55e284ad63486</x:v>
      </x:c>
    </x:row>
    <x:row r="2336" ht="21" customHeight="1">
      <x:c r="A2336" s="60" t="n">
        <x:v>0.69</x:v>
      </x:c>
      <x:c r="B2336" s="28" t="str">
        <x:v>front_high</x:v>
      </x:c>
      <x:c r="C2336" s="60" t="n">
        <x:v>0.9</x:v>
      </x:c>
      <x:c r="D2336" s="60" t="n">
        <x:v>0.9</x:v>
      </x:c>
      <x:c r="E2336" s="62" t="b">
        <x:v>1</x:v>
      </x:c>
      <x:c r="F2336" s="62" t="b">
        <x:v>0</x:v>
      </x:c>
      <x:c r="G2336" s="85" t="n">
        <x:v>40032501.29202374</x:v>
      </x:c>
      <x:c r="H2336" s="85" t="n">
        <x:v>92546006.13731022</x:v>
      </x:c>
      <x:c r="I2336" s="85" t="n">
        <x:v>85213109.58904116</x:v>
      </x:c>
      <x:c r="J2336" s="85" t="n">
        <x:v>63000000.000000015</x:v>
      </x:c>
      <x:c r="K2336" s="85" t="n">
        <x:v>0</x:v>
      </x:c>
      <x:c r="L2336" s="28" t="n">
        <x:v>47</x:v>
      </x:c>
      <x:c r="M2336" s="28" t="n">
        <x:v>45</x:v>
      </x:c>
      <x:c r="N2336" s="28" t="n">
        <x:v>1.862645149230957e-9</x:v>
      </x:c>
      <x:c r="O2336" s="28" t="n">
        <x:v>1.4901161193847656e-8</x:v>
      </x:c>
      <x:c r="P2336" s="28" t="n">
        <x:v>0</x:v>
      </x:c>
      <x:c r="Q2336" s="62" t="b">
        <x:v>1</x:v>
      </x:c>
      <x:c r="R2336" s="28" t="n">
        <x:v>0</x:v>
      </x:c>
      <x:c r="S2336" s="28" t="str">
        <x:v>b0d4782272e59193</x:v>
      </x:c>
    </x:row>
    <x:row r="2337" ht="21" customHeight="1">
      <x:c r="A2337" s="60" t="n">
        <x:v>0.69</x:v>
      </x:c>
      <x:c r="B2337" s="28" t="str">
        <x:v>front_high</x:v>
      </x:c>
      <x:c r="C2337" s="60" t="n">
        <x:v>0.95</x:v>
      </x:c>
      <x:c r="D2337" s="60" t="n">
        <x:v>0.9497739906324524</x:v>
      </x:c>
      <x:c r="E2337" s="62" t="b">
        <x:v>0</x:v>
      </x:c>
      <x:c r="F2337" s="62" t="b">
        <x:v>0</x:v>
      </x:c>
      <x:c r="G2337" s="85" t="n">
        <x:v>45342914.5874345</x:v>
      </x:c>
      <x:c r="H2337" s="85" t="n">
        <x:v>102077070.96854205</x:v>
      </x:c>
      <x:c r="I2337" s="85" t="n">
        <x:v>85213109.58904116</x:v>
      </x:c>
      <x:c r="J2337" s="85" t="n">
        <x:v>63000000.000000015</x:v>
      </x:c>
      <x:c r="K2337" s="85" t="n">
        <x:v>0</x:v>
      </x:c>
      <x:c r="L2337" s="28" t="n">
        <x:v>47</x:v>
      </x:c>
      <x:c r="M2337" s="28" t="n">
        <x:v>46</x:v>
      </x:c>
      <x:c r="N2337" s="28" t="n">
        <x:v>1.862645149230957e-9</x:v>
      </x:c>
      <x:c r="O2337" s="28" t="n">
        <x:v>1.4901161193847656e-8</x:v>
      </x:c>
      <x:c r="P2337" s="28" t="n">
        <x:v>0</x:v>
      </x:c>
      <x:c r="Q2337" s="62" t="b">
        <x:v>1</x:v>
      </x:c>
      <x:c r="R2337" s="28" t="n">
        <x:v>67802.81026428938</x:v>
      </x:c>
      <x:c r="S2337" s="28" t="str">
        <x:v>0bfc67187d54a554</x:v>
      </x:c>
    </x:row>
    <x:row r="2338" ht="21" customHeight="1">
      <x:c r="A2338" s="60" t="n">
        <x:v>0.69</x:v>
      </x:c>
      <x:c r="B2338" s="28" t="str">
        <x:v>front_high</x:v>
      </x:c>
      <x:c r="C2338" s="60" t="n">
        <x:v>1</x:v>
      </x:c>
      <x:c r="D2338" s="60" t="n">
        <x:v>0.9646994850752131</x:v>
      </x:c>
      <x:c r="E2338" s="62" t="b">
        <x:v>0</x:v>
      </x:c>
      <x:c r="F2338" s="62" t="b">
        <x:v>0</x:v>
      </x:c>
      <x:c r="G2338" s="85" t="n">
        <x:v>49346668.63239142</x:v>
      </x:c>
      <x:c r="H2338" s="85" t="n">
        <x:v>106090176.76188624</x:v>
      </x:c>
      <x:c r="I2338" s="85" t="n">
        <x:v>85216150.72417814</x:v>
      </x:c>
      <x:c r="J2338" s="85" t="n">
        <x:v>63000000.000000015</x:v>
      </x:c>
      <x:c r="K2338" s="85" t="n">
        <x:v>0</x:v>
      </x:c>
      <x:c r="L2338" s="28" t="n">
        <x:v>47</x:v>
      </x:c>
      <x:c r="M2338" s="28" t="n">
        <x:v>46</x:v>
      </x:c>
      <x:c r="N2338" s="28" t="n">
        <x:v>9.313225746154785e-10</x:v>
      </x:c>
      <x:c r="O2338" s="28" t="n">
        <x:v>3.725290298461914e-9</x:v>
      </x:c>
      <x:c r="P2338" s="28" t="n">
        <x:v>0</x:v>
      </x:c>
      <x:c r="Q2338" s="62" t="b">
        <x:v>1</x:v>
      </x:c>
      <x:c r="R2338" s="28" t="n">
        <x:v>10590154.477436066</x:v>
      </x:c>
      <x:c r="S2338" s="28" t="str">
        <x:v>07cf2c67a342f4b5</x:v>
      </x:c>
    </x:row>
    <x:row r="2339" ht="21" customHeight="1">
      <x:c r="A2339" s="60" t="n">
        <x:v>0.69</x:v>
      </x:c>
      <x:c r="B2339" s="28" t="str">
        <x:v>middle_flat</x:v>
      </x:c>
      <x:c r="C2339" s="60" t="n">
        <x:v>0</x:v>
      </x:c>
      <x:c r="D2339" s="60" t="n">
        <x:v>0</x:v>
      </x:c>
      <x:c r="E2339" s="62" t="b">
        <x:v>1</x:v>
      </x:c>
      <x:c r="F2339" s="62" t="b">
        <x:v>1</x:v>
      </x:c>
      <x:c r="G2339" s="85" t="n">
        <x:v>0</x:v>
      </x:c>
      <x:c r="H2339" s="85" t="n">
        <x:v>0</x:v>
      </x:c>
      <x:c r="I2339" s="85" t="n">
        <x:v>0</x:v>
      </x:c>
      <x:c r="J2339" s="85" t="n">
        <x:v>0</x:v>
      </x:c>
      <x:c r="K2339" s="85" t="n">
        <x:v>36427690.54589042</x:v>
      </x:c>
      <x:c r="L2339" s="28" t="n">
        <x:v>0</x:v>
      </x:c>
      <x:c r="M2339" s="28" t="n">
        <x:v>0</x:v>
      </x:c>
      <x:c r="N2339" s="28" t="n">
        <x:v>3.725290298461914e-9</x:v>
      </x:c>
      <x:c r="O2339" s="28" t="n">
        <x:v>0</x:v>
      </x:c>
      <x:c r="P2339" s="28" t="n">
        <x:v>0</x:v>
      </x:c>
      <x:c r="Q2339" s="62" t="b">
        <x:v>1</x:v>
      </x:c>
      <x:c r="R2339" s="28" t="n">
        <x:v>0</x:v>
      </x:c>
      <x:c r="S2339" s="28" t="str">
        <x:v>1722360b2713d71b</x:v>
      </x:c>
    </x:row>
    <x:row r="2340" ht="21" customHeight="1">
      <x:c r="A2340" s="60" t="n">
        <x:v>0.69</x:v>
      </x:c>
      <x:c r="B2340" s="28" t="str">
        <x:v>middle_flat</x:v>
      </x:c>
      <x:c r="C2340" s="60" t="n">
        <x:v>0.05</x:v>
      </x:c>
      <x:c r="D2340" s="60" t="n">
        <x:v>0.05</x:v>
      </x:c>
      <x:c r="E2340" s="62" t="b">
        <x:v>1</x:v>
      </x:c>
      <x:c r="F2340" s="62" t="b">
        <x:v>1</x:v>
      </x:c>
      <x:c r="G2340" s="85" t="n">
        <x:v>0</x:v>
      </x:c>
      <x:c r="H2340" s="85" t="n">
        <x:v>0</x:v>
      </x:c>
      <x:c r="I2340" s="85" t="n">
        <x:v>0</x:v>
      </x:c>
      <x:c r="J2340" s="85" t="n">
        <x:v>0</x:v>
      </x:c>
      <x:c r="K2340" s="85" t="n">
        <x:v>24493949.442577645</x:v>
      </x:c>
      <x:c r="L2340" s="28" t="n">
        <x:v>0</x:v>
      </x:c>
      <x:c r="M2340" s="28" t="n">
        <x:v>0</x:v>
      </x:c>
      <x:c r="N2340" s="28" t="n">
        <x:v>3.725290298461914e-9</x:v>
      </x:c>
      <x:c r="O2340" s="28" t="n">
        <x:v>2.9802322387695312e-8</x:v>
      </x:c>
      <x:c r="P2340" s="28" t="n">
        <x:v>0</x:v>
      </x:c>
      <x:c r="Q2340" s="62" t="b">
        <x:v>1</x:v>
      </x:c>
      <x:c r="R2340" s="28" t="n">
        <x:v>0</x:v>
      </x:c>
      <x:c r="S2340" s="28" t="str">
        <x:v>c48f3e829e588e8b</x:v>
      </x:c>
    </x:row>
    <x:row r="2341" ht="21" customHeight="1">
      <x:c r="A2341" s="60" t="n">
        <x:v>0.69</x:v>
      </x:c>
      <x:c r="B2341" s="28" t="str">
        <x:v>middle_flat</x:v>
      </x:c>
      <x:c r="C2341" s="60" t="n">
        <x:v>0.1</x:v>
      </x:c>
      <x:c r="D2341" s="60" t="n">
        <x:v>0.1</x:v>
      </x:c>
      <x:c r="E2341" s="62" t="b">
        <x:v>1</x:v>
      </x:c>
      <x:c r="F2341" s="62" t="b">
        <x:v>1</x:v>
      </x:c>
      <x:c r="G2341" s="85" t="n">
        <x:v>0</x:v>
      </x:c>
      <x:c r="H2341" s="85" t="n">
        <x:v>0</x:v>
      </x:c>
      <x:c r="I2341" s="85" t="n">
        <x:v>0</x:v>
      </x:c>
      <x:c r="J2341" s="85" t="n">
        <x:v>0</x:v>
      </x:c>
      <x:c r="K2341" s="85" t="n">
        <x:v>12441371.545730304</x:v>
      </x:c>
      <x:c r="L2341" s="28" t="n">
        <x:v>0</x:v>
      </x:c>
      <x:c r="M2341" s="28" t="n">
        <x:v>0</x:v>
      </x:c>
      <x:c r="N2341" s="28" t="n">
        <x:v>3.725290298461914e-9</x:v>
      </x:c>
      <x:c r="O2341" s="28" t="n">
        <x:v>5.960464477539063e-8</x:v>
      </x:c>
      <x:c r="P2341" s="28" t="n">
        <x:v>0</x:v>
      </x:c>
      <x:c r="Q2341" s="62" t="b">
        <x:v>1</x:v>
      </x:c>
      <x:c r="R2341" s="28" t="n">
        <x:v>0</x:v>
      </x:c>
      <x:c r="S2341" s="28" t="str">
        <x:v>8af7e25a59777991</x:v>
      </x:c>
    </x:row>
    <x:row r="2342" ht="21" customHeight="1">
      <x:c r="A2342" s="60" t="n">
        <x:v>0.69</x:v>
      </x:c>
      <x:c r="B2342" s="28" t="str">
        <x:v>middle_flat</x:v>
      </x:c>
      <x:c r="C2342" s="60" t="n">
        <x:v>0.15</x:v>
      </x:c>
      <x:c r="D2342" s="60" t="n">
        <x:v>0.15</x:v>
      </x:c>
      <x:c r="E2342" s="62" t="b">
        <x:v>1</x:v>
      </x:c>
      <x:c r="F2342" s="62" t="b">
        <x:v>1</x:v>
      </x:c>
      <x:c r="G2342" s="85" t="n">
        <x:v>0</x:v>
      </x:c>
      <x:c r="H2342" s="85" t="n">
        <x:v>0</x:v>
      </x:c>
      <x:c r="I2342" s="85" t="n">
        <x:v>1530649.1810846492</x:v>
      </x:c>
      <x:c r="J2342" s="85" t="n">
        <x:v>0</x:v>
      </x:c>
      <x:c r="K2342" s="85" t="n">
        <x:v>2491449.798566316</x:v>
      </x:c>
      <x:c r="L2342" s="28" t="n">
        <x:v>0</x:v>
      </x:c>
      <x:c r="M2342" s="28" t="n">
        <x:v>0</x:v>
      </x:c>
      <x:c r="N2342" s="28" t="n">
        <x:v>3.725290298461914e-9</x:v>
      </x:c>
      <x:c r="O2342" s="28" t="n">
        <x:v>2.9802322387695312e-8</x:v>
      </x:c>
      <x:c r="P2342" s="28" t="n">
        <x:v>0</x:v>
      </x:c>
      <x:c r="Q2342" s="62" t="b">
        <x:v>1</x:v>
      </x:c>
      <x:c r="R2342" s="28" t="n">
        <x:v>0</x:v>
      </x:c>
      <x:c r="S2342" s="28" t="str">
        <x:v>12e916edf8d20436</x:v>
      </x:c>
    </x:row>
    <x:row r="2343" ht="21" customHeight="1">
      <x:c r="A2343" s="60" t="n">
        <x:v>0.69</x:v>
      </x:c>
      <x:c r="B2343" s="28" t="str">
        <x:v>middle_flat</x:v>
      </x:c>
      <x:c r="C2343" s="60" t="n">
        <x:v>0.2</x:v>
      </x:c>
      <x:c r="D2343" s="60" t="n">
        <x:v>0.2</x:v>
      </x:c>
      <x:c r="E2343" s="62" t="b">
        <x:v>1</x:v>
      </x:c>
      <x:c r="F2343" s="62" t="b">
        <x:v>1</x:v>
      </x:c>
      <x:c r="G2343" s="85" t="n">
        <x:v>0</x:v>
      </x:c>
      <x:c r="H2343" s="85" t="n">
        <x:v>0</x:v>
      </x:c>
      <x:c r="I2343" s="85" t="n">
        <x:v>9328799.776475834</x:v>
      </x:c>
      <x:c r="J2343" s="85" t="n">
        <x:v>6318282.052720841</x:v>
      </x:c>
      <x:c r="K2343" s="85" t="n">
        <x:v>1952968.174162207</x:v>
      </x:c>
      <x:c r="L2343" s="28" t="n">
        <x:v>0</x:v>
      </x:c>
      <x:c r="M2343" s="28" t="n">
        <x:v>0</x:v>
      </x:c>
      <x:c r="N2343" s="28" t="n">
        <x:v>1.862645149230957e-9</x:v>
      </x:c>
      <x:c r="O2343" s="28" t="n">
        <x:v>2.9802322387695312e-8</x:v>
      </x:c>
      <x:c r="P2343" s="28" t="n">
        <x:v>0</x:v>
      </x:c>
      <x:c r="Q2343" s="62" t="b">
        <x:v>1</x:v>
      </x:c>
      <x:c r="R2343" s="28" t="n">
        <x:v>0</x:v>
      </x:c>
      <x:c r="S2343" s="28" t="str">
        <x:v>1ef4ed9fb1a67bac</x:v>
      </x:c>
    </x:row>
    <x:row r="2344" ht="21" customHeight="1">
      <x:c r="A2344" s="60" t="n">
        <x:v>0.69</x:v>
      </x:c>
      <x:c r="B2344" s="28" t="str">
        <x:v>middle_flat</x:v>
      </x:c>
      <x:c r="C2344" s="60" t="n">
        <x:v>0.25</x:v>
      </x:c>
      <x:c r="D2344" s="60" t="n">
        <x:v>0.25</x:v>
      </x:c>
      <x:c r="E2344" s="62" t="b">
        <x:v>1</x:v>
      </x:c>
      <x:c r="F2344" s="62" t="b">
        <x:v>1</x:v>
      </x:c>
      <x:c r="G2344" s="85" t="n">
        <x:v>0</x:v>
      </x:c>
      <x:c r="H2344" s="85" t="n">
        <x:v>0</x:v>
      </x:c>
      <x:c r="I2344" s="85" t="n">
        <x:v>15469516.349361554</x:v>
      </x:c>
      <x:c r="J2344" s="85" t="n">
        <x:v>15397852.56590101</x:v>
      </x:c>
      <x:c r="K2344" s="85" t="n">
        <x:v>1596869.089642262</x:v>
      </x:c>
      <x:c r="L2344" s="28" t="n">
        <x:v>0</x:v>
      </x:c>
      <x:c r="M2344" s="28" t="n">
        <x:v>0</x:v>
      </x:c>
      <x:c r="N2344" s="28" t="n">
        <x:v>3.725290298461914e-9</x:v>
      </x:c>
      <x:c r="O2344" s="28" t="n">
        <x:v>2.9802322387695312e-8</x:v>
      </x:c>
      <x:c r="P2344" s="28" t="n">
        <x:v>0</x:v>
      </x:c>
      <x:c r="Q2344" s="62" t="b">
        <x:v>1</x:v>
      </x:c>
      <x:c r="R2344" s="28" t="n">
        <x:v>0</x:v>
      </x:c>
      <x:c r="S2344" s="28" t="str">
        <x:v>6bef5444cb9f7aa1</x:v>
      </x:c>
    </x:row>
    <x:row r="2345" ht="21" customHeight="1">
      <x:c r="A2345" s="60" t="n">
        <x:v>0.69</x:v>
      </x:c>
      <x:c r="B2345" s="28" t="str">
        <x:v>middle_flat</x:v>
      </x:c>
      <x:c r="C2345" s="60" t="n">
        <x:v>0.3</x:v>
      </x:c>
      <x:c r="D2345" s="60" t="n">
        <x:v>0.3</x:v>
      </x:c>
      <x:c r="E2345" s="62" t="b">
        <x:v>1</x:v>
      </x:c>
      <x:c r="F2345" s="62" t="b">
        <x:v>1</x:v>
      </x:c>
      <x:c r="G2345" s="85" t="n">
        <x:v>0</x:v>
      </x:c>
      <x:c r="H2345" s="85" t="n">
        <x:v>0</x:v>
      </x:c>
      <x:c r="I2345" s="85" t="n">
        <x:v>22145710.312675662</x:v>
      </x:c>
      <x:c r="J2345" s="85" t="n">
        <x:v>23446309.395017117</x:v>
      </x:c>
      <x:c r="K2345" s="85" t="n">
        <x:v>1290031.05240743</x:v>
      </x:c>
      <x:c r="L2345" s="28" t="n">
        <x:v>1</x:v>
      </x:c>
      <x:c r="M2345" s="28" t="n">
        <x:v>0</x:v>
      </x:c>
      <x:c r="N2345" s="28" t="n">
        <x:v>1.862645149230957e-9</x:v>
      </x:c>
      <x:c r="O2345" s="28" t="n">
        <x:v>2.9802322387695312e-8</x:v>
      </x:c>
      <x:c r="P2345" s="28" t="n">
        <x:v>0</x:v>
      </x:c>
      <x:c r="Q2345" s="62" t="b">
        <x:v>1</x:v>
      </x:c>
      <x:c r="R2345" s="28" t="n">
        <x:v>0</x:v>
      </x:c>
      <x:c r="S2345" s="28" t="str">
        <x:v>989ecf689d479abe</x:v>
      </x:c>
    </x:row>
    <x:row r="2346" ht="21" customHeight="1">
      <x:c r="A2346" s="60" t="n">
        <x:v>0.69</x:v>
      </x:c>
      <x:c r="B2346" s="28" t="str">
        <x:v>middle_flat</x:v>
      </x:c>
      <x:c r="C2346" s="60" t="n">
        <x:v>0.35</x:v>
      </x:c>
      <x:c r="D2346" s="60" t="n">
        <x:v>0.35</x:v>
      </x:c>
      <x:c r="E2346" s="62" t="b">
        <x:v>1</x:v>
      </x:c>
      <x:c r="F2346" s="62" t="b">
        <x:v>1</x:v>
      </x:c>
      <x:c r="G2346" s="85" t="n">
        <x:v>0</x:v>
      </x:c>
      <x:c r="H2346" s="85" t="n">
        <x:v>0</x:v>
      </x:c>
      <x:c r="I2346" s="85" t="n">
        <x:v>30506101.825484484</x:v>
      </x:c>
      <x:c r="J2346" s="85" t="n">
        <x:v>27314903.783868045</x:v>
      </x:c>
      <x:c r="K2346" s="85" t="n">
        <x:v>1107965.3061191635</x:v>
      </x:c>
      <x:c r="L2346" s="28" t="n">
        <x:v>7</x:v>
      </x:c>
      <x:c r="M2346" s="28" t="n">
        <x:v>0</x:v>
      </x:c>
      <x:c r="N2346" s="28" t="n">
        <x:v>3.725290298461914e-9</x:v>
      </x:c>
      <x:c r="O2346" s="28" t="n">
        <x:v>2.9802322387695312e-8</x:v>
      </x:c>
      <x:c r="P2346" s="28" t="n">
        <x:v>0</x:v>
      </x:c>
      <x:c r="Q2346" s="62" t="b">
        <x:v>1</x:v>
      </x:c>
      <x:c r="R2346" s="28" t="n">
        <x:v>0</x:v>
      </x:c>
      <x:c r="S2346" s="28" t="str">
        <x:v>6874e80a243ca0e6</x:v>
      </x:c>
    </x:row>
    <x:row r="2347" ht="21" customHeight="1">
      <x:c r="A2347" s="60" t="n">
        <x:v>0.69</x:v>
      </x:c>
      <x:c r="B2347" s="28" t="str">
        <x:v>middle_flat</x:v>
      </x:c>
      <x:c r="C2347" s="60" t="n">
        <x:v>0.4</x:v>
      </x:c>
      <x:c r="D2347" s="60" t="n">
        <x:v>0.4</x:v>
      </x:c>
      <x:c r="E2347" s="62" t="b">
        <x:v>1</x:v>
      </x:c>
      <x:c r="F2347" s="62" t="b">
        <x:v>1</x:v>
      </x:c>
      <x:c r="G2347" s="85" t="n">
        <x:v>0</x:v>
      </x:c>
      <x:c r="H2347" s="85" t="n">
        <x:v>0</x:v>
      </x:c>
      <x:c r="I2347" s="85" t="n">
        <x:v>37843757.20066119</x:v>
      </x:c>
      <x:c r="J2347" s="85" t="n">
        <x:v>33841895.289642684</x:v>
      </x:c>
      <x:c r="K2347" s="85" t="n">
        <x:v>925899.5598308983</x:v>
      </x:c>
      <x:c r="L2347" s="28" t="n">
        <x:v>11</x:v>
      </x:c>
      <x:c r="M2347" s="28" t="n">
        <x:v>0</x:v>
      </x:c>
      <x:c r="N2347" s="28" t="n">
        <x:v>1.862645149230957e-9</x:v>
      </x:c>
      <x:c r="O2347" s="28" t="n">
        <x:v>2.9802322387695312e-8</x:v>
      </x:c>
      <x:c r="P2347" s="28" t="n">
        <x:v>0</x:v>
      </x:c>
      <x:c r="Q2347" s="62" t="b">
        <x:v>1</x:v>
      </x:c>
      <x:c r="R2347" s="28" t="n">
        <x:v>0</x:v>
      </x:c>
      <x:c r="S2347" s="28" t="str">
        <x:v>9f9fec6be209b369</x:v>
      </x:c>
    </x:row>
    <x:row r="2348" ht="21" customHeight="1">
      <x:c r="A2348" s="60" t="n">
        <x:v>0.69</x:v>
      </x:c>
      <x:c r="B2348" s="28" t="str">
        <x:v>middle_flat</x:v>
      </x:c>
      <x:c r="C2348" s="60" t="n">
        <x:v>0.45</x:v>
      </x:c>
      <x:c r="D2348" s="60" t="n">
        <x:v>0.45</x:v>
      </x:c>
      <x:c r="E2348" s="62" t="b">
        <x:v>1</x:v>
      </x:c>
      <x:c r="F2348" s="62" t="b">
        <x:v>1</x:v>
      </x:c>
      <x:c r="G2348" s="85" t="n">
        <x:v>0</x:v>
      </x:c>
      <x:c r="H2348" s="85" t="n">
        <x:v>0</x:v>
      </x:c>
      <x:c r="I2348" s="85" t="n">
        <x:v>44450701.32808411</x:v>
      </x:c>
      <x:c r="J2348" s="85" t="n">
        <x:v>42240456.14785045</x:v>
      </x:c>
      <x:c r="K2348" s="85" t="n">
        <x:v>835506.5721260312</x:v>
      </x:c>
      <x:c r="L2348" s="28" t="n">
        <x:v>14</x:v>
      </x:c>
      <x:c r="M2348" s="28" t="n">
        <x:v>0</x:v>
      </x:c>
      <x:c r="N2348" s="28" t="n">
        <x:v>3.725290298461914e-9</x:v>
      </x:c>
      <x:c r="O2348" s="28" t="n">
        <x:v>2.9802322387695312e-8</x:v>
      </x:c>
      <x:c r="P2348" s="28" t="n">
        <x:v>0</x:v>
      </x:c>
      <x:c r="Q2348" s="62" t="b">
        <x:v>1</x:v>
      </x:c>
      <x:c r="R2348" s="28" t="n">
        <x:v>0</x:v>
      </x:c>
      <x:c r="S2348" s="28" t="str">
        <x:v>9582a77b63bd117a</x:v>
      </x:c>
    </x:row>
    <x:row r="2349" ht="21" customHeight="1">
      <x:c r="A2349" s="60" t="n">
        <x:v>0.69</x:v>
      </x:c>
      <x:c r="B2349" s="28" t="str">
        <x:v>middle_flat</x:v>
      </x:c>
      <x:c r="C2349" s="60" t="n">
        <x:v>0.5</x:v>
      </x:c>
      <x:c r="D2349" s="60" t="n">
        <x:v>0.5</x:v>
      </x:c>
      <x:c r="E2349" s="62" t="b">
        <x:v>1</x:v>
      </x:c>
      <x:c r="F2349" s="62" t="b">
        <x:v>1</x:v>
      </x:c>
      <x:c r="G2349" s="85" t="n">
        <x:v>0</x:v>
      </x:c>
      <x:c r="H2349" s="85" t="n">
        <x:v>0</x:v>
      </x:c>
      <x:c r="I2349" s="85" t="n">
        <x:v>50704886.87968367</x:v>
      </x:c>
      <x:c r="J2349" s="85" t="n">
        <x:v>51277756.799214676</x:v>
      </x:c>
      <x:c r="K2349" s="85" t="n">
        <x:v>751703.3579178159</x:v>
      </x:c>
      <x:c r="L2349" s="28" t="n">
        <x:v>17</x:v>
      </x:c>
      <x:c r="M2349" s="28" t="n">
        <x:v>1</x:v>
      </x:c>
      <x:c r="N2349" s="28" t="n">
        <x:v>3.725290298461914e-9</x:v>
      </x:c>
      <x:c r="O2349" s="28" t="n">
        <x:v>1.4901161193847656e-8</x:v>
      </x:c>
      <x:c r="P2349" s="28" t="n">
        <x:v>0</x:v>
      </x:c>
      <x:c r="Q2349" s="62" t="b">
        <x:v>1</x:v>
      </x:c>
      <x:c r="R2349" s="28" t="n">
        <x:v>0</x:v>
      </x:c>
      <x:c r="S2349" s="28" t="str">
        <x:v>3dc32d8609b3a375</x:v>
      </x:c>
    </x:row>
    <x:row r="2350" ht="21" customHeight="1">
      <x:c r="A2350" s="60" t="n">
        <x:v>0.69</x:v>
      </x:c>
      <x:c r="B2350" s="28" t="str">
        <x:v>middle_flat</x:v>
      </x:c>
      <x:c r="C2350" s="60" t="n">
        <x:v>0.55</x:v>
      </x:c>
      <x:c r="D2350" s="60" t="n">
        <x:v>0.55</x:v>
      </x:c>
      <x:c r="E2350" s="62" t="b">
        <x:v>1</x:v>
      </x:c>
      <x:c r="F2350" s="62" t="b">
        <x:v>1</x:v>
      </x:c>
      <x:c r="G2350" s="85" t="n">
        <x:v>0</x:v>
      </x:c>
      <x:c r="H2350" s="85" t="n">
        <x:v>0</x:v>
      </x:c>
      <x:c r="I2350" s="85" t="n">
        <x:v>56122446.57943576</x:v>
      </x:c>
      <x:c r="J2350" s="85" t="n">
        <x:v>62265879.70868901</x:v>
      </x:c>
      <x:c r="K2350" s="85" t="n">
        <x:v>667900.1437095893</x:v>
      </x:c>
      <x:c r="L2350" s="28" t="n">
        <x:v>24</x:v>
      </x:c>
      <x:c r="M2350" s="28" t="n">
        <x:v>15</x:v>
      </x:c>
      <x:c r="N2350" s="28" t="n">
        <x:v>1.862645149230957e-9</x:v>
      </x:c>
      <x:c r="O2350" s="28" t="n">
        <x:v>2.9802322387695312e-8</x:v>
      </x:c>
      <x:c r="P2350" s="28" t="n">
        <x:v>0</x:v>
      </x:c>
      <x:c r="Q2350" s="62" t="b">
        <x:v>1</x:v>
      </x:c>
      <x:c r="R2350" s="28" t="n">
        <x:v>0</x:v>
      </x:c>
      <x:c r="S2350" s="28" t="str">
        <x:v>e65cb707e6c3ff53</x:v>
      </x:c>
    </x:row>
    <x:row r="2351" ht="21" customHeight="1">
      <x:c r="A2351" s="60" t="n">
        <x:v>0.69</x:v>
      </x:c>
      <x:c r="B2351" s="28" t="str">
        <x:v>middle_flat</x:v>
      </x:c>
      <x:c r="C2351" s="60" t="n">
        <x:v>0.6</x:v>
      </x:c>
      <x:c r="D2351" s="60" t="n">
        <x:v>0.6</x:v>
      </x:c>
      <x:c r="E2351" s="62" t="b">
        <x:v>1</x:v>
      </x:c>
      <x:c r="F2351" s="62" t="b">
        <x:v>0</x:v>
      </x:c>
      <x:c r="G2351" s="85" t="n">
        <x:v>1598207.6784837537</x:v>
      </x:c>
      <x:c r="H2351" s="85" t="n">
        <x:v>10407846.820183825</x:v>
      </x:c>
      <x:c r="I2351" s="85" t="n">
        <x:v>57701713.39818215</x:v>
      </x:c>
      <x:c r="J2351" s="85" t="n">
        <x:v>63000000.000000015</x:v>
      </x:c>
      <x:c r="K2351" s="85" t="n">
        <x:v>584096.9295013691</x:v>
      </x:c>
      <x:c r="L2351" s="28" t="n">
        <x:v>43</x:v>
      </x:c>
      <x:c r="M2351" s="28" t="n">
        <x:v>34</x:v>
      </x:c>
      <x:c r="N2351" s="28" t="n">
        <x:v>1.862645149230957e-9</x:v>
      </x:c>
      <x:c r="O2351" s="28" t="n">
        <x:v>2.9802322387695312e-8</x:v>
      </x:c>
      <x:c r="P2351" s="28" t="n">
        <x:v>0</x:v>
      </x:c>
      <x:c r="Q2351" s="62" t="b">
        <x:v>1</x:v>
      </x:c>
      <x:c r="R2351" s="28" t="n">
        <x:v>0</x:v>
      </x:c>
      <x:c r="S2351" s="28" t="str">
        <x:v>9015c70308c95431</x:v>
      </x:c>
    </x:row>
    <x:row r="2352" ht="21" customHeight="1">
      <x:c r="A2352" s="60" t="n">
        <x:v>0.69</x:v>
      </x:c>
      <x:c r="B2352" s="28" t="str">
        <x:v>middle_flat</x:v>
      </x:c>
      <x:c r="C2352" s="60" t="n">
        <x:v>0.65</x:v>
      </x:c>
      <x:c r="D2352" s="60" t="n">
        <x:v>0.65</x:v>
      </x:c>
      <x:c r="E2352" s="62" t="b">
        <x:v>1</x:v>
      </x:c>
      <x:c r="F2352" s="62" t="b">
        <x:v>0</x:v>
      </x:c>
      <x:c r="G2352" s="85" t="n">
        <x:v>4034538.3468919606</x:v>
      </x:c>
      <x:c r="H2352" s="85" t="n">
        <x:v>22948441.595275097</x:v>
      </x:c>
      <x:c r="I2352" s="85" t="n">
        <x:v>57746580.03821332</x:v>
      </x:c>
      <x:c r="J2352" s="85" t="n">
        <x:v>63000000.000000015</x:v>
      </x:c>
      <x:c r="K2352" s="85" t="n">
        <x:v>500293.715293149</x:v>
      </x:c>
      <x:c r="L2352" s="28" t="n">
        <x:v>43</x:v>
      </x:c>
      <x:c r="M2352" s="28" t="n">
        <x:v>36</x:v>
      </x:c>
      <x:c r="N2352" s="28" t="n">
        <x:v>1.862645149230957e-9</x:v>
      </x:c>
      <x:c r="O2352" s="28" t="n">
        <x:v>2.9802322387695312e-8</x:v>
      </x:c>
      <x:c r="P2352" s="28" t="n">
        <x:v>0</x:v>
      </x:c>
      <x:c r="Q2352" s="62" t="b">
        <x:v>1</x:v>
      </x:c>
      <x:c r="R2352" s="28" t="n">
        <x:v>0</x:v>
      </x:c>
      <x:c r="S2352" s="28" t="str">
        <x:v>ad4dce434b6a9970</x:v>
      </x:c>
    </x:row>
    <x:row r="2353" ht="21" customHeight="1">
      <x:c r="A2353" s="60" t="n">
        <x:v>0.69</x:v>
      </x:c>
      <x:c r="B2353" s="28" t="str">
        <x:v>middle_flat</x:v>
      </x:c>
      <x:c r="C2353" s="60" t="n">
        <x:v>0.7</x:v>
      </x:c>
      <x:c r="D2353" s="60" t="n">
        <x:v>0.7</x:v>
      </x:c>
      <x:c r="E2353" s="62" t="b">
        <x:v>1</x:v>
      </x:c>
      <x:c r="F2353" s="62" t="b">
        <x:v>0</x:v>
      </x:c>
      <x:c r="G2353" s="85" t="n">
        <x:v>6001794.50861101</x:v>
      </x:c>
      <x:c r="H2353" s="85" t="n">
        <x:v>33728265.84369658</x:v>
      </x:c>
      <x:c r="I2353" s="85" t="n">
        <x:v>58949013.6986301</x:v>
      </x:c>
      <x:c r="J2353" s="85" t="n">
        <x:v>63000000.000000015</x:v>
      </x:c>
      <x:c r="K2353" s="85" t="n">
        <x:v>430950.86145753553</x:v>
      </x:c>
      <x:c r="L2353" s="28" t="n">
        <x:v>44</x:v>
      </x:c>
      <x:c r="M2353" s="28" t="n">
        <x:v>37</x:v>
      </x:c>
      <x:c r="N2353" s="28" t="n">
        <x:v>1.862645149230957e-9</x:v>
      </x:c>
      <x:c r="O2353" s="28" t="n">
        <x:v>1.4901161193847656e-8</x:v>
      </x:c>
      <x:c r="P2353" s="28" t="n">
        <x:v>0</x:v>
      </x:c>
      <x:c r="Q2353" s="62" t="b">
        <x:v>1</x:v>
      </x:c>
      <x:c r="R2353" s="28" t="n">
        <x:v>0</x:v>
      </x:c>
      <x:c r="S2353" s="28" t="str">
        <x:v>91833cb3b75c7516</x:v>
      </x:c>
    </x:row>
    <x:row r="2354" ht="21" customHeight="1">
      <x:c r="A2354" s="60" t="n">
        <x:v>0.69</x:v>
      </x:c>
      <x:c r="B2354" s="28" t="str">
        <x:v>middle_flat</x:v>
      </x:c>
      <x:c r="C2354" s="60" t="n">
        <x:v>0.75</x:v>
      </x:c>
      <x:c r="D2354" s="60" t="n">
        <x:v>0.75</x:v>
      </x:c>
      <x:c r="E2354" s="62" t="b">
        <x:v>1</x:v>
      </x:c>
      <x:c r="F2354" s="62" t="b">
        <x:v>0</x:v>
      </x:c>
      <x:c r="G2354" s="85" t="n">
        <x:v>8644864.921082899</x:v>
      </x:c>
      <x:c r="H2354" s="85" t="n">
        <x:v>45813211.558989026</x:v>
      </x:c>
      <x:c r="I2354" s="85" t="n">
        <x:v>58949013.6986301</x:v>
      </x:c>
      <x:c r="J2354" s="85" t="n">
        <x:v>63000000.000000015</x:v>
      </x:c>
      <x:c r="K2354" s="85" t="n">
        <x:v>405423.45224657614</x:v>
      </x:c>
      <x:c r="L2354" s="28" t="n">
        <x:v>44</x:v>
      </x:c>
      <x:c r="M2354" s="28" t="n">
        <x:v>38</x:v>
      </x:c>
      <x:c r="N2354" s="28" t="n">
        <x:v>1.862645149230957e-9</x:v>
      </x:c>
      <x:c r="O2354" s="28" t="n">
        <x:v>2.9802322387695312e-8</x:v>
      </x:c>
      <x:c r="P2354" s="28" t="n">
        <x:v>0</x:v>
      </x:c>
      <x:c r="Q2354" s="62" t="b">
        <x:v>1</x:v>
      </x:c>
      <x:c r="R2354" s="28" t="n">
        <x:v>0</x:v>
      </x:c>
      <x:c r="S2354" s="28" t="str">
        <x:v>1a2053a627e37294</x:v>
      </x:c>
    </x:row>
    <x:row r="2355" ht="21" customHeight="1">
      <x:c r="A2355" s="60" t="n">
        <x:v>0.69</x:v>
      </x:c>
      <x:c r="B2355" s="28" t="str">
        <x:v>middle_flat</x:v>
      </x:c>
      <x:c r="C2355" s="60" t="n">
        <x:v>0.8</x:v>
      </x:c>
      <x:c r="D2355" s="60" t="n">
        <x:v>0.8</x:v>
      </x:c>
      <x:c r="E2355" s="62" t="b">
        <x:v>1</x:v>
      </x:c>
      <x:c r="F2355" s="62" t="b">
        <x:v>0</x:v>
      </x:c>
      <x:c r="G2355" s="85" t="n">
        <x:v>11276891.460048245</x:v>
      </x:c>
      <x:c r="H2355" s="85" t="n">
        <x:v>57746888.72454897</x:v>
      </x:c>
      <x:c r="I2355" s="85" t="n">
        <x:v>58949013.6986301</x:v>
      </x:c>
      <x:c r="J2355" s="85" t="n">
        <x:v>63000000.000000015</x:v>
      </x:c>
      <x:c r="K2355" s="85" t="n">
        <x:v>379896.0430356116</x:v>
      </x:c>
      <x:c r="L2355" s="28" t="n">
        <x:v>44</x:v>
      </x:c>
      <x:c r="M2355" s="28" t="n">
        <x:v>38</x:v>
      </x:c>
      <x:c r="N2355" s="28" t="n">
        <x:v>3.725290298461914e-9</x:v>
      </x:c>
      <x:c r="O2355" s="28" t="n">
        <x:v>1.4901161193847656e-8</x:v>
      </x:c>
      <x:c r="P2355" s="28" t="n">
        <x:v>0</x:v>
      </x:c>
      <x:c r="Q2355" s="62" t="b">
        <x:v>1</x:v>
      </x:c>
      <x:c r="R2355" s="28" t="n">
        <x:v>0</x:v>
      </x:c>
      <x:c r="S2355" s="28" t="str">
        <x:v>1c5af14e32e62484</x:v>
      </x:c>
    </x:row>
    <x:row r="2356" ht="21" customHeight="1">
      <x:c r="A2356" s="60" t="n">
        <x:v>0.69</x:v>
      </x:c>
      <x:c r="B2356" s="28" t="str">
        <x:v>middle_flat</x:v>
      </x:c>
      <x:c r="C2356" s="60" t="n">
        <x:v>0.85</x:v>
      </x:c>
      <x:c r="D2356" s="60" t="n">
        <x:v>0.85</x:v>
      </x:c>
      <x:c r="E2356" s="62" t="b">
        <x:v>1</x:v>
      </x:c>
      <x:c r="F2356" s="62" t="b">
        <x:v>0</x:v>
      </x:c>
      <x:c r="G2356" s="85" t="n">
        <x:v>14090018.880873276</x:v>
      </x:c>
      <x:c r="H2356" s="85" t="n">
        <x:v>69425745.50825454</x:v>
      </x:c>
      <x:c r="I2356" s="85" t="n">
        <x:v>58958999.73856435</x:v>
      </x:c>
      <x:c r="J2356" s="85" t="n">
        <x:v>63000000.000000015</x:v>
      </x:c>
      <x:c r="K2356" s="85" t="n">
        <x:v>354368.633824656</x:v>
      </x:c>
      <x:c r="L2356" s="28" t="n">
        <x:v>44</x:v>
      </x:c>
      <x:c r="M2356" s="28" t="n">
        <x:v>40</x:v>
      </x:c>
      <x:c r="N2356" s="28" t="n">
        <x:v>1.862645149230957e-9</x:v>
      </x:c>
      <x:c r="O2356" s="28" t="n">
        <x:v>2.9802322387695312e-8</x:v>
      </x:c>
      <x:c r="P2356" s="28" t="n">
        <x:v>0</x:v>
      </x:c>
      <x:c r="Q2356" s="62" t="b">
        <x:v>1</x:v>
      </x:c>
      <x:c r="R2356" s="28" t="n">
        <x:v>0</x:v>
      </x:c>
      <x:c r="S2356" s="28" t="str">
        <x:v>66c448e0f2fbe4be</x:v>
      </x:c>
    </x:row>
    <x:row r="2357" ht="21" customHeight="1">
      <x:c r="A2357" s="60" t="n">
        <x:v>0.69</x:v>
      </x:c>
      <x:c r="B2357" s="28" t="str">
        <x:v>middle_flat</x:v>
      </x:c>
      <x:c r="C2357" s="60" t="n">
        <x:v>0.9</x:v>
      </x:c>
      <x:c r="D2357" s="60" t="n">
        <x:v>0.9</x:v>
      </x:c>
      <x:c r="E2357" s="62" t="b">
        <x:v>1</x:v>
      </x:c>
      <x:c r="F2357" s="62" t="b">
        <x:v>0</x:v>
      </x:c>
      <x:c r="G2357" s="85" t="n">
        <x:v>19589861.00035128</x:v>
      </x:c>
      <x:c r="H2357" s="85" t="n">
        <x:v>77245069.64912428</x:v>
      </x:c>
      <x:c r="I2357" s="85" t="n">
        <x:v>60298767.12328763</x:v>
      </x:c>
      <x:c r="J2357" s="85" t="n">
        <x:v>63000000.000000015</x:v>
      </x:c>
      <x:c r="K2357" s="85" t="n">
        <x:v>328841.2246137012</x:v>
      </x:c>
      <x:c r="L2357" s="28" t="n">
        <x:v>45</x:v>
      </x:c>
      <x:c r="M2357" s="28" t="n">
        <x:v>40</x:v>
      </x:c>
      <x:c r="N2357" s="28" t="n">
        <x:v>1.862645149230957e-9</x:v>
      </x:c>
      <x:c r="O2357" s="28" t="n">
        <x:v>2.9802322387695312e-8</x:v>
      </x:c>
      <x:c r="P2357" s="28" t="n">
        <x:v>0</x:v>
      </x:c>
      <x:c r="Q2357" s="62" t="b">
        <x:v>1</x:v>
      </x:c>
      <x:c r="R2357" s="28" t="n">
        <x:v>0</x:v>
      </x:c>
      <x:c r="S2357" s="28" t="str">
        <x:v>27639fce131f70f5</x:v>
      </x:c>
    </x:row>
    <x:row r="2358" ht="21" customHeight="1">
      <x:c r="A2358" s="60" t="n">
        <x:v>0.69</x:v>
      </x:c>
      <x:c r="B2358" s="28" t="str">
        <x:v>middle_flat</x:v>
      </x:c>
      <x:c r="C2358" s="60" t="n">
        <x:v>0.95</x:v>
      </x:c>
      <x:c r="D2358" s="60" t="n">
        <x:v>0.9361238209331334</x:v>
      </x:c>
      <x:c r="E2358" s="62" t="b">
        <x:v>0</x:v>
      </x:c>
      <x:c r="F2358" s="62" t="b">
        <x:v>0</x:v>
      </x:c>
      <x:c r="G2358" s="85" t="n">
        <x:v>22014180.161330823</x:v>
      </x:c>
      <x:c r="H2358" s="85" t="n">
        <x:v>83348987.1673971</x:v>
      </x:c>
      <x:c r="I2358" s="85" t="n">
        <x:v>60320772.823079415</x:v>
      </x:c>
      <x:c r="J2358" s="85" t="n">
        <x:v>63000000.000000015</x:v>
      </x:c>
      <x:c r="K2358" s="85" t="n">
        <x:v>303313.8154027409</x:v>
      </x:c>
      <x:c r="L2358" s="28" t="n">
        <x:v>45</x:v>
      </x:c>
      <x:c r="M2358" s="28" t="n">
        <x:v>40</x:v>
      </x:c>
      <x:c r="N2358" s="28" t="n">
        <x:v>1.862645149230957e-9</x:v>
      </x:c>
      <x:c r="O2358" s="28" t="n">
        <x:v>1.4901161193847656e-8</x:v>
      </x:c>
      <x:c r="P2358" s="28" t="n">
        <x:v>0</x:v>
      </x:c>
      <x:c r="Q2358" s="62" t="b">
        <x:v>1</x:v>
      </x:c>
      <x:c r="R2358" s="28" t="n">
        <x:v>4162853.720059991</x:v>
      </x:c>
      <x:c r="S2358" s="28" t="str">
        <x:v>d10823c7c9b1de80</x:v>
      </x:c>
    </x:row>
    <x:row r="2359" ht="21" customHeight="1">
      <x:c r="A2359" s="60" t="n">
        <x:v>0.69</x:v>
      </x:c>
      <x:c r="B2359" s="28" t="str">
        <x:v>middle_flat</x:v>
      </x:c>
      <x:c r="C2359" s="60" t="n">
        <x:v>1</x:v>
      </x:c>
      <x:c r="D2359" s="60" t="n">
        <x:v>0.9498342654879072</x:v>
      </x:c>
      <x:c r="E2359" s="62" t="b">
        <x:v>0</x:v>
      </x:c>
      <x:c r="F2359" s="62" t="b">
        <x:v>0</x:v>
      </x:c>
      <x:c r="G2359" s="85" t="n">
        <x:v>23809986.84748017</x:v>
      </x:c>
      <x:c r="H2359" s="85" t="n">
        <x:v>86515402.37456957</x:v>
      </x:c>
      <x:c r="I2359" s="85" t="n">
        <x:v>60345908.366904065</x:v>
      </x:c>
      <x:c r="J2359" s="85" t="n">
        <x:v>63000000.000000015</x:v>
      </x:c>
      <x:c r="K2359" s="85" t="n">
        <x:v>277786.4061917871</x:v>
      </x:c>
      <x:c r="L2359" s="28" t="n">
        <x:v>45</x:v>
      </x:c>
      <x:c r="M2359" s="28" t="n">
        <x:v>40</x:v>
      </x:c>
      <x:c r="N2359" s="28" t="n">
        <x:v>1.862645149230957e-9</x:v>
      </x:c>
      <x:c r="O2359" s="28" t="n">
        <x:v>1.4901161193847656e-8</x:v>
      </x:c>
      <x:c r="P2359" s="28" t="n">
        <x:v>0</x:v>
      </x:c>
      <x:c r="Q2359" s="62" t="b">
        <x:v>1</x:v>
      </x:c>
      <x:c r="R2359" s="28" t="n">
        <x:v>15049720.35362786</x:v>
      </x:c>
      <x:c r="S2359" s="28" t="str">
        <x:v>9f4c098cf0f9c7fb</x:v>
      </x:c>
    </x:row>
    <x:row r="2360" ht="21" customHeight="1">
      <x:c r="A2360" s="60" t="n">
        <x:v>0.69</x:v>
      </x:c>
      <x:c r="B2360" s="28" t="str">
        <x:v>middle_low</x:v>
      </x:c>
      <x:c r="C2360" s="60" t="n">
        <x:v>0</x:v>
      </x:c>
      <x:c r="D2360" s="60" t="n">
        <x:v>0</x:v>
      </x:c>
      <x:c r="E2360" s="62" t="b">
        <x:v>1</x:v>
      </x:c>
      <x:c r="F2360" s="62" t="b">
        <x:v>1</x:v>
      </x:c>
      <x:c r="G2360" s="85" t="n">
        <x:v>0</x:v>
      </x:c>
      <x:c r="H2360" s="85" t="n">
        <x:v>0</x:v>
      </x:c>
      <x:c r="I2360" s="85" t="n">
        <x:v>0</x:v>
      </x:c>
      <x:c r="J2360" s="85" t="n">
        <x:v>0</x:v>
      </x:c>
      <x:c r="K2360" s="85" t="n">
        <x:v>32434864.01164384</x:v>
      </x:c>
      <x:c r="L2360" s="28" t="n">
        <x:v>0</x:v>
      </x:c>
      <x:c r="M2360" s="28" t="n">
        <x:v>0</x:v>
      </x:c>
      <x:c r="N2360" s="28" t="n">
        <x:v>3.725290298461914e-9</x:v>
      </x:c>
      <x:c r="O2360" s="28" t="n">
        <x:v>0</x:v>
      </x:c>
      <x:c r="P2360" s="28" t="n">
        <x:v>0</x:v>
      </x:c>
      <x:c r="Q2360" s="62" t="b">
        <x:v>1</x:v>
      </x:c>
      <x:c r="R2360" s="28" t="n">
        <x:v>0</x:v>
      </x:c>
      <x:c r="S2360" s="28" t="str">
        <x:v>c90e62642e49eb8e</x:v>
      </x:c>
    </x:row>
    <x:row r="2361" ht="21" customHeight="1">
      <x:c r="A2361" s="60" t="n">
        <x:v>0.69</x:v>
      </x:c>
      <x:c r="B2361" s="28" t="str">
        <x:v>middle_low</x:v>
      </x:c>
      <x:c r="C2361" s="60" t="n">
        <x:v>0.05</x:v>
      </x:c>
      <x:c r="D2361" s="60" t="n">
        <x:v>0.05</x:v>
      </x:c>
      <x:c r="E2361" s="62" t="b">
        <x:v>1</x:v>
      </x:c>
      <x:c r="F2361" s="62" t="b">
        <x:v>1</x:v>
      </x:c>
      <x:c r="G2361" s="85" t="n">
        <x:v>0</x:v>
      </x:c>
      <x:c r="H2361" s="85" t="n">
        <x:v>0</x:v>
      </x:c>
      <x:c r="I2361" s="85" t="n">
        <x:v>0</x:v>
      </x:c>
      <x:c r="J2361" s="85" t="n">
        <x:v>0</x:v>
      </x:c>
      <x:c r="K2361" s="85" t="n">
        <x:v>21706142.406351507</x:v>
      </x:c>
      <x:c r="L2361" s="28" t="n">
        <x:v>0</x:v>
      </x:c>
      <x:c r="M2361" s="28" t="n">
        <x:v>0</x:v>
      </x:c>
      <x:c r="N2361" s="28" t="n">
        <x:v>3.725290298461914e-9</x:v>
      </x:c>
      <x:c r="O2361" s="28" t="n">
        <x:v>2.9802322387695312e-8</x:v>
      </x:c>
      <x:c r="P2361" s="28" t="n">
        <x:v>0</x:v>
      </x:c>
      <x:c r="Q2361" s="62" t="b">
        <x:v>1</x:v>
      </x:c>
      <x:c r="R2361" s="28" t="n">
        <x:v>0</x:v>
      </x:c>
      <x:c r="S2361" s="28" t="str">
        <x:v>2f07d2255861f2ea</x:v>
      </x:c>
    </x:row>
    <x:row r="2362" ht="21" customHeight="1">
      <x:c r="A2362" s="60" t="n">
        <x:v>0.69</x:v>
      </x:c>
      <x:c r="B2362" s="28" t="str">
        <x:v>middle_low</x:v>
      </x:c>
      <x:c r="C2362" s="60" t="n">
        <x:v>0.1</x:v>
      </x:c>
      <x:c r="D2362" s="60" t="n">
        <x:v>0.1</x:v>
      </x:c>
      <x:c r="E2362" s="62" t="b">
        <x:v>1</x:v>
      </x:c>
      <x:c r="F2362" s="62" t="b">
        <x:v>1</x:v>
      </x:c>
      <x:c r="G2362" s="85" t="n">
        <x:v>0</x:v>
      </x:c>
      <x:c r="H2362" s="85" t="n">
        <x:v>0</x:v>
      </x:c>
      <x:c r="I2362" s="85" t="n">
        <x:v>0</x:v>
      </x:c>
      <x:c r="J2362" s="85" t="n">
        <x:v>0</x:v>
      </x:c>
      <x:c r="K2362" s="85" t="n">
        <x:v>10893536.00562305</x:v>
      </x:c>
      <x:c r="L2362" s="28" t="n">
        <x:v>0</x:v>
      </x:c>
      <x:c r="M2362" s="28" t="n">
        <x:v>0</x:v>
      </x:c>
      <x:c r="N2362" s="28" t="n">
        <x:v>1.862645149230957e-9</x:v>
      </x:c>
      <x:c r="O2362" s="28" t="n">
        <x:v>5.960464477539063e-8</x:v>
      </x:c>
      <x:c r="P2362" s="28" t="n">
        <x:v>0</x:v>
      </x:c>
      <x:c r="Q2362" s="62" t="b">
        <x:v>1</x:v>
      </x:c>
      <x:c r="R2362" s="28" t="n">
        <x:v>0</x:v>
      </x:c>
      <x:c r="S2362" s="28" t="str">
        <x:v>2607c3ba714f4f18</x:v>
      </x:c>
    </x:row>
    <x:row r="2363" ht="21" customHeight="1">
      <x:c r="A2363" s="60" t="n">
        <x:v>0.69</x:v>
      </x:c>
      <x:c r="B2363" s="28" t="str">
        <x:v>middle_low</x:v>
      </x:c>
      <x:c r="C2363" s="60" t="n">
        <x:v>0.15</x:v>
      </x:c>
      <x:c r="D2363" s="60" t="n">
        <x:v>0.15</x:v>
      </x:c>
      <x:c r="E2363" s="62" t="b">
        <x:v>1</x:v>
      </x:c>
      <x:c r="F2363" s="62" t="b">
        <x:v>1</x:v>
      </x:c>
      <x:c r="G2363" s="85" t="n">
        <x:v>0</x:v>
      </x:c>
      <x:c r="H2363" s="85" t="n">
        <x:v>0</x:v>
      </x:c>
      <x:c r="I2363" s="85" t="n">
        <x:v>931480.8356015747</x:v>
      </x:c>
      <x:c r="J2363" s="85" t="n">
        <x:v>0</x:v>
      </x:c>
      <x:c r="K2363" s="85" t="n">
        <x:v>1638255.3948629082</x:v>
      </x:c>
      <x:c r="L2363" s="28" t="n">
        <x:v>0</x:v>
      </x:c>
      <x:c r="M2363" s="28" t="n">
        <x:v>0</x:v>
      </x:c>
      <x:c r="N2363" s="28" t="n">
        <x:v>1.862645149230957e-9</x:v>
      </x:c>
      <x:c r="O2363" s="28" t="n">
        <x:v>2.9802322387695312e-8</x:v>
      </x:c>
      <x:c r="P2363" s="28" t="n">
        <x:v>0</x:v>
      </x:c>
      <x:c r="Q2363" s="62" t="b">
        <x:v>1</x:v>
      </x:c>
      <x:c r="R2363" s="28" t="n">
        <x:v>0</x:v>
      </x:c>
      <x:c r="S2363" s="28" t="str">
        <x:v>41c7d6932eed5aee</x:v>
      </x:c>
    </x:row>
    <x:row r="2364" ht="21" customHeight="1">
      <x:c r="A2364" s="60" t="n">
        <x:v>0.69</x:v>
      </x:c>
      <x:c r="B2364" s="28" t="str">
        <x:v>middle_low</x:v>
      </x:c>
      <x:c r="C2364" s="60" t="n">
        <x:v>0.2</x:v>
      </x:c>
      <x:c r="D2364" s="60" t="n">
        <x:v>0.2</x:v>
      </x:c>
      <x:c r="E2364" s="62" t="b">
        <x:v>1</x:v>
      </x:c>
      <x:c r="F2364" s="62" t="b">
        <x:v>1</x:v>
      </x:c>
      <x:c r="G2364" s="85" t="n">
        <x:v>0</x:v>
      </x:c>
      <x:c r="H2364" s="85" t="n">
        <x:v>0</x:v>
      </x:c>
      <x:c r="I2364" s="85" t="n">
        <x:v>6934417.556097729</x:v>
      </x:c>
      <x:c r="J2364" s="85" t="n">
        <x:v>6318282.052720841</x:v>
      </x:c>
      <x:c r="K2364" s="85" t="n">
        <x:v>1323662.7988392084</x:v>
      </x:c>
      <x:c r="L2364" s="28" t="n">
        <x:v>0</x:v>
      </x:c>
      <x:c r="M2364" s="28" t="n">
        <x:v>0</x:v>
      </x:c>
      <x:c r="N2364" s="28" t="n">
        <x:v>1.862645149230957e-9</x:v>
      </x:c>
      <x:c r="O2364" s="28" t="n">
        <x:v>2.9802322387695312e-8</x:v>
      </x:c>
      <x:c r="P2364" s="28" t="n">
        <x:v>0</x:v>
      </x:c>
      <x:c r="Q2364" s="62" t="b">
        <x:v>1</x:v>
      </x:c>
      <x:c r="R2364" s="28" t="n">
        <x:v>0</x:v>
      </x:c>
      <x:c r="S2364" s="28" t="str">
        <x:v>b09855adcba314f0</x:v>
      </x:c>
    </x:row>
    <x:row r="2365" ht="21" customHeight="1">
      <x:c r="A2365" s="60" t="n">
        <x:v>0.69</x:v>
      </x:c>
      <x:c r="B2365" s="28" t="str">
        <x:v>middle_low</x:v>
      </x:c>
      <x:c r="C2365" s="60" t="n">
        <x:v>0.25</x:v>
      </x:c>
      <x:c r="D2365" s="60" t="n">
        <x:v>0.25</x:v>
      </x:c>
      <x:c r="E2365" s="62" t="b">
        <x:v>1</x:v>
      </x:c>
      <x:c r="F2365" s="62" t="b">
        <x:v>1</x:v>
      </x:c>
      <x:c r="G2365" s="85" t="n">
        <x:v>0</x:v>
      </x:c>
      <x:c r="H2365" s="85" t="n">
        <x:v>0</x:v>
      </x:c>
      <x:c r="I2365" s="85" t="n">
        <x:v>10883109.994469147</x:v>
      </x:c>
      <x:c r="J2365" s="85" t="n">
        <x:v>15397852.56590101</x:v>
      </x:c>
      <x:c r="K2365" s="85" t="n">
        <x:v>1086297.6603648616</x:v>
      </x:c>
      <x:c r="L2365" s="28" t="n">
        <x:v>0</x:v>
      </x:c>
      <x:c r="M2365" s="28" t="n">
        <x:v>0</x:v>
      </x:c>
      <x:c r="N2365" s="28" t="n">
        <x:v>9.313225746154785e-10</x:v>
      </x:c>
      <x:c r="O2365" s="28" t="n">
        <x:v>2.9802322387695312e-8</x:v>
      </x:c>
      <x:c r="P2365" s="28" t="n">
        <x:v>0</x:v>
      </x:c>
      <x:c r="Q2365" s="62" t="b">
        <x:v>1</x:v>
      </x:c>
      <x:c r="R2365" s="28" t="n">
        <x:v>0</x:v>
      </x:c>
      <x:c r="S2365" s="28" t="str">
        <x:v>c451b7c06eebd53e</x:v>
      </x:c>
    </x:row>
    <x:row r="2366" ht="21" customHeight="1">
      <x:c r="A2366" s="60" t="n">
        <x:v>0.69</x:v>
      </x:c>
      <x:c r="B2366" s="28" t="str">
        <x:v>middle_low</x:v>
      </x:c>
      <x:c r="C2366" s="60" t="n">
        <x:v>0.3</x:v>
      </x:c>
      <x:c r="D2366" s="60" t="n">
        <x:v>0.3</x:v>
      </x:c>
      <x:c r="E2366" s="62" t="b">
        <x:v>1</x:v>
      </x:c>
      <x:c r="F2366" s="62" t="b">
        <x:v>1</x:v>
      </x:c>
      <x:c r="G2366" s="85" t="n">
        <x:v>0</x:v>
      </x:c>
      <x:c r="H2366" s="85" t="n">
        <x:v>0</x:v>
      </x:c>
      <x:c r="I2366" s="85" t="n">
        <x:v>15423317.519909695</x:v>
      </x:c>
      <x:c r="J2366" s="85" t="n">
        <x:v>23668934.028838634</x:v>
      </x:c>
      <x:c r="K2366" s="85" t="n">
        <x:v>908967.1976433193</x:v>
      </x:c>
      <x:c r="L2366" s="28" t="n">
        <x:v>1</x:v>
      </x:c>
      <x:c r="M2366" s="28" t="n">
        <x:v>0</x:v>
      </x:c>
      <x:c r="N2366" s="28" t="n">
        <x:v>1.862645149230957e-9</x:v>
      </x:c>
      <x:c r="O2366" s="28" t="n">
        <x:v>2.9802322387695312e-8</x:v>
      </x:c>
      <x:c r="P2366" s="28" t="n">
        <x:v>0</x:v>
      </x:c>
      <x:c r="Q2366" s="62" t="b">
        <x:v>1</x:v>
      </x:c>
      <x:c r="R2366" s="28" t="n">
        <x:v>0</x:v>
      </x:c>
      <x:c r="S2366" s="28" t="str">
        <x:v>8f0ec8ac458f760b</x:v>
      </x:c>
    </x:row>
    <x:row r="2367" ht="21" customHeight="1">
      <x:c r="A2367" s="60" t="n">
        <x:v>0.69</x:v>
      </x:c>
      <x:c r="B2367" s="28" t="str">
        <x:v>middle_low</x:v>
      </x:c>
      <x:c r="C2367" s="60" t="n">
        <x:v>0.35</x:v>
      </x:c>
      <x:c r="D2367" s="60" t="n">
        <x:v>0.35</x:v>
      </x:c>
      <x:c r="E2367" s="62" t="b">
        <x:v>1</x:v>
      </x:c>
      <x:c r="F2367" s="62" t="b">
        <x:v>1</x:v>
      </x:c>
      <x:c r="G2367" s="85" t="n">
        <x:v>0</x:v>
      </x:c>
      <x:c r="H2367" s="85" t="n">
        <x:v>0</x:v>
      </x:c>
      <x:c r="I2367" s="85" t="n">
        <x:v>21980696.587436218</x:v>
      </x:c>
      <x:c r="J2367" s="85" t="n">
        <x:v>28642417.315205768</x:v>
      </x:c>
      <x:c r="K2367" s="85" t="n">
        <x:v>765972.9883499857</x:v>
      </x:c>
      <x:c r="L2367" s="28" t="n">
        <x:v>7</x:v>
      </x:c>
      <x:c r="M2367" s="28" t="n">
        <x:v>0</x:v>
      </x:c>
      <x:c r="N2367" s="28" t="n">
        <x:v>3.725290298461914e-9</x:v>
      </x:c>
      <x:c r="O2367" s="28" t="n">
        <x:v>2.9802322387695312e-8</x:v>
      </x:c>
      <x:c r="P2367" s="28" t="n">
        <x:v>0</x:v>
      </x:c>
      <x:c r="Q2367" s="62" t="b">
        <x:v>1</x:v>
      </x:c>
      <x:c r="R2367" s="28" t="n">
        <x:v>0</x:v>
      </x:c>
      <x:c r="S2367" s="28" t="str">
        <x:v>b8d3913998909c01</x:v>
      </x:c>
    </x:row>
    <x:row r="2368" ht="21" customHeight="1">
      <x:c r="A2368" s="60" t="n">
        <x:v>0.69</x:v>
      </x:c>
      <x:c r="B2368" s="28" t="str">
        <x:v>middle_low</x:v>
      </x:c>
      <x:c r="C2368" s="60" t="n">
        <x:v>0.4</x:v>
      </x:c>
      <x:c r="D2368" s="60" t="n">
        <x:v>0.4</x:v>
      </x:c>
      <x:c r="E2368" s="62" t="b">
        <x:v>1</x:v>
      </x:c>
      <x:c r="F2368" s="62" t="b">
        <x:v>1</x:v>
      </x:c>
      <x:c r="G2368" s="85" t="n">
        <x:v>0</x:v>
      </x:c>
      <x:c r="H2368" s="85" t="n">
        <x:v>0</x:v>
      </x:c>
      <x:c r="I2368" s="85" t="n">
        <x:v>27615478.590941783</x:v>
      </x:c>
      <x:c r="J2368" s="85" t="n">
        <x:v>35201812.76569443</x:v>
      </x:c>
      <x:c r="K2368" s="85" t="n">
        <x:v>664492.1633980264</x:v>
      </x:c>
      <x:c r="L2368" s="28" t="n">
        <x:v>12</x:v>
      </x:c>
      <x:c r="M2368" s="28" t="n">
        <x:v>0</x:v>
      </x:c>
      <x:c r="N2368" s="28" t="n">
        <x:v>1.862645149230957e-9</x:v>
      </x:c>
      <x:c r="O2368" s="28" t="n">
        <x:v>2.9802322387695312e-8</x:v>
      </x:c>
      <x:c r="P2368" s="28" t="n">
        <x:v>0</x:v>
      </x:c>
      <x:c r="Q2368" s="62" t="b">
        <x:v>1</x:v>
      </x:c>
      <x:c r="R2368" s="28" t="n">
        <x:v>0</x:v>
      </x:c>
      <x:c r="S2368" s="28" t="str">
        <x:v>736383389a5e546c</x:v>
      </x:c>
    </x:row>
    <x:row r="2369" ht="21" customHeight="1">
      <x:c r="A2369" s="60" t="n">
        <x:v>0.69</x:v>
      </x:c>
      <x:c r="B2369" s="28" t="str">
        <x:v>middle_low</x:v>
      </x:c>
      <x:c r="C2369" s="60" t="n">
        <x:v>0.45</x:v>
      </x:c>
      <x:c r="D2369" s="60" t="n">
        <x:v>0.45</x:v>
      </x:c>
      <x:c r="E2369" s="62" t="b">
        <x:v>1</x:v>
      </x:c>
      <x:c r="F2369" s="62" t="b">
        <x:v>1</x:v>
      </x:c>
      <x:c r="G2369" s="85" t="n">
        <x:v>0</x:v>
      </x:c>
      <x:c r="H2369" s="85" t="n">
        <x:v>0</x:v>
      </x:c>
      <x:c r="I2369" s="85" t="n">
        <x:v>32106557.313814756</x:v>
      </x:c>
      <x:c r="J2369" s="85" t="n">
        <x:v>43528697.53813717</x:v>
      </x:c>
      <x:c r="K2369" s="85" t="n">
        <x:v>563123.4479616391</x:v>
      </x:c>
      <x:c r="L2369" s="28" t="n">
        <x:v>15</x:v>
      </x:c>
      <x:c r="M2369" s="28" t="n">
        <x:v>0</x:v>
      </x:c>
      <x:c r="N2369" s="28" t="n">
        <x:v>1.862645149230957e-9</x:v>
      </x:c>
      <x:c r="O2369" s="28" t="n">
        <x:v>2.9802322387695312e-8</x:v>
      </x:c>
      <x:c r="P2369" s="28" t="n">
        <x:v>0</x:v>
      </x:c>
      <x:c r="Q2369" s="62" t="b">
        <x:v>1</x:v>
      </x:c>
      <x:c r="R2369" s="28" t="n">
        <x:v>0</x:v>
      </x:c>
      <x:c r="S2369" s="28" t="str">
        <x:v>be2fc6b56a3eae55</x:v>
      </x:c>
    </x:row>
    <x:row r="2370" ht="21" customHeight="1">
      <x:c r="A2370" s="60" t="n">
        <x:v>0.69</x:v>
      </x:c>
      <x:c r="B2370" s="28" t="str">
        <x:v>middle_low</x:v>
      </x:c>
      <x:c r="C2370" s="60" t="n">
        <x:v>0.5</x:v>
      </x:c>
      <x:c r="D2370" s="60" t="n">
        <x:v>0.5</x:v>
      </x:c>
      <x:c r="E2370" s="62" t="b">
        <x:v>1</x:v>
      </x:c>
      <x:c r="F2370" s="62" t="b">
        <x:v>1</x:v>
      </x:c>
      <x:c r="G2370" s="85" t="n">
        <x:v>0</x:v>
      </x:c>
      <x:c r="H2370" s="85" t="n">
        <x:v>0</x:v>
      </x:c>
      <x:c r="I2370" s="85" t="n">
        <x:v>36299867.344473094</x:v>
      </x:c>
      <x:c r="J2370" s="85" t="n">
        <x:v>52349461.318462804</x:v>
      </x:c>
      <x:c r="K2370" s="85" t="n">
        <x:v>516234.3310684935</x:v>
      </x:c>
      <x:c r="L2370" s="28" t="n">
        <x:v>18</x:v>
      </x:c>
      <x:c r="M2370" s="28" t="n">
        <x:v>0</x:v>
      </x:c>
      <x:c r="N2370" s="28" t="n">
        <x:v>1.862645149230957e-9</x:v>
      </x:c>
      <x:c r="O2370" s="28" t="n">
        <x:v>1.4901161193847656e-8</x:v>
      </x:c>
      <x:c r="P2370" s="28" t="n">
        <x:v>0</x:v>
      </x:c>
      <x:c r="Q2370" s="62" t="b">
        <x:v>1</x:v>
      </x:c>
      <x:c r="R2370" s="28" t="n">
        <x:v>0</x:v>
      </x:c>
      <x:c r="S2370" s="28" t="str">
        <x:v>bd92feba1d3a08c6</x:v>
      </x:c>
    </x:row>
    <x:row r="2371" ht="21" customHeight="1">
      <x:c r="A2371" s="60" t="n">
        <x:v>0.69</x:v>
      </x:c>
      <x:c r="B2371" s="28" t="str">
        <x:v>middle_low</x:v>
      </x:c>
      <x:c r="C2371" s="60" t="n">
        <x:v>0.55</x:v>
      </x:c>
      <x:c r="D2371" s="60" t="n">
        <x:v>0.55</x:v>
      </x:c>
      <x:c r="E2371" s="62" t="b">
        <x:v>1</x:v>
      </x:c>
      <x:c r="F2371" s="62" t="b">
        <x:v>1</x:v>
      </x:c>
      <x:c r="G2371" s="85" t="n">
        <x:v>0</x:v>
      </x:c>
      <x:c r="H2371" s="85" t="n">
        <x:v>0</x:v>
      </x:c>
      <x:c r="I2371" s="85" t="n">
        <x:v>39587207.04386812</x:v>
      </x:c>
      <x:c r="J2371" s="85" t="n">
        <x:v>62397665.75665005</x:v>
      </x:c>
      <x:c r="K2371" s="85" t="n">
        <x:v>469345.2141753414</x:v>
      </x:c>
      <x:c r="L2371" s="28" t="n">
        <x:v>24</x:v>
      </x:c>
      <x:c r="M2371" s="28" t="n">
        <x:v>0</x:v>
      </x:c>
      <x:c r="N2371" s="28" t="n">
        <x:v>1.862645149230957e-9</x:v>
      </x:c>
      <x:c r="O2371" s="28" t="n">
        <x:v>2.9802322387695312e-8</x:v>
      </x:c>
      <x:c r="P2371" s="28" t="n">
        <x:v>0</x:v>
      </x:c>
      <x:c r="Q2371" s="62" t="b">
        <x:v>1</x:v>
      </x:c>
      <x:c r="R2371" s="28" t="n">
        <x:v>0</x:v>
      </x:c>
      <x:c r="S2371" s="28" t="str">
        <x:v>eaa6dcd13874e07a</x:v>
      </x:c>
    </x:row>
    <x:row r="2372" ht="21" customHeight="1">
      <x:c r="A2372" s="60" t="n">
        <x:v>0.69</x:v>
      </x:c>
      <x:c r="B2372" s="28" t="str">
        <x:v>middle_low</x:v>
      </x:c>
      <x:c r="C2372" s="60" t="n">
        <x:v>0.6</x:v>
      </x:c>
      <x:c r="D2372" s="60" t="n">
        <x:v>0.6</x:v>
      </x:c>
      <x:c r="E2372" s="62" t="b">
        <x:v>1</x:v>
      </x:c>
      <x:c r="F2372" s="62" t="b">
        <x:v>0</x:v>
      </x:c>
      <x:c r="G2372" s="85" t="n">
        <x:v>608179.1900385502</x:v>
      </x:c>
      <x:c r="H2372" s="85" t="n">
        <x:v>9148845.908730935</x:v>
      </x:c>
      <x:c r="I2372" s="85" t="n">
        <x:v>40668657.53424658</x:v>
      </x:c>
      <x:c r="J2372" s="85" t="n">
        <x:v>63000000.000000015</x:v>
      </x:c>
      <x:c r="K2372" s="85" t="n">
        <x:v>422456.0972821907</x:v>
      </x:c>
      <x:c r="L2372" s="28" t="n">
        <x:v>43</x:v>
      </x:c>
      <x:c r="M2372" s="28" t="n">
        <x:v>29</x:v>
      </x:c>
      <x:c r="N2372" s="28" t="n">
        <x:v>1.862645149230957e-9</x:v>
      </x:c>
      <x:c r="O2372" s="28" t="n">
        <x:v>2.9802322387695312e-8</x:v>
      </x:c>
      <x:c r="P2372" s="28" t="n">
        <x:v>0</x:v>
      </x:c>
      <x:c r="Q2372" s="62" t="b">
        <x:v>1</x:v>
      </x:c>
      <x:c r="R2372" s="28" t="n">
        <x:v>0</x:v>
      </x:c>
      <x:c r="S2372" s="28" t="str">
        <x:v>068f8400da91c369</x:v>
      </x:c>
    </x:row>
    <x:row r="2373" ht="21" customHeight="1">
      <x:c r="A2373" s="60" t="n">
        <x:v>0.69</x:v>
      </x:c>
      <x:c r="B2373" s="28" t="str">
        <x:v>middle_low</x:v>
      </x:c>
      <x:c r="C2373" s="60" t="n">
        <x:v>0.65</x:v>
      </x:c>
      <x:c r="D2373" s="60" t="n">
        <x:v>0.65</x:v>
      </x:c>
      <x:c r="E2373" s="62" t="b">
        <x:v>1</x:v>
      </x:c>
      <x:c r="F2373" s="62" t="b">
        <x:v>0</x:v>
      </x:c>
      <x:c r="G2373" s="85" t="n">
        <x:v>1333256.2958636414</x:v>
      </x:c>
      <x:c r="H2373" s="85" t="n">
        <x:v>20089262.474170417</x:v>
      </x:c>
      <x:c r="I2373" s="85" t="n">
        <x:v>40692817.114990756</x:v>
      </x:c>
      <x:c r="J2373" s="85" t="n">
        <x:v>63000000.000000015</x:v>
      </x:c>
      <x:c r="K2373" s="85" t="n">
        <x:v>375566.9803890417</x:v>
      </x:c>
      <x:c r="L2373" s="28" t="n">
        <x:v>43</x:v>
      </x:c>
      <x:c r="M2373" s="28" t="n">
        <x:v>32</x:v>
      </x:c>
      <x:c r="N2373" s="28" t="n">
        <x:v>1.862645149230957e-9</x:v>
      </x:c>
      <x:c r="O2373" s="28" t="n">
        <x:v>2.9802322387695312e-8</x:v>
      </x:c>
      <x:c r="P2373" s="28" t="n">
        <x:v>0</x:v>
      </x:c>
      <x:c r="Q2373" s="62" t="b">
        <x:v>1</x:v>
      </x:c>
      <x:c r="R2373" s="28" t="n">
        <x:v>0</x:v>
      </x:c>
      <x:c r="S2373" s="28" t="str">
        <x:v>d7b66630666b5102</x:v>
      </x:c>
    </x:row>
    <x:row r="2374" ht="21" customHeight="1">
      <x:c r="A2374" s="60" t="n">
        <x:v>0.69</x:v>
      </x:c>
      <x:c r="B2374" s="28" t="str">
        <x:v>middle_low</x:v>
      </x:c>
      <x:c r="C2374" s="60" t="n">
        <x:v>0.7</x:v>
      </x:c>
      <x:c r="D2374" s="60" t="n">
        <x:v>0.7</x:v>
      </x:c>
      <x:c r="E2374" s="62" t="b">
        <x:v>1</x:v>
      </x:c>
      <x:c r="F2374" s="62" t="b">
        <x:v>0</x:v>
      </x:c>
      <x:c r="G2374" s="85" t="n">
        <x:v>2176971.63113499</x:v>
      </x:c>
      <x:c r="H2374" s="85" t="n">
        <x:v>29884838.538009632</x:v>
      </x:c>
      <x:c r="I2374" s="85" t="n">
        <x:v>41611068.49315069</x:v>
      </x:c>
      <x:c r="J2374" s="85" t="n">
        <x:v>63000000.000000015</x:v>
      </x:c>
      <x:c r="K2374" s="85" t="n">
        <x:v>328677.8634958895</x:v>
      </x:c>
      <x:c r="L2374" s="28" t="n">
        <x:v>44</x:v>
      </x:c>
      <x:c r="M2374" s="28" t="n">
        <x:v>34</x:v>
      </x:c>
      <x:c r="N2374" s="28" t="n">
        <x:v>1.862645149230957e-9</x:v>
      </x:c>
      <x:c r="O2374" s="28" t="n">
        <x:v>1.4901161193847656e-8</x:v>
      </x:c>
      <x:c r="P2374" s="28" t="n">
        <x:v>0</x:v>
      </x:c>
      <x:c r="Q2374" s="62" t="b">
        <x:v>1</x:v>
      </x:c>
      <x:c r="R2374" s="28" t="n">
        <x:v>0</x:v>
      </x:c>
      <x:c r="S2374" s="28" t="str">
        <x:v>887dbe249e59254a</x:v>
      </x:c>
    </x:row>
    <x:row r="2375" ht="21" customHeight="1">
      <x:c r="A2375" s="60" t="n">
        <x:v>0.69</x:v>
      </x:c>
      <x:c r="B2375" s="28" t="str">
        <x:v>middle_low</x:v>
      </x:c>
      <x:c r="C2375" s="60" t="n">
        <x:v>0.75</x:v>
      </x:c>
      <x:c r="D2375" s="60" t="n">
        <x:v>0.75</x:v>
      </x:c>
      <x:c r="E2375" s="62" t="b">
        <x:v>1</x:v>
      </x:c>
      <x:c r="F2375" s="62" t="b">
        <x:v>0</x:v>
      </x:c>
      <x:c r="G2375" s="85" t="n">
        <x:v>3081542.676114536</x:v>
      </x:c>
      <x:c r="H2375" s="85" t="n">
        <x:v>40550902.80455806</x:v>
      </x:c>
      <x:c r="I2375" s="85" t="n">
        <x:v>41611068.49315069</x:v>
      </x:c>
      <x:c r="J2375" s="85" t="n">
        <x:v>63000000.000000015</x:v>
      </x:c>
      <x:c r="K2375" s="85" t="n">
        <x:v>281788.74660274386</x:v>
      </x:c>
      <x:c r="L2375" s="28" t="n">
        <x:v>44</x:v>
      </x:c>
      <x:c r="M2375" s="28" t="n">
        <x:v>34</x:v>
      </x:c>
      <x:c r="N2375" s="28" t="n">
        <x:v>1.862645149230957e-9</x:v>
      </x:c>
      <x:c r="O2375" s="28" t="n">
        <x:v>2.9802322387695312e-8</x:v>
      </x:c>
      <x:c r="P2375" s="28" t="n">
        <x:v>0</x:v>
      </x:c>
      <x:c r="Q2375" s="62" t="b">
        <x:v>1</x:v>
      </x:c>
      <x:c r="R2375" s="28" t="n">
        <x:v>0</x:v>
      </x:c>
      <x:c r="S2375" s="28" t="str">
        <x:v>47214732f87f6186</x:v>
      </x:c>
    </x:row>
    <x:row r="2376" ht="21" customHeight="1">
      <x:c r="A2376" s="60" t="n">
        <x:v>0.69</x:v>
      </x:c>
      <x:c r="B2376" s="28" t="str">
        <x:v>middle_low</x:v>
      </x:c>
      <x:c r="C2376" s="60" t="n">
        <x:v>0.8</x:v>
      </x:c>
      <x:c r="D2376" s="60" t="n">
        <x:v>0.8</x:v>
      </x:c>
      <x:c r="E2376" s="62" t="b">
        <x:v>1</x:v>
      </x:c>
      <x:c r="F2376" s="62" t="b">
        <x:v>0</x:v>
      </x:c>
      <x:c r="G2376" s="85" t="n">
        <x:v>3968158.7427405077</x:v>
      </x:c>
      <x:c r="H2376" s="85" t="n">
        <x:v>51216608.89304663</x:v>
      </x:c>
      <x:c r="I2376" s="85" t="n">
        <x:v>41611068.49315069</x:v>
      </x:c>
      <x:c r="J2376" s="85" t="n">
        <x:v>63000000.000000015</x:v>
      </x:c>
      <x:c r="K2376" s="85" t="n">
        <x:v>255458.00314520486</x:v>
      </x:c>
      <x:c r="L2376" s="28" t="n">
        <x:v>44</x:v>
      </x:c>
      <x:c r="M2376" s="28" t="n">
        <x:v>36</x:v>
      </x:c>
      <x:c r="N2376" s="28" t="n">
        <x:v>1.862645149230957e-9</x:v>
      </x:c>
      <x:c r="O2376" s="28" t="n">
        <x:v>1.4901161193847656e-8</x:v>
      </x:c>
      <x:c r="P2376" s="28" t="n">
        <x:v>0</x:v>
      </x:c>
      <x:c r="Q2376" s="62" t="b">
        <x:v>1</x:v>
      </x:c>
      <x:c r="R2376" s="28" t="n">
        <x:v>0</x:v>
      </x:c>
      <x:c r="S2376" s="28" t="str">
        <x:v>f14c12a02d758b8d</x:v>
      </x:c>
    </x:row>
    <x:row r="2377" ht="21" customHeight="1">
      <x:c r="A2377" s="60" t="n">
        <x:v>0.69</x:v>
      </x:c>
      <x:c r="B2377" s="28" t="str">
        <x:v>middle_low</x:v>
      </x:c>
      <x:c r="C2377" s="60" t="n">
        <x:v>0.85</x:v>
      </x:c>
      <x:c r="D2377" s="60" t="n">
        <x:v>0.85</x:v>
      </x:c>
      <x:c r="E2377" s="62" t="b">
        <x:v>1</x:v>
      </x:c>
      <x:c r="F2377" s="62" t="b">
        <x:v>0</x:v>
      </x:c>
      <x:c r="G2377" s="85" t="n">
        <x:v>5154253.129065828</x:v>
      </x:c>
      <x:c r="H2377" s="85" t="n">
        <x:v>61602836.61010842</x:v>
      </x:c>
      <x:c r="I2377" s="85" t="n">
        <x:v>41611068.49315069</x:v>
      </x:c>
      <x:c r="J2377" s="85" t="n">
        <x:v>63000000.000000015</x:v>
      </x:c>
      <x:c r="K2377" s="85" t="n">
        <x:v>240891.98527671452</x:v>
      </x:c>
      <x:c r="L2377" s="28" t="n">
        <x:v>44</x:v>
      </x:c>
      <x:c r="M2377" s="28" t="n">
        <x:v>36</x:v>
      </x:c>
      <x:c r="N2377" s="28" t="n">
        <x:v>1.862645149230957e-9</x:v>
      </x:c>
      <x:c r="O2377" s="28" t="n">
        <x:v>2.9802322387695312e-8</x:v>
      </x:c>
      <x:c r="P2377" s="28" t="n">
        <x:v>0</x:v>
      </x:c>
      <x:c r="Q2377" s="62" t="b">
        <x:v>1</x:v>
      </x:c>
      <x:c r="R2377" s="28" t="n">
        <x:v>0</x:v>
      </x:c>
      <x:c r="S2377" s="28" t="str">
        <x:v>345f38df766e7969</x:v>
      </x:c>
    </x:row>
    <x:row r="2378" ht="21" customHeight="1">
      <x:c r="A2378" s="60" t="n">
        <x:v>0.69</x:v>
      </x:c>
      <x:c r="B2378" s="28" t="str">
        <x:v>middle_low</x:v>
      </x:c>
      <x:c r="C2378" s="60" t="n">
        <x:v>0.9</x:v>
      </x:c>
      <x:c r="D2378" s="60" t="n">
        <x:v>0.9</x:v>
      </x:c>
      <x:c r="E2378" s="62" t="b">
        <x:v>1</x:v>
      </x:c>
      <x:c r="F2378" s="62" t="b">
        <x:v>0</x:v>
      </x:c>
      <x:c r="G2378" s="85" t="n">
        <x:v>6320762.890821384</x:v>
      </x:c>
      <x:c r="H2378" s="85" t="n">
        <x:v>70622414.21712357</x:v>
      </x:c>
      <x:c r="I2378" s="85" t="n">
        <x:v>42563835.61643836</x:v>
      </x:c>
      <x:c r="J2378" s="85" t="n">
        <x:v>63000000.000000015</x:v>
      </x:c>
      <x:c r="K2378" s="85" t="n">
        <x:v>226325.96740821854</x:v>
      </x:c>
      <x:c r="L2378" s="28" t="n">
        <x:v>45</x:v>
      </x:c>
      <x:c r="M2378" s="28" t="n">
        <x:v>37</x:v>
      </x:c>
      <x:c r="N2378" s="28" t="n">
        <x:v>1.862645149230957e-9</x:v>
      </x:c>
      <x:c r="O2378" s="28" t="n">
        <x:v>2.9802322387695312e-8</x:v>
      </x:c>
      <x:c r="P2378" s="28" t="n">
        <x:v>0</x:v>
      </x:c>
      <x:c r="Q2378" s="62" t="b">
        <x:v>1</x:v>
      </x:c>
      <x:c r="R2378" s="28" t="n">
        <x:v>0</x:v>
      </x:c>
      <x:c r="S2378" s="28" t="str">
        <x:v>2e3a71fa9b00dd4e</x:v>
      </x:c>
    </x:row>
    <x:row r="2379" ht="21" customHeight="1">
      <x:c r="A2379" s="60" t="n">
        <x:v>0.69</x:v>
      </x:c>
      <x:c r="B2379" s="28" t="str">
        <x:v>middle_low</x:v>
      </x:c>
      <x:c r="C2379" s="60" t="n">
        <x:v>0.95</x:v>
      </x:c>
      <x:c r="D2379" s="60" t="n">
        <x:v>0.9361238209331334</x:v>
      </x:c>
      <x:c r="E2379" s="62" t="b">
        <x:v>0</x:v>
      </x:c>
      <x:c r="F2379" s="62" t="b">
        <x:v>0</x:v>
      </x:c>
      <x:c r="G2379" s="85" t="n">
        <x:v>8711171.283768175</x:v>
      </x:c>
      <x:c r="H2379" s="85" t="n">
        <x:v>76378906.97771707</x:v>
      </x:c>
      <x:c r="I2379" s="85" t="n">
        <x:v>42563835.61643836</x:v>
      </x:c>
      <x:c r="J2379" s="85" t="n">
        <x:v>63000000.000000015</x:v>
      </x:c>
      <x:c r="K2379" s="85" t="n">
        <x:v>211759.9495397249</x:v>
      </x:c>
      <x:c r="L2379" s="28" t="n">
        <x:v>45</x:v>
      </x:c>
      <x:c r="M2379" s="28" t="n">
        <x:v>38</x:v>
      </x:c>
      <x:c r="N2379" s="28" t="n">
        <x:v>1.862645149230957e-9</x:v>
      </x:c>
      <x:c r="O2379" s="28" t="n">
        <x:v>1.4901161193847656e-8</x:v>
      </x:c>
      <x:c r="P2379" s="28" t="n">
        <x:v>0</x:v>
      </x:c>
      <x:c r="Q2379" s="62" t="b">
        <x:v>1</x:v>
      </x:c>
      <x:c r="R2379" s="28" t="n">
        <x:v>4162853.720059991</x:v>
      </x:c>
      <x:c r="S2379" s="28" t="str">
        <x:v>0390fd8fdc37bc18</x:v>
      </x:c>
    </x:row>
    <x:row r="2380" ht="21" customHeight="1">
      <x:c r="A2380" s="60" t="n">
        <x:v>0.69</x:v>
      </x:c>
      <x:c r="B2380" s="28" t="str">
        <x:v>middle_low</x:v>
      </x:c>
      <x:c r="C2380" s="60" t="n">
        <x:v>1</x:v>
      </x:c>
      <x:c r="D2380" s="60" t="n">
        <x:v>0.9498342654879072</x:v>
      </x:c>
      <x:c r="E2380" s="62" t="b">
        <x:v>0</x:v>
      </x:c>
      <x:c r="F2380" s="62" t="b">
        <x:v>0</x:v>
      </x:c>
      <x:c r="G2380" s="85" t="n">
        <x:v>9431161.061412228</x:v>
      </x:c>
      <x:c r="H2380" s="85" t="n">
        <x:v>79359425.21187414</x:v>
      </x:c>
      <x:c r="I2380" s="85" t="n">
        <x:v>42563835.61643836</x:v>
      </x:c>
      <x:c r="J2380" s="85" t="n">
        <x:v>63000000.000000015</x:v>
      </x:c>
      <x:c r="K2380" s="85" t="n">
        <x:v>197193.93167123132</x:v>
      </x:c>
      <x:c r="L2380" s="28" t="n">
        <x:v>45</x:v>
      </x:c>
      <x:c r="M2380" s="28" t="n">
        <x:v>38</x:v>
      </x:c>
      <x:c r="N2380" s="28" t="n">
        <x:v>1.862645149230957e-9</x:v>
      </x:c>
      <x:c r="O2380" s="28" t="n">
        <x:v>1.4901161193847656e-8</x:v>
      </x:c>
      <x:c r="P2380" s="28" t="n">
        <x:v>0</x:v>
      </x:c>
      <x:c r="Q2380" s="62" t="b">
        <x:v>1</x:v>
      </x:c>
      <x:c r="R2380" s="28" t="n">
        <x:v>15049720.35362786</x:v>
      </x:c>
      <x:c r="S2380" s="28" t="str">
        <x:v>75b55030d128207f</x:v>
      </x:c>
    </x:row>
    <x:row r="2381" ht="21" customHeight="1">
      <x:c r="A2381" s="60" t="n">
        <x:v>0.69</x:v>
      </x:c>
      <x:c r="B2381" s="28" t="str">
        <x:v>middle_high</x:v>
      </x:c>
      <x:c r="C2381" s="60" t="n">
        <x:v>0</x:v>
      </x:c>
      <x:c r="D2381" s="60" t="n">
        <x:v>0</x:v>
      </x:c>
      <x:c r="E2381" s="62" t="b">
        <x:v>1</x:v>
      </x:c>
      <x:c r="F2381" s="62" t="b">
        <x:v>1</x:v>
      </x:c>
      <x:c r="G2381" s="85" t="n">
        <x:v>0</x:v>
      </x:c>
      <x:c r="H2381" s="85" t="n">
        <x:v>0</x:v>
      </x:c>
      <x:c r="I2381" s="85" t="n">
        <x:v>0</x:v>
      </x:c>
      <x:c r="J2381" s="85" t="n">
        <x:v>0</x:v>
      </x:c>
      <x:c r="K2381" s="85" t="n">
        <x:v>41245403.285616435</x:v>
      </x:c>
      <x:c r="L2381" s="28" t="n">
        <x:v>0</x:v>
      </x:c>
      <x:c r="M2381" s="28" t="n">
        <x:v>0</x:v>
      </x:c>
      <x:c r="N2381" s="28" t="n">
        <x:v>3.725290298461914e-9</x:v>
      </x:c>
      <x:c r="O2381" s="28" t="n">
        <x:v>0</x:v>
      </x:c>
      <x:c r="P2381" s="28" t="n">
        <x:v>0</x:v>
      </x:c>
      <x:c r="Q2381" s="62" t="b">
        <x:v>1</x:v>
      </x:c>
      <x:c r="R2381" s="28" t="n">
        <x:v>0</x:v>
      </x:c>
      <x:c r="S2381" s="28" t="str">
        <x:v>429839c29b05d317</x:v>
      </x:c>
    </x:row>
    <x:row r="2382" ht="21" customHeight="1">
      <x:c r="A2382" s="60" t="n">
        <x:v>0.69</x:v>
      </x:c>
      <x:c r="B2382" s="28" t="str">
        <x:v>middle_high</x:v>
      </x:c>
      <x:c r="C2382" s="60" t="n">
        <x:v>0.05</x:v>
      </x:c>
      <x:c r="D2382" s="60" t="n">
        <x:v>0.05</x:v>
      </x:c>
      <x:c r="E2382" s="62" t="b">
        <x:v>1</x:v>
      </x:c>
      <x:c r="F2382" s="62" t="b">
        <x:v>1</x:v>
      </x:c>
      <x:c r="G2382" s="85" t="n">
        <x:v>0</x:v>
      </x:c>
      <x:c r="H2382" s="85" t="n">
        <x:v>0</x:v>
      </x:c>
      <x:c r="I2382" s="85" t="n">
        <x:v>0</x:v>
      </x:c>
      <x:c r="J2382" s="85" t="n">
        <x:v>0</x:v>
      </x:c>
      <x:c r="K2382" s="85" t="n">
        <x:v>27864794.022814374</x:v>
      </x:c>
      <x:c r="L2382" s="28" t="n">
        <x:v>0</x:v>
      </x:c>
      <x:c r="M2382" s="28" t="n">
        <x:v>0</x:v>
      </x:c>
      <x:c r="N2382" s="28" t="n">
        <x:v>3.725290298461914e-9</x:v>
      </x:c>
      <x:c r="O2382" s="28" t="n">
        <x:v>2.9802322387695312e-8</x:v>
      </x:c>
      <x:c r="P2382" s="28" t="n">
        <x:v>0</x:v>
      </x:c>
      <x:c r="Q2382" s="62" t="b">
        <x:v>1</x:v>
      </x:c>
      <x:c r="R2382" s="28" t="n">
        <x:v>0</x:v>
      </x:c>
      <x:c r="S2382" s="28" t="str">
        <x:v>7ddb9ce3d3f895a6</x:v>
      </x:c>
    </x:row>
    <x:row r="2383" ht="21" customHeight="1">
      <x:c r="A2383" s="60" t="n">
        <x:v>0.69</x:v>
      </x:c>
      <x:c r="B2383" s="28" t="str">
        <x:v>middle_high</x:v>
      </x:c>
      <x:c r="C2383" s="60" t="n">
        <x:v>0.1</x:v>
      </x:c>
      <x:c r="D2383" s="60" t="n">
        <x:v>0.1</x:v>
      </x:c>
      <x:c r="E2383" s="62" t="b">
        <x:v>1</x:v>
      </x:c>
      <x:c r="F2383" s="62" t="b">
        <x:v>1</x:v>
      </x:c>
      <x:c r="G2383" s="85" t="n">
        <x:v>0</x:v>
      </x:c>
      <x:c r="H2383" s="85" t="n">
        <x:v>0</x:v>
      </x:c>
      <x:c r="I2383" s="85" t="n">
        <x:v>0</x:v>
      </x:c>
      <x:c r="J2383" s="85" t="n">
        <x:v>0</x:v>
      </x:c>
      <x:c r="K2383" s="85" t="n">
        <x:v>14323405.568759538</x:v>
      </x:c>
      <x:c r="L2383" s="28" t="n">
        <x:v>0</x:v>
      </x:c>
      <x:c r="M2383" s="28" t="n">
        <x:v>0</x:v>
      </x:c>
      <x:c r="N2383" s="28" t="n">
        <x:v>3.725290298461914e-9</x:v>
      </x:c>
      <x:c r="O2383" s="28" t="n">
        <x:v>5.960464477539063e-8</x:v>
      </x:c>
      <x:c r="P2383" s="28" t="n">
        <x:v>0</x:v>
      </x:c>
      <x:c r="Q2383" s="62" t="b">
        <x:v>1</x:v>
      </x:c>
      <x:c r="R2383" s="28" t="n">
        <x:v>0</x:v>
      </x:c>
      <x:c r="S2383" s="28" t="str">
        <x:v>1db6bc02e175beb3</x:v>
      </x:c>
    </x:row>
    <x:row r="2384" ht="21" customHeight="1">
      <x:c r="A2384" s="60" t="n">
        <x:v>0.69</x:v>
      </x:c>
      <x:c r="B2384" s="28" t="str">
        <x:v>middle_high</x:v>
      </x:c>
      <x:c r="C2384" s="60" t="n">
        <x:v>0.15</x:v>
      </x:c>
      <x:c r="D2384" s="60" t="n">
        <x:v>0.15</x:v>
      </x:c>
      <x:c r="E2384" s="62" t="b">
        <x:v>1</x:v>
      </x:c>
      <x:c r="F2384" s="62" t="b">
        <x:v>1</x:v>
      </x:c>
      <x:c r="G2384" s="85" t="n">
        <x:v>0</x:v>
      </x:c>
      <x:c r="H2384" s="85" t="n">
        <x:v>0</x:v>
      </x:c>
      <x:c r="I2384" s="85" t="n">
        <x:v>2240276.607491721</x:v>
      </x:c>
      <x:c r="J2384" s="85" t="n">
        <x:v>0</x:v>
      </x:c>
      <x:c r="K2384" s="85" t="n">
        <x:v>3527770.0375567763</x:v>
      </x:c>
      <x:c r="L2384" s="28" t="n">
        <x:v>0</x:v>
      </x:c>
      <x:c r="M2384" s="28" t="n">
        <x:v>0</x:v>
      </x:c>
      <x:c r="N2384" s="28" t="n">
        <x:v>3.725290298461914e-9</x:v>
      </x:c>
      <x:c r="O2384" s="28" t="n">
        <x:v>2.9802322387695312e-8</x:v>
      </x:c>
      <x:c r="P2384" s="28" t="n">
        <x:v>0</x:v>
      </x:c>
      <x:c r="Q2384" s="62" t="b">
        <x:v>1</x:v>
      </x:c>
      <x:c r="R2384" s="28" t="n">
        <x:v>0</x:v>
      </x:c>
      <x:c r="S2384" s="28" t="str">
        <x:v>58ffc4be450db456</x:v>
      </x:c>
    </x:row>
    <x:row r="2385" ht="21" customHeight="1">
      <x:c r="A2385" s="60" t="n">
        <x:v>0.69</x:v>
      </x:c>
      <x:c r="B2385" s="28" t="str">
        <x:v>middle_high</x:v>
      </x:c>
      <x:c r="C2385" s="60" t="n">
        <x:v>0.2</x:v>
      </x:c>
      <x:c r="D2385" s="60" t="n">
        <x:v>0.2</x:v>
      </x:c>
      <x:c r="E2385" s="62" t="b">
        <x:v>1</x:v>
      </x:c>
      <x:c r="F2385" s="62" t="b">
        <x:v>1</x:v>
      </x:c>
      <x:c r="G2385" s="85" t="n">
        <x:v>0</x:v>
      </x:c>
      <x:c r="H2385" s="85" t="n">
        <x:v>0</x:v>
      </x:c>
      <x:c r="I2385" s="85" t="n">
        <x:v>12248981.777848044</x:v>
      </x:c>
      <x:c r="J2385" s="85" t="n">
        <x:v>6318282.052720841</x:v>
      </x:c>
      <x:c r="K2385" s="85" t="n">
        <x:v>2718483.177355433</x:v>
      </x:c>
      <x:c r="L2385" s="28" t="n">
        <x:v>0</x:v>
      </x:c>
      <x:c r="M2385" s="28" t="n">
        <x:v>0</x:v>
      </x:c>
      <x:c r="N2385" s="28" t="n">
        <x:v>3.725290298461914e-9</x:v>
      </x:c>
      <x:c r="O2385" s="28" t="n">
        <x:v>2.9802322387695312e-8</x:v>
      </x:c>
      <x:c r="P2385" s="28" t="n">
        <x:v>0</x:v>
      </x:c>
      <x:c r="Q2385" s="62" t="b">
        <x:v>1</x:v>
      </x:c>
      <x:c r="R2385" s="28" t="n">
        <x:v>0</x:v>
      </x:c>
      <x:c r="S2385" s="28" t="str">
        <x:v>efb13188cbdfd068</x:v>
      </x:c>
    </x:row>
    <x:row r="2386" ht="21" customHeight="1">
      <x:c r="A2386" s="60" t="n">
        <x:v>0.69</x:v>
      </x:c>
      <x:c r="B2386" s="28" t="str">
        <x:v>middle_high</x:v>
      </x:c>
      <x:c r="C2386" s="60" t="n">
        <x:v>0.25</x:v>
      </x:c>
      <x:c r="D2386" s="60" t="n">
        <x:v>0.25</x:v>
      </x:c>
      <x:c r="E2386" s="62" t="b">
        <x:v>1</x:v>
      </x:c>
      <x:c r="F2386" s="62" t="b">
        <x:v>1</x:v>
      </x:c>
      <x:c r="G2386" s="85" t="n">
        <x:v>0</x:v>
      </x:c>
      <x:c r="H2386" s="85" t="n">
        <x:v>0</x:v>
      </x:c>
      <x:c r="I2386" s="85" t="n">
        <x:v>21007652.30715457</x:v>
      </x:c>
      <x:c r="J2386" s="85" t="n">
        <x:v>15397852.56590101</x:v>
      </x:c>
      <x:c r="K2386" s="85" t="n">
        <x:v>2217860.2052408876</x:v>
      </x:c>
      <x:c r="L2386" s="28" t="n">
        <x:v>0</x:v>
      </x:c>
      <x:c r="M2386" s="28" t="n">
        <x:v>0</x:v>
      </x:c>
      <x:c r="N2386" s="28" t="n">
        <x:v>3.725290298461914e-9</x:v>
      </x:c>
      <x:c r="O2386" s="28" t="n">
        <x:v>2.9802322387695312e-8</x:v>
      </x:c>
      <x:c r="P2386" s="28" t="n">
        <x:v>0</x:v>
      </x:c>
      <x:c r="Q2386" s="62" t="b">
        <x:v>1</x:v>
      </x:c>
      <x:c r="R2386" s="28" t="n">
        <x:v>0</x:v>
      </x:c>
      <x:c r="S2386" s="28" t="str">
        <x:v>34a54eaf3687e871</x:v>
      </x:c>
    </x:row>
    <x:row r="2387" ht="21" customHeight="1">
      <x:c r="A2387" s="60" t="n">
        <x:v>0.69</x:v>
      </x:c>
      <x:c r="B2387" s="28" t="str">
        <x:v>middle_high</x:v>
      </x:c>
      <x:c r="C2387" s="60" t="n">
        <x:v>0.3</x:v>
      </x:c>
      <x:c r="D2387" s="60" t="n">
        <x:v>0.3</x:v>
      </x:c>
      <x:c r="E2387" s="62" t="b">
        <x:v>1</x:v>
      </x:c>
      <x:c r="F2387" s="62" t="b">
        <x:v>1</x:v>
      </x:c>
      <x:c r="G2387" s="85" t="n">
        <x:v>0</x:v>
      </x:c>
      <x:c r="H2387" s="85" t="n">
        <x:v>0</x:v>
      </x:c>
      <x:c r="I2387" s="85" t="n">
        <x:v>30148583.644838285</x:v>
      </x:c>
      <x:c r="J2387" s="85" t="n">
        <x:v>23178322.77877876</x:v>
      </x:c>
      <x:c r="K2387" s="85" t="n">
        <x:v>1803377.3121888153</x:v>
      </x:c>
      <x:c r="L2387" s="28" t="n">
        <x:v>1</x:v>
      </x:c>
      <x:c r="M2387" s="28" t="n">
        <x:v>0</x:v>
      </x:c>
      <x:c r="N2387" s="28" t="n">
        <x:v>3.725290298461914e-9</x:v>
      </x:c>
      <x:c r="O2387" s="28" t="n">
        <x:v>2.9802322387695312e-8</x:v>
      </x:c>
      <x:c r="P2387" s="28" t="n">
        <x:v>0</x:v>
      </x:c>
      <x:c r="Q2387" s="62" t="b">
        <x:v>1</x:v>
      </x:c>
      <x:c r="R2387" s="28" t="n">
        <x:v>0</x:v>
      </x:c>
      <x:c r="S2387" s="28" t="str">
        <x:v>e22119e823706cae</x:v>
      </x:c>
    </x:row>
    <x:row r="2388" ht="21" customHeight="1">
      <x:c r="A2388" s="60" t="n">
        <x:v>0.69</x:v>
      </x:c>
      <x:c r="B2388" s="28" t="str">
        <x:v>middle_high</x:v>
      </x:c>
      <x:c r="C2388" s="60" t="n">
        <x:v>0.35</x:v>
      </x:c>
      <x:c r="D2388" s="60" t="n">
        <x:v>0.35</x:v>
      </x:c>
      <x:c r="E2388" s="62" t="b">
        <x:v>1</x:v>
      </x:c>
      <x:c r="F2388" s="62" t="b">
        <x:v>1</x:v>
      </x:c>
      <x:c r="G2388" s="85" t="n">
        <x:v>0</x:v>
      </x:c>
      <x:c r="H2388" s="85" t="n">
        <x:v>0</x:v>
      </x:c>
      <x:c r="I2388" s="85" t="n">
        <x:v>39878750.159684524</x:v>
      </x:c>
      <x:c r="J2388" s="85" t="n">
        <x:v>26556137.6935917</x:v>
      </x:c>
      <x:c r="K2388" s="85" t="n">
        <x:v>1524560.919699707</x:v>
      </x:c>
      <x:c r="L2388" s="28" t="n">
        <x:v>6</x:v>
      </x:c>
      <x:c r="M2388" s="28" t="n">
        <x:v>0</x:v>
      </x:c>
      <x:c r="N2388" s="28" t="n">
        <x:v>1.862645149230957e-9</x:v>
      </x:c>
      <x:c r="O2388" s="28" t="n">
        <x:v>2.9802322387695312e-8</x:v>
      </x:c>
      <x:c r="P2388" s="28" t="n">
        <x:v>0</x:v>
      </x:c>
      <x:c r="Q2388" s="62" t="b">
        <x:v>1</x:v>
      </x:c>
      <x:c r="R2388" s="28" t="n">
        <x:v>0</x:v>
      </x:c>
      <x:c r="S2388" s="28" t="str">
        <x:v>e60876fbbe55d992</x:v>
      </x:c>
    </x:row>
    <x:row r="2389" ht="21" customHeight="1">
      <x:c r="A2389" s="60" t="n">
        <x:v>0.69</x:v>
      </x:c>
      <x:c r="B2389" s="28" t="str">
        <x:v>middle_high</x:v>
      </x:c>
      <x:c r="C2389" s="60" t="n">
        <x:v>0.4</x:v>
      </x:c>
      <x:c r="D2389" s="60" t="n">
        <x:v>0.4</x:v>
      </x:c>
      <x:c r="E2389" s="62" t="b">
        <x:v>1</x:v>
      </x:c>
      <x:c r="F2389" s="62" t="b">
        <x:v>1</x:v>
      </x:c>
      <x:c r="G2389" s="85" t="n">
        <x:v>0</x:v>
      </x:c>
      <x:c r="H2389" s="85" t="n">
        <x:v>0</x:v>
      </x:c>
      <x:c r="I2389" s="85" t="n">
        <x:v>49361486.93492933</x:v>
      </x:c>
      <x:c r="J2389" s="85" t="n">
        <x:v>32239160.257231176</x:v>
      </x:c>
      <x:c r="K2389" s="85" t="n">
        <x:v>1294659.0619506794</x:v>
      </x:c>
      <x:c r="L2389" s="28" t="n">
        <x:v>10</x:v>
      </x:c>
      <x:c r="M2389" s="28" t="n">
        <x:v>0</x:v>
      </x:c>
      <x:c r="N2389" s="28" t="n">
        <x:v>1.862645149230957e-9</x:v>
      </x:c>
      <x:c r="O2389" s="28" t="n">
        <x:v>2.9802322387695312e-8</x:v>
      </x:c>
      <x:c r="P2389" s="28" t="n">
        <x:v>0</x:v>
      </x:c>
      <x:c r="Q2389" s="62" t="b">
        <x:v>1</x:v>
      </x:c>
      <x:c r="R2389" s="28" t="n">
        <x:v>0</x:v>
      </x:c>
      <x:c r="S2389" s="28" t="str">
        <x:v>15793b6a4f78554d</x:v>
      </x:c>
    </x:row>
    <x:row r="2390" ht="21" customHeight="1">
      <x:c r="A2390" s="60" t="n">
        <x:v>0.69</x:v>
      </x:c>
      <x:c r="B2390" s="28" t="str">
        <x:v>middle_high</x:v>
      </x:c>
      <x:c r="C2390" s="60" t="n">
        <x:v>0.45</x:v>
      </x:c>
      <x:c r="D2390" s="60" t="n">
        <x:v>0.45</x:v>
      </x:c>
      <x:c r="E2390" s="62" t="b">
        <x:v>1</x:v>
      </x:c>
      <x:c r="F2390" s="62" t="b">
        <x:v>1</x:v>
      </x:c>
      <x:c r="G2390" s="85" t="n">
        <x:v>0</x:v>
      </x:c>
      <x:c r="H2390" s="85" t="n">
        <x:v>0</x:v>
      </x:c>
      <x:c r="I2390" s="85" t="n">
        <x:v>58603489.80373208</x:v>
      </x:c>
      <x:c r="J2390" s="85" t="n">
        <x:v>40086849.68262001</x:v>
      </x:c>
      <x:c r="K2390" s="85" t="n">
        <x:v>1166537.0071945195</x:v>
      </x:c>
      <x:c r="L2390" s="28" t="n">
        <x:v>14</x:v>
      </x:c>
      <x:c r="M2390" s="28" t="n">
        <x:v>0</x:v>
      </x:c>
      <x:c r="N2390" s="28" t="n">
        <x:v>3.725290298461914e-9</x:v>
      </x:c>
      <x:c r="O2390" s="28" t="n">
        <x:v>2.9802322387695312e-8</x:v>
      </x:c>
      <x:c r="P2390" s="28" t="n">
        <x:v>0</x:v>
      </x:c>
      <x:c r="Q2390" s="62" t="b">
        <x:v>1</x:v>
      </x:c>
      <x:c r="R2390" s="28" t="n">
        <x:v>0</x:v>
      </x:c>
      <x:c r="S2390" s="28" t="str">
        <x:v>0db9bf96e0abdd4b</x:v>
      </x:c>
    </x:row>
    <x:row r="2391" ht="21" customHeight="1">
      <x:c r="A2391" s="60" t="n">
        <x:v>0.69</x:v>
      </x:c>
      <x:c r="B2391" s="28" t="str">
        <x:v>middle_high</x:v>
      </x:c>
      <x:c r="C2391" s="60" t="n">
        <x:v>0.5</x:v>
      </x:c>
      <x:c r="D2391" s="60" t="n">
        <x:v>0.5</x:v>
      </x:c>
      <x:c r="E2391" s="62" t="b">
        <x:v>1</x:v>
      </x:c>
      <x:c r="F2391" s="62" t="b">
        <x:v>1</x:v>
      </x:c>
      <x:c r="G2391" s="85" t="n">
        <x:v>0</x:v>
      </x:c>
      <x:c r="H2391" s="85" t="n">
        <x:v>0</x:v>
      </x:c>
      <x:c r="I2391" s="85" t="n">
        <x:v>67538684.95498064</x:v>
      </x:c>
      <x:c r="J2391" s="85" t="n">
        <x:v>49486637.3640676</x:v>
      </x:c>
      <x:c r="K2391" s="85" t="n">
        <x:v>1038414.9524383543</x:v>
      </x:c>
      <x:c r="L2391" s="28" t="n">
        <x:v>17</x:v>
      </x:c>
      <x:c r="M2391" s="28" t="n">
        <x:v>7</x:v>
      </x:c>
      <x:c r="N2391" s="28" t="n">
        <x:v>3.725290298461914e-9</x:v>
      </x:c>
      <x:c r="O2391" s="28" t="n">
        <x:v>1.4901161193847656e-8</x:v>
      </x:c>
      <x:c r="P2391" s="28" t="n">
        <x:v>0</x:v>
      </x:c>
      <x:c r="Q2391" s="62" t="b">
        <x:v>1</x:v>
      </x:c>
      <x:c r="R2391" s="28" t="n">
        <x:v>0</x:v>
      </x:c>
      <x:c r="S2391" s="28" t="str">
        <x:v>f1acf39595a97f18</x:v>
      </x:c>
    </x:row>
    <x:row r="2392" ht="21" customHeight="1">
      <x:c r="A2392" s="60" t="n">
        <x:v>0.69</x:v>
      </x:c>
      <x:c r="B2392" s="28" t="str">
        <x:v>middle_high</x:v>
      </x:c>
      <x:c r="C2392" s="60" t="n">
        <x:v>0.55</x:v>
      </x:c>
      <x:c r="D2392" s="60" t="n">
        <x:v>0.55</x:v>
      </x:c>
      <x:c r="E2392" s="62" t="b">
        <x:v>1</x:v>
      </x:c>
      <x:c r="F2392" s="62" t="b">
        <x:v>1</x:v>
      </x:c>
      <x:c r="G2392" s="85" t="n">
        <x:v>0</x:v>
      </x:c>
      <x:c r="H2392" s="85" t="n">
        <x:v>0</x:v>
      </x:c>
      <x:c r="I2392" s="85" t="n">
        <x:v>75892313.7189054</x:v>
      </x:c>
      <x:c r="J2392" s="85" t="n">
        <x:v>61869232.05551469</x:v>
      </x:c>
      <x:c r="K2392" s="85" t="n">
        <x:v>910292.8976821869</x:v>
      </x:c>
      <x:c r="L2392" s="28" t="n">
        <x:v>23</x:v>
      </x:c>
      <x:c r="M2392" s="28" t="n">
        <x:v>17</x:v>
      </x:c>
      <x:c r="N2392" s="28" t="n">
        <x:v>1.862645149230957e-9</x:v>
      </x:c>
      <x:c r="O2392" s="28" t="n">
        <x:v>2.9802322387695312e-8</x:v>
      </x:c>
      <x:c r="P2392" s="28" t="n">
        <x:v>0</x:v>
      </x:c>
      <x:c r="Q2392" s="62" t="b">
        <x:v>1</x:v>
      </x:c>
      <x:c r="R2392" s="28" t="n">
        <x:v>0</x:v>
      </x:c>
      <x:c r="S2392" s="28" t="str">
        <x:v>ed3620adb2be677d</x:v>
      </x:c>
    </x:row>
    <x:row r="2393" ht="21" customHeight="1">
      <x:c r="A2393" s="60" t="n">
        <x:v>0.69</x:v>
      </x:c>
      <x:c r="B2393" s="28" t="str">
        <x:v>middle_high</x:v>
      </x:c>
      <x:c r="C2393" s="60" t="n">
        <x:v>0.6</x:v>
      </x:c>
      <x:c r="D2393" s="60" t="n">
        <x:v>0.6</x:v>
      </x:c>
      <x:c r="E2393" s="62" t="b">
        <x:v>1</x:v>
      </x:c>
      <x:c r="F2393" s="62" t="b">
        <x:v>0</x:v>
      </x:c>
      <x:c r="G2393" s="85" t="n">
        <x:v>3315271.2220468936</x:v>
      </x:c>
      <x:c r="H2393" s="85" t="n">
        <x:v>11661744.89350328</x:v>
      </x:c>
      <x:c r="I2393" s="85" t="n">
        <x:v>78141353.3364014</x:v>
      </x:c>
      <x:c r="J2393" s="85" t="n">
        <x:v>63000000.000000015</x:v>
      </x:c>
      <x:c r="K2393" s="85" t="n">
        <x:v>782170.8429260316</x:v>
      </x:c>
      <x:c r="L2393" s="28" t="n">
        <x:v>43</x:v>
      </x:c>
      <x:c r="M2393" s="28" t="n">
        <x:v>37</x:v>
      </x:c>
      <x:c r="N2393" s="28" t="n">
        <x:v>1.862645149230957e-9</x:v>
      </x:c>
      <x:c r="O2393" s="28" t="n">
        <x:v>2.9802322387695312e-8</x:v>
      </x:c>
      <x:c r="P2393" s="28" t="n">
        <x:v>0</x:v>
      </x:c>
      <x:c r="Q2393" s="62" t="b">
        <x:v>1</x:v>
      </x:c>
      <x:c r="R2393" s="28" t="n">
        <x:v>0</x:v>
      </x:c>
      <x:c r="S2393" s="28" t="str">
        <x:v>206898eb5f8e7da5</x:v>
      </x:c>
    </x:row>
    <x:row r="2394" ht="21" customHeight="1">
      <x:c r="A2394" s="60" t="n">
        <x:v>0.69</x:v>
      </x:c>
      <x:c r="B2394" s="28" t="str">
        <x:v>middle_high</x:v>
      </x:c>
      <x:c r="C2394" s="60" t="n">
        <x:v>0.65</x:v>
      </x:c>
      <x:c r="D2394" s="60" t="n">
        <x:v>0.65</x:v>
      </x:c>
      <x:c r="E2394" s="62" t="b">
        <x:v>1</x:v>
      </x:c>
      <x:c r="F2394" s="62" t="b">
        <x:v>0</x:v>
      </x:c>
      <x:c r="G2394" s="85" t="n">
        <x:v>7915372.6997420415</x:v>
      </x:c>
      <x:c r="H2394" s="85" t="n">
        <x:v>26391227.415748723</x:v>
      </x:c>
      <x:c r="I2394" s="85" t="n">
        <x:v>78210160.49639833</x:v>
      </x:c>
      <x:c r="J2394" s="85" t="n">
        <x:v>63000000.000000015</x:v>
      </x:c>
      <x:c r="K2394" s="85" t="n">
        <x:v>679003.8743726036</x:v>
      </x:c>
      <x:c r="L2394" s="28" t="n">
        <x:v>43</x:v>
      </x:c>
      <x:c r="M2394" s="28" t="n">
        <x:v>38</x:v>
      </x:c>
      <x:c r="N2394" s="28" t="n">
        <x:v>3.725290298461914e-9</x:v>
      </x:c>
      <x:c r="O2394" s="28" t="n">
        <x:v>2.9802322387695312e-8</x:v>
      </x:c>
      <x:c r="P2394" s="28" t="n">
        <x:v>0</x:v>
      </x:c>
      <x:c r="Q2394" s="62" t="b">
        <x:v>1</x:v>
      </x:c>
      <x:c r="R2394" s="28" t="n">
        <x:v>0</x:v>
      </x:c>
      <x:c r="S2394" s="28" t="str">
        <x:v>4a97ff5d1cfcee37</x:v>
      </x:c>
    </x:row>
    <x:row r="2395" ht="21" customHeight="1">
      <x:c r="A2395" s="60" t="n">
        <x:v>0.69</x:v>
      </x:c>
      <x:c r="B2395" s="28" t="str">
        <x:v>middle_high</x:v>
      </x:c>
      <x:c r="C2395" s="60" t="n">
        <x:v>0.7</x:v>
      </x:c>
      <x:c r="D2395" s="60" t="n">
        <x:v>0.7</x:v>
      </x:c>
      <x:c r="E2395" s="62" t="b">
        <x:v>1</x:v>
      </x:c>
      <x:c r="F2395" s="62" t="b">
        <x:v>0</x:v>
      </x:c>
      <x:c r="G2395" s="85" t="n">
        <x:v>12215542.332236031</x:v>
      </x:c>
      <x:c r="H2395" s="85" t="n">
        <x:v>38187222.60573562</x:v>
      </x:c>
      <x:c r="I2395" s="85" t="n">
        <x:v>79754547.94520551</x:v>
      </x:c>
      <x:c r="J2395" s="85" t="n">
        <x:v>63000000.000000015</x:v>
      </x:c>
      <x:c r="K2395" s="85" t="n">
        <x:v>608658.7562520544</x:v>
      </x:c>
      <x:c r="L2395" s="28" t="n">
        <x:v>44</x:v>
      </x:c>
      <x:c r="M2395" s="28" t="n">
        <x:v>39</x:v>
      </x:c>
      <x:c r="N2395" s="28" t="n">
        <x:v>3.725290298461914e-9</x:v>
      </x:c>
      <x:c r="O2395" s="28" t="n">
        <x:v>1.4901161193847656e-8</x:v>
      </x:c>
      <x:c r="P2395" s="28" t="n">
        <x:v>0</x:v>
      </x:c>
      <x:c r="Q2395" s="62" t="b">
        <x:v>1</x:v>
      </x:c>
      <x:c r="R2395" s="28" t="n">
        <x:v>0</x:v>
      </x:c>
      <x:c r="S2395" s="28" t="str">
        <x:v>3d5222e1fdccbdb7</x:v>
      </x:c>
    </x:row>
    <x:row r="2396" ht="21" customHeight="1">
      <x:c r="A2396" s="60" t="n">
        <x:v>0.69</x:v>
      </x:c>
      <x:c r="B2396" s="28" t="str">
        <x:v>middle_high</x:v>
      </x:c>
      <x:c r="C2396" s="60" t="n">
        <x:v>0.75</x:v>
      </x:c>
      <x:c r="D2396" s="60" t="n">
        <x:v>0.75</x:v>
      </x:c>
      <x:c r="E2396" s="62" t="b">
        <x:v>1</x:v>
      </x:c>
      <x:c r="F2396" s="62" t="b">
        <x:v>0</x:v>
      </x:c>
      <x:c r="G2396" s="85" t="n">
        <x:v>17194703.69230548</x:v>
      </x:c>
      <x:c r="H2396" s="85" t="n">
        <x:v>52300084.95086102</x:v>
      </x:c>
      <x:c r="I2396" s="85" t="n">
        <x:v>79779084.41073975</x:v>
      </x:c>
      <x:c r="J2396" s="85" t="n">
        <x:v>63000000.000000015</x:v>
      </x:c>
      <x:c r="K2396" s="85" t="n">
        <x:v>569971.1673150689</x:v>
      </x:c>
      <x:c r="L2396" s="28" t="n">
        <x:v>44</x:v>
      </x:c>
      <x:c r="M2396" s="28" t="n">
        <x:v>40</x:v>
      </x:c>
      <x:c r="N2396" s="28" t="n">
        <x:v>1.862645149230957e-9</x:v>
      </x:c>
      <x:c r="O2396" s="28" t="n">
        <x:v>2.9802322387695312e-8</x:v>
      </x:c>
      <x:c r="P2396" s="28" t="n">
        <x:v>0</x:v>
      </x:c>
      <x:c r="Q2396" s="62" t="b">
        <x:v>1</x:v>
      </x:c>
      <x:c r="R2396" s="28" t="n">
        <x:v>0</x:v>
      </x:c>
      <x:c r="S2396" s="28" t="str">
        <x:v>ba1dbb36787e34be</x:v>
      </x:c>
    </x:row>
    <x:row r="2397" ht="21" customHeight="1">
      <x:c r="A2397" s="60" t="n">
        <x:v>0.69</x:v>
      </x:c>
      <x:c r="B2397" s="28" t="str">
        <x:v>middle_high</x:v>
      </x:c>
      <x:c r="C2397" s="60" t="n">
        <x:v>0.8</x:v>
      </x:c>
      <x:c r="D2397" s="60" t="n">
        <x:v>0.8</x:v>
      </x:c>
      <x:c r="E2397" s="62" t="b">
        <x:v>1</x:v>
      </x:c>
      <x:c r="F2397" s="62" t="b">
        <x:v>0</x:v>
      </x:c>
      <x:c r="G2397" s="85" t="n">
        <x:v>22461699.25178082</x:v>
      </x:c>
      <x:c r="H2397" s="85" t="n">
        <x:v>66059646.09038799</x:v>
      </x:c>
      <x:c r="I2397" s="85" t="n">
        <x:v>79831163.8675288</x:v>
      </x:c>
      <x:c r="J2397" s="85" t="n">
        <x:v>63000000.000000015</x:v>
      </x:c>
      <x:c r="K2397" s="85" t="n">
        <x:v>531283.5783780798</x:v>
      </x:c>
      <x:c r="L2397" s="28" t="n">
        <x:v>44</x:v>
      </x:c>
      <x:c r="M2397" s="28" t="n">
        <x:v>40</x:v>
      </x:c>
      <x:c r="N2397" s="28" t="n">
        <x:v>1.862645149230957e-9</x:v>
      </x:c>
      <x:c r="O2397" s="28" t="n">
        <x:v>1.4901161193847656e-8</x:v>
      </x:c>
      <x:c r="P2397" s="28" t="n">
        <x:v>0</x:v>
      </x:c>
      <x:c r="Q2397" s="62" t="b">
        <x:v>1</x:v>
      </x:c>
      <x:c r="R2397" s="28" t="n">
        <x:v>0</x:v>
      </x:c>
      <x:c r="S2397" s="28" t="str">
        <x:v>5382a6ccb18f152e</x:v>
      </x:c>
    </x:row>
    <x:row r="2398" ht="21" customHeight="1">
      <x:c r="A2398" s="60" t="n">
        <x:v>0.69</x:v>
      </x:c>
      <x:c r="B2398" s="28" t="str">
        <x:v>middle_high</x:v>
      </x:c>
      <x:c r="C2398" s="60" t="n">
        <x:v>0.85</x:v>
      </x:c>
      <x:c r="D2398" s="60" t="n">
        <x:v>0.85</x:v>
      </x:c>
      <x:c r="E2398" s="62" t="b">
        <x:v>1</x:v>
      </x:c>
      <x:c r="F2398" s="62" t="b">
        <x:v>0</x:v>
      </x:c>
      <x:c r="G2398" s="85" t="n">
        <x:v>30738579.992811978</x:v>
      </x:c>
      <x:c r="H2398" s="85" t="n">
        <x:v>78255928.63703613</x:v>
      </x:c>
      <x:c r="I2398" s="85" t="n">
        <x:v>79898016.24221374</x:v>
      </x:c>
      <x:c r="J2398" s="85" t="n">
        <x:v>63000000.000000015</x:v>
      </x:c>
      <x:c r="K2398" s="85" t="n">
        <x:v>492595.9894410972</x:v>
      </x:c>
      <x:c r="L2398" s="28" t="n">
        <x:v>44</x:v>
      </x:c>
      <x:c r="M2398" s="28" t="n">
        <x:v>40</x:v>
      </x:c>
      <x:c r="N2398" s="28" t="n">
        <x:v>1.862645149230957e-9</x:v>
      </x:c>
      <x:c r="O2398" s="28" t="n">
        <x:v>2.9802322387695312e-8</x:v>
      </x:c>
      <x:c r="P2398" s="28" t="n">
        <x:v>0</x:v>
      </x:c>
      <x:c r="Q2398" s="62" t="b">
        <x:v>1</x:v>
      </x:c>
      <x:c r="R2398" s="28" t="n">
        <x:v>0</x:v>
      </x:c>
      <x:c r="S2398" s="28" t="str">
        <x:v>5f36177ca275564e</x:v>
      </x:c>
    </x:row>
    <x:row r="2399" ht="21" customHeight="1">
      <x:c r="A2399" s="60" t="n">
        <x:v>0.69</x:v>
      </x:c>
      <x:c r="B2399" s="28" t="str">
        <x:v>middle_high</x:v>
      </x:c>
      <x:c r="C2399" s="60" t="n">
        <x:v>0.9</x:v>
      </x:c>
      <x:c r="D2399" s="60" t="n">
        <x:v>0.9</x:v>
      </x:c>
      <x:c r="E2399" s="62" t="b">
        <x:v>1</x:v>
      </x:c>
      <x:c r="F2399" s="62" t="b">
        <x:v>0</x:v>
      </x:c>
      <x:c r="G2399" s="85" t="n">
        <x:v>37024975.653615914</x:v>
      </x:c>
      <x:c r="H2399" s="85" t="n">
        <x:v>84857640.79798084</x:v>
      </x:c>
      <x:c r="I2399" s="85" t="n">
        <x:v>81633947.10500824</x:v>
      </x:c>
      <x:c r="J2399" s="85" t="n">
        <x:v>63000000.000000015</x:v>
      </x:c>
      <x:c r="K2399" s="85" t="n">
        <x:v>453908.4005041118</x:v>
      </x:c>
      <x:c r="L2399" s="28" t="n">
        <x:v>45</x:v>
      </x:c>
      <x:c r="M2399" s="28" t="n">
        <x:v>41</x:v>
      </x:c>
      <x:c r="N2399" s="28" t="n">
        <x:v>1.862645149230957e-9</x:v>
      </x:c>
      <x:c r="O2399" s="28" t="n">
        <x:v>2.9802322387695312e-8</x:v>
      </x:c>
      <x:c r="P2399" s="28" t="n">
        <x:v>0</x:v>
      </x:c>
      <x:c r="Q2399" s="62" t="b">
        <x:v>1</x:v>
      </x:c>
      <x:c r="R2399" s="28" t="n">
        <x:v>0</x:v>
      </x:c>
      <x:c r="S2399" s="28" t="str">
        <x:v>22bd92a4b347e15a</x:v>
      </x:c>
    </x:row>
    <x:row r="2400" ht="21" customHeight="1">
      <x:c r="A2400" s="60" t="n">
        <x:v>0.69</x:v>
      </x:c>
      <x:c r="B2400" s="28" t="str">
        <x:v>middle_high</x:v>
      </x:c>
      <x:c r="C2400" s="60" t="n">
        <x:v>0.95</x:v>
      </x:c>
      <x:c r="D2400" s="60" t="n">
        <x:v>0.9361238209331334</x:v>
      </x:c>
      <x:c r="E2400" s="62" t="b">
        <x:v>0</x:v>
      </x:c>
      <x:c r="F2400" s="62" t="b">
        <x:v>0</x:v>
      </x:c>
      <x:c r="G2400" s="85" t="n">
        <x:v>41004451.113105185</x:v>
      </x:c>
      <x:c r="H2400" s="85" t="n">
        <x:v>92310216.58802839</x:v>
      </x:c>
      <x:c r="I2400" s="85" t="n">
        <x:v>81672436.36061373</x:v>
      </x:c>
      <x:c r="J2400" s="85" t="n">
        <x:v>63000000.000000015</x:v>
      </x:c>
      <x:c r="K2400" s="85" t="n">
        <x:v>415220.8115671189</x:v>
      </x:c>
      <x:c r="L2400" s="28" t="n">
        <x:v>45</x:v>
      </x:c>
      <x:c r="M2400" s="28" t="n">
        <x:v>42</x:v>
      </x:c>
      <x:c r="N2400" s="28" t="n">
        <x:v>1.862645149230957e-9</x:v>
      </x:c>
      <x:c r="O2400" s="28" t="n">
        <x:v>1.4901161193847656e-8</x:v>
      </x:c>
      <x:c r="P2400" s="28" t="n">
        <x:v>0</x:v>
      </x:c>
      <x:c r="Q2400" s="62" t="b">
        <x:v>1</x:v>
      </x:c>
      <x:c r="R2400" s="28" t="n">
        <x:v>4162853.720059991</x:v>
      </x:c>
      <x:c r="S2400" s="28" t="str">
        <x:v>b818a5beec20f458</x:v>
      </x:c>
    </x:row>
    <x:row r="2401" ht="21" customHeight="1">
      <x:c r="A2401" s="60" t="n">
        <x:v>0.69</x:v>
      </x:c>
      <x:c r="B2401" s="28" t="str">
        <x:v>middle_high</x:v>
      </x:c>
      <x:c r="C2401" s="60" t="n">
        <x:v>1</x:v>
      </x:c>
      <x:c r="D2401" s="60" t="n">
        <x:v>0.9498342654879072</x:v>
      </x:c>
      <x:c r="E2401" s="62" t="b">
        <x:v>0</x:v>
      </x:c>
      <x:c r="F2401" s="62" t="b">
        <x:v>0</x:v>
      </x:c>
      <x:c r="G2401" s="85" t="n">
        <x:v>44320513.88680246</x:v>
      </x:c>
      <x:c r="H2401" s="85" t="n">
        <x:v>95684856.69992898</x:v>
      </x:c>
      <x:c r="I2401" s="85" t="n">
        <x:v>81710925.61621921</x:v>
      </x:c>
      <x:c r="J2401" s="85" t="n">
        <x:v>63000000.000000015</x:v>
      </x:c>
      <x:c r="K2401" s="85" t="n">
        <x:v>376533.22263014</x:v>
      </x:c>
      <x:c r="L2401" s="28" t="n">
        <x:v>45</x:v>
      </x:c>
      <x:c r="M2401" s="28" t="n">
        <x:v>42</x:v>
      </x:c>
      <x:c r="N2401" s="28" t="n">
        <x:v>1.862645149230957e-9</x:v>
      </x:c>
      <x:c r="O2401" s="28" t="n">
        <x:v>1.4901161193847656e-8</x:v>
      </x:c>
      <x:c r="P2401" s="28" t="n">
        <x:v>0</x:v>
      </x:c>
      <x:c r="Q2401" s="62" t="b">
        <x:v>1</x:v>
      </x:c>
      <x:c r="R2401" s="28" t="n">
        <x:v>15049720.35362786</x:v>
      </x:c>
      <x:c r="S2401" s="28" t="str">
        <x:v>fb97fc90026f2c31</x:v>
      </x:c>
    </x:row>
    <x:row r="2402" ht="21" customHeight="1">
      <x:c r="A2402" s="60" t="n">
        <x:v>0.69</x:v>
      </x:c>
      <x:c r="B2402" s="28" t="str">
        <x:v>back_flat</x:v>
      </x:c>
      <x:c r="C2402" s="60" t="n">
        <x:v>0</x:v>
      </x:c>
      <x:c r="D2402" s="60" t="n">
        <x:v>0</x:v>
      </x:c>
      <x:c r="E2402" s="62" t="b">
        <x:v>1</x:v>
      </x:c>
      <x:c r="F2402" s="62" t="b">
        <x:v>1</x:v>
      </x:c>
      <x:c r="G2402" s="85" t="n">
        <x:v>0</x:v>
      </x:c>
      <x:c r="H2402" s="85" t="n">
        <x:v>0</x:v>
      </x:c>
      <x:c r="I2402" s="85" t="n">
        <x:v>0</x:v>
      </x:c>
      <x:c r="J2402" s="85" t="n">
        <x:v>0</x:v>
      </x:c>
      <x:c r="K2402" s="85" t="n">
        <x:v>36427690.54589042</x:v>
      </x:c>
      <x:c r="L2402" s="28" t="n">
        <x:v>0</x:v>
      </x:c>
      <x:c r="M2402" s="28" t="n">
        <x:v>0</x:v>
      </x:c>
      <x:c r="N2402" s="28" t="n">
        <x:v>3.725290298461914e-9</x:v>
      </x:c>
      <x:c r="O2402" s="28" t="n">
        <x:v>0</x:v>
      </x:c>
      <x:c r="P2402" s="28" t="n">
        <x:v>0</x:v>
      </x:c>
      <x:c r="Q2402" s="62" t="b">
        <x:v>1</x:v>
      </x:c>
      <x:c r="R2402" s="28" t="n">
        <x:v>0</x:v>
      </x:c>
      <x:c r="S2402" s="28" t="str">
        <x:v>58219c1124d3eef7</x:v>
      </x:c>
    </x:row>
    <x:row r="2403" ht="21" customHeight="1">
      <x:c r="A2403" s="60" t="n">
        <x:v>0.69</x:v>
      </x:c>
      <x:c r="B2403" s="28" t="str">
        <x:v>back_flat</x:v>
      </x:c>
      <x:c r="C2403" s="60" t="n">
        <x:v>0.05</x:v>
      </x:c>
      <x:c r="D2403" s="60" t="n">
        <x:v>0.05</x:v>
      </x:c>
      <x:c r="E2403" s="62" t="b">
        <x:v>1</x:v>
      </x:c>
      <x:c r="F2403" s="62" t="b">
        <x:v>1</x:v>
      </x:c>
      <x:c r="G2403" s="85" t="n">
        <x:v>0</x:v>
      </x:c>
      <x:c r="H2403" s="85" t="n">
        <x:v>0</x:v>
      </x:c>
      <x:c r="I2403" s="85" t="n">
        <x:v>0</x:v>
      </x:c>
      <x:c r="J2403" s="85" t="n">
        <x:v>0</x:v>
      </x:c>
      <x:c r="K2403" s="85" t="n">
        <x:v>24686654.51807242</x:v>
      </x:c>
      <x:c r="L2403" s="28" t="n">
        <x:v>0</x:v>
      </x:c>
      <x:c r="M2403" s="28" t="n">
        <x:v>0</x:v>
      </x:c>
      <x:c r="N2403" s="28" t="n">
        <x:v>1.862645149230957e-9</x:v>
      </x:c>
      <x:c r="O2403" s="28" t="n">
        <x:v>5.960464477539063e-8</x:v>
      </x:c>
      <x:c r="P2403" s="28" t="n">
        <x:v>0</x:v>
      </x:c>
      <x:c r="Q2403" s="62" t="b">
        <x:v>1</x:v>
      </x:c>
      <x:c r="R2403" s="28" t="n">
        <x:v>0</x:v>
      </x:c>
      <x:c r="S2403" s="28" t="str">
        <x:v>a2254046f821b99f</x:v>
      </x:c>
    </x:row>
    <x:row r="2404" ht="21" customHeight="1">
      <x:c r="A2404" s="60" t="n">
        <x:v>0.69</x:v>
      </x:c>
      <x:c r="B2404" s="28" t="str">
        <x:v>back_flat</x:v>
      </x:c>
      <x:c r="C2404" s="60" t="n">
        <x:v>0.1</x:v>
      </x:c>
      <x:c r="D2404" s="60" t="n">
        <x:v>0.1</x:v>
      </x:c>
      <x:c r="E2404" s="62" t="b">
        <x:v>1</x:v>
      </x:c>
      <x:c r="F2404" s="62" t="b">
        <x:v>1</x:v>
      </x:c>
      <x:c r="G2404" s="85" t="n">
        <x:v>0</x:v>
      </x:c>
      <x:c r="H2404" s="85" t="n">
        <x:v>0</x:v>
      </x:c>
      <x:c r="I2404" s="85" t="n">
        <x:v>0</x:v>
      </x:c>
      <x:c r="J2404" s="85" t="n">
        <x:v>0</x:v>
      </x:c>
      <x:c r="K2404" s="85" t="n">
        <x:v>12828386.95249002</x:v>
      </x:c>
      <x:c r="L2404" s="28" t="n">
        <x:v>0</x:v>
      </x:c>
      <x:c r="M2404" s="28" t="n">
        <x:v>0</x:v>
      </x:c>
      <x:c r="N2404" s="28" t="n">
        <x:v>1.862645149230957e-9</x:v>
      </x:c>
      <x:c r="O2404" s="28" t="n">
        <x:v>5.960464477539063e-8</x:v>
      </x:c>
      <x:c r="P2404" s="28" t="n">
        <x:v>0</x:v>
      </x:c>
      <x:c r="Q2404" s="62" t="b">
        <x:v>1</x:v>
      </x:c>
      <x:c r="R2404" s="28" t="n">
        <x:v>0</x:v>
      </x:c>
      <x:c r="S2404" s="28" t="str">
        <x:v>e2c7852f048e5921</x:v>
      </x:c>
    </x:row>
    <x:row r="2405" ht="21" customHeight="1">
      <x:c r="A2405" s="60" t="n">
        <x:v>0.69</x:v>
      </x:c>
      <x:c r="B2405" s="28" t="str">
        <x:v>back_flat</x:v>
      </x:c>
      <x:c r="C2405" s="60" t="n">
        <x:v>0.15</x:v>
      </x:c>
      <x:c r="D2405" s="60" t="n">
        <x:v>0.15</x:v>
      </x:c>
      <x:c r="E2405" s="62" t="b">
        <x:v>1</x:v>
      </x:c>
      <x:c r="F2405" s="62" t="b">
        <x:v>1</x:v>
      </x:c>
      <x:c r="G2405" s="85" t="n">
        <x:v>0</x:v>
      </x:c>
      <x:c r="H2405" s="85" t="n">
        <x:v>0</x:v>
      </x:c>
      <x:c r="I2405" s="85" t="n">
        <x:v>1514940.7176122973</x:v>
      </x:c>
      <x:c r="J2405" s="85" t="n">
        <x:v>0</x:v>
      </x:c>
      <x:c r="K2405" s="85" t="n">
        <x:v>2962873.913351405</x:v>
      </x:c>
      <x:c r="L2405" s="28" t="n">
        <x:v>0</x:v>
      </x:c>
      <x:c r="M2405" s="28" t="n">
        <x:v>0</x:v>
      </x:c>
      <x:c r="N2405" s="28" t="n">
        <x:v>3.725290298461914e-9</x:v>
      </x:c>
      <x:c r="O2405" s="28" t="n">
        <x:v>5.960464477539063e-8</x:v>
      </x:c>
      <x:c r="P2405" s="28" t="n">
        <x:v>0</x:v>
      </x:c>
      <x:c r="Q2405" s="62" t="b">
        <x:v>1</x:v>
      </x:c>
      <x:c r="R2405" s="28" t="n">
        <x:v>0</x:v>
      </x:c>
      <x:c r="S2405" s="28" t="str">
        <x:v>956558f43768533d</x:v>
      </x:c>
    </x:row>
    <x:row r="2406" ht="21" customHeight="1">
      <x:c r="A2406" s="60" t="n">
        <x:v>0.69</x:v>
      </x:c>
      <x:c r="B2406" s="28" t="str">
        <x:v>back_flat</x:v>
      </x:c>
      <x:c r="C2406" s="60" t="n">
        <x:v>0.2</x:v>
      </x:c>
      <x:c r="D2406" s="60" t="n">
        <x:v>0.2</x:v>
      </x:c>
      <x:c r="E2406" s="62" t="b">
        <x:v>1</x:v>
      </x:c>
      <x:c r="F2406" s="62" t="b">
        <x:v>1</x:v>
      </x:c>
      <x:c r="G2406" s="85" t="n">
        <x:v>0</x:v>
      </x:c>
      <x:c r="H2406" s="85" t="n">
        <x:v>0</x:v>
      </x:c>
      <x:c r="I2406" s="85" t="n">
        <x:v>9144842.296766974</x:v>
      </x:c>
      <x:c r="J2406" s="85" t="n">
        <x:v>6341080.834812399</x:v>
      </x:c>
      <x:c r="K2406" s="85" t="n">
        <x:v>2403108.6860569725</x:v>
      </x:c>
      <x:c r="L2406" s="28" t="n">
        <x:v>0</x:v>
      </x:c>
      <x:c r="M2406" s="28" t="n">
        <x:v>0</x:v>
      </x:c>
      <x:c r="N2406" s="28" t="n">
        <x:v>1.862645149230957e-9</x:v>
      </x:c>
      <x:c r="O2406" s="28" t="n">
        <x:v>2.9802322387695312e-8</x:v>
      </x:c>
      <x:c r="P2406" s="28" t="n">
        <x:v>0</x:v>
      </x:c>
      <x:c r="Q2406" s="62" t="b">
        <x:v>1</x:v>
      </x:c>
      <x:c r="R2406" s="28" t="n">
        <x:v>0</x:v>
      </x:c>
      <x:c r="S2406" s="28" t="str">
        <x:v>9b51efdb968aa5fa</x:v>
      </x:c>
    </x:row>
    <x:row r="2407" ht="21" customHeight="1">
      <x:c r="A2407" s="60" t="n">
        <x:v>0.69</x:v>
      </x:c>
      <x:c r="B2407" s="28" t="str">
        <x:v>back_flat</x:v>
      </x:c>
      <x:c r="C2407" s="60" t="n">
        <x:v>0.25</x:v>
      </x:c>
      <x:c r="D2407" s="60" t="n">
        <x:v>0.25</x:v>
      </x:c>
      <x:c r="E2407" s="62" t="b">
        <x:v>1</x:v>
      </x:c>
      <x:c r="F2407" s="62" t="b">
        <x:v>1</x:v>
      </x:c>
      <x:c r="G2407" s="85" t="n">
        <x:v>0</x:v>
      </x:c>
      <x:c r="H2407" s="85" t="n">
        <x:v>0</x:v>
      </x:c>
      <x:c r="I2407" s="85" t="n">
        <x:v>15056523.656609572</x:v>
      </x:c>
      <x:c r="J2407" s="85" t="n">
        <x:v>15426351.043515647</x:v>
      </x:c>
      <x:c r="K2407" s="85" t="n">
        <x:v>2021314.3503661745</x:v>
      </x:c>
      <x:c r="L2407" s="28" t="n">
        <x:v>0</x:v>
      </x:c>
      <x:c r="M2407" s="28" t="n">
        <x:v>0</x:v>
      </x:c>
      <x:c r="N2407" s="28" t="n">
        <x:v>3.725290298461914e-9</x:v>
      </x:c>
      <x:c r="O2407" s="28" t="n">
        <x:v>2.9802322387695312e-8</x:v>
      </x:c>
      <x:c r="P2407" s="28" t="n">
        <x:v>0</x:v>
      </x:c>
      <x:c r="Q2407" s="62" t="b">
        <x:v>1</x:v>
      </x:c>
      <x:c r="R2407" s="28" t="n">
        <x:v>0</x:v>
      </x:c>
      <x:c r="S2407" s="28" t="str">
        <x:v>3ce058737f191f43</x:v>
      </x:c>
    </x:row>
    <x:row r="2408" ht="21" customHeight="1">
      <x:c r="A2408" s="60" t="n">
        <x:v>0.69</x:v>
      </x:c>
      <x:c r="B2408" s="28" t="str">
        <x:v>back_flat</x:v>
      </x:c>
      <x:c r="C2408" s="60" t="n">
        <x:v>0.3</x:v>
      </x:c>
      <x:c r="D2408" s="60" t="n">
        <x:v>0.3</x:v>
      </x:c>
      <x:c r="E2408" s="62" t="b">
        <x:v>1</x:v>
      </x:c>
      <x:c r="F2408" s="62" t="b">
        <x:v>1</x:v>
      </x:c>
      <x:c r="G2408" s="85" t="n">
        <x:v>0</x:v>
      </x:c>
      <x:c r="H2408" s="85" t="n">
        <x:v>0</x:v>
      </x:c>
      <x:c r="I2408" s="85" t="n">
        <x:v>21096288.202777583</x:v>
      </x:c>
      <x:c r="J2408" s="85" t="n">
        <x:v>24511621.25221868</x:v>
      </x:c>
      <x:c r="K2408" s="85" t="n">
        <x:v>1731967.7621901971</x:v>
      </x:c>
      <x:c r="L2408" s="28" t="n">
        <x:v>0</x:v>
      </x:c>
      <x:c r="M2408" s="28" t="n">
        <x:v>0</x:v>
      </x:c>
      <x:c r="N2408" s="28" t="n">
        <x:v>1.862645149230957e-9</x:v>
      </x:c>
      <x:c r="O2408" s="28" t="n">
        <x:v>2.9802322387695312e-8</x:v>
      </x:c>
      <x:c r="P2408" s="28" t="n">
        <x:v>0</x:v>
      </x:c>
      <x:c r="Q2408" s="62" t="b">
        <x:v>1</x:v>
      </x:c>
      <x:c r="R2408" s="28" t="n">
        <x:v>0</x:v>
      </x:c>
      <x:c r="S2408" s="28" t="str">
        <x:v>9a68bc2256bacb39</x:v>
      </x:c>
    </x:row>
    <x:row r="2409" ht="21" customHeight="1">
      <x:c r="A2409" s="60" t="n">
        <x:v>0.69</x:v>
      </x:c>
      <x:c r="B2409" s="28" t="str">
        <x:v>back_flat</x:v>
      </x:c>
      <x:c r="C2409" s="60" t="n">
        <x:v>0.35</x:v>
      </x:c>
      <x:c r="D2409" s="60" t="n">
        <x:v>0.35</x:v>
      </x:c>
      <x:c r="E2409" s="62" t="b">
        <x:v>1</x:v>
      </x:c>
      <x:c r="F2409" s="62" t="b">
        <x:v>1</x:v>
      </x:c>
      <x:c r="G2409" s="85" t="n">
        <x:v>0</x:v>
      </x:c>
      <x:c r="H2409" s="85" t="n">
        <x:v>0</x:v>
      </x:c>
      <x:c r="I2409" s="85" t="n">
        <x:v>28985276.169885345</x:v>
      </x:c>
      <x:c r="J2409" s="85" t="n">
        <x:v>29320419.852627937</x:v>
      </x:c>
      <x:c r="K2409" s="85" t="n">
        <x:v>1489991.3159342348</x:v>
      </x:c>
      <x:c r="L2409" s="28" t="n">
        <x:v>6</x:v>
      </x:c>
      <x:c r="M2409" s="28" t="n">
        <x:v>0</x:v>
      </x:c>
      <x:c r="N2409" s="28" t="n">
        <x:v>3.725290298461914e-9</x:v>
      </x:c>
      <x:c r="O2409" s="28" t="n">
        <x:v>2.9802322387695312e-8</x:v>
      </x:c>
      <x:c r="P2409" s="28" t="n">
        <x:v>0</x:v>
      </x:c>
      <x:c r="Q2409" s="62" t="b">
        <x:v>1</x:v>
      </x:c>
      <x:c r="R2409" s="28" t="n">
        <x:v>0</x:v>
      </x:c>
      <x:c r="S2409" s="28" t="str">
        <x:v>754eaed1395c7042</x:v>
      </x:c>
    </x:row>
    <x:row r="2410" ht="21" customHeight="1">
      <x:c r="A2410" s="60" t="n">
        <x:v>0.69</x:v>
      </x:c>
      <x:c r="B2410" s="28" t="str">
        <x:v>back_flat</x:v>
      </x:c>
      <x:c r="C2410" s="60" t="n">
        <x:v>0.4</x:v>
      </x:c>
      <x:c r="D2410" s="60" t="n">
        <x:v>0.4</x:v>
      </x:c>
      <x:c r="E2410" s="62" t="b">
        <x:v>1</x:v>
      </x:c>
      <x:c r="F2410" s="62" t="b">
        <x:v>1</x:v>
      </x:c>
      <x:c r="G2410" s="85" t="n">
        <x:v>0</x:v>
      </x:c>
      <x:c r="H2410" s="85" t="n">
        <x:v>0</x:v>
      </x:c>
      <x:c r="I2410" s="85" t="n">
        <x:v>36171656.99198309</x:v>
      </x:c>
      <x:c r="J2410" s="85" t="n">
        <x:v>35814683.20957177</x:v>
      </x:c>
      <x:c r="K2410" s="85" t="n">
        <x:v>1280421.729334145</x:v>
      </x:c>
      <x:c r="L2410" s="28" t="n">
        <x:v>10</x:v>
      </x:c>
      <x:c r="M2410" s="28" t="n">
        <x:v>0</x:v>
      </x:c>
      <x:c r="N2410" s="28" t="n">
        <x:v>1.862645149230957e-9</x:v>
      </x:c>
      <x:c r="O2410" s="28" t="n">
        <x:v>2.9802322387695312e-8</x:v>
      </x:c>
      <x:c r="P2410" s="28" t="n">
        <x:v>0</x:v>
      </x:c>
      <x:c r="Q2410" s="62" t="b">
        <x:v>1</x:v>
      </x:c>
      <x:c r="R2410" s="28" t="n">
        <x:v>0</x:v>
      </x:c>
      <x:c r="S2410" s="28" t="str">
        <x:v>c9d54146aa73253a</x:v>
      </x:c>
    </x:row>
    <x:row r="2411" ht="21" customHeight="1">
      <x:c r="A2411" s="60" t="n">
        <x:v>0.69</x:v>
      </x:c>
      <x:c r="B2411" s="28" t="str">
        <x:v>back_flat</x:v>
      </x:c>
      <x:c r="C2411" s="60" t="n">
        <x:v>0.45</x:v>
      </x:c>
      <x:c r="D2411" s="60" t="n">
        <x:v>0.45</x:v>
      </x:c>
      <x:c r="E2411" s="62" t="b">
        <x:v>1</x:v>
      </x:c>
      <x:c r="F2411" s="62" t="b">
        <x:v>1</x:v>
      </x:c>
      <x:c r="G2411" s="85" t="n">
        <x:v>0</x:v>
      </x:c>
      <x:c r="H2411" s="85" t="n">
        <x:v>0</x:v>
      </x:c>
      <x:c r="I2411" s="85" t="n">
        <x:v>42804809.541337326</x:v>
      </x:c>
      <x:c r="J2411" s="85" t="n">
        <x:v>43380655.24718456</x:v>
      </x:c>
      <x:c r="K2411" s="85" t="n">
        <x:v>1142671.2542337782</x:v>
      </x:c>
      <x:c r="L2411" s="28" t="n">
        <x:v>13</x:v>
      </x:c>
      <x:c r="M2411" s="28" t="n">
        <x:v>0</x:v>
      </x:c>
      <x:c r="N2411" s="28" t="n">
        <x:v>3.725290298461914e-9</x:v>
      </x:c>
      <x:c r="O2411" s="28" t="n">
        <x:v>1.4901161193847656e-8</x:v>
      </x:c>
      <x:c r="P2411" s="28" t="n">
        <x:v>0</x:v>
      </x:c>
      <x:c r="Q2411" s="62" t="b">
        <x:v>1</x:v>
      </x:c>
      <x:c r="R2411" s="28" t="n">
        <x:v>0</x:v>
      </x:c>
      <x:c r="S2411" s="28" t="str">
        <x:v>cc6469c0ffa3a72c</x:v>
      </x:c>
    </x:row>
    <x:row r="2412" ht="21" customHeight="1">
      <x:c r="A2412" s="60" t="n">
        <x:v>0.69</x:v>
      </x:c>
      <x:c r="B2412" s="28" t="str">
        <x:v>back_flat</x:v>
      </x:c>
      <x:c r="C2412" s="60" t="n">
        <x:v>0.5</x:v>
      </x:c>
      <x:c r="D2412" s="60" t="n">
        <x:v>0.5</x:v>
      </x:c>
      <x:c r="E2412" s="62" t="b">
        <x:v>1</x:v>
      </x:c>
      <x:c r="F2412" s="62" t="b">
        <x:v>1</x:v>
      </x:c>
      <x:c r="G2412" s="85" t="n">
        <x:v>0</x:v>
      </x:c>
      <x:c r="H2412" s="85" t="n">
        <x:v>0</x:v>
      </x:c>
      <x:c r="I2412" s="85" t="n">
        <x:v>48788900.688071705</x:v>
      </x:c>
      <x:c r="J2412" s="85" t="n">
        <x:v>52519343.092912786</x:v>
      </x:c>
      <x:c r="K2412" s="85" t="n">
        <x:v>1004920.7791334301</x:v>
      </x:c>
      <x:c r="L2412" s="28" t="n">
        <x:v>16</x:v>
      </x:c>
      <x:c r="M2412" s="28" t="n">
        <x:v>3</x:v>
      </x:c>
      <x:c r="N2412" s="28" t="n">
        <x:v>3.725290298461914e-9</x:v>
      </x:c>
      <x:c r="O2412" s="28" t="n">
        <x:v>2.9802322387695312e-8</x:v>
      </x:c>
      <x:c r="P2412" s="28" t="n">
        <x:v>0</x:v>
      </x:c>
      <x:c r="Q2412" s="62" t="b">
        <x:v>1</x:v>
      </x:c>
      <x:c r="R2412" s="28" t="n">
        <x:v>0</x:v>
      </x:c>
      <x:c r="S2412" s="28" t="str">
        <x:v>f9aed43fe5e893dd</x:v>
      </x:c>
    </x:row>
    <x:row r="2413" ht="21" customHeight="1">
      <x:c r="A2413" s="60" t="n">
        <x:v>0.69</x:v>
      </x:c>
      <x:c r="B2413" s="28" t="str">
        <x:v>back_flat</x:v>
      </x:c>
      <x:c r="C2413" s="60" t="n">
        <x:v>0.55</x:v>
      </x:c>
      <x:c r="D2413" s="60" t="n">
        <x:v>0.55</x:v>
      </x:c>
      <x:c r="E2413" s="62" t="b">
        <x:v>1</x:v>
      </x:c>
      <x:c r="F2413" s="62" t="b">
        <x:v>0</x:v>
      </x:c>
      <x:c r="G2413" s="85" t="n">
        <x:v>73265.55242409697</x:v>
      </x:c>
      <x:c r="H2413" s="85" t="n">
        <x:v>476635.43542764644</x:v>
      </x:c>
      <x:c r="I2413" s="85" t="n">
        <x:v>53726586.279972024</x:v>
      </x:c>
      <x:c r="J2413" s="85" t="n">
        <x:v>63000000.000000015</x:v>
      </x:c>
      <x:c r="K2413" s="85" t="n">
        <x:v>898358.9827821879</x:v>
      </x:c>
      <x:c r="L2413" s="28" t="n">
        <x:v>40</x:v>
      </x:c>
      <x:c r="M2413" s="28" t="n">
        <x:v>32</x:v>
      </x:c>
      <x:c r="N2413" s="28" t="n">
        <x:v>3.725290298461914e-9</x:v>
      </x:c>
      <x:c r="O2413" s="28" t="n">
        <x:v>2.9802322387695312e-8</x:v>
      </x:c>
      <x:c r="P2413" s="28" t="n">
        <x:v>0</x:v>
      </x:c>
      <x:c r="Q2413" s="62" t="b">
        <x:v>1</x:v>
      </x:c>
      <x:c r="R2413" s="28" t="n">
        <x:v>0</x:v>
      </x:c>
      <x:c r="S2413" s="28" t="str">
        <x:v>738f230249d455ef</x:v>
      </x:c>
    </x:row>
    <x:row r="2414" ht="21" customHeight="1">
      <x:c r="A2414" s="60" t="n">
        <x:v>0.69</x:v>
      </x:c>
      <x:c r="B2414" s="28" t="str">
        <x:v>back_flat</x:v>
      </x:c>
      <x:c r="C2414" s="60" t="n">
        <x:v>0.6</x:v>
      </x:c>
      <x:c r="D2414" s="60" t="n">
        <x:v>0.6</x:v>
      </x:c>
      <x:c r="E2414" s="62" t="b">
        <x:v>1</x:v>
      </x:c>
      <x:c r="F2414" s="62" t="b">
        <x:v>0</x:v>
      </x:c>
      <x:c r="G2414" s="85" t="n">
        <x:v>1745117.5960946397</x:v>
      </x:c>
      <x:c r="H2414" s="85" t="n">
        <x:v>11370772.256891659</x:v>
      </x:c>
      <x:c r="I2414" s="85" t="n">
        <x:v>55060666.827401176</x:v>
      </x:c>
      <x:c r="J2414" s="85" t="n">
        <x:v>63000000.000000015</x:v>
      </x:c>
      <x:c r="K2414" s="85" t="n">
        <x:v>835506.5721260312</x:v>
      </x:c>
      <x:c r="L2414" s="28" t="n">
        <x:v>41</x:v>
      </x:c>
      <x:c r="M2414" s="28" t="n">
        <x:v>32</x:v>
      </x:c>
      <x:c r="N2414" s="28" t="n">
        <x:v>1.862645149230957e-9</x:v>
      </x:c>
      <x:c r="O2414" s="28" t="n">
        <x:v>2.9802322387695312e-8</x:v>
      </x:c>
      <x:c r="P2414" s="28" t="n">
        <x:v>0</x:v>
      </x:c>
      <x:c r="Q2414" s="62" t="b">
        <x:v>1</x:v>
      </x:c>
      <x:c r="R2414" s="28" t="n">
        <x:v>0</x:v>
      </x:c>
      <x:c r="S2414" s="28" t="str">
        <x:v>c540c1f3a9fff5f4</x:v>
      </x:c>
    </x:row>
    <x:row r="2415" ht="21" customHeight="1">
      <x:c r="A2415" s="60" t="n">
        <x:v>0.69</x:v>
      </x:c>
      <x:c r="B2415" s="28" t="str">
        <x:v>back_flat</x:v>
      </x:c>
      <x:c r="C2415" s="60" t="n">
        <x:v>0.65</x:v>
      </x:c>
      <x:c r="D2415" s="60" t="n">
        <x:v>0.65</x:v>
      </x:c>
      <x:c r="E2415" s="62" t="b">
        <x:v>1</x:v>
      </x:c>
      <x:c r="F2415" s="62" t="b">
        <x:v>0</x:v>
      </x:c>
      <x:c r="G2415" s="85" t="n">
        <x:v>3859099.329716052</x:v>
      </x:c>
      <x:c r="H2415" s="85" t="n">
        <x:v>21948380.801621594</x:v>
      </x:c>
      <x:c r="I2415" s="85" t="n">
        <x:v>56278849.31506846</x:v>
      </x:c>
      <x:c r="J2415" s="85" t="n">
        <x:v>63000000.000000015</x:v>
      </x:c>
      <x:c r="K2415" s="85" t="n">
        <x:v>772654.161469864</x:v>
      </x:c>
      <x:c r="L2415" s="28" t="n">
        <x:v>42</x:v>
      </x:c>
      <x:c r="M2415" s="28" t="n">
        <x:v>34</x:v>
      </x:c>
      <x:c r="N2415" s="28" t="n">
        <x:v>1.862645149230957e-9</x:v>
      </x:c>
      <x:c r="O2415" s="28" t="n">
        <x:v>1.4901161193847656e-8</x:v>
      </x:c>
      <x:c r="P2415" s="28" t="n">
        <x:v>0</x:v>
      </x:c>
      <x:c r="Q2415" s="62" t="b">
        <x:v>1</x:v>
      </x:c>
      <x:c r="R2415" s="28" t="n">
        <x:v>0</x:v>
      </x:c>
      <x:c r="S2415" s="28" t="str">
        <x:v>879edddea875cd3a</x:v>
      </x:c>
    </x:row>
    <x:row r="2416" ht="21" customHeight="1">
      <x:c r="A2416" s="60" t="n">
        <x:v>0.69</x:v>
      </x:c>
      <x:c r="B2416" s="28" t="str">
        <x:v>back_flat</x:v>
      </x:c>
      <x:c r="C2416" s="60" t="n">
        <x:v>0.7</x:v>
      </x:c>
      <x:c r="D2416" s="60" t="n">
        <x:v>0.7</x:v>
      </x:c>
      <x:c r="E2416" s="62" t="b">
        <x:v>1</x:v>
      </x:c>
      <x:c r="F2416" s="62" t="b">
        <x:v>0</x:v>
      </x:c>
      <x:c r="G2416" s="85" t="n">
        <x:v>6093477.861690787</x:v>
      </x:c>
      <x:c r="H2416" s="85" t="n">
        <x:v>34012131.653471515</x:v>
      </x:c>
      <x:c r="I2416" s="85" t="n">
        <x:v>56332730.88578029</x:v>
      </x:c>
      <x:c r="J2416" s="85" t="n">
        <x:v>63000000.000000015</x:v>
      </x:c>
      <x:c r="K2416" s="85" t="n">
        <x:v>709801.7508137029</x:v>
      </x:c>
      <x:c r="L2416" s="28" t="n">
        <x:v>42</x:v>
      </x:c>
      <x:c r="M2416" s="28" t="n">
        <x:v>34</x:v>
      </x:c>
      <x:c r="N2416" s="28" t="n">
        <x:v>1.862645149230957e-9</x:v>
      </x:c>
      <x:c r="O2416" s="28" t="n">
        <x:v>2.9802322387695312e-8</x:v>
      </x:c>
      <x:c r="P2416" s="28" t="n">
        <x:v>0</x:v>
      </x:c>
      <x:c r="Q2416" s="62" t="b">
        <x:v>1</x:v>
      </x:c>
      <x:c r="R2416" s="28" t="n">
        <x:v>0</x:v>
      </x:c>
      <x:c r="S2416" s="28" t="str">
        <x:v>27ed252b8174f5d6</x:v>
      </x:c>
    </x:row>
    <x:row r="2417" ht="21" customHeight="1">
      <x:c r="A2417" s="60" t="n">
        <x:v>0.69</x:v>
      </x:c>
      <x:c r="B2417" s="28" t="str">
        <x:v>back_flat</x:v>
      </x:c>
      <x:c r="C2417" s="60" t="n">
        <x:v>0.75</x:v>
      </x:c>
      <x:c r="D2417" s="60" t="n">
        <x:v>0.75</x:v>
      </x:c>
      <x:c r="E2417" s="62" t="b">
        <x:v>1</x:v>
      </x:c>
      <x:c r="F2417" s="62" t="b">
        <x:v>0</x:v>
      </x:c>
      <x:c r="G2417" s="85" t="n">
        <x:v>8774522.318556271</x:v>
      </x:c>
      <x:c r="H2417" s="85" t="n">
        <x:v>45646419.37549211</x:v>
      </x:c>
      <x:c r="I2417" s="85" t="n">
        <x:v>56409227.6831012</x:v>
      </x:c>
      <x:c r="J2417" s="85" t="n">
        <x:v>63000000.000000015</x:v>
      </x:c>
      <x:c r="K2417" s="85" t="n">
        <x:v>646949.3401575472</x:v>
      </x:c>
      <x:c r="L2417" s="28" t="n">
        <x:v>42</x:v>
      </x:c>
      <x:c r="M2417" s="28" t="n">
        <x:v>36</x:v>
      </x:c>
      <x:c r="N2417" s="28" t="n">
        <x:v>1.862645149230957e-9</x:v>
      </x:c>
      <x:c r="O2417" s="28" t="n">
        <x:v>2.9802322387695312e-8</x:v>
      </x:c>
      <x:c r="P2417" s="28" t="n">
        <x:v>0</x:v>
      </x:c>
      <x:c r="Q2417" s="62" t="b">
        <x:v>1</x:v>
      </x:c>
      <x:c r="R2417" s="28" t="n">
        <x:v>0</x:v>
      </x:c>
      <x:c r="S2417" s="28" t="str">
        <x:v>a58e4c4a09487344</x:v>
      </x:c>
    </x:row>
    <x:row r="2418" ht="21" customHeight="1">
      <x:c r="A2418" s="60" t="n">
        <x:v>0.69</x:v>
      </x:c>
      <x:c r="B2418" s="28" t="str">
        <x:v>back_flat</x:v>
      </x:c>
      <x:c r="C2418" s="60" t="n">
        <x:v>0.8</x:v>
      </x:c>
      <x:c r="D2418" s="60" t="n">
        <x:v>0.8</x:v>
      </x:c>
      <x:c r="E2418" s="62" t="b">
        <x:v>1</x:v>
      </x:c>
      <x:c r="F2418" s="62" t="b">
        <x:v>0</x:v>
      </x:c>
      <x:c r="G2418" s="85" t="n">
        <x:v>10907337.116440456</x:v>
      </x:c>
      <x:c r="H2418" s="85" t="n">
        <x:v>55657913.68506029</x:v>
      </x:c>
      <x:c r="I2418" s="85" t="n">
        <x:v>57708190.761852026</x:v>
      </x:c>
      <x:c r="J2418" s="85" t="n">
        <x:v>63000000.000000015</x:v>
      </x:c>
      <x:c r="K2418" s="85" t="n">
        <x:v>584096.9295013691</x:v>
      </x:c>
      <x:c r="L2418" s="28" t="n">
        <x:v>43</x:v>
      </x:c>
      <x:c r="M2418" s="28" t="n">
        <x:v>36</x:v>
      </x:c>
      <x:c r="N2418" s="28" t="n">
        <x:v>1.862645149230957e-9</x:v>
      </x:c>
      <x:c r="O2418" s="28" t="n">
        <x:v>1.4901161193847656e-8</x:v>
      </x:c>
      <x:c r="P2418" s="28" t="n">
        <x:v>0</x:v>
      </x:c>
      <x:c r="Q2418" s="62" t="b">
        <x:v>1</x:v>
      </x:c>
      <x:c r="R2418" s="28" t="n">
        <x:v>0</x:v>
      </x:c>
      <x:c r="S2418" s="28" t="str">
        <x:v>977b32d532cae130</x:v>
      </x:c>
    </x:row>
    <x:row r="2419" ht="21" customHeight="1">
      <x:c r="A2419" s="60" t="n">
        <x:v>0.69</x:v>
      </x:c>
      <x:c r="B2419" s="28" t="str">
        <x:v>back_flat</x:v>
      </x:c>
      <x:c r="C2419" s="60" t="n">
        <x:v>0.85</x:v>
      </x:c>
      <x:c r="D2419" s="60" t="n">
        <x:v>0.85</x:v>
      </x:c>
      <x:c r="E2419" s="62" t="b">
        <x:v>1</x:v>
      </x:c>
      <x:c r="F2419" s="62" t="b">
        <x:v>0</x:v>
      </x:c>
      <x:c r="G2419" s="85" t="n">
        <x:v>15056021.241734426</x:v>
      </x:c>
      <x:c r="H2419" s="85" t="n">
        <x:v>66400412.55070113</x:v>
      </x:c>
      <x:c r="I2419" s="85" t="n">
        <x:v>57742245.57710476</x:v>
      </x:c>
      <x:c r="J2419" s="85" t="n">
        <x:v>63000000.000000015</x:v>
      </x:c>
      <x:c r="K2419" s="85" t="n">
        <x:v>521244.5188452031</x:v>
      </x:c>
      <x:c r="L2419" s="28" t="n">
        <x:v>43</x:v>
      </x:c>
      <x:c r="M2419" s="28" t="n">
        <x:v>37</x:v>
      </x:c>
      <x:c r="N2419" s="28" t="n">
        <x:v>1.862645149230957e-9</x:v>
      </x:c>
      <x:c r="O2419" s="28" t="n">
        <x:v>2.9802322387695312e-8</x:v>
      </x:c>
      <x:c r="P2419" s="28" t="n">
        <x:v>0</x:v>
      </x:c>
      <x:c r="Q2419" s="62" t="b">
        <x:v>1</x:v>
      </x:c>
      <x:c r="R2419" s="28" t="n">
        <x:v>0</x:v>
      </x:c>
      <x:c r="S2419" s="28" t="str">
        <x:v>cdfe4c5816588c8b</x:v>
      </x:c>
    </x:row>
    <x:row r="2420" ht="21" customHeight="1">
      <x:c r="A2420" s="60" t="n">
        <x:v>0.69</x:v>
      </x:c>
      <x:c r="B2420" s="28" t="str">
        <x:v>back_flat</x:v>
      </x:c>
      <x:c r="C2420" s="60" t="n">
        <x:v>0.9</x:v>
      </x:c>
      <x:c r="D2420" s="60" t="n">
        <x:v>0.8948658400492392</x:v>
      </x:c>
      <x:c r="E2420" s="62" t="b">
        <x:v>0</x:v>
      </x:c>
      <x:c r="F2420" s="62" t="b">
        <x:v>0</x:v>
      </x:c>
      <x:c r="G2420" s="85" t="n">
        <x:v>18891981.144339416</x:v>
      </x:c>
      <x:c r="H2420" s="85" t="n">
        <x:v>71527873.50819354</x:v>
      </x:c>
      <x:c r="I2420" s="85" t="n">
        <x:v>58949013.6986301</x:v>
      </x:c>
      <x:c r="J2420" s="85" t="n">
        <x:v>63000000.000000015</x:v>
      </x:c>
      <x:c r="K2420" s="85" t="n">
        <x:v>458392.10818903765</x:v>
      </x:c>
      <x:c r="L2420" s="28" t="n">
        <x:v>44</x:v>
      </x:c>
      <x:c r="M2420" s="28" t="n">
        <x:v>38</x:v>
      </x:c>
      <x:c r="N2420" s="28" t="n">
        <x:v>1.862645149230957e-9</x:v>
      </x:c>
      <x:c r="O2420" s="28" t="n">
        <x:v>2.9802322387695312e-8</x:v>
      </x:c>
      <x:c r="P2420" s="28" t="n">
        <x:v>0</x:v>
      </x:c>
      <x:c r="Q2420" s="62" t="b">
        <x:v>1</x:v>
      </x:c>
      <x:c r="R2420" s="28" t="n">
        <x:v>1540247.9852282405</x:v>
      </x:c>
      <x:c r="S2420" s="28" t="str">
        <x:v>c9a5848972f3be05</x:v>
      </x:c>
    </x:row>
    <x:row r="2421" ht="21" customHeight="1">
      <x:c r="A2421" s="60" t="n">
        <x:v>0.69</x:v>
      </x:c>
      <x:c r="B2421" s="28" t="str">
        <x:v>back_flat</x:v>
      </x:c>
      <x:c r="C2421" s="60" t="n">
        <x:v>0.95</x:v>
      </x:c>
      <x:c r="D2421" s="60" t="n">
        <x:v>0.9083032015334562</x:v>
      </x:c>
      <x:c r="E2421" s="62" t="b">
        <x:v>0</x:v>
      </x:c>
      <x:c r="F2421" s="62" t="b">
        <x:v>0</x:v>
      </x:c>
      <x:c r="G2421" s="85" t="n">
        <x:v>19915412.183891047</x:v>
      </x:c>
      <x:c r="H2421" s="85" t="n">
        <x:v>75402736.88975804</x:v>
      </x:c>
      <x:c r="I2421" s="85" t="n">
        <x:v>58949013.6986301</x:v>
      </x:c>
      <x:c r="J2421" s="85" t="n">
        <x:v>63000000.000000015</x:v>
      </x:c>
      <x:c r="K2421" s="85" t="n">
        <x:v>424569.0091547931</x:v>
      </x:c>
      <x:c r="L2421" s="28" t="n">
        <x:v>44</x:v>
      </x:c>
      <x:c r="M2421" s="28" t="n">
        <x:v>38</x:v>
      </x:c>
      <x:c r="N2421" s="28" t="n">
        <x:v>1.862645149230957e-9</x:v>
      </x:c>
      <x:c r="O2421" s="28" t="n">
        <x:v>2.9802322387695312e-8</x:v>
      </x:c>
      <x:c r="P2421" s="28" t="n">
        <x:v>0</x:v>
      </x:c>
      <x:c r="Q2421" s="62" t="b">
        <x:v>1</x:v>
      </x:c>
      <x:c r="R2421" s="28" t="n">
        <x:v>12509039.539963126</x:v>
      </x:c>
      <x:c r="S2421" s="28" t="str">
        <x:v>ac4d658563238ff8</x:v>
      </x:c>
    </x:row>
    <x:row r="2422" ht="21" customHeight="1">
      <x:c r="A2422" s="60" t="n">
        <x:v>0.69</x:v>
      </x:c>
      <x:c r="B2422" s="28" t="str">
        <x:v>back_flat</x:v>
      </x:c>
      <x:c r="C2422" s="60" t="n">
        <x:v>1</x:v>
      </x:c>
      <x:c r="D2422" s="60" t="n">
        <x:v>0.920601109498915</x:v>
      </x:c>
      <x:c r="E2422" s="62" t="b">
        <x:v>0</x:v>
      </x:c>
      <x:c r="F2422" s="62" t="b">
        <x:v>0</x:v>
      </x:c>
      <x:c r="G2422" s="85" t="n">
        <x:v>21502420.855882</x:v>
      </x:c>
      <x:c r="H2422" s="85" t="n">
        <x:v>78130685.4258445</x:v>
      </x:c>
      <x:c r="I2422" s="85" t="n">
        <x:v>58949013.6986301</x:v>
      </x:c>
      <x:c r="J2422" s="85" t="n">
        <x:v>63000000.000000015</x:v>
      </x:c>
      <x:c r="K2422" s="85" t="n">
        <x:v>405423.45224657614</x:v>
      </x:c>
      <x:c r="L2422" s="28" t="n">
        <x:v>44</x:v>
      </x:c>
      <x:c r="M2422" s="28" t="n">
        <x:v>38</x:v>
      </x:c>
      <x:c r="N2422" s="28" t="n">
        <x:v>1.862645149230957e-9</x:v>
      </x:c>
      <x:c r="O2422" s="28" t="n">
        <x:v>2.9802322387695312e-8</x:v>
      </x:c>
      <x:c r="P2422" s="28" t="n">
        <x:v>0</x:v>
      </x:c>
      <x:c r="Q2422" s="62" t="b">
        <x:v>1</x:v>
      </x:c>
      <x:c r="R2422" s="28" t="n">
        <x:v>23819667.150325477</x:v>
      </x:c>
      <x:c r="S2422" s="28" t="str">
        <x:v>955c5024882cab79</x:v>
      </x:c>
    </x:row>
    <x:row r="2423" ht="21" customHeight="1">
      <x:c r="A2423" s="60" t="n">
        <x:v>0.69</x:v>
      </x:c>
      <x:c r="B2423" s="28" t="str">
        <x:v>back_low</x:v>
      </x:c>
      <x:c r="C2423" s="60" t="n">
        <x:v>0</x:v>
      </x:c>
      <x:c r="D2423" s="60" t="n">
        <x:v>0</x:v>
      </x:c>
      <x:c r="E2423" s="62" t="b">
        <x:v>1</x:v>
      </x:c>
      <x:c r="F2423" s="62" t="b">
        <x:v>1</x:v>
      </x:c>
      <x:c r="G2423" s="85" t="n">
        <x:v>0</x:v>
      </x:c>
      <x:c r="H2423" s="85" t="n">
        <x:v>0</x:v>
      </x:c>
      <x:c r="I2423" s="85" t="n">
        <x:v>0</x:v>
      </x:c>
      <x:c r="J2423" s="85" t="n">
        <x:v>0</x:v>
      </x:c>
      <x:c r="K2423" s="85" t="n">
        <x:v>32434864.01164384</x:v>
      </x:c>
      <x:c r="L2423" s="28" t="n">
        <x:v>0</x:v>
      </x:c>
      <x:c r="M2423" s="28" t="n">
        <x:v>0</x:v>
      </x:c>
      <x:c r="N2423" s="28" t="n">
        <x:v>3.725290298461914e-9</x:v>
      </x:c>
      <x:c r="O2423" s="28" t="n">
        <x:v>0</x:v>
      </x:c>
      <x:c r="P2423" s="28" t="n">
        <x:v>0</x:v>
      </x:c>
      <x:c r="Q2423" s="62" t="b">
        <x:v>1</x:v>
      </x:c>
      <x:c r="R2423" s="28" t="n">
        <x:v>0</x:v>
      </x:c>
      <x:c r="S2423" s="28" t="str">
        <x:v>0665606b451aec52</x:v>
      </x:c>
    </x:row>
    <x:row r="2424" ht="21" customHeight="1">
      <x:c r="A2424" s="60" t="n">
        <x:v>0.69</x:v>
      </x:c>
      <x:c r="B2424" s="28" t="str">
        <x:v>back_low</x:v>
      </x:c>
      <x:c r="C2424" s="60" t="n">
        <x:v>0.05</x:v>
      </x:c>
      <x:c r="D2424" s="60" t="n">
        <x:v>0.05</x:v>
      </x:c>
      <x:c r="E2424" s="62" t="b">
        <x:v>1</x:v>
      </x:c>
      <x:c r="F2424" s="62" t="b">
        <x:v>1</x:v>
      </x:c>
      <x:c r="G2424" s="85" t="n">
        <x:v>0</x:v>
      </x:c>
      <x:c r="H2424" s="85" t="n">
        <x:v>0</x:v>
      </x:c>
      <x:c r="I2424" s="85" t="n">
        <x:v>0</x:v>
      </x:c>
      <x:c r="J2424" s="85" t="n">
        <x:v>0</x:v>
      </x:c>
      <x:c r="K2424" s="85" t="n">
        <x:v>21815644.713032138</x:v>
      </x:c>
      <x:c r="L2424" s="28" t="n">
        <x:v>0</x:v>
      </x:c>
      <x:c r="M2424" s="28" t="n">
        <x:v>0</x:v>
      </x:c>
      <x:c r="N2424" s="28" t="n">
        <x:v>1.862645149230957e-9</x:v>
      </x:c>
      <x:c r="O2424" s="28" t="n">
        <x:v>5.960464477539063e-8</x:v>
      </x:c>
      <x:c r="P2424" s="28" t="n">
        <x:v>0</x:v>
      </x:c>
      <x:c r="Q2424" s="62" t="b">
        <x:v>1</x:v>
      </x:c>
      <x:c r="R2424" s="28" t="n">
        <x:v>0</x:v>
      </x:c>
      <x:c r="S2424" s="28" t="str">
        <x:v>37cf5634205eca89</x:v>
      </x:c>
    </x:row>
    <x:row r="2425" ht="21" customHeight="1">
      <x:c r="A2425" s="60" t="n">
        <x:v>0.69</x:v>
      </x:c>
      <x:c r="B2425" s="28" t="str">
        <x:v>back_low</x:v>
      </x:c>
      <x:c r="C2425" s="60" t="n">
        <x:v>0.1</x:v>
      </x:c>
      <x:c r="D2425" s="60" t="n">
        <x:v>0.1</x:v>
      </x:c>
      <x:c r="E2425" s="62" t="b">
        <x:v>1</x:v>
      </x:c>
      <x:c r="F2425" s="62" t="b">
        <x:v>1</x:v>
      </x:c>
      <x:c r="G2425" s="85" t="n">
        <x:v>0</x:v>
      </x:c>
      <x:c r="H2425" s="85" t="n">
        <x:v>0</x:v>
      </x:c>
      <x:c r="I2425" s="85" t="n">
        <x:v>0</x:v>
      </x:c>
      <x:c r="J2425" s="85" t="n">
        <x:v>0</x:v>
      </x:c>
      <x:c r="K2425" s="85" t="n">
        <x:v>11113673.740704384</x:v>
      </x:c>
      <x:c r="L2425" s="28" t="n">
        <x:v>0</x:v>
      </x:c>
      <x:c r="M2425" s="28" t="n">
        <x:v>0</x:v>
      </x:c>
      <x:c r="N2425" s="28" t="n">
        <x:v>3.725290298461914e-9</x:v>
      </x:c>
      <x:c r="O2425" s="28" t="n">
        <x:v>5.960464477539063e-8</x:v>
      </x:c>
      <x:c r="P2425" s="28" t="n">
        <x:v>0</x:v>
      </x:c>
      <x:c r="Q2425" s="62" t="b">
        <x:v>1</x:v>
      </x:c>
      <x:c r="R2425" s="28" t="n">
        <x:v>0</x:v>
      </x:c>
      <x:c r="S2425" s="28" t="str">
        <x:v>063b9c82a9edfef0</x:v>
      </x:c>
    </x:row>
    <x:row r="2426" ht="21" customHeight="1">
      <x:c r="A2426" s="60" t="n">
        <x:v>0.69</x:v>
      </x:c>
      <x:c r="B2426" s="28" t="str">
        <x:v>back_low</x:v>
      </x:c>
      <x:c r="C2426" s="60" t="n">
        <x:v>0.15</x:v>
      </x:c>
      <x:c r="D2426" s="60" t="n">
        <x:v>0.15</x:v>
      </x:c>
      <x:c r="E2426" s="62" t="b">
        <x:v>1</x:v>
      </x:c>
      <x:c r="F2426" s="62" t="b">
        <x:v>1</x:v>
      </x:c>
      <x:c r="G2426" s="85" t="n">
        <x:v>0</x:v>
      </x:c>
      <x:c r="H2426" s="85" t="n">
        <x:v>0</x:v>
      </x:c>
      <x:c r="I2426" s="85" t="n">
        <x:v>919122.3376370943</x:v>
      </x:c>
      <x:c r="J2426" s="85" t="n">
        <x:v>0</x:v>
      </x:c>
      <x:c r="K2426" s="85" t="n">
        <x:v>1894775.2414263622</x:v>
      </x:c>
      <x:c r="L2426" s="28" t="n">
        <x:v>0</x:v>
      </x:c>
      <x:c r="M2426" s="28" t="n">
        <x:v>0</x:v>
      </x:c>
      <x:c r="N2426" s="28" t="n">
        <x:v>1.862645149230957e-9</x:v>
      </x:c>
      <x:c r="O2426" s="28" t="n">
        <x:v>5.960464477539063e-8</x:v>
      </x:c>
      <x:c r="P2426" s="28" t="n">
        <x:v>0</x:v>
      </x:c>
      <x:c r="Q2426" s="62" t="b">
        <x:v>1</x:v>
      </x:c>
      <x:c r="R2426" s="28" t="n">
        <x:v>0</x:v>
      </x:c>
      <x:c r="S2426" s="28" t="str">
        <x:v>40627e429b94c169</x:v>
      </x:c>
    </x:row>
    <x:row r="2427" ht="21" customHeight="1">
      <x:c r="A2427" s="60" t="n">
        <x:v>0.69</x:v>
      </x:c>
      <x:c r="B2427" s="28" t="str">
        <x:v>back_low</x:v>
      </x:c>
      <x:c r="C2427" s="60" t="n">
        <x:v>0.2</x:v>
      </x:c>
      <x:c r="D2427" s="60" t="n">
        <x:v>0.2</x:v>
      </x:c>
      <x:c r="E2427" s="62" t="b">
        <x:v>1</x:v>
      </x:c>
      <x:c r="F2427" s="62" t="b">
        <x:v>1</x:v>
      </x:c>
      <x:c r="G2427" s="85" t="n">
        <x:v>0</x:v>
      </x:c>
      <x:c r="H2427" s="85" t="n">
        <x:v>0</x:v>
      </x:c>
      <x:c r="I2427" s="85" t="n">
        <x:v>6876089.364907608</x:v>
      </x:c>
      <x:c r="J2427" s="85" t="n">
        <x:v>6341080.834812399</x:v>
      </x:c>
      <x:c r="K2427" s="85" t="n">
        <x:v>1589055.4429063844</x:v>
      </x:c>
      <x:c r="L2427" s="28" t="n">
        <x:v>0</x:v>
      </x:c>
      <x:c r="M2427" s="28" t="n">
        <x:v>0</x:v>
      </x:c>
      <x:c r="N2427" s="28" t="n">
        <x:v>1.862645149230957e-9</x:v>
      </x:c>
      <x:c r="O2427" s="28" t="n">
        <x:v>2.9802322387695312e-8</x:v>
      </x:c>
      <x:c r="P2427" s="28" t="n">
        <x:v>0</x:v>
      </x:c>
      <x:c r="Q2427" s="62" t="b">
        <x:v>1</x:v>
      </x:c>
      <x:c r="R2427" s="28" t="n">
        <x:v>0</x:v>
      </x:c>
      <x:c r="S2427" s="28" t="str">
        <x:v>c3e62e546f641608</x:v>
      </x:c>
    </x:row>
    <x:row r="2428" ht="21" customHeight="1">
      <x:c r="A2428" s="60" t="n">
        <x:v>0.69</x:v>
      </x:c>
      <x:c r="B2428" s="28" t="str">
        <x:v>back_low</x:v>
      </x:c>
      <x:c r="C2428" s="60" t="n">
        <x:v>0.25</x:v>
      </x:c>
      <x:c r="D2428" s="60" t="n">
        <x:v>0.25</x:v>
      </x:c>
      <x:c r="E2428" s="62" t="b">
        <x:v>1</x:v>
      </x:c>
      <x:c r="F2428" s="62" t="b">
        <x:v>1</x:v>
      </x:c>
      <x:c r="G2428" s="85" t="n">
        <x:v>0</x:v>
      </x:c>
      <x:c r="H2428" s="85" t="n">
        <x:v>0</x:v>
      </x:c>
      <x:c r="I2428" s="85" t="n">
        <x:v>10725518.286974862</x:v>
      </x:c>
      <x:c r="J2428" s="85" t="n">
        <x:v>15426351.043515647</x:v>
      </x:c>
      <x:c r="K2428" s="85" t="n">
        <x:v>1362002.5157071038</x:v>
      </x:c>
      <x:c r="L2428" s="28" t="n">
        <x:v>0</x:v>
      </x:c>
      <x:c r="M2428" s="28" t="n">
        <x:v>0</x:v>
      </x:c>
      <x:c r="N2428" s="28" t="n">
        <x:v>9.313225746154785e-10</x:v>
      </x:c>
      <x:c r="O2428" s="28" t="n">
        <x:v>2.9802322387695312e-8</x:v>
      </x:c>
      <x:c r="P2428" s="28" t="n">
        <x:v>0</x:v>
      </x:c>
      <x:c r="Q2428" s="62" t="b">
        <x:v>1</x:v>
      </x:c>
      <x:c r="R2428" s="28" t="n">
        <x:v>0</x:v>
      </x:c>
      <x:c r="S2428" s="28" t="str">
        <x:v>d9f04f5f6cab0813</x:v>
      </x:c>
    </x:row>
    <x:row r="2429" ht="21" customHeight="1">
      <x:c r="A2429" s="60" t="n">
        <x:v>0.69</x:v>
      </x:c>
      <x:c r="B2429" s="28" t="str">
        <x:v>back_low</x:v>
      </x:c>
      <x:c r="C2429" s="60" t="n">
        <x:v>0.3</x:v>
      </x:c>
      <x:c r="D2429" s="60" t="n">
        <x:v>0.3</x:v>
      </x:c>
      <x:c r="E2429" s="62" t="b">
        <x:v>1</x:v>
      </x:c>
      <x:c r="F2429" s="62" t="b">
        <x:v>1</x:v>
      </x:c>
      <x:c r="G2429" s="85" t="n">
        <x:v>0</x:v>
      </x:c>
      <x:c r="H2429" s="85" t="n">
        <x:v>0</x:v>
      </x:c>
      <x:c r="I2429" s="85" t="n">
        <x:v>14623806.215332836</x:v>
      </x:c>
      <x:c r="J2429" s="85" t="n">
        <x:v>24511621.25221868</x:v>
      </x:c>
      <x:c r="K2429" s="85" t="n">
        <x:v>1161759.2532943087</x:v>
      </x:c>
      <x:c r="L2429" s="28" t="n">
        <x:v>0</x:v>
      </x:c>
      <x:c r="M2429" s="28" t="n">
        <x:v>0</x:v>
      </x:c>
      <x:c r="N2429" s="28" t="n">
        <x:v>1.862645149230957e-9</x:v>
      </x:c>
      <x:c r="O2429" s="28" t="n">
        <x:v>2.9802322387695312e-8</x:v>
      </x:c>
      <x:c r="P2429" s="28" t="n">
        <x:v>0</x:v>
      </x:c>
      <x:c r="Q2429" s="62" t="b">
        <x:v>1</x:v>
      </x:c>
      <x:c r="R2429" s="28" t="n">
        <x:v>0</x:v>
      </x:c>
      <x:c r="S2429" s="28" t="str">
        <x:v>c5a63f086fe4e661</x:v>
      </x:c>
    </x:row>
    <x:row r="2430" ht="21" customHeight="1">
      <x:c r="A2430" s="60" t="n">
        <x:v>0.69</x:v>
      </x:c>
      <x:c r="B2430" s="28" t="str">
        <x:v>back_low</x:v>
      </x:c>
      <x:c r="C2430" s="60" t="n">
        <x:v>0.35</x:v>
      </x:c>
      <x:c r="D2430" s="60" t="n">
        <x:v>0.35</x:v>
      </x:c>
      <x:c r="E2430" s="62" t="b">
        <x:v>1</x:v>
      </x:c>
      <x:c r="F2430" s="62" t="b">
        <x:v>1</x:v>
      </x:c>
      <x:c r="G2430" s="85" t="n">
        <x:v>0</x:v>
      </x:c>
      <x:c r="H2430" s="85" t="n">
        <x:v>0</x:v>
      </x:c>
      <x:c r="I2430" s="85" t="n">
        <x:v>21127074.928953692</x:v>
      </x:c>
      <x:c r="J2430" s="85" t="n">
        <x:v>29487281.108940516</x:v>
      </x:c>
      <x:c r="K2430" s="85" t="n">
        <x:v>1026560.7998479116</x:v>
      </x:c>
      <x:c r="L2430" s="28" t="n">
        <x:v>7</x:v>
      </x:c>
      <x:c r="M2430" s="28" t="n">
        <x:v>0</x:v>
      </x:c>
      <x:c r="N2430" s="28" t="n">
        <x:v>1.862645149230957e-9</x:v>
      </x:c>
      <x:c r="O2430" s="28" t="n">
        <x:v>2.9802322387695312e-8</x:v>
      </x:c>
      <x:c r="P2430" s="28" t="n">
        <x:v>0</x:v>
      </x:c>
      <x:c r="Q2430" s="62" t="b">
        <x:v>1</x:v>
      </x:c>
      <x:c r="R2430" s="28" t="n">
        <x:v>0</x:v>
      </x:c>
      <x:c r="S2430" s="28" t="str">
        <x:v>2ef4b33cad6d213c</x:v>
      </x:c>
    </x:row>
    <x:row r="2431" ht="21" customHeight="1">
      <x:c r="A2431" s="60" t="n">
        <x:v>0.69</x:v>
      </x:c>
      <x:c r="B2431" s="28" t="str">
        <x:v>back_low</x:v>
      </x:c>
      <x:c r="C2431" s="60" t="n">
        <x:v>0.4</x:v>
      </x:c>
      <x:c r="D2431" s="60" t="n">
        <x:v>0.4</x:v>
      </x:c>
      <x:c r="E2431" s="62" t="b">
        <x:v>1</x:v>
      </x:c>
      <x:c r="F2431" s="62" t="b">
        <x:v>1</x:v>
      </x:c>
      <x:c r="G2431" s="85" t="n">
        <x:v>0</x:v>
      </x:c>
      <x:c r="H2431" s="85" t="n">
        <x:v>0</x:v>
      </x:c>
      <x:c r="I2431" s="85" t="n">
        <x:v>25938161.156208765</x:v>
      </x:c>
      <x:c r="J2431" s="85" t="n">
        <x:v>37127146.15056262</x:v>
      </x:c>
      <x:c r="K2431" s="85" t="n">
        <x:v>891362.3464015373</x:v>
      </x:c>
      <x:c r="L2431" s="28" t="n">
        <x:v>10</x:v>
      </x:c>
      <x:c r="M2431" s="28" t="n">
        <x:v>0</x:v>
      </x:c>
      <x:c r="N2431" s="28" t="n">
        <x:v>3.725290298461914e-9</x:v>
      </x:c>
      <x:c r="O2431" s="28" t="n">
        <x:v>2.9802322387695312e-8</x:v>
      </x:c>
      <x:c r="P2431" s="28" t="n">
        <x:v>0</x:v>
      </x:c>
      <x:c r="Q2431" s="62" t="b">
        <x:v>1</x:v>
      </x:c>
      <x:c r="R2431" s="28" t="n">
        <x:v>0</x:v>
      </x:c>
      <x:c r="S2431" s="28" t="str">
        <x:v>480f7ea7017996d5</x:v>
      </x:c>
    </x:row>
    <x:row r="2432" ht="21" customHeight="1">
      <x:c r="A2432" s="60" t="n">
        <x:v>0.69</x:v>
      </x:c>
      <x:c r="B2432" s="28" t="str">
        <x:v>back_low</x:v>
      </x:c>
      <x:c r="C2432" s="60" t="n">
        <x:v>0.45</x:v>
      </x:c>
      <x:c r="D2432" s="60" t="n">
        <x:v>0.45</x:v>
      </x:c>
      <x:c r="E2432" s="62" t="b">
        <x:v>1</x:v>
      </x:c>
      <x:c r="F2432" s="62" t="b">
        <x:v>1</x:v>
      </x:c>
      <x:c r="G2432" s="85" t="n">
        <x:v>0</x:v>
      </x:c>
      <x:c r="H2432" s="85" t="n">
        <x:v>0</x:v>
      </x:c>
      <x:c r="I2432" s="85" t="n">
        <x:v>30712084.472104695</x:v>
      </x:c>
      <x:c r="J2432" s="85" t="n">
        <x:v>44822174.77337066</x:v>
      </x:c>
      <x:c r="K2432" s="85" t="n">
        <x:v>785174.0443419971</x:v>
      </x:c>
      <x:c r="L2432" s="28" t="n">
        <x:v>13</x:v>
      </x:c>
      <x:c r="M2432" s="28" t="n">
        <x:v>0</x:v>
      </x:c>
      <x:c r="N2432" s="28" t="n">
        <x:v>3.725290298461914e-9</x:v>
      </x:c>
      <x:c r="O2432" s="28" t="n">
        <x:v>1.4901161193847656e-8</x:v>
      </x:c>
      <x:c r="P2432" s="28" t="n">
        <x:v>0</x:v>
      </x:c>
      <x:c r="Q2432" s="62" t="b">
        <x:v>1</x:v>
      </x:c>
      <x:c r="R2432" s="28" t="n">
        <x:v>0</x:v>
      </x:c>
      <x:c r="S2432" s="28" t="str">
        <x:v>3e262f3515296095</x:v>
      </x:c>
    </x:row>
    <x:row r="2433" ht="21" customHeight="1">
      <x:c r="A2433" s="60" t="n">
        <x:v>0.69</x:v>
      </x:c>
      <x:c r="B2433" s="28" t="str">
        <x:v>back_low</x:v>
      </x:c>
      <x:c r="C2433" s="60" t="n">
        <x:v>0.5</x:v>
      </x:c>
      <x:c r="D2433" s="60" t="n">
        <x:v>0.5</x:v>
      </x:c>
      <x:c r="E2433" s="62" t="b">
        <x:v>1</x:v>
      </x:c>
      <x:c r="F2433" s="62" t="b">
        <x:v>1</x:v>
      </x:c>
      <x:c r="G2433" s="85" t="n">
        <x:v>0</x:v>
      </x:c>
      <x:c r="H2433" s="85" t="n">
        <x:v>0</x:v>
      </x:c>
      <x:c r="I2433" s="85" t="n">
        <x:v>34791961.77919572</x:v>
      </x:c>
      <x:c r="J2433" s="85" t="n">
        <x:v>53591186.52851408</x:v>
      </x:c>
      <x:c r="K2433" s="85" t="n">
        <x:v>708377.9644895899</x:v>
      </x:c>
      <x:c r="L2433" s="28" t="n">
        <x:v>16</x:v>
      </x:c>
      <x:c r="M2433" s="28" t="n">
        <x:v>0</x:v>
      </x:c>
      <x:c r="N2433" s="28" t="n">
        <x:v>3.725290298461914e-9</x:v>
      </x:c>
      <x:c r="O2433" s="28" t="n">
        <x:v>2.9802322387695312e-8</x:v>
      </x:c>
      <x:c r="P2433" s="28" t="n">
        <x:v>0</x:v>
      </x:c>
      <x:c r="Q2433" s="62" t="b">
        <x:v>1</x:v>
      </x:c>
      <x:c r="R2433" s="28" t="n">
        <x:v>0</x:v>
      </x:c>
      <x:c r="S2433" s="28" t="str">
        <x:v>fc59bf5ff8e7eea1</x:v>
      </x:c>
    </x:row>
    <x:row r="2434" ht="21" customHeight="1">
      <x:c r="A2434" s="60" t="n">
        <x:v>0.69</x:v>
      </x:c>
      <x:c r="B2434" s="28" t="str">
        <x:v>back_low</x:v>
      </x:c>
      <x:c r="C2434" s="60" t="n">
        <x:v>0.55</x:v>
      </x:c>
      <x:c r="D2434" s="60" t="n">
        <x:v>0.55</x:v>
      </x:c>
      <x:c r="E2434" s="62" t="b">
        <x:v>1</x:v>
      </x:c>
      <x:c r="F2434" s="62" t="b">
        <x:v>0</x:v>
      </x:c>
      <x:c r="G2434" s="85" t="n">
        <x:v>32888.654068057265</x:v>
      </x:c>
      <x:c r="H2434" s="85" t="n">
        <x:v>529770.1825299049</x:v>
      </x:c>
      <x:c r="I2434" s="85" t="n">
        <x:v>37820712.32876713</x:v>
      </x:c>
      <x:c r="J2434" s="85" t="n">
        <x:v>63000000.000000015</x:v>
      </x:c>
      <x:c r="K2434" s="85" t="n">
        <x:v>631581.8846371798</x:v>
      </x:c>
      <x:c r="L2434" s="28" t="n">
        <x:v>40</x:v>
      </x:c>
      <x:c r="M2434" s="28" t="n">
        <x:v>20</x:v>
      </x:c>
      <x:c r="N2434" s="28" t="n">
        <x:v>1.862645149230957e-9</x:v>
      </x:c>
      <x:c r="O2434" s="28" t="n">
        <x:v>2.9802322387695312e-8</x:v>
      </x:c>
      <x:c r="P2434" s="28" t="n">
        <x:v>0</x:v>
      </x:c>
      <x:c r="Q2434" s="62" t="b">
        <x:v>1</x:v>
      </x:c>
      <x:c r="R2434" s="28" t="n">
        <x:v>0</x:v>
      </x:c>
      <x:c r="S2434" s="28" t="str">
        <x:v>0891f155441098a7</x:v>
      </x:c>
    </x:row>
    <x:row r="2435" ht="21" customHeight="1">
      <x:c r="A2435" s="60" t="n">
        <x:v>0.69</x:v>
      </x:c>
      <x:c r="B2435" s="28" t="str">
        <x:v>back_low</x:v>
      </x:c>
      <x:c r="C2435" s="60" t="n">
        <x:v>0.6</x:v>
      </x:c>
      <x:c r="D2435" s="60" t="n">
        <x:v>0.6</x:v>
      </x:c>
      <x:c r="E2435" s="62" t="b">
        <x:v>1</x:v>
      </x:c>
      <x:c r="F2435" s="62" t="b">
        <x:v>0</x:v>
      </x:c>
      <x:c r="G2435" s="85" t="n">
        <x:v>674861.9434705875</x:v>
      </x:c>
      <x:c r="H2435" s="85" t="n">
        <x:v>10156520.028583856</x:v>
      </x:c>
      <x:c r="I2435" s="85" t="n">
        <x:v>38800787.42876012</x:v>
      </x:c>
      <x:c r="J2435" s="85" t="n">
        <x:v>63000000.000000015</x:v>
      </x:c>
      <x:c r="K2435" s="85" t="n">
        <x:v>563123.4479616391</x:v>
      </x:c>
      <x:c r="L2435" s="28" t="n">
        <x:v>41</x:v>
      </x:c>
      <x:c r="M2435" s="28" t="n">
        <x:v>30</x:v>
      </x:c>
      <x:c r="N2435" s="28" t="n">
        <x:v>1.862645149230957e-9</x:v>
      </x:c>
      <x:c r="O2435" s="28" t="n">
        <x:v>2.9802322387695312e-8</x:v>
      </x:c>
      <x:c r="P2435" s="28" t="n">
        <x:v>0</x:v>
      </x:c>
      <x:c r="Q2435" s="62" t="b">
        <x:v>1</x:v>
      </x:c>
      <x:c r="R2435" s="28" t="n">
        <x:v>0</x:v>
      </x:c>
      <x:c r="S2435" s="28" t="str">
        <x:v>594abb91a4581f03</x:v>
      </x:c>
    </x:row>
    <x:row r="2436" ht="21" customHeight="1">
      <x:c r="A2436" s="60" t="n">
        <x:v>0.69</x:v>
      </x:c>
      <x:c r="B2436" s="28" t="str">
        <x:v>back_low</x:v>
      </x:c>
      <x:c r="C2436" s="60" t="n">
        <x:v>0.65</x:v>
      </x:c>
      <x:c r="D2436" s="60" t="n">
        <x:v>0.65</x:v>
      </x:c>
      <x:c r="E2436" s="62" t="b">
        <x:v>1</x:v>
      </x:c>
      <x:c r="F2436" s="62" t="b">
        <x:v>0</x:v>
      </x:c>
      <x:c r="G2436" s="85" t="n">
        <x:v>1320583.3323600066</x:v>
      </x:c>
      <x:c r="H2436" s="85" t="n">
        <x:v>19900131.324755292</x:v>
      </x:c>
      <x:c r="I2436" s="85" t="n">
        <x:v>39726246.57534247</x:v>
      </x:c>
      <x:c r="J2436" s="85" t="n">
        <x:v>63000000.000000015</x:v>
      </x:c>
      <x:c r="K2436" s="85" t="n">
        <x:v>527956.6102917794</x:v>
      </x:c>
      <x:c r="L2436" s="28" t="n">
        <x:v>42</x:v>
      </x:c>
      <x:c r="M2436" s="28" t="n">
        <x:v>31</x:v>
      </x:c>
      <x:c r="N2436" s="28" t="n">
        <x:v>1.862645149230957e-9</x:v>
      </x:c>
      <x:c r="O2436" s="28" t="n">
        <x:v>1.4901161193847656e-8</x:v>
      </x:c>
      <x:c r="P2436" s="28" t="n">
        <x:v>0</x:v>
      </x:c>
      <x:c r="Q2436" s="62" t="b">
        <x:v>1</x:v>
      </x:c>
      <x:c r="R2436" s="28" t="n">
        <x:v>0</x:v>
      </x:c>
      <x:c r="S2436" s="28" t="str">
        <x:v>bf40fc1b132803cc</x:v>
      </x:c>
    </x:row>
    <x:row r="2437" ht="21" customHeight="1">
      <x:c r="A2437" s="60" t="n">
        <x:v>0.69</x:v>
      </x:c>
      <x:c r="B2437" s="28" t="str">
        <x:v>back_low</x:v>
      </x:c>
      <x:c r="C2437" s="60" t="n">
        <x:v>0.7</x:v>
      </x:c>
      <x:c r="D2437" s="60" t="n">
        <x:v>0.7</x:v>
      </x:c>
      <x:c r="E2437" s="62" t="b">
        <x:v>1</x:v>
      </x:c>
      <x:c r="F2437" s="62" t="b">
        <x:v>0</x:v>
      </x:c>
      <x:c r="G2437" s="85" t="n">
        <x:v>2308732.1743785073</x:v>
      </x:c>
      <x:c r="H2437" s="85" t="n">
        <x:v>30524937.74546799</x:v>
      </x:c>
      <x:c r="I2437" s="85" t="n">
        <x:v>39726246.57534247</x:v>
      </x:c>
      <x:c r="J2437" s="85" t="n">
        <x:v>63000000.000000015</x:v>
      </x:c>
      <x:c r="K2437" s="85" t="n">
        <x:v>492789.7726219185</x:v>
      </x:c>
      <x:c r="L2437" s="28" t="n">
        <x:v>42</x:v>
      </x:c>
      <x:c r="M2437" s="28" t="n">
        <x:v>32</x:v>
      </x:c>
      <x:c r="N2437" s="28" t="n">
        <x:v>1.862645149230957e-9</x:v>
      </x:c>
      <x:c r="O2437" s="28" t="n">
        <x:v>2.9802322387695312e-8</x:v>
      </x:c>
      <x:c r="P2437" s="28" t="n">
        <x:v>0</x:v>
      </x:c>
      <x:c r="Q2437" s="62" t="b">
        <x:v>1</x:v>
      </x:c>
      <x:c r="R2437" s="28" t="n">
        <x:v>0</x:v>
      </x:c>
      <x:c r="S2437" s="28" t="str">
        <x:v>076352e696f5bc91</x:v>
      </x:c>
    </x:row>
    <x:row r="2438" ht="21" customHeight="1">
      <x:c r="A2438" s="60" t="n">
        <x:v>0.69</x:v>
      </x:c>
      <x:c r="B2438" s="28" t="str">
        <x:v>back_low</x:v>
      </x:c>
      <x:c r="C2438" s="60" t="n">
        <x:v>0.75</x:v>
      </x:c>
      <x:c r="D2438" s="60" t="n">
        <x:v>0.75</x:v>
      </x:c>
      <x:c r="E2438" s="62" t="b">
        <x:v>1</x:v>
      </x:c>
      <x:c r="F2438" s="62" t="b">
        <x:v>0</x:v>
      </x:c>
      <x:c r="G2438" s="85" t="n">
        <x:v>3120397.082467844</x:v>
      </x:c>
      <x:c r="H2438" s="85" t="n">
        <x:v>41026110.85901405</x:v>
      </x:c>
      <x:c r="I2438" s="85" t="n">
        <x:v>39726246.57534247</x:v>
      </x:c>
      <x:c r="J2438" s="85" t="n">
        <x:v>63000000.000000015</x:v>
      </x:c>
      <x:c r="K2438" s="85" t="n">
        <x:v>457622.9349520596</x:v>
      </x:c>
      <x:c r="L2438" s="28" t="n">
        <x:v>42</x:v>
      </x:c>
      <x:c r="M2438" s="28" t="n">
        <x:v>32</x:v>
      </x:c>
      <x:c r="N2438" s="28" t="n">
        <x:v>1.862645149230957e-9</x:v>
      </x:c>
      <x:c r="O2438" s="28" t="n">
        <x:v>2.9802322387695312e-8</x:v>
      </x:c>
      <x:c r="P2438" s="28" t="n">
        <x:v>0</x:v>
      </x:c>
      <x:c r="Q2438" s="62" t="b">
        <x:v>1</x:v>
      </x:c>
      <x:c r="R2438" s="28" t="n">
        <x:v>0</x:v>
      </x:c>
      <x:c r="S2438" s="28" t="str">
        <x:v>12d6610bdf080bf4</x:v>
      </x:c>
    </x:row>
    <x:row r="2439" ht="21" customHeight="1">
      <x:c r="A2439" s="60" t="n">
        <x:v>0.69</x:v>
      </x:c>
      <x:c r="B2439" s="28" t="str">
        <x:v>back_low</x:v>
      </x:c>
      <x:c r="C2439" s="60" t="n">
        <x:v>0.8</x:v>
      </x:c>
      <x:c r="D2439" s="60" t="n">
        <x:v>0.8</x:v>
      </x:c>
      <x:c r="E2439" s="62" t="b">
        <x:v>1</x:v>
      </x:c>
      <x:c r="F2439" s="62" t="b">
        <x:v>0</x:v>
      </x:c>
      <x:c r="G2439" s="85" t="n">
        <x:v>4048205.2920511956</x:v>
      </x:c>
      <x:c r="H2439" s="85" t="n">
        <x:v>50323343.495989904</x:v>
      </x:c>
      <x:c r="I2439" s="85" t="n">
        <x:v>40671617.98015343</x:v>
      </x:c>
      <x:c r="J2439" s="85" t="n">
        <x:v>63000000.000000015</x:v>
      </x:c>
      <x:c r="K2439" s="85" t="n">
        <x:v>422456.0972821907</x:v>
      </x:c>
      <x:c r="L2439" s="28" t="n">
        <x:v>43</x:v>
      </x:c>
      <x:c r="M2439" s="28" t="n">
        <x:v>34</x:v>
      </x:c>
      <x:c r="N2439" s="28" t="n">
        <x:v>3.725290298461914e-9</x:v>
      </x:c>
      <x:c r="O2439" s="28" t="n">
        <x:v>1.4901161193847656e-8</x:v>
      </x:c>
      <x:c r="P2439" s="28" t="n">
        <x:v>0</x:v>
      </x:c>
      <x:c r="Q2439" s="62" t="b">
        <x:v>1</x:v>
      </x:c>
      <x:c r="R2439" s="28" t="n">
        <x:v>0</x:v>
      </x:c>
      <x:c r="S2439" s="28" t="str">
        <x:v>11fbc49eca992caa</x:v>
      </x:c>
    </x:row>
    <x:row r="2440" ht="21" customHeight="1">
      <x:c r="A2440" s="60" t="n">
        <x:v>0.69</x:v>
      </x:c>
      <x:c r="B2440" s="28" t="str">
        <x:v>back_low</x:v>
      </x:c>
      <x:c r="C2440" s="60" t="n">
        <x:v>0.85</x:v>
      </x:c>
      <x:c r="D2440" s="60" t="n">
        <x:v>0.85</x:v>
      </x:c>
      <x:c r="E2440" s="62" t="b">
        <x:v>1</x:v>
      </x:c>
      <x:c r="F2440" s="62" t="b">
        <x:v>0</x:v>
      </x:c>
      <x:c r="G2440" s="85" t="n">
        <x:v>5126421.257275549</x:v>
      </x:c>
      <x:c r="H2440" s="85" t="n">
        <x:v>60551751.7950089</x:v>
      </x:c>
      <x:c r="I2440" s="85" t="n">
        <x:v>40690545.47086507</x:v>
      </x:c>
      <x:c r="J2440" s="85" t="n">
        <x:v>63000000.000000015</x:v>
      </x:c>
      <x:c r="K2440" s="85" t="n">
        <x:v>387289.25961232174</x:v>
      </x:c>
      <x:c r="L2440" s="28" t="n">
        <x:v>43</x:v>
      </x:c>
      <x:c r="M2440" s="28" t="n">
        <x:v>34</x:v>
      </x:c>
      <x:c r="N2440" s="28" t="n">
        <x:v>1.862645149230957e-9</x:v>
      </x:c>
      <x:c r="O2440" s="28" t="n">
        <x:v>2.9802322387695312e-8</x:v>
      </x:c>
      <x:c r="P2440" s="28" t="n">
        <x:v>0</x:v>
      </x:c>
      <x:c r="Q2440" s="62" t="b">
        <x:v>1</x:v>
      </x:c>
      <x:c r="R2440" s="28" t="n">
        <x:v>0</x:v>
      </x:c>
      <x:c r="S2440" s="28" t="str">
        <x:v>c2d17a21614d6c24</x:v>
      </x:c>
    </x:row>
    <x:row r="2441" ht="21" customHeight="1">
      <x:c r="A2441" s="60" t="n">
        <x:v>0.69</x:v>
      </x:c>
      <x:c r="B2441" s="28" t="str">
        <x:v>back_low</x:v>
      </x:c>
      <x:c r="C2441" s="60" t="n">
        <x:v>0.9</x:v>
      </x:c>
      <x:c r="D2441" s="60" t="n">
        <x:v>0.8948658400492392</x:v>
      </x:c>
      <x:c r="E2441" s="62" t="b">
        <x:v>0</x:v>
      </x:c>
      <x:c r="F2441" s="62" t="b">
        <x:v>0</x:v>
      </x:c>
      <x:c r="G2441" s="85" t="n">
        <x:v>7626241.7379947845</x:v>
      </x:c>
      <x:c r="H2441" s="85" t="n">
        <x:v>66866324.78243764</x:v>
      </x:c>
      <x:c r="I2441" s="85" t="n">
        <x:v>41611068.49315069</x:v>
      </x:c>
      <x:c r="J2441" s="85" t="n">
        <x:v>63000000.000000015</x:v>
      </x:c>
      <x:c r="K2441" s="85" t="n">
        <x:v>352122.4219424664</x:v>
      </x:c>
      <x:c r="L2441" s="28" t="n">
        <x:v>44</x:v>
      </x:c>
      <x:c r="M2441" s="28" t="n">
        <x:v>34</x:v>
      </x:c>
      <x:c r="N2441" s="28" t="n">
        <x:v>1.862645149230957e-9</x:v>
      </x:c>
      <x:c r="O2441" s="28" t="n">
        <x:v>2.9802322387695312e-8</x:v>
      </x:c>
      <x:c r="P2441" s="28" t="n">
        <x:v>0</x:v>
      </x:c>
      <x:c r="Q2441" s="62" t="b">
        <x:v>1</x:v>
      </x:c>
      <x:c r="R2441" s="28" t="n">
        <x:v>1540247.9852282405</x:v>
      </x:c>
      <x:c r="S2441" s="28" t="str">
        <x:v>c2ece49933fb2849</x:v>
      </x:c>
    </x:row>
    <x:row r="2442" ht="21" customHeight="1">
      <x:c r="A2442" s="60" t="n">
        <x:v>0.69</x:v>
      </x:c>
      <x:c r="B2442" s="28" t="str">
        <x:v>back_low</x:v>
      </x:c>
      <x:c r="C2442" s="60" t="n">
        <x:v>0.95</x:v>
      </x:c>
      <x:c r="D2442" s="60" t="n">
        <x:v>0.9083032015334562</x:v>
      </x:c>
      <x:c r="E2442" s="62" t="b">
        <x:v>0</x:v>
      </x:c>
      <x:c r="F2442" s="62" t="b">
        <x:v>0</x:v>
      </x:c>
      <x:c r="G2442" s="85" t="n">
        <x:v>7992248.1315354975</x:v>
      </x:c>
      <x:c r="H2442" s="85" t="n">
        <x:v>70075441.8316668</x:v>
      </x:c>
      <x:c r="I2442" s="85" t="n">
        <x:v>41611068.49315069</x:v>
      </x:c>
      <x:c r="J2442" s="85" t="n">
        <x:v>63000000.000000015</x:v>
      </x:c>
      <x:c r="K2442" s="85" t="n">
        <x:v>316955.5842726044</x:v>
      </x:c>
      <x:c r="L2442" s="28" t="n">
        <x:v>44</x:v>
      </x:c>
      <x:c r="M2442" s="28" t="n">
        <x:v>35</x:v>
      </x:c>
      <x:c r="N2442" s="28" t="n">
        <x:v>1.862645149230957e-9</x:v>
      </x:c>
      <x:c r="O2442" s="28" t="n">
        <x:v>2.9802322387695312e-8</x:v>
      </x:c>
      <x:c r="P2442" s="28" t="n">
        <x:v>0</x:v>
      </x:c>
      <x:c r="Q2442" s="62" t="b">
        <x:v>1</x:v>
      </x:c>
      <x:c r="R2442" s="28" t="n">
        <x:v>12509039.539963126</x:v>
      </x:c>
      <x:c r="S2442" s="28" t="str">
        <x:v>90f18e6229469ab0</x:v>
      </x:c>
    </x:row>
    <x:row r="2443" ht="21" customHeight="1">
      <x:c r="A2443" s="60" t="n">
        <x:v>0.69</x:v>
      </x:c>
      <x:c r="B2443" s="28" t="str">
        <x:v>back_low</x:v>
      </x:c>
      <x:c r="C2443" s="60" t="n">
        <x:v>1</x:v>
      </x:c>
      <x:c r="D2443" s="60" t="n">
        <x:v>0.920601109498915</x:v>
      </x:c>
      <x:c r="E2443" s="62" t="b">
        <x:v>0</x:v>
      </x:c>
      <x:c r="F2443" s="62" t="b">
        <x:v>0</x:v>
      </x:c>
      <x:c r="G2443" s="85" t="n">
        <x:v>8638317.575613009</x:v>
      </x:c>
      <x:c r="H2443" s="85" t="n">
        <x:v>72687966.32083243</x:v>
      </x:c>
      <x:c r="I2443" s="85" t="n">
        <x:v>41611068.49315069</x:v>
      </x:c>
      <x:c r="J2443" s="85" t="n">
        <x:v>63000000.000000015</x:v>
      </x:c>
      <x:c r="K2443" s="85" t="n">
        <x:v>281788.74660274386</x:v>
      </x:c>
      <x:c r="L2443" s="28" t="n">
        <x:v>44</x:v>
      </x:c>
      <x:c r="M2443" s="28" t="n">
        <x:v>36</x:v>
      </x:c>
      <x:c r="N2443" s="28" t="n">
        <x:v>1.862645149230957e-9</x:v>
      </x:c>
      <x:c r="O2443" s="28" t="n">
        <x:v>2.9802322387695312e-8</x:v>
      </x:c>
      <x:c r="P2443" s="28" t="n">
        <x:v>0</x:v>
      </x:c>
      <x:c r="Q2443" s="62" t="b">
        <x:v>1</x:v>
      </x:c>
      <x:c r="R2443" s="28" t="n">
        <x:v>23819667.150325477</x:v>
      </x:c>
      <x:c r="S2443" s="28" t="str">
        <x:v>0fda72496f16480a</x:v>
      </x:c>
    </x:row>
    <x:row r="2444" ht="21" customHeight="1">
      <x:c r="A2444" s="60" t="n">
        <x:v>0.69</x:v>
      </x:c>
      <x:c r="B2444" s="28" t="str">
        <x:v>back_high</x:v>
      </x:c>
      <x:c r="C2444" s="60" t="n">
        <x:v>0</x:v>
      </x:c>
      <x:c r="D2444" s="60" t="n">
        <x:v>0</x:v>
      </x:c>
      <x:c r="E2444" s="62" t="b">
        <x:v>1</x:v>
      </x:c>
      <x:c r="F2444" s="62" t="b">
        <x:v>1</x:v>
      </x:c>
      <x:c r="G2444" s="85" t="n">
        <x:v>0</x:v>
      </x:c>
      <x:c r="H2444" s="85" t="n">
        <x:v>0</x:v>
      </x:c>
      <x:c r="I2444" s="85" t="n">
        <x:v>0</x:v>
      </x:c>
      <x:c r="J2444" s="85" t="n">
        <x:v>0</x:v>
      </x:c>
      <x:c r="K2444" s="85" t="n">
        <x:v>41245403.285616435</x:v>
      </x:c>
      <x:c r="L2444" s="28" t="n">
        <x:v>0</x:v>
      </x:c>
      <x:c r="M2444" s="28" t="n">
        <x:v>0</x:v>
      </x:c>
      <x:c r="N2444" s="28" t="n">
        <x:v>3.725290298461914e-9</x:v>
      </x:c>
      <x:c r="O2444" s="28" t="n">
        <x:v>0</x:v>
      </x:c>
      <x:c r="P2444" s="28" t="n">
        <x:v>0</x:v>
      </x:c>
      <x:c r="Q2444" s="62" t="b">
        <x:v>1</x:v>
      </x:c>
      <x:c r="R2444" s="28" t="n">
        <x:v>0</x:v>
      </x:c>
      <x:c r="S2444" s="28" t="str">
        <x:v>420889b2946810c3</x:v>
      </x:c>
    </x:row>
    <x:row r="2445" ht="21" customHeight="1">
      <x:c r="A2445" s="60" t="n">
        <x:v>0.69</x:v>
      </x:c>
      <x:c r="B2445" s="28" t="str">
        <x:v>back_high</x:v>
      </x:c>
      <x:c r="C2445" s="60" t="n">
        <x:v>0.05</x:v>
      </x:c>
      <x:c r="D2445" s="60" t="n">
        <x:v>0.05</x:v>
      </x:c>
      <x:c r="E2445" s="62" t="b">
        <x:v>1</x:v>
      </x:c>
      <x:c r="F2445" s="62" t="b">
        <x:v>1</x:v>
      </x:c>
      <x:c r="G2445" s="85" t="n">
        <x:v>0</x:v>
      </x:c>
      <x:c r="H2445" s="85" t="n">
        <x:v>0</x:v>
      </x:c>
      <x:c r="I2445" s="85" t="n">
        <x:v>0</x:v>
      </x:c>
      <x:c r="J2445" s="85" t="n">
        <x:v>0</x:v>
      </x:c>
      <x:c r="K2445" s="85" t="n">
        <x:v>28157410.158086944</x:v>
      </x:c>
      <x:c r="L2445" s="28" t="n">
        <x:v>0</x:v>
      </x:c>
      <x:c r="M2445" s="28" t="n">
        <x:v>0</x:v>
      </x:c>
      <x:c r="N2445" s="28" t="n">
        <x:v>3.725290298461914e-9</x:v>
      </x:c>
      <x:c r="O2445" s="28" t="n">
        <x:v>5.960464477539063e-8</x:v>
      </x:c>
      <x:c r="P2445" s="28" t="n">
        <x:v>0</x:v>
      </x:c>
      <x:c r="Q2445" s="62" t="b">
        <x:v>1</x:v>
      </x:c>
      <x:c r="R2445" s="28" t="n">
        <x:v>0</x:v>
      </x:c>
      <x:c r="S2445" s="28" t="str">
        <x:v>b47ff385f5c5e111</x:v>
      </x:c>
    </x:row>
    <x:row r="2446" ht="21" customHeight="1">
      <x:c r="A2446" s="60" t="n">
        <x:v>0.69</x:v>
      </x:c>
      <x:c r="B2446" s="28" t="str">
        <x:v>back_high</x:v>
      </x:c>
      <x:c r="C2446" s="60" t="n">
        <x:v>0.1</x:v>
      </x:c>
      <x:c r="D2446" s="60" t="n">
        <x:v>0.1</x:v>
      </x:c>
      <x:c r="E2446" s="62" t="b">
        <x:v>1</x:v>
      </x:c>
      <x:c r="F2446" s="62" t="b">
        <x:v>1</x:v>
      </x:c>
      <x:c r="G2446" s="85" t="n">
        <x:v>0</x:v>
      </x:c>
      <x:c r="H2446" s="85" t="n">
        <x:v>0</x:v>
      </x:c>
      <x:c r="I2446" s="85" t="n">
        <x:v>0</x:v>
      </x:c>
      <x:c r="J2446" s="85" t="n">
        <x:v>0</x:v>
      </x:c>
      <x:c r="K2446" s="85" t="n">
        <x:v>14910809.655934941</x:v>
      </x:c>
      <x:c r="L2446" s="28" t="n">
        <x:v>0</x:v>
      </x:c>
      <x:c r="M2446" s="28" t="n">
        <x:v>0</x:v>
      </x:c>
      <x:c r="N2446" s="28" t="n">
        <x:v>3.725290298461914e-9</x:v>
      </x:c>
      <x:c r="O2446" s="28" t="n">
        <x:v>5.960464477539063e-8</x:v>
      </x:c>
      <x:c r="P2446" s="28" t="n">
        <x:v>0</x:v>
      </x:c>
      <x:c r="Q2446" s="62" t="b">
        <x:v>1</x:v>
      </x:c>
      <x:c r="R2446" s="28" t="n">
        <x:v>0</x:v>
      </x:c>
      <x:c r="S2446" s="28" t="str">
        <x:v>5131e76a36de9138</x:v>
      </x:c>
    </x:row>
    <x:row r="2447" ht="21" customHeight="1">
      <x:c r="A2447" s="60" t="n">
        <x:v>0.69</x:v>
      </x:c>
      <x:c r="B2447" s="28" t="str">
        <x:v>back_high</x:v>
      </x:c>
      <x:c r="C2447" s="60" t="n">
        <x:v>0.15</x:v>
      </x:c>
      <x:c r="D2447" s="60" t="n">
        <x:v>0.15</x:v>
      </x:c>
      <x:c r="E2447" s="62" t="b">
        <x:v>1</x:v>
      </x:c>
      <x:c r="F2447" s="62" t="b">
        <x:v>1</x:v>
      </x:c>
      <x:c r="G2447" s="85" t="n">
        <x:v>0</x:v>
      </x:c>
      <x:c r="H2447" s="85" t="n">
        <x:v>0</x:v>
      </x:c>
      <x:c r="I2447" s="85" t="n">
        <x:v>2220524.9882997135</x:v>
      </x:c>
      <x:c r="J2447" s="85" t="n">
        <x:v>0</x:v>
      </x:c>
      <x:c r="K2447" s="85" t="n">
        <x:v>4272845.345448674</x:v>
      </x:c>
      <x:c r="L2447" s="28" t="n">
        <x:v>0</x:v>
      </x:c>
      <x:c r="M2447" s="28" t="n">
        <x:v>0</x:v>
      </x:c>
      <x:c r="N2447" s="28" t="n">
        <x:v>3.725290298461914e-9</x:v>
      </x:c>
      <x:c r="O2447" s="28" t="n">
        <x:v>5.960464477539063e-8</x:v>
      </x:c>
      <x:c r="P2447" s="28" t="n">
        <x:v>0</x:v>
      </x:c>
      <x:c r="Q2447" s="62" t="b">
        <x:v>1</x:v>
      </x:c>
      <x:c r="R2447" s="28" t="n">
        <x:v>0</x:v>
      </x:c>
      <x:c r="S2447" s="28" t="str">
        <x:v>4dcf10fbd3a91e72</x:v>
      </x:c>
    </x:row>
    <x:row r="2448" ht="21" customHeight="1">
      <x:c r="A2448" s="60" t="n">
        <x:v>0.69</x:v>
      </x:c>
      <x:c r="B2448" s="28" t="str">
        <x:v>back_high</x:v>
      </x:c>
      <x:c r="C2448" s="60" t="n">
        <x:v>0.2</x:v>
      </x:c>
      <x:c r="D2448" s="60" t="n">
        <x:v>0.2</x:v>
      </x:c>
      <x:c r="E2448" s="62" t="b">
        <x:v>1</x:v>
      </x:c>
      <x:c r="F2448" s="62" t="b">
        <x:v>1</x:v>
      </x:c>
      <x:c r="G2448" s="85" t="n">
        <x:v>0</x:v>
      </x:c>
      <x:c r="H2448" s="85" t="n">
        <x:v>0</x:v>
      </x:c>
      <x:c r="I2448" s="85" t="n">
        <x:v>11922637.551890114</x:v>
      </x:c>
      <x:c r="J2448" s="85" t="n">
        <x:v>6341080.834812399</x:v>
      </x:c>
      <x:c r="K2448" s="85" t="n">
        <x:v>3398414.563329753</x:v>
      </x:c>
      <x:c r="L2448" s="28" t="n">
        <x:v>0</x:v>
      </x:c>
      <x:c r="M2448" s="28" t="n">
        <x:v>0</x:v>
      </x:c>
      <x:c r="N2448" s="28" t="n">
        <x:v>1.862645149230957e-9</x:v>
      </x:c>
      <x:c r="O2448" s="28" t="n">
        <x:v>2.9802322387695312e-8</x:v>
      </x:c>
      <x:c r="P2448" s="28" t="n">
        <x:v>0</x:v>
      </x:c>
      <x:c r="Q2448" s="62" t="b">
        <x:v>1</x:v>
      </x:c>
      <x:c r="R2448" s="28" t="n">
        <x:v>0</x:v>
      </x:c>
      <x:c r="S2448" s="28" t="str">
        <x:v>e639e94925820197</x:v>
      </x:c>
    </x:row>
    <x:row r="2449" ht="21" customHeight="1">
      <x:c r="A2449" s="60" t="n">
        <x:v>0.69</x:v>
      </x:c>
      <x:c r="B2449" s="28" t="str">
        <x:v>back_high</x:v>
      </x:c>
      <x:c r="C2449" s="60" t="n">
        <x:v>0.25</x:v>
      </x:c>
      <x:c r="D2449" s="60" t="n">
        <x:v>0.25</x:v>
      </x:c>
      <x:c r="E2449" s="62" t="b">
        <x:v>1</x:v>
      </x:c>
      <x:c r="F2449" s="62" t="b">
        <x:v>1</x:v>
      </x:c>
      <x:c r="G2449" s="85" t="n">
        <x:v>0</x:v>
      </x:c>
      <x:c r="H2449" s="85" t="n">
        <x:v>0</x:v>
      </x:c>
      <x:c r="I2449" s="85" t="n">
        <x:v>20308577.65438161</x:v>
      </x:c>
      <x:c r="J2449" s="85" t="n">
        <x:v>15426351.043515647</x:v>
      </x:c>
      <x:c r="K2449" s="85" t="n">
        <x:v>2822858.137723803</x:v>
      </x:c>
      <x:c r="L2449" s="28" t="n">
        <x:v>0</x:v>
      </x:c>
      <x:c r="M2449" s="28" t="n">
        <x:v>0</x:v>
      </x:c>
      <x:c r="N2449" s="28" t="n">
        <x:v>3.725290298461914e-9</x:v>
      </x:c>
      <x:c r="O2449" s="28" t="n">
        <x:v>2.9802322387695312e-8</x:v>
      </x:c>
      <x:c r="P2449" s="28" t="n">
        <x:v>0</x:v>
      </x:c>
      <x:c r="Q2449" s="62" t="b">
        <x:v>1</x:v>
      </x:c>
      <x:c r="R2449" s="28" t="n">
        <x:v>0</x:v>
      </x:c>
      <x:c r="S2449" s="28" t="str">
        <x:v>3b1928f969a30c67</x:v>
      </x:c>
    </x:row>
    <x:row r="2450" ht="21" customHeight="1">
      <x:c r="A2450" s="60" t="n">
        <x:v>0.69</x:v>
      </x:c>
      <x:c r="B2450" s="28" t="str">
        <x:v>back_high</x:v>
      </x:c>
      <x:c r="C2450" s="60" t="n">
        <x:v>0.3</x:v>
      </x:c>
      <x:c r="D2450" s="60" t="n">
        <x:v>0.3</x:v>
      </x:c>
      <x:c r="E2450" s="62" t="b">
        <x:v>1</x:v>
      </x:c>
      <x:c r="F2450" s="62" t="b">
        <x:v>1</x:v>
      </x:c>
      <x:c r="G2450" s="85" t="n">
        <x:v>0</x:v>
      </x:c>
      <x:c r="H2450" s="85" t="n">
        <x:v>0</x:v>
      </x:c>
      <x:c r="I2450" s="85" t="n">
        <x:v>28874495.62307017</x:v>
      </x:c>
      <x:c r="J2450" s="85" t="n">
        <x:v>24511621.25221868</x:v>
      </x:c>
      <x:c r="K2450" s="85" t="n">
        <x:v>2424561.457204994</x:v>
      </x:c>
      <x:c r="L2450" s="28" t="n">
        <x:v>0</x:v>
      </x:c>
      <x:c r="M2450" s="28" t="n">
        <x:v>0</x:v>
      </x:c>
      <x:c r="N2450" s="28" t="n">
        <x:v>3.725290298461914e-9</x:v>
      </x:c>
      <x:c r="O2450" s="28" t="n">
        <x:v>2.9802322387695312e-8</x:v>
      </x:c>
      <x:c r="P2450" s="28" t="n">
        <x:v>0</x:v>
      </x:c>
      <x:c r="Q2450" s="62" t="b">
        <x:v>1</x:v>
      </x:c>
      <x:c r="R2450" s="28" t="n">
        <x:v>0</x:v>
      </x:c>
      <x:c r="S2450" s="28" t="str">
        <x:v>51fa3404a371a247</x:v>
      </x:c>
    </x:row>
    <x:row r="2451" ht="21" customHeight="1">
      <x:c r="A2451" s="60" t="n">
        <x:v>0.69</x:v>
      </x:c>
      <x:c r="B2451" s="28" t="str">
        <x:v>back_high</x:v>
      </x:c>
      <x:c r="C2451" s="60" t="n">
        <x:v>0.35</x:v>
      </x:c>
      <x:c r="D2451" s="60" t="n">
        <x:v>0.35</x:v>
      </x:c>
      <x:c r="E2451" s="62" t="b">
        <x:v>1</x:v>
      </x:c>
      <x:c r="F2451" s="62" t="b">
        <x:v>1</x:v>
      </x:c>
      <x:c r="G2451" s="85" t="n">
        <x:v>0</x:v>
      </x:c>
      <x:c r="H2451" s="85" t="n">
        <x:v>0</x:v>
      </x:c>
      <x:c r="I2451" s="85" t="n">
        <x:v>38619860.42960973</x:v>
      </x:c>
      <x:c r="J2451" s="85" t="n">
        <x:v>28212062.01153982</x:v>
      </x:c>
      <x:c r="K2451" s="85" t="n">
        <x:v>2054384.005780233</x:v>
      </x:c>
      <x:c r="L2451" s="28" t="n">
        <x:v>6</x:v>
      </x:c>
      <x:c r="M2451" s="28" t="n">
        <x:v>0</x:v>
      </x:c>
      <x:c r="N2451" s="28" t="n">
        <x:v>1.862645149230957e-9</x:v>
      </x:c>
      <x:c r="O2451" s="28" t="n">
        <x:v>2.9802322387695312e-8</x:v>
      </x:c>
      <x:c r="P2451" s="28" t="n">
        <x:v>0</x:v>
      </x:c>
      <x:c r="Q2451" s="62" t="b">
        <x:v>1</x:v>
      </x:c>
      <x:c r="R2451" s="28" t="n">
        <x:v>0</x:v>
      </x:c>
      <x:c r="S2451" s="28" t="str">
        <x:v>59b6c376ec4a5414</x:v>
      </x:c>
    </x:row>
    <x:row r="2452" ht="21" customHeight="1">
      <x:c r="A2452" s="60" t="n">
        <x:v>0.69</x:v>
      </x:c>
      <x:c r="B2452" s="28" t="str">
        <x:v>back_high</x:v>
      </x:c>
      <x:c r="C2452" s="60" t="n">
        <x:v>0.4</x:v>
      </x:c>
      <x:c r="D2452" s="60" t="n">
        <x:v>0.4</x:v>
      </x:c>
      <x:c r="E2452" s="62" t="b">
        <x:v>1</x:v>
      </x:c>
      <x:c r="F2452" s="62" t="b">
        <x:v>1</x:v>
      </x:c>
      <x:c r="G2452" s="85" t="n">
        <x:v>0</x:v>
      </x:c>
      <x:c r="H2452" s="85" t="n">
        <x:v>0</x:v>
      </x:c>
      <x:c r="I2452" s="85" t="n">
        <x:v>47660295.34382655</x:v>
      </x:c>
      <x:c r="J2452" s="85" t="n">
        <x:v>34551887.47809783</x:v>
      </x:c>
      <x:c r="K2452" s="85" t="n">
        <x:v>1788814.7780881238</x:v>
      </x:c>
      <x:c r="L2452" s="28" t="n">
        <x:v>9</x:v>
      </x:c>
      <x:c r="M2452" s="28" t="n">
        <x:v>0</x:v>
      </x:c>
      <x:c r="N2452" s="28" t="n">
        <x:v>3.725290298461914e-9</x:v>
      </x:c>
      <x:c r="O2452" s="28" t="n">
        <x:v>2.9802322387695312e-8</x:v>
      </x:c>
      <x:c r="P2452" s="28" t="n">
        <x:v>0</x:v>
      </x:c>
      <x:c r="Q2452" s="62" t="b">
        <x:v>1</x:v>
      </x:c>
      <x:c r="R2452" s="28" t="n">
        <x:v>0</x:v>
      </x:c>
      <x:c r="S2452" s="28" t="str">
        <x:v>d82a7e2248b2dc55</x:v>
      </x:c>
    </x:row>
    <x:row r="2453" ht="21" customHeight="1">
      <x:c r="A2453" s="60" t="n">
        <x:v>0.69</x:v>
      </x:c>
      <x:c r="B2453" s="28" t="str">
        <x:v>back_high</x:v>
      </x:c>
      <x:c r="C2453" s="60" t="n">
        <x:v>0.45</x:v>
      </x:c>
      <x:c r="D2453" s="60" t="n">
        <x:v>0.45</x:v>
      </x:c>
      <x:c r="E2453" s="62" t="b">
        <x:v>1</x:v>
      </x:c>
      <x:c r="F2453" s="62" t="b">
        <x:v>1</x:v>
      </x:c>
      <x:c r="G2453" s="85" t="n">
        <x:v>0</x:v>
      </x:c>
      <x:c r="H2453" s="85" t="n">
        <x:v>0</x:v>
      </x:c>
      <x:c r="I2453" s="85" t="n">
        <x:v>56584907.01009605</x:v>
      </x:c>
      <x:c r="J2453" s="85" t="n">
        <x:v>41411991.05936584</x:v>
      </x:c>
      <x:c r="K2453" s="85" t="n">
        <x:v>1577882.1669587092</x:v>
      </x:c>
      <x:c r="L2453" s="28" t="n">
        <x:v>13</x:v>
      </x:c>
      <x:c r="M2453" s="28" t="n">
        <x:v>3</x:v>
      </x:c>
      <x:c r="N2453" s="28" t="n">
        <x:v>3.725290298461914e-9</x:v>
      </x:c>
      <x:c r="O2453" s="28" t="n">
        <x:v>1.4901161193847656e-8</x:v>
      </x:c>
      <x:c r="P2453" s="28" t="n">
        <x:v>0</x:v>
      </x:c>
      <x:c r="Q2453" s="62" t="b">
        <x:v>1</x:v>
      </x:c>
      <x:c r="R2453" s="28" t="n">
        <x:v>0</x:v>
      </x:c>
      <x:c r="S2453" s="28" t="str">
        <x:v>eeb31edffd94e1b0</x:v>
      </x:c>
    </x:row>
    <x:row r="2454" ht="21" customHeight="1">
      <x:c r="A2454" s="60" t="n">
        <x:v>0.69</x:v>
      </x:c>
      <x:c r="B2454" s="28" t="str">
        <x:v>back_high</x:v>
      </x:c>
      <x:c r="C2454" s="60" t="n">
        <x:v>0.5</x:v>
      </x:c>
      <x:c r="D2454" s="60" t="n">
        <x:v>0.5</x:v>
      </x:c>
      <x:c r="E2454" s="62" t="b">
        <x:v>1</x:v>
      </x:c>
      <x:c r="F2454" s="62" t="b">
        <x:v>1</x:v>
      </x:c>
      <x:c r="G2454" s="85" t="n">
        <x:v>0</x:v>
      </x:c>
      <x:c r="H2454" s="85" t="n">
        <x:v>0</x:v>
      </x:c>
      <x:c r="I2454" s="85" t="n">
        <x:v>65103604.554768905</x:v>
      </x:c>
      <x:c r="J2454" s="85" t="n">
        <x:v>50939586.03864629</x:v>
      </x:c>
      <x:c r="K2454" s="85" t="n">
        <x:v>1366949.5558293113</x:v>
      </x:c>
      <x:c r="L2454" s="28" t="n">
        <x:v>15</x:v>
      </x:c>
      <x:c r="M2454" s="28" t="n">
        <x:v>8</x:v>
      </x:c>
      <x:c r="N2454" s="28" t="n">
        <x:v>3.725290298461914e-9</x:v>
      </x:c>
      <x:c r="O2454" s="28" t="n">
        <x:v>2.9802322387695312e-8</x:v>
      </x:c>
      <x:c r="P2454" s="28" t="n">
        <x:v>0</x:v>
      </x:c>
      <x:c r="Q2454" s="62" t="b">
        <x:v>1</x:v>
      </x:c>
      <x:c r="R2454" s="28" t="n">
        <x:v>0</x:v>
      </x:c>
      <x:c r="S2454" s="28" t="str">
        <x:v>da39c9e50adcdced</x:v>
      </x:c>
    </x:row>
    <x:row r="2455" ht="21" customHeight="1">
      <x:c r="A2455" s="60" t="n">
        <x:v>0.69</x:v>
      </x:c>
      <x:c r="B2455" s="28" t="str">
        <x:v>back_high</x:v>
      </x:c>
      <x:c r="C2455" s="60" t="n">
        <x:v>0.55</x:v>
      </x:c>
      <x:c r="D2455" s="60" t="n">
        <x:v>0.55</x:v>
      </x:c>
      <x:c r="E2455" s="62" t="b">
        <x:v>1</x:v>
      </x:c>
      <x:c r="F2455" s="62" t="b">
        <x:v>0</x:v>
      </x:c>
      <x:c r="G2455" s="85" t="n">
        <x:v>36675.15373326661</x:v>
      </x:c>
      <x:c r="H2455" s="85" t="n">
        <x:v>150981.63345422238</x:v>
      </x:c>
      <x:c r="I2455" s="85" t="n">
        <x:v>72874200.41585153</x:v>
      </x:c>
      <x:c r="J2455" s="85" t="n">
        <x:v>63000000.000000015</x:v>
      </x:c>
      <x:c r="K2455" s="85" t="n">
        <x:v>1262628.5482616357</x:v>
      </x:c>
      <x:c r="L2455" s="28" t="n">
        <x:v>40</x:v>
      </x:c>
      <x:c r="M2455" s="28" t="n">
        <x:v>34</x:v>
      </x:c>
      <x:c r="N2455" s="28" t="n">
        <x:v>3.725290298461914e-9</x:v>
      </x:c>
      <x:c r="O2455" s="28" t="n">
        <x:v>2.9802322387695312e-8</x:v>
      </x:c>
      <x:c r="P2455" s="28" t="n">
        <x:v>0</x:v>
      </x:c>
      <x:c r="Q2455" s="62" t="b">
        <x:v>1</x:v>
      </x:c>
      <x:c r="R2455" s="28" t="n">
        <x:v>0</x:v>
      </x:c>
      <x:c r="S2455" s="28" t="str">
        <x:v>bcade7af65b1b6e7</x:v>
      </x:c>
    </x:row>
    <x:row r="2456" ht="21" customHeight="1">
      <x:c r="A2456" s="60" t="n">
        <x:v>0.69</x:v>
      </x:c>
      <x:c r="B2456" s="28" t="str">
        <x:v>back_high</x:v>
      </x:c>
      <x:c r="C2456" s="60" t="n">
        <x:v>0.6</x:v>
      </x:c>
      <x:c r="D2456" s="60" t="n">
        <x:v>0.6</x:v>
      </x:c>
      <x:c r="E2456" s="62" t="b">
        <x:v>1</x:v>
      </x:c>
      <x:c r="F2456" s="62" t="b">
        <x:v>0</x:v>
      </x:c>
      <x:c r="G2456" s="85" t="n">
        <x:v>3655929.940647129</x:v>
      </x:c>
      <x:c r="H2456" s="85" t="n">
        <x:v>12447791.491489349</x:v>
      </x:c>
      <x:c r="I2456" s="85" t="n">
        <x:v>74593837.27545208</x:v>
      </x:c>
      <x:c r="J2456" s="85" t="n">
        <x:v>63000000.000000015</x:v>
      </x:c>
      <x:c r="K2456" s="85" t="n">
        <x:v>1166537.0071945195</x:v>
      </x:c>
      <x:c r="L2456" s="28" t="n">
        <x:v>41</x:v>
      </x:c>
      <x:c r="M2456" s="28" t="n">
        <x:v>34</x:v>
      </x:c>
      <x:c r="N2456" s="28" t="n">
        <x:v>1.862645149230957e-9</x:v>
      </x:c>
      <x:c r="O2456" s="28" t="n">
        <x:v>2.9802322387695312e-8</x:v>
      </x:c>
      <x:c r="P2456" s="28" t="n">
        <x:v>0</x:v>
      </x:c>
      <x:c r="Q2456" s="62" t="b">
        <x:v>1</x:v>
      </x:c>
      <x:c r="R2456" s="28" t="n">
        <x:v>0</x:v>
      </x:c>
      <x:c r="S2456" s="28" t="str">
        <x:v>9f029ff363164419</x:v>
      </x:c>
    </x:row>
    <x:row r="2457" ht="21" customHeight="1">
      <x:c r="A2457" s="60" t="n">
        <x:v>0.69</x:v>
      </x:c>
      <x:c r="B2457" s="28" t="str">
        <x:v>back_high</x:v>
      </x:c>
      <x:c r="C2457" s="60" t="n">
        <x:v>0.65</x:v>
      </x:c>
      <x:c r="D2457" s="60" t="n">
        <x:v>0.65</x:v>
      </x:c>
      <x:c r="E2457" s="62" t="b">
        <x:v>1</x:v>
      </x:c>
      <x:c r="F2457" s="62" t="b">
        <x:v>0</x:v>
      </x:c>
      <x:c r="G2457" s="85" t="n">
        <x:v>7266042.750334139</x:v>
      </x:c>
      <x:c r="H2457" s="85" t="n">
        <x:v>24208603.169090517</x:v>
      </x:c>
      <x:c r="I2457" s="85" t="n">
        <x:v>76274666.31217945</x:v>
      </x:c>
      <x:c r="J2457" s="85" t="n">
        <x:v>63000000.000000015</x:v>
      </x:c>
      <x:c r="K2457" s="85" t="n">
        <x:v>1070445.4661274082</x:v>
      </x:c>
      <x:c r="L2457" s="28" t="n">
        <x:v>42</x:v>
      </x:c>
      <x:c r="M2457" s="28" t="n">
        <x:v>36</x:v>
      </x:c>
      <x:c r="N2457" s="28" t="n">
        <x:v>3.725290298461914e-9</x:v>
      </x:c>
      <x:c r="O2457" s="28" t="n">
        <x:v>1.4901161193847656e-8</x:v>
      </x:c>
      <x:c r="P2457" s="28" t="n">
        <x:v>0</x:v>
      </x:c>
      <x:c r="Q2457" s="62" t="b">
        <x:v>1</x:v>
      </x:c>
      <x:c r="R2457" s="28" t="n">
        <x:v>0</x:v>
      </x:c>
      <x:c r="S2457" s="28" t="str">
        <x:v>08a0cc9eeb37793a</x:v>
      </x:c>
    </x:row>
    <x:row r="2458" ht="21" customHeight="1">
      <x:c r="A2458" s="60" t="n">
        <x:v>0.69</x:v>
      </x:c>
      <x:c r="B2458" s="28" t="str">
        <x:v>back_high</x:v>
      </x:c>
      <x:c r="C2458" s="60" t="n">
        <x:v>0.7</x:v>
      </x:c>
      <x:c r="D2458" s="60" t="n">
        <x:v>0.7</x:v>
      </x:c>
      <x:c r="E2458" s="62" t="b">
        <x:v>1</x:v>
      </x:c>
      <x:c r="F2458" s="62" t="b">
        <x:v>0</x:v>
      </x:c>
      <x:c r="G2458" s="85" t="n">
        <x:v>12248811.582133012</x:v>
      </x:c>
      <x:c r="H2458" s="85" t="n">
        <x:v>37837799.77516604</x:v>
      </x:c>
      <x:c r="I2458" s="85" t="n">
        <x:v>76391106.11511844</x:v>
      </x:c>
      <x:c r="J2458" s="85" t="n">
        <x:v>63000000.000000015</x:v>
      </x:c>
      <x:c r="K2458" s="85" t="n">
        <x:v>974353.9250602751</x:v>
      </x:c>
      <x:c r="L2458" s="28" t="n">
        <x:v>42</x:v>
      </x:c>
      <x:c r="M2458" s="28" t="n">
        <x:v>36</x:v>
      </x:c>
      <x:c r="N2458" s="28" t="n">
        <x:v>1.862645149230957e-9</x:v>
      </x:c>
      <x:c r="O2458" s="28" t="n">
        <x:v>2.9802322387695312e-8</x:v>
      </x:c>
      <x:c r="P2458" s="28" t="n">
        <x:v>0</x:v>
      </x:c>
      <x:c r="Q2458" s="62" t="b">
        <x:v>1</x:v>
      </x:c>
      <x:c r="R2458" s="28" t="n">
        <x:v>0</x:v>
      </x:c>
      <x:c r="S2458" s="28" t="str">
        <x:v>066e01a19a7bea2a</x:v>
      </x:c>
    </x:row>
    <x:row r="2459" ht="21" customHeight="1">
      <x:c r="A2459" s="60" t="n">
        <x:v>0.69</x:v>
      </x:c>
      <x:c r="B2459" s="28" t="str">
        <x:v>back_high</x:v>
      </x:c>
      <x:c r="C2459" s="60" t="n">
        <x:v>0.75</x:v>
      </x:c>
      <x:c r="D2459" s="60" t="n">
        <x:v>0.75</x:v>
      </x:c>
      <x:c r="E2459" s="62" t="b">
        <x:v>1</x:v>
      </x:c>
      <x:c r="F2459" s="62" t="b">
        <x:v>0</x:v>
      </x:c>
      <x:c r="G2459" s="85" t="n">
        <x:v>16926455.436113108</x:v>
      </x:c>
      <x:c r="H2459" s="85" t="n">
        <x:v>51366805.39975333</x:v>
      </x:c>
      <x:c r="I2459" s="85" t="n">
        <x:v>76507545.91805744</x:v>
      </x:c>
      <x:c r="J2459" s="85" t="n">
        <x:v>63000000.000000015</x:v>
      </x:c>
      <x:c r="K2459" s="85" t="n">
        <x:v>878262.383993144</x:v>
      </x:c>
      <x:c r="L2459" s="28" t="n">
        <x:v>42</x:v>
      </x:c>
      <x:c r="M2459" s="28" t="n">
        <x:v>38</x:v>
      </x:c>
      <x:c r="N2459" s="28" t="n">
        <x:v>1.862645149230957e-9</x:v>
      </x:c>
      <x:c r="O2459" s="28" t="n">
        <x:v>2.9802322387695312e-8</x:v>
      </x:c>
      <x:c r="P2459" s="28" t="n">
        <x:v>0</x:v>
      </x:c>
      <x:c r="Q2459" s="62" t="b">
        <x:v>1</x:v>
      </x:c>
      <x:c r="R2459" s="28" t="n">
        <x:v>0</x:v>
      </x:c>
      <x:c r="S2459" s="28" t="str">
        <x:v>5a863052861d5e26</x:v>
      </x:c>
    </x:row>
    <x:row r="2460" ht="21" customHeight="1">
      <x:c r="A2460" s="60" t="n">
        <x:v>0.69</x:v>
      </x:c>
      <x:c r="B2460" s="28" t="str">
        <x:v>back_high</x:v>
      </x:c>
      <x:c r="C2460" s="60" t="n">
        <x:v>0.8</x:v>
      </x:c>
      <x:c r="D2460" s="60" t="n">
        <x:v>0.8</x:v>
      </x:c>
      <x:c r="E2460" s="62" t="b">
        <x:v>1</x:v>
      </x:c>
      <x:c r="F2460" s="62" t="b">
        <x:v>0</x:v>
      </x:c>
      <x:c r="G2460" s="85" t="n">
        <x:v>21635713.4094683</x:v>
      </x:c>
      <x:c r="H2460" s="85" t="n">
        <x:v>61792371.21848701</x:v>
      </x:c>
      <x:c r="I2460" s="85" t="n">
        <x:v>78151132.8407562</x:v>
      </x:c>
      <x:c r="J2460" s="85" t="n">
        <x:v>63000000.000000015</x:v>
      </x:c>
      <x:c r="K2460" s="85" t="n">
        <x:v>782170.8429260316</x:v>
      </x:c>
      <x:c r="L2460" s="28" t="n">
        <x:v>43</x:v>
      </x:c>
      <x:c r="M2460" s="28" t="n">
        <x:v>38</x:v>
      </x:c>
      <x:c r="N2460" s="28" t="n">
        <x:v>1.862645149230957e-9</x:v>
      </x:c>
      <x:c r="O2460" s="28" t="n">
        <x:v>1.4901161193847656e-8</x:v>
      </x:c>
      <x:c r="P2460" s="28" t="n">
        <x:v>0</x:v>
      </x:c>
      <x:c r="Q2460" s="62" t="b">
        <x:v>1</x:v>
      </x:c>
      <x:c r="R2460" s="28" t="n">
        <x:v>0</x:v>
      </x:c>
      <x:c r="S2460" s="28" t="str">
        <x:v>f60a9352663ecd91</x:v>
      </x:c>
    </x:row>
    <x:row r="2461" ht="21" customHeight="1">
      <x:c r="A2461" s="60" t="n">
        <x:v>0.69</x:v>
      </x:c>
      <x:c r="B2461" s="28" t="str">
        <x:v>back_high</x:v>
      </x:c>
      <x:c r="C2461" s="60" t="n">
        <x:v>0.85</x:v>
      </x:c>
      <x:c r="D2461" s="60" t="n">
        <x:v>0.85</x:v>
      </x:c>
      <x:c r="E2461" s="62" t="b">
        <x:v>1</x:v>
      </x:c>
      <x:c r="F2461" s="62" t="b">
        <x:v>0</x:v>
      </x:c>
      <x:c r="G2461" s="85" t="n">
        <x:v>30707669.081129953</x:v>
      </x:c>
      <x:c r="H2461" s="85" t="n">
        <x:v>71833799.32567748</x:v>
      </x:c>
      <x:c r="I2461" s="85" t="n">
        <x:v>78203349.42977606</x:v>
      </x:c>
      <x:c r="J2461" s="85" t="n">
        <x:v>63000000.000000015</x:v>
      </x:c>
      <x:c r="K2461" s="85" t="n">
        <x:v>698184.6608506992</x:v>
      </x:c>
      <x:c r="L2461" s="28" t="n">
        <x:v>43</x:v>
      </x:c>
      <x:c r="M2461" s="28" t="n">
        <x:v>38</x:v>
      </x:c>
      <x:c r="N2461" s="28" t="n">
        <x:v>1.862645149230957e-9</x:v>
      </x:c>
      <x:c r="O2461" s="28" t="n">
        <x:v>2.9802322387695312e-8</x:v>
      </x:c>
      <x:c r="P2461" s="28" t="n">
        <x:v>0</x:v>
      </x:c>
      <x:c r="Q2461" s="62" t="b">
        <x:v>1</x:v>
      </x:c>
      <x:c r="R2461" s="28" t="n">
        <x:v>0</x:v>
      </x:c>
      <x:c r="S2461" s="28" t="str">
        <x:v>d3fbeba1289fbce9</x:v>
      </x:c>
    </x:row>
    <x:row r="2462" ht="21" customHeight="1">
      <x:c r="A2462" s="60" t="n">
        <x:v>0.69</x:v>
      </x:c>
      <x:c r="B2462" s="28" t="str">
        <x:v>back_high</x:v>
      </x:c>
      <x:c r="C2462" s="60" t="n">
        <x:v>0.9</x:v>
      </x:c>
      <x:c r="D2462" s="60" t="n">
        <x:v>0.8948658400492392</x:v>
      </x:c>
      <x:c r="E2462" s="62" t="b">
        <x:v>0</x:v>
      </x:c>
      <x:c r="F2462" s="62" t="b">
        <x:v>0</x:v>
      </x:c>
      <x:c r="G2462" s="85" t="n">
        <x:v>34327117.261628285</x:v>
      </x:c>
      <x:c r="H2462" s="85" t="n">
        <x:v>77278040.38939594</x:v>
      </x:c>
      <x:c r="I2462" s="85" t="n">
        <x:v>79754547.94520551</x:v>
      </x:c>
      <x:c r="J2462" s="85" t="n">
        <x:v>63000000.000000015</x:v>
      </x:c>
      <x:c r="K2462" s="85" t="n">
        <x:v>640642.301416436</x:v>
      </x:c>
      <x:c r="L2462" s="28" t="n">
        <x:v>44</x:v>
      </x:c>
      <x:c r="M2462" s="28" t="n">
        <x:v>39</x:v>
      </x:c>
      <x:c r="N2462" s="28" t="n">
        <x:v>1.862645149230957e-9</x:v>
      </x:c>
      <x:c r="O2462" s="28" t="n">
        <x:v>2.9802322387695312e-8</x:v>
      </x:c>
      <x:c r="P2462" s="28" t="n">
        <x:v>0</x:v>
      </x:c>
      <x:c r="Q2462" s="62" t="b">
        <x:v>1</x:v>
      </x:c>
      <x:c r="R2462" s="28" t="n">
        <x:v>1540247.9852282405</x:v>
      </x:c>
      <x:c r="S2462" s="28" t="str">
        <x:v>ee3ecbb2df564dd8</x:v>
      </x:c>
    </x:row>
    <x:row r="2463" ht="21" customHeight="1">
      <x:c r="A2463" s="60" t="n">
        <x:v>0.69</x:v>
      </x:c>
      <x:c r="B2463" s="28" t="str">
        <x:v>back_high</x:v>
      </x:c>
      <x:c r="C2463" s="60" t="n">
        <x:v>0.95</x:v>
      </x:c>
      <x:c r="D2463" s="60" t="n">
        <x:v>0.9083032015334562</x:v>
      </x:c>
      <x:c r="E2463" s="62" t="b">
        <x:v>0</x:v>
      </x:c>
      <x:c r="F2463" s="62" t="b">
        <x:v>0</x:v>
      </x:c>
      <x:c r="G2463" s="85" t="n">
        <x:v>36456467.12012728</x:v>
      </x:c>
      <x:c r="H2463" s="85" t="n">
        <x:v>82071684.52543245</x:v>
      </x:c>
      <x:c r="I2463" s="85" t="n">
        <x:v>79754547.94520551</x:v>
      </x:c>
      <x:c r="J2463" s="85" t="n">
        <x:v>63000000.000000015</x:v>
      </x:c>
      <x:c r="K2463" s="85" t="n">
        <x:v>598986.859017808</x:v>
      </x:c>
      <x:c r="L2463" s="28" t="n">
        <x:v>44</x:v>
      </x:c>
      <x:c r="M2463" s="28" t="n">
        <x:v>40</x:v>
      </x:c>
      <x:c r="N2463" s="28" t="n">
        <x:v>3.725290298461914e-9</x:v>
      </x:c>
      <x:c r="O2463" s="28" t="n">
        <x:v>2.9802322387695312e-8</x:v>
      </x:c>
      <x:c r="P2463" s="28" t="n">
        <x:v>0</x:v>
      </x:c>
      <x:c r="Q2463" s="62" t="b">
        <x:v>1</x:v>
      </x:c>
      <x:c r="R2463" s="28" t="n">
        <x:v>12509039.539963126</x:v>
      </x:c>
      <x:c r="S2463" s="28" t="str">
        <x:v>945fa29502be613d</x:v>
      </x:c>
    </x:row>
    <x:row r="2464" ht="21" customHeight="1">
      <x:c r="A2464" s="60" t="n">
        <x:v>0.69</x:v>
      </x:c>
      <x:c r="B2464" s="28" t="str">
        <x:v>back_high</x:v>
      </x:c>
      <x:c r="C2464" s="60" t="n">
        <x:v>1</x:v>
      </x:c>
      <x:c r="D2464" s="60" t="n">
        <x:v>0.920601109498915</x:v>
      </x:c>
      <x:c r="E2464" s="62" t="b">
        <x:v>0</x:v>
      </x:c>
      <x:c r="F2464" s="62" t="b">
        <x:v>0</x:v>
      </x:c>
      <x:c r="G2464" s="85" t="n">
        <x:v>39323601.77088292</x:v>
      </x:c>
      <x:c r="H2464" s="85" t="n">
        <x:v>84958829.9320019</x:v>
      </x:c>
      <x:c r="I2464" s="85" t="n">
        <x:v>79779084.41073975</x:v>
      </x:c>
      <x:c r="J2464" s="85" t="n">
        <x:v>63000000.000000015</x:v>
      </x:c>
      <x:c r="K2464" s="85" t="n">
        <x:v>569971.1673150689</x:v>
      </x:c>
      <x:c r="L2464" s="28" t="n">
        <x:v>44</x:v>
      </x:c>
      <x:c r="M2464" s="28" t="n">
        <x:v>40</x:v>
      </x:c>
      <x:c r="N2464" s="28" t="n">
        <x:v>1.862645149230957e-9</x:v>
      </x:c>
      <x:c r="O2464" s="28" t="n">
        <x:v>2.9802322387695312e-8</x:v>
      </x:c>
      <x:c r="P2464" s="28" t="n">
        <x:v>0</x:v>
      </x:c>
      <x:c r="Q2464" s="62" t="b">
        <x:v>1</x:v>
      </x:c>
      <x:c r="R2464" s="28" t="n">
        <x:v>23819667.150325477</x:v>
      </x:c>
      <x:c r="S2464" s="28" t="str">
        <x:v>40a21965d4fd7395</x:v>
      </x:c>
    </x:row>
    <x:row r="2465" ht="21" customHeight="1">
      <x:c r="A2465" s="60" t="n">
        <x:v>0.69</x:v>
      </x:c>
      <x:c r="B2465" s="28" t="str">
        <x:v>level_flat</x:v>
      </x:c>
      <x:c r="C2465" s="60" t="n">
        <x:v>0</x:v>
      </x:c>
      <x:c r="D2465" s="60" t="n">
        <x:v>0</x:v>
      </x:c>
      <x:c r="E2465" s="62" t="b">
        <x:v>1</x:v>
      </x:c>
      <x:c r="F2465" s="62" t="b">
        <x:v>1</x:v>
      </x:c>
      <x:c r="G2465" s="85" t="n">
        <x:v>0</x:v>
      </x:c>
      <x:c r="H2465" s="85" t="n">
        <x:v>0</x:v>
      </x:c>
      <x:c r="I2465" s="85" t="n">
        <x:v>0</x:v>
      </x:c>
      <x:c r="J2465" s="85" t="n">
        <x:v>0</x:v>
      </x:c>
      <x:c r="K2465" s="85" t="n">
        <x:v>36427690.54589042</x:v>
      </x:c>
      <x:c r="L2465" s="28" t="n">
        <x:v>0</x:v>
      </x:c>
      <x:c r="M2465" s="28" t="n">
        <x:v>0</x:v>
      </x:c>
      <x:c r="N2465" s="28" t="n">
        <x:v>3.725290298461914e-9</x:v>
      </x:c>
      <x:c r="O2465" s="28" t="n">
        <x:v>0</x:v>
      </x:c>
      <x:c r="P2465" s="28" t="n">
        <x:v>0</x:v>
      </x:c>
      <x:c r="Q2465" s="62" t="b">
        <x:v>1</x:v>
      </x:c>
      <x:c r="R2465" s="28" t="n">
        <x:v>0</x:v>
      </x:c>
      <x:c r="S2465" s="28" t="str">
        <x:v>ad2a89e020c5b2df</x:v>
      </x:c>
    </x:row>
    <x:row r="2466" ht="21" customHeight="1">
      <x:c r="A2466" s="60" t="n">
        <x:v>0.69</x:v>
      </x:c>
      <x:c r="B2466" s="28" t="str">
        <x:v>level_flat</x:v>
      </x:c>
      <x:c r="C2466" s="60" t="n">
        <x:v>0.05</x:v>
      </x:c>
      <x:c r="D2466" s="60" t="n">
        <x:v>0.05</x:v>
      </x:c>
      <x:c r="E2466" s="62" t="b">
        <x:v>1</x:v>
      </x:c>
      <x:c r="F2466" s="62" t="b">
        <x:v>1</x:v>
      </x:c>
      <x:c r="G2466" s="85" t="n">
        <x:v>0</x:v>
      </x:c>
      <x:c r="H2466" s="85" t="n">
        <x:v>0</x:v>
      </x:c>
      <x:c r="I2466" s="85" t="n">
        <x:v>0</x:v>
      </x:c>
      <x:c r="J2466" s="85" t="n">
        <x:v>0</x:v>
      </x:c>
      <x:c r="K2466" s="85" t="n">
        <x:v>24527552.420697235</x:v>
      </x:c>
      <x:c r="L2466" s="28" t="n">
        <x:v>0</x:v>
      </x:c>
      <x:c r="M2466" s="28" t="n">
        <x:v>0</x:v>
      </x:c>
      <x:c r="N2466" s="28" t="n">
        <x:v>1.862645149230957e-9</x:v>
      </x:c>
      <x:c r="O2466" s="28" t="n">
        <x:v>2.9802322387695312e-8</x:v>
      </x:c>
      <x:c r="P2466" s="28" t="n">
        <x:v>0</x:v>
      </x:c>
      <x:c r="Q2466" s="62" t="b">
        <x:v>1</x:v>
      </x:c>
      <x:c r="R2466" s="28" t="n">
        <x:v>0</x:v>
      </x:c>
      <x:c r="S2466" s="28" t="str">
        <x:v>8d537f211138973f</x:v>
      </x:c>
    </x:row>
    <x:row r="2467" ht="21" customHeight="1">
      <x:c r="A2467" s="60" t="n">
        <x:v>0.69</x:v>
      </x:c>
      <x:c r="B2467" s="28" t="str">
        <x:v>level_flat</x:v>
      </x:c>
      <x:c r="C2467" s="60" t="n">
        <x:v>0.1</x:v>
      </x:c>
      <x:c r="D2467" s="60" t="n">
        <x:v>0.1</x:v>
      </x:c>
      <x:c r="E2467" s="62" t="b">
        <x:v>1</x:v>
      </x:c>
      <x:c r="F2467" s="62" t="b">
        <x:v>1</x:v>
      </x:c>
      <x:c r="G2467" s="85" t="n">
        <x:v>0</x:v>
      </x:c>
      <x:c r="H2467" s="85" t="n">
        <x:v>0</x:v>
      </x:c>
      <x:c r="I2467" s="85" t="n">
        <x:v>0</x:v>
      </x:c>
      <x:c r="J2467" s="85" t="n">
        <x:v>0</x:v>
      </x:c>
      <x:c r="K2467" s="85" t="n">
        <x:v>12509470.136469014</x:v>
      </x:c>
      <x:c r="L2467" s="28" t="n">
        <x:v>0</x:v>
      </x:c>
      <x:c r="M2467" s="28" t="n">
        <x:v>0</x:v>
      </x:c>
      <x:c r="N2467" s="28" t="n">
        <x:v>3.725290298461914e-9</x:v>
      </x:c>
      <x:c r="O2467" s="28" t="n">
        <x:v>5.960464477539063e-8</x:v>
      </x:c>
      <x:c r="P2467" s="28" t="n">
        <x:v>0</x:v>
      </x:c>
      <x:c r="Q2467" s="62" t="b">
        <x:v>1</x:v>
      </x:c>
      <x:c r="R2467" s="28" t="n">
        <x:v>0</x:v>
      </x:c>
      <x:c r="S2467" s="28" t="str">
        <x:v>b0548f23e4d3342f</x:v>
      </x:c>
    </x:row>
    <x:row r="2468" ht="21" customHeight="1">
      <x:c r="A2468" s="60" t="n">
        <x:v>0.69</x:v>
      </x:c>
      <x:c r="B2468" s="28" t="str">
        <x:v>level_flat</x:v>
      </x:c>
      <x:c r="C2468" s="60" t="n">
        <x:v>0.15</x:v>
      </x:c>
      <x:c r="D2468" s="60" t="n">
        <x:v>0.15</x:v>
      </x:c>
      <x:c r="E2468" s="62" t="b">
        <x:v>1</x:v>
      </x:c>
      <x:c r="F2468" s="62" t="b">
        <x:v>1</x:v>
      </x:c>
      <x:c r="G2468" s="85" t="n">
        <x:v>0</x:v>
      </x:c>
      <x:c r="H2468" s="85" t="n">
        <x:v>0</x:v>
      </x:c>
      <x:c r="I2468" s="85" t="n">
        <x:v>1487413.2697239518</x:v>
      </x:c>
      <x:c r="J2468" s="85" t="n">
        <x:v>0</x:v>
      </x:c>
      <x:c r="K2468" s="85" t="n">
        <x:v>2482968.8619575924</x:v>
      </x:c>
      <x:c r="L2468" s="28" t="n">
        <x:v>0</x:v>
      </x:c>
      <x:c r="M2468" s="28" t="n">
        <x:v>0</x:v>
      </x:c>
      <x:c r="N2468" s="28" t="n">
        <x:v>1.862645149230957e-9</x:v>
      </x:c>
      <x:c r="O2468" s="28" t="n">
        <x:v>2.9802322387695312e-8</x:v>
      </x:c>
      <x:c r="P2468" s="28" t="n">
        <x:v>0</x:v>
      </x:c>
      <x:c r="Q2468" s="62" t="b">
        <x:v>1</x:v>
      </x:c>
      <x:c r="R2468" s="28" t="n">
        <x:v>0</x:v>
      </x:c>
      <x:c r="S2468" s="28" t="str">
        <x:v>a2fbbdf7c0aa12df</x:v>
      </x:c>
    </x:row>
    <x:row r="2469" ht="21" customHeight="1">
      <x:c r="A2469" s="60" t="n">
        <x:v>0.69</x:v>
      </x:c>
      <x:c r="B2469" s="28" t="str">
        <x:v>level_flat</x:v>
      </x:c>
      <x:c r="C2469" s="60" t="n">
        <x:v>0.2</x:v>
      </x:c>
      <x:c r="D2469" s="60" t="n">
        <x:v>0.2</x:v>
      </x:c>
      <x:c r="E2469" s="62" t="b">
        <x:v>1</x:v>
      </x:c>
      <x:c r="F2469" s="62" t="b">
        <x:v>1</x:v>
      </x:c>
      <x:c r="G2469" s="85" t="n">
        <x:v>0</x:v>
      </x:c>
      <x:c r="H2469" s="85" t="n">
        <x:v>0</x:v>
      </x:c>
      <x:c r="I2469" s="85" t="n">
        <x:v>9173379.487899054</x:v>
      </x:c>
      <x:c r="J2469" s="85" t="n">
        <x:v>6323003.27253421</x:v>
      </x:c>
      <x:c r="K2469" s="85" t="n">
        <x:v>1860130.5716814082</x:v>
      </x:c>
      <x:c r="L2469" s="28" t="n">
        <x:v>0</x:v>
      </x:c>
      <x:c r="M2469" s="28" t="n">
        <x:v>0</x:v>
      </x:c>
      <x:c r="N2469" s="28" t="n">
        <x:v>1.862645149230957e-9</x:v>
      </x:c>
      <x:c r="O2469" s="28" t="n">
        <x:v>2.9802322387695312e-8</x:v>
      </x:c>
      <x:c r="P2469" s="28" t="n">
        <x:v>0</x:v>
      </x:c>
      <x:c r="Q2469" s="62" t="b">
        <x:v>1</x:v>
      </x:c>
      <x:c r="R2469" s="28" t="n">
        <x:v>0</x:v>
      </x:c>
      <x:c r="S2469" s="28" t="str">
        <x:v>6a67c96cee50bea3</x:v>
      </x:c>
    </x:row>
    <x:row r="2470" ht="21" customHeight="1">
      <x:c r="A2470" s="60" t="n">
        <x:v>0.69</x:v>
      </x:c>
      <x:c r="B2470" s="28" t="str">
        <x:v>level_flat</x:v>
      </x:c>
      <x:c r="C2470" s="60" t="n">
        <x:v>0.25</x:v>
      </x:c>
      <x:c r="D2470" s="60" t="n">
        <x:v>0.25</x:v>
      </x:c>
      <x:c r="E2470" s="62" t="b">
        <x:v>1</x:v>
      </x:c>
      <x:c r="F2470" s="62" t="b">
        <x:v>1</x:v>
      </x:c>
      <x:c r="G2470" s="85" t="n">
        <x:v>0</x:v>
      </x:c>
      <x:c r="H2470" s="85" t="n">
        <x:v>0</x:v>
      </x:c>
      <x:c r="I2470" s="85" t="n">
        <x:v>15171795.108704928</x:v>
      </x:c>
      <x:c r="J2470" s="85" t="n">
        <x:v>15403754.090667719</x:v>
      </x:c>
      <x:c r="K2470" s="85" t="n">
        <x:v>1429545.6371534271</x:v>
      </x:c>
      <x:c r="L2470" s="28" t="n">
        <x:v>0</x:v>
      </x:c>
      <x:c r="M2470" s="28" t="n">
        <x:v>0</x:v>
      </x:c>
      <x:c r="N2470" s="28" t="n">
        <x:v>3.725290298461914e-9</x:v>
      </x:c>
      <x:c r="O2470" s="28" t="n">
        <x:v>2.9802322387695312e-8</x:v>
      </x:c>
      <x:c r="P2470" s="28" t="n">
        <x:v>0</x:v>
      </x:c>
      <x:c r="Q2470" s="62" t="b">
        <x:v>1</x:v>
      </x:c>
      <x:c r="R2470" s="28" t="n">
        <x:v>0</x:v>
      </x:c>
      <x:c r="S2470" s="28" t="str">
        <x:v>583e9f3c9d3bb409</x:v>
      </x:c>
    </x:row>
    <x:row r="2471" ht="21" customHeight="1">
      <x:c r="A2471" s="60" t="n">
        <x:v>0.69</x:v>
      </x:c>
      <x:c r="B2471" s="28" t="str">
        <x:v>level_flat</x:v>
      </x:c>
      <x:c r="C2471" s="60" t="n">
        <x:v>0.3</x:v>
      </x:c>
      <x:c r="D2471" s="60" t="n">
        <x:v>0.3</x:v>
      </x:c>
      <x:c r="E2471" s="62" t="b">
        <x:v>1</x:v>
      </x:c>
      <x:c r="F2471" s="62" t="b">
        <x:v>1</x:v>
      </x:c>
      <x:c r="G2471" s="85" t="n">
        <x:v>0</x:v>
      </x:c>
      <x:c r="H2471" s="85" t="n">
        <x:v>0</x:v>
      </x:c>
      <x:c r="I2471" s="85" t="n">
        <x:v>21319006.87654314</x:v>
      </x:c>
      <x:c r="J2471" s="85" t="n">
        <x:v>24484504.908801146</x:v>
      </x:c>
      <x:c r="K2471" s="85" t="n">
        <x:v>1101014.0098663063</x:v>
      </x:c>
      <x:c r="L2471" s="28" t="n">
        <x:v>0</x:v>
      </x:c>
      <x:c r="M2471" s="28" t="n">
        <x:v>0</x:v>
      </x:c>
      <x:c r="N2471" s="28" t="n">
        <x:v>3.725290298461914e-9</x:v>
      </x:c>
      <x:c r="O2471" s="28" t="n">
        <x:v>7.450580596923828e-9</x:v>
      </x:c>
      <x:c r="P2471" s="28" t="n">
        <x:v>0</x:v>
      </x:c>
      <x:c r="Q2471" s="62" t="b">
        <x:v>1</x:v>
      </x:c>
      <x:c r="R2471" s="28" t="n">
        <x:v>0</x:v>
      </x:c>
      <x:c r="S2471" s="28" t="str">
        <x:v>2d876297c56b9453</x:v>
      </x:c>
    </x:row>
    <x:row r="2472" ht="21" customHeight="1">
      <x:c r="A2472" s="60" t="n">
        <x:v>0.69</x:v>
      </x:c>
      <x:c r="B2472" s="28" t="str">
        <x:v>level_flat</x:v>
      </x:c>
      <x:c r="C2472" s="60" t="n">
        <x:v>0.35</x:v>
      </x:c>
      <x:c r="D2472" s="60" t="n">
        <x:v>0.35</x:v>
      </x:c>
      <x:c r="E2472" s="62" t="b">
        <x:v>1</x:v>
      </x:c>
      <x:c r="F2472" s="62" t="b">
        <x:v>1</x:v>
      </x:c>
      <x:c r="G2472" s="85" t="n">
        <x:v>0</x:v>
      </x:c>
      <x:c r="H2472" s="85" t="n">
        <x:v>0</x:v>
      </x:c>
      <x:c r="I2472" s="85" t="n">
        <x:v>29265532.974102523</x:v>
      </x:c>
      <x:c r="J2472" s="85" t="n">
        <x:v>29388855.56483698</x:v>
      </x:c>
      <x:c r="K2472" s="85" t="n">
        <x:v>887445.4231545299</x:v>
      </x:c>
      <x:c r="L2472" s="28" t="n">
        <x:v>5</x:v>
      </x:c>
      <x:c r="M2472" s="28" t="n">
        <x:v>0</x:v>
      </x:c>
      <x:c r="N2472" s="28" t="n">
        <x:v>3.725290298461914e-9</x:v>
      </x:c>
      <x:c r="O2472" s="28" t="n">
        <x:v>2.9802322387695312e-8</x:v>
      </x:c>
      <x:c r="P2472" s="28" t="n">
        <x:v>0</x:v>
      </x:c>
      <x:c r="Q2472" s="62" t="b">
        <x:v>1</x:v>
      </x:c>
      <x:c r="R2472" s="28" t="n">
        <x:v>0</x:v>
      </x:c>
      <x:c r="S2472" s="28" t="str">
        <x:v>a9e1419a2a3f86c0</x:v>
      </x:c>
    </x:row>
    <x:row r="2473" ht="21" customHeight="1">
      <x:c r="A2473" s="60" t="n">
        <x:v>0.69</x:v>
      </x:c>
      <x:c r="B2473" s="28" t="str">
        <x:v>level_flat</x:v>
      </x:c>
      <x:c r="C2473" s="60" t="n">
        <x:v>0.4</x:v>
      </x:c>
      <x:c r="D2473" s="60" t="n">
        <x:v>0.4</x:v>
      </x:c>
      <x:c r="E2473" s="62" t="b">
        <x:v>1</x:v>
      </x:c>
      <x:c r="F2473" s="62" t="b">
        <x:v>1</x:v>
      </x:c>
      <x:c r="G2473" s="85" t="n">
        <x:v>0</x:v>
      </x:c>
      <x:c r="H2473" s="85" t="n">
        <x:v>0</x:v>
      </x:c>
      <x:c r="I2473" s="85" t="n">
        <x:v>37348437.178470396</x:v>
      </x:c>
      <x:c r="J2473" s="85" t="n">
        <x:v>33962108.20848801</x:v>
      </x:c>
      <x:c r="K2473" s="85" t="n">
        <x:v>751703.3579178159</x:v>
      </x:c>
      <x:c r="L2473" s="28" t="n">
        <x:v>11</x:v>
      </x:c>
      <x:c r="M2473" s="28" t="n">
        <x:v>0</x:v>
      </x:c>
      <x:c r="N2473" s="28" t="n">
        <x:v>3.725290298461914e-9</x:v>
      </x:c>
      <x:c r="O2473" s="28" t="n">
        <x:v>2.9802322387695312e-8</x:v>
      </x:c>
      <x:c r="P2473" s="28" t="n">
        <x:v>0</x:v>
      </x:c>
      <x:c r="Q2473" s="62" t="b">
        <x:v>1</x:v>
      </x:c>
      <x:c r="R2473" s="28" t="n">
        <x:v>0</x:v>
      </x:c>
      <x:c r="S2473" s="28" t="str">
        <x:v>ee3c64d4fe026be2</x:v>
      </x:c>
    </x:row>
    <x:row r="2474" ht="21" customHeight="1">
      <x:c r="A2474" s="60" t="n">
        <x:v>0.69</x:v>
      </x:c>
      <x:c r="B2474" s="28" t="str">
        <x:v>level_flat</x:v>
      </x:c>
      <x:c r="C2474" s="60" t="n">
        <x:v>0.45</x:v>
      </x:c>
      <x:c r="D2474" s="60" t="n">
        <x:v>0.45</x:v>
      </x:c>
      <x:c r="E2474" s="62" t="b">
        <x:v>1</x:v>
      </x:c>
      <x:c r="F2474" s="62" t="b">
        <x:v>1</x:v>
      </x:c>
      <x:c r="G2474" s="85" t="n">
        <x:v>0</x:v>
      </x:c>
      <x:c r="H2474" s="85" t="n">
        <x:v>0</x:v>
      </x:c>
      <x:c r="I2474" s="85" t="n">
        <x:v>44153634.420286365</x:v>
      </x:c>
      <x:c r="J2474" s="85" t="n">
        <x:v>41500210.611578986</x:v>
      </x:c>
      <x:c r="K2474" s="85" t="n">
        <x:v>646949.3401575472</x:v>
      </x:c>
      <x:c r="L2474" s="28" t="n">
        <x:v>14</x:v>
      </x:c>
      <x:c r="M2474" s="28" t="n">
        <x:v>0</x:v>
      </x:c>
      <x:c r="N2474" s="28" t="n">
        <x:v>1.862645149230957e-9</x:v>
      </x:c>
      <x:c r="O2474" s="28" t="n">
        <x:v>2.9802322387695312e-8</x:v>
      </x:c>
      <x:c r="P2474" s="28" t="n">
        <x:v>0</x:v>
      </x:c>
      <x:c r="Q2474" s="62" t="b">
        <x:v>1</x:v>
      </x:c>
      <x:c r="R2474" s="28" t="n">
        <x:v>0</x:v>
      </x:c>
      <x:c r="S2474" s="28" t="str">
        <x:v>ba633171f949dc1e</x:v>
      </x:c>
    </x:row>
    <x:row r="2475" ht="21" customHeight="1">
      <x:c r="A2475" s="60" t="n">
        <x:v>0.69</x:v>
      </x:c>
      <x:c r="B2475" s="28" t="str">
        <x:v>level_flat</x:v>
      </x:c>
      <x:c r="C2475" s="60" t="n">
        <x:v>0.5</x:v>
      </x:c>
      <x:c r="D2475" s="60" t="n">
        <x:v>0.5</x:v>
      </x:c>
      <x:c r="E2475" s="62" t="b">
        <x:v>1</x:v>
      </x:c>
      <x:c r="F2475" s="62" t="b">
        <x:v>1</x:v>
      </x:c>
      <x:c r="G2475" s="85" t="n">
        <x:v>0</x:v>
      </x:c>
      <x:c r="H2475" s="85" t="n">
        <x:v>0</x:v>
      </x:c>
      <x:c r="I2475" s="85" t="n">
        <x:v>50451232.37208557</x:v>
      </x:c>
      <x:c r="J2475" s="85" t="n">
        <x:v>50527029.523846745</x:v>
      </x:c>
      <x:c r="K2475" s="85" t="n">
        <x:v>542195.32239726</x:v>
      </x:c>
      <x:c r="L2475" s="28" t="n">
        <x:v>17</x:v>
      </x:c>
      <x:c r="M2475" s="28" t="n">
        <x:v>2</x:v>
      </x:c>
      <x:c r="N2475" s="28" t="n">
        <x:v>1.862645149230957e-9</x:v>
      </x:c>
      <x:c r="O2475" s="28" t="n">
        <x:v>1.4901161193847656e-8</x:v>
      </x:c>
      <x:c r="P2475" s="28" t="n">
        <x:v>0</x:v>
      </x:c>
      <x:c r="Q2475" s="62" t="b">
        <x:v>1</x:v>
      </x:c>
      <x:c r="R2475" s="28" t="n">
        <x:v>0</x:v>
      </x:c>
      <x:c r="S2475" s="28" t="str">
        <x:v>69de388add77a64b</x:v>
      </x:c>
    </x:row>
    <x:row r="2476" ht="21" customHeight="1">
      <x:c r="A2476" s="60" t="n">
        <x:v>0.69</x:v>
      </x:c>
      <x:c r="B2476" s="28" t="str">
        <x:v>level_flat</x:v>
      </x:c>
      <x:c r="C2476" s="60" t="n">
        <x:v>0.55</x:v>
      </x:c>
      <x:c r="D2476" s="60" t="n">
        <x:v>0.55</x:v>
      </x:c>
      <x:c r="E2476" s="62" t="b">
        <x:v>1</x:v>
      </x:c>
      <x:c r="F2476" s="62" t="b">
        <x:v>1</x:v>
      </x:c>
      <x:c r="G2476" s="85" t="n">
        <x:v>0</x:v>
      </x:c>
      <x:c r="H2476" s="85" t="n">
        <x:v>0</x:v>
      </x:c>
      <x:c r="I2476" s="85" t="n">
        <x:v>56487035.91541439</x:v>
      </x:c>
      <x:c r="J2476" s="85" t="n">
        <x:v>59890881.28187478</x:v>
      </x:c>
      <x:c r="K2476" s="85" t="n">
        <x:v>440102.31767808326</x:v>
      </x:c>
      <x:c r="L2476" s="28" t="n">
        <x:v>22</x:v>
      </x:c>
      <x:c r="M2476" s="28" t="n">
        <x:v>7</x:v>
      </x:c>
      <x:c r="N2476" s="28" t="n">
        <x:v>1.862645149230957e-9</x:v>
      </x:c>
      <x:c r="O2476" s="28" t="n">
        <x:v>2.9802322387695312e-8</x:v>
      </x:c>
      <x:c r="P2476" s="28" t="n">
        <x:v>0</x:v>
      </x:c>
      <x:c r="Q2476" s="62" t="b">
        <x:v>1</x:v>
      </x:c>
      <x:c r="R2476" s="28" t="n">
        <x:v>0</x:v>
      </x:c>
      <x:c r="S2476" s="28" t="str">
        <x:v>d408dce4b0fe6b87</x:v>
      </x:c>
    </x:row>
    <x:row r="2477" ht="21" customHeight="1">
      <x:c r="A2477" s="60" t="n">
        <x:v>0.69</x:v>
      </x:c>
      <x:c r="B2477" s="28" t="str">
        <x:v>level_flat</x:v>
      </x:c>
      <x:c r="C2477" s="60" t="n">
        <x:v>0.6</x:v>
      </x:c>
      <x:c r="D2477" s="60" t="n">
        <x:v>0.6</x:v>
      </x:c>
      <x:c r="E2477" s="62" t="b">
        <x:v>1</x:v>
      </x:c>
      <x:c r="F2477" s="62" t="b">
        <x:v>0</x:v>
      </x:c>
      <x:c r="G2477" s="85" t="n">
        <x:v>1202705.3242730882</x:v>
      </x:c>
      <x:c r="H2477" s="85" t="n">
        <x:v>7824516.778530378</x:v>
      </x:c>
      <x:c r="I2477" s="85" t="n">
        <x:v>58949013.6986301</x:v>
      </x:c>
      <x:c r="J2477" s="85" t="n">
        <x:v>63000000.000000015</x:v>
      </x:c>
      <x:c r="K2477" s="85" t="n">
        <x:v>405423.45224657614</x:v>
      </x:c>
      <x:c r="L2477" s="28" t="n">
        <x:v>44</x:v>
      </x:c>
      <x:c r="M2477" s="28" t="n">
        <x:v>32</x:v>
      </x:c>
      <x:c r="N2477" s="28" t="n">
        <x:v>1.862645149230957e-9</x:v>
      </x:c>
      <x:c r="O2477" s="28" t="n">
        <x:v>2.9802322387695312e-8</x:v>
      </x:c>
      <x:c r="P2477" s="28" t="n">
        <x:v>0</x:v>
      </x:c>
      <x:c r="Q2477" s="62" t="b">
        <x:v>1</x:v>
      </x:c>
      <x:c r="R2477" s="28" t="n">
        <x:v>0</x:v>
      </x:c>
      <x:c r="S2477" s="28" t="str">
        <x:v>650c97b1a984c92f</x:v>
      </x:c>
    </x:row>
    <x:row r="2478" ht="21" customHeight="1">
      <x:c r="A2478" s="60" t="n">
        <x:v>0.69</x:v>
      </x:c>
      <x:c r="B2478" s="28" t="str">
        <x:v>level_flat</x:v>
      </x:c>
      <x:c r="C2478" s="60" t="n">
        <x:v>0.65</x:v>
      </x:c>
      <x:c r="D2478" s="60" t="n">
        <x:v>0.65</x:v>
      </x:c>
      <x:c r="E2478" s="62" t="b">
        <x:v>1</x:v>
      </x:c>
      <x:c r="F2478" s="62" t="b">
        <x:v>0</x:v>
      </x:c>
      <x:c r="G2478" s="85" t="n">
        <x:v>3593386.0821764115</x:v>
      </x:c>
      <x:c r="H2478" s="85" t="n">
        <x:v>20441602.361030843</x:v>
      </x:c>
      <x:c r="I2478" s="85" t="n">
        <x:v>58949013.6986301</x:v>
      </x:c>
      <x:c r="J2478" s="85" t="n">
        <x:v>63000000.000000015</x:v>
      </x:c>
      <x:c r="K2478" s="85" t="n">
        <x:v>373514.19073287386</x:v>
      </x:c>
      <x:c r="L2478" s="28" t="n">
        <x:v>44</x:v>
      </x:c>
      <x:c r="M2478" s="28" t="n">
        <x:v>34</x:v>
      </x:c>
      <x:c r="N2478" s="28" t="n">
        <x:v>1.862645149230957e-9</x:v>
      </x:c>
      <x:c r="O2478" s="28" t="n">
        <x:v>2.9802322387695312e-8</x:v>
      </x:c>
      <x:c r="P2478" s="28" t="n">
        <x:v>0</x:v>
      </x:c>
      <x:c r="Q2478" s="62" t="b">
        <x:v>1</x:v>
      </x:c>
      <x:c r="R2478" s="28" t="n">
        <x:v>0</x:v>
      </x:c>
      <x:c r="S2478" s="28" t="str">
        <x:v>cb8bfed1ca96d25b</x:v>
      </x:c>
    </x:row>
    <x:row r="2479" ht="21" customHeight="1">
      <x:c r="A2479" s="60" t="n">
        <x:v>0.69</x:v>
      </x:c>
      <x:c r="B2479" s="28" t="str">
        <x:v>level_flat</x:v>
      </x:c>
      <x:c r="C2479" s="60" t="n">
        <x:v>0.7</x:v>
      </x:c>
      <x:c r="D2479" s="60" t="n">
        <x:v>0.7</x:v>
      </x:c>
      <x:c r="E2479" s="62" t="b">
        <x:v>1</x:v>
      </x:c>
      <x:c r="F2479" s="62" t="b">
        <x:v>0</x:v>
      </x:c>
      <x:c r="G2479" s="85" t="n">
        <x:v>5506174.368435784</x:v>
      </x:c>
      <x:c r="H2479" s="85" t="n">
        <x:v>30971979.064716022</x:v>
      </x:c>
      <x:c r="I2479" s="85" t="n">
        <x:v>60298767.12328763</x:v>
      </x:c>
      <x:c r="J2479" s="85" t="n">
        <x:v>63000000.000000015</x:v>
      </x:c>
      <x:c r="K2479" s="85" t="n">
        <x:v>341604.9292191828</x:v>
      </x:c>
      <x:c r="L2479" s="28" t="n">
        <x:v>45</x:v>
      </x:c>
      <x:c r="M2479" s="28" t="n">
        <x:v>36</x:v>
      </x:c>
      <x:c r="N2479" s="28" t="n">
        <x:v>1.862645149230957e-9</x:v>
      </x:c>
      <x:c r="O2479" s="28" t="n">
        <x:v>2.9802322387695312e-8</x:v>
      </x:c>
      <x:c r="P2479" s="28" t="n">
        <x:v>0</x:v>
      </x:c>
      <x:c r="Q2479" s="62" t="b">
        <x:v>1</x:v>
      </x:c>
      <x:c r="R2479" s="28" t="n">
        <x:v>0</x:v>
      </x:c>
      <x:c r="S2479" s="28" t="str">
        <x:v>654f2b53c0432511</x:v>
      </x:c>
    </x:row>
    <x:row r="2480" ht="21" customHeight="1">
      <x:c r="A2480" s="60" t="n">
        <x:v>0.69</x:v>
      </x:c>
      <x:c r="B2480" s="28" t="str">
        <x:v>level_flat</x:v>
      </x:c>
      <x:c r="C2480" s="60" t="n">
        <x:v>0.75</x:v>
      </x:c>
      <x:c r="D2480" s="60" t="n">
        <x:v>0.75</x:v>
      </x:c>
      <x:c r="E2480" s="62" t="b">
        <x:v>1</x:v>
      </x:c>
      <x:c r="F2480" s="62" t="b">
        <x:v>0</x:v>
      </x:c>
      <x:c r="G2480" s="85" t="n">
        <x:v>8149369.818342761</x:v>
      </x:c>
      <x:c r="H2480" s="85" t="n">
        <x:v>43045322.57989322</x:v>
      </x:c>
      <x:c r="I2480" s="85" t="n">
        <x:v>60314488.937123254</x:v>
      </x:c>
      <x:c r="J2480" s="85" t="n">
        <x:v>63000000.000000015</x:v>
      </x:c>
      <x:c r="K2480" s="85" t="n">
        <x:v>309695.66770548053</x:v>
      </x:c>
      <x:c r="L2480" s="28" t="n">
        <x:v>45</x:v>
      </x:c>
      <x:c r="M2480" s="28" t="n">
        <x:v>36</x:v>
      </x:c>
      <x:c r="N2480" s="28" t="n">
        <x:v>1.862645149230957e-9</x:v>
      </x:c>
      <x:c r="O2480" s="28" t="n">
        <x:v>2.9802322387695312e-8</x:v>
      </x:c>
      <x:c r="P2480" s="28" t="n">
        <x:v>0</x:v>
      </x:c>
      <x:c r="Q2480" s="62" t="b">
        <x:v>1</x:v>
      </x:c>
      <x:c r="R2480" s="28" t="n">
        <x:v>0</x:v>
      </x:c>
      <x:c r="S2480" s="28" t="str">
        <x:v>05a4f77a8a91e2e4</x:v>
      </x:c>
    </x:row>
    <x:row r="2481" ht="21" customHeight="1">
      <x:c r="A2481" s="60" t="n">
        <x:v>0.69</x:v>
      </x:c>
      <x:c r="B2481" s="28" t="str">
        <x:v>level_flat</x:v>
      </x:c>
      <x:c r="C2481" s="60" t="n">
        <x:v>0.8</x:v>
      </x:c>
      <x:c r="D2481" s="60" t="n">
        <x:v>0.8</x:v>
      </x:c>
      <x:c r="E2481" s="62" t="b">
        <x:v>1</x:v>
      </x:c>
      <x:c r="F2481" s="62" t="b">
        <x:v>0</x:v>
      </x:c>
      <x:c r="G2481" s="85" t="n">
        <x:v>10748033.528274566</x:v>
      </x:c>
      <x:c r="H2481" s="85" t="n">
        <x:v>54964813.590346895</x:v>
      </x:c>
      <x:c r="I2481" s="85" t="n">
        <x:v>60345908.366904065</x:v>
      </x:c>
      <x:c r="J2481" s="85" t="n">
        <x:v>63000000.000000015</x:v>
      </x:c>
      <x:c r="K2481" s="85" t="n">
        <x:v>277786.4061917871</x:v>
      </x:c>
      <x:c r="L2481" s="28" t="n">
        <x:v>45</x:v>
      </x:c>
      <x:c r="M2481" s="28" t="n">
        <x:v>38</x:v>
      </x:c>
      <x:c r="N2481" s="28" t="n">
        <x:v>1.862645149230957e-9</x:v>
      </x:c>
      <x:c r="O2481" s="28" t="n">
        <x:v>2.9802322387695312e-8</x:v>
      </x:c>
      <x:c r="P2481" s="28" t="n">
        <x:v>0</x:v>
      </x:c>
      <x:c r="Q2481" s="62" t="b">
        <x:v>1</x:v>
      </x:c>
      <x:c r="R2481" s="28" t="n">
        <x:v>0</x:v>
      </x:c>
      <x:c r="S2481" s="28" t="str">
        <x:v>46ee72b151d57e87</x:v>
      </x:c>
    </x:row>
    <x:row r="2482" ht="21" customHeight="1">
      <x:c r="A2482" s="60" t="n">
        <x:v>0.69</x:v>
      </x:c>
      <x:c r="B2482" s="28" t="str">
        <x:v>level_flat</x:v>
      </x:c>
      <x:c r="C2482" s="60" t="n">
        <x:v>0.85</x:v>
      </x:c>
      <x:c r="D2482" s="60" t="n">
        <x:v>0.85</x:v>
      </x:c>
      <x:c r="E2482" s="62" t="b">
        <x:v>1</x:v>
      </x:c>
      <x:c r="F2482" s="62" t="b">
        <x:v>0</x:v>
      </x:c>
      <x:c r="G2482" s="85" t="n">
        <x:v>13858846.75464417</x:v>
      </x:c>
      <x:c r="H2482" s="85" t="n">
        <x:v>66409010.84676893</x:v>
      </x:c>
      <x:c r="I2482" s="85" t="n">
        <x:v>60377327.79668489</x:v>
      </x:c>
      <x:c r="J2482" s="85" t="n">
        <x:v>63000000.000000015</x:v>
      </x:c>
      <x:c r="K2482" s="85" t="n">
        <x:v>245877.14467808395</x:v>
      </x:c>
      <x:c r="L2482" s="28" t="n">
        <x:v>45</x:v>
      </x:c>
      <x:c r="M2482" s="28" t="n">
        <x:v>38</x:v>
      </x:c>
      <x:c r="N2482" s="28" t="n">
        <x:v>9.313225746154785e-10</x:v>
      </x:c>
      <x:c r="O2482" s="28" t="n">
        <x:v>2.9802322387695312e-8</x:v>
      </x:c>
      <x:c r="P2482" s="28" t="n">
        <x:v>0</x:v>
      </x:c>
      <x:c r="Q2482" s="62" t="b">
        <x:v>1</x:v>
      </x:c>
      <x:c r="R2482" s="28" t="n">
        <x:v>0</x:v>
      </x:c>
      <x:c r="S2482" s="28" t="str">
        <x:v>f68c4abf487a4e5d</x:v>
      </x:c>
    </x:row>
    <x:row r="2483" ht="21" customHeight="1">
      <x:c r="A2483" s="60" t="n">
        <x:v>0.69</x:v>
      </x:c>
      <x:c r="B2483" s="28" t="str">
        <x:v>level_flat</x:v>
      </x:c>
      <x:c r="C2483" s="60" t="n">
        <x:v>0.9</x:v>
      </x:c>
      <x:c r="D2483" s="60" t="n">
        <x:v>0.9</x:v>
      </x:c>
      <x:c r="E2483" s="62" t="b">
        <x:v>1</x:v>
      </x:c>
      <x:c r="F2483" s="62" t="b">
        <x:v>0</x:v>
      </x:c>
      <x:c r="G2483" s="85" t="n">
        <x:v>19490667.30268937</x:v>
      </x:c>
      <x:c r="H2483" s="85" t="n">
        <x:v>74697811.77213824</x:v>
      </x:c>
      <x:c r="I2483" s="85" t="n">
        <x:v>60408747.22646571</x:v>
      </x:c>
      <x:c r="J2483" s="85" t="n">
        <x:v>63000000.000000015</x:v>
      </x:c>
      <x:c r="K2483" s="85" t="n">
        <x:v>213967.8831643868</x:v>
      </x:c>
      <x:c r="L2483" s="28" t="n">
        <x:v>45</x:v>
      </x:c>
      <x:c r="M2483" s="28" t="n">
        <x:v>40</x:v>
      </x:c>
      <x:c r="N2483" s="28" t="n">
        <x:v>1.862645149230957e-9</x:v>
      </x:c>
      <x:c r="O2483" s="28" t="n">
        <x:v>7.450580596923828e-9</x:v>
      </x:c>
      <x:c r="P2483" s="28" t="n">
        <x:v>0</x:v>
      </x:c>
      <x:c r="Q2483" s="62" t="b">
        <x:v>1</x:v>
      </x:c>
      <x:c r="R2483" s="28" t="n">
        <x:v>0</x:v>
      </x:c>
      <x:c r="S2483" s="28" t="str">
        <x:v>d25a6aac353ebe56</x:v>
      </x:c>
    </x:row>
    <x:row r="2484" ht="21" customHeight="1">
      <x:c r="A2484" s="60" t="n">
        <x:v>0.69</x:v>
      </x:c>
      <x:c r="B2484" s="28" t="str">
        <x:v>level_flat</x:v>
      </x:c>
      <x:c r="C2484" s="60" t="n">
        <x:v>0.95</x:v>
      </x:c>
      <x:c r="D2484" s="60" t="n">
        <x:v>0.9219114501462435</x:v>
      </x:c>
      <x:c r="E2484" s="62" t="b">
        <x:v>0</x:v>
      </x:c>
      <x:c r="F2484" s="62" t="b">
        <x:v>0</x:v>
      </x:c>
      <x:c r="G2484" s="85" t="n">
        <x:v>20604290.080259234</x:v>
      </x:c>
      <x:c r="H2484" s="85" t="n">
        <x:v>78010931.90422201</x:v>
      </x:c>
      <x:c r="I2484" s="85" t="n">
        <x:v>61648520.547945164</x:v>
      </x:c>
      <x:c r="J2484" s="85" t="n">
        <x:v>63000000.000000015</x:v>
      </x:c>
      <x:c r="K2484" s="85" t="n">
        <x:v>182058.621650692</x:v>
      </x:c>
      <x:c r="L2484" s="28" t="n">
        <x:v>46</x:v>
      </x:c>
      <x:c r="M2484" s="28" t="n">
        <x:v>40</x:v>
      </x:c>
      <x:c r="N2484" s="28" t="n">
        <x:v>9.313225746154785e-10</x:v>
      </x:c>
      <x:c r="O2484" s="28" t="n">
        <x:v>1.4901161193847656e-8</x:v>
      </x:c>
      <x:c r="P2484" s="28" t="n">
        <x:v>0</x:v>
      </x:c>
      <x:c r="Q2484" s="62" t="b">
        <x:v>1</x:v>
      </x:c>
      <x:c r="R2484" s="28" t="n">
        <x:v>8426564.956126928</x:v>
      </x:c>
      <x:c r="S2484" s="28" t="str">
        <x:v>c63dadb18a040d81</x:v>
      </x:c>
    </x:row>
    <x:row r="2485" ht="21" customHeight="1">
      <x:c r="A2485" s="60" t="n">
        <x:v>0.69</x:v>
      </x:c>
      <x:c r="B2485" s="28" t="str">
        <x:v>level_flat</x:v>
      </x:c>
      <x:c r="C2485" s="60" t="n">
        <x:v>1</x:v>
      </x:c>
      <x:c r="D2485" s="60" t="n">
        <x:v>0.9350574964161632</x:v>
      </x:c>
      <x:c r="E2485" s="62" t="b">
        <x:v>0</x:v>
      </x:c>
      <x:c r="F2485" s="62" t="b">
        <x:v>0</x:v>
      </x:c>
      <x:c r="G2485" s="85" t="n">
        <x:v>22325390.24969555</x:v>
      </x:c>
      <x:c r="H2485" s="85" t="n">
        <x:v>81121007.45768003</x:v>
      </x:c>
      <x:c r="I2485" s="85" t="n">
        <x:v>61648520.547945164</x:v>
      </x:c>
      <x:c r="J2485" s="85" t="n">
        <x:v>63000000.000000015</x:v>
      </x:c>
      <x:c r="K2485" s="85" t="n">
        <x:v>150149.36013698508</x:v>
      </x:c>
      <x:c r="L2485" s="28" t="n">
        <x:v>46</x:v>
      </x:c>
      <x:c r="M2485" s="28" t="n">
        <x:v>40</x:v>
      </x:c>
      <x:c r="N2485" s="28" t="n">
        <x:v>9.313225746154785e-10</x:v>
      </x:c>
      <x:c r="O2485" s="28" t="n">
        <x:v>7.450580596923828e-9</x:v>
      </x:c>
      <x:c r="P2485" s="28" t="n">
        <x:v>0</x:v>
      </x:c>
      <x:c r="Q2485" s="62" t="b">
        <x:v>1</x:v>
      </x:c>
      <x:c r="R2485" s="28" t="n">
        <x:v>19482751.075151026</x:v>
      </x:c>
      <x:c r="S2485" s="28" t="str">
        <x:v>c75eb8520da2bdf3</x:v>
      </x:c>
    </x:row>
    <x:row r="2486" ht="21" customHeight="1">
      <x:c r="A2486" s="60" t="n">
        <x:v>0.69</x:v>
      </x:c>
      <x:c r="B2486" s="28" t="str">
        <x:v>level_low</x:v>
      </x:c>
      <x:c r="C2486" s="60" t="n">
        <x:v>0</x:v>
      </x:c>
      <x:c r="D2486" s="60" t="n">
        <x:v>0</x:v>
      </x:c>
      <x:c r="E2486" s="62" t="b">
        <x:v>1</x:v>
      </x:c>
      <x:c r="F2486" s="62" t="b">
        <x:v>1</x:v>
      </x:c>
      <x:c r="G2486" s="85" t="n">
        <x:v>0</x:v>
      </x:c>
      <x:c r="H2486" s="85" t="n">
        <x:v>0</x:v>
      </x:c>
      <x:c r="I2486" s="85" t="n">
        <x:v>0</x:v>
      </x:c>
      <x:c r="J2486" s="85" t="n">
        <x:v>0</x:v>
      </x:c>
      <x:c r="K2486" s="85" t="n">
        <x:v>32434864.01164384</x:v>
      </x:c>
      <x:c r="L2486" s="28" t="n">
        <x:v>0</x:v>
      </x:c>
      <x:c r="M2486" s="28" t="n">
        <x:v>0</x:v>
      </x:c>
      <x:c r="N2486" s="28" t="n">
        <x:v>3.725290298461914e-9</x:v>
      </x:c>
      <x:c r="O2486" s="28" t="n">
        <x:v>0</x:v>
      </x:c>
      <x:c r="P2486" s="28" t="n">
        <x:v>0</x:v>
      </x:c>
      <x:c r="Q2486" s="62" t="b">
        <x:v>1</x:v>
      </x:c>
      <x:c r="R2486" s="28" t="n">
        <x:v>0</x:v>
      </x:c>
      <x:c r="S2486" s="28" t="str">
        <x:v>ca9aadc73d447928</x:v>
      </x:c>
    </x:row>
    <x:row r="2487" ht="21" customHeight="1">
      <x:c r="A2487" s="60" t="n">
        <x:v>0.69</x:v>
      </x:c>
      <x:c r="B2487" s="28" t="str">
        <x:v>level_low</x:v>
      </x:c>
      <x:c r="C2487" s="60" t="n">
        <x:v>0.05</x:v>
      </x:c>
      <x:c r="D2487" s="60" t="n">
        <x:v>0.05</x:v>
      </x:c>
      <x:c r="E2487" s="62" t="b">
        <x:v>1</x:v>
      </x:c>
      <x:c r="F2487" s="62" t="b">
        <x:v>1</x:v>
      </x:c>
      <x:c r="G2487" s="85" t="n">
        <x:v>0</x:v>
      </x:c>
      <x:c r="H2487" s="85" t="n">
        <x:v>0</x:v>
      </x:c>
      <x:c r="I2487" s="85" t="n">
        <x:v>0</x:v>
      </x:c>
      <x:c r="J2487" s="85" t="n">
        <x:v>0</x:v>
      </x:c>
      <x:c r="K2487" s="85" t="n">
        <x:v>21724371.209913507</x:v>
      </x:c>
      <x:c r="L2487" s="28" t="n">
        <x:v>0</x:v>
      </x:c>
      <x:c r="M2487" s="28" t="n">
        <x:v>0</x:v>
      </x:c>
      <x:c r="N2487" s="28" t="n">
        <x:v>3.725290298461914e-9</x:v>
      </x:c>
      <x:c r="O2487" s="28" t="n">
        <x:v>2.9802322387695312e-8</x:v>
      </x:c>
      <x:c r="P2487" s="28" t="n">
        <x:v>0</x:v>
      </x:c>
      <x:c r="Q2487" s="62" t="b">
        <x:v>1</x:v>
      </x:c>
      <x:c r="R2487" s="28" t="n">
        <x:v>0</x:v>
      </x:c>
      <x:c r="S2487" s="28" t="str">
        <x:v>a590f1d57727b27c</x:v>
      </x:c>
    </x:row>
    <x:row r="2488" ht="21" customHeight="1">
      <x:c r="A2488" s="60" t="n">
        <x:v>0.69</x:v>
      </x:c>
      <x:c r="B2488" s="28" t="str">
        <x:v>level_low</x:v>
      </x:c>
      <x:c r="C2488" s="60" t="n">
        <x:v>0.1</x:v>
      </x:c>
      <x:c r="D2488" s="60" t="n">
        <x:v>0.1</x:v>
      </x:c>
      <x:c r="E2488" s="62" t="b">
        <x:v>1</x:v>
      </x:c>
      <x:c r="F2488" s="62" t="b">
        <x:v>1</x:v>
      </x:c>
      <x:c r="G2488" s="85" t="n">
        <x:v>0</x:v>
      </x:c>
      <x:c r="H2488" s="85" t="n">
        <x:v>0</x:v>
      </x:c>
      <x:c r="I2488" s="85" t="n">
        <x:v>0</x:v>
      </x:c>
      <x:c r="J2488" s="85" t="n">
        <x:v>0</x:v>
      </x:c>
      <x:c r="K2488" s="85" t="n">
        <x:v>10930623.707687847</x:v>
      </x:c>
      <x:c r="L2488" s="28" t="n">
        <x:v>0</x:v>
      </x:c>
      <x:c r="M2488" s="28" t="n">
        <x:v>0</x:v>
      </x:c>
      <x:c r="N2488" s="28" t="n">
        <x:v>3.725290298461914e-9</x:v>
      </x:c>
      <x:c r="O2488" s="28" t="n">
        <x:v>5.960464477539063e-8</x:v>
      </x:c>
      <x:c r="P2488" s="28" t="n">
        <x:v>0</x:v>
      </x:c>
      <x:c r="Q2488" s="62" t="b">
        <x:v>1</x:v>
      </x:c>
      <x:c r="R2488" s="28" t="n">
        <x:v>0</x:v>
      </x:c>
      <x:c r="S2488" s="28" t="str">
        <x:v>613f08b08290d0ff</x:v>
      </x:c>
    </x:row>
    <x:row r="2489" ht="21" customHeight="1">
      <x:c r="A2489" s="60" t="n">
        <x:v>0.69</x:v>
      </x:c>
      <x:c r="B2489" s="28" t="str">
        <x:v>level_low</x:v>
      </x:c>
      <x:c r="C2489" s="60" t="n">
        <x:v>0.15</x:v>
      </x:c>
      <x:c r="D2489" s="60" t="n">
        <x:v>0.15</x:v>
      </x:c>
      <x:c r="E2489" s="62" t="b">
        <x:v>1</x:v>
      </x:c>
      <x:c r="F2489" s="62" t="b">
        <x:v>1</x:v>
      </x:c>
      <x:c r="G2489" s="85" t="n">
        <x:v>0</x:v>
      </x:c>
      <x:c r="H2489" s="85" t="n">
        <x:v>0</x:v>
      </x:c>
      <x:c r="I2489" s="85" t="n">
        <x:v>904618.1785936898</x:v>
      </x:c>
      <x:c r="J2489" s="85" t="n">
        <x:v>0</x:v>
      </x:c>
      <x:c r="K2489" s="85" t="n">
        <x:v>1631094.074953911</x:v>
      </x:c>
      <x:c r="L2489" s="28" t="n">
        <x:v>0</x:v>
      </x:c>
      <x:c r="M2489" s="28" t="n">
        <x:v>0</x:v>
      </x:c>
      <x:c r="N2489" s="28" t="n">
        <x:v>9.313225746154785e-10</x:v>
      </x:c>
      <x:c r="O2489" s="28" t="n">
        <x:v>2.9802322387695312e-8</x:v>
      </x:c>
      <x:c r="P2489" s="28" t="n">
        <x:v>0</x:v>
      </x:c>
      <x:c r="Q2489" s="62" t="b">
        <x:v>1</x:v>
      </x:c>
      <x:c r="R2489" s="28" t="n">
        <x:v>0</x:v>
      </x:c>
      <x:c r="S2489" s="28" t="str">
        <x:v>ef3a6a507b4efe58</x:v>
      </x:c>
    </x:row>
    <x:row r="2490" ht="21" customHeight="1">
      <x:c r="A2490" s="60" t="n">
        <x:v>0.69</x:v>
      </x:c>
      <x:c r="B2490" s="28" t="str">
        <x:v>level_low</x:v>
      </x:c>
      <x:c r="C2490" s="60" t="n">
        <x:v>0.2</x:v>
      </x:c>
      <x:c r="D2490" s="60" t="n">
        <x:v>0.2</x:v>
      </x:c>
      <x:c r="E2490" s="62" t="b">
        <x:v>1</x:v>
      </x:c>
      <x:c r="F2490" s="62" t="b">
        <x:v>1</x:v>
      </x:c>
      <x:c r="G2490" s="85" t="n">
        <x:v>0</x:v>
      </x:c>
      <x:c r="H2490" s="85" t="n">
        <x:v>0</x:v>
      </x:c>
      <x:c r="I2490" s="85" t="n">
        <x:v>6870874.541855257</x:v>
      </x:c>
      <x:c r="J2490" s="85" t="n">
        <x:v>6323003.27253421</x:v>
      </x:c>
      <x:c r="K2490" s="85" t="n">
        <x:v>1270273.2395109166</x:v>
      </x:c>
      <x:c r="L2490" s="28" t="n">
        <x:v>0</x:v>
      </x:c>
      <x:c r="M2490" s="28" t="n">
        <x:v>0</x:v>
      </x:c>
      <x:c r="N2490" s="28" t="n">
        <x:v>3.725290298461914e-9</x:v>
      </x:c>
      <x:c r="O2490" s="28" t="n">
        <x:v>2.9802322387695312e-8</x:v>
      </x:c>
      <x:c r="P2490" s="28" t="n">
        <x:v>0</x:v>
      </x:c>
      <x:c r="Q2490" s="62" t="b">
        <x:v>1</x:v>
      </x:c>
      <x:c r="R2490" s="28" t="n">
        <x:v>0</x:v>
      </x:c>
      <x:c r="S2490" s="28" t="str">
        <x:v>782c74dc70cc39df</x:v>
      </x:c>
    </x:row>
    <x:row r="2491" ht="21" customHeight="1">
      <x:c r="A2491" s="60" t="n">
        <x:v>0.69</x:v>
      </x:c>
      <x:c r="B2491" s="28" t="str">
        <x:v>level_low</x:v>
      </x:c>
      <x:c r="C2491" s="60" t="n">
        <x:v>0.25</x:v>
      </x:c>
      <x:c r="D2491" s="60" t="n">
        <x:v>0.25</x:v>
      </x:c>
      <x:c r="E2491" s="62" t="b">
        <x:v>1</x:v>
      </x:c>
      <x:c r="F2491" s="62" t="b">
        <x:v>1</x:v>
      </x:c>
      <x:c r="G2491" s="85" t="n">
        <x:v>0</x:v>
      </x:c>
      <x:c r="H2491" s="85" t="n">
        <x:v>0</x:v>
      </x:c>
      <x:c r="I2491" s="85" t="n">
        <x:v>10765065.544689838</x:v>
      </x:c>
      <x:c r="J2491" s="85" t="n">
        <x:v>15403754.090667719</x:v>
      </x:c>
      <x:c r="K2491" s="85" t="n">
        <x:v>993003.288934245</x:v>
      </x:c>
      <x:c r="L2491" s="28" t="n">
        <x:v>0</x:v>
      </x:c>
      <x:c r="M2491" s="28" t="n">
        <x:v>0</x:v>
      </x:c>
      <x:c r="N2491" s="28" t="n">
        <x:v>1.862645149230957e-9</x:v>
      </x:c>
      <x:c r="O2491" s="28" t="n">
        <x:v>2.9802322387695312e-8</x:v>
      </x:c>
      <x:c r="P2491" s="28" t="n">
        <x:v>0</x:v>
      </x:c>
      <x:c r="Q2491" s="62" t="b">
        <x:v>1</x:v>
      </x:c>
      <x:c r="R2491" s="28" t="n">
        <x:v>0</x:v>
      </x:c>
      <x:c r="S2491" s="28" t="str">
        <x:v>b8027e46710026b5</x:v>
      </x:c>
    </x:row>
    <x:row r="2492" ht="21" customHeight="1">
      <x:c r="A2492" s="60" t="n">
        <x:v>0.69</x:v>
      </x:c>
      <x:c r="B2492" s="28" t="str">
        <x:v>level_low</x:v>
      </x:c>
      <x:c r="C2492" s="60" t="n">
        <x:v>0.3</x:v>
      </x:c>
      <x:c r="D2492" s="60" t="n">
        <x:v>0.3</x:v>
      </x:c>
      <x:c r="E2492" s="62" t="b">
        <x:v>1</x:v>
      </x:c>
      <x:c r="F2492" s="62" t="b">
        <x:v>1</x:v>
      </x:c>
      <x:c r="G2492" s="85" t="n">
        <x:v>0</x:v>
      </x:c>
      <x:c r="H2492" s="85" t="n">
        <x:v>0</x:v>
      </x:c>
      <x:c r="I2492" s="85" t="n">
        <x:v>14727525.147450382</x:v>
      </x:c>
      <x:c r="J2492" s="85" t="n">
        <x:v>24484504.908801146</x:v>
      </x:c>
      <x:c r="K2492" s="85" t="n">
        <x:v>797013.9519265763</x:v>
      </x:c>
      <x:c r="L2492" s="28" t="n">
        <x:v>0</x:v>
      </x:c>
      <x:c r="M2492" s="28" t="n">
        <x:v>0</x:v>
      </x:c>
      <x:c r="N2492" s="28" t="n">
        <x:v>3.725290298461914e-9</x:v>
      </x:c>
      <x:c r="O2492" s="28" t="n">
        <x:v>7.450580596923828e-9</x:v>
      </x:c>
      <x:c r="P2492" s="28" t="n">
        <x:v>0</x:v>
      </x:c>
      <x:c r="Q2492" s="62" t="b">
        <x:v>1</x:v>
      </x:c>
      <x:c r="R2492" s="28" t="n">
        <x:v>0</x:v>
      </x:c>
      <x:c r="S2492" s="28" t="str">
        <x:v>07155c5df0d8cc2a</x:v>
      </x:c>
    </x:row>
    <x:row r="2493" ht="21" customHeight="1">
      <x:c r="A2493" s="60" t="n">
        <x:v>0.69</x:v>
      </x:c>
      <x:c r="B2493" s="28" t="str">
        <x:v>level_low</x:v>
      </x:c>
      <x:c r="C2493" s="60" t="n">
        <x:v>0.35</x:v>
      </x:c>
      <x:c r="D2493" s="60" t="n">
        <x:v>0.35</x:v>
      </x:c>
      <x:c r="E2493" s="62" t="b">
        <x:v>1</x:v>
      </x:c>
      <x:c r="F2493" s="62" t="b">
        <x:v>1</x:v>
      </x:c>
      <x:c r="G2493" s="85" t="n">
        <x:v>0</x:v>
      </x:c>
      <x:c r="H2493" s="85" t="n">
        <x:v>0</x:v>
      </x:c>
      <x:c r="I2493" s="85" t="n">
        <x:v>21156135.58787895</x:v>
      </x:c>
      <x:c r="J2493" s="85" t="n">
        <x:v>29603920.49649875</x:v>
      </x:c>
      <x:c r="K2493" s="85" t="n">
        <x:v>644360.8709901375</x:v>
      </x:c>
      <x:c r="L2493" s="28" t="n">
        <x:v>6</x:v>
      </x:c>
      <x:c r="M2493" s="28" t="n">
        <x:v>0</x:v>
      </x:c>
      <x:c r="N2493" s="28" t="n">
        <x:v>9.313225746154785e-10</x:v>
      </x:c>
      <x:c r="O2493" s="28" t="n">
        <x:v>2.9802322387695312e-8</x:v>
      </x:c>
      <x:c r="P2493" s="28" t="n">
        <x:v>0</x:v>
      </x:c>
      <x:c r="Q2493" s="62" t="b">
        <x:v>1</x:v>
      </x:c>
      <x:c r="R2493" s="28" t="n">
        <x:v>0</x:v>
      </x:c>
      <x:c r="S2493" s="28" t="str">
        <x:v>ca87702335f8f222</x:v>
      </x:c>
    </x:row>
    <x:row r="2494" ht="21" customHeight="1">
      <x:c r="A2494" s="60" t="n">
        <x:v>0.69</x:v>
      </x:c>
      <x:c r="B2494" s="28" t="str">
        <x:v>level_low</x:v>
      </x:c>
      <x:c r="C2494" s="60" t="n">
        <x:v>0.4</x:v>
      </x:c>
      <x:c r="D2494" s="60" t="n">
        <x:v>0.4</x:v>
      </x:c>
      <x:c r="E2494" s="62" t="b">
        <x:v>1</x:v>
      </x:c>
      <x:c r="F2494" s="62" t="b">
        <x:v>1</x:v>
      </x:c>
      <x:c r="G2494" s="85" t="n">
        <x:v>0</x:v>
      </x:c>
      <x:c r="H2494" s="85" t="n">
        <x:v>0</x:v>
      </x:c>
      <x:c r="I2494" s="85" t="n">
        <x:v>26997269.984099604</x:v>
      </x:c>
      <x:c r="J2494" s="85" t="n">
        <x:v>35744299.92739666</x:v>
      </x:c>
      <x:c r="K2494" s="85" t="n">
        <x:v>525506.8864153419</x:v>
      </x:c>
      <x:c r="L2494" s="28" t="n">
        <x:v>11</x:v>
      </x:c>
      <x:c r="M2494" s="28" t="n">
        <x:v>0</x:v>
      </x:c>
      <x:c r="N2494" s="28" t="n">
        <x:v>3.725290298461914e-9</x:v>
      </x:c>
      <x:c r="O2494" s="28" t="n">
        <x:v>2.9802322387695312e-8</x:v>
      </x:c>
      <x:c r="P2494" s="28" t="n">
        <x:v>0</x:v>
      </x:c>
      <x:c r="Q2494" s="62" t="b">
        <x:v>1</x:v>
      </x:c>
      <x:c r="R2494" s="28" t="n">
        <x:v>0</x:v>
      </x:c>
      <x:c r="S2494" s="28" t="str">
        <x:v>024c834310b16154</x:v>
      </x:c>
    </x:row>
    <x:row r="2495" ht="21" customHeight="1">
      <x:c r="A2495" s="60" t="n">
        <x:v>0.69</x:v>
      </x:c>
      <x:c r="B2495" s="28" t="str">
        <x:v>level_low</x:v>
      </x:c>
      <x:c r="C2495" s="60" t="n">
        <x:v>0.45</x:v>
      </x:c>
      <x:c r="D2495" s="60" t="n">
        <x:v>0.45</x:v>
      </x:c>
      <x:c r="E2495" s="62" t="b">
        <x:v>1</x:v>
      </x:c>
      <x:c r="F2495" s="62" t="b">
        <x:v>1</x:v>
      </x:c>
      <x:c r="G2495" s="85" t="n">
        <x:v>0</x:v>
      </x:c>
      <x:c r="H2495" s="85" t="n">
        <x:v>0</x:v>
      </x:c>
      <x:c r="I2495" s="85" t="n">
        <x:v>32009494.709695075</x:v>
      </x:c>
      <x:c r="J2495" s="85" t="n">
        <x:v>43162094.03925614</x:v>
      </x:c>
      <x:c r="K2495" s="85" t="n">
        <x:v>457622.9349520596</x:v>
      </x:c>
      <x:c r="L2495" s="28" t="n">
        <x:v>15</x:v>
      </x:c>
      <x:c r="M2495" s="28" t="n">
        <x:v>0</x:v>
      </x:c>
      <x:c r="N2495" s="28" t="n">
        <x:v>3.725290298461914e-9</x:v>
      </x:c>
      <x:c r="O2495" s="28" t="n">
        <x:v>2.9802322387695312e-8</x:v>
      </x:c>
      <x:c r="P2495" s="28" t="n">
        <x:v>0</x:v>
      </x:c>
      <x:c r="Q2495" s="62" t="b">
        <x:v>1</x:v>
      </x:c>
      <x:c r="R2495" s="28" t="n">
        <x:v>0</x:v>
      </x:c>
      <x:c r="S2495" s="28" t="str">
        <x:v>305821c493cb0bc8</x:v>
      </x:c>
    </x:row>
    <x:row r="2496" ht="21" customHeight="1">
      <x:c r="A2496" s="60" t="n">
        <x:v>0.69</x:v>
      </x:c>
      <x:c r="B2496" s="28" t="str">
        <x:v>level_low</x:v>
      </x:c>
      <x:c r="C2496" s="60" t="n">
        <x:v>0.5</x:v>
      </x:c>
      <x:c r="D2496" s="60" t="n">
        <x:v>0.5</x:v>
      </x:c>
      <x:c r="E2496" s="62" t="b">
        <x:v>1</x:v>
      </x:c>
      <x:c r="F2496" s="62" t="b">
        <x:v>1</x:v>
      </x:c>
      <x:c r="G2496" s="85" t="n">
        <x:v>0</x:v>
      </x:c>
      <x:c r="H2496" s="85" t="n">
        <x:v>0</x:v>
      </x:c>
      <x:c r="I2496" s="85" t="n">
        <x:v>36082268.37983833</x:v>
      </x:c>
      <x:c r="J2496" s="85" t="n">
        <x:v>52117684.01892735</x:v>
      </x:c>
      <x:c r="K2496" s="85" t="n">
        <x:v>399011.53883561573</x:v>
      </x:c>
      <x:c r="L2496" s="28" t="n">
        <x:v>17</x:v>
      </x:c>
      <x:c r="M2496" s="28" t="n">
        <x:v>0</x:v>
      </x:c>
      <x:c r="N2496" s="28" t="n">
        <x:v>9.313225746154785e-10</x:v>
      </x:c>
      <x:c r="O2496" s="28" t="n">
        <x:v>1.4901161193847656e-8</x:v>
      </x:c>
      <x:c r="P2496" s="28" t="n">
        <x:v>0</x:v>
      </x:c>
      <x:c r="Q2496" s="62" t="b">
        <x:v>1</x:v>
      </x:c>
      <x:c r="R2496" s="28" t="n">
        <x:v>0</x:v>
      </x:c>
      <x:c r="S2496" s="28" t="str">
        <x:v>325c98ae16a4901e</x:v>
      </x:c>
    </x:row>
    <x:row r="2497" ht="21" customHeight="1">
      <x:c r="A2497" s="60" t="n">
        <x:v>0.69</x:v>
      </x:c>
      <x:c r="B2497" s="28" t="str">
        <x:v>level_low</x:v>
      </x:c>
      <x:c r="C2497" s="60" t="n">
        <x:v>0.55</x:v>
      </x:c>
      <x:c r="D2497" s="60" t="n">
        <x:v>0.55</x:v>
      </x:c>
      <x:c r="E2497" s="62" t="b">
        <x:v>1</x:v>
      </x:c>
      <x:c r="F2497" s="62" t="b">
        <x:v>1</x:v>
      </x:c>
      <x:c r="G2497" s="85" t="n">
        <x:v>0</x:v>
      </x:c>
      <x:c r="H2497" s="85" t="n">
        <x:v>0</x:v>
      </x:c>
      <x:c r="I2497" s="85" t="n">
        <x:v>40132404.866068676</x:v>
      </x:c>
      <x:c r="J2497" s="85" t="n">
        <x:v>60920801.54155058</x:v>
      </x:c>
      <x:c r="K2497" s="85" t="n">
        <x:v>340400.1427191791</x:v>
      </x:c>
      <x:c r="L2497" s="28" t="n">
        <x:v>23</x:v>
      </x:c>
      <x:c r="M2497" s="28" t="n">
        <x:v>0</x:v>
      </x:c>
      <x:c r="N2497" s="28" t="n">
        <x:v>1.862645149230957e-9</x:v>
      </x:c>
      <x:c r="O2497" s="28" t="n">
        <x:v>2.9802322387695312e-8</x:v>
      </x:c>
      <x:c r="P2497" s="28" t="n">
        <x:v>0</x:v>
      </x:c>
      <x:c r="Q2497" s="62" t="b">
        <x:v>1</x:v>
      </x:c>
      <x:c r="R2497" s="28" t="n">
        <x:v>0</x:v>
      </x:c>
      <x:c r="S2497" s="28" t="str">
        <x:v>c07598da4c2cea17</x:v>
      </x:c>
    </x:row>
    <x:row r="2498" ht="21" customHeight="1">
      <x:c r="A2498" s="60" t="n">
        <x:v>0.69</x:v>
      </x:c>
      <x:c r="B2498" s="28" t="str">
        <x:v>level_low</x:v>
      </x:c>
      <x:c r="C2498" s="60" t="n">
        <x:v>0.6</x:v>
      </x:c>
      <x:c r="D2498" s="60" t="n">
        <x:v>0.6</x:v>
      </x:c>
      <x:c r="E2498" s="62" t="b">
        <x:v>1</x:v>
      </x:c>
      <x:c r="F2498" s="62" t="b">
        <x:v>0</x:v>
      </x:c>
      <x:c r="G2498" s="85" t="n">
        <x:v>510102.06413377624</x:v>
      </x:c>
      <x:c r="H2498" s="85" t="n">
        <x:v>7670454.233407211</x:v>
      </x:c>
      <x:c r="I2498" s="85" t="n">
        <x:v>41611068.49315069</x:v>
      </x:c>
      <x:c r="J2498" s="85" t="n">
        <x:v>63000000.000000015</x:v>
      </x:c>
      <x:c r="K2498" s="85" t="n">
        <x:v>281788.74660274386</x:v>
      </x:c>
      <x:c r="L2498" s="28" t="n">
        <x:v>44</x:v>
      </x:c>
      <x:c r="M2498" s="28" t="n">
        <x:v>30</x:v>
      </x:c>
      <x:c r="N2498" s="28" t="n">
        <x:v>1.862645149230957e-9</x:v>
      </x:c>
      <x:c r="O2498" s="28" t="n">
        <x:v>2.9802322387695312e-8</x:v>
      </x:c>
      <x:c r="P2498" s="28" t="n">
        <x:v>0</x:v>
      </x:c>
      <x:c r="Q2498" s="62" t="b">
        <x:v>1</x:v>
      </x:c>
      <x:c r="R2498" s="28" t="n">
        <x:v>0</x:v>
      </x:c>
      <x:c r="S2498" s="28" t="str">
        <x:v>f2ea86aa15ae2752</x:v>
      </x:c>
    </x:row>
    <x:row r="2499" ht="21" customHeight="1">
      <x:c r="A2499" s="60" t="n">
        <x:v>0.69</x:v>
      </x:c>
      <x:c r="B2499" s="28" t="str">
        <x:v>level_low</x:v>
      </x:c>
      <x:c r="C2499" s="60" t="n">
        <x:v>0.65</x:v>
      </x:c>
      <x:c r="D2499" s="60" t="n">
        <x:v>0.65</x:v>
      </x:c>
      <x:c r="E2499" s="62" t="b">
        <x:v>1</x:v>
      </x:c>
      <x:c r="F2499" s="62" t="b">
        <x:v>0</x:v>
      </x:c>
      <x:c r="G2499" s="85" t="n">
        <x:v>1234955.9526937548</x:v>
      </x:c>
      <x:c r="H2499" s="85" t="n">
        <x:v>18607583.33522614</x:v>
      </x:c>
      <x:c r="I2499" s="85" t="n">
        <x:v>41611068.49315069</x:v>
      </x:c>
      <x:c r="J2499" s="85" t="n">
        <x:v>63000000.000000015</x:v>
      </x:c>
      <x:c r="K2499" s="85" t="n">
        <x:v>251816.49867808472</x:v>
      </x:c>
      <x:c r="L2499" s="28" t="n">
        <x:v>44</x:v>
      </x:c>
      <x:c r="M2499" s="28" t="n">
        <x:v>31</x:v>
      </x:c>
      <x:c r="N2499" s="28" t="n">
        <x:v>1.862645149230957e-9</x:v>
      </x:c>
      <x:c r="O2499" s="28" t="n">
        <x:v>2.9802322387695312e-8</x:v>
      </x:c>
      <x:c r="P2499" s="28" t="n">
        <x:v>0</x:v>
      </x:c>
      <x:c r="Q2499" s="62" t="b">
        <x:v>1</x:v>
      </x:c>
      <x:c r="R2499" s="28" t="n">
        <x:v>0</x:v>
      </x:c>
      <x:c r="S2499" s="28" t="str">
        <x:v>c33fca6b50e370f9</x:v>
      </x:c>
    </x:row>
    <x:row r="2500" ht="21" customHeight="1">
      <x:c r="A2500" s="60" t="n">
        <x:v>0.69</x:v>
      </x:c>
      <x:c r="B2500" s="28" t="str">
        <x:v>level_low</x:v>
      </x:c>
      <x:c r="C2500" s="60" t="n">
        <x:v>0.7</x:v>
      </x:c>
      <x:c r="D2500" s="60" t="n">
        <x:v>0.7</x:v>
      </x:c>
      <x:c r="E2500" s="62" t="b">
        <x:v>1</x:v>
      </x:c>
      <x:c r="F2500" s="62" t="b">
        <x:v>0</x:v>
      </x:c>
      <x:c r="G2500" s="85" t="n">
        <x:v>2064417.6170041868</x:v>
      </x:c>
      <x:c r="H2500" s="85" t="n">
        <x:v>28234361.126951452</x:v>
      </x:c>
      <x:c r="I2500" s="85" t="n">
        <x:v>42563835.61643836</x:v>
      </x:c>
      <x:c r="J2500" s="85" t="n">
        <x:v>63000000.000000015</x:v>
      </x:c>
      <x:c r="K2500" s="85" t="n">
        <x:v>233608.97634246395</x:v>
      </x:c>
      <x:c r="L2500" s="28" t="n">
        <x:v>45</x:v>
      </x:c>
      <x:c r="M2500" s="28" t="n">
        <x:v>32</x:v>
      </x:c>
      <x:c r="N2500" s="28" t="n">
        <x:v>1.862645149230957e-9</x:v>
      </x:c>
      <x:c r="O2500" s="28" t="n">
        <x:v>2.9802322387695312e-8</x:v>
      </x:c>
      <x:c r="P2500" s="28" t="n">
        <x:v>0</x:v>
      </x:c>
      <x:c r="Q2500" s="62" t="b">
        <x:v>1</x:v>
      </x:c>
      <x:c r="R2500" s="28" t="n">
        <x:v>0</x:v>
      </x:c>
      <x:c r="S2500" s="28" t="str">
        <x:v>2d5cb1c50528af0d</x:v>
      </x:c>
    </x:row>
    <x:row r="2501" ht="21" customHeight="1">
      <x:c r="A2501" s="60" t="n">
        <x:v>0.69</x:v>
      </x:c>
      <x:c r="B2501" s="28" t="str">
        <x:v>level_low</x:v>
      </x:c>
      <x:c r="C2501" s="60" t="n">
        <x:v>0.75</x:v>
      </x:c>
      <x:c r="D2501" s="60" t="n">
        <x:v>0.75</x:v>
      </x:c>
      <x:c r="E2501" s="62" t="b">
        <x:v>1</x:v>
      </x:c>
      <x:c r="F2501" s="62" t="b">
        <x:v>0</x:v>
      </x:c>
      <x:c r="G2501" s="85" t="n">
        <x:v>2955788.7544810586</x:v>
      </x:c>
      <x:c r="H2501" s="85" t="n">
        <x:v>38894536.88551544</x:v>
      </x:c>
      <x:c r="I2501" s="85" t="n">
        <x:v>42563835.61643836</x:v>
      </x:c>
      <x:c r="J2501" s="85" t="n">
        <x:v>63000000.000000015</x:v>
      </x:c>
      <x:c r="K2501" s="85" t="n">
        <x:v>215401.4540068502</x:v>
      </x:c>
      <x:c r="L2501" s="28" t="n">
        <x:v>45</x:v>
      </x:c>
      <x:c r="M2501" s="28" t="n">
        <x:v>32</x:v>
      </x:c>
      <x:c r="N2501" s="28" t="n">
        <x:v>1.862645149230957e-9</x:v>
      </x:c>
      <x:c r="O2501" s="28" t="n">
        <x:v>2.9802322387695312e-8</x:v>
      </x:c>
      <x:c r="P2501" s="28" t="n">
        <x:v>0</x:v>
      </x:c>
      <x:c r="Q2501" s="62" t="b">
        <x:v>1</x:v>
      </x:c>
      <x:c r="R2501" s="28" t="n">
        <x:v>0</x:v>
      </x:c>
      <x:c r="S2501" s="28" t="str">
        <x:v>af0d4c303b4c2512</x:v>
      </x:c>
    </x:row>
    <x:row r="2502" ht="21" customHeight="1">
      <x:c r="A2502" s="60" t="n">
        <x:v>0.69</x:v>
      </x:c>
      <x:c r="B2502" s="28" t="str">
        <x:v>level_low</x:v>
      </x:c>
      <x:c r="C2502" s="60" t="n">
        <x:v>0.8</x:v>
      </x:c>
      <x:c r="D2502" s="60" t="n">
        <x:v>0.8</x:v>
      </x:c>
      <x:c r="E2502" s="62" t="b">
        <x:v>1</x:v>
      </x:c>
      <x:c r="F2502" s="62" t="b">
        <x:v>0</x:v>
      </x:c>
      <x:c r="G2502" s="85" t="n">
        <x:v>3890812.152968893</x:v>
      </x:c>
      <x:c r="H2502" s="85" t="n">
        <x:v>49518369.2117515</x:v>
      </x:c>
      <x:c r="I2502" s="85" t="n">
        <x:v>42563835.61643836</x:v>
      </x:c>
      <x:c r="J2502" s="85" t="n">
        <x:v>63000000.000000015</x:v>
      </x:c>
      <x:c r="K2502" s="85" t="n">
        <x:v>197193.93167123132</x:v>
      </x:c>
      <x:c r="L2502" s="28" t="n">
        <x:v>45</x:v>
      </x:c>
      <x:c r="M2502" s="28" t="n">
        <x:v>34</x:v>
      </x:c>
      <x:c r="N2502" s="28" t="n">
        <x:v>1.862645149230957e-9</x:v>
      </x:c>
      <x:c r="O2502" s="28" t="n">
        <x:v>2.9802322387695312e-8</x:v>
      </x:c>
      <x:c r="P2502" s="28" t="n">
        <x:v>0</x:v>
      </x:c>
      <x:c r="Q2502" s="62" t="b">
        <x:v>1</x:v>
      </x:c>
      <x:c r="R2502" s="28" t="n">
        <x:v>0</x:v>
      </x:c>
      <x:c r="S2502" s="28" t="str">
        <x:v>a3047853ebf6b5bb</x:v>
      </x:c>
    </x:row>
    <x:row r="2503" ht="21" customHeight="1">
      <x:c r="A2503" s="60" t="n">
        <x:v>0.69</x:v>
      </x:c>
      <x:c r="B2503" s="28" t="str">
        <x:v>level_low</x:v>
      </x:c>
      <x:c r="C2503" s="60" t="n">
        <x:v>0.85</x:v>
      </x:c>
      <x:c r="D2503" s="60" t="n">
        <x:v>0.85</x:v>
      </x:c>
      <x:c r="E2503" s="62" t="b">
        <x:v>1</x:v>
      </x:c>
      <x:c r="F2503" s="62" t="b">
        <x:v>0</x:v>
      </x:c>
      <x:c r="G2503" s="85" t="n">
        <x:v>5046264.915926064</x:v>
      </x:c>
      <x:c r="H2503" s="85" t="n">
        <x:v>59880948.89907937</x:v>
      </x:c>
      <x:c r="I2503" s="85" t="n">
        <x:v>42563835.61643836</x:v>
      </x:c>
      <x:c r="J2503" s="85" t="n">
        <x:v>63000000.000000015</x:v>
      </x:c>
      <x:c r="K2503" s="85" t="n">
        <x:v>178986.40933561802</x:v>
      </x:c>
      <x:c r="L2503" s="28" t="n">
        <x:v>45</x:v>
      </x:c>
      <x:c r="M2503" s="28" t="n">
        <x:v>34</x:v>
      </x:c>
      <x:c r="N2503" s="28" t="n">
        <x:v>1.862645149230957e-9</x:v>
      </x:c>
      <x:c r="O2503" s="28" t="n">
        <x:v>2.9802322387695312e-8</x:v>
      </x:c>
      <x:c r="P2503" s="28" t="n">
        <x:v>0</x:v>
      </x:c>
      <x:c r="Q2503" s="62" t="b">
        <x:v>1</x:v>
      </x:c>
      <x:c r="R2503" s="28" t="n">
        <x:v>0</x:v>
      </x:c>
      <x:c r="S2503" s="28" t="str">
        <x:v>eba3160614f67c4d</x:v>
      </x:c>
    </x:row>
    <x:row r="2504" ht="21" customHeight="1">
      <x:c r="A2504" s="60" t="n">
        <x:v>0.69</x:v>
      </x:c>
      <x:c r="B2504" s="28" t="str">
        <x:v>level_low</x:v>
      </x:c>
      <x:c r="C2504" s="60" t="n">
        <x:v>0.9</x:v>
      </x:c>
      <x:c r="D2504" s="60" t="n">
        <x:v>0.9</x:v>
      </x:c>
      <x:c r="E2504" s="62" t="b">
        <x:v>1</x:v>
      </x:c>
      <x:c r="F2504" s="62" t="b">
        <x:v>0</x:v>
      </x:c>
      <x:c r="G2504" s="85" t="n">
        <x:v>7623505.408727726</x:v>
      </x:c>
      <x:c r="H2504" s="85" t="n">
        <x:v>69167706.13772401</x:v>
      </x:c>
      <x:c r="I2504" s="85" t="n">
        <x:v>42575952.33276713</x:v>
      </x:c>
      <x:c r="J2504" s="85" t="n">
        <x:v>63000000.000000015</x:v>
      </x:c>
      <x:c r="K2504" s="85" t="n">
        <x:v>160778.8870000019</x:v>
      </x:c>
      <x:c r="L2504" s="28" t="n">
        <x:v>45</x:v>
      </x:c>
      <x:c r="M2504" s="28" t="n">
        <x:v>36</x:v>
      </x:c>
      <x:c r="N2504" s="28" t="n">
        <x:v>1.862645149230957e-9</x:v>
      </x:c>
      <x:c r="O2504" s="28" t="n">
        <x:v>7.450580596923828e-9</x:v>
      </x:c>
      <x:c r="P2504" s="28" t="n">
        <x:v>0</x:v>
      </x:c>
      <x:c r="Q2504" s="62" t="b">
        <x:v>1</x:v>
      </x:c>
      <x:c r="R2504" s="28" t="n">
        <x:v>0</x:v>
      </x:c>
      <x:c r="S2504" s="28" t="str">
        <x:v>1f6df8ddb6730f1c</x:v>
      </x:c>
    </x:row>
    <x:row r="2505" ht="21" customHeight="1">
      <x:c r="A2505" s="60" t="n">
        <x:v>0.69</x:v>
      </x:c>
      <x:c r="B2505" s="28" t="str">
        <x:v>level_low</x:v>
      </x:c>
      <x:c r="C2505" s="60" t="n">
        <x:v>0.95</x:v>
      </x:c>
      <x:c r="D2505" s="60" t="n">
        <x:v>0.9219114501462435</x:v>
      </x:c>
      <x:c r="E2505" s="62" t="b">
        <x:v>0</x:v>
      </x:c>
      <x:c r="F2505" s="62" t="b">
        <x:v>0</x:v>
      </x:c>
      <x:c r="G2505" s="85" t="n">
        <x:v>8228182.162664145</x:v>
      </x:c>
      <x:c r="H2505" s="85" t="n">
        <x:v>72144094.00591928</x:v>
      </x:c>
      <x:c r="I2505" s="85" t="n">
        <x:v>43516602.73972603</x:v>
      </x:c>
      <x:c r="J2505" s="85" t="n">
        <x:v>63000000.000000015</x:v>
      </x:c>
      <x:c r="K2505" s="85" t="n">
        <x:v>142571.36466438396</x:v>
      </x:c>
      <x:c r="L2505" s="28" t="n">
        <x:v>46</x:v>
      </x:c>
      <x:c r="M2505" s="28" t="n">
        <x:v>36</x:v>
      </x:c>
      <x:c r="N2505" s="28" t="n">
        <x:v>1.862645149230957e-9</x:v>
      </x:c>
      <x:c r="O2505" s="28" t="n">
        <x:v>1.4901161193847656e-8</x:v>
      </x:c>
      <x:c r="P2505" s="28" t="n">
        <x:v>0</x:v>
      </x:c>
      <x:c r="Q2505" s="62" t="b">
        <x:v>1</x:v>
      </x:c>
      <x:c r="R2505" s="28" t="n">
        <x:v>8426564.956126928</x:v>
      </x:c>
      <x:c r="S2505" s="28" t="str">
        <x:v>ac68128e989474eb</x:v>
      </x:c>
    </x:row>
    <x:row r="2506" ht="21" customHeight="1">
      <x:c r="A2506" s="60" t="n">
        <x:v>0.69</x:v>
      </x:c>
      <x:c r="B2506" s="28" t="str">
        <x:v>level_low</x:v>
      </x:c>
      <x:c r="C2506" s="60" t="n">
        <x:v>1</x:v>
      </x:c>
      <x:c r="D2506" s="60" t="n">
        <x:v>0.9350574964161632</x:v>
      </x:c>
      <x:c r="E2506" s="62" t="b">
        <x:v>0</x:v>
      </x:c>
      <x:c r="F2506" s="62" t="b">
        <x:v>0</x:v>
      </x:c>
      <x:c r="G2506" s="85" t="n">
        <x:v>8917301.905317735</x:v>
      </x:c>
      <x:c r="H2506" s="85" t="n">
        <x:v>75035507.19139111</x:v>
      </x:c>
      <x:c r="I2506" s="85" t="n">
        <x:v>43516602.73972603</x:v>
      </x:c>
      <x:c r="J2506" s="85" t="n">
        <x:v>63000000.000000015</x:v>
      </x:c>
      <x:c r="K2506" s="85" t="n">
        <x:v>124363.8423287681</x:v>
      </x:c>
      <x:c r="L2506" s="28" t="n">
        <x:v>46</x:v>
      </x:c>
      <x:c r="M2506" s="28" t="n">
        <x:v>37</x:v>
      </x:c>
      <x:c r="N2506" s="28" t="n">
        <x:v>0</x:v>
      </x:c>
      <x:c r="O2506" s="28" t="n">
        <x:v>7.450580596923828e-9</x:v>
      </x:c>
      <x:c r="P2506" s="28" t="n">
        <x:v>0</x:v>
      </x:c>
      <x:c r="Q2506" s="62" t="b">
        <x:v>1</x:v>
      </x:c>
      <x:c r="R2506" s="28" t="n">
        <x:v>19482751.075151026</x:v>
      </x:c>
      <x:c r="S2506" s="28" t="str">
        <x:v>42080ac4642f5772</x:v>
      </x:c>
    </x:row>
    <x:row r="2507" ht="21" customHeight="1">
      <x:c r="A2507" s="60" t="n">
        <x:v>0.69</x:v>
      </x:c>
      <x:c r="B2507" s="28" t="str">
        <x:v>level_high</x:v>
      </x:c>
      <x:c r="C2507" s="60" t="n">
        <x:v>0</x:v>
      </x:c>
      <x:c r="D2507" s="60" t="n">
        <x:v>0</x:v>
      </x:c>
      <x:c r="E2507" s="62" t="b">
        <x:v>1</x:v>
      </x:c>
      <x:c r="F2507" s="62" t="b">
        <x:v>1</x:v>
      </x:c>
      <x:c r="G2507" s="85" t="n">
        <x:v>0</x:v>
      </x:c>
      <x:c r="H2507" s="85" t="n">
        <x:v>0</x:v>
      </x:c>
      <x:c r="I2507" s="85" t="n">
        <x:v>0</x:v>
      </x:c>
      <x:c r="J2507" s="85" t="n">
        <x:v>0</x:v>
      </x:c>
      <x:c r="K2507" s="85" t="n">
        <x:v>41245403.285616435</x:v>
      </x:c>
      <x:c r="L2507" s="28" t="n">
        <x:v>0</x:v>
      </x:c>
      <x:c r="M2507" s="28" t="n">
        <x:v>0</x:v>
      </x:c>
      <x:c r="N2507" s="28" t="n">
        <x:v>3.725290298461914e-9</x:v>
      </x:c>
      <x:c r="O2507" s="28" t="n">
        <x:v>0</x:v>
      </x:c>
      <x:c r="P2507" s="28" t="n">
        <x:v>0</x:v>
      </x:c>
      <x:c r="Q2507" s="62" t="b">
        <x:v>1</x:v>
      </x:c>
      <x:c r="R2507" s="28" t="n">
        <x:v>0</x:v>
      </x:c>
      <x:c r="S2507" s="28" t="str">
        <x:v>a824b50cdfaa5011</x:v>
      </x:c>
    </x:row>
    <x:row r="2508" ht="21" customHeight="1">
      <x:c r="A2508" s="60" t="n">
        <x:v>0.69</x:v>
      </x:c>
      <x:c r="B2508" s="28" t="str">
        <x:v>level_high</x:v>
      </x:c>
      <x:c r="C2508" s="60" t="n">
        <x:v>0.05</x:v>
      </x:c>
      <x:c r="D2508" s="60" t="n">
        <x:v>0.05</x:v>
      </x:c>
      <x:c r="E2508" s="62" t="b">
        <x:v>1</x:v>
      </x:c>
      <x:c r="F2508" s="62" t="b">
        <x:v>1</x:v>
      </x:c>
      <x:c r="G2508" s="85" t="n">
        <x:v>0</x:v>
      </x:c>
      <x:c r="H2508" s="85" t="n">
        <x:v>0</x:v>
      </x:c>
      <x:c r="I2508" s="85" t="n">
        <x:v>0</x:v>
      </x:c>
      <x:c r="J2508" s="85" t="n">
        <x:v>0</x:v>
      </x:c>
      <x:c r="K2508" s="85" t="n">
        <x:v>27916854.26888782</x:v>
      </x:c>
      <x:c r="L2508" s="28" t="n">
        <x:v>0</x:v>
      </x:c>
      <x:c r="M2508" s="28" t="n">
        <x:v>0</x:v>
      </x:c>
      <x:c r="N2508" s="28" t="n">
        <x:v>3.725290298461914e-9</x:v>
      </x:c>
      <x:c r="O2508" s="28" t="n">
        <x:v>2.9802322387695312e-8</x:v>
      </x:c>
      <x:c r="P2508" s="28" t="n">
        <x:v>0</x:v>
      </x:c>
      <x:c r="Q2508" s="62" t="b">
        <x:v>1</x:v>
      </x:c>
      <x:c r="R2508" s="28" t="n">
        <x:v>0</x:v>
      </x:c>
      <x:c r="S2508" s="28" t="str">
        <x:v>0872b493520503ac</x:v>
      </x:c>
    </x:row>
    <x:row r="2509" ht="21" customHeight="1">
      <x:c r="A2509" s="60" t="n">
        <x:v>0.69</x:v>
      </x:c>
      <x:c r="B2509" s="28" t="str">
        <x:v>level_high</x:v>
      </x:c>
      <x:c r="C2509" s="60" t="n">
        <x:v>0.1</x:v>
      </x:c>
      <x:c r="D2509" s="60" t="n">
        <x:v>0.1</x:v>
      </x:c>
      <x:c r="E2509" s="62" t="b">
        <x:v>1</x:v>
      </x:c>
      <x:c r="F2509" s="62" t="b">
        <x:v>1</x:v>
      </x:c>
      <x:c r="G2509" s="85" t="n">
        <x:v>0</x:v>
      </x:c>
      <x:c r="H2509" s="85" t="n">
        <x:v>0</x:v>
      </x:c>
      <x:c r="I2509" s="85" t="n">
        <x:v>0</x:v>
      </x:c>
      <x:c r="J2509" s="85" t="n">
        <x:v>0</x:v>
      </x:c>
      <x:c r="K2509" s="85" t="n">
        <x:v>14428733.742876502</x:v>
      </x:c>
      <x:c r="L2509" s="28" t="n">
        <x:v>0</x:v>
      </x:c>
      <x:c r="M2509" s="28" t="n">
        <x:v>0</x:v>
      </x:c>
      <x:c r="N2509" s="28" t="n">
        <x:v>3.725290298461914e-9</x:v>
      </x:c>
      <x:c r="O2509" s="28" t="n">
        <x:v>5.960464477539063e-8</x:v>
      </x:c>
      <x:c r="P2509" s="28" t="n">
        <x:v>0</x:v>
      </x:c>
      <x:c r="Q2509" s="62" t="b">
        <x:v>1</x:v>
      </x:c>
      <x:c r="R2509" s="28" t="n">
        <x:v>0</x:v>
      </x:c>
      <x:c r="S2509" s="28" t="str">
        <x:v>3bda1cd8d44e1597</x:v>
      </x:c>
    </x:row>
    <x:row r="2510" ht="21" customHeight="1">
      <x:c r="A2510" s="60" t="n">
        <x:v>0.69</x:v>
      </x:c>
      <x:c r="B2510" s="28" t="str">
        <x:v>level_high</x:v>
      </x:c>
      <x:c r="C2510" s="60" t="n">
        <x:v>0.15</x:v>
      </x:c>
      <x:c r="D2510" s="60" t="n">
        <x:v>0.15</x:v>
      </x:c>
      <x:c r="E2510" s="62" t="b">
        <x:v>1</x:v>
      </x:c>
      <x:c r="F2510" s="62" t="b">
        <x:v>1</x:v>
      </x:c>
      <x:c r="G2510" s="85" t="n">
        <x:v>0</x:v>
      </x:c>
      <x:c r="H2510" s="85" t="n">
        <x:v>0</x:v>
      </x:c>
      <x:c r="I2510" s="85" t="n">
        <x:v>2177375.1306103636</x:v>
      </x:c>
      <x:c r="J2510" s="85" t="n">
        <x:v>0</x:v>
      </x:c>
      <x:c r="K2510" s="85" t="n">
        <x:v>3517693.5421500253</x:v>
      </x:c>
      <x:c r="L2510" s="28" t="n">
        <x:v>0</x:v>
      </x:c>
      <x:c r="M2510" s="28" t="n">
        <x:v>0</x:v>
      </x:c>
      <x:c r="N2510" s="28" t="n">
        <x:v>3.725290298461914e-9</x:v>
      </x:c>
      <x:c r="O2510" s="28" t="n">
        <x:v>2.9802322387695312e-8</x:v>
      </x:c>
      <x:c r="P2510" s="28" t="n">
        <x:v>0</x:v>
      </x:c>
      <x:c r="Q2510" s="62" t="b">
        <x:v>1</x:v>
      </x:c>
      <x:c r="R2510" s="28" t="n">
        <x:v>0</x:v>
      </x:c>
      <x:c r="S2510" s="28" t="str">
        <x:v>9b5008ec7651c13a</x:v>
      </x:c>
    </x:row>
    <x:row r="2511" ht="21" customHeight="1">
      <x:c r="A2511" s="60" t="n">
        <x:v>0.69</x:v>
      </x:c>
      <x:c r="B2511" s="28" t="str">
        <x:v>level_high</x:v>
      </x:c>
      <x:c r="C2511" s="60" t="n">
        <x:v>0.2</x:v>
      </x:c>
      <x:c r="D2511" s="60" t="n">
        <x:v>0.2</x:v>
      </x:c>
      <x:c r="E2511" s="62" t="b">
        <x:v>1</x:v>
      </x:c>
      <x:c r="F2511" s="62" t="b">
        <x:v>1</x:v>
      </x:c>
      <x:c r="G2511" s="85" t="n">
        <x:v>0</x:v>
      </x:c>
      <x:c r="H2511" s="85" t="n">
        <x:v>0</x:v>
      </x:c>
      <x:c r="I2511" s="85" t="n">
        <x:v>11959119.900315868</x:v>
      </x:c>
      <x:c r="J2511" s="85" t="n">
        <x:v>6323003.27253421</x:v>
      </x:c>
      <x:c r="K2511" s="85" t="n">
        <x:v>2578272.8863703934</x:v>
      </x:c>
      <x:c r="L2511" s="28" t="n">
        <x:v>0</x:v>
      </x:c>
      <x:c r="M2511" s="28" t="n">
        <x:v>0</x:v>
      </x:c>
      <x:c r="N2511" s="28" t="n">
        <x:v>1.862645149230957e-9</x:v>
      </x:c>
      <x:c r="O2511" s="28" t="n">
        <x:v>2.9802322387695312e-8</x:v>
      </x:c>
      <x:c r="P2511" s="28" t="n">
        <x:v>0</x:v>
      </x:c>
      <x:c r="Q2511" s="62" t="b">
        <x:v>1</x:v>
      </x:c>
      <x:c r="R2511" s="28" t="n">
        <x:v>0</x:v>
      </x:c>
      <x:c r="S2511" s="28" t="str">
        <x:v>f9add68a0bfb42a7</x:v>
      </x:c>
    </x:row>
    <x:row r="2512" ht="21" customHeight="1">
      <x:c r="A2512" s="60" t="n">
        <x:v>0.69</x:v>
      </x:c>
      <x:c r="B2512" s="28" t="str">
        <x:v>level_high</x:v>
      </x:c>
      <x:c r="C2512" s="60" t="n">
        <x:v>0.25</x:v>
      </x:c>
      <x:c r="D2512" s="60" t="n">
        <x:v>0.25</x:v>
      </x:c>
      <x:c r="E2512" s="62" t="b">
        <x:v>1</x:v>
      </x:c>
      <x:c r="F2512" s="62" t="b">
        <x:v>1</x:v>
      </x:c>
      <x:c r="G2512" s="85" t="n">
        <x:v>0</x:v>
      </x:c>
      <x:c r="H2512" s="85" t="n">
        <x:v>0</x:v>
      </x:c>
      <x:c r="I2512" s="85" t="n">
        <x:v>20510969.130508434</x:v>
      </x:c>
      <x:c r="J2512" s="85" t="n">
        <x:v>15403754.090667719</x:v>
      </x:c>
      <x:c r="K2512" s="85" t="n">
        <x:v>1961651.2270712345</x:v>
      </x:c>
      <x:c r="L2512" s="28" t="n">
        <x:v>0</x:v>
      </x:c>
      <x:c r="M2512" s="28" t="n">
        <x:v>0</x:v>
      </x:c>
      <x:c r="N2512" s="28" t="n">
        <x:v>3.725290298461914e-9</x:v>
      </x:c>
      <x:c r="O2512" s="28" t="n">
        <x:v>2.9802322387695312e-8</x:v>
      </x:c>
      <x:c r="P2512" s="28" t="n">
        <x:v>0</x:v>
      </x:c>
      <x:c r="Q2512" s="62" t="b">
        <x:v>1</x:v>
      </x:c>
      <x:c r="R2512" s="28" t="n">
        <x:v>0</x:v>
      </x:c>
      <x:c r="S2512" s="28" t="str">
        <x:v>6b13e90b8d0cd655</x:v>
      </x:c>
    </x:row>
    <x:row r="2513" ht="21" customHeight="1">
      <x:c r="A2513" s="60" t="n">
        <x:v>0.69</x:v>
      </x:c>
      <x:c r="B2513" s="28" t="str">
        <x:v>level_high</x:v>
      </x:c>
      <x:c r="C2513" s="60" t="n">
        <x:v>0.3</x:v>
      </x:c>
      <x:c r="D2513" s="60" t="n">
        <x:v>0.3</x:v>
      </x:c>
      <x:c r="E2513" s="62" t="b">
        <x:v>1</x:v>
      </x:c>
      <x:c r="F2513" s="62" t="b">
        <x:v>1</x:v>
      </x:c>
      <x:c r="G2513" s="85" t="n">
        <x:v>0</x:v>
      </x:c>
      <x:c r="H2513" s="85" t="n">
        <x:v>0</x:v>
      </x:c>
      <x:c r="I2513" s="85" t="n">
        <x:v>29327632.144054685</x:v>
      </x:c>
      <x:c r="J2513" s="85" t="n">
        <x:v>24484504.908801146</x:v>
      </x:c>
      <x:c r="K2513" s="85" t="n">
        <x:v>1512574.8968361523</x:v>
      </x:c>
      <x:c r="L2513" s="28" t="n">
        <x:v>0</x:v>
      </x:c>
      <x:c r="M2513" s="28" t="n">
        <x:v>0</x:v>
      </x:c>
      <x:c r="N2513" s="28" t="n">
        <x:v>1.862645149230957e-9</x:v>
      </x:c>
      <x:c r="O2513" s="28" t="n">
        <x:v>7.450580596923828e-9</x:v>
      </x:c>
      <x:c r="P2513" s="28" t="n">
        <x:v>0</x:v>
      </x:c>
      <x:c r="Q2513" s="62" t="b">
        <x:v>1</x:v>
      </x:c>
      <x:c r="R2513" s="28" t="n">
        <x:v>0</x:v>
      </x:c>
      <x:c r="S2513" s="28" t="str">
        <x:v>76966b1922354308</x:v>
      </x:c>
    </x:row>
    <x:row r="2514" ht="21" customHeight="1">
      <x:c r="A2514" s="60" t="n">
        <x:v>0.69</x:v>
      </x:c>
      <x:c r="B2514" s="28" t="str">
        <x:v>level_high</x:v>
      </x:c>
      <x:c r="C2514" s="60" t="n">
        <x:v>0.35</x:v>
      </x:c>
      <x:c r="D2514" s="60" t="n">
        <x:v>0.35</x:v>
      </x:c>
      <x:c r="E2514" s="62" t="b">
        <x:v>1</x:v>
      </x:c>
      <x:c r="F2514" s="62" t="b">
        <x:v>1</x:v>
      </x:c>
      <x:c r="G2514" s="85" t="n">
        <x:v>0</x:v>
      </x:c>
      <x:c r="H2514" s="85" t="n">
        <x:v>0</x:v>
      </x:c>
      <x:c r="I2514" s="85" t="n">
        <x:v>38922668.217143856</x:v>
      </x:c>
      <x:c r="J2514" s="85" t="n">
        <x:v>29200885.05418776</x:v>
      </x:c>
      <x:c r="K2514" s="85" t="n">
        <x:v>1198567.5208835586</x:v>
      </x:c>
      <x:c r="L2514" s="28" t="n">
        <x:v>4</x:v>
      </x:c>
      <x:c r="M2514" s="28" t="n">
        <x:v>0</x:v>
      </x:c>
      <x:c r="N2514" s="28" t="n">
        <x:v>1.862645149230957e-9</x:v>
      </x:c>
      <x:c r="O2514" s="28" t="n">
        <x:v>2.9802322387695312e-8</x:v>
      </x:c>
      <x:c r="P2514" s="28" t="n">
        <x:v>0</x:v>
      </x:c>
      <x:c r="Q2514" s="62" t="b">
        <x:v>1</x:v>
      </x:c>
      <x:c r="R2514" s="28" t="n">
        <x:v>0</x:v>
      </x:c>
      <x:c r="S2514" s="28" t="str">
        <x:v>71c0798ae5ef03a1</x:v>
      </x:c>
    </x:row>
    <x:row r="2515" ht="21" customHeight="1">
      <x:c r="A2515" s="60" t="n">
        <x:v>0.69</x:v>
      </x:c>
      <x:c r="B2515" s="28" t="str">
        <x:v>level_high</x:v>
      </x:c>
      <x:c r="C2515" s="60" t="n">
        <x:v>0.4</x:v>
      </x:c>
      <x:c r="D2515" s="60" t="n">
        <x:v>0.4</x:v>
      </x:c>
      <x:c r="E2515" s="62" t="b">
        <x:v>1</x:v>
      </x:c>
      <x:c r="F2515" s="62" t="b">
        <x:v>1</x:v>
      </x:c>
      <x:c r="G2515" s="85" t="n">
        <x:v>0</x:v>
      </x:c>
      <x:c r="H2515" s="85" t="n">
        <x:v>0</x:v>
      </x:c>
      <x:c r="I2515" s="85" t="n">
        <x:v>48870788.062084</x:v>
      </x:c>
      <x:c r="J2515" s="85" t="n">
        <x:v>31623046.95084675</x:v>
      </x:c>
      <x:c r="K2515" s="85" t="n">
        <x:v>1038414.9524383543</x:v>
      </x:c>
      <x:c r="L2515" s="28" t="n">
        <x:v>11</x:v>
      </x:c>
      <x:c r="M2515" s="28" t="n">
        <x:v>0</x:v>
      </x:c>
      <x:c r="N2515" s="28" t="n">
        <x:v>1.862645149230957e-9</x:v>
      </x:c>
      <x:c r="O2515" s="28" t="n">
        <x:v>2.9802322387695312e-8</x:v>
      </x:c>
      <x:c r="P2515" s="28" t="n">
        <x:v>0</x:v>
      </x:c>
      <x:c r="Q2515" s="62" t="b">
        <x:v>1</x:v>
      </x:c>
      <x:c r="R2515" s="28" t="n">
        <x:v>0</x:v>
      </x:c>
      <x:c r="S2515" s="28" t="str">
        <x:v>bb7f493e6a9d3f2d</x:v>
      </x:c>
    </x:row>
    <x:row r="2516" ht="21" customHeight="1">
      <x:c r="A2516" s="60" t="n">
        <x:v>0.69</x:v>
      </x:c>
      <x:c r="B2516" s="28" t="str">
        <x:v>level_high</x:v>
      </x:c>
      <x:c r="C2516" s="60" t="n">
        <x:v>0.45</x:v>
      </x:c>
      <x:c r="D2516" s="60" t="n">
        <x:v>0.45</x:v>
      </x:c>
      <x:c r="E2516" s="62" t="b">
        <x:v>1</x:v>
      </x:c>
      <x:c r="F2516" s="62" t="b">
        <x:v>1</x:v>
      </x:c>
      <x:c r="G2516" s="85" t="n">
        <x:v>0</x:v>
      </x:c>
      <x:c r="H2516" s="85" t="n">
        <x:v>0</x:v>
      </x:c>
      <x:c r="I2516" s="85" t="n">
        <x:v>57996526.67721195</x:v>
      </x:c>
      <x:c r="J2516" s="85" t="n">
        <x:v>38866694.71427922</x:v>
      </x:c>
      <x:c r="K2516" s="85" t="n">
        <x:v>878262.383993144</x:v>
      </x:c>
      <x:c r="L2516" s="28" t="n">
        <x:v>14</x:v>
      </x:c>
      <x:c r="M2516" s="28" t="n">
        <x:v>1</x:v>
      </x:c>
      <x:c r="N2516" s="28" t="n">
        <x:v>1.862645149230957e-9</x:v>
      </x:c>
      <x:c r="O2516" s="28" t="n">
        <x:v>2.9802322387695312e-8</x:v>
      </x:c>
      <x:c r="P2516" s="28" t="n">
        <x:v>0</x:v>
      </x:c>
      <x:c r="Q2516" s="62" t="b">
        <x:v>1</x:v>
      </x:c>
      <x:c r="R2516" s="28" t="n">
        <x:v>0</x:v>
      </x:c>
      <x:c r="S2516" s="28" t="str">
        <x:v>0bdbc47c61633d62</x:v>
      </x:c>
    </x:row>
    <x:row r="2517" ht="21" customHeight="1">
      <x:c r="A2517" s="60" t="n">
        <x:v>0.69</x:v>
      </x:c>
      <x:c r="B2517" s="28" t="str">
        <x:v>level_high</x:v>
      </x:c>
      <x:c r="C2517" s="60" t="n">
        <x:v>0.5</x:v>
      </x:c>
      <x:c r="D2517" s="60" t="n">
        <x:v>0.5</x:v>
      </x:c>
      <x:c r="E2517" s="62" t="b">
        <x:v>1</x:v>
      </x:c>
      <x:c r="F2517" s="62" t="b">
        <x:v>1</x:v>
      </x:c>
      <x:c r="G2517" s="85" t="n">
        <x:v>0</x:v>
      </x:c>
      <x:c r="H2517" s="85" t="n">
        <x:v>0</x:v>
      </x:c>
      <x:c r="I2517" s="85" t="n">
        <x:v>66877872.99473231</x:v>
      </x:c>
      <x:c r="J2517" s="85" t="n">
        <x:v>48225162.00390932</x:v>
      </x:c>
      <x:c r="K2517" s="85" t="n">
        <x:v>718109.8155479545</x:v>
      </x:c>
      <x:c r="L2517" s="28" t="n">
        <x:v>17</x:v>
      </x:c>
      <x:c r="M2517" s="28" t="n">
        <x:v>4</x:v>
      </x:c>
      <x:c r="N2517" s="28" t="n">
        <x:v>3.725290298461914e-9</x:v>
      </x:c>
      <x:c r="O2517" s="28" t="n">
        <x:v>1.4901161193847656e-8</x:v>
      </x:c>
      <x:c r="P2517" s="28" t="n">
        <x:v>0</x:v>
      </x:c>
      <x:c r="Q2517" s="62" t="b">
        <x:v>1</x:v>
      </x:c>
      <x:c r="R2517" s="28" t="n">
        <x:v>0</x:v>
      </x:c>
      <x:c r="S2517" s="28" t="str">
        <x:v>d3c244b0f7af6862</x:v>
      </x:c>
    </x:row>
    <x:row r="2518" ht="21" customHeight="1">
      <x:c r="A2518" s="60" t="n">
        <x:v>0.69</x:v>
      </x:c>
      <x:c r="B2518" s="28" t="str">
        <x:v>level_high</x:v>
      </x:c>
      <x:c r="C2518" s="60" t="n">
        <x:v>0.55</x:v>
      </x:c>
      <x:c r="D2518" s="60" t="n">
        <x:v>0.55</x:v>
      </x:c>
      <x:c r="E2518" s="62" t="b">
        <x:v>1</x:v>
      </x:c>
      <x:c r="F2518" s="62" t="b">
        <x:v>1</x:v>
      </x:c>
      <x:c r="G2518" s="85" t="n">
        <x:v>0</x:v>
      </x:c>
      <x:c r="H2518" s="85" t="n">
        <x:v>0</x:v>
      </x:c>
      <x:c r="I2518" s="85" t="n">
        <x:v>75445043.51684895</x:v>
      </x:c>
      <x:c r="J2518" s="85" t="n">
        <x:v>58219199.42616635</x:v>
      </x:c>
      <x:c r="K2518" s="85" t="n">
        <x:v>621461.5149383553</x:v>
      </x:c>
      <x:c r="L2518" s="28" t="n">
        <x:v>21</x:v>
      </x:c>
      <x:c r="M2518" s="28" t="n">
        <x:v>11</x:v>
      </x:c>
      <x:c r="N2518" s="28" t="n">
        <x:v>1.862645149230957e-9</x:v>
      </x:c>
      <x:c r="O2518" s="28" t="n">
        <x:v>2.9802322387695312e-8</x:v>
      </x:c>
      <x:c r="P2518" s="28" t="n">
        <x:v>0</x:v>
      </x:c>
      <x:c r="Q2518" s="62" t="b">
        <x:v>1</x:v>
      </x:c>
      <x:c r="R2518" s="28" t="n">
        <x:v>0</x:v>
      </x:c>
      <x:c r="S2518" s="28" t="str">
        <x:v>ad7b2493ba81f98d</x:v>
      </x:c>
    </x:row>
    <x:row r="2519" ht="21" customHeight="1">
      <x:c r="A2519" s="60" t="n">
        <x:v>0.69</x:v>
      </x:c>
      <x:c r="B2519" s="28" t="str">
        <x:v>level_high</x:v>
      </x:c>
      <x:c r="C2519" s="60" t="n">
        <x:v>0.6</x:v>
      </x:c>
      <x:c r="D2519" s="60" t="n">
        <x:v>0.6</x:v>
      </x:c>
      <x:c r="E2519" s="62" t="b">
        <x:v>1</x:v>
      </x:c>
      <x:c r="F2519" s="62" t="b">
        <x:v>0</x:v>
      </x:c>
      <x:c r="G2519" s="85" t="n">
        <x:v>1922209.5209919945</x:v>
      </x:c>
      <x:c r="H2519" s="85" t="n">
        <x:v>7459365.087214367</x:v>
      </x:c>
      <x:c r="I2519" s="85" t="n">
        <x:v>79779084.41073975</x:v>
      </x:c>
      <x:c r="J2519" s="85" t="n">
        <x:v>63000000.000000015</x:v>
      </x:c>
      <x:c r="K2519" s="85" t="n">
        <x:v>569971.1673150689</x:v>
      </x:c>
      <x:c r="L2519" s="28" t="n">
        <x:v>44</x:v>
      </x:c>
      <x:c r="M2519" s="28" t="n">
        <x:v>34</x:v>
      </x:c>
      <x:c r="N2519" s="28" t="n">
        <x:v>1.862645149230957e-9</x:v>
      </x:c>
      <x:c r="O2519" s="28" t="n">
        <x:v>2.9802322387695312e-8</x:v>
      </x:c>
      <x:c r="P2519" s="28" t="n">
        <x:v>0</x:v>
      </x:c>
      <x:c r="Q2519" s="62" t="b">
        <x:v>1</x:v>
      </x:c>
      <x:c r="R2519" s="28" t="n">
        <x:v>0</x:v>
      </x:c>
      <x:c r="S2519" s="28" t="str">
        <x:v>6e0c1f3fe629818f</x:v>
      </x:c>
    </x:row>
    <x:row r="2520" ht="21" customHeight="1">
      <x:c r="A2520" s="60" t="n">
        <x:v>0.69</x:v>
      </x:c>
      <x:c r="B2520" s="28" t="str">
        <x:v>level_high</x:v>
      </x:c>
      <x:c r="C2520" s="60" t="n">
        <x:v>0.65</x:v>
      </x:c>
      <x:c r="D2520" s="60" t="n">
        <x:v>0.65</x:v>
      </x:c>
      <x:c r="E2520" s="62" t="b">
        <x:v>1</x:v>
      </x:c>
      <x:c r="F2520" s="62" t="b">
        <x:v>0</x:v>
      </x:c>
      <x:c r="G2520" s="85" t="n">
        <x:v>6642771.161815092</x:v>
      </x:c>
      <x:c r="H2520" s="85" t="n">
        <x:v>22281518.78589216</x:v>
      </x:c>
      <x:c r="I2520" s="85" t="n">
        <x:v>79844183.73172607</x:v>
      </x:c>
      <x:c r="J2520" s="85" t="n">
        <x:v>63000000.000000015</x:v>
      </x:c>
      <x:c r="K2520" s="85" t="n">
        <x:v>521611.6811438418</x:v>
      </x:c>
      <x:c r="L2520" s="28" t="n">
        <x:v>44</x:v>
      </x:c>
      <x:c r="M2520" s="28" t="n">
        <x:v>36</x:v>
      </x:c>
      <x:c r="N2520" s="28" t="n">
        <x:v>3.725290298461914e-9</x:v>
      </x:c>
      <x:c r="O2520" s="28" t="n">
        <x:v>2.9802322387695312e-8</x:v>
      </x:c>
      <x:c r="P2520" s="28" t="n">
        <x:v>0</x:v>
      </x:c>
      <x:c r="Q2520" s="62" t="b">
        <x:v>1</x:v>
      </x:c>
      <x:c r="R2520" s="28" t="n">
        <x:v>0</x:v>
      </x:c>
      <x:c r="S2520" s="28" t="str">
        <x:v>ab33e0e418a6cb35</x:v>
      </x:c>
    </x:row>
    <x:row r="2521" ht="21" customHeight="1">
      <x:c r="A2521" s="60" t="n">
        <x:v>0.69</x:v>
      </x:c>
      <x:c r="B2521" s="28" t="str">
        <x:v>level_high</x:v>
      </x:c>
      <x:c r="C2521" s="60" t="n">
        <x:v>0.7</x:v>
      </x:c>
      <x:c r="D2521" s="60" t="n">
        <x:v>0.7</x:v>
      </x:c>
      <x:c r="E2521" s="62" t="b">
        <x:v>1</x:v>
      </x:c>
      <x:c r="F2521" s="62" t="b">
        <x:v>0</x:v>
      </x:c>
      <x:c r="G2521" s="85" t="n">
        <x:v>10750952.36787008</x:v>
      </x:c>
      <x:c r="H2521" s="85" t="n">
        <x:v>33801565.99876945</x:v>
      </x:c>
      <x:c r="I2521" s="85" t="n">
        <x:v>81614702.47720551</x:v>
      </x:c>
      <x:c r="J2521" s="85" t="n">
        <x:v>63000000.000000015</x:v>
      </x:c>
      <x:c r="K2521" s="85" t="n">
        <x:v>473252.19497260166</x:v>
      </x:c>
      <x:c r="L2521" s="28" t="n">
        <x:v>45</x:v>
      </x:c>
      <x:c r="M2521" s="28" t="n">
        <x:v>38</x:v>
      </x:c>
      <x:c r="N2521" s="28" t="n">
        <x:v>1.862645149230957e-9</x:v>
      </x:c>
      <x:c r="O2521" s="28" t="n">
        <x:v>2.9802322387695312e-8</x:v>
      </x:c>
      <x:c r="P2521" s="28" t="n">
        <x:v>0</x:v>
      </x:c>
      <x:c r="Q2521" s="62" t="b">
        <x:v>1</x:v>
      </x:c>
      <x:c r="R2521" s="28" t="n">
        <x:v>0</x:v>
      </x:c>
      <x:c r="S2521" s="28" t="str">
        <x:v>bfcb17fe950d1885</x:v>
      </x:c>
    </x:row>
    <x:row r="2522" ht="21" customHeight="1">
      <x:c r="A2522" s="60" t="n">
        <x:v>0.69</x:v>
      </x:c>
      <x:c r="B2522" s="28" t="str">
        <x:v>level_high</x:v>
      </x:c>
      <x:c r="C2522" s="60" t="n">
        <x:v>0.75</x:v>
      </x:c>
      <x:c r="D2522" s="60" t="n">
        <x:v>0.75</x:v>
      </x:c>
      <x:c r="E2522" s="62" t="b">
        <x:v>1</x:v>
      </x:c>
      <x:c r="F2522" s="62" t="b">
        <x:v>0</x:v>
      </x:c>
      <x:c r="G2522" s="85" t="n">
        <x:v>15748657.94196387</x:v>
      </x:c>
      <x:c r="H2522" s="85" t="n">
        <x:v>47898327.890604466</x:v>
      </x:c>
      <x:c r="I2522" s="85" t="n">
        <x:v>81662814.04671237</x:v>
      </x:c>
      <x:c r="J2522" s="85" t="n">
        <x:v>63000000.000000015</x:v>
      </x:c>
      <x:c r="K2522" s="85" t="n">
        <x:v>424892.7088013671</x:v>
      </x:c>
      <x:c r="L2522" s="28" t="n">
        <x:v>45</x:v>
      </x:c>
      <x:c r="M2522" s="28" t="n">
        <x:v>38</x:v>
      </x:c>
      <x:c r="N2522" s="28" t="n">
        <x:v>1.862645149230957e-9</x:v>
      </x:c>
      <x:c r="O2522" s="28" t="n">
        <x:v>2.9802322387695312e-8</x:v>
      </x:c>
      <x:c r="P2522" s="28" t="n">
        <x:v>0</x:v>
      </x:c>
      <x:c r="Q2522" s="62" t="b">
        <x:v>1</x:v>
      </x:c>
      <x:c r="R2522" s="28" t="n">
        <x:v>0</x:v>
      </x:c>
      <x:c r="S2522" s="28" t="str">
        <x:v>de9ad93b97404e64</x:v>
      </x:c>
    </x:row>
    <x:row r="2523" ht="21" customHeight="1">
      <x:c r="A2523" s="60" t="n">
        <x:v>0.69</x:v>
      </x:c>
      <x:c r="B2523" s="28" t="str">
        <x:v>level_high</x:v>
      </x:c>
      <x:c r="C2523" s="60" t="n">
        <x:v>0.8</x:v>
      </x:c>
      <x:c r="D2523" s="60" t="n">
        <x:v>0.8</x:v>
      </x:c>
      <x:c r="E2523" s="62" t="b">
        <x:v>1</x:v>
      </x:c>
      <x:c r="F2523" s="62" t="b">
        <x:v>0</x:v>
      </x:c>
      <x:c r="G2523" s="85" t="n">
        <x:v>21123047.77293963</x:v>
      </x:c>
      <x:c r="H2523" s="85" t="n">
        <x:v>61535319.19700299</x:v>
      </x:c>
      <x:c r="I2523" s="85" t="n">
        <x:v>81710925.61621921</x:v>
      </x:c>
      <x:c r="J2523" s="85" t="n">
        <x:v>63000000.000000015</x:v>
      </x:c>
      <x:c r="K2523" s="85" t="n">
        <x:v>376533.22263014</x:v>
      </x:c>
      <x:c r="L2523" s="28" t="n">
        <x:v>45</x:v>
      </x:c>
      <x:c r="M2523" s="28" t="n">
        <x:v>40</x:v>
      </x:c>
      <x:c r="N2523" s="28" t="n">
        <x:v>1.862645149230957e-9</x:v>
      </x:c>
      <x:c r="O2523" s="28" t="n">
        <x:v>2.9802322387695312e-8</x:v>
      </x:c>
      <x:c r="P2523" s="28" t="n">
        <x:v>0</x:v>
      </x:c>
      <x:c r="Q2523" s="62" t="b">
        <x:v>1</x:v>
      </x:c>
      <x:c r="R2523" s="28" t="n">
        <x:v>0</x:v>
      </x:c>
      <x:c r="S2523" s="28" t="str">
        <x:v>a3d71330498bcfa2</x:v>
      </x:c>
    </x:row>
    <x:row r="2524" ht="21" customHeight="1">
      <x:c r="A2524" s="60" t="n">
        <x:v>0.69</x:v>
      </x:c>
      <x:c r="B2524" s="28" t="str">
        <x:v>level_high</x:v>
      </x:c>
      <x:c r="C2524" s="60" t="n">
        <x:v>0.85</x:v>
      </x:c>
      <x:c r="D2524" s="60" t="n">
        <x:v>0.85</x:v>
      </x:c>
      <x:c r="E2524" s="62" t="b">
        <x:v>1</x:v>
      </x:c>
      <x:c r="F2524" s="62" t="b">
        <x:v>0</x:v>
      </x:c>
      <x:c r="G2524" s="85" t="n">
        <x:v>29900063.41636677</x:v>
      </x:c>
      <x:c r="H2524" s="85" t="n">
        <x:v>73131091.7698174</x:v>
      </x:c>
      <x:c r="I2524" s="85" t="n">
        <x:v>81759037.18572608</x:v>
      </x:c>
      <x:c r="J2524" s="85" t="n">
        <x:v>63000000.000000015</x:v>
      </x:c>
      <x:c r="K2524" s="85" t="n">
        <x:v>328173.73645891016</x:v>
      </x:c>
      <x:c r="L2524" s="28" t="n">
        <x:v>45</x:v>
      </x:c>
      <x:c r="M2524" s="28" t="n">
        <x:v>40</x:v>
      </x:c>
      <x:c r="N2524" s="28" t="n">
        <x:v>1.862645149230957e-9</x:v>
      </x:c>
      <x:c r="O2524" s="28" t="n">
        <x:v>2.9802322387695312e-8</x:v>
      </x:c>
      <x:c r="P2524" s="28" t="n">
        <x:v>0</x:v>
      </x:c>
      <x:c r="Q2524" s="62" t="b">
        <x:v>1</x:v>
      </x:c>
      <x:c r="R2524" s="28" t="n">
        <x:v>0</x:v>
      </x:c>
      <x:c r="S2524" s="28" t="str">
        <x:v>273d6e77767d87fa</x:v>
      </x:c>
    </x:row>
    <x:row r="2525" ht="21" customHeight="1">
      <x:c r="A2525" s="60" t="n">
        <x:v>0.69</x:v>
      </x:c>
      <x:c r="B2525" s="28" t="str">
        <x:v>level_high</x:v>
      </x:c>
      <x:c r="C2525" s="60" t="n">
        <x:v>0.9</x:v>
      </x:c>
      <x:c r="D2525" s="60" t="n">
        <x:v>0.9</x:v>
      </x:c>
      <x:c r="E2525" s="62" t="b">
        <x:v>1</x:v>
      </x:c>
      <x:c r="F2525" s="62" t="b">
        <x:v>0</x:v>
      </x:c>
      <x:c r="G2525" s="85" t="n">
        <x:v>36049456.47898843</x:v>
      </x:c>
      <x:c r="H2525" s="85" t="n">
        <x:v>81705978.955732</x:v>
      </x:c>
      <x:c r="I2525" s="85" t="n">
        <x:v>81807148.75523292</x:v>
      </x:c>
      <x:c r="J2525" s="85" t="n">
        <x:v>63000000.000000015</x:v>
      </x:c>
      <x:c r="K2525" s="85" t="n">
        <x:v>279814.2502876737</x:v>
      </x:c>
      <x:c r="L2525" s="28" t="n">
        <x:v>45</x:v>
      </x:c>
      <x:c r="M2525" s="28" t="n">
        <x:v>41</x:v>
      </x:c>
      <x:c r="N2525" s="28" t="n">
        <x:v>1.862645149230957e-9</x:v>
      </x:c>
      <x:c r="O2525" s="28" t="n">
        <x:v>7.450580596923828e-9</x:v>
      </x:c>
      <x:c r="P2525" s="28" t="n">
        <x:v>0</x:v>
      </x:c>
      <x:c r="Q2525" s="62" t="b">
        <x:v>1</x:v>
      </x:c>
      <x:c r="R2525" s="28" t="n">
        <x:v>0</x:v>
      </x:c>
      <x:c r="S2525" s="28" t="str">
        <x:v>5234273385cfedfd</x:v>
      </x:c>
    </x:row>
    <x:row r="2526" ht="21" customHeight="1">
      <x:c r="A2526" s="60" t="n">
        <x:v>0.69</x:v>
      </x:c>
      <x:c r="B2526" s="28" t="str">
        <x:v>level_high</x:v>
      </x:c>
      <x:c r="C2526" s="60" t="n">
        <x:v>0.95</x:v>
      </x:c>
      <x:c r="D2526" s="60" t="n">
        <x:v>0.9219114501462435</x:v>
      </x:c>
      <x:c r="E2526" s="62" t="b">
        <x:v>0</x:v>
      </x:c>
      <x:c r="F2526" s="62" t="b">
        <x:v>0</x:v>
      </x:c>
      <x:c r="G2526" s="85" t="n">
        <x:v>37941018.917271346</x:v>
      </x:c>
      <x:c r="H2526" s="85" t="n">
        <x:v>85413743.59976342</x:v>
      </x:c>
      <x:c r="I2526" s="85" t="n">
        <x:v>83406821.91780826</x:v>
      </x:c>
      <x:c r="J2526" s="85" t="n">
        <x:v>63000000.000000015</x:v>
      </x:c>
      <x:c r="K2526" s="85" t="n">
        <x:v>231454.76411644756</x:v>
      </x:c>
      <x:c r="L2526" s="28" t="n">
        <x:v>46</x:v>
      </x:c>
      <x:c r="M2526" s="28" t="n">
        <x:v>42</x:v>
      </x:c>
      <x:c r="N2526" s="28" t="n">
        <x:v>1.862645149230957e-9</x:v>
      </x:c>
      <x:c r="O2526" s="28" t="n">
        <x:v>1.4901161193847656e-8</x:v>
      </x:c>
      <x:c r="P2526" s="28" t="n">
        <x:v>0</x:v>
      </x:c>
      <x:c r="Q2526" s="62" t="b">
        <x:v>1</x:v>
      </x:c>
      <x:c r="R2526" s="28" t="n">
        <x:v>8426564.956126928</x:v>
      </x:c>
      <x:c r="S2526" s="28" t="str">
        <x:v>5b9ff8cf6aa1df24</x:v>
      </x:c>
    </x:row>
    <x:row r="2527" ht="21" customHeight="1">
      <x:c r="A2527" s="60" t="n">
        <x:v>0.69</x:v>
      </x:c>
      <x:c r="B2527" s="28" t="str">
        <x:v>level_high</x:v>
      </x:c>
      <x:c r="C2527" s="60" t="n">
        <x:v>1</x:v>
      </x:c>
      <x:c r="D2527" s="60" t="n">
        <x:v>0.9350574964161632</x:v>
      </x:c>
      <x:c r="E2527" s="62" t="b">
        <x:v>0</x:v>
      </x:c>
      <x:c r="F2527" s="62" t="b">
        <x:v>0</x:v>
      </x:c>
      <x:c r="G2527" s="85" t="n">
        <x:v>41114875.98248038</x:v>
      </x:c>
      <x:c r="H2527" s="85" t="n">
        <x:v>88828886.44389987</x:v>
      </x:c>
      <x:c r="I2527" s="85" t="n">
        <x:v>83406821.91780826</x:v>
      </x:c>
      <x:c r="J2527" s="85" t="n">
        <x:v>63000000.000000015</x:v>
      </x:c>
      <x:c r="K2527" s="85" t="n">
        <x:v>192281.14109589372</x:v>
      </x:c>
      <x:c r="L2527" s="28" t="n">
        <x:v>46</x:v>
      </x:c>
      <x:c r="M2527" s="28" t="n">
        <x:v>42</x:v>
      </x:c>
      <x:c r="N2527" s="28" t="n">
        <x:v>1.862645149230957e-9</x:v>
      </x:c>
      <x:c r="O2527" s="28" t="n">
        <x:v>7.450580596923828e-9</x:v>
      </x:c>
      <x:c r="P2527" s="28" t="n">
        <x:v>0</x:v>
      </x:c>
      <x:c r="Q2527" s="62" t="b">
        <x:v>1</x:v>
      </x:c>
      <x:c r="R2527" s="28" t="n">
        <x:v>19482751.075151026</x:v>
      </x:c>
      <x:c r="S2527" s="28" t="str">
        <x:v>d7ef2964ffc08c8c</x:v>
      </x:c>
    </x:row>
    <x:row r="2528" ht="21" customHeight="1">
      <x:c r="A2528" s="60" t="n">
        <x:v>0.7</x:v>
      </x:c>
      <x:c r="B2528" s="28" t="str">
        <x:v>front_flat</x:v>
      </x:c>
      <x:c r="C2528" s="60" t="n">
        <x:v>0</x:v>
      </x:c>
      <x:c r="D2528" s="60" t="n">
        <x:v>0</x:v>
      </x:c>
      <x:c r="E2528" s="62" t="b">
        <x:v>1</x:v>
      </x:c>
      <x:c r="F2528" s="62" t="b">
        <x:v>1</x:v>
      </x:c>
      <x:c r="G2528" s="85" t="n">
        <x:v>0</x:v>
      </x:c>
      <x:c r="H2528" s="85" t="n">
        <x:v>0</x:v>
      </x:c>
      <x:c r="I2528" s="85" t="n">
        <x:v>0</x:v>
      </x:c>
      <x:c r="J2528" s="85" t="n">
        <x:v>0</x:v>
      </x:c>
      <x:c r="K2528" s="85" t="n">
        <x:v>37166364.518493116</x:v>
      </x:c>
      <x:c r="L2528" s="28" t="n">
        <x:v>0</x:v>
      </x:c>
      <x:c r="M2528" s="28" t="n">
        <x:v>0</x:v>
      </x:c>
      <x:c r="N2528" s="28" t="n">
        <x:v>3.725290298461914e-9</x:v>
      </x:c>
      <x:c r="O2528" s="28" t="n">
        <x:v>0</x:v>
      </x:c>
      <x:c r="P2528" s="28" t="n">
        <x:v>0</x:v>
      </x:c>
      <x:c r="Q2528" s="62" t="b">
        <x:v>1</x:v>
      </x:c>
      <x:c r="R2528" s="28" t="n">
        <x:v>0</x:v>
      </x:c>
      <x:c r="S2528" s="28" t="str">
        <x:v>145d8ba1127806ae</x:v>
      </x:c>
    </x:row>
    <x:row r="2529" ht="21" customHeight="1">
      <x:c r="A2529" s="60" t="n">
        <x:v>0.7</x:v>
      </x:c>
      <x:c r="B2529" s="28" t="str">
        <x:v>front_flat</x:v>
      </x:c>
      <x:c r="C2529" s="60" t="n">
        <x:v>0.05</x:v>
      </x:c>
      <x:c r="D2529" s="60" t="n">
        <x:v>0.05</x:v>
      </x:c>
      <x:c r="E2529" s="62" t="b">
        <x:v>1</x:v>
      </x:c>
      <x:c r="F2529" s="62" t="b">
        <x:v>1</x:v>
      </x:c>
      <x:c r="G2529" s="85" t="n">
        <x:v>0</x:v>
      </x:c>
      <x:c r="H2529" s="85" t="n">
        <x:v>0</x:v>
      </x:c>
      <x:c r="I2529" s="85" t="n">
        <x:v>0</x:v>
      </x:c>
      <x:c r="J2529" s="85" t="n">
        <x:v>0</x:v>
      </x:c>
      <x:c r="K2529" s="85" t="n">
        <x:v>24921862.2797197</x:v>
      </x:c>
      <x:c r="L2529" s="28" t="n">
        <x:v>0</x:v>
      </x:c>
      <x:c r="M2529" s="28" t="n">
        <x:v>0</x:v>
      </x:c>
      <x:c r="N2529" s="28" t="n">
        <x:v>3.725290298461914e-9</x:v>
      </x:c>
      <x:c r="O2529" s="28" t="n">
        <x:v>5.960464477539063e-8</x:v>
      </x:c>
      <x:c r="P2529" s="28" t="n">
        <x:v>0</x:v>
      </x:c>
      <x:c r="Q2529" s="62" t="b">
        <x:v>1</x:v>
      </x:c>
      <x:c r="R2529" s="28" t="n">
        <x:v>0</x:v>
      </x:c>
      <x:c r="S2529" s="28" t="str">
        <x:v>944d662097e827e6</x:v>
      </x:c>
    </x:row>
    <x:row r="2530" ht="21" customHeight="1">
      <x:c r="A2530" s="60" t="n">
        <x:v>0.7</x:v>
      </x:c>
      <x:c r="B2530" s="28" t="str">
        <x:v>front_flat</x:v>
      </x:c>
      <x:c r="C2530" s="60" t="n">
        <x:v>0.1</x:v>
      </x:c>
      <x:c r="D2530" s="60" t="n">
        <x:v>0.1</x:v>
      </x:c>
      <x:c r="E2530" s="62" t="b">
        <x:v>1</x:v>
      </x:c>
      <x:c r="F2530" s="62" t="b">
        <x:v>1</x:v>
      </x:c>
      <x:c r="G2530" s="85" t="n">
        <x:v>0</x:v>
      </x:c>
      <x:c r="H2530" s="85" t="n">
        <x:v>0</x:v>
      </x:c>
      <x:c r="I2530" s="85" t="n">
        <x:v>0</x:v>
      </x:c>
      <x:c r="J2530" s="85" t="n">
        <x:v>0</x:v>
      </x:c>
      <x:c r="K2530" s="85" t="n">
        <x:v>12557972.63658492</x:v>
      </x:c>
      <x:c r="L2530" s="28" t="n">
        <x:v>0</x:v>
      </x:c>
      <x:c r="M2530" s="28" t="n">
        <x:v>0</x:v>
      </x:c>
      <x:c r="N2530" s="28" t="n">
        <x:v>3.725290298461914e-9</x:v>
      </x:c>
      <x:c r="O2530" s="28" t="n">
        <x:v>5.960464477539063e-8</x:v>
      </x:c>
      <x:c r="P2530" s="28" t="n">
        <x:v>0</x:v>
      </x:c>
      <x:c r="Q2530" s="62" t="b">
        <x:v>1</x:v>
      </x:c>
      <x:c r="R2530" s="28" t="n">
        <x:v>0</x:v>
      </x:c>
      <x:c r="S2530" s="28" t="str">
        <x:v>6288b164ea1dd7e8</x:v>
      </x:c>
    </x:row>
    <x:row r="2531" ht="21" customHeight="1">
      <x:c r="A2531" s="60" t="n">
        <x:v>0.7</x:v>
      </x:c>
      <x:c r="B2531" s="28" t="str">
        <x:v>front_flat</x:v>
      </x:c>
      <x:c r="C2531" s="60" t="n">
        <x:v>0.15</x:v>
      </x:c>
      <x:c r="D2531" s="60" t="n">
        <x:v>0.15</x:v>
      </x:c>
      <x:c r="E2531" s="62" t="b">
        <x:v>1</x:v>
      </x:c>
      <x:c r="F2531" s="62" t="b">
        <x:v>1</x:v>
      </x:c>
      <x:c r="G2531" s="85" t="n">
        <x:v>0</x:v>
      </x:c>
      <x:c r="H2531" s="85" t="n">
        <x:v>0</x:v>
      </x:c>
      <x:c r="I2531" s="85" t="n">
        <x:v>1083586.4177193246</x:v>
      </x:c>
      <x:c r="J2531" s="85" t="n">
        <x:v>0</x:v>
      </x:c>
      <x:c r="K2531" s="85" t="n">
        <x:v>1837316.058517682</x:v>
      </x:c>
      <x:c r="L2531" s="28" t="n">
        <x:v>0</x:v>
      </x:c>
      <x:c r="M2531" s="28" t="n">
        <x:v>0</x:v>
      </x:c>
      <x:c r="N2531" s="28" t="n">
        <x:v>3.725290298461914e-9</x:v>
      </x:c>
      <x:c r="O2531" s="28" t="n">
        <x:v>2.9802322387695312e-8</x:v>
      </x:c>
      <x:c r="P2531" s="28" t="n">
        <x:v>0</x:v>
      </x:c>
      <x:c r="Q2531" s="62" t="b">
        <x:v>1</x:v>
      </x:c>
      <x:c r="R2531" s="28" t="n">
        <x:v>0</x:v>
      </x:c>
      <x:c r="S2531" s="28" t="str">
        <x:v>8bfa121665396f97</x:v>
      </x:c>
    </x:row>
    <x:row r="2532" ht="21" customHeight="1">
      <x:c r="A2532" s="60" t="n">
        <x:v>0.7</x:v>
      </x:c>
      <x:c r="B2532" s="28" t="str">
        <x:v>front_flat</x:v>
      </x:c>
      <x:c r="C2532" s="60" t="n">
        <x:v>0.2</x:v>
      </x:c>
      <x:c r="D2532" s="60" t="n">
        <x:v>0.2</x:v>
      </x:c>
      <x:c r="E2532" s="62" t="b">
        <x:v>1</x:v>
      </x:c>
      <x:c r="F2532" s="62" t="b">
        <x:v>1</x:v>
      </x:c>
      <x:c r="G2532" s="85" t="n">
        <x:v>0</x:v>
      </x:c>
      <x:c r="H2532" s="85" t="n">
        <x:v>0</x:v>
      </x:c>
      <x:c r="I2532" s="85" t="n">
        <x:v>8833914.786819272</x:v>
      </x:c>
      <x:c r="J2532" s="85" t="n">
        <x:v>6284479.497374664</x:v>
      </x:c>
      <x:c r="K2532" s="85" t="n">
        <x:v>1050063.2067497466</x:v>
      </x:c>
      <x:c r="L2532" s="28" t="n">
        <x:v>0</x:v>
      </x:c>
      <x:c r="M2532" s="28" t="n">
        <x:v>0</x:v>
      </x:c>
      <x:c r="N2532" s="28" t="n">
        <x:v>3.725290298461914e-9</x:v>
      </x:c>
      <x:c r="O2532" s="28" t="n">
        <x:v>2.9802322387695312e-8</x:v>
      </x:c>
      <x:c r="P2532" s="28" t="n">
        <x:v>0</x:v>
      </x:c>
      <x:c r="Q2532" s="62" t="b">
        <x:v>1</x:v>
      </x:c>
      <x:c r="R2532" s="28" t="n">
        <x:v>0</x:v>
      </x:c>
      <x:c r="S2532" s="28" t="str">
        <x:v>500e82cee7da3eb6</x:v>
      </x:c>
    </x:row>
    <x:row r="2533" ht="21" customHeight="1">
      <x:c r="A2533" s="60" t="n">
        <x:v>0.7</x:v>
      </x:c>
      <x:c r="B2533" s="28" t="str">
        <x:v>front_flat</x:v>
      </x:c>
      <x:c r="C2533" s="60" t="n">
        <x:v>0.25</x:v>
      </x:c>
      <x:c r="D2533" s="60" t="n">
        <x:v>0.25</x:v>
      </x:c>
      <x:c r="E2533" s="62" t="b">
        <x:v>1</x:v>
      </x:c>
      <x:c r="F2533" s="62" t="b">
        <x:v>1</x:v>
      </x:c>
      <x:c r="G2533" s="85" t="n">
        <x:v>0</x:v>
      </x:c>
      <x:c r="H2533" s="85" t="n">
        <x:v>0</x:v>
      </x:c>
      <x:c r="I2533" s="85" t="n">
        <x:v>15098960.201589717</x:v>
      </x:c>
      <x:c r="J2533" s="85" t="n">
        <x:v>15355599.371718248</x:v>
      </x:c>
      <x:c r="K2533" s="85" t="n">
        <x:v>691383.8268373349</x:v>
      </x:c>
      <x:c r="L2533" s="28" t="n">
        <x:v>0</x:v>
      </x:c>
      <x:c r="M2533" s="28" t="n">
        <x:v>0</x:v>
      </x:c>
      <x:c r="N2533" s="28" t="n">
        <x:v>1.862645149230957e-9</x:v>
      </x:c>
      <x:c r="O2533" s="28" t="n">
        <x:v>1.4901161193847656e-8</x:v>
      </x:c>
      <x:c r="P2533" s="28" t="n">
        <x:v>0</x:v>
      </x:c>
      <x:c r="Q2533" s="62" t="b">
        <x:v>1</x:v>
      </x:c>
      <x:c r="R2533" s="28" t="n">
        <x:v>0</x:v>
      </x:c>
      <x:c r="S2533" s="28" t="str">
        <x:v>066d6b587959a334</x:v>
      </x:c>
    </x:row>
    <x:row r="2534" ht="21" customHeight="1">
      <x:c r="A2534" s="60" t="n">
        <x:v>0.7</x:v>
      </x:c>
      <x:c r="B2534" s="28" t="str">
        <x:v>front_flat</x:v>
      </x:c>
      <x:c r="C2534" s="60" t="n">
        <x:v>0.3</x:v>
      </x:c>
      <x:c r="D2534" s="60" t="n">
        <x:v>0.3</x:v>
      </x:c>
      <x:c r="E2534" s="62" t="b">
        <x:v>1</x:v>
      </x:c>
      <x:c r="F2534" s="62" t="b">
        <x:v>1</x:v>
      </x:c>
      <x:c r="G2534" s="85" t="n">
        <x:v>0</x:v>
      </x:c>
      <x:c r="H2534" s="85" t="n">
        <x:v>0</x:v>
      </x:c>
      <x:c r="I2534" s="85" t="n">
        <x:v>22813351.798193596</x:v>
      </x:c>
      <x:c r="J2534" s="85" t="n">
        <x:v>21130414.527702767</x:v>
      </x:c>
      <x:c r="K2534" s="85" t="n">
        <x:v>488166.4803472577</x:v>
      </x:c>
      <x:c r="L2534" s="28" t="n">
        <x:v>3</x:v>
      </x:c>
      <x:c r="M2534" s="28" t="n">
        <x:v>0</x:v>
      </x:c>
      <x:c r="N2534" s="28" t="n">
        <x:v>1.862645149230957e-9</x:v>
      </x:c>
      <x:c r="O2534" s="28" t="n">
        <x:v>2.9802322387695312e-8</x:v>
      </x:c>
      <x:c r="P2534" s="28" t="n">
        <x:v>0</x:v>
      </x:c>
      <x:c r="Q2534" s="62" t="b">
        <x:v>1</x:v>
      </x:c>
      <x:c r="R2534" s="28" t="n">
        <x:v>0</x:v>
      </x:c>
      <x:c r="S2534" s="28" t="str">
        <x:v>dc49b8aa955a9976</x:v>
      </x:c>
    </x:row>
    <x:row r="2535" ht="21" customHeight="1">
      <x:c r="A2535" s="60" t="n">
        <x:v>0.7</x:v>
      </x:c>
      <x:c r="B2535" s="28" t="str">
        <x:v>front_flat</x:v>
      </x:c>
      <x:c r="C2535" s="60" t="n">
        <x:v>0.35</x:v>
      </x:c>
      <x:c r="D2535" s="60" t="n">
        <x:v>0.35</x:v>
      </x:c>
      <x:c r="E2535" s="62" t="b">
        <x:v>1</x:v>
      </x:c>
      <x:c r="F2535" s="62" t="b">
        <x:v>1</x:v>
      </x:c>
      <x:c r="G2535" s="85" t="n">
        <x:v>0</x:v>
      </x:c>
      <x:c r="H2535" s="85" t="n">
        <x:v>0</x:v>
      </x:c>
      <x:c r="I2535" s="85" t="n">
        <x:v>31382687.61592235</x:v>
      </x:c>
      <x:c r="J2535" s="85" t="n">
        <x:v>24407355.771720495</x:v>
      </x:c>
      <x:c r="K2535" s="85" t="n">
        <x:v>413767.69129692635</x:v>
      </x:c>
      <x:c r="L2535" s="28" t="n">
        <x:v>8</x:v>
      </x:c>
      <x:c r="M2535" s="28" t="n">
        <x:v>0</x:v>
      </x:c>
      <x:c r="N2535" s="28" t="n">
        <x:v>3.725290298461914e-9</x:v>
      </x:c>
      <x:c r="O2535" s="28" t="n">
        <x:v>7.450580596923828e-9</x:v>
      </x:c>
      <x:c r="P2535" s="28" t="n">
        <x:v>0</x:v>
      </x:c>
      <x:c r="Q2535" s="62" t="b">
        <x:v>1</x:v>
      </x:c>
      <x:c r="R2535" s="28" t="n">
        <x:v>0</x:v>
      </x:c>
      <x:c r="S2535" s="28" t="str">
        <x:v>3bbef4adfcf9b7d2</x:v>
      </x:c>
    </x:row>
    <x:row r="2536" ht="21" customHeight="1">
      <x:c r="A2536" s="60" t="n">
        <x:v>0.7</x:v>
      </x:c>
      <x:c r="B2536" s="28" t="str">
        <x:v>front_flat</x:v>
      </x:c>
      <x:c r="C2536" s="60" t="n">
        <x:v>0.4</x:v>
      </x:c>
      <x:c r="D2536" s="60" t="n">
        <x:v>0.4</x:v>
      </x:c>
      <x:c r="E2536" s="62" t="b">
        <x:v>1</x:v>
      </x:c>
      <x:c r="F2536" s="62" t="b">
        <x:v>1</x:v>
      </x:c>
      <x:c r="G2536" s="85" t="n">
        <x:v>0</x:v>
      </x:c>
      <x:c r="H2536" s="85" t="n">
        <x:v>0</x:v>
      </x:c>
      <x:c r="I2536" s="85" t="n">
        <x:v>40045596.870696515</x:v>
      </x:c>
      <x:c r="J2536" s="85" t="n">
        <x:v>29113138.35122376</x:v>
      </x:c>
      <x:c r="K2536" s="85" t="n">
        <x:v>351544.63134520093</x:v>
      </x:c>
      <x:c r="L2536" s="28" t="n">
        <x:v>15</x:v>
      </x:c>
      <x:c r="M2536" s="28" t="n">
        <x:v>0</x:v>
      </x:c>
      <x:c r="N2536" s="28" t="n">
        <x:v>3.725290298461914e-9</x:v>
      </x:c>
      <x:c r="O2536" s="28" t="n">
        <x:v>2.9802322387695312e-8</x:v>
      </x:c>
      <x:c r="P2536" s="28" t="n">
        <x:v>0</x:v>
      </x:c>
      <x:c r="Q2536" s="62" t="b">
        <x:v>1</x:v>
      </x:c>
      <x:c r="R2536" s="28" t="n">
        <x:v>0</x:v>
      </x:c>
      <x:c r="S2536" s="28" t="str">
        <x:v>6d9c8c652f3f3f7b</x:v>
      </x:c>
    </x:row>
    <x:row r="2537" ht="21" customHeight="1">
      <x:c r="A2537" s="60" t="n">
        <x:v>0.7</x:v>
      </x:c>
      <x:c r="B2537" s="28" t="str">
        <x:v>front_flat</x:v>
      </x:c>
      <x:c r="C2537" s="60" t="n">
        <x:v>0.45</x:v>
      </x:c>
      <x:c r="D2537" s="60" t="n">
        <x:v>0.45</x:v>
      </x:c>
      <x:c r="E2537" s="62" t="b">
        <x:v>1</x:v>
      </x:c>
      <x:c r="F2537" s="62" t="b">
        <x:v>1</x:v>
      </x:c>
      <x:c r="G2537" s="85" t="n">
        <x:v>0</x:v>
      </x:c>
      <x:c r="H2537" s="85" t="n">
        <x:v>0</x:v>
      </x:c>
      <x:c r="I2537" s="85" t="n">
        <x:v>46982082.56092791</x:v>
      </x:c>
      <x:c r="J2537" s="85" t="n">
        <x:v>37789804.03388937</x:v>
      </x:c>
      <x:c r="K2537" s="85" t="n">
        <x:v>289321.5713934951</x:v>
      </x:c>
      <x:c r="L2537" s="28" t="n">
        <x:v>18</x:v>
      </x:c>
      <x:c r="M2537" s="28" t="n">
        <x:v>0</x:v>
      </x:c>
      <x:c r="N2537" s="28" t="n">
        <x:v>1.862645149230957e-9</x:v>
      </x:c>
      <x:c r="O2537" s="28" t="n">
        <x:v>2.9802322387695312e-8</x:v>
      </x:c>
      <x:c r="P2537" s="28" t="n">
        <x:v>0</x:v>
      </x:c>
      <x:c r="Q2537" s="62" t="b">
        <x:v>1</x:v>
      </x:c>
      <x:c r="R2537" s="28" t="n">
        <x:v>0</x:v>
      </x:c>
      <x:c r="S2537" s="28" t="str">
        <x:v>42e7a00b804e8689</x:v>
      </x:c>
    </x:row>
    <x:row r="2538" ht="21" customHeight="1">
      <x:c r="A2538" s="60" t="n">
        <x:v>0.7</x:v>
      </x:c>
      <x:c r="B2538" s="28" t="str">
        <x:v>front_flat</x:v>
      </x:c>
      <x:c r="C2538" s="60" t="n">
        <x:v>0.5</x:v>
      </x:c>
      <x:c r="D2538" s="60" t="n">
        <x:v>0.5</x:v>
      </x:c>
      <x:c r="E2538" s="62" t="b">
        <x:v>1</x:v>
      </x:c>
      <x:c r="F2538" s="62" t="b">
        <x:v>1</x:v>
      </x:c>
      <x:c r="G2538" s="85" t="n">
        <x:v>0</x:v>
      </x:c>
      <x:c r="H2538" s="85" t="n">
        <x:v>0</x:v>
      </x:c>
      <x:c r="I2538" s="85" t="n">
        <x:v>53196834.261070006</x:v>
      </x:c>
      <x:c r="J2538" s="85" t="n">
        <x:v>48406855.48922018</x:v>
      </x:c>
      <x:c r="K2538" s="85" t="n">
        <x:v>227098.51144177845</x:v>
      </x:c>
      <x:c r="L2538" s="28" t="n">
        <x:v>21</x:v>
      </x:c>
      <x:c r="M2538" s="28" t="n">
        <x:v>0</x:v>
      </x:c>
      <x:c r="N2538" s="28" t="n">
        <x:v>1.862645149230957e-9</x:v>
      </x:c>
      <x:c r="O2538" s="28" t="n">
        <x:v>2.9802322387695312e-8</x:v>
      </x:c>
      <x:c r="P2538" s="28" t="n">
        <x:v>0</x:v>
      </x:c>
      <x:c r="Q2538" s="62" t="b">
        <x:v>1</x:v>
      </x:c>
      <x:c r="R2538" s="28" t="n">
        <x:v>0</x:v>
      </x:c>
      <x:c r="S2538" s="28" t="str">
        <x:v>0848fdce45e196a5</x:v>
      </x:c>
    </x:row>
    <x:row r="2539" ht="21" customHeight="1">
      <x:c r="A2539" s="60" t="n">
        <x:v>0.7</x:v>
      </x:c>
      <x:c r="B2539" s="28" t="str">
        <x:v>front_flat</x:v>
      </x:c>
      <x:c r="C2539" s="60" t="n">
        <x:v>0.55</x:v>
      </x:c>
      <x:c r="D2539" s="60" t="n">
        <x:v>0.55</x:v>
      </x:c>
      <x:c r="E2539" s="62" t="b">
        <x:v>1</x:v>
      </x:c>
      <x:c r="F2539" s="62" t="b">
        <x:v>1</x:v>
      </x:c>
      <x:c r="G2539" s="85" t="n">
        <x:v>0</x:v>
      </x:c>
      <x:c r="H2539" s="85" t="n">
        <x:v>0</x:v>
      </x:c>
      <x:c r="I2539" s="85" t="n">
        <x:v>58707132.814014256</x:v>
      </x:c>
      <x:c r="J2539" s="85" t="n">
        <x:v>59977495.46066128</x:v>
      </x:c>
      <x:c r="K2539" s="85" t="n">
        <x:v>164875.45149008423</x:v>
      </x:c>
      <x:c r="L2539" s="28" t="n">
        <x:v>34</x:v>
      </x:c>
      <x:c r="M2539" s="28" t="n">
        <x:v>19</x:v>
      </x:c>
      <x:c r="N2539" s="28" t="n">
        <x:v>1.862645149230957e-9</x:v>
      </x:c>
      <x:c r="O2539" s="28" t="n">
        <x:v>2.9802322387695312e-8</x:v>
      </x:c>
      <x:c r="P2539" s="28" t="n">
        <x:v>0</x:v>
      </x:c>
      <x:c r="Q2539" s="62" t="b">
        <x:v>1</x:v>
      </x:c>
      <x:c r="R2539" s="28" t="n">
        <x:v>0</x:v>
      </x:c>
      <x:c r="S2539" s="28" t="str">
        <x:v>26e78c83807c686b</x:v>
      </x:c>
    </x:row>
    <x:row r="2540" ht="21" customHeight="1">
      <x:c r="A2540" s="60" t="n">
        <x:v>0.7</x:v>
      </x:c>
      <x:c r="B2540" s="28" t="str">
        <x:v>front_flat</x:v>
      </x:c>
      <x:c r="C2540" s="60" t="n">
        <x:v>0.6</x:v>
      </x:c>
      <x:c r="D2540" s="60" t="n">
        <x:v>0.6</x:v>
      </x:c>
      <x:c r="E2540" s="62" t="b">
        <x:v>1</x:v>
      </x:c>
      <x:c r="F2540" s="62" t="b">
        <x:v>0</x:v>
      </x:c>
      <x:c r="G2540" s="85" t="n">
        <x:v>2073305.8161321608</x:v>
      </x:c>
      <x:c r="H2540" s="85" t="n">
        <x:v>13511423.87988368</x:v>
      </x:c>
      <x:c r="I2540" s="85" t="n">
        <x:v>58712876.71232879</x:v>
      </x:c>
      <x:c r="J2540" s="85" t="n">
        <x:v>60000000.000000015</x:v>
      </x:c>
      <x:c r="K2540" s="85" t="n">
        <x:v>115194.6380958888</x:v>
      </x:c>
      <x:c r="L2540" s="28" t="n">
        <x:v>46</x:v>
      </x:c>
      <x:c r="M2540" s="28" t="n">
        <x:v>36</x:v>
      </x:c>
      <x:c r="N2540" s="28" t="n">
        <x:v>1.862645149230957e-9</x:v>
      </x:c>
      <x:c r="O2540" s="28" t="n">
        <x:v>2.9802322387695312e-8</x:v>
      </x:c>
      <x:c r="P2540" s="28" t="n">
        <x:v>0</x:v>
      </x:c>
      <x:c r="Q2540" s="62" t="b">
        <x:v>1</x:v>
      </x:c>
      <x:c r="R2540" s="28" t="n">
        <x:v>0</x:v>
      </x:c>
      <x:c r="S2540" s="28" t="str">
        <x:v>31b1d93b7b47d52d</x:v>
      </x:c>
    </x:row>
    <x:row r="2541" ht="21" customHeight="1">
      <x:c r="A2541" s="60" t="n">
        <x:v>0.7</x:v>
      </x:c>
      <x:c r="B2541" s="28" t="str">
        <x:v>front_flat</x:v>
      </x:c>
      <x:c r="C2541" s="60" t="n">
        <x:v>0.65</x:v>
      </x:c>
      <x:c r="D2541" s="60" t="n">
        <x:v>0.65</x:v>
      </x:c>
      <x:c r="E2541" s="62" t="b">
        <x:v>1</x:v>
      </x:c>
      <x:c r="F2541" s="62" t="b">
        <x:v>0</x:v>
      </x:c>
      <x:c r="G2541" s="85" t="n">
        <x:v>4331015.584256689</x:v>
      </x:c>
      <x:c r="H2541" s="85" t="n">
        <x:v>24633746.841407157</x:v>
      </x:c>
      <x:c r="I2541" s="85" t="n">
        <x:v>59984383.561643854</x:v>
      </x:c>
      <x:c r="J2541" s="85" t="n">
        <x:v>60000000.000000015</x:v>
      </x:c>
      <x:c r="K2541" s="85" t="n">
        <x:v>94374.54058561896</x:v>
      </x:c>
      <x:c r="L2541" s="28" t="n">
        <x:v>47</x:v>
      </x:c>
      <x:c r="M2541" s="28" t="n">
        <x:v>38</x:v>
      </x:c>
      <x:c r="N2541" s="28" t="n">
        <x:v>1.862645149230957e-9</x:v>
      </x:c>
      <x:c r="O2541" s="28" t="n">
        <x:v>2.9802322387695312e-8</x:v>
      </x:c>
      <x:c r="P2541" s="28" t="n">
        <x:v>0</x:v>
      </x:c>
      <x:c r="Q2541" s="62" t="b">
        <x:v>1</x:v>
      </x:c>
      <x:c r="R2541" s="28" t="n">
        <x:v>0</x:v>
      </x:c>
      <x:c r="S2541" s="28" t="str">
        <x:v>41b8821fe6ed9f4c</x:v>
      </x:c>
    </x:row>
    <x:row r="2542" ht="21" customHeight="1">
      <x:c r="A2542" s="60" t="n">
        <x:v>0.7</x:v>
      </x:c>
      <x:c r="B2542" s="28" t="str">
        <x:v>front_flat</x:v>
      </x:c>
      <x:c r="C2542" s="60" t="n">
        <x:v>0.7</x:v>
      </x:c>
      <x:c r="D2542" s="60" t="n">
        <x:v>0.7</x:v>
      </x:c>
      <x:c r="E2542" s="62" t="b">
        <x:v>1</x:v>
      </x:c>
      <x:c r="F2542" s="62" t="b">
        <x:v>0</x:v>
      </x:c>
      <x:c r="G2542" s="85" t="n">
        <x:v>6698166.647750128</x:v>
      </x:c>
      <x:c r="H2542" s="85" t="n">
        <x:v>37554090.32674262</x:v>
      </x:c>
      <x:c r="I2542" s="85" t="n">
        <x:v>59984383.561643854</x:v>
      </x:c>
      <x:c r="J2542" s="85" t="n">
        <x:v>60000000.000000015</x:v>
      </x:c>
      <x:c r="K2542" s="85" t="n">
        <x:v>73554.44307534306</x:v>
      </x:c>
      <x:c r="L2542" s="28" t="n">
        <x:v>47</x:v>
      </x:c>
      <x:c r="M2542" s="28" t="n">
        <x:v>42</x:v>
      </x:c>
      <x:c r="N2542" s="28" t="n">
        <x:v>1.862645149230957e-9</x:v>
      </x:c>
      <x:c r="O2542" s="28" t="n">
        <x:v>2.9802322387695312e-8</x:v>
      </x:c>
      <x:c r="P2542" s="28" t="n">
        <x:v>0</x:v>
      </x:c>
      <x:c r="Q2542" s="62" t="b">
        <x:v>1</x:v>
      </x:c>
      <x:c r="R2542" s="28" t="n">
        <x:v>0</x:v>
      </x:c>
      <x:c r="S2542" s="28" t="str">
        <x:v>84abcaac8fa87b81</x:v>
      </x:c>
    </x:row>
    <x:row r="2543" ht="21" customHeight="1">
      <x:c r="A2543" s="60" t="n">
        <x:v>0.7</x:v>
      </x:c>
      <x:c r="B2543" s="28" t="str">
        <x:v>front_flat</x:v>
      </x:c>
      <x:c r="C2543" s="60" t="n">
        <x:v>0.75</x:v>
      </x:c>
      <x:c r="D2543" s="60" t="n">
        <x:v>0.75</x:v>
      </x:c>
      <x:c r="E2543" s="62" t="b">
        <x:v>1</x:v>
      </x:c>
      <x:c r="F2543" s="62" t="b">
        <x:v>0</x:v>
      </x:c>
      <x:c r="G2543" s="85" t="n">
        <x:v>9467631.896464285</x:v>
      </x:c>
      <x:c r="H2543" s="85" t="n">
        <x:v>50128181.23130949</x:v>
      </x:c>
      <x:c r="I2543" s="85" t="n">
        <x:v>59984383.561643854</x:v>
      </x:c>
      <x:c r="J2543" s="85" t="n">
        <x:v>60000000.000000015</x:v>
      </x:c>
      <x:c r="K2543" s="85" t="n">
        <x:v>52734.34556506344</x:v>
      </x:c>
      <x:c r="L2543" s="28" t="n">
        <x:v>47</x:v>
      </x:c>
      <x:c r="M2543" s="28" t="n">
        <x:v>44</x:v>
      </x:c>
      <x:c r="N2543" s="28" t="n">
        <x:v>1.862645149230957e-9</x:v>
      </x:c>
      <x:c r="O2543" s="28" t="n">
        <x:v>2.9802322387695312e-8</x:v>
      </x:c>
      <x:c r="P2543" s="28" t="n">
        <x:v>0</x:v>
      </x:c>
      <x:c r="Q2543" s="62" t="b">
        <x:v>1</x:v>
      </x:c>
      <x:c r="R2543" s="28" t="n">
        <x:v>0</x:v>
      </x:c>
      <x:c r="S2543" s="28" t="str">
        <x:v>fcf3afe3afa166db</x:v>
      </x:c>
    </x:row>
    <x:row r="2544" ht="21" customHeight="1">
      <x:c r="A2544" s="60" t="n">
        <x:v>0.7</x:v>
      </x:c>
      <x:c r="B2544" s="28" t="str">
        <x:v>front_flat</x:v>
      </x:c>
      <x:c r="C2544" s="60" t="n">
        <x:v>0.8</x:v>
      </x:c>
      <x:c r="D2544" s="60" t="n">
        <x:v>0.8</x:v>
      </x:c>
      <x:c r="E2544" s="62" t="b">
        <x:v>1</x:v>
      </x:c>
      <x:c r="F2544" s="62" t="b">
        <x:v>0</x:v>
      </x:c>
      <x:c r="G2544" s="85" t="n">
        <x:v>12213189.34749653</x:v>
      </x:c>
      <x:c r="H2544" s="85" t="n">
        <x:v>62579059.686968654</x:v>
      </x:c>
      <x:c r="I2544" s="85" t="n">
        <x:v>59984383.561643854</x:v>
      </x:c>
      <x:c r="J2544" s="85" t="n">
        <x:v>60000000.000000015</x:v>
      </x:c>
      <x:c r="K2544" s="85" t="n">
        <x:v>31914.248054795928</x:v>
      </x:c>
      <x:c r="L2544" s="28" t="n">
        <x:v>47</x:v>
      </x:c>
      <x:c r="M2544" s="28" t="n">
        <x:v>44</x:v>
      </x:c>
      <x:c r="N2544" s="28" t="n">
        <x:v>9.313225746154785e-10</x:v>
      </x:c>
      <x:c r="O2544" s="28" t="n">
        <x:v>1.4901161193847656e-8</x:v>
      </x:c>
      <x:c r="P2544" s="28" t="n">
        <x:v>0</x:v>
      </x:c>
      <x:c r="Q2544" s="62" t="b">
        <x:v>1</x:v>
      </x:c>
      <x:c r="R2544" s="28" t="n">
        <x:v>0</x:v>
      </x:c>
      <x:c r="S2544" s="28" t="str">
        <x:v>408a8daca3195150</x:v>
      </x:c>
    </x:row>
    <x:row r="2545" ht="21" customHeight="1">
      <x:c r="A2545" s="60" t="n">
        <x:v>0.7</x:v>
      </x:c>
      <x:c r="B2545" s="28" t="str">
        <x:v>front_flat</x:v>
      </x:c>
      <x:c r="C2545" s="60" t="n">
        <x:v>0.85</x:v>
      </x:c>
      <x:c r="D2545" s="60" t="n">
        <x:v>0.85</x:v>
      </x:c>
      <x:c r="E2545" s="62" t="b">
        <x:v>1</x:v>
      </x:c>
      <x:c r="F2545" s="62" t="b">
        <x:v>0</x:v>
      </x:c>
      <x:c r="G2545" s="85" t="n">
        <x:v>14964952.688629484</x:v>
      </x:c>
      <x:c r="H2545" s="85" t="n">
        <x:v>74909411.84394892</x:v>
      </x:c>
      <x:c r="I2545" s="85" t="n">
        <x:v>59984383.561643854</x:v>
      </x:c>
      <x:c r="J2545" s="85" t="n">
        <x:v>60000000.000000015</x:v>
      </x:c>
      <x:c r="K2545" s="85" t="n">
        <x:v>11094.150544520962</x:v>
      </x:c>
      <x:c r="L2545" s="28" t="n">
        <x:v>47</x:v>
      </x:c>
      <x:c r="M2545" s="28" t="n">
        <x:v>44</x:v>
      </x:c>
      <x:c r="N2545" s="28" t="n">
        <x:v>1.862645149230957e-9</x:v>
      </x:c>
      <x:c r="O2545" s="28" t="n">
        <x:v>1.862645149230957e-9</x:v>
      </x:c>
      <x:c r="P2545" s="28" t="n">
        <x:v>0</x:v>
      </x:c>
      <x:c r="Q2545" s="62" t="b">
        <x:v>1</x:v>
      </x:c>
      <x:c r="R2545" s="28" t="n">
        <x:v>0</x:v>
      </x:c>
      <x:c r="S2545" s="28" t="str">
        <x:v>7786f69a8ab09f56</x:v>
      </x:c>
    </x:row>
    <x:row r="2546" ht="21" customHeight="1">
      <x:c r="A2546" s="60" t="n">
        <x:v>0.7</x:v>
      </x:c>
      <x:c r="B2546" s="28" t="str">
        <x:v>front_flat</x:v>
      </x:c>
      <x:c r="C2546" s="60" t="n">
        <x:v>0.9</x:v>
      </x:c>
      <x:c r="D2546" s="60" t="n">
        <x:v>0.9</x:v>
      </x:c>
      <x:c r="E2546" s="62" t="b">
        <x:v>1</x:v>
      </x:c>
      <x:c r="F2546" s="62" t="b">
        <x:v>0</x:v>
      </x:c>
      <x:c r="G2546" s="85" t="n">
        <x:v>20491746.49815532</x:v>
      </x:c>
      <x:c r="H2546" s="85" t="n">
        <x:v>85725335.08446653</x:v>
      </x:c>
      <x:c r="I2546" s="85" t="n">
        <x:v>59984383.561643854</x:v>
      </x:c>
      <x:c r="J2546" s="85" t="n">
        <x:v>60000000.000000015</x:v>
      </x:c>
      <x:c r="K2546" s="85" t="n">
        <x:v>0</x:v>
      </x:c>
      <x:c r="L2546" s="28" t="n">
        <x:v>47</x:v>
      </x:c>
      <x:c r="M2546" s="28" t="n">
        <x:v>45</x:v>
      </x:c>
      <x:c r="N2546" s="28" t="n">
        <x:v>9.313225746154785e-10</x:v>
      </x:c>
      <x:c r="O2546" s="28" t="n">
        <x:v>1.4901161193847656e-8</x:v>
      </x:c>
      <x:c r="P2546" s="28" t="n">
        <x:v>0</x:v>
      </x:c>
      <x:c r="Q2546" s="62" t="b">
        <x:v>1</x:v>
      </x:c>
      <x:c r="R2546" s="28" t="n">
        <x:v>0</x:v>
      </x:c>
      <x:c r="S2546" s="28" t="str">
        <x:v>7368ce89330d854a</x:v>
      </x:c>
    </x:row>
    <x:row r="2547" ht="21" customHeight="1">
      <x:c r="A2547" s="60" t="n">
        <x:v>0.7</x:v>
      </x:c>
      <x:c r="B2547" s="28" t="str">
        <x:v>front_flat</x:v>
      </x:c>
      <x:c r="C2547" s="60" t="n">
        <x:v>0.95</x:v>
      </x:c>
      <x:c r="D2547" s="60" t="n">
        <x:v>0.9497739906324524</x:v>
      </x:c>
      <x:c r="E2547" s="62" t="b">
        <x:v>0</x:v>
      </x:c>
      <x:c r="F2547" s="62" t="b">
        <x:v>0</x:v>
      </x:c>
      <x:c r="G2547" s="85" t="n">
        <x:v>24710011.543607987</x:v>
      </x:c>
      <x:c r="H2547" s="85" t="n">
        <x:v>93555809.02677192</x:v>
      </x:c>
      <x:c r="I2547" s="85" t="n">
        <x:v>59984383.561643854</x:v>
      </x:c>
      <x:c r="J2547" s="85" t="n">
        <x:v>60000000.000000015</x:v>
      </x:c>
      <x:c r="K2547" s="85" t="n">
        <x:v>0</x:v>
      </x:c>
      <x:c r="L2547" s="28" t="n">
        <x:v>47</x:v>
      </x:c>
      <x:c r="M2547" s="28" t="n">
        <x:v>45</x:v>
      </x:c>
      <x:c r="N2547" s="28" t="n">
        <x:v>1.862645149230957e-9</x:v>
      </x:c>
      <x:c r="O2547" s="28" t="n">
        <x:v>1.4901161193847656e-8</x:v>
      </x:c>
      <x:c r="P2547" s="28" t="n">
        <x:v>0</x:v>
      </x:c>
      <x:c r="Q2547" s="62" t="b">
        <x:v>1</x:v>
      </x:c>
      <x:c r="R2547" s="28" t="n">
        <x:v>67802.81026428938</x:v>
      </x:c>
      <x:c r="S2547" s="28" t="str">
        <x:v>4556800c72416ac5</x:v>
      </x:c>
    </x:row>
    <x:row r="2548" ht="21" customHeight="1">
      <x:c r="A2548" s="60" t="n">
        <x:v>0.7</x:v>
      </x:c>
      <x:c r="B2548" s="28" t="str">
        <x:v>front_flat</x:v>
      </x:c>
      <x:c r="C2548" s="60" t="n">
        <x:v>1</x:v>
      </x:c>
      <x:c r="D2548" s="60" t="n">
        <x:v>0.9646994850752131</x:v>
      </x:c>
      <x:c r="E2548" s="62" t="b">
        <x:v>0</x:v>
      </x:c>
      <x:c r="F2548" s="62" t="b">
        <x:v>0</x:v>
      </x:c>
      <x:c r="G2548" s="85" t="n">
        <x:v>26779607.29166265</x:v>
      </x:c>
      <x:c r="H2548" s="85" t="n">
        <x:v>97305744.64875628</x:v>
      </x:c>
      <x:c r="I2548" s="85" t="n">
        <x:v>59984383.561643854</x:v>
      </x:c>
      <x:c r="J2548" s="85" t="n">
        <x:v>60000000.000000015</x:v>
      </x:c>
      <x:c r="K2548" s="85" t="n">
        <x:v>0</x:v>
      </x:c>
      <x:c r="L2548" s="28" t="n">
        <x:v>47</x:v>
      </x:c>
      <x:c r="M2548" s="28" t="n">
        <x:v>45</x:v>
      </x:c>
      <x:c r="N2548" s="28" t="n">
        <x:v>1.862645149230957e-9</x:v>
      </x:c>
      <x:c r="O2548" s="28" t="n">
        <x:v>3.725290298461914e-9</x:v>
      </x:c>
      <x:c r="P2548" s="28" t="n">
        <x:v>0</x:v>
      </x:c>
      <x:c r="Q2548" s="62" t="b">
        <x:v>1</x:v>
      </x:c>
      <x:c r="R2548" s="28" t="n">
        <x:v>10590154.477436066</x:v>
      </x:c>
      <x:c r="S2548" s="28" t="str">
        <x:v>99b8b9733d137af3</x:v>
      </x:c>
    </x:row>
    <x:row r="2549" ht="21" customHeight="1">
      <x:c r="A2549" s="60" t="n">
        <x:v>0.7</x:v>
      </x:c>
      <x:c r="B2549" s="28" t="str">
        <x:v>front_low</x:v>
      </x:c>
      <x:c r="C2549" s="60" t="n">
        <x:v>0</x:v>
      </x:c>
      <x:c r="D2549" s="60" t="n">
        <x:v>0</x:v>
      </x:c>
      <x:c r="E2549" s="62" t="b">
        <x:v>1</x:v>
      </x:c>
      <x:c r="F2549" s="62" t="b">
        <x:v>1</x:v>
      </x:c>
      <x:c r="G2549" s="85" t="n">
        <x:v>0</x:v>
      </x:c>
      <x:c r="H2549" s="85" t="n">
        <x:v>0</x:v>
      </x:c>
      <x:c r="I2549" s="85" t="n">
        <x:v>0</x:v>
      </x:c>
      <x:c r="J2549" s="85" t="n">
        <x:v>0</x:v>
      </x:c>
      <x:c r="K2549" s="85" t="n">
        <x:v>33173537.98424654</x:v>
      </x:c>
      <x:c r="L2549" s="28" t="n">
        <x:v>0</x:v>
      </x:c>
      <x:c r="M2549" s="28" t="n">
        <x:v>0</x:v>
      </x:c>
      <x:c r="N2549" s="28" t="n">
        <x:v>3.725290298461914e-9</x:v>
      </x:c>
      <x:c r="O2549" s="28" t="n">
        <x:v>0</x:v>
      </x:c>
      <x:c r="P2549" s="28" t="n">
        <x:v>0</x:v>
      </x:c>
      <x:c r="Q2549" s="62" t="b">
        <x:v>1</x:v>
      </x:c>
      <x:c r="R2549" s="28" t="n">
        <x:v>0</x:v>
      </x:c>
      <x:c r="S2549" s="28" t="str">
        <x:v>fa2ab93f250b78d5</x:v>
      </x:c>
    </x:row>
    <x:row r="2550" ht="21" customHeight="1">
      <x:c r="A2550" s="60" t="n">
        <x:v>0.7</x:v>
      </x:c>
      <x:c r="B2550" s="28" t="str">
        <x:v>front_low</x:v>
      </x:c>
      <x:c r="C2550" s="60" t="n">
        <x:v>0.05</x:v>
      </x:c>
      <x:c r="D2550" s="60" t="n">
        <x:v>0.05</x:v>
      </x:c>
      <x:c r="E2550" s="62" t="b">
        <x:v>1</x:v>
      </x:c>
      <x:c r="F2550" s="62" t="b">
        <x:v>1</x:v>
      </x:c>
      <x:c r="G2550" s="85" t="n">
        <x:v>0</x:v>
      </x:c>
      <x:c r="H2550" s="85" t="n">
        <x:v>0</x:v>
      </x:c>
      <x:c r="I2550" s="85" t="n">
        <x:v>0</x:v>
      </x:c>
      <x:c r="J2550" s="85" t="n">
        <x:v>0</x:v>
      </x:c>
      <x:c r="K2550" s="85" t="n">
        <x:v>22265289.945952583</x:v>
      </x:c>
      <x:c r="L2550" s="28" t="n">
        <x:v>0</x:v>
      </x:c>
      <x:c r="M2550" s="28" t="n">
        <x:v>0</x:v>
      </x:c>
      <x:c r="N2550" s="28" t="n">
        <x:v>1.862645149230957e-9</x:v>
      </x:c>
      <x:c r="O2550" s="28" t="n">
        <x:v>5.960464477539063e-8</x:v>
      </x:c>
      <x:c r="P2550" s="28" t="n">
        <x:v>0</x:v>
      </x:c>
      <x:c r="Q2550" s="62" t="b">
        <x:v>1</x:v>
      </x:c>
      <x:c r="R2550" s="28" t="n">
        <x:v>0</x:v>
      </x:c>
      <x:c r="S2550" s="28" t="str">
        <x:v>dff73e06922f7220</x:v>
      </x:c>
    </x:row>
    <x:row r="2551" ht="21" customHeight="1">
      <x:c r="A2551" s="60" t="n">
        <x:v>0.7</x:v>
      </x:c>
      <x:c r="B2551" s="28" t="str">
        <x:v>front_low</x:v>
      </x:c>
      <x:c r="C2551" s="60" t="n">
        <x:v>0.1</x:v>
      </x:c>
      <x:c r="D2551" s="60" t="n">
        <x:v>0.1</x:v>
      </x:c>
      <x:c r="E2551" s="62" t="b">
        <x:v>1</x:v>
      </x:c>
      <x:c r="F2551" s="62" t="b">
        <x:v>1</x:v>
      </x:c>
      <x:c r="G2551" s="85" t="n">
        <x:v>0</x:v>
      </x:c>
      <x:c r="H2551" s="85" t="n">
        <x:v>0</x:v>
      </x:c>
      <x:c r="I2551" s="85" t="n">
        <x:v>0</x:v>
      </x:c>
      <x:c r="J2551" s="85" t="n">
        <x:v>0</x:v>
      </x:c>
      <x:c r="K2551" s="85" t="n">
        <x:v>11272768.445756463</x:v>
      </x:c>
      <x:c r="L2551" s="28" t="n">
        <x:v>0</x:v>
      </x:c>
      <x:c r="M2551" s="28" t="n">
        <x:v>0</x:v>
      </x:c>
      <x:c r="N2551" s="28" t="n">
        <x:v>3.725290298461914e-9</x:v>
      </x:c>
      <x:c r="O2551" s="28" t="n">
        <x:v>5.960464477539063e-8</x:v>
      </x:c>
      <x:c r="P2551" s="28" t="n">
        <x:v>0</x:v>
      </x:c>
      <x:c r="Q2551" s="62" t="b">
        <x:v>1</x:v>
      </x:c>
      <x:c r="R2551" s="28" t="n">
        <x:v>0</x:v>
      </x:c>
      <x:c r="S2551" s="28" t="str">
        <x:v>92228d37b7a4db49</x:v>
      </x:c>
    </x:row>
    <x:row r="2552" ht="21" customHeight="1">
      <x:c r="A2552" s="60" t="n">
        <x:v>0.7</x:v>
      </x:c>
      <x:c r="B2552" s="28" t="str">
        <x:v>front_low</x:v>
      </x:c>
      <x:c r="C2552" s="60" t="n">
        <x:v>0.15</x:v>
      </x:c>
      <x:c r="D2552" s="60" t="n">
        <x:v>0.15</x:v>
      </x:c>
      <x:c r="E2552" s="62" t="b">
        <x:v>1</x:v>
      </x:c>
      <x:c r="F2552" s="62" t="b">
        <x:v>1</x:v>
      </x:c>
      <x:c r="G2552" s="85" t="n">
        <x:v>0</x:v>
      </x:c>
      <x:c r="H2552" s="85" t="n">
        <x:v>0</x:v>
      </x:c>
      <x:c r="I2552" s="85" t="n">
        <x:v>531338.4825676889</x:v>
      </x:c>
      <x:c r="J2552" s="85" t="n">
        <x:v>0</x:v>
      </x:c>
      <x:c r="K2552" s="85" t="n">
        <x:v>1423664.7108099544</x:v>
      </x:c>
      <x:c r="L2552" s="28" t="n">
        <x:v>0</x:v>
      </x:c>
      <x:c r="M2552" s="28" t="n">
        <x:v>0</x:v>
      </x:c>
      <x:c r="N2552" s="28" t="n">
        <x:v>3.725290298461914e-9</x:v>
      </x:c>
      <x:c r="O2552" s="28" t="n">
        <x:v>2.9802322387695312e-8</x:v>
      </x:c>
      <x:c r="P2552" s="28" t="n">
        <x:v>0</x:v>
      </x:c>
      <x:c r="Q2552" s="62" t="b">
        <x:v>1</x:v>
      </x:c>
      <x:c r="R2552" s="28" t="n">
        <x:v>0</x:v>
      </x:c>
      <x:c r="S2552" s="28" t="str">
        <x:v>cdf83cc3c75adccb</x:v>
      </x:c>
    </x:row>
    <x:row r="2553" ht="21" customHeight="1">
      <x:c r="A2553" s="60" t="n">
        <x:v>0.7</x:v>
      </x:c>
      <x:c r="B2553" s="28" t="str">
        <x:v>front_low</x:v>
      </x:c>
      <x:c r="C2553" s="60" t="n">
        <x:v>0.2</x:v>
      </x:c>
      <x:c r="D2553" s="60" t="n">
        <x:v>0.2</x:v>
      </x:c>
      <x:c r="E2553" s="62" t="b">
        <x:v>1</x:v>
      </x:c>
      <x:c r="F2553" s="62" t="b">
        <x:v>1</x:v>
      </x:c>
      <x:c r="G2553" s="85" t="n">
        <x:v>0</x:v>
      </x:c>
      <x:c r="H2553" s="85" t="n">
        <x:v>0</x:v>
      </x:c>
      <x:c r="I2553" s="85" t="n">
        <x:v>6515912.250947455</x:v>
      </x:c>
      <x:c r="J2553" s="85" t="n">
        <x:v>6284479.497374664</x:v>
      </x:c>
      <x:c r="K2553" s="85" t="n">
        <x:v>910623.248950483</x:v>
      </x:c>
      <x:c r="L2553" s="28" t="n">
        <x:v>0</x:v>
      </x:c>
      <x:c r="M2553" s="28" t="n">
        <x:v>0</x:v>
      </x:c>
      <x:c r="N2553" s="28" t="n">
        <x:v>1.862645149230957e-9</x:v>
      </x:c>
      <x:c r="O2553" s="28" t="n">
        <x:v>2.9802322387695312e-8</x:v>
      </x:c>
      <x:c r="P2553" s="28" t="n">
        <x:v>0</x:v>
      </x:c>
      <x:c r="Q2553" s="62" t="b">
        <x:v>1</x:v>
      </x:c>
      <x:c r="R2553" s="28" t="n">
        <x:v>0</x:v>
      </x:c>
      <x:c r="S2553" s="28" t="str">
        <x:v>105142269d9715fe</x:v>
      </x:c>
    </x:row>
    <x:row r="2554" ht="21" customHeight="1">
      <x:c r="A2554" s="60" t="n">
        <x:v>0.7</x:v>
      </x:c>
      <x:c r="B2554" s="28" t="str">
        <x:v>front_low</x:v>
      </x:c>
      <x:c r="C2554" s="60" t="n">
        <x:v>0.25</x:v>
      </x:c>
      <x:c r="D2554" s="60" t="n">
        <x:v>0.25</x:v>
      </x:c>
      <x:c r="E2554" s="62" t="b">
        <x:v>1</x:v>
      </x:c>
      <x:c r="F2554" s="62" t="b">
        <x:v>1</x:v>
      </x:c>
      <x:c r="G2554" s="85" t="n">
        <x:v>0</x:v>
      </x:c>
      <x:c r="H2554" s="85" t="n">
        <x:v>0</x:v>
      </x:c>
      <x:c r="I2554" s="85" t="n">
        <x:v>10463928.967127258</x:v>
      </x:c>
      <x:c r="J2554" s="85" t="n">
        <x:v>15355599.371718248</x:v>
      </x:c>
      <x:c r="K2554" s="85" t="n">
        <x:v>579529.5159488298</x:v>
      </x:c>
      <x:c r="L2554" s="28" t="n">
        <x:v>0</x:v>
      </x:c>
      <x:c r="M2554" s="28" t="n">
        <x:v>0</x:v>
      </x:c>
      <x:c r="N2554" s="28" t="n">
        <x:v>1.862645149230957e-9</x:v>
      </x:c>
      <x:c r="O2554" s="28" t="n">
        <x:v>1.4901161193847656e-8</x:v>
      </x:c>
      <x:c r="P2554" s="28" t="n">
        <x:v>0</x:v>
      </x:c>
      <x:c r="Q2554" s="62" t="b">
        <x:v>1</x:v>
      </x:c>
      <x:c r="R2554" s="28" t="n">
        <x:v>0</x:v>
      </x:c>
      <x:c r="S2554" s="28" t="str">
        <x:v>9b525cfa6b2e8412</x:v>
      </x:c>
    </x:row>
    <x:row r="2555" ht="21" customHeight="1">
      <x:c r="A2555" s="60" t="n">
        <x:v>0.7</x:v>
      </x:c>
      <x:c r="B2555" s="28" t="str">
        <x:v>front_low</x:v>
      </x:c>
      <x:c r="C2555" s="60" t="n">
        <x:v>0.3</x:v>
      </x:c>
      <x:c r="D2555" s="60" t="n">
        <x:v>0.3</x:v>
      </x:c>
      <x:c r="E2555" s="62" t="b">
        <x:v>1</x:v>
      </x:c>
      <x:c r="F2555" s="62" t="b">
        <x:v>1</x:v>
      </x:c>
      <x:c r="G2555" s="85" t="n">
        <x:v>0</x:v>
      </x:c>
      <x:c r="H2555" s="85" t="n">
        <x:v>0</x:v>
      </x:c>
      <x:c r="I2555" s="85" t="n">
        <x:v>16029358.699362233</x:v>
      </x:c>
      <x:c r="J2555" s="85" t="n">
        <x:v>21774713.090792466</x:v>
      </x:c>
      <x:c r="K2555" s="85" t="n">
        <x:v>422372.16543767473</x:v>
      </x:c>
      <x:c r="L2555" s="28" t="n">
        <x:v>3</x:v>
      </x:c>
      <x:c r="M2555" s="28" t="n">
        <x:v>0</x:v>
      </x:c>
      <x:c r="N2555" s="28" t="n">
        <x:v>3.725290298461914e-9</x:v>
      </x:c>
      <x:c r="O2555" s="28" t="n">
        <x:v>2.9802322387695312e-8</x:v>
      </x:c>
      <x:c r="P2555" s="28" t="n">
        <x:v>0</x:v>
      </x:c>
      <x:c r="Q2555" s="62" t="b">
        <x:v>1</x:v>
      </x:c>
      <x:c r="R2555" s="28" t="n">
        <x:v>0</x:v>
      </x:c>
      <x:c r="S2555" s="28" t="str">
        <x:v>e4cbbcbee93c044b</x:v>
      </x:c>
    </x:row>
    <x:row r="2556" ht="21" customHeight="1">
      <x:c r="A2556" s="60" t="n">
        <x:v>0.7</x:v>
      </x:c>
      <x:c r="B2556" s="28" t="str">
        <x:v>front_low</x:v>
      </x:c>
      <x:c r="C2556" s="60" t="n">
        <x:v>0.35</x:v>
      </x:c>
      <x:c r="D2556" s="60" t="n">
        <x:v>0.35</x:v>
      </x:c>
      <x:c r="E2556" s="62" t="b">
        <x:v>1</x:v>
      </x:c>
      <x:c r="F2556" s="62" t="b">
        <x:v>1</x:v>
      </x:c>
      <x:c r="G2556" s="85" t="n">
        <x:v>0</x:v>
      </x:c>
      <x:c r="H2556" s="85" t="n">
        <x:v>0</x:v>
      </x:c>
      <x:c r="I2556" s="85" t="n">
        <x:v>23609466.52101623</x:v>
      </x:c>
      <x:c r="J2556" s="85" t="n">
        <x:v>24919056.461564418</x:v>
      </x:c>
      <x:c r="K2556" s="85" t="n">
        <x:v>300976.1297078739</x:v>
      </x:c>
      <x:c r="L2556" s="28" t="n">
        <x:v>10</x:v>
      </x:c>
      <x:c r="M2556" s="28" t="n">
        <x:v>0</x:v>
      </x:c>
      <x:c r="N2556" s="28" t="n">
        <x:v>3.725290298461914e-9</x:v>
      </x:c>
      <x:c r="O2556" s="28" t="n">
        <x:v>7.450580596923828e-9</x:v>
      </x:c>
      <x:c r="P2556" s="28" t="n">
        <x:v>0</x:v>
      </x:c>
      <x:c r="Q2556" s="62" t="b">
        <x:v>1</x:v>
      </x:c>
      <x:c r="R2556" s="28" t="n">
        <x:v>0</x:v>
      </x:c>
      <x:c r="S2556" s="28" t="str">
        <x:v>56948ef45f7ab6c8</x:v>
      </x:c>
    </x:row>
    <x:row r="2557" ht="21" customHeight="1">
      <x:c r="A2557" s="60" t="n">
        <x:v>0.7</x:v>
      </x:c>
      <x:c r="B2557" s="28" t="str">
        <x:v>front_low</x:v>
      </x:c>
      <x:c r="C2557" s="60" t="n">
        <x:v>0.4</x:v>
      </x:c>
      <x:c r="D2557" s="60" t="n">
        <x:v>0.4</x:v>
      </x:c>
      <x:c r="E2557" s="62" t="b">
        <x:v>1</x:v>
      </x:c>
      <x:c r="F2557" s="62" t="b">
        <x:v>1</x:v>
      </x:c>
      <x:c r="G2557" s="85" t="n">
        <x:v>0</x:v>
      </x:c>
      <x:c r="H2557" s="85" t="n">
        <x:v>0</x:v>
      </x:c>
      <x:c r="I2557" s="85" t="n">
        <x:v>29646833.747865207</x:v>
      </x:c>
      <x:c r="J2557" s="85" t="n">
        <x:v>31422040.074871898</x:v>
      </x:c>
      <x:c r="K2557" s="85" t="n">
        <x:v>265471.46115342213</x:v>
      </x:c>
      <x:c r="L2557" s="28" t="n">
        <x:v>16</x:v>
      </x:c>
      <x:c r="M2557" s="28" t="n">
        <x:v>0</x:v>
      </x:c>
      <x:c r="N2557" s="28" t="n">
        <x:v>1.862645149230957e-9</x:v>
      </x:c>
      <x:c r="O2557" s="28" t="n">
        <x:v>2.9802322387695312e-8</x:v>
      </x:c>
      <x:c r="P2557" s="28" t="n">
        <x:v>0</x:v>
      </x:c>
      <x:c r="Q2557" s="62" t="b">
        <x:v>1</x:v>
      </x:c>
      <x:c r="R2557" s="28" t="n">
        <x:v>0</x:v>
      </x:c>
      <x:c r="S2557" s="28" t="str">
        <x:v>7f2f9d2169dd3708</x:v>
      </x:c>
    </x:row>
    <x:row r="2558" ht="21" customHeight="1">
      <x:c r="A2558" s="60" t="n">
        <x:v>0.7</x:v>
      </x:c>
      <x:c r="B2558" s="28" t="str">
        <x:v>front_low</x:v>
      </x:c>
      <x:c r="C2558" s="60" t="n">
        <x:v>0.45</x:v>
      </x:c>
      <x:c r="D2558" s="60" t="n">
        <x:v>0.45</x:v>
      </x:c>
      <x:c r="E2558" s="62" t="b">
        <x:v>1</x:v>
      </x:c>
      <x:c r="F2558" s="62" t="b">
        <x:v>1</x:v>
      </x:c>
      <x:c r="G2558" s="85" t="n">
        <x:v>0</x:v>
      </x:c>
      <x:c r="H2558" s="85" t="n">
        <x:v>0</x:v>
      </x:c>
      <x:c r="I2558" s="85" t="n">
        <x:v>34267786.74396209</x:v>
      </x:c>
      <x:c r="J2558" s="85" t="n">
        <x:v>39988226.11721894</x:v>
      </x:c>
      <x:c r="K2558" s="85" t="n">
        <x:v>229966.79259897498</x:v>
      </x:c>
      <x:c r="L2558" s="28" t="n">
        <x:v>19</x:v>
      </x:c>
      <x:c r="M2558" s="28" t="n">
        <x:v>0</x:v>
      </x:c>
      <x:c r="N2558" s="28" t="n">
        <x:v>1.862645149230957e-9</x:v>
      </x:c>
      <x:c r="O2558" s="28" t="n">
        <x:v>2.9802322387695312e-8</x:v>
      </x:c>
      <x:c r="P2558" s="28" t="n">
        <x:v>0</x:v>
      </x:c>
      <x:c r="Q2558" s="62" t="b">
        <x:v>1</x:v>
      </x:c>
      <x:c r="R2558" s="28" t="n">
        <x:v>0</x:v>
      </x:c>
      <x:c r="S2558" s="28" t="str">
        <x:v>3066ad39724955a0</x:v>
      </x:c>
    </x:row>
    <x:row r="2559" ht="21" customHeight="1">
      <x:c r="A2559" s="60" t="n">
        <x:v>0.7</x:v>
      </x:c>
      <x:c r="B2559" s="28" t="str">
        <x:v>front_low</x:v>
      </x:c>
      <x:c r="C2559" s="60" t="n">
        <x:v>0.5</x:v>
      </x:c>
      <x:c r="D2559" s="60" t="n">
        <x:v>0.5</x:v>
      </x:c>
      <x:c r="E2559" s="62" t="b">
        <x:v>1</x:v>
      </x:c>
      <x:c r="F2559" s="62" t="b">
        <x:v>1</x:v>
      </x:c>
      <x:c r="G2559" s="85" t="n">
        <x:v>0</x:v>
      </x:c>
      <x:c r="H2559" s="85" t="n">
        <x:v>0</x:v>
      </x:c>
      <x:c r="I2559" s="85" t="n">
        <x:v>38156910.289947696</x:v>
      </x:c>
      <x:c r="J2559" s="85" t="n">
        <x:v>49786699.26739911</x:v>
      </x:c>
      <x:c r="K2559" s="85" t="n">
        <x:v>194462.1240445199</x:v>
      </x:c>
      <x:c r="L2559" s="28" t="n">
        <x:v>22</x:v>
      </x:c>
      <x:c r="M2559" s="28" t="n">
        <x:v>0</x:v>
      </x:c>
      <x:c r="N2559" s="28" t="n">
        <x:v>1.862645149230957e-9</x:v>
      </x:c>
      <x:c r="O2559" s="28" t="n">
        <x:v>2.9802322387695312e-8</x:v>
      </x:c>
      <x:c r="P2559" s="28" t="n">
        <x:v>0</x:v>
      </x:c>
      <x:c r="Q2559" s="62" t="b">
        <x:v>1</x:v>
      </x:c>
      <x:c r="R2559" s="28" t="n">
        <x:v>0</x:v>
      </x:c>
      <x:c r="S2559" s="28" t="str">
        <x:v>b36b8e715e07f328</x:v>
      </x:c>
    </x:row>
    <x:row r="2560" ht="21" customHeight="1">
      <x:c r="A2560" s="60" t="n">
        <x:v>0.7</x:v>
      </x:c>
      <x:c r="B2560" s="28" t="str">
        <x:v>front_low</x:v>
      </x:c>
      <x:c r="C2560" s="60" t="n">
        <x:v>0.55</x:v>
      </x:c>
      <x:c r="D2560" s="60" t="n">
        <x:v>0.55</x:v>
      </x:c>
      <x:c r="E2560" s="62" t="b">
        <x:v>1</x:v>
      </x:c>
      <x:c r="F2560" s="62" t="b">
        <x:v>0</x:v>
      </x:c>
      <x:c r="G2560" s="85" t="n">
        <x:v>7301.139998813764</x:v>
      </x:c>
      <x:c r="H2560" s="85" t="n">
        <x:v>127973.30481977641</x:v>
      </x:c>
      <x:c r="I2560" s="85" t="n">
        <x:v>41444383.561643854</x:v>
      </x:c>
      <x:c r="J2560" s="85" t="n">
        <x:v>60000000.000000015</x:v>
      </x:c>
      <x:c r="K2560" s="85" t="n">
        <x:v>158957.45549007325</x:v>
      </x:c>
      <x:c r="L2560" s="28" t="n">
        <x:v>46</x:v>
      </x:c>
      <x:c r="M2560" s="28" t="n">
        <x:v>15</x:v>
      </x:c>
      <x:c r="N2560" s="28" t="n">
        <x:v>1.862645149230957e-9</x:v>
      </x:c>
      <x:c r="O2560" s="28" t="n">
        <x:v>2.9802322387695312e-8</x:v>
      </x:c>
      <x:c r="P2560" s="28" t="n">
        <x:v>0</x:v>
      </x:c>
      <x:c r="Q2560" s="62" t="b">
        <x:v>1</x:v>
      </x:c>
      <x:c r="R2560" s="28" t="n">
        <x:v>0</x:v>
      </x:c>
      <x:c r="S2560" s="28" t="str">
        <x:v>098cccda947ba3a9</x:v>
      </x:c>
    </x:row>
    <x:row r="2561" ht="21" customHeight="1">
      <x:c r="A2561" s="60" t="n">
        <x:v>0.7</x:v>
      </x:c>
      <x:c r="B2561" s="28" t="str">
        <x:v>front_low</x:v>
      </x:c>
      <x:c r="C2561" s="60" t="n">
        <x:v>0.6</x:v>
      </x:c>
      <x:c r="D2561" s="60" t="n">
        <x:v>0.6</x:v>
      </x:c>
      <x:c r="E2561" s="62" t="b">
        <x:v>1</x:v>
      </x:c>
      <x:c r="F2561" s="62" t="b">
        <x:v>0</x:v>
      </x:c>
      <x:c r="G2561" s="85" t="n">
        <x:v>752982.0045852357</x:v>
      </x:c>
      <x:c r="H2561" s="85" t="n">
        <x:v>11332061.50538998</x:v>
      </x:c>
      <x:c r="I2561" s="85" t="n">
        <x:v>41444383.561643854</x:v>
      </x:c>
      <x:c r="J2561" s="85" t="n">
        <x:v>60000000.000000015</x:v>
      </x:c>
      <x:c r="K2561" s="85" t="n">
        <x:v>123452.78693561655</x:v>
      </x:c>
      <x:c r="L2561" s="28" t="n">
        <x:v>46</x:v>
      </x:c>
      <x:c r="M2561" s="28" t="n">
        <x:v>28</x:v>
      </x:c>
      <x:c r="N2561" s="28" t="n">
        <x:v>9.313225746154785e-10</x:v>
      </x:c>
      <x:c r="O2561" s="28" t="n">
        <x:v>2.9802322387695312e-8</x:v>
      </x:c>
      <x:c r="P2561" s="28" t="n">
        <x:v>0</x:v>
      </x:c>
      <x:c r="Q2561" s="62" t="b">
        <x:v>1</x:v>
      </x:c>
      <x:c r="R2561" s="28" t="n">
        <x:v>0</x:v>
      </x:c>
      <x:c r="S2561" s="28" t="str">
        <x:v>58a421be4c14bbfe</x:v>
      </x:c>
    </x:row>
    <x:row r="2562" ht="21" customHeight="1">
      <x:c r="A2562" s="60" t="n">
        <x:v>0.7</x:v>
      </x:c>
      <x:c r="B2562" s="28" t="str">
        <x:v>front_low</x:v>
      </x:c>
      <x:c r="C2562" s="60" t="n">
        <x:v>0.65</x:v>
      </x:c>
      <x:c r="D2562" s="60" t="n">
        <x:v>0.65</x:v>
      </x:c>
      <x:c r="E2562" s="62" t="b">
        <x:v>1</x:v>
      </x:c>
      <x:c r="F2562" s="62" t="b">
        <x:v>0</x:v>
      </x:c>
      <x:c r="G2562" s="85" t="n">
        <x:v>1415283.3008451187</x:v>
      </x:c>
      <x:c r="H2562" s="85" t="n">
        <x:v>21325523.809740063</x:v>
      </x:c>
      <x:c r="I2562" s="85" t="n">
        <x:v>42341917.808219194</x:v>
      </x:c>
      <x:c r="J2562" s="85" t="n">
        <x:v>60000000.000000015</x:v>
      </x:c>
      <x:c r="K2562" s="85" t="n">
        <x:v>60220.997537671385</x:v>
      </x:c>
      <x:c r="L2562" s="28" t="n">
        <x:v>47</x:v>
      </x:c>
      <x:c r="M2562" s="28" t="n">
        <x:v>31</x:v>
      </x:c>
      <x:c r="N2562" s="28" t="n">
        <x:v>1.862645149230957e-9</x:v>
      </x:c>
      <x:c r="O2562" s="28" t="n">
        <x:v>2.9802322387695312e-8</x:v>
      </x:c>
      <x:c r="P2562" s="28" t="n">
        <x:v>0</x:v>
      </x:c>
      <x:c r="Q2562" s="62" t="b">
        <x:v>1</x:v>
      </x:c>
      <x:c r="R2562" s="28" t="n">
        <x:v>0</x:v>
      </x:c>
      <x:c r="S2562" s="28" t="str">
        <x:v>cbd615e0eddcec78</x:v>
      </x:c>
    </x:row>
    <x:row r="2563" ht="21" customHeight="1">
      <x:c r="A2563" s="60" t="n">
        <x:v>0.7</x:v>
      </x:c>
      <x:c r="B2563" s="28" t="str">
        <x:v>front_low</x:v>
      </x:c>
      <x:c r="C2563" s="60" t="n">
        <x:v>0.7</x:v>
      </x:c>
      <x:c r="D2563" s="60" t="n">
        <x:v>0.7</x:v>
      </x:c>
      <x:c r="E2563" s="62" t="b">
        <x:v>1</x:v>
      </x:c>
      <x:c r="F2563" s="62" t="b">
        <x:v>0</x:v>
      </x:c>
      <x:c r="G2563" s="85" t="n">
        <x:v>2380558.395167695</x:v>
      </x:c>
      <x:c r="H2563" s="85" t="n">
        <x:v>32427896.36043349</x:v>
      </x:c>
      <x:c r="I2563" s="85" t="n">
        <x:v>42341917.808219194</x:v>
      </x:c>
      <x:c r="J2563" s="85" t="n">
        <x:v>60000000.000000015</x:v>
      </x:c>
      <x:c r="K2563" s="85" t="n">
        <x:v>48241.54423972397</x:v>
      </x:c>
      <x:c r="L2563" s="28" t="n">
        <x:v>47</x:v>
      </x:c>
      <x:c r="M2563" s="28" t="n">
        <x:v>34</x:v>
      </x:c>
      <x:c r="N2563" s="28" t="n">
        <x:v>1.862645149230957e-9</x:v>
      </x:c>
      <x:c r="O2563" s="28" t="n">
        <x:v>2.9802322387695312e-8</x:v>
      </x:c>
      <x:c r="P2563" s="28" t="n">
        <x:v>0</x:v>
      </x:c>
      <x:c r="Q2563" s="62" t="b">
        <x:v>1</x:v>
      </x:c>
      <x:c r="R2563" s="28" t="n">
        <x:v>0</x:v>
      </x:c>
      <x:c r="S2563" s="28" t="str">
        <x:v>53ce7e2c780cddb7</x:v>
      </x:c>
    </x:row>
    <x:row r="2564" ht="21" customHeight="1">
      <x:c r="A2564" s="60" t="n">
        <x:v>0.7</x:v>
      </x:c>
      <x:c r="B2564" s="28" t="str">
        <x:v>front_low</x:v>
      </x:c>
      <x:c r="C2564" s="60" t="n">
        <x:v>0.75</x:v>
      </x:c>
      <x:c r="D2564" s="60" t="n">
        <x:v>0.75</x:v>
      </x:c>
      <x:c r="E2564" s="62" t="b">
        <x:v>1</x:v>
      </x:c>
      <x:c r="F2564" s="62" t="b">
        <x:v>0</x:v>
      </x:c>
      <x:c r="G2564" s="85" t="n">
        <x:v>3294524.878828449</x:v>
      </x:c>
      <x:c r="H2564" s="85" t="n">
        <x:v>43354111.272657886</x:v>
      </x:c>
      <x:c r="I2564" s="85" t="n">
        <x:v>42341917.808219194</x:v>
      </x:c>
      <x:c r="J2564" s="85" t="n">
        <x:v>60000000.000000015</x:v>
      </x:c>
      <x:c r="K2564" s="85" t="n">
        <x:v>36262.09094178156</x:v>
      </x:c>
      <x:c r="L2564" s="28" t="n">
        <x:v>47</x:v>
      </x:c>
      <x:c r="M2564" s="28" t="n">
        <x:v>36</x:v>
      </x:c>
      <x:c r="N2564" s="28" t="n">
        <x:v>1.862645149230957e-9</x:v>
      </x:c>
      <x:c r="O2564" s="28" t="n">
        <x:v>2.9802322387695312e-8</x:v>
      </x:c>
      <x:c r="P2564" s="28" t="n">
        <x:v>0</x:v>
      </x:c>
      <x:c r="Q2564" s="62" t="b">
        <x:v>1</x:v>
      </x:c>
      <x:c r="R2564" s="28" t="n">
        <x:v>0</x:v>
      </x:c>
      <x:c r="S2564" s="28" t="str">
        <x:v>41c9beaa80f00d88</x:v>
      </x:c>
    </x:row>
    <x:row r="2565" ht="21" customHeight="1">
      <x:c r="A2565" s="60" t="n">
        <x:v>0.7</x:v>
      </x:c>
      <x:c r="B2565" s="28" t="str">
        <x:v>front_low</x:v>
      </x:c>
      <x:c r="C2565" s="60" t="n">
        <x:v>0.8</x:v>
      </x:c>
      <x:c r="D2565" s="60" t="n">
        <x:v>0.8</x:v>
      </x:c>
      <x:c r="E2565" s="62" t="b">
        <x:v>1</x:v>
      </x:c>
      <x:c r="F2565" s="62" t="b">
        <x:v>0</x:v>
      </x:c>
      <x:c r="G2565" s="85" t="n">
        <x:v>4194301.8269093577</x:v>
      </x:c>
      <x:c r="H2565" s="85" t="n">
        <x:v>54279999.67522217</x:v>
      </x:c>
      <x:c r="I2565" s="85" t="n">
        <x:v>42341917.808219194</x:v>
      </x:c>
      <x:c r="J2565" s="85" t="n">
        <x:v>60000000.000000015</x:v>
      </x:c>
      <x:c r="K2565" s="85" t="n">
        <x:v>24282.637643835886</x:v>
      </x:c>
      <x:c r="L2565" s="28" t="n">
        <x:v>47</x:v>
      </x:c>
      <x:c r="M2565" s="28" t="n">
        <x:v>37</x:v>
      </x:c>
      <x:c r="N2565" s="28" t="n">
        <x:v>1.862645149230957e-9</x:v>
      </x:c>
      <x:c r="O2565" s="28" t="n">
        <x:v>1.4901161193847656e-8</x:v>
      </x:c>
      <x:c r="P2565" s="28" t="n">
        <x:v>0</x:v>
      </x:c>
      <x:c r="Q2565" s="62" t="b">
        <x:v>1</x:v>
      </x:c>
      <x:c r="R2565" s="28" t="n">
        <x:v>0</x:v>
      </x:c>
      <x:c r="S2565" s="28" t="str">
        <x:v>7a9f0f64a28a99f9</x:v>
      </x:c>
    </x:row>
    <x:row r="2566" ht="21" customHeight="1">
      <x:c r="A2566" s="60" t="n">
        <x:v>0.7</x:v>
      </x:c>
      <x:c r="B2566" s="28" t="str">
        <x:v>front_low</x:v>
      </x:c>
      <x:c r="C2566" s="60" t="n">
        <x:v>0.85</x:v>
      </x:c>
      <x:c r="D2566" s="60" t="n">
        <x:v>0.85</x:v>
      </x:c>
      <x:c r="E2566" s="62" t="b">
        <x:v>1</x:v>
      </x:c>
      <x:c r="F2566" s="62" t="b">
        <x:v>0</x:v>
      </x:c>
      <x:c r="G2566" s="85" t="n">
        <x:v>5367776.395703014</x:v>
      </x:c>
      <x:c r="H2566" s="85" t="n">
        <x:v>64961595.57172767</x:v>
      </x:c>
      <x:c r="I2566" s="85" t="n">
        <x:v>42341917.808219194</x:v>
      </x:c>
      <x:c r="J2566" s="85" t="n">
        <x:v>60000000.000000015</x:v>
      </x:c>
      <x:c r="K2566" s="85" t="n">
        <x:v>12303.184345888818</x:v>
      </x:c>
      <x:c r="L2566" s="28" t="n">
        <x:v>47</x:v>
      </x:c>
      <x:c r="M2566" s="28" t="n">
        <x:v>38</x:v>
      </x:c>
      <x:c r="N2566" s="28" t="n">
        <x:v>1.862645149230957e-9</x:v>
      </x:c>
      <x:c r="O2566" s="28" t="n">
        <x:v>1.862645149230957e-9</x:v>
      </x:c>
      <x:c r="P2566" s="28" t="n">
        <x:v>0</x:v>
      </x:c>
      <x:c r="Q2566" s="62" t="b">
        <x:v>1</x:v>
      </x:c>
      <x:c r="R2566" s="28" t="n">
        <x:v>0</x:v>
      </x:c>
      <x:c r="S2566" s="28" t="str">
        <x:v>3f6cb46a9f0b4f54</x:v>
      </x:c>
    </x:row>
    <x:row r="2567" ht="21" customHeight="1">
      <x:c r="A2567" s="60" t="n">
        <x:v>0.7</x:v>
      </x:c>
      <x:c r="B2567" s="28" t="str">
        <x:v>front_low</x:v>
      </x:c>
      <x:c r="C2567" s="60" t="n">
        <x:v>0.9</x:v>
      </x:c>
      <x:c r="D2567" s="60" t="n">
        <x:v>0.9</x:v>
      </x:c>
      <x:c r="E2567" s="62" t="b">
        <x:v>1</x:v>
      </x:c>
      <x:c r="F2567" s="62" t="b">
        <x:v>0</x:v>
      </x:c>
      <x:c r="G2567" s="85" t="n">
        <x:v>6431969.5762333665</x:v>
      </x:c>
      <x:c r="H2567" s="85" t="n">
        <x:v>75584002.0146162</x:v>
      </x:c>
      <x:c r="I2567" s="85" t="n">
        <x:v>42341917.808219194</x:v>
      </x:c>
      <x:c r="J2567" s="85" t="n">
        <x:v>60000000.000000015</x:v>
      </x:c>
      <x:c r="K2567" s="85" t="n">
        <x:v>323.73104794547544</x:v>
      </x:c>
      <x:c r="L2567" s="28" t="n">
        <x:v>47</x:v>
      </x:c>
      <x:c r="M2567" s="28" t="n">
        <x:v>40</x:v>
      </x:c>
      <x:c r="N2567" s="28" t="n">
        <x:v>9.313225746154785e-10</x:v>
      </x:c>
      <x:c r="O2567" s="28" t="n">
        <x:v>1.4901161193847656e-8</x:v>
      </x:c>
      <x:c r="P2567" s="28" t="n">
        <x:v>0</x:v>
      </x:c>
      <x:c r="Q2567" s="62" t="b">
        <x:v>1</x:v>
      </x:c>
      <x:c r="R2567" s="28" t="n">
        <x:v>0</x:v>
      </x:c>
      <x:c r="S2567" s="28" t="str">
        <x:v>c8a637a7268ba9b4</x:v>
      </x:c>
    </x:row>
    <x:row r="2568" ht="21" customHeight="1">
      <x:c r="A2568" s="60" t="n">
        <x:v>0.7</x:v>
      </x:c>
      <x:c r="B2568" s="28" t="str">
        <x:v>front_low</x:v>
      </x:c>
      <x:c r="C2568" s="60" t="n">
        <x:v>0.95</x:v>
      </x:c>
      <x:c r="D2568" s="60" t="n">
        <x:v>0.9497739906324524</x:v>
      </x:c>
      <x:c r="E2568" s="62" t="b">
        <x:v>0</x:v>
      </x:c>
      <x:c r="F2568" s="62" t="b">
        <x:v>0</x:v>
      </x:c>
      <x:c r="G2568" s="85" t="n">
        <x:v>9554983.11518041</x:v>
      </x:c>
      <x:c r="H2568" s="85" t="n">
        <x:v>83777386.84668979</x:v>
      </x:c>
      <x:c r="I2568" s="85" t="n">
        <x:v>42341917.808219194</x:v>
      </x:c>
      <x:c r="J2568" s="85" t="n">
        <x:v>60000000.000000015</x:v>
      </x:c>
      <x:c r="K2568" s="85" t="n">
        <x:v>0</x:v>
      </x:c>
      <x:c r="L2568" s="28" t="n">
        <x:v>47</x:v>
      </x:c>
      <x:c r="M2568" s="28" t="n">
        <x:v>42</x:v>
      </x:c>
      <x:c r="N2568" s="28" t="n">
        <x:v>1.862645149230957e-9</x:v>
      </x:c>
      <x:c r="O2568" s="28" t="n">
        <x:v>1.4901161193847656e-8</x:v>
      </x:c>
      <x:c r="P2568" s="28" t="n">
        <x:v>0</x:v>
      </x:c>
      <x:c r="Q2568" s="62" t="b">
        <x:v>1</x:v>
      </x:c>
      <x:c r="R2568" s="28" t="n">
        <x:v>67802.81026428938</x:v>
      </x:c>
      <x:c r="S2568" s="28" t="str">
        <x:v>3983506a60a24412</x:v>
      </x:c>
    </x:row>
    <x:row r="2569" ht="21" customHeight="1">
      <x:c r="A2569" s="60" t="n">
        <x:v>0.7</x:v>
      </x:c>
      <x:c r="B2569" s="28" t="str">
        <x:v>front_low</x:v>
      </x:c>
      <x:c r="C2569" s="60" t="n">
        <x:v>1</x:v>
      </x:c>
      <x:c r="D2569" s="60" t="n">
        <x:v>0.9646994850752131</x:v>
      </x:c>
      <x:c r="E2569" s="62" t="b">
        <x:v>0</x:v>
      </x:c>
      <x:c r="F2569" s="62" t="b">
        <x:v>0</x:v>
      </x:c>
      <x:c r="G2569" s="85" t="n">
        <x:v>10362267.653508196</x:v>
      </x:c>
      <x:c r="H2569" s="85" t="n">
        <x:v>87194312.50502552</x:v>
      </x:c>
      <x:c r="I2569" s="85" t="n">
        <x:v>42341917.808219194</x:v>
      </x:c>
      <x:c r="J2569" s="85" t="n">
        <x:v>60000000.000000015</x:v>
      </x:c>
      <x:c r="K2569" s="85" t="n">
        <x:v>0</x:v>
      </x:c>
      <x:c r="L2569" s="28" t="n">
        <x:v>47</x:v>
      </x:c>
      <x:c r="M2569" s="28" t="n">
        <x:v>42</x:v>
      </x:c>
      <x:c r="N2569" s="28" t="n">
        <x:v>9.313225746154785e-10</x:v>
      </x:c>
      <x:c r="O2569" s="28" t="n">
        <x:v>3.725290298461914e-9</x:v>
      </x:c>
      <x:c r="P2569" s="28" t="n">
        <x:v>0</x:v>
      </x:c>
      <x:c r="Q2569" s="62" t="b">
        <x:v>1</x:v>
      </x:c>
      <x:c r="R2569" s="28" t="n">
        <x:v>10590154.477436066</x:v>
      </x:c>
      <x:c r="S2569" s="28" t="str">
        <x:v>57f28db1079d7290</x:v>
      </x:c>
    </x:row>
    <x:row r="2570" ht="21" customHeight="1">
      <x:c r="A2570" s="60" t="n">
        <x:v>0.7</x:v>
      </x:c>
      <x:c r="B2570" s="28" t="str">
        <x:v>front_high</x:v>
      </x:c>
      <x:c r="C2570" s="60" t="n">
        <x:v>0</x:v>
      </x:c>
      <x:c r="D2570" s="60" t="n">
        <x:v>0</x:v>
      </x:c>
      <x:c r="E2570" s="62" t="b">
        <x:v>1</x:v>
      </x:c>
      <x:c r="F2570" s="62" t="b">
        <x:v>1</x:v>
      </x:c>
      <x:c r="G2570" s="85" t="n">
        <x:v>0</x:v>
      </x:c>
      <x:c r="H2570" s="85" t="n">
        <x:v>0</x:v>
      </x:c>
      <x:c r="I2570" s="85" t="n">
        <x:v>0</x:v>
      </x:c>
      <x:c r="J2570" s="85" t="n">
        <x:v>0</x:v>
      </x:c>
      <x:c r="K2570" s="85" t="n">
        <x:v>41984077.25821912</x:v>
      </x:c>
      <x:c r="L2570" s="28" t="n">
        <x:v>0</x:v>
      </x:c>
      <x:c r="M2570" s="28" t="n">
        <x:v>0</x:v>
      </x:c>
      <x:c r="N2570" s="28" t="n">
        <x:v>3.725290298461914e-9</x:v>
      </x:c>
      <x:c r="O2570" s="28" t="n">
        <x:v>0</x:v>
      </x:c>
      <x:c r="P2570" s="28" t="n">
        <x:v>0</x:v>
      </x:c>
      <x:c r="Q2570" s="62" t="b">
        <x:v>1</x:v>
      </x:c>
      <x:c r="R2570" s="28" t="n">
        <x:v>0</x:v>
      </x:c>
      <x:c r="S2570" s="28" t="str">
        <x:v>9858cd529ad446f8</x:v>
      </x:c>
    </x:row>
    <x:row r="2571" ht="21" customHeight="1">
      <x:c r="A2571" s="60" t="n">
        <x:v>0.7</x:v>
      </x:c>
      <x:c r="B2571" s="28" t="str">
        <x:v>front_high</x:v>
      </x:c>
      <x:c r="C2571" s="60" t="n">
        <x:v>0.05</x:v>
      </x:c>
      <x:c r="D2571" s="60" t="n">
        <x:v>0.05</x:v>
      </x:c>
      <x:c r="E2571" s="62" t="b">
        <x:v>1</x:v>
      </x:c>
      <x:c r="F2571" s="62" t="b">
        <x:v>1</x:v>
      </x:c>
      <x:c r="G2571" s="85" t="n">
        <x:v>0</x:v>
      </x:c>
      <x:c r="H2571" s="85" t="n">
        <x:v>0</x:v>
      </x:c>
      <x:c r="I2571" s="85" t="n">
        <x:v>0</x:v>
      </x:c>
      <x:c r="J2571" s="85" t="n">
        <x:v>0</x:v>
      </x:c>
      <x:c r="K2571" s="85" t="n">
        <x:v>28135104.158729594</x:v>
      </x:c>
      <x:c r="L2571" s="28" t="n">
        <x:v>0</x:v>
      </x:c>
      <x:c r="M2571" s="28" t="n">
        <x:v>0</x:v>
      </x:c>
      <x:c r="N2571" s="28" t="n">
        <x:v>3.725290298461914e-9</x:v>
      </x:c>
      <x:c r="O2571" s="28" t="n">
        <x:v>5.960464477539063e-8</x:v>
      </x:c>
      <x:c r="P2571" s="28" t="n">
        <x:v>0</x:v>
      </x:c>
      <x:c r="Q2571" s="62" t="b">
        <x:v>1</x:v>
      </x:c>
      <x:c r="R2571" s="28" t="n">
        <x:v>0</x:v>
      </x:c>
      <x:c r="S2571" s="28" t="str">
        <x:v>2d3f13b4884efa38</x:v>
      </x:c>
    </x:row>
    <x:row r="2572" ht="21" customHeight="1">
      <x:c r="A2572" s="60" t="n">
        <x:v>0.7</x:v>
      </x:c>
      <x:c r="B2572" s="28" t="str">
        <x:v>front_high</x:v>
      </x:c>
      <x:c r="C2572" s="60" t="n">
        <x:v>0.1</x:v>
      </x:c>
      <x:c r="D2572" s="60" t="n">
        <x:v>0.1</x:v>
      </x:c>
      <x:c r="E2572" s="62" t="b">
        <x:v>1</x:v>
      </x:c>
      <x:c r="F2572" s="62" t="b">
        <x:v>1</x:v>
      </x:c>
      <x:c r="G2572" s="85" t="n">
        <x:v>0</x:v>
      </x:c>
      <x:c r="H2572" s="85" t="n">
        <x:v>0</x:v>
      </x:c>
      <x:c r="I2572" s="85" t="n">
        <x:v>0</x:v>
      </x:c>
      <x:c r="J2572" s="85" t="n">
        <x:v>0</x:v>
      </x:c>
      <x:c r="K2572" s="85" t="n">
        <x:v>14124606.92392746</x:v>
      </x:c>
      <x:c r="L2572" s="28" t="n">
        <x:v>0</x:v>
      </x:c>
      <x:c r="M2572" s="28" t="n">
        <x:v>0</x:v>
      </x:c>
      <x:c r="N2572" s="28" t="n">
        <x:v>3.725290298461914e-9</x:v>
      </x:c>
      <x:c r="O2572" s="28" t="n">
        <x:v>5.960464477539063e-8</x:v>
      </x:c>
      <x:c r="P2572" s="28" t="n">
        <x:v>0</x:v>
      </x:c>
      <x:c r="Q2572" s="62" t="b">
        <x:v>1</x:v>
      </x:c>
      <x:c r="R2572" s="28" t="n">
        <x:v>0</x:v>
      </x:c>
      <x:c r="S2572" s="28" t="str">
        <x:v>448e3963ed5e5cea</x:v>
      </x:c>
    </x:row>
    <x:row r="2573" ht="21" customHeight="1">
      <x:c r="A2573" s="60" t="n">
        <x:v>0.7</x:v>
      </x:c>
      <x:c r="B2573" s="28" t="str">
        <x:v>front_high</x:v>
      </x:c>
      <x:c r="C2573" s="60" t="n">
        <x:v>0.15</x:v>
      </x:c>
      <x:c r="D2573" s="60" t="n">
        <x:v>0.15</x:v>
      </x:c>
      <x:c r="E2573" s="62" t="b">
        <x:v>1</x:v>
      </x:c>
      <x:c r="F2573" s="62" t="b">
        <x:v>1</x:v>
      </x:c>
      <x:c r="G2573" s="85" t="n">
        <x:v>0</x:v>
      </x:c>
      <x:c r="H2573" s="85" t="n">
        <x:v>0</x:v>
      </x:c>
      <x:c r="I2573" s="85" t="n">
        <x:v>1737093.0105124973</x:v>
      </x:c>
      <x:c r="J2573" s="85" t="n">
        <x:v>0</x:v>
      </x:c>
      <x:c r="K2573" s="85" t="n">
        <x:v>2345840.463531628</x:v>
      </x:c>
      <x:c r="L2573" s="28" t="n">
        <x:v>0</x:v>
      </x:c>
      <x:c r="M2573" s="28" t="n">
        <x:v>0</x:v>
      </x:c>
      <x:c r="N2573" s="28" t="n">
        <x:v>3.725290298461914e-9</x:v>
      </x:c>
      <x:c r="O2573" s="28" t="n">
        <x:v>2.9802322387695312e-8</x:v>
      </x:c>
      <x:c r="P2573" s="28" t="n">
        <x:v>0</x:v>
      </x:c>
      <x:c r="Q2573" s="62" t="b">
        <x:v>1</x:v>
      </x:c>
      <x:c r="R2573" s="28" t="n">
        <x:v>0</x:v>
      </x:c>
      <x:c r="S2573" s="28" t="str">
        <x:v>71b373191066e693</x:v>
      </x:c>
    </x:row>
    <x:row r="2574" ht="21" customHeight="1">
      <x:c r="A2574" s="60" t="n">
        <x:v>0.7</x:v>
      </x:c>
      <x:c r="B2574" s="28" t="str">
        <x:v>front_high</x:v>
      </x:c>
      <x:c r="C2574" s="60" t="n">
        <x:v>0.2</x:v>
      </x:c>
      <x:c r="D2574" s="60" t="n">
        <x:v>0.2</x:v>
      </x:c>
      <x:c r="E2574" s="62" t="b">
        <x:v>1</x:v>
      </x:c>
      <x:c r="F2574" s="62" t="b">
        <x:v>1</x:v>
      </x:c>
      <x:c r="G2574" s="85" t="n">
        <x:v>0</x:v>
      </x:c>
      <x:c r="H2574" s="85" t="n">
        <x:v>0</x:v>
      </x:c>
      <x:c r="I2574" s="85" t="n">
        <x:v>11747808.189998537</x:v>
      </x:c>
      <x:c r="J2574" s="85" t="n">
        <x:v>6284479.497374664</x:v>
      </x:c>
      <x:c r="K2574" s="85" t="n">
        <x:v>1272838.225740442</x:v>
      </x:c>
      <x:c r="L2574" s="28" t="n">
        <x:v>0</x:v>
      </x:c>
      <x:c r="M2574" s="28" t="n">
        <x:v>0</x:v>
      </x:c>
      <x:c r="N2574" s="28" t="n">
        <x:v>1.862645149230957e-9</x:v>
      </x:c>
      <x:c r="O2574" s="28" t="n">
        <x:v>2.9802322387695312e-8</x:v>
      </x:c>
      <x:c r="P2574" s="28" t="n">
        <x:v>0</x:v>
      </x:c>
      <x:c r="Q2574" s="62" t="b">
        <x:v>1</x:v>
      </x:c>
      <x:c r="R2574" s="28" t="n">
        <x:v>0</x:v>
      </x:c>
      <x:c r="S2574" s="28" t="str">
        <x:v>4a42cc3c9c5df53f</x:v>
      </x:c>
    </x:row>
    <x:row r="2575" ht="21" customHeight="1">
      <x:c r="A2575" s="60" t="n">
        <x:v>0.7</x:v>
      </x:c>
      <x:c r="B2575" s="28" t="str">
        <x:v>front_high</x:v>
      </x:c>
      <x:c r="C2575" s="60" t="n">
        <x:v>0.25</x:v>
      </x:c>
      <x:c r="D2575" s="60" t="n">
        <x:v>0.25</x:v>
      </x:c>
      <x:c r="E2575" s="62" t="b">
        <x:v>1</x:v>
      </x:c>
      <x:c r="F2575" s="62" t="b">
        <x:v>1</x:v>
      </x:c>
      <x:c r="G2575" s="85" t="n">
        <x:v>0</x:v>
      </x:c>
      <x:c r="H2575" s="85" t="n">
        <x:v>0</x:v>
      </x:c>
      <x:c r="I2575" s="85" t="n">
        <x:v>20894607.11335014</x:v>
      </x:c>
      <x:c r="J2575" s="85" t="n">
        <x:v>15355599.371718248</x:v>
      </x:c>
      <x:c r="K2575" s="85" t="n">
        <x:v>881147.9576592337</x:v>
      </x:c>
      <x:c r="L2575" s="28" t="n">
        <x:v>0</x:v>
      </x:c>
      <x:c r="M2575" s="28" t="n">
        <x:v>0</x:v>
      </x:c>
      <x:c r="N2575" s="28" t="n">
        <x:v>1.862645149230957e-9</x:v>
      </x:c>
      <x:c r="O2575" s="28" t="n">
        <x:v>1.4901161193847656e-8</x:v>
      </x:c>
      <x:c r="P2575" s="28" t="n">
        <x:v>0</x:v>
      </x:c>
      <x:c r="Q2575" s="62" t="b">
        <x:v>1</x:v>
      </x:c>
      <x:c r="R2575" s="28" t="n">
        <x:v>0</x:v>
      </x:c>
      <x:c r="S2575" s="28" t="str">
        <x:v>6106b4418d6be82d</x:v>
      </x:c>
    </x:row>
    <x:row r="2576" ht="21" customHeight="1">
      <x:c r="A2576" s="60" t="n">
        <x:v>0.7</x:v>
      </x:c>
      <x:c r="B2576" s="28" t="str">
        <x:v>front_high</x:v>
      </x:c>
      <x:c r="C2576" s="60" t="n">
        <x:v>0.3</x:v>
      </x:c>
      <x:c r="D2576" s="60" t="n">
        <x:v>0.3</x:v>
      </x:c>
      <x:c r="E2576" s="62" t="b">
        <x:v>1</x:v>
      </x:c>
      <x:c r="F2576" s="62" t="b">
        <x:v>1</x:v>
      </x:c>
      <x:c r="G2576" s="85" t="n">
        <x:v>0</x:v>
      </x:c>
      <x:c r="H2576" s="85" t="n">
        <x:v>0</x:v>
      </x:c>
      <x:c r="I2576" s="85" t="n">
        <x:v>30601088.018835098</x:v>
      </x:c>
      <x:c r="J2576" s="85" t="n">
        <x:v>21484277.490649838</x:v>
      </x:c>
      <x:c r="K2576" s="85" t="n">
        <x:v>646326.0225390423</x:v>
      </x:c>
      <x:c r="L2576" s="28" t="n">
        <x:v>2</x:v>
      </x:c>
      <x:c r="M2576" s="28" t="n">
        <x:v>0</x:v>
      </x:c>
      <x:c r="N2576" s="28" t="n">
        <x:v>3.725290298461914e-9</x:v>
      </x:c>
      <x:c r="O2576" s="28" t="n">
        <x:v>2.9802322387695312e-8</x:v>
      </x:c>
      <x:c r="P2576" s="28" t="n">
        <x:v>0</x:v>
      </x:c>
      <x:c r="Q2576" s="62" t="b">
        <x:v>1</x:v>
      </x:c>
      <x:c r="R2576" s="28" t="n">
        <x:v>0</x:v>
      </x:c>
      <x:c r="S2576" s="28" t="str">
        <x:v>a63948acecf6ae76</x:v>
      </x:c>
    </x:row>
    <x:row r="2577" ht="21" customHeight="1">
      <x:c r="A2577" s="60" t="n">
        <x:v>0.7</x:v>
      </x:c>
      <x:c r="B2577" s="28" t="str">
        <x:v>front_high</x:v>
      </x:c>
      <x:c r="C2577" s="60" t="n">
        <x:v>0.35</x:v>
      </x:c>
      <x:c r="D2577" s="60" t="n">
        <x:v>0.35</x:v>
      </x:c>
      <x:c r="E2577" s="62" t="b">
        <x:v>1</x:v>
      </x:c>
      <x:c r="F2577" s="62" t="b">
        <x:v>1</x:v>
      </x:c>
      <x:c r="G2577" s="85" t="n">
        <x:v>0</x:v>
      </x:c>
      <x:c r="H2577" s="85" t="n">
        <x:v>0</x:v>
      </x:c>
      <x:c r="I2577" s="85" t="n">
        <x:v>40254466.215492144</x:v>
      </x:c>
      <x:c r="J2577" s="85" t="n">
        <x:v>24931297.03882205</x:v>
      </x:c>
      <x:c r="K2577" s="85" t="n">
        <x:v>551172.5356804653</x:v>
      </x:c>
      <x:c r="L2577" s="28" t="n">
        <x:v>6</x:v>
      </x:c>
      <x:c r="M2577" s="28" t="n">
        <x:v>0</x:v>
      </x:c>
      <x:c r="N2577" s="28" t="n">
        <x:v>3.725290298461914e-9</x:v>
      </x:c>
      <x:c r="O2577" s="28" t="n">
        <x:v>7.450580596923828e-9</x:v>
      </x:c>
      <x:c r="P2577" s="28" t="n">
        <x:v>0</x:v>
      </x:c>
      <x:c r="Q2577" s="62" t="b">
        <x:v>1</x:v>
      </x:c>
      <x:c r="R2577" s="28" t="n">
        <x:v>0</x:v>
      </x:c>
      <x:c r="S2577" s="28" t="str">
        <x:v>fb32e0d0cbd48cdb</x:v>
      </x:c>
    </x:row>
    <x:row r="2578" ht="21" customHeight="1">
      <x:c r="A2578" s="60" t="n">
        <x:v>0.7</x:v>
      </x:c>
      <x:c r="B2578" s="28" t="str">
        <x:v>front_high</x:v>
      </x:c>
      <x:c r="C2578" s="60" t="n">
        <x:v>0.4</x:v>
      </x:c>
      <x:c r="D2578" s="60" t="n">
        <x:v>0.4</x:v>
      </x:c>
      <x:c r="E2578" s="62" t="b">
        <x:v>1</x:v>
      </x:c>
      <x:c r="F2578" s="62" t="b">
        <x:v>1</x:v>
      </x:c>
      <x:c r="G2578" s="85" t="n">
        <x:v>0</x:v>
      </x:c>
      <x:c r="H2578" s="85" t="n">
        <x:v>0</x:v>
      </x:c>
      <x:c r="I2578" s="85" t="n">
        <x:v>50723773.79131085</x:v>
      </x:c>
      <x:c r="J2578" s="85" t="n">
        <x:v>28103863.11920864</x:v>
      </x:c>
      <x:c r="K2578" s="85" t="n">
        <x:v>456871.5376465715</x:v>
      </x:c>
      <x:c r="L2578" s="28" t="n">
        <x:v>12</x:v>
      </x:c>
      <x:c r="M2578" s="28" t="n">
        <x:v>0</x:v>
      </x:c>
      <x:c r="N2578" s="28" t="n">
        <x:v>3.725290298461914e-9</x:v>
      </x:c>
      <x:c r="O2578" s="28" t="n">
        <x:v>2.9802322387695312e-8</x:v>
      </x:c>
      <x:c r="P2578" s="28" t="n">
        <x:v>0</x:v>
      </x:c>
      <x:c r="Q2578" s="62" t="b">
        <x:v>1</x:v>
      </x:c>
      <x:c r="R2578" s="28" t="n">
        <x:v>0</x:v>
      </x:c>
      <x:c r="S2578" s="28" t="str">
        <x:v>7f25cc89d4ae423f</x:v>
      </x:c>
    </x:row>
    <x:row r="2579" ht="21" customHeight="1">
      <x:c r="A2579" s="60" t="n">
        <x:v>0.7</x:v>
      </x:c>
      <x:c r="B2579" s="28" t="str">
        <x:v>front_high</x:v>
      </x:c>
      <x:c r="C2579" s="60" t="n">
        <x:v>0.45</x:v>
      </x:c>
      <x:c r="D2579" s="60" t="n">
        <x:v>0.45</x:v>
      </x:c>
      <x:c r="E2579" s="62" t="b">
        <x:v>1</x:v>
      </x:c>
      <x:c r="F2579" s="62" t="b">
        <x:v>1</x:v>
      </x:c>
      <x:c r="G2579" s="85" t="n">
        <x:v>0</x:v>
      </x:c>
      <x:c r="H2579" s="85" t="n">
        <x:v>0</x:v>
      </x:c>
      <x:c r="I2579" s="85" t="n">
        <x:v>60950319.32169094</x:v>
      </x:c>
      <x:c r="J2579" s="85" t="n">
        <x:v>34327121.18554799</x:v>
      </x:c>
      <x:c r="K2579" s="85" t="n">
        <x:v>362570.53961267124</x:v>
      </x:c>
      <x:c r="L2579" s="28" t="n">
        <x:v>18</x:v>
      </x:c>
      <x:c r="M2579" s="28" t="n">
        <x:v>0</x:v>
      </x:c>
      <x:c r="N2579" s="28" t="n">
        <x:v>3.725290298461914e-9</x:v>
      </x:c>
      <x:c r="O2579" s="28" t="n">
        <x:v>2.9802322387695312e-8</x:v>
      </x:c>
      <x:c r="P2579" s="28" t="n">
        <x:v>0</x:v>
      </x:c>
      <x:c r="Q2579" s="62" t="b">
        <x:v>1</x:v>
      </x:c>
      <x:c r="R2579" s="28" t="n">
        <x:v>0</x:v>
      </x:c>
      <x:c r="S2579" s="28" t="str">
        <x:v>dcd7ac11b515484a</x:v>
      </x:c>
    </x:row>
    <x:row r="2580" ht="21" customHeight="1">
      <x:c r="A2580" s="60" t="n">
        <x:v>0.7</x:v>
      </x:c>
      <x:c r="B2580" s="28" t="str">
        <x:v>front_high</x:v>
      </x:c>
      <x:c r="C2580" s="60" t="n">
        <x:v>0.5</x:v>
      </x:c>
      <x:c r="D2580" s="60" t="n">
        <x:v>0.5</x:v>
      </x:c>
      <x:c r="E2580" s="62" t="b">
        <x:v>1</x:v>
      </x:c>
      <x:c r="F2580" s="62" t="b">
        <x:v>1</x:v>
      </x:c>
      <x:c r="G2580" s="85" t="n">
        <x:v>0</x:v>
      </x:c>
      <x:c r="H2580" s="85" t="n">
        <x:v>0</x:v>
      </x:c>
      <x:c r="I2580" s="85" t="n">
        <x:v>70432320.58469267</x:v>
      </x:c>
      <x:c r="J2580" s="85" t="n">
        <x:v>46112674.97119293</x:v>
      </x:c>
      <x:c r="K2580" s="85" t="n">
        <x:v>268269.5415787588</x:v>
      </x:c>
      <x:c r="L2580" s="28" t="n">
        <x:v>21</x:v>
      </x:c>
      <x:c r="M2580" s="28" t="n">
        <x:v>6</x:v>
      </x:c>
      <x:c r="N2580" s="28" t="n">
        <x:v>1.862645149230957e-9</x:v>
      </x:c>
      <x:c r="O2580" s="28" t="n">
        <x:v>2.9802322387695312e-8</x:v>
      </x:c>
      <x:c r="P2580" s="28" t="n">
        <x:v>0</x:v>
      </x:c>
      <x:c r="Q2580" s="62" t="b">
        <x:v>1</x:v>
      </x:c>
      <x:c r="R2580" s="28" t="n">
        <x:v>0</x:v>
      </x:c>
      <x:c r="S2580" s="28" t="str">
        <x:v>29f088cbb55cda44</x:v>
      </x:c>
    </x:row>
    <x:row r="2581" ht="21" customHeight="1">
      <x:c r="A2581" s="60" t="n">
        <x:v>0.7</x:v>
      </x:c>
      <x:c r="B2581" s="28" t="str">
        <x:v>front_high</x:v>
      </x:c>
      <x:c r="C2581" s="60" t="n">
        <x:v>0.55</x:v>
      </x:c>
      <x:c r="D2581" s="60" t="n">
        <x:v>0.55</x:v>
      </x:c>
      <x:c r="E2581" s="62" t="b">
        <x:v>1</x:v>
      </x:c>
      <x:c r="F2581" s="62" t="b">
        <x:v>1</x:v>
      </x:c>
      <x:c r="G2581" s="85" t="n">
        <x:v>0</x:v>
      </x:c>
      <x:c r="H2581" s="85" t="n">
        <x:v>0</x:v>
      </x:c>
      <x:c r="I2581" s="85" t="n">
        <x:v>79199709.32854874</x:v>
      </x:c>
      <x:c r="J2581" s="85" t="n">
        <x:v>59473677.32053335</x:v>
      </x:c>
      <x:c r="K2581" s="85" t="n">
        <x:v>199235.81814040922</x:v>
      </x:c>
      <x:c r="L2581" s="28" t="n">
        <x:v>28</x:v>
      </x:c>
      <x:c r="M2581" s="28" t="n">
        <x:v>21</x:v>
      </x:c>
      <x:c r="N2581" s="28" t="n">
        <x:v>1.862645149230957e-9</x:v>
      </x:c>
      <x:c r="O2581" s="28" t="n">
        <x:v>2.9802322387695312e-8</x:v>
      </x:c>
      <x:c r="P2581" s="28" t="n">
        <x:v>0</x:v>
      </x:c>
      <x:c r="Q2581" s="62" t="b">
        <x:v>1</x:v>
      </x:c>
      <x:c r="R2581" s="28" t="n">
        <x:v>0</x:v>
      </x:c>
      <x:c r="S2581" s="28" t="str">
        <x:v>29426acd9e99d4f3</x:v>
      </x:c>
    </x:row>
    <x:row r="2582" ht="21" customHeight="1">
      <x:c r="A2582" s="60" t="n">
        <x:v>0.7</x:v>
      </x:c>
      <x:c r="B2582" s="28" t="str">
        <x:v>front_high</x:v>
      </x:c>
      <x:c r="C2582" s="60" t="n">
        <x:v>0.6</x:v>
      </x:c>
      <x:c r="D2582" s="60" t="n">
        <x:v>0.6</x:v>
      </x:c>
      <x:c r="E2582" s="62" t="b">
        <x:v>1</x:v>
      </x:c>
      <x:c r="F2582" s="62" t="b">
        <x:v>0</x:v>
      </x:c>
      <x:c r="G2582" s="85" t="n">
        <x:v>4703039.817288509</x:v>
      </x:c>
      <x:c r="H2582" s="85" t="n">
        <x:v>15923954.063737918</x:v>
      </x:c>
      <x:c r="I2582" s="85" t="n">
        <x:v>79435068.49315068</x:v>
      </x:c>
      <x:c r="J2582" s="85" t="n">
        <x:v>60000000.000000015</x:v>
      </x:c>
      <x:c r="K2582" s="85" t="n">
        <x:v>167801.6970000009</x:v>
      </x:c>
      <x:c r="L2582" s="28" t="n">
        <x:v>46</x:v>
      </x:c>
      <x:c r="M2582" s="28" t="n">
        <x:v>43</x:v>
      </x:c>
      <x:c r="N2582" s="28" t="n">
        <x:v>1.862645149230957e-9</x:v>
      </x:c>
      <x:c r="O2582" s="28" t="n">
        <x:v>2.9802322387695312e-8</x:v>
      </x:c>
      <x:c r="P2582" s="28" t="n">
        <x:v>0</x:v>
      </x:c>
      <x:c r="Q2582" s="62" t="b">
        <x:v>1</x:v>
      </x:c>
      <x:c r="R2582" s="28" t="n">
        <x:v>0</x:v>
      </x:c>
      <x:c r="S2582" s="28" t="str">
        <x:v>40aa15a5e0dd8f90</x:v>
      </x:c>
    </x:row>
    <x:row r="2583" ht="21" customHeight="1">
      <x:c r="A2583" s="60" t="n">
        <x:v>0.7</x:v>
      </x:c>
      <x:c r="B2583" s="28" t="str">
        <x:v>front_high</x:v>
      </x:c>
      <x:c r="C2583" s="60" t="n">
        <x:v>0.65</x:v>
      </x:c>
      <x:c r="D2583" s="60" t="n">
        <x:v>0.65</x:v>
      </x:c>
      <x:c r="E2583" s="62" t="b">
        <x:v>1</x:v>
      </x:c>
      <x:c r="F2583" s="62" t="b">
        <x:v>0</x:v>
      </x:c>
      <x:c r="G2583" s="85" t="n">
        <x:v>8627222.129035223</x:v>
      </x:c>
      <x:c r="H2583" s="85" t="n">
        <x:v>28713805.04561895</x:v>
      </x:c>
      <x:c r="I2583" s="85" t="n">
        <x:v>81155342.46575342</x:v>
      </x:c>
      <x:c r="J2583" s="85" t="n">
        <x:v>60000000.000000015</x:v>
      </x:c>
      <x:c r="K2583" s="85" t="n">
        <x:v>136367.5758595851</x:v>
      </x:c>
      <x:c r="L2583" s="28" t="n">
        <x:v>47</x:v>
      </x:c>
      <x:c r="M2583" s="28" t="n">
        <x:v>44</x:v>
      </x:c>
      <x:c r="N2583" s="28" t="n">
        <x:v>1.862645149230957e-9</x:v>
      </x:c>
      <x:c r="O2583" s="28" t="n">
        <x:v>2.9802322387695312e-8</x:v>
      </x:c>
      <x:c r="P2583" s="28" t="n">
        <x:v>0</x:v>
      </x:c>
      <x:c r="Q2583" s="62" t="b">
        <x:v>1</x:v>
      </x:c>
      <x:c r="R2583" s="28" t="n">
        <x:v>0</x:v>
      </x:c>
      <x:c r="S2583" s="28" t="str">
        <x:v>9690ffd346b7827b</x:v>
      </x:c>
    </x:row>
    <x:row r="2584" ht="21" customHeight="1">
      <x:c r="A2584" s="60" t="n">
        <x:v>0.7</x:v>
      </x:c>
      <x:c r="B2584" s="28" t="str">
        <x:v>front_high</x:v>
      </x:c>
      <x:c r="C2584" s="60" t="n">
        <x:v>0.7</x:v>
      </x:c>
      <x:c r="D2584" s="60" t="n">
        <x:v>0.7</x:v>
      </x:c>
      <x:c r="E2584" s="62" t="b">
        <x:v>1</x:v>
      </x:c>
      <x:c r="F2584" s="62" t="b">
        <x:v>0</x:v>
      </x:c>
      <x:c r="G2584" s="85" t="n">
        <x:v>14133287.623396082</x:v>
      </x:c>
      <x:c r="H2584" s="85" t="n">
        <x:v>43850701.136639774</x:v>
      </x:c>
      <x:c r="I2584" s="85" t="n">
        <x:v>81155342.46575342</x:v>
      </x:c>
      <x:c r="J2584" s="85" t="n">
        <x:v>60000000.000000015</x:v>
      </x:c>
      <x:c r="K2584" s="85" t="n">
        <x:v>104933.45471917585</x:v>
      </x:c>
      <x:c r="L2584" s="28" t="n">
        <x:v>47</x:v>
      </x:c>
      <x:c r="M2584" s="28" t="n">
        <x:v>44</x:v>
      </x:c>
      <x:c r="N2584" s="28" t="n">
        <x:v>1.862645149230957e-9</x:v>
      </x:c>
      <x:c r="O2584" s="28" t="n">
        <x:v>2.9802322387695312e-8</x:v>
      </x:c>
      <x:c r="P2584" s="28" t="n">
        <x:v>0</x:v>
      </x:c>
      <x:c r="Q2584" s="62" t="b">
        <x:v>1</x:v>
      </x:c>
      <x:c r="R2584" s="28" t="n">
        <x:v>0</x:v>
      </x:c>
      <x:c r="S2584" s="28" t="str">
        <x:v>58bc7ca35fe31e14</x:v>
      </x:c>
    </x:row>
    <x:row r="2585" ht="21" customHeight="1">
      <x:c r="A2585" s="60" t="n">
        <x:v>0.7</x:v>
      </x:c>
      <x:c r="B2585" s="28" t="str">
        <x:v>front_high</x:v>
      </x:c>
      <x:c r="C2585" s="60" t="n">
        <x:v>0.75</x:v>
      </x:c>
      <x:c r="D2585" s="60" t="n">
        <x:v>0.75</x:v>
      </x:c>
      <x:c r="E2585" s="62" t="b">
        <x:v>1</x:v>
      </x:c>
      <x:c r="F2585" s="62" t="b">
        <x:v>0</x:v>
      </x:c>
      <x:c r="G2585" s="85" t="n">
        <x:v>19372849.038518988</x:v>
      </x:c>
      <x:c r="H2585" s="85" t="n">
        <x:v>58894392.21363527</x:v>
      </x:c>
      <x:c r="I2585" s="85" t="n">
        <x:v>81155342.46575342</x:v>
      </x:c>
      <x:c r="J2585" s="85" t="n">
        <x:v>60000000.000000015</x:v>
      </x:c>
      <x:c r="K2585" s="85" t="n">
        <x:v>73499.33357876938</x:v>
      </x:c>
      <x:c r="L2585" s="28" t="n">
        <x:v>47</x:v>
      </x:c>
      <x:c r="M2585" s="28" t="n">
        <x:v>45</x:v>
      </x:c>
      <x:c r="N2585" s="28" t="n">
        <x:v>1.862645149230957e-9</x:v>
      </x:c>
      <x:c r="O2585" s="28" t="n">
        <x:v>2.9802322387695312e-8</x:v>
      </x:c>
      <x:c r="P2585" s="28" t="n">
        <x:v>0</x:v>
      </x:c>
      <x:c r="Q2585" s="62" t="b">
        <x:v>1</x:v>
      </x:c>
      <x:c r="R2585" s="28" t="n">
        <x:v>0</x:v>
      </x:c>
      <x:c r="S2585" s="28" t="str">
        <x:v>a78523efe59e667e</x:v>
      </x:c>
    </x:row>
    <x:row r="2586" ht="21" customHeight="1">
      <x:c r="A2586" s="60" t="n">
        <x:v>0.7</x:v>
      </x:c>
      <x:c r="B2586" s="28" t="str">
        <x:v>front_high</x:v>
      </x:c>
      <x:c r="C2586" s="60" t="n">
        <x:v>0.8</x:v>
      </x:c>
      <x:c r="D2586" s="60" t="n">
        <x:v>0.8</x:v>
      </x:c>
      <x:c r="E2586" s="62" t="b">
        <x:v>1</x:v>
      </x:c>
      <x:c r="F2586" s="62" t="b">
        <x:v>0</x:v>
      </x:c>
      <x:c r="G2586" s="85" t="n">
        <x:v>24976775.296766482</x:v>
      </x:c>
      <x:c r="H2586" s="85" t="n">
        <x:v>73569838.01555818</x:v>
      </x:c>
      <x:c r="I2586" s="85" t="n">
        <x:v>81155342.46575342</x:v>
      </x:c>
      <x:c r="J2586" s="85" t="n">
        <x:v>60000000.000000015</x:v>
      </x:c>
      <x:c r="K2586" s="85" t="n">
        <x:v>42065.21243835639</x:v>
      </x:c>
      <x:c r="L2586" s="28" t="n">
        <x:v>47</x:v>
      </x:c>
      <x:c r="M2586" s="28" t="n">
        <x:v>45</x:v>
      </x:c>
      <x:c r="N2586" s="28" t="n">
        <x:v>1.862645149230957e-9</x:v>
      </x:c>
      <x:c r="O2586" s="28" t="n">
        <x:v>1.4901161193847656e-8</x:v>
      </x:c>
      <x:c r="P2586" s="28" t="n">
        <x:v>0</x:v>
      </x:c>
      <x:c r="Q2586" s="62" t="b">
        <x:v>1</x:v>
      </x:c>
      <x:c r="R2586" s="28" t="n">
        <x:v>0</x:v>
      </x:c>
      <x:c r="S2586" s="28" t="str">
        <x:v>62cb0606d7189773</x:v>
      </x:c>
    </x:row>
    <x:row r="2587" ht="21" customHeight="1">
      <x:c r="A2587" s="60" t="n">
        <x:v>0.7</x:v>
      </x:c>
      <x:c r="B2587" s="28" t="str">
        <x:v>front_high</x:v>
      </x:c>
      <x:c r="C2587" s="60" t="n">
        <x:v>0.85</x:v>
      </x:c>
      <x:c r="D2587" s="60" t="n">
        <x:v>0.85</x:v>
      </x:c>
      <x:c r="E2587" s="62" t="b">
        <x:v>1</x:v>
      </x:c>
      <x:c r="F2587" s="62" t="b">
        <x:v>0</x:v>
      </x:c>
      <x:c r="G2587" s="85" t="n">
        <x:v>32989159.619095452</x:v>
      </x:c>
      <x:c r="H2587" s="85" t="n">
        <x:v>87008025.75607355</x:v>
      </x:c>
      <x:c r="I2587" s="85" t="n">
        <x:v>81155342.46575342</x:v>
      </x:c>
      <x:c r="J2587" s="85" t="n">
        <x:v>60000000.000000015</x:v>
      </x:c>
      <x:c r="K2587" s="85" t="n">
        <x:v>10631.09129794527</x:v>
      </x:c>
      <x:c r="L2587" s="28" t="n">
        <x:v>47</x:v>
      </x:c>
      <x:c r="M2587" s="28" t="n">
        <x:v>45</x:v>
      </x:c>
      <x:c r="N2587" s="28" t="n">
        <x:v>1.862645149230957e-9</x:v>
      </x:c>
      <x:c r="O2587" s="28" t="n">
        <x:v>1.862645149230957e-9</x:v>
      </x:c>
      <x:c r="P2587" s="28" t="n">
        <x:v>0</x:v>
      </x:c>
      <x:c r="Q2587" s="62" t="b">
        <x:v>1</x:v>
      </x:c>
      <x:c r="R2587" s="28" t="n">
        <x:v>0</x:v>
      </x:c>
      <x:c r="S2587" s="28" t="str">
        <x:v>65c55e284ad63486</x:v>
      </x:c>
    </x:row>
    <x:row r="2588" ht="21" customHeight="1">
      <x:c r="A2588" s="60" t="n">
        <x:v>0.7</x:v>
      </x:c>
      <x:c r="B2588" s="28" t="str">
        <x:v>front_high</x:v>
      </x:c>
      <x:c r="C2588" s="60" t="n">
        <x:v>0.9</x:v>
      </x:c>
      <x:c r="D2588" s="60" t="n">
        <x:v>0.9</x:v>
      </x:c>
      <x:c r="E2588" s="62" t="b">
        <x:v>1</x:v>
      </x:c>
      <x:c r="F2588" s="62" t="b">
        <x:v>0</x:v>
      </x:c>
      <x:c r="G2588" s="85" t="n">
        <x:v>42065266.000723734</x:v>
      </x:c>
      <x:c r="H2588" s="85" t="n">
        <x:v>97122215.43749091</x:v>
      </x:c>
      <x:c r="I2588" s="85" t="n">
        <x:v>81155342.46575342</x:v>
      </x:c>
      <x:c r="J2588" s="85" t="n">
        <x:v>60000000.000000015</x:v>
      </x:c>
      <x:c r="K2588" s="85" t="n">
        <x:v>0</x:v>
      </x:c>
      <x:c r="L2588" s="28" t="n">
        <x:v>47</x:v>
      </x:c>
      <x:c r="M2588" s="28" t="n">
        <x:v>46</x:v>
      </x:c>
      <x:c r="N2588" s="28" t="n">
        <x:v>1.862645149230957e-9</x:v>
      </x:c>
      <x:c r="O2588" s="28" t="n">
        <x:v>1.4901161193847656e-8</x:v>
      </x:c>
      <x:c r="P2588" s="28" t="n">
        <x:v>0</x:v>
      </x:c>
      <x:c r="Q2588" s="62" t="b">
        <x:v>1</x:v>
      </x:c>
      <x:c r="R2588" s="28" t="n">
        <x:v>0</x:v>
      </x:c>
      <x:c r="S2588" s="28" t="str">
        <x:v>b0d4782272e59193</x:v>
      </x:c>
    </x:row>
    <x:row r="2589" ht="21" customHeight="1">
      <x:c r="A2589" s="60" t="n">
        <x:v>0.7</x:v>
      </x:c>
      <x:c r="B2589" s="28" t="str">
        <x:v>front_high</x:v>
      </x:c>
      <x:c r="C2589" s="60" t="n">
        <x:v>0.95</x:v>
      </x:c>
      <x:c r="D2589" s="60" t="n">
        <x:v>0.9497739906324524</x:v>
      </x:c>
      <x:c r="E2589" s="62" t="b">
        <x:v>0</x:v>
      </x:c>
      <x:c r="F2589" s="62" t="b">
        <x:v>0</x:v>
      </x:c>
      <x:c r="G2589" s="85" t="n">
        <x:v>47375679.296134464</x:v>
      </x:c>
      <x:c r="H2589" s="85" t="n">
        <x:v>106653280.26872264</x:v>
      </x:c>
      <x:c r="I2589" s="85" t="n">
        <x:v>81155342.46575342</x:v>
      </x:c>
      <x:c r="J2589" s="85" t="n">
        <x:v>60000000.000000015</x:v>
      </x:c>
      <x:c r="K2589" s="85" t="n">
        <x:v>0</x:v>
      </x:c>
      <x:c r="L2589" s="28" t="n">
        <x:v>47</x:v>
      </x:c>
      <x:c r="M2589" s="28" t="n">
        <x:v>46</x:v>
      </x:c>
      <x:c r="N2589" s="28" t="n">
        <x:v>1.862645149230957e-9</x:v>
      </x:c>
      <x:c r="O2589" s="28" t="n">
        <x:v>1.4901161193847656e-8</x:v>
      </x:c>
      <x:c r="P2589" s="28" t="n">
        <x:v>0</x:v>
      </x:c>
      <x:c r="Q2589" s="62" t="b">
        <x:v>1</x:v>
      </x:c>
      <x:c r="R2589" s="28" t="n">
        <x:v>67802.81026428938</x:v>
      </x:c>
      <x:c r="S2589" s="28" t="str">
        <x:v>0bfc67187d54a554</x:v>
      </x:c>
    </x:row>
    <x:row r="2590" ht="21" customHeight="1">
      <x:c r="A2590" s="60" t="n">
        <x:v>0.7</x:v>
      </x:c>
      <x:c r="B2590" s="28" t="str">
        <x:v>front_high</x:v>
      </x:c>
      <x:c r="C2590" s="60" t="n">
        <x:v>1</x:v>
      </x:c>
      <x:c r="D2590" s="60" t="n">
        <x:v>0.9646994850752131</x:v>
      </x:c>
      <x:c r="E2590" s="62" t="b">
        <x:v>0</x:v>
      </x:c>
      <x:c r="F2590" s="62" t="b">
        <x:v>0</x:v>
      </x:c>
      <x:c r="G2590" s="85" t="n">
        <x:v>51470189.91253431</x:v>
      </x:c>
      <x:c r="H2590" s="85" t="n">
        <x:v>110500334.75478616</x:v>
      </x:c>
      <x:c r="I2590" s="85" t="n">
        <x:v>81155342.46575342</x:v>
      </x:c>
      <x:c r="J2590" s="85" t="n">
        <x:v>60000000.000000015</x:v>
      </x:c>
      <x:c r="K2590" s="85" t="n">
        <x:v>0</x:v>
      </x:c>
      <x:c r="L2590" s="28" t="n">
        <x:v>47</x:v>
      </x:c>
      <x:c r="M2590" s="28" t="n">
        <x:v>46</x:v>
      </x:c>
      <x:c r="N2590" s="28" t="n">
        <x:v>9.313225746154785e-10</x:v>
      </x:c>
      <x:c r="O2590" s="28" t="n">
        <x:v>3.725290298461914e-9</x:v>
      </x:c>
      <x:c r="P2590" s="28" t="n">
        <x:v>0</x:v>
      </x:c>
      <x:c r="Q2590" s="62" t="b">
        <x:v>1</x:v>
      </x:c>
      <x:c r="R2590" s="28" t="n">
        <x:v>10590154.477436066</x:v>
      </x:c>
      <x:c r="S2590" s="28" t="str">
        <x:v>07cf2c67a342f4b5</x:v>
      </x:c>
    </x:row>
    <x:row r="2591" ht="21" customHeight="1">
      <x:c r="A2591" s="60" t="n">
        <x:v>0.7</x:v>
      </x:c>
      <x:c r="B2591" s="28" t="str">
        <x:v>middle_flat</x:v>
      </x:c>
      <x:c r="C2591" s="60" t="n">
        <x:v>0</x:v>
      </x:c>
      <x:c r="D2591" s="60" t="n">
        <x:v>0</x:v>
      </x:c>
      <x:c r="E2591" s="62" t="b">
        <x:v>1</x:v>
      </x:c>
      <x:c r="F2591" s="62" t="b">
        <x:v>1</x:v>
      </x:c>
      <x:c r="G2591" s="85" t="n">
        <x:v>0</x:v>
      </x:c>
      <x:c r="H2591" s="85" t="n">
        <x:v>0</x:v>
      </x:c>
      <x:c r="I2591" s="85" t="n">
        <x:v>0</x:v>
      </x:c>
      <x:c r="J2591" s="85" t="n">
        <x:v>0</x:v>
      </x:c>
      <x:c r="K2591" s="85" t="n">
        <x:v>37166364.518493116</x:v>
      </x:c>
      <x:c r="L2591" s="28" t="n">
        <x:v>0</x:v>
      </x:c>
      <x:c r="M2591" s="28" t="n">
        <x:v>0</x:v>
      </x:c>
      <x:c r="N2591" s="28" t="n">
        <x:v>3.725290298461914e-9</x:v>
      </x:c>
      <x:c r="O2591" s="28" t="n">
        <x:v>0</x:v>
      </x:c>
      <x:c r="P2591" s="28" t="n">
        <x:v>0</x:v>
      </x:c>
      <x:c r="Q2591" s="62" t="b">
        <x:v>1</x:v>
      </x:c>
      <x:c r="R2591" s="28" t="n">
        <x:v>0</x:v>
      </x:c>
      <x:c r="S2591" s="28" t="str">
        <x:v>1722360b2713d71b</x:v>
      </x:c>
    </x:row>
    <x:row r="2592" ht="21" customHeight="1">
      <x:c r="A2592" s="60" t="n">
        <x:v>0.7</x:v>
      </x:c>
      <x:c r="B2592" s="28" t="str">
        <x:v>middle_flat</x:v>
      </x:c>
      <x:c r="C2592" s="60" t="n">
        <x:v>0.05</x:v>
      </x:c>
      <x:c r="D2592" s="60" t="n">
        <x:v>0.05</x:v>
      </x:c>
      <x:c r="E2592" s="62" t="b">
        <x:v>1</x:v>
      </x:c>
      <x:c r="F2592" s="62" t="b">
        <x:v>1</x:v>
      </x:c>
      <x:c r="G2592" s="85" t="n">
        <x:v>0</x:v>
      </x:c>
      <x:c r="H2592" s="85" t="n">
        <x:v>0</x:v>
      </x:c>
      <x:c r="I2592" s="85" t="n">
        <x:v>0</x:v>
      </x:c>
      <x:c r="J2592" s="85" t="n">
        <x:v>0</x:v>
      </x:c>
      <x:c r="K2592" s="85" t="n">
        <x:v>25232623.41518034</x:v>
      </x:c>
      <x:c r="L2592" s="28" t="n">
        <x:v>0</x:v>
      </x:c>
      <x:c r="M2592" s="28" t="n">
        <x:v>0</x:v>
      </x:c>
      <x:c r="N2592" s="28" t="n">
        <x:v>3.725290298461914e-9</x:v>
      </x:c>
      <x:c r="O2592" s="28" t="n">
        <x:v>2.9802322387695312e-8</x:v>
      </x:c>
      <x:c r="P2592" s="28" t="n">
        <x:v>0</x:v>
      </x:c>
      <x:c r="Q2592" s="62" t="b">
        <x:v>1</x:v>
      </x:c>
      <x:c r="R2592" s="28" t="n">
        <x:v>0</x:v>
      </x:c>
      <x:c r="S2592" s="28" t="str">
        <x:v>c48f3e829e588e8b</x:v>
      </x:c>
    </x:row>
    <x:row r="2593" ht="21" customHeight="1">
      <x:c r="A2593" s="60" t="n">
        <x:v>0.7</x:v>
      </x:c>
      <x:c r="B2593" s="28" t="str">
        <x:v>middle_flat</x:v>
      </x:c>
      <x:c r="C2593" s="60" t="n">
        <x:v>0.1</x:v>
      </x:c>
      <x:c r="D2593" s="60" t="n">
        <x:v>0.1</x:v>
      </x:c>
      <x:c r="E2593" s="62" t="b">
        <x:v>1</x:v>
      </x:c>
      <x:c r="F2593" s="62" t="b">
        <x:v>1</x:v>
      </x:c>
      <x:c r="G2593" s="85" t="n">
        <x:v>0</x:v>
      </x:c>
      <x:c r="H2593" s="85" t="n">
        <x:v>0</x:v>
      </x:c>
      <x:c r="I2593" s="85" t="n">
        <x:v>0</x:v>
      </x:c>
      <x:c r="J2593" s="85" t="n">
        <x:v>0</x:v>
      </x:c>
      <x:c r="K2593" s="85" t="n">
        <x:v>13180045.518333036</x:v>
      </x:c>
      <x:c r="L2593" s="28" t="n">
        <x:v>0</x:v>
      </x:c>
      <x:c r="M2593" s="28" t="n">
        <x:v>0</x:v>
      </x:c>
      <x:c r="N2593" s="28" t="n">
        <x:v>3.725290298461914e-9</x:v>
      </x:c>
      <x:c r="O2593" s="28" t="n">
        <x:v>5.960464477539063e-8</x:v>
      </x:c>
      <x:c r="P2593" s="28" t="n">
        <x:v>0</x:v>
      </x:c>
      <x:c r="Q2593" s="62" t="b">
        <x:v>1</x:v>
      </x:c>
      <x:c r="R2593" s="28" t="n">
        <x:v>0</x:v>
      </x:c>
      <x:c r="S2593" s="28" t="str">
        <x:v>8af7e25a59777991</x:v>
      </x:c>
    </x:row>
    <x:row r="2594" ht="21" customHeight="1">
      <x:c r="A2594" s="60" t="n">
        <x:v>0.7</x:v>
      </x:c>
      <x:c r="B2594" s="28" t="str">
        <x:v>middle_flat</x:v>
      </x:c>
      <x:c r="C2594" s="60" t="n">
        <x:v>0.15</x:v>
      </x:c>
      <x:c r="D2594" s="60" t="n">
        <x:v>0.15</x:v>
      </x:c>
      <x:c r="E2594" s="62" t="b">
        <x:v>1</x:v>
      </x:c>
      <x:c r="F2594" s="62" t="b">
        <x:v>1</x:v>
      </x:c>
      <x:c r="G2594" s="85" t="n">
        <x:v>0</x:v>
      </x:c>
      <x:c r="H2594" s="85" t="n">
        <x:v>0</x:v>
      </x:c>
      <x:c r="I2594" s="85" t="n">
        <x:v>1191977.9482079353</x:v>
      </x:c>
      <x:c r="J2594" s="85" t="n">
        <x:v>0</x:v>
      </x:c>
      <x:c r="K2594" s="85" t="n">
        <x:v>2860786.7848676806</x:v>
      </x:c>
      <x:c r="L2594" s="28" t="n">
        <x:v>0</x:v>
      </x:c>
      <x:c r="M2594" s="28" t="n">
        <x:v>0</x:v>
      </x:c>
      <x:c r="N2594" s="28" t="n">
        <x:v>3.725290298461914e-9</x:v>
      </x:c>
      <x:c r="O2594" s="28" t="n">
        <x:v>2.9802322387695312e-8</x:v>
      </x:c>
      <x:c r="P2594" s="28" t="n">
        <x:v>0</x:v>
      </x:c>
      <x:c r="Q2594" s="62" t="b">
        <x:v>1</x:v>
      </x:c>
      <x:c r="R2594" s="28" t="n">
        <x:v>0</x:v>
      </x:c>
      <x:c r="S2594" s="28" t="str">
        <x:v>12e916edf8d20436</x:v>
      </x:c>
    </x:row>
    <x:row r="2595" ht="21" customHeight="1">
      <x:c r="A2595" s="60" t="n">
        <x:v>0.7</x:v>
      </x:c>
      <x:c r="B2595" s="28" t="str">
        <x:v>middle_flat</x:v>
      </x:c>
      <x:c r="C2595" s="60" t="n">
        <x:v>0.2</x:v>
      </x:c>
      <x:c r="D2595" s="60" t="n">
        <x:v>0.2</x:v>
      </x:c>
      <x:c r="E2595" s="62" t="b">
        <x:v>1</x:v>
      </x:c>
      <x:c r="F2595" s="62" t="b">
        <x:v>1</x:v>
      </x:c>
      <x:c r="G2595" s="85" t="n">
        <x:v>0</x:v>
      </x:c>
      <x:c r="H2595" s="85" t="n">
        <x:v>0</x:v>
      </x:c>
      <x:c r="I2595" s="85" t="n">
        <x:v>8929134.023051197</x:v>
      </x:c>
      <x:c r="J2595" s="85" t="n">
        <x:v>6318282.052720878</x:v>
      </x:c>
      <x:c r="K2595" s="85" t="n">
        <x:v>2260299.6810115175</x:v>
      </x:c>
      <x:c r="L2595" s="28" t="n">
        <x:v>0</x:v>
      </x:c>
      <x:c r="M2595" s="28" t="n">
        <x:v>0</x:v>
      </x:c>
      <x:c r="N2595" s="28" t="n">
        <x:v>1.862645149230957e-9</x:v>
      </x:c>
      <x:c r="O2595" s="28" t="n">
        <x:v>2.9802322387695312e-8</x:v>
      </x:c>
      <x:c r="P2595" s="28" t="n">
        <x:v>0</x:v>
      </x:c>
      <x:c r="Q2595" s="62" t="b">
        <x:v>1</x:v>
      </x:c>
      <x:c r="R2595" s="28" t="n">
        <x:v>0</x:v>
      </x:c>
      <x:c r="S2595" s="28" t="str">
        <x:v>1ef4ed9fb1a67bac</x:v>
      </x:c>
    </x:row>
    <x:row r="2596" ht="21" customHeight="1">
      <x:c r="A2596" s="60" t="n">
        <x:v>0.7</x:v>
      </x:c>
      <x:c r="B2596" s="28" t="str">
        <x:v>middle_flat</x:v>
      </x:c>
      <x:c r="C2596" s="60" t="n">
        <x:v>0.25</x:v>
      </x:c>
      <x:c r="D2596" s="60" t="n">
        <x:v>0.25</x:v>
      </x:c>
      <x:c r="E2596" s="62" t="b">
        <x:v>1</x:v>
      </x:c>
      <x:c r="F2596" s="62" t="b">
        <x:v>1</x:v>
      </x:c>
      <x:c r="G2596" s="85" t="n">
        <x:v>0</x:v>
      </x:c>
      <x:c r="H2596" s="85" t="n">
        <x:v>0</x:v>
      </x:c>
      <x:c r="I2596" s="85" t="n">
        <x:v>15007845.116484864</x:v>
      </x:c>
      <x:c r="J2596" s="85" t="n">
        <x:v>15397852.56590104</x:v>
      </x:c>
      <x:c r="K2596" s="85" t="n">
        <x:v>1843206.0759436274</x:v>
      </x:c>
      <x:c r="L2596" s="28" t="n">
        <x:v>0</x:v>
      </x:c>
      <x:c r="M2596" s="28" t="n">
        <x:v>0</x:v>
      </x:c>
      <x:c r="N2596" s="28" t="n">
        <x:v>3.725290298461914e-9</x:v>
      </x:c>
      <x:c r="O2596" s="28" t="n">
        <x:v>2.9802322387695312e-8</x:v>
      </x:c>
      <x:c r="P2596" s="28" t="n">
        <x:v>0</x:v>
      </x:c>
      <x:c r="Q2596" s="62" t="b">
        <x:v>1</x:v>
      </x:c>
      <x:c r="R2596" s="28" t="n">
        <x:v>0</x:v>
      </x:c>
      <x:c r="S2596" s="28" t="str">
        <x:v>6bef5444cb9f7aa1</x:v>
      </x:c>
    </x:row>
    <x:row r="2597" ht="21" customHeight="1">
      <x:c r="A2597" s="60" t="n">
        <x:v>0.7</x:v>
      </x:c>
      <x:c r="B2597" s="28" t="str">
        <x:v>middle_flat</x:v>
      </x:c>
      <x:c r="C2597" s="60" t="n">
        <x:v>0.3</x:v>
      </x:c>
      <x:c r="D2597" s="60" t="n">
        <x:v>0.3</x:v>
      </x:c>
      <x:c r="E2597" s="62" t="b">
        <x:v>1</x:v>
      </x:c>
      <x:c r="F2597" s="62" t="b">
        <x:v>1</x:v>
      </x:c>
      <x:c r="G2597" s="85" t="n">
        <x:v>0</x:v>
      </x:c>
      <x:c r="H2597" s="85" t="n">
        <x:v>0</x:v>
      </x:c>
      <x:c r="I2597" s="85" t="n">
        <x:v>22753908.87396339</x:v>
      </x:c>
      <x:c r="J2597" s="85" t="n">
        <x:v>20476590.143962562</x:v>
      </x:c>
      <x:c r="K2597" s="85" t="n">
        <x:v>1525814.6059268815</x:v>
      </x:c>
      <x:c r="L2597" s="28" t="n">
        <x:v>4</x:v>
      </x:c>
      <x:c r="M2597" s="28" t="n">
        <x:v>0</x:v>
      </x:c>
      <x:c r="N2597" s="28" t="n">
        <x:v>1.862645149230957e-9</x:v>
      </x:c>
      <x:c r="O2597" s="28" t="n">
        <x:v>2.9802322387695312e-8</x:v>
      </x:c>
      <x:c r="P2597" s="28" t="n">
        <x:v>0</x:v>
      </x:c>
      <x:c r="Q2597" s="62" t="b">
        <x:v>1</x:v>
      </x:c>
      <x:c r="R2597" s="28" t="n">
        <x:v>0</x:v>
      </x:c>
      <x:c r="S2597" s="28" t="str">
        <x:v>989ecf689d479abe</x:v>
      </x:c>
    </x:row>
    <x:row r="2598" ht="21" customHeight="1">
      <x:c r="A2598" s="60" t="n">
        <x:v>0.7</x:v>
      </x:c>
      <x:c r="B2598" s="28" t="str">
        <x:v>middle_flat</x:v>
      </x:c>
      <x:c r="C2598" s="60" t="n">
        <x:v>0.35</x:v>
      </x:c>
      <x:c r="D2598" s="60" t="n">
        <x:v>0.35</x:v>
      </x:c>
      <x:c r="E2598" s="62" t="b">
        <x:v>1</x:v>
      </x:c>
      <x:c r="F2598" s="62" t="b">
        <x:v>1</x:v>
      </x:c>
      <x:c r="G2598" s="85" t="n">
        <x:v>0</x:v>
      </x:c>
      <x:c r="H2598" s="85" t="n">
        <x:v>0</x:v>
      </x:c>
      <x:c r="I2598" s="85" t="n">
        <x:v>30597276.34478702</x:v>
      </x:c>
      <x:c r="J2598" s="85" t="n">
        <x:v>25644126.526809067</x:v>
      </x:c>
      <x:c r="K2598" s="85" t="n">
        <x:v>1292296.8129684755</x:v>
      </x:c>
      <x:c r="L2598" s="28" t="n">
        <x:v>9</x:v>
      </x:c>
      <x:c r="M2598" s="28" t="n">
        <x:v>0</x:v>
      </x:c>
      <x:c r="N2598" s="28" t="n">
        <x:v>3.725290298461914e-9</x:v>
      </x:c>
      <x:c r="O2598" s="28" t="n">
        <x:v>2.9802322387695312e-8</x:v>
      </x:c>
      <x:c r="P2598" s="28" t="n">
        <x:v>0</x:v>
      </x:c>
      <x:c r="Q2598" s="62" t="b">
        <x:v>1</x:v>
      </x:c>
      <x:c r="R2598" s="28" t="n">
        <x:v>0</x:v>
      </x:c>
      <x:c r="S2598" s="28" t="str">
        <x:v>6874e80a243ca0e6</x:v>
      </x:c>
    </x:row>
    <x:row r="2599" ht="21" customHeight="1">
      <x:c r="A2599" s="60" t="n">
        <x:v>0.7</x:v>
      </x:c>
      <x:c r="B2599" s="28" t="str">
        <x:v>middle_flat</x:v>
      </x:c>
      <x:c r="C2599" s="60" t="n">
        <x:v>0.4</x:v>
      </x:c>
      <x:c r="D2599" s="60" t="n">
        <x:v>0.4</x:v>
      </x:c>
      <x:c r="E2599" s="62" t="b">
        <x:v>1</x:v>
      </x:c>
      <x:c r="F2599" s="62" t="b">
        <x:v>1</x:v>
      </x:c>
      <x:c r="G2599" s="85" t="n">
        <x:v>0</x:v>
      </x:c>
      <x:c r="H2599" s="85" t="n">
        <x:v>0</x:v>
      </x:c>
      <x:c r="I2599" s="85" t="n">
        <x:v>37757535.78417624</x:v>
      </x:c>
      <x:c r="J2599" s="85" t="n">
        <x:v>32347404.45382005</x:v>
      </x:c>
      <x:c r="K2599" s="85" t="n">
        <x:v>1110231.0666802095</x:v>
      </x:c>
      <x:c r="L2599" s="28" t="n">
        <x:v>13</x:v>
      </x:c>
      <x:c r="M2599" s="28" t="n">
        <x:v>0</x:v>
      </x:c>
      <x:c r="N2599" s="28" t="n">
        <x:v>1.862645149230957e-9</x:v>
      </x:c>
      <x:c r="O2599" s="28" t="n">
        <x:v>2.9802322387695312e-8</x:v>
      </x:c>
      <x:c r="P2599" s="28" t="n">
        <x:v>0</x:v>
      </x:c>
      <x:c r="Q2599" s="62" t="b">
        <x:v>1</x:v>
      </x:c>
      <x:c r="R2599" s="28" t="n">
        <x:v>0</x:v>
      </x:c>
      <x:c r="S2599" s="28" t="str">
        <x:v>9f9fec6be209b369</x:v>
      </x:c>
    </x:row>
    <x:row r="2600" ht="21" customHeight="1">
      <x:c r="A2600" s="60" t="n">
        <x:v>0.7</x:v>
      </x:c>
      <x:c r="B2600" s="28" t="str">
        <x:v>middle_flat</x:v>
      </x:c>
      <x:c r="C2600" s="60" t="n">
        <x:v>0.45</x:v>
      </x:c>
      <x:c r="D2600" s="60" t="n">
        <x:v>0.45</x:v>
      </x:c>
      <x:c r="E2600" s="62" t="b">
        <x:v>1</x:v>
      </x:c>
      <x:c r="F2600" s="62" t="b">
        <x:v>1</x:v>
      </x:c>
      <x:c r="G2600" s="85" t="n">
        <x:v>0</x:v>
      </x:c>
      <x:c r="H2600" s="85" t="n">
        <x:v>0</x:v>
      </x:c>
      <x:c r="I2600" s="85" t="n">
        <x:v>43739868.93975552</x:v>
      </x:c>
      <x:c r="J2600" s="85" t="n">
        <x:v>42414994.62683921</x:v>
      </x:c>
      <x:c r="K2600" s="85" t="n">
        <x:v>958506.5721260286</x:v>
      </x:c>
      <x:c r="L2600" s="28" t="n">
        <x:v>15</x:v>
      </x:c>
      <x:c r="M2600" s="28" t="n">
        <x:v>0</x:v>
      </x:c>
      <x:c r="N2600" s="28" t="n">
        <x:v>3.725290298461914e-9</x:v>
      </x:c>
      <x:c r="O2600" s="28" t="n">
        <x:v>2.9802322387695312e-8</x:v>
      </x:c>
      <x:c r="P2600" s="28" t="n">
        <x:v>0</x:v>
      </x:c>
      <x:c r="Q2600" s="62" t="b">
        <x:v>1</x:v>
      </x:c>
      <x:c r="R2600" s="28" t="n">
        <x:v>0</x:v>
      </x:c>
      <x:c r="S2600" s="28" t="str">
        <x:v>9582a77b63bd117a</x:v>
      </x:c>
    </x:row>
    <x:row r="2601" ht="21" customHeight="1">
      <x:c r="A2601" s="60" t="n">
        <x:v>0.7</x:v>
      </x:c>
      <x:c r="B2601" s="28" t="str">
        <x:v>middle_flat</x:v>
      </x:c>
      <x:c r="C2601" s="60" t="n">
        <x:v>0.5</x:v>
      </x:c>
      <x:c r="D2601" s="60" t="n">
        <x:v>0.5</x:v>
      </x:c>
      <x:c r="E2601" s="62" t="b">
        <x:v>1</x:v>
      </x:c>
      <x:c r="F2601" s="62" t="b">
        <x:v>1</x:v>
      </x:c>
      <x:c r="G2601" s="85" t="n">
        <x:v>0</x:v>
      </x:c>
      <x:c r="H2601" s="85" t="n">
        <x:v>0</x:v>
      </x:c>
      <x:c r="I2601" s="85" t="n">
        <x:v>49818594.665950455</x:v>
      </x:c>
      <x:c r="J2601" s="85" t="n">
        <x:v>51766799.35794353</x:v>
      </x:c>
      <x:c r="K2601" s="85" t="n">
        <x:v>874703.3579178134</x:v>
      </x:c>
      <x:c r="L2601" s="28" t="n">
        <x:v>18</x:v>
      </x:c>
      <x:c r="M2601" s="28" t="n">
        <x:v>4</x:v>
      </x:c>
      <x:c r="N2601" s="28" t="n">
        <x:v>3.725290298461914e-9</x:v>
      </x:c>
      <x:c r="O2601" s="28" t="n">
        <x:v>1.4901161193847656e-8</x:v>
      </x:c>
      <x:c r="P2601" s="28" t="n">
        <x:v>0</x:v>
      </x:c>
      <x:c r="Q2601" s="62" t="b">
        <x:v>1</x:v>
      </x:c>
      <x:c r="R2601" s="28" t="n">
        <x:v>0</x:v>
      </x:c>
      <x:c r="S2601" s="28" t="str">
        <x:v>3dc32d8609b3a375</x:v>
      </x:c>
    </x:row>
    <x:row r="2602" ht="21" customHeight="1">
      <x:c r="A2602" s="60" t="n">
        <x:v>0.7</x:v>
      </x:c>
      <x:c r="B2602" s="28" t="str">
        <x:v>middle_flat</x:v>
      </x:c>
      <x:c r="C2602" s="60" t="n">
        <x:v>0.55</x:v>
      </x:c>
      <x:c r="D2602" s="60" t="n">
        <x:v>0.55</x:v>
      </x:c>
      <x:c r="E2602" s="62" t="b">
        <x:v>1</x:v>
      </x:c>
      <x:c r="F2602" s="62" t="b">
        <x:v>0</x:v>
      </x:c>
      <x:c r="G2602" s="85" t="n">
        <x:v>256381.44597378175</x:v>
      </x:c>
      <x:c r="H2602" s="85" t="n">
        <x:v>1632862.6658706109</x:v>
      </x:c>
      <x:c r="I2602" s="85" t="n">
        <x:v>54882660.45678119</x:v>
      </x:c>
      <x:c r="J2602" s="85" t="n">
        <x:v>60000000.000000015</x:v>
      </x:c>
      <x:c r="K2602" s="85" t="n">
        <x:v>790900.1437095867</x:v>
      </x:c>
      <x:c r="L2602" s="28" t="n">
        <x:v>43</x:v>
      </x:c>
      <x:c r="M2602" s="28" t="n">
        <x:v>34</x:v>
      </x:c>
      <x:c r="N2602" s="28" t="n">
        <x:v>1.862645149230957e-9</x:v>
      </x:c>
      <x:c r="O2602" s="28" t="n">
        <x:v>2.9802322387695312e-8</x:v>
      </x:c>
      <x:c r="P2602" s="28" t="n">
        <x:v>0</x:v>
      </x:c>
      <x:c r="Q2602" s="62" t="b">
        <x:v>1</x:v>
      </x:c>
      <x:c r="R2602" s="28" t="n">
        <x:v>0</x:v>
      </x:c>
      <x:c r="S2602" s="28" t="str">
        <x:v>e65cb707e6c3ff53</x:v>
      </x:c>
    </x:row>
    <x:row r="2603" ht="21" customHeight="1">
      <x:c r="A2603" s="60" t="n">
        <x:v>0.7</x:v>
      </x:c>
      <x:c r="B2603" s="28" t="str">
        <x:v>middle_flat</x:v>
      </x:c>
      <x:c r="C2603" s="60" t="n">
        <x:v>0.6</x:v>
      </x:c>
      <x:c r="D2603" s="60" t="n">
        <x:v>0.6</x:v>
      </x:c>
      <x:c r="E2603" s="62" t="b">
        <x:v>1</x:v>
      </x:c>
      <x:c r="F2603" s="62" t="b">
        <x:v>0</x:v>
      </x:c>
      <x:c r="G2603" s="85" t="n">
        <x:v>2242523.9446295844</x:v>
      </x:c>
      <x:c r="H2603" s="85" t="n">
        <x:v>14618710.86655319</x:v>
      </x:c>
      <x:c r="I2603" s="85" t="n">
        <x:v>54927527.09681235</x:v>
      </x:c>
      <x:c r="J2603" s="85" t="n">
        <x:v>60000000.000000015</x:v>
      </x:c>
      <x:c r="K2603" s="85" t="n">
        <x:v>707096.9295013665</x:v>
      </x:c>
      <x:c r="L2603" s="28" t="n">
        <x:v>43</x:v>
      </x:c>
      <x:c r="M2603" s="28" t="n">
        <x:v>36</x:v>
      </x:c>
      <x:c r="N2603" s="28" t="n">
        <x:v>1.862645149230957e-9</x:v>
      </x:c>
      <x:c r="O2603" s="28" t="n">
        <x:v>2.9802322387695312e-8</x:v>
      </x:c>
      <x:c r="P2603" s="28" t="n">
        <x:v>0</x:v>
      </x:c>
      <x:c r="Q2603" s="62" t="b">
        <x:v>1</x:v>
      </x:c>
      <x:c r="R2603" s="28" t="n">
        <x:v>0</x:v>
      </x:c>
      <x:c r="S2603" s="28" t="str">
        <x:v>9015c70308c95431</x:v>
      </x:c>
    </x:row>
    <x:row r="2604" ht="21" customHeight="1">
      <x:c r="A2604" s="60" t="n">
        <x:v>0.7</x:v>
      </x:c>
      <x:c r="B2604" s="28" t="str">
        <x:v>middle_flat</x:v>
      </x:c>
      <x:c r="C2604" s="60" t="n">
        <x:v>0.65</x:v>
      </x:c>
      <x:c r="D2604" s="60" t="n">
        <x:v>0.65</x:v>
      </x:c>
      <x:c r="E2604" s="62" t="b">
        <x:v>1</x:v>
      </x:c>
      <x:c r="F2604" s="62" t="b">
        <x:v>0</x:v>
      </x:c>
      <x:c r="G2604" s="85" t="n">
        <x:v>4467821.411435342</x:v>
      </x:c>
      <x:c r="H2604" s="85" t="n">
        <x:v>25408592.154641878</x:v>
      </x:c>
      <x:c r="I2604" s="85" t="n">
        <x:v>56141917.80821921</x:v>
      </x:c>
      <x:c r="J2604" s="85" t="n">
        <x:v>60000000.000000015</x:v>
      </x:c>
      <x:c r="K2604" s="85" t="n">
        <x:v>623293.7152931464</x:v>
      </x:c>
      <x:c r="L2604" s="28" t="n">
        <x:v>44</x:v>
      </x:c>
      <x:c r="M2604" s="28" t="n">
        <x:v>36</x:v>
      </x:c>
      <x:c r="N2604" s="28" t="n">
        <x:v>1.862645149230957e-9</x:v>
      </x:c>
      <x:c r="O2604" s="28" t="n">
        <x:v>2.9802322387695312e-8</x:v>
      </x:c>
      <x:c r="P2604" s="28" t="n">
        <x:v>0</x:v>
      </x:c>
      <x:c r="Q2604" s="62" t="b">
        <x:v>1</x:v>
      </x:c>
      <x:c r="R2604" s="28" t="n">
        <x:v>0</x:v>
      </x:c>
      <x:c r="S2604" s="28" t="str">
        <x:v>ad4dce434b6a9970</x:v>
      </x:c>
    </x:row>
    <x:row r="2605" ht="21" customHeight="1">
      <x:c r="A2605" s="60" t="n">
        <x:v>0.7</x:v>
      </x:c>
      <x:c r="B2605" s="28" t="str">
        <x:v>middle_flat</x:v>
      </x:c>
      <x:c r="C2605" s="60" t="n">
        <x:v>0.7</x:v>
      </x:c>
      <x:c r="D2605" s="60" t="n">
        <x:v>0.7</x:v>
      </x:c>
      <x:c r="E2605" s="62" t="b">
        <x:v>1</x:v>
      </x:c>
      <x:c r="F2605" s="62" t="b">
        <x:v>0</x:v>
      </x:c>
      <x:c r="G2605" s="85" t="n">
        <x:v>6763834.045206036</x:v>
      </x:c>
      <x:c r="H2605" s="85" t="n">
        <x:v>37803990.84752296</x:v>
      </x:c>
      <x:c r="I2605" s="85" t="n">
        <x:v>56141917.80821921</x:v>
      </x:c>
      <x:c r="J2605" s="85" t="n">
        <x:v>60000000.000000015</x:v>
      </x:c>
      <x:c r="K2605" s="85" t="n">
        <x:v>539490.5010849301</x:v>
      </x:c>
      <x:c r="L2605" s="28" t="n">
        <x:v>44</x:v>
      </x:c>
      <x:c r="M2605" s="28" t="n">
        <x:v>38</x:v>
      </x:c>
      <x:c r="N2605" s="28" t="n">
        <x:v>1.862645149230957e-9</x:v>
      </x:c>
      <x:c r="O2605" s="28" t="n">
        <x:v>1.4901161193847656e-8</x:v>
      </x:c>
      <x:c r="P2605" s="28" t="n">
        <x:v>0</x:v>
      </x:c>
      <x:c r="Q2605" s="62" t="b">
        <x:v>1</x:v>
      </x:c>
      <x:c r="R2605" s="28" t="n">
        <x:v>0</x:v>
      </x:c>
      <x:c r="S2605" s="28" t="str">
        <x:v>91833cb3b75c7516</x:v>
      </x:c>
    </x:row>
    <x:row r="2606" ht="21" customHeight="1">
      <x:c r="A2606" s="60" t="n">
        <x:v>0.7</x:v>
      </x:c>
      <x:c r="B2606" s="28" t="str">
        <x:v>middle_flat</x:v>
      </x:c>
      <x:c r="C2606" s="60" t="n">
        <x:v>0.75</x:v>
      </x:c>
      <x:c r="D2606" s="60" t="n">
        <x:v>0.75</x:v>
      </x:c>
      <x:c r="E2606" s="62" t="b">
        <x:v>1</x:v>
      </x:c>
      <x:c r="F2606" s="62" t="b">
        <x:v>0</x:v>
      </x:c>
      <x:c r="G2606" s="85" t="n">
        <x:v>9479769.370855696</x:v>
      </x:c>
      <x:c r="H2606" s="85" t="n">
        <x:v>49800495.33152095</x:v>
      </x:c>
      <x:c r="I2606" s="85" t="n">
        <x:v>56141917.80821921</x:v>
      </x:c>
      <x:c r="J2606" s="85" t="n">
        <x:v>60000000.000000015</x:v>
      </x:c>
      <x:c r="K2606" s="85" t="n">
        <x:v>469338.0099452081</x:v>
      </x:c>
      <x:c r="L2606" s="28" t="n">
        <x:v>44</x:v>
      </x:c>
      <x:c r="M2606" s="28" t="n">
        <x:v>38</x:v>
      </x:c>
      <x:c r="N2606" s="28" t="n">
        <x:v>1.862645149230957e-9</x:v>
      </x:c>
      <x:c r="O2606" s="28" t="n">
        <x:v>2.9802322387695312e-8</x:v>
      </x:c>
      <x:c r="P2606" s="28" t="n">
        <x:v>0</x:v>
      </x:c>
      <x:c r="Q2606" s="62" t="b">
        <x:v>1</x:v>
      </x:c>
      <x:c r="R2606" s="28" t="n">
        <x:v>0</x:v>
      </x:c>
      <x:c r="S2606" s="28" t="str">
        <x:v>1a2053a627e37294</x:v>
      </x:c>
    </x:row>
    <x:row r="2607" ht="21" customHeight="1">
      <x:c r="A2607" s="60" t="n">
        <x:v>0.7</x:v>
      </x:c>
      <x:c r="B2607" s="28" t="str">
        <x:v>middle_flat</x:v>
      </x:c>
      <x:c r="C2607" s="60" t="n">
        <x:v>0.8</x:v>
      </x:c>
      <x:c r="D2607" s="60" t="n">
        <x:v>0.8</x:v>
      </x:c>
      <x:c r="E2607" s="62" t="b">
        <x:v>1</x:v>
      </x:c>
      <x:c r="F2607" s="62" t="b">
        <x:v>0</x:v>
      </x:c>
      <x:c r="G2607" s="85" t="n">
        <x:v>11714200.065570105</x:v>
      </x:c>
      <x:c r="H2607" s="85" t="n">
        <x:v>59952161.465851545</x:v>
      </x:c>
      <x:c r="I2607" s="85" t="n">
        <x:v>57427397.26027401</x:v>
      </x:c>
      <x:c r="J2607" s="85" t="n">
        <x:v>60000000.000000015</x:v>
      </x:c>
      <x:c r="K2607" s="85" t="n">
        <x:v>440890.5635835555</x:v>
      </x:c>
      <x:c r="L2607" s="28" t="n">
        <x:v>45</x:v>
      </x:c>
      <x:c r="M2607" s="28" t="n">
        <x:v>39</x:v>
      </x:c>
      <x:c r="N2607" s="28" t="n">
        <x:v>1.862645149230957e-9</x:v>
      </x:c>
      <x:c r="O2607" s="28" t="n">
        <x:v>1.4901161193847656e-8</x:v>
      </x:c>
      <x:c r="P2607" s="28" t="n">
        <x:v>0</x:v>
      </x:c>
      <x:c r="Q2607" s="62" t="b">
        <x:v>1</x:v>
      </x:c>
      <x:c r="R2607" s="28" t="n">
        <x:v>0</x:v>
      </x:c>
      <x:c r="S2607" s="28" t="str">
        <x:v>1c5af14e32e62484</x:v>
      </x:c>
    </x:row>
    <x:row r="2608" ht="21" customHeight="1">
      <x:c r="A2608" s="60" t="n">
        <x:v>0.7</x:v>
      </x:c>
      <x:c r="B2608" s="28" t="str">
        <x:v>middle_flat</x:v>
      </x:c>
      <x:c r="C2608" s="60" t="n">
        <x:v>0.85</x:v>
      </x:c>
      <x:c r="D2608" s="60" t="n">
        <x:v>0.85</x:v>
      </x:c>
      <x:c r="E2608" s="62" t="b">
        <x:v>1</x:v>
      </x:c>
      <x:c r="F2608" s="62" t="b">
        <x:v>0</x:v>
      </x:c>
      <x:c r="G2608" s="85" t="n">
        <x:v>14598731.797063153</x:v>
      </x:c>
      <x:c r="H2608" s="85" t="n">
        <x:v>71628253.27074866</x:v>
      </x:c>
      <x:c r="I2608" s="85" t="n">
        <x:v>57427397.26027401</x:v>
      </x:c>
      <x:c r="J2608" s="85" t="n">
        <x:v>60000000.000000015</x:v>
      </x:c>
      <x:c r="K2608" s="85" t="n">
        <x:v>415363.1543725999</x:v>
      </x:c>
      <x:c r="L2608" s="28" t="n">
        <x:v>45</x:v>
      </x:c>
      <x:c r="M2608" s="28" t="n">
        <x:v>40</x:v>
      </x:c>
      <x:c r="N2608" s="28" t="n">
        <x:v>1.862645149230957e-9</x:v>
      </x:c>
      <x:c r="O2608" s="28" t="n">
        <x:v>2.9802322387695312e-8</x:v>
      </x:c>
      <x:c r="P2608" s="28" t="n">
        <x:v>0</x:v>
      </x:c>
      <x:c r="Q2608" s="62" t="b">
        <x:v>1</x:v>
      </x:c>
      <x:c r="R2608" s="28" t="n">
        <x:v>0</x:v>
      </x:c>
      <x:c r="S2608" s="28" t="str">
        <x:v>66c448e0f2fbe4be</x:v>
      </x:c>
    </x:row>
    <x:row r="2609" ht="21" customHeight="1">
      <x:c r="A2609" s="60" t="n">
        <x:v>0.7</x:v>
      </x:c>
      <x:c r="B2609" s="28" t="str">
        <x:v>middle_flat</x:v>
      </x:c>
      <x:c r="C2609" s="60" t="n">
        <x:v>0.9</x:v>
      </x:c>
      <x:c r="D2609" s="60" t="n">
        <x:v>0.9</x:v>
      </x:c>
      <x:c r="E2609" s="62" t="b">
        <x:v>1</x:v>
      </x:c>
      <x:c r="F2609" s="62" t="b">
        <x:v>0</x:v>
      </x:c>
      <x:c r="G2609" s="85" t="n">
        <x:v>20628161.324629385</x:v>
      </x:c>
      <x:c r="H2609" s="85" t="n">
        <x:v>81021121.00580105</x:v>
      </x:c>
      <x:c r="I2609" s="85" t="n">
        <x:v>57427397.26027401</x:v>
      </x:c>
      <x:c r="J2609" s="85" t="n">
        <x:v>60000000.000000015</x:v>
      </x:c>
      <x:c r="K2609" s="85" t="n">
        <x:v>389835.7451616451</x:v>
      </x:c>
      <x:c r="L2609" s="28" t="n">
        <x:v>45</x:v>
      </x:c>
      <x:c r="M2609" s="28" t="n">
        <x:v>40</x:v>
      </x:c>
      <x:c r="N2609" s="28" t="n">
        <x:v>1.862645149230957e-9</x:v>
      </x:c>
      <x:c r="O2609" s="28" t="n">
        <x:v>2.9802322387695312e-8</x:v>
      </x:c>
      <x:c r="P2609" s="28" t="n">
        <x:v>0</x:v>
      </x:c>
      <x:c r="Q2609" s="62" t="b">
        <x:v>1</x:v>
      </x:c>
      <x:c r="R2609" s="28" t="n">
        <x:v>0</x:v>
      </x:c>
      <x:c r="S2609" s="28" t="str">
        <x:v>27639fce131f70f5</x:v>
      </x:c>
    </x:row>
    <x:row r="2610" ht="21" customHeight="1">
      <x:c r="A2610" s="60" t="n">
        <x:v>0.7</x:v>
      </x:c>
      <x:c r="B2610" s="28" t="str">
        <x:v>middle_flat</x:v>
      </x:c>
      <x:c r="C2610" s="60" t="n">
        <x:v>0.95</x:v>
      </x:c>
      <x:c r="D2610" s="60" t="n">
        <x:v>0.9361238209331334</x:v>
      </x:c>
      <x:c r="E2610" s="62" t="b">
        <x:v>0</x:v>
      </x:c>
      <x:c r="F2610" s="62" t="b">
        <x:v>0</x:v>
      </x:c>
      <x:c r="G2610" s="85" t="n">
        <x:v>23011512.914725598</x:v>
      </x:c>
      <x:c r="H2610" s="85" t="n">
        <x:v>87125038.52407414</x:v>
      </x:c>
      <x:c r="I2610" s="85" t="n">
        <x:v>57427397.26027401</x:v>
      </x:c>
      <x:c r="J2610" s="85" t="n">
        <x:v>60000000.000000015</x:v>
      </x:c>
      <x:c r="K2610" s="85" t="n">
        <x:v>364308.33595068485</x:v>
      </x:c>
      <x:c r="L2610" s="28" t="n">
        <x:v>45</x:v>
      </x:c>
      <x:c r="M2610" s="28" t="n">
        <x:v>40</x:v>
      </x:c>
      <x:c r="N2610" s="28" t="n">
        <x:v>1.862645149230957e-9</x:v>
      </x:c>
      <x:c r="O2610" s="28" t="n">
        <x:v>1.4901161193847656e-8</x:v>
      </x:c>
      <x:c r="P2610" s="28" t="n">
        <x:v>0</x:v>
      </x:c>
      <x:c r="Q2610" s="62" t="b">
        <x:v>1</x:v>
      </x:c>
      <x:c r="R2610" s="28" t="n">
        <x:v>4162853.720059991</x:v>
      </x:c>
      <x:c r="S2610" s="28" t="str">
        <x:v>d10823c7c9b1de80</x:v>
      </x:c>
    </x:row>
    <x:row r="2611" ht="21" customHeight="1">
      <x:c r="A2611" s="60" t="n">
        <x:v>0.7</x:v>
      </x:c>
      <x:c r="B2611" s="28" t="str">
        <x:v>middle_flat</x:v>
      </x:c>
      <x:c r="C2611" s="60" t="n">
        <x:v>1</x:v>
      </x:c>
      <x:c r="D2611" s="60" t="n">
        <x:v>0.9498342654879072</x:v>
      </x:c>
      <x:c r="E2611" s="62" t="b">
        <x:v>0</x:v>
      </x:c>
      <x:c r="F2611" s="62" t="b">
        <x:v>0</x:v>
      </x:c>
      <x:c r="G2611" s="85" t="n">
        <x:v>24837798.70631939</x:v>
      </x:c>
      <x:c r="H2611" s="85" t="n">
        <x:v>90250035.11932646</x:v>
      </x:c>
      <x:c r="I2611" s="85" t="n">
        <x:v>57443535.7641644</x:v>
      </x:c>
      <x:c r="J2611" s="85" t="n">
        <x:v>60000000.000000015</x:v>
      </x:c>
      <x:c r="K2611" s="85" t="n">
        <x:v>338780.926739731</x:v>
      </x:c>
      <x:c r="L2611" s="28" t="n">
        <x:v>45</x:v>
      </x:c>
      <x:c r="M2611" s="28" t="n">
        <x:v>41</x:v>
      </x:c>
      <x:c r="N2611" s="28" t="n">
        <x:v>1.862645149230957e-9</x:v>
      </x:c>
      <x:c r="O2611" s="28" t="n">
        <x:v>1.4901161193847656e-8</x:v>
      </x:c>
      <x:c r="P2611" s="28" t="n">
        <x:v>0</x:v>
      </x:c>
      <x:c r="Q2611" s="62" t="b">
        <x:v>1</x:v>
      </x:c>
      <x:c r="R2611" s="28" t="n">
        <x:v>15049720.35362786</x:v>
      </x:c>
      <x:c r="S2611" s="28" t="str">
        <x:v>9f4c098cf0f9c7fb</x:v>
      </x:c>
    </x:row>
    <x:row r="2612" ht="21" customHeight="1">
      <x:c r="A2612" s="60" t="n">
        <x:v>0.7</x:v>
      </x:c>
      <x:c r="B2612" s="28" t="str">
        <x:v>middle_low</x:v>
      </x:c>
      <x:c r="C2612" s="60" t="n">
        <x:v>0</x:v>
      </x:c>
      <x:c r="D2612" s="60" t="n">
        <x:v>0</x:v>
      </x:c>
      <x:c r="E2612" s="62" t="b">
        <x:v>1</x:v>
      </x:c>
      <x:c r="F2612" s="62" t="b">
        <x:v>1</x:v>
      </x:c>
      <x:c r="G2612" s="85" t="n">
        <x:v>0</x:v>
      </x:c>
      <x:c r="H2612" s="85" t="n">
        <x:v>0</x:v>
      </x:c>
      <x:c r="I2612" s="85" t="n">
        <x:v>0</x:v>
      </x:c>
      <x:c r="J2612" s="85" t="n">
        <x:v>0</x:v>
      </x:c>
      <x:c r="K2612" s="85" t="n">
        <x:v>33173537.98424654</x:v>
      </x:c>
      <x:c r="L2612" s="28" t="n">
        <x:v>0</x:v>
      </x:c>
      <x:c r="M2612" s="28" t="n">
        <x:v>0</x:v>
      </x:c>
      <x:c r="N2612" s="28" t="n">
        <x:v>3.725290298461914e-9</x:v>
      </x:c>
      <x:c r="O2612" s="28" t="n">
        <x:v>0</x:v>
      </x:c>
      <x:c r="P2612" s="28" t="n">
        <x:v>0</x:v>
      </x:c>
      <x:c r="Q2612" s="62" t="b">
        <x:v>1</x:v>
      </x:c>
      <x:c r="R2612" s="28" t="n">
        <x:v>0</x:v>
      </x:c>
      <x:c r="S2612" s="28" t="str">
        <x:v>c90e62642e49eb8e</x:v>
      </x:c>
    </x:row>
    <x:row r="2613" ht="21" customHeight="1">
      <x:c r="A2613" s="60" t="n">
        <x:v>0.7</x:v>
      </x:c>
      <x:c r="B2613" s="28" t="str">
        <x:v>middle_low</x:v>
      </x:c>
      <x:c r="C2613" s="60" t="n">
        <x:v>0.05</x:v>
      </x:c>
      <x:c r="D2613" s="60" t="n">
        <x:v>0.05</x:v>
      </x:c>
      <x:c r="E2613" s="62" t="b">
        <x:v>1</x:v>
      </x:c>
      <x:c r="F2613" s="62" t="b">
        <x:v>1</x:v>
      </x:c>
      <x:c r="G2613" s="85" t="n">
        <x:v>0</x:v>
      </x:c>
      <x:c r="H2613" s="85" t="n">
        <x:v>0</x:v>
      </x:c>
      <x:c r="I2613" s="85" t="n">
        <x:v>0</x:v>
      </x:c>
      <x:c r="J2613" s="85" t="n">
        <x:v>0</x:v>
      </x:c>
      <x:c r="K2613" s="85" t="n">
        <x:v>22444816.37895421</x:v>
      </x:c>
      <x:c r="L2613" s="28" t="n">
        <x:v>0</x:v>
      </x:c>
      <x:c r="M2613" s="28" t="n">
        <x:v>0</x:v>
      </x:c>
      <x:c r="N2613" s="28" t="n">
        <x:v>3.725290298461914e-9</x:v>
      </x:c>
      <x:c r="O2613" s="28" t="n">
        <x:v>2.9802322387695312e-8</x:v>
      </x:c>
      <x:c r="P2613" s="28" t="n">
        <x:v>0</x:v>
      </x:c>
      <x:c r="Q2613" s="62" t="b">
        <x:v>1</x:v>
      </x:c>
      <x:c r="R2613" s="28" t="n">
        <x:v>0</x:v>
      </x:c>
      <x:c r="S2613" s="28" t="str">
        <x:v>2f07d2255861f2ea</x:v>
      </x:c>
    </x:row>
    <x:row r="2614" ht="21" customHeight="1">
      <x:c r="A2614" s="60" t="n">
        <x:v>0.7</x:v>
      </x:c>
      <x:c r="B2614" s="28" t="str">
        <x:v>middle_low</x:v>
      </x:c>
      <x:c r="C2614" s="60" t="n">
        <x:v>0.1</x:v>
      </x:c>
      <x:c r="D2614" s="60" t="n">
        <x:v>0.1</x:v>
      </x:c>
      <x:c r="E2614" s="62" t="b">
        <x:v>1</x:v>
      </x:c>
      <x:c r="F2614" s="62" t="b">
        <x:v>1</x:v>
      </x:c>
      <x:c r="G2614" s="85" t="n">
        <x:v>0</x:v>
      </x:c>
      <x:c r="H2614" s="85" t="n">
        <x:v>0</x:v>
      </x:c>
      <x:c r="I2614" s="85" t="n">
        <x:v>0</x:v>
      </x:c>
      <x:c r="J2614" s="85" t="n">
        <x:v>0</x:v>
      </x:c>
      <x:c r="K2614" s="85" t="n">
        <x:v>11632209.978225788</x:v>
      </x:c>
      <x:c r="L2614" s="28" t="n">
        <x:v>0</x:v>
      </x:c>
      <x:c r="M2614" s="28" t="n">
        <x:v>0</x:v>
      </x:c>
      <x:c r="N2614" s="28" t="n">
        <x:v>1.862645149230957e-9</x:v>
      </x:c>
      <x:c r="O2614" s="28" t="n">
        <x:v>5.960464477539063e-8</x:v>
      </x:c>
      <x:c r="P2614" s="28" t="n">
        <x:v>0</x:v>
      </x:c>
      <x:c r="Q2614" s="62" t="b">
        <x:v>1</x:v>
      </x:c>
      <x:c r="R2614" s="28" t="n">
        <x:v>0</x:v>
      </x:c>
      <x:c r="S2614" s="28" t="str">
        <x:v>2607c3ba714f4f18</x:v>
      </x:c>
    </x:row>
    <x:row r="2615" ht="21" customHeight="1">
      <x:c r="A2615" s="60" t="n">
        <x:v>0.7</x:v>
      </x:c>
      <x:c r="B2615" s="28" t="str">
        <x:v>middle_low</x:v>
      </x:c>
      <x:c r="C2615" s="60" t="n">
        <x:v>0.15</x:v>
      </x:c>
      <x:c r="D2615" s="60" t="n">
        <x:v>0.15</x:v>
      </x:c>
      <x:c r="E2615" s="62" t="b">
        <x:v>1</x:v>
      </x:c>
      <x:c r="F2615" s="62" t="b">
        <x:v>1</x:v>
      </x:c>
      <x:c r="G2615" s="85" t="n">
        <x:v>0</x:v>
      </x:c>
      <x:c r="H2615" s="85" t="n">
        <x:v>0</x:v>
      </x:c>
      <x:c r="I2615" s="85" t="n">
        <x:v>592809.6027248623</x:v>
      </x:c>
      <x:c r="J2615" s="85" t="n">
        <x:v>0</x:v>
      </x:c>
      <x:c r="K2615" s="85" t="n">
        <x:v>2007592.381164277</x:v>
      </x:c>
      <x:c r="L2615" s="28" t="n">
        <x:v>0</x:v>
      </x:c>
      <x:c r="M2615" s="28" t="n">
        <x:v>0</x:v>
      </x:c>
      <x:c r="N2615" s="28" t="n">
        <x:v>1.862645149230957e-9</x:v>
      </x:c>
      <x:c r="O2615" s="28" t="n">
        <x:v>2.9802322387695312e-8</x:v>
      </x:c>
      <x:c r="P2615" s="28" t="n">
        <x:v>0</x:v>
      </x:c>
      <x:c r="Q2615" s="62" t="b">
        <x:v>1</x:v>
      </x:c>
      <x:c r="R2615" s="28" t="n">
        <x:v>0</x:v>
      </x:c>
      <x:c r="S2615" s="28" t="str">
        <x:v>41c7d6932eed5aee</x:v>
      </x:c>
    </x:row>
    <x:row r="2616" ht="21" customHeight="1">
      <x:c r="A2616" s="60" t="n">
        <x:v>0.7</x:v>
      </x:c>
      <x:c r="B2616" s="28" t="str">
        <x:v>middle_low</x:v>
      </x:c>
      <x:c r="C2616" s="60" t="n">
        <x:v>0.2</x:v>
      </x:c>
      <x:c r="D2616" s="60" t="n">
        <x:v>0.2</x:v>
      </x:c>
      <x:c r="E2616" s="62" t="b">
        <x:v>1</x:v>
      </x:c>
      <x:c r="F2616" s="62" t="b">
        <x:v>1</x:v>
      </x:c>
      <x:c r="G2616" s="85" t="n">
        <x:v>0</x:v>
      </x:c>
      <x:c r="H2616" s="85" t="n">
        <x:v>0</x:v>
      </x:c>
      <x:c r="I2616" s="85" t="n">
        <x:v>6572012.844305716</x:v>
      </x:c>
      <x:c r="J2616" s="85" t="n">
        <x:v>6318282.052720878</x:v>
      </x:c>
      <x:c r="K2616" s="85" t="n">
        <x:v>1630994.3056885228</x:v>
      </x:c>
      <x:c r="L2616" s="28" t="n">
        <x:v>0</x:v>
      </x:c>
      <x:c r="M2616" s="28" t="n">
        <x:v>0</x:v>
      </x:c>
      <x:c r="N2616" s="28" t="n">
        <x:v>1.862645149230957e-9</x:v>
      </x:c>
      <x:c r="O2616" s="28" t="n">
        <x:v>2.9802322387695312e-8</x:v>
      </x:c>
      <x:c r="P2616" s="28" t="n">
        <x:v>0</x:v>
      </x:c>
      <x:c r="Q2616" s="62" t="b">
        <x:v>1</x:v>
      </x:c>
      <x:c r="R2616" s="28" t="n">
        <x:v>0</x:v>
      </x:c>
      <x:c r="S2616" s="28" t="str">
        <x:v>b09855adcba314f0</x:v>
      </x:c>
    </x:row>
    <x:row r="2617" ht="21" customHeight="1">
      <x:c r="A2617" s="60" t="n">
        <x:v>0.7</x:v>
      </x:c>
      <x:c r="B2617" s="28" t="str">
        <x:v>middle_low</x:v>
      </x:c>
      <x:c r="C2617" s="60" t="n">
        <x:v>0.25</x:v>
      </x:c>
      <x:c r="D2617" s="60" t="n">
        <x:v>0.25</x:v>
      </x:c>
      <x:c r="E2617" s="62" t="b">
        <x:v>1</x:v>
      </x:c>
      <x:c r="F2617" s="62" t="b">
        <x:v>1</x:v>
      </x:c>
      <x:c r="G2617" s="85" t="n">
        <x:v>0</x:v>
      </x:c>
      <x:c r="H2617" s="85" t="n">
        <x:v>0</x:v>
      </x:c>
      <x:c r="I2617" s="85" t="n">
        <x:v>10479670.333649553</x:v>
      </x:c>
      <x:c r="J2617" s="85" t="n">
        <x:v>15397852.56590104</x:v>
      </x:c>
      <x:c r="K2617" s="85" t="n">
        <x:v>1357515.171836678</x:v>
      </x:c>
      <x:c r="L2617" s="28" t="n">
        <x:v>0</x:v>
      </x:c>
      <x:c r="M2617" s="28" t="n">
        <x:v>0</x:v>
      </x:c>
      <x:c r="N2617" s="28" t="n">
        <x:v>9.313225746154785e-10</x:v>
      </x:c>
      <x:c r="O2617" s="28" t="n">
        <x:v>2.9802322387695312e-8</x:v>
      </x:c>
      <x:c r="P2617" s="28" t="n">
        <x:v>0</x:v>
      </x:c>
      <x:c r="Q2617" s="62" t="b">
        <x:v>1</x:v>
      </x:c>
      <x:c r="R2617" s="28" t="n">
        <x:v>0</x:v>
      </x:c>
      <x:c r="S2617" s="28" t="str">
        <x:v>c451b7c06eebd53e</x:v>
      </x:c>
    </x:row>
    <x:row r="2618" ht="21" customHeight="1">
      <x:c r="A2618" s="60" t="n">
        <x:v>0.7</x:v>
      </x:c>
      <x:c r="B2618" s="28" t="str">
        <x:v>middle_low</x:v>
      </x:c>
      <x:c r="C2618" s="60" t="n">
        <x:v>0.3</x:v>
      </x:c>
      <x:c r="D2618" s="60" t="n">
        <x:v>0.3</x:v>
      </x:c>
      <x:c r="E2618" s="62" t="b">
        <x:v>1</x:v>
      </x:c>
      <x:c r="F2618" s="62" t="b">
        <x:v>1</x:v>
      </x:c>
      <x:c r="G2618" s="85" t="n">
        <x:v>0</x:v>
      </x:c>
      <x:c r="H2618" s="85" t="n">
        <x:v>0</x:v>
      </x:c>
      <x:c r="I2618" s="85" t="n">
        <x:v>16342578.951154038</x:v>
      </x:c>
      <x:c r="J2618" s="85" t="n">
        <x:v>21350096.152171478</x:v>
      </x:c>
      <x:c r="K2618" s="85" t="n">
        <x:v>1155304.1839446884</x:v>
      </x:c>
      <x:c r="L2618" s="28" t="n">
        <x:v>4</x:v>
      </x:c>
      <x:c r="M2618" s="28" t="n">
        <x:v>0</x:v>
      </x:c>
      <x:c r="N2618" s="28" t="n">
        <x:v>1.862645149230957e-9</x:v>
      </x:c>
      <x:c r="O2618" s="28" t="n">
        <x:v>2.9802322387695312e-8</x:v>
      </x:c>
      <x:c r="P2618" s="28" t="n">
        <x:v>0</x:v>
      </x:c>
      <x:c r="Q2618" s="62" t="b">
        <x:v>1</x:v>
      </x:c>
      <x:c r="R2618" s="28" t="n">
        <x:v>0</x:v>
      </x:c>
      <x:c r="S2618" s="28" t="str">
        <x:v>8f0ec8ac458f760b</x:v>
      </x:c>
    </x:row>
    <x:row r="2619" ht="21" customHeight="1">
      <x:c r="A2619" s="60" t="n">
        <x:v>0.7</x:v>
      </x:c>
      <x:c r="B2619" s="28" t="str">
        <x:v>middle_low</x:v>
      </x:c>
      <x:c r="C2619" s="60" t="n">
        <x:v>0.35</x:v>
      </x:c>
      <x:c r="D2619" s="60" t="n">
        <x:v>0.35</x:v>
      </x:c>
      <x:c r="E2619" s="62" t="b">
        <x:v>1</x:v>
      </x:c>
      <x:c r="F2619" s="62" t="b">
        <x:v>1</x:v>
      </x:c>
      <x:c r="G2619" s="85" t="n">
        <x:v>0</x:v>
      </x:c>
      <x:c r="H2619" s="85" t="n">
        <x:v>0</x:v>
      </x:c>
      <x:c r="I2619" s="85" t="n">
        <x:v>22267368.859135047</x:v>
      </x:c>
      <x:c r="J2619" s="85" t="n">
        <x:v>27258218.457134023</x:v>
      </x:c>
      <x:c r="K2619" s="85" t="n">
        <x:v>977973.7212231362</x:v>
      </x:c>
      <x:c r="L2619" s="28" t="n">
        <x:v>9</x:v>
      </x:c>
      <x:c r="M2619" s="28" t="n">
        <x:v>0</x:v>
      </x:c>
      <x:c r="N2619" s="28" t="n">
        <x:v>3.725290298461914e-9</x:v>
      </x:c>
      <x:c r="O2619" s="28" t="n">
        <x:v>2.9802322387695312e-8</x:v>
      </x:c>
      <x:c r="P2619" s="28" t="n">
        <x:v>0</x:v>
      </x:c>
      <x:c r="Q2619" s="62" t="b">
        <x:v>1</x:v>
      </x:c>
      <x:c r="R2619" s="28" t="n">
        <x:v>0</x:v>
      </x:c>
      <x:c r="S2619" s="28" t="str">
        <x:v>b8d3913998909c01</x:v>
      </x:c>
    </x:row>
    <x:row r="2620" ht="21" customHeight="1">
      <x:c r="A2620" s="60" t="n">
        <x:v>0.7</x:v>
      </x:c>
      <x:c r="B2620" s="28" t="str">
        <x:v>middle_low</x:v>
      </x:c>
      <x:c r="C2620" s="60" t="n">
        <x:v>0.4</x:v>
      </x:c>
      <x:c r="D2620" s="60" t="n">
        <x:v>0.4</x:v>
      </x:c>
      <x:c r="E2620" s="62" t="b">
        <x:v>1</x:v>
      </x:c>
      <x:c r="F2620" s="62" t="b">
        <x:v>1</x:v>
      </x:c>
      <x:c r="G2620" s="85" t="n">
        <x:v>0</x:v>
      </x:c>
      <x:c r="H2620" s="85" t="n">
        <x:v>0</x:v>
      </x:c>
      <x:c r="I2620" s="85" t="n">
        <x:v>27455691.564219456</x:v>
      </x:c>
      <x:c r="J2620" s="85" t="n">
        <x:v>34307107.766098075</x:v>
      </x:c>
      <x:c r="K2620" s="85" t="n">
        <x:v>848823.670247341</x:v>
      </x:c>
      <x:c r="L2620" s="28" t="n">
        <x:v>13</x:v>
      </x:c>
      <x:c r="M2620" s="28" t="n">
        <x:v>0</x:v>
      </x:c>
      <x:c r="N2620" s="28" t="n">
        <x:v>1.862645149230957e-9</x:v>
      </x:c>
      <x:c r="O2620" s="28" t="n">
        <x:v>2.9802322387695312e-8</x:v>
      </x:c>
      <x:c r="P2620" s="28" t="n">
        <x:v>0</x:v>
      </x:c>
      <x:c r="Q2620" s="62" t="b">
        <x:v>1</x:v>
      </x:c>
      <x:c r="R2620" s="28" t="n">
        <x:v>0</x:v>
      </x:c>
      <x:c r="S2620" s="28" t="str">
        <x:v>736383389a5e546c</x:v>
      </x:c>
    </x:row>
    <x:row r="2621" ht="21" customHeight="1">
      <x:c r="A2621" s="60" t="n">
        <x:v>0.7</x:v>
      </x:c>
      <x:c r="B2621" s="28" t="str">
        <x:v>middle_low</x:v>
      </x:c>
      <x:c r="C2621" s="60" t="n">
        <x:v>0.45</x:v>
      </x:c>
      <x:c r="D2621" s="60" t="n">
        <x:v>0.45</x:v>
      </x:c>
      <x:c r="E2621" s="62" t="b">
        <x:v>1</x:v>
      </x:c>
      <x:c r="F2621" s="62" t="b">
        <x:v>1</x:v>
      </x:c>
      <x:c r="G2621" s="85" t="n">
        <x:v>0</x:v>
      </x:c>
      <x:c r="H2621" s="85" t="n">
        <x:v>0</x:v>
      </x:c>
      <x:c r="I2621" s="85" t="n">
        <x:v>31301627.444230378</x:v>
      </x:c>
      <x:c r="J2621" s="85" t="n">
        <x:v>43749744.80249595</x:v>
      </x:c>
      <x:c r="K2621" s="85" t="n">
        <x:v>747342.8452953758</x:v>
      </x:c>
      <x:c r="L2621" s="28" t="n">
        <x:v>15</x:v>
      </x:c>
      <x:c r="M2621" s="28" t="n">
        <x:v>0</x:v>
      </x:c>
      <x:c r="N2621" s="28" t="n">
        <x:v>1.862645149230957e-9</x:v>
      </x:c>
      <x:c r="O2621" s="28" t="n">
        <x:v>2.9802322387695312e-8</x:v>
      </x:c>
      <x:c r="P2621" s="28" t="n">
        <x:v>0</x:v>
      </x:c>
      <x:c r="Q2621" s="62" t="b">
        <x:v>1</x:v>
      </x:c>
      <x:c r="R2621" s="28" t="n">
        <x:v>0</x:v>
      </x:c>
      <x:c r="S2621" s="28" t="str">
        <x:v>be2fc6b56a3eae55</x:v>
      </x:c>
    </x:row>
    <x:row r="2622" ht="21" customHeight="1">
      <x:c r="A2622" s="60" t="n">
        <x:v>0.7</x:v>
      </x:c>
      <x:c r="B2622" s="28" t="str">
        <x:v>middle_low</x:v>
      </x:c>
      <x:c r="C2622" s="60" t="n">
        <x:v>0.5</x:v>
      </x:c>
      <x:c r="D2622" s="60" t="n">
        <x:v>0.5</x:v>
      </x:c>
      <x:c r="E2622" s="62" t="b">
        <x:v>1</x:v>
      </x:c>
      <x:c r="F2622" s="62" t="b">
        <x:v>1</x:v>
      </x:c>
      <x:c r="G2622" s="85" t="n">
        <x:v>0</x:v>
      </x:c>
      <x:c r="H2622" s="85" t="n">
        <x:v>0</x:v>
      </x:c>
      <x:c r="I2622" s="85" t="n">
        <x:v>35433927.84801832</x:v>
      </x:c>
      <x:c r="J2622" s="85" t="n">
        <x:v>52617007.743103735</x:v>
      </x:c>
      <x:c r="K2622" s="85" t="n">
        <x:v>645862.0203434228</x:v>
      </x:c>
      <x:c r="L2622" s="28" t="n">
        <x:v>18</x:v>
      </x:c>
      <x:c r="M2622" s="28" t="n">
        <x:v>0</x:v>
      </x:c>
      <x:c r="N2622" s="28" t="n">
        <x:v>1.862645149230957e-9</x:v>
      </x:c>
      <x:c r="O2622" s="28" t="n">
        <x:v>1.4901161193847656e-8</x:v>
      </x:c>
      <x:c r="P2622" s="28" t="n">
        <x:v>0</x:v>
      </x:c>
      <x:c r="Q2622" s="62" t="b">
        <x:v>1</x:v>
      </x:c>
      <x:c r="R2622" s="28" t="n">
        <x:v>0</x:v>
      </x:c>
      <x:c r="S2622" s="28" t="str">
        <x:v>bd92feba1d3a08c6</x:v>
      </x:c>
    </x:row>
    <x:row r="2623" ht="21" customHeight="1">
      <x:c r="A2623" s="60" t="n">
        <x:v>0.7</x:v>
      </x:c>
      <x:c r="B2623" s="28" t="str">
        <x:v>middle_low</x:v>
      </x:c>
      <x:c r="C2623" s="60" t="n">
        <x:v>0.55</x:v>
      </x:c>
      <x:c r="D2623" s="60" t="n">
        <x:v>0.55</x:v>
      </x:c>
      <x:c r="E2623" s="62" t="b">
        <x:v>1</x:v>
      </x:c>
      <x:c r="F2623" s="62" t="b">
        <x:v>0</x:v>
      </x:c>
      <x:c r="G2623" s="85" t="n">
        <x:v>113479.42945818204</x:v>
      </x:c>
      <x:c r="H2623" s="85" t="n">
        <x:v>1683322.5400734132</x:v>
      </x:c>
      <x:c r="I2623" s="85" t="n">
        <x:v>38732054.79452057</x:v>
      </x:c>
      <x:c r="J2623" s="85" t="n">
        <x:v>60000000.000000015</x:v>
      </x:c>
      <x:c r="K2623" s="85" t="n">
        <x:v>592345.2141753411</x:v>
      </x:c>
      <x:c r="L2623" s="28" t="n">
        <x:v>43</x:v>
      </x:c>
      <x:c r="M2623" s="28" t="n">
        <x:v>20</x:v>
      </x:c>
      <x:c r="N2623" s="28" t="n">
        <x:v>1.862645149230957e-9</x:v>
      </x:c>
      <x:c r="O2623" s="28" t="n">
        <x:v>2.9802322387695312e-8</x:v>
      </x:c>
      <x:c r="P2623" s="28" t="n">
        <x:v>0</x:v>
      </x:c>
      <x:c r="Q2623" s="62" t="b">
        <x:v>1</x:v>
      </x:c>
      <x:c r="R2623" s="28" t="n">
        <x:v>0</x:v>
      </x:c>
      <x:c r="S2623" s="28" t="str">
        <x:v>eaa6dcd13874e07a</x:v>
      </x:c>
    </x:row>
    <x:row r="2624" ht="21" customHeight="1">
      <x:c r="A2624" s="60" t="n">
        <x:v>0.7</x:v>
      </x:c>
      <x:c r="B2624" s="28" t="str">
        <x:v>middle_low</x:v>
      </x:c>
      <x:c r="C2624" s="60" t="n">
        <x:v>0.6</x:v>
      </x:c>
      <x:c r="D2624" s="60" t="n">
        <x:v>0.6</x:v>
      </x:c>
      <x:c r="E2624" s="62" t="b">
        <x:v>1</x:v>
      </x:c>
      <x:c r="F2624" s="62" t="b">
        <x:v>0</x:v>
      </x:c>
      <x:c r="G2624" s="85" t="n">
        <x:v>838556.5352832952</x:v>
      </x:c>
      <x:c r="H2624" s="85" t="n">
        <x:v>12623739.10551322</x:v>
      </x:c>
      <x:c r="I2624" s="85" t="n">
        <x:v>38732054.79452057</x:v>
      </x:c>
      <x:c r="J2624" s="85" t="n">
        <x:v>60000000.000000015</x:v>
      </x:c>
      <x:c r="K2624" s="85" t="n">
        <x:v>545456.0972821903</x:v>
      </x:c>
      <x:c r="L2624" s="28" t="n">
        <x:v>43</x:v>
      </x:c>
      <x:c r="M2624" s="28" t="n">
        <x:v>30</x:v>
      </x:c>
      <x:c r="N2624" s="28" t="n">
        <x:v>1.862645149230957e-9</x:v>
      </x:c>
      <x:c r="O2624" s="28" t="n">
        <x:v>2.9802322387695312e-8</x:v>
      </x:c>
      <x:c r="P2624" s="28" t="n">
        <x:v>0</x:v>
      </x:c>
      <x:c r="Q2624" s="62" t="b">
        <x:v>1</x:v>
      </x:c>
      <x:c r="R2624" s="28" t="n">
        <x:v>0</x:v>
      </x:c>
      <x:c r="S2624" s="28" t="str">
        <x:v>068f8400da91c369</x:v>
      </x:c>
    </x:row>
    <x:row r="2625" ht="21" customHeight="1">
      <x:c r="A2625" s="60" t="n">
        <x:v>0.7</x:v>
      </x:c>
      <x:c r="B2625" s="28" t="str">
        <x:v>middle_low</x:v>
      </x:c>
      <x:c r="C2625" s="60" t="n">
        <x:v>0.65</x:v>
      </x:c>
      <x:c r="D2625" s="60" t="n">
        <x:v>0.65</x:v>
      </x:c>
      <x:c r="E2625" s="62" t="b">
        <x:v>1</x:v>
      </x:c>
      <x:c r="F2625" s="62" t="b">
        <x:v>0</x:v>
      </x:c>
      <x:c r="G2625" s="85" t="n">
        <x:v>1494210.1638476918</x:v>
      </x:c>
      <x:c r="H2625" s="85" t="n">
        <x:v>22517007.703456707</x:v>
      </x:c>
      <x:c r="I2625" s="85" t="n">
        <x:v>39629589.04109591</x:v>
      </x:c>
      <x:c r="J2625" s="85" t="n">
        <x:v>60000000.000000015</x:v>
      </x:c>
      <x:c r="K2625" s="85" t="n">
        <x:v>498566.98038904136</x:v>
      </x:c>
      <x:c r="L2625" s="28" t="n">
        <x:v>44</x:v>
      </x:c>
      <x:c r="M2625" s="28" t="n">
        <x:v>32</x:v>
      </x:c>
      <x:c r="N2625" s="28" t="n">
        <x:v>1.862645149230957e-9</x:v>
      </x:c>
      <x:c r="O2625" s="28" t="n">
        <x:v>2.9802322387695312e-8</x:v>
      </x:c>
      <x:c r="P2625" s="28" t="n">
        <x:v>0</x:v>
      </x:c>
      <x:c r="Q2625" s="62" t="b">
        <x:v>1</x:v>
      </x:c>
      <x:c r="R2625" s="28" t="n">
        <x:v>0</x:v>
      </x:c>
      <x:c r="S2625" s="28" t="str">
        <x:v>d7b66630666b5102</x:v>
      </x:c>
    </x:row>
    <x:row r="2626" ht="21" customHeight="1">
      <x:c r="A2626" s="60" t="n">
        <x:v>0.7</x:v>
      </x:c>
      <x:c r="B2626" s="28" t="str">
        <x:v>middle_low</x:v>
      </x:c>
      <x:c r="C2626" s="60" t="n">
        <x:v>0.7</x:v>
      </x:c>
      <x:c r="D2626" s="60" t="n">
        <x:v>0.7</x:v>
      </x:c>
      <x:c r="E2626" s="62" t="b">
        <x:v>1</x:v>
      </x:c>
      <x:c r="F2626" s="62" t="b">
        <x:v>0</x:v>
      </x:c>
      <x:c r="G2626" s="85" t="n">
        <x:v>2503224.9870235315</x:v>
      </x:c>
      <x:c r="H2626" s="85" t="n">
        <x:v>33310864.5965545</x:v>
      </x:c>
      <x:c r="I2626" s="85" t="n">
        <x:v>39629589.04109591</x:v>
      </x:c>
      <x:c r="J2626" s="85" t="n">
        <x:v>60000000.000000015</x:v>
      </x:c>
      <x:c r="K2626" s="85" t="n">
        <x:v>451677.86349588935</x:v>
      </x:c>
      <x:c r="L2626" s="28" t="n">
        <x:v>44</x:v>
      </x:c>
      <x:c r="M2626" s="28" t="n">
        <x:v>34</x:v>
      </x:c>
      <x:c r="N2626" s="28" t="n">
        <x:v>1.862645149230957e-9</x:v>
      </x:c>
      <x:c r="O2626" s="28" t="n">
        <x:v>1.4901161193847656e-8</x:v>
      </x:c>
      <x:c r="P2626" s="28" t="n">
        <x:v>0</x:v>
      </x:c>
      <x:c r="Q2626" s="62" t="b">
        <x:v>1</x:v>
      </x:c>
      <x:c r="R2626" s="28" t="n">
        <x:v>0</x:v>
      </x:c>
      <x:c r="S2626" s="28" t="str">
        <x:v>887dbe249e59254a</x:v>
      </x:c>
    </x:row>
    <x:row r="2627" ht="21" customHeight="1">
      <x:c r="A2627" s="60" t="n">
        <x:v>0.7</x:v>
      </x:c>
      <x:c r="B2627" s="28" t="str">
        <x:v>middle_low</x:v>
      </x:c>
      <x:c r="C2627" s="60" t="n">
        <x:v>0.75</x:v>
      </x:c>
      <x:c r="D2627" s="60" t="n">
        <x:v>0.75</x:v>
      </x:c>
      <x:c r="E2627" s="62" t="b">
        <x:v>1</x:v>
      </x:c>
      <x:c r="F2627" s="62" t="b">
        <x:v>0</x:v>
      </x:c>
      <x:c r="G2627" s="85" t="n">
        <x:v>3342098.9976464445</x:v>
      </x:c>
      <x:c r="H2627" s="85" t="n">
        <x:v>43976928.863102905</x:v>
      </x:c>
      <x:c r="I2627" s="85" t="n">
        <x:v>39629589.04109591</x:v>
      </x:c>
      <x:c r="J2627" s="85" t="n">
        <x:v>60000000.000000015</x:v>
      </x:c>
      <x:c r="K2627" s="85" t="n">
        <x:v>404788.74660274363</x:v>
      </x:c>
      <x:c r="L2627" s="28" t="n">
        <x:v>44</x:v>
      </x:c>
      <x:c r="M2627" s="28" t="n">
        <x:v>34</x:v>
      </x:c>
      <x:c r="N2627" s="28" t="n">
        <x:v>1.862645149230957e-9</x:v>
      </x:c>
      <x:c r="O2627" s="28" t="n">
        <x:v>2.9802322387695312e-8</x:v>
      </x:c>
      <x:c r="P2627" s="28" t="n">
        <x:v>0</x:v>
      </x:c>
      <x:c r="Q2627" s="62" t="b">
        <x:v>1</x:v>
      </x:c>
      <x:c r="R2627" s="28" t="n">
        <x:v>0</x:v>
      </x:c>
      <x:c r="S2627" s="28" t="str">
        <x:v>47214732f87f6186</x:v>
      </x:c>
    </x:row>
    <x:row r="2628" ht="21" customHeight="1">
      <x:c r="A2628" s="60" t="n">
        <x:v>0.7</x:v>
      </x:c>
      <x:c r="B2628" s="28" t="str">
        <x:v>middle_low</x:v>
      </x:c>
      <x:c r="C2628" s="60" t="n">
        <x:v>0.8</x:v>
      </x:c>
      <x:c r="D2628" s="60" t="n">
        <x:v>0.8</x:v>
      </x:c>
      <x:c r="E2628" s="62" t="b">
        <x:v>1</x:v>
      </x:c>
      <x:c r="F2628" s="62" t="b">
        <x:v>0</x:v>
      </x:c>
      <x:c r="G2628" s="85" t="n">
        <x:v>4156931.25594504</x:v>
      </x:c>
      <x:c r="H2628" s="85" t="n">
        <x:v>53438811.866816156</x:v>
      </x:c>
      <x:c r="I2628" s="85" t="n">
        <x:v>40536986.30136988</x:v>
      </x:c>
      <x:c r="J2628" s="85" t="n">
        <x:v>60000000.000000015</x:v>
      </x:c>
      <x:c r="K2628" s="85" t="n">
        <x:v>320257.2787178075</x:v>
      </x:c>
      <x:c r="L2628" s="28" t="n">
        <x:v>45</x:v>
      </x:c>
      <x:c r="M2628" s="28" t="n">
        <x:v>36</x:v>
      </x:c>
      <x:c r="N2628" s="28" t="n">
        <x:v>1.862645149230957e-9</x:v>
      </x:c>
      <x:c r="O2628" s="28" t="n">
        <x:v>1.4901161193847656e-8</x:v>
      </x:c>
      <x:c r="P2628" s="28" t="n">
        <x:v>0</x:v>
      </x:c>
      <x:c r="Q2628" s="62" t="b">
        <x:v>1</x:v>
      </x:c>
      <x:c r="R2628" s="28" t="n">
        <x:v>0</x:v>
      </x:c>
      <x:c r="S2628" s="28" t="str">
        <x:v>f14c12a02d758b8d</x:v>
      </x:c>
    </x:row>
    <x:row r="2629" ht="21" customHeight="1">
      <x:c r="A2629" s="60" t="n">
        <x:v>0.7</x:v>
      </x:c>
      <x:c r="B2629" s="28" t="str">
        <x:v>middle_low</x:v>
      </x:c>
      <x:c r="C2629" s="60" t="n">
        <x:v>0.85</x:v>
      </x:c>
      <x:c r="D2629" s="60" t="n">
        <x:v>0.85</x:v>
      </x:c>
      <x:c r="E2629" s="62" t="b">
        <x:v>1</x:v>
      </x:c>
      <x:c r="F2629" s="62" t="b">
        <x:v>0</x:v>
      </x:c>
      <x:c r="G2629" s="85" t="n">
        <x:v>5355930.985898097</x:v>
      </x:c>
      <x:c r="H2629" s="85" t="n">
        <x:v>63833313.165081546</x:v>
      </x:c>
      <x:c r="I2629" s="85" t="n">
        <x:v>40536986.30136988</x:v>
      </x:c>
      <x:c r="J2629" s="85" t="n">
        <x:v>60000000.000000015</x:v>
      </x:c>
      <x:c r="K2629" s="85" t="n">
        <x:v>301886.5058246595</x:v>
      </x:c>
      <x:c r="L2629" s="28" t="n">
        <x:v>45</x:v>
      </x:c>
      <x:c r="M2629" s="28" t="n">
        <x:v>36</x:v>
      </x:c>
      <x:c r="N2629" s="28" t="n">
        <x:v>1.862645149230957e-9</x:v>
      </x:c>
      <x:c r="O2629" s="28" t="n">
        <x:v>2.9802322387695312e-8</x:v>
      </x:c>
      <x:c r="P2629" s="28" t="n">
        <x:v>0</x:v>
      </x:c>
      <x:c r="Q2629" s="62" t="b">
        <x:v>1</x:v>
      </x:c>
      <x:c r="R2629" s="28" t="n">
        <x:v>0</x:v>
      </x:c>
      <x:c r="S2629" s="28" t="str">
        <x:v>345f38df766e7969</x:v>
      </x:c>
    </x:row>
    <x:row r="2630" ht="21" customHeight="1">
      <x:c r="A2630" s="60" t="n">
        <x:v>0.7</x:v>
      </x:c>
      <x:c r="B2630" s="28" t="str">
        <x:v>middle_low</x:v>
      </x:c>
      <x:c r="C2630" s="60" t="n">
        <x:v>0.9</x:v>
      </x:c>
      <x:c r="D2630" s="60" t="n">
        <x:v>0.9</x:v>
      </x:c>
      <x:c r="E2630" s="62" t="b">
        <x:v>1</x:v>
      </x:c>
      <x:c r="F2630" s="62" t="b">
        <x:v>0</x:v>
      </x:c>
      <x:c r="G2630" s="85" t="n">
        <x:v>6673420.268920217</x:v>
      </x:c>
      <x:c r="H2630" s="85" t="n">
        <x:v>74000134.91103163</x:v>
      </x:c>
      <x:c r="I2630" s="85" t="n">
        <x:v>40536986.30136988</x:v>
      </x:c>
      <x:c r="J2630" s="85" t="n">
        <x:v>60000000.000000015</x:v>
      </x:c>
      <x:c r="K2630" s="85" t="n">
        <x:v>287320.4879561635</x:v>
      </x:c>
      <x:c r="L2630" s="28" t="n">
        <x:v>45</x:v>
      </x:c>
      <x:c r="M2630" s="28" t="n">
        <x:v>37</x:v>
      </x:c>
      <x:c r="N2630" s="28" t="n">
        <x:v>1.862645149230957e-9</x:v>
      </x:c>
      <x:c r="O2630" s="28" t="n">
        <x:v>2.9802322387695312e-8</x:v>
      </x:c>
      <x:c r="P2630" s="28" t="n">
        <x:v>0</x:v>
      </x:c>
      <x:c r="Q2630" s="62" t="b">
        <x:v>1</x:v>
      </x:c>
      <x:c r="R2630" s="28" t="n">
        <x:v>0</x:v>
      </x:c>
      <x:c r="S2630" s="28" t="str">
        <x:v>2e3a71fa9b00dd4e</x:v>
      </x:c>
    </x:row>
    <x:row r="2631" ht="21" customHeight="1">
      <x:c r="A2631" s="60" t="n">
        <x:v>0.7</x:v>
      </x:c>
      <x:c r="B2631" s="28" t="str">
        <x:v>middle_low</x:v>
      </x:c>
      <x:c r="C2631" s="60" t="n">
        <x:v>0.95</x:v>
      </x:c>
      <x:c r="D2631" s="60" t="n">
        <x:v>0.9361238209331334</x:v>
      </x:c>
      <x:c r="E2631" s="62" t="b">
        <x:v>0</x:v>
      </x:c>
      <x:c r="F2631" s="62" t="b">
        <x:v>0</x:v>
      </x:c>
      <x:c r="G2631" s="85" t="n">
        <x:v>9089182.38135718</x:v>
      </x:c>
      <x:c r="H2631" s="85" t="n">
        <x:v>79693280.38615799</x:v>
      </x:c>
      <x:c r="I2631" s="85" t="n">
        <x:v>40536986.30136988</x:v>
      </x:c>
      <x:c r="J2631" s="85" t="n">
        <x:v>60000000.000000015</x:v>
      </x:c>
      <x:c r="K2631" s="85" t="n">
        <x:v>272754.4700876699</x:v>
      </x:c>
      <x:c r="L2631" s="28" t="n">
        <x:v>45</x:v>
      </x:c>
      <x:c r="M2631" s="28" t="n">
        <x:v>38</x:v>
      </x:c>
      <x:c r="N2631" s="28" t="n">
        <x:v>1.862645149230957e-9</x:v>
      </x:c>
      <x:c r="O2631" s="28" t="n">
        <x:v>1.4901161193847656e-8</x:v>
      </x:c>
      <x:c r="P2631" s="28" t="n">
        <x:v>0</x:v>
      </x:c>
      <x:c r="Q2631" s="62" t="b">
        <x:v>1</x:v>
      </x:c>
      <x:c r="R2631" s="28" t="n">
        <x:v>4162853.720059991</x:v>
      </x:c>
      <x:c r="S2631" s="28" t="str">
        <x:v>0390fd8fdc37bc18</x:v>
      </x:c>
    </x:row>
    <x:row r="2632" ht="21" customHeight="1">
      <x:c r="A2632" s="60" t="n">
        <x:v>0.7</x:v>
      </x:c>
      <x:c r="B2632" s="28" t="str">
        <x:v>middle_low</x:v>
      </x:c>
      <x:c r="C2632" s="60" t="n">
        <x:v>1</x:v>
      </x:c>
      <x:c r="D2632" s="60" t="n">
        <x:v>0.9498342654879072</x:v>
      </x:c>
      <x:c r="E2632" s="62" t="b">
        <x:v>0</x:v>
      </x:c>
      <x:c r="F2632" s="62" t="b">
        <x:v>0</x:v>
      </x:c>
      <x:c r="G2632" s="85" t="n">
        <x:v>9823167.494543264</x:v>
      </x:c>
      <x:c r="H2632" s="85" t="n">
        <x:v>82658001.60242276</x:v>
      </x:c>
      <x:c r="I2632" s="85" t="n">
        <x:v>40536986.30136988</x:v>
      </x:c>
      <x:c r="J2632" s="85" t="n">
        <x:v>60000000.000000015</x:v>
      </x:c>
      <x:c r="K2632" s="85" t="n">
        <x:v>258188.45221917625</x:v>
      </x:c>
      <x:c r="L2632" s="28" t="n">
        <x:v>45</x:v>
      </x:c>
      <x:c r="M2632" s="28" t="n">
        <x:v>38</x:v>
      </x:c>
      <x:c r="N2632" s="28" t="n">
        <x:v>1.862645149230957e-9</x:v>
      </x:c>
      <x:c r="O2632" s="28" t="n">
        <x:v>1.4901161193847656e-8</x:v>
      </x:c>
      <x:c r="P2632" s="28" t="n">
        <x:v>0</x:v>
      </x:c>
      <x:c r="Q2632" s="62" t="b">
        <x:v>1</x:v>
      </x:c>
      <x:c r="R2632" s="28" t="n">
        <x:v>15049720.35362786</x:v>
      </x:c>
      <x:c r="S2632" s="28" t="str">
        <x:v>75b55030d128207f</x:v>
      </x:c>
    </x:row>
    <x:row r="2633" ht="21" customHeight="1">
      <x:c r="A2633" s="60" t="n">
        <x:v>0.7</x:v>
      </x:c>
      <x:c r="B2633" s="28" t="str">
        <x:v>middle_high</x:v>
      </x:c>
      <x:c r="C2633" s="60" t="n">
        <x:v>0</x:v>
      </x:c>
      <x:c r="D2633" s="60" t="n">
        <x:v>0</x:v>
      </x:c>
      <x:c r="E2633" s="62" t="b">
        <x:v>1</x:v>
      </x:c>
      <x:c r="F2633" s="62" t="b">
        <x:v>1</x:v>
      </x:c>
      <x:c r="G2633" s="85" t="n">
        <x:v>0</x:v>
      </x:c>
      <x:c r="H2633" s="85" t="n">
        <x:v>0</x:v>
      </x:c>
      <x:c r="I2633" s="85" t="n">
        <x:v>0</x:v>
      </x:c>
      <x:c r="J2633" s="85" t="n">
        <x:v>0</x:v>
      </x:c>
      <x:c r="K2633" s="85" t="n">
        <x:v>41984077.25821912</x:v>
      </x:c>
      <x:c r="L2633" s="28" t="n">
        <x:v>0</x:v>
      </x:c>
      <x:c r="M2633" s="28" t="n">
        <x:v>0</x:v>
      </x:c>
      <x:c r="N2633" s="28" t="n">
        <x:v>3.725290298461914e-9</x:v>
      </x:c>
      <x:c r="O2633" s="28" t="n">
        <x:v>0</x:v>
      </x:c>
      <x:c r="P2633" s="28" t="n">
        <x:v>0</x:v>
      </x:c>
      <x:c r="Q2633" s="62" t="b">
        <x:v>1</x:v>
      </x:c>
      <x:c r="R2633" s="28" t="n">
        <x:v>0</x:v>
      </x:c>
      <x:c r="S2633" s="28" t="str">
        <x:v>429839c29b05d317</x:v>
      </x:c>
    </x:row>
    <x:row r="2634" ht="21" customHeight="1">
      <x:c r="A2634" s="60" t="n">
        <x:v>0.7</x:v>
      </x:c>
      <x:c r="B2634" s="28" t="str">
        <x:v>middle_high</x:v>
      </x:c>
      <x:c r="C2634" s="60" t="n">
        <x:v>0.05</x:v>
      </x:c>
      <x:c r="D2634" s="60" t="n">
        <x:v>0.05</x:v>
      </x:c>
      <x:c r="E2634" s="62" t="b">
        <x:v>1</x:v>
      </x:c>
      <x:c r="F2634" s="62" t="b">
        <x:v>1</x:v>
      </x:c>
      <x:c r="G2634" s="85" t="n">
        <x:v>0</x:v>
      </x:c>
      <x:c r="H2634" s="85" t="n">
        <x:v>0</x:v>
      </x:c>
      <x:c r="I2634" s="85" t="n">
        <x:v>0</x:v>
      </x:c>
      <x:c r="J2634" s="85" t="n">
        <x:v>0</x:v>
      </x:c>
      <x:c r="K2634" s="85" t="n">
        <x:v>28603467.995417066</x:v>
      </x:c>
      <x:c r="L2634" s="28" t="n">
        <x:v>0</x:v>
      </x:c>
      <x:c r="M2634" s="28" t="n">
        <x:v>0</x:v>
      </x:c>
      <x:c r="N2634" s="28" t="n">
        <x:v>3.725290298461914e-9</x:v>
      </x:c>
      <x:c r="O2634" s="28" t="n">
        <x:v>2.9802322387695312e-8</x:v>
      </x:c>
      <x:c r="P2634" s="28" t="n">
        <x:v>0</x:v>
      </x:c>
      <x:c r="Q2634" s="62" t="b">
        <x:v>1</x:v>
      </x:c>
      <x:c r="R2634" s="28" t="n">
        <x:v>0</x:v>
      </x:c>
      <x:c r="S2634" s="28" t="str">
        <x:v>7ddb9ce3d3f895a6</x:v>
      </x:c>
    </x:row>
    <x:row r="2635" ht="21" customHeight="1">
      <x:c r="A2635" s="60" t="n">
        <x:v>0.7</x:v>
      </x:c>
      <x:c r="B2635" s="28" t="str">
        <x:v>middle_high</x:v>
      </x:c>
      <x:c r="C2635" s="60" t="n">
        <x:v>0.1</x:v>
      </x:c>
      <x:c r="D2635" s="60" t="n">
        <x:v>0.1</x:v>
      </x:c>
      <x:c r="E2635" s="62" t="b">
        <x:v>1</x:v>
      </x:c>
      <x:c r="F2635" s="62" t="b">
        <x:v>1</x:v>
      </x:c>
      <x:c r="G2635" s="85" t="n">
        <x:v>0</x:v>
      </x:c>
      <x:c r="H2635" s="85" t="n">
        <x:v>0</x:v>
      </x:c>
      <x:c r="I2635" s="85" t="n">
        <x:v>0</x:v>
      </x:c>
      <x:c r="J2635" s="85" t="n">
        <x:v>0</x:v>
      </x:c>
      <x:c r="K2635" s="85" t="n">
        <x:v>15062079.541362267</x:v>
      </x:c>
      <x:c r="L2635" s="28" t="n">
        <x:v>0</x:v>
      </x:c>
      <x:c r="M2635" s="28" t="n">
        <x:v>0</x:v>
      </x:c>
      <x:c r="N2635" s="28" t="n">
        <x:v>3.725290298461914e-9</x:v>
      </x:c>
      <x:c r="O2635" s="28" t="n">
        <x:v>5.960464477539063e-8</x:v>
      </x:c>
      <x:c r="P2635" s="28" t="n">
        <x:v>0</x:v>
      </x:c>
      <x:c r="Q2635" s="62" t="b">
        <x:v>1</x:v>
      </x:c>
      <x:c r="R2635" s="28" t="n">
        <x:v>0</x:v>
      </x:c>
      <x:c r="S2635" s="28" t="str">
        <x:v>1db6bc02e175beb3</x:v>
      </x:c>
    </x:row>
    <x:row r="2636" ht="21" customHeight="1">
      <x:c r="A2636" s="60" t="n">
        <x:v>0.7</x:v>
      </x:c>
      <x:c r="B2636" s="28" t="str">
        <x:v>middle_high</x:v>
      </x:c>
      <x:c r="C2636" s="60" t="n">
        <x:v>0.15</x:v>
      </x:c>
      <x:c r="D2636" s="60" t="n">
        <x:v>0.15</x:v>
      </x:c>
      <x:c r="E2636" s="62" t="b">
        <x:v>1</x:v>
      </x:c>
      <x:c r="F2636" s="62" t="b">
        <x:v>1</x:v>
      </x:c>
      <x:c r="G2636" s="85" t="n">
        <x:v>0</x:v>
      </x:c>
      <x:c r="H2636" s="85" t="n">
        <x:v>0</x:v>
      </x:c>
      <x:c r="I2636" s="85" t="n">
        <x:v>1901605.3746150087</x:v>
      </x:c>
      <x:c r="J2636" s="85" t="n">
        <x:v>0</x:v>
      </x:c>
      <x:c r="K2636" s="85" t="n">
        <x:v>3897107.0238581398</x:v>
      </x:c>
      <x:c r="L2636" s="28" t="n">
        <x:v>0</x:v>
      </x:c>
      <x:c r="M2636" s="28" t="n">
        <x:v>0</x:v>
      </x:c>
      <x:c r="N2636" s="28" t="n">
        <x:v>3.725290298461914e-9</x:v>
      </x:c>
      <x:c r="O2636" s="28" t="n">
        <x:v>2.9802322387695312e-8</x:v>
      </x:c>
      <x:c r="P2636" s="28" t="n">
        <x:v>0</x:v>
      </x:c>
      <x:c r="Q2636" s="62" t="b">
        <x:v>1</x:v>
      </x:c>
      <x:c r="R2636" s="28" t="n">
        <x:v>0</x:v>
      </x:c>
      <x:c r="S2636" s="28" t="str">
        <x:v>58ffc4be450db456</x:v>
      </x:c>
    </x:row>
    <x:row r="2637" ht="21" customHeight="1">
      <x:c r="A2637" s="60" t="n">
        <x:v>0.7</x:v>
      </x:c>
      <x:c r="B2637" s="28" t="str">
        <x:v>middle_high</x:v>
      </x:c>
      <x:c r="C2637" s="60" t="n">
        <x:v>0.2</x:v>
      </x:c>
      <x:c r="D2637" s="60" t="n">
        <x:v>0.2</x:v>
      </x:c>
      <x:c r="E2637" s="62" t="b">
        <x:v>1</x:v>
      </x:c>
      <x:c r="F2637" s="62" t="b">
        <x:v>1</x:v>
      </x:c>
      <x:c r="G2637" s="85" t="n">
        <x:v>0</x:v>
      </x:c>
      <x:c r="H2637" s="85" t="n">
        <x:v>0</x:v>
      </x:c>
      <x:c r="I2637" s="85" t="n">
        <x:v>11791728.120021418</x:v>
      </x:c>
      <x:c r="J2637" s="85" t="n">
        <x:v>6318282.052720878</x:v>
      </x:c>
      <x:c r="K2637" s="85" t="n">
        <x:v>3025814.6842047404</x:v>
      </x:c>
      <x:c r="L2637" s="28" t="n">
        <x:v>0</x:v>
      </x:c>
      <x:c r="M2637" s="28" t="n">
        <x:v>0</x:v>
      </x:c>
      <x:c r="N2637" s="28" t="n">
        <x:v>3.725290298461914e-9</x:v>
      </x:c>
      <x:c r="O2637" s="28" t="n">
        <x:v>2.9802322387695312e-8</x:v>
      </x:c>
      <x:c r="P2637" s="28" t="n">
        <x:v>0</x:v>
      </x:c>
      <x:c r="Q2637" s="62" t="b">
        <x:v>1</x:v>
      </x:c>
      <x:c r="R2637" s="28" t="n">
        <x:v>0</x:v>
      </x:c>
      <x:c r="S2637" s="28" t="str">
        <x:v>efb13188cbdfd068</x:v>
      </x:c>
    </x:row>
    <x:row r="2638" ht="21" customHeight="1">
      <x:c r="A2638" s="60" t="n">
        <x:v>0.7</x:v>
      </x:c>
      <x:c r="B2638" s="28" t="str">
        <x:v>middle_high</x:v>
      </x:c>
      <x:c r="C2638" s="60" t="n">
        <x:v>0.25</x:v>
      </x:c>
      <x:c r="D2638" s="60" t="n">
        <x:v>0.25</x:v>
      </x:c>
      <x:c r="E2638" s="62" t="b">
        <x:v>1</x:v>
      </x:c>
      <x:c r="F2638" s="62" t="b">
        <x:v>1</x:v>
      </x:c>
      <x:c r="G2638" s="85" t="n">
        <x:v>0</x:v>
      </x:c>
      <x:c r="H2638" s="85" t="n">
        <x:v>0</x:v>
      </x:c>
      <x:c r="I2638" s="85" t="n">
        <x:v>20499642.83994703</x:v>
      </x:c>
      <x:c r="J2638" s="85" t="n">
        <x:v>15397852.56590104</x:v>
      </x:c>
      <x:c r="K2638" s="85" t="n">
        <x:v>2464197.1915422515</x:v>
      </x:c>
      <x:c r="L2638" s="28" t="n">
        <x:v>0</x:v>
      </x:c>
      <x:c r="M2638" s="28" t="n">
        <x:v>0</x:v>
      </x:c>
      <x:c r="N2638" s="28" t="n">
        <x:v>3.725290298461914e-9</x:v>
      </x:c>
      <x:c r="O2638" s="28" t="n">
        <x:v>2.9802322387695312e-8</x:v>
      </x:c>
      <x:c r="P2638" s="28" t="n">
        <x:v>0</x:v>
      </x:c>
      <x:c r="Q2638" s="62" t="b">
        <x:v>1</x:v>
      </x:c>
      <x:c r="R2638" s="28" t="n">
        <x:v>0</x:v>
      </x:c>
      <x:c r="S2638" s="28" t="str">
        <x:v>34a54eaf3687e871</x:v>
      </x:c>
    </x:row>
    <x:row r="2639" ht="21" customHeight="1">
      <x:c r="A2639" s="60" t="n">
        <x:v>0.7</x:v>
      </x:c>
      <x:c r="B2639" s="28" t="str">
        <x:v>middle_high</x:v>
      </x:c>
      <x:c r="C2639" s="60" t="n">
        <x:v>0.3</x:v>
      </x:c>
      <x:c r="D2639" s="60" t="n">
        <x:v>0.3</x:v>
      </x:c>
      <x:c r="E2639" s="62" t="b">
        <x:v>1</x:v>
      </x:c>
      <x:c r="F2639" s="62" t="b">
        <x:v>1</x:v>
      </x:c>
      <x:c r="G2639" s="85" t="n">
        <x:v>0</x:v>
      </x:c>
      <x:c r="H2639" s="85" t="n">
        <x:v>0</x:v>
      </x:c>
      <x:c r="I2639" s="85" t="n">
        <x:v>29904419.26043149</x:v>
      </x:c>
      <x:c r="J2639" s="85" t="n">
        <x:v>20519761.837464154</x:v>
      </x:c>
      <x:c r="K2639" s="85" t="n">
        <x:v>1987708.8190381257</x:v>
      </x:c>
      <x:c r="L2639" s="28" t="n">
        <x:v>3</x:v>
      </x:c>
      <x:c r="M2639" s="28" t="n">
        <x:v>0</x:v>
      </x:c>
      <x:c r="N2639" s="28" t="n">
        <x:v>3.725290298461914e-9</x:v>
      </x:c>
      <x:c r="O2639" s="28" t="n">
        <x:v>2.9802322387695312e-8</x:v>
      </x:c>
      <x:c r="P2639" s="28" t="n">
        <x:v>0</x:v>
      </x:c>
      <x:c r="Q2639" s="62" t="b">
        <x:v>1</x:v>
      </x:c>
      <x:c r="R2639" s="28" t="n">
        <x:v>0</x:v>
      </x:c>
      <x:c r="S2639" s="28" t="str">
        <x:v>e22119e823706cae</x:v>
      </x:c>
    </x:row>
    <x:row r="2640" ht="21" customHeight="1">
      <x:c r="A2640" s="60" t="n">
        <x:v>0.7</x:v>
      </x:c>
      <x:c r="B2640" s="28" t="str">
        <x:v>middle_high</x:v>
      </x:c>
      <x:c r="C2640" s="60" t="n">
        <x:v>0.35</x:v>
      </x:c>
      <x:c r="D2640" s="60" t="n">
        <x:v>0.35</x:v>
      </x:c>
      <x:c r="E2640" s="62" t="b">
        <x:v>1</x:v>
      </x:c>
      <x:c r="F2640" s="62" t="b">
        <x:v>1</x:v>
      </x:c>
      <x:c r="G2640" s="85" t="n">
        <x:v>0</x:v>
      </x:c>
      <x:c r="H2640" s="85" t="n">
        <x:v>0</x:v>
      </x:c>
      <x:c r="I2640" s="85" t="n">
        <x:v>39518652.07725716</x:v>
      </x:c>
      <x:c r="J2640" s="85" t="n">
        <x:v>24390026.672064185</x:v>
      </x:c>
      <x:c r="K2640" s="85" t="n">
        <x:v>1708892.4265490172</x:v>
      </x:c>
      <x:c r="L2640" s="28" t="n">
        <x:v>8</x:v>
      </x:c>
      <x:c r="M2640" s="28" t="n">
        <x:v>0</x:v>
      </x:c>
      <x:c r="N2640" s="28" t="n">
        <x:v>1.862645149230957e-9</x:v>
      </x:c>
      <x:c r="O2640" s="28" t="n">
        <x:v>2.9802322387695312e-8</x:v>
      </x:c>
      <x:c r="P2640" s="28" t="n">
        <x:v>0</x:v>
      </x:c>
      <x:c r="Q2640" s="62" t="b">
        <x:v>1</x:v>
      </x:c>
      <x:c r="R2640" s="28" t="n">
        <x:v>0</x:v>
      </x:c>
      <x:c r="S2640" s="28" t="str">
        <x:v>e60876fbbe55d992</x:v>
      </x:c>
    </x:row>
    <x:row r="2641" ht="21" customHeight="1">
      <x:c r="A2641" s="60" t="n">
        <x:v>0.7</x:v>
      </x:c>
      <x:c r="B2641" s="28" t="str">
        <x:v>middle_high</x:v>
      </x:c>
      <x:c r="C2641" s="60" t="n">
        <x:v>0.4</x:v>
      </x:c>
      <x:c r="D2641" s="60" t="n">
        <x:v>0.4</x:v>
      </x:c>
      <x:c r="E2641" s="62" t="b">
        <x:v>1</x:v>
      </x:c>
      <x:c r="F2641" s="62" t="b">
        <x:v>1</x:v>
      </x:c>
      <x:c r="G2641" s="85" t="n">
        <x:v>0</x:v>
      </x:c>
      <x:c r="H2641" s="85" t="n">
        <x:v>0</x:v>
      </x:c>
      <x:c r="I2641" s="85" t="n">
        <x:v>48911218.09853208</x:v>
      </x:c>
      <x:c r="J2641" s="85" t="n">
        <x:v>30267940.91723546</x:v>
      </x:c>
      <x:c r="K2641" s="85" t="n">
        <x:v>1430076.0340599306</x:v>
      </x:c>
      <x:c r="L2641" s="28" t="n">
        <x:v>12</x:v>
      </x:c>
      <x:c r="M2641" s="28" t="n">
        <x:v>0</x:v>
      </x:c>
      <x:c r="N2641" s="28" t="n">
        <x:v>1.862645149230957e-9</x:v>
      </x:c>
      <x:c r="O2641" s="28" t="n">
        <x:v>2.9802322387695312e-8</x:v>
      </x:c>
      <x:c r="P2641" s="28" t="n">
        <x:v>0</x:v>
      </x:c>
      <x:c r="Q2641" s="62" t="b">
        <x:v>1</x:v>
      </x:c>
      <x:c r="R2641" s="28" t="n">
        <x:v>0</x:v>
      </x:c>
      <x:c r="S2641" s="28" t="str">
        <x:v>15793b6a4f78554d</x:v>
      </x:c>
    </x:row>
    <x:row r="2642" ht="21" customHeight="1">
      <x:c r="A2642" s="60" t="n">
        <x:v>0.7</x:v>
      </x:c>
      <x:c r="B2642" s="28" t="str">
        <x:v>middle_high</x:v>
      </x:c>
      <x:c r="C2642" s="60" t="n">
        <x:v>0.45</x:v>
      </x:c>
      <x:c r="D2642" s="60" t="n">
        <x:v>0.45</x:v>
      </x:c>
      <x:c r="E2642" s="62" t="b">
        <x:v>1</x:v>
      </x:c>
      <x:c r="F2642" s="62" t="b">
        <x:v>1</x:v>
      </x:c>
      <x:c r="G2642" s="85" t="n">
        <x:v>0</x:v>
      </x:c>
      <x:c r="H2642" s="85" t="n">
        <x:v>0</x:v>
      </x:c>
      <x:c r="I2642" s="85" t="n">
        <x:v>57924850.713770166</x:v>
      </x:c>
      <x:c r="J2642" s="85" t="n">
        <x:v>40554375.42249496</x:v>
      </x:c>
      <x:c r="K2642" s="85" t="n">
        <x:v>1289537.0071945158</x:v>
      </x:c>
      <x:c r="L2642" s="28" t="n">
        <x:v>15</x:v>
      </x:c>
      <x:c r="M2642" s="28" t="n">
        <x:v>3</x:v>
      </x:c>
      <x:c r="N2642" s="28" t="n">
        <x:v>3.725290298461914e-9</x:v>
      </x:c>
      <x:c r="O2642" s="28" t="n">
        <x:v>2.9802322387695312e-8</x:v>
      </x:c>
      <x:c r="P2642" s="28" t="n">
        <x:v>0</x:v>
      </x:c>
      <x:c r="Q2642" s="62" t="b">
        <x:v>1</x:v>
      </x:c>
      <x:c r="R2642" s="28" t="n">
        <x:v>0</x:v>
      </x:c>
      <x:c r="S2642" s="28" t="str">
        <x:v>0db9bf96e0abdd4b</x:v>
      </x:c>
    </x:row>
    <x:row r="2643" ht="21" customHeight="1">
      <x:c r="A2643" s="60" t="n">
        <x:v>0.7</x:v>
      </x:c>
      <x:c r="B2643" s="28" t="str">
        <x:v>middle_high</x:v>
      </x:c>
      <x:c r="C2643" s="60" t="n">
        <x:v>0.5</x:v>
      </x:c>
      <x:c r="D2643" s="60" t="n">
        <x:v>0.5</x:v>
      </x:c>
      <x:c r="E2643" s="62" t="b">
        <x:v>1</x:v>
      </x:c>
      <x:c r="F2643" s="62" t="b">
        <x:v>1</x:v>
      </x:c>
      <x:c r="G2643" s="85" t="n">
        <x:v>0</x:v>
      </x:c>
      <x:c r="H2643" s="85" t="n">
        <x:v>0</x:v>
      </x:c>
      <x:c r="I2643" s="85" t="n">
        <x:v>66635801.853284314</x:v>
      </x:c>
      <x:c r="J2643" s="85" t="n">
        <x:v>50451864.52353874</x:v>
      </x:c>
      <x:c r="K2643" s="85" t="n">
        <x:v>1161414.9524383503</x:v>
      </x:c>
      <x:c r="L2643" s="28" t="n">
        <x:v>18</x:v>
      </x:c>
      <x:c r="M2643" s="28" t="n">
        <x:v>10</x:v>
      </x:c>
      <x:c r="N2643" s="28" t="n">
        <x:v>3.725290298461914e-9</x:v>
      </x:c>
      <x:c r="O2643" s="28" t="n">
        <x:v>1.4901161193847656e-8</x:v>
      </x:c>
      <x:c r="P2643" s="28" t="n">
        <x:v>0</x:v>
      </x:c>
      <x:c r="Q2643" s="62" t="b">
        <x:v>1</x:v>
      </x:c>
      <x:c r="R2643" s="28" t="n">
        <x:v>0</x:v>
      </x:c>
      <x:c r="S2643" s="28" t="str">
        <x:v>f1acf39595a97f18</x:v>
      </x:c>
    </x:row>
    <x:row r="2644" ht="21" customHeight="1">
      <x:c r="A2644" s="60" t="n">
        <x:v>0.7</x:v>
      </x:c>
      <x:c r="B2644" s="28" t="str">
        <x:v>middle_high</x:v>
      </x:c>
      <x:c r="C2644" s="60" t="n">
        <x:v>0.55</x:v>
      </x:c>
      <x:c r="D2644" s="60" t="n">
        <x:v>0.55</x:v>
      </x:c>
      <x:c r="E2644" s="62" t="b">
        <x:v>1</x:v>
      </x:c>
      <x:c r="F2644" s="62" t="b">
        <x:v>0</x:v>
      </x:c>
      <x:c r="G2644" s="85" t="n">
        <x:v>318050.9828739794</x:v>
      </x:c>
      <x:c r="H2644" s="85" t="n">
        <x:v>1193579.8978025815</x:v>
      </x:c>
      <x:c r="I2644" s="85" t="n">
        <x:v>74330058.50517158</x:v>
      </x:c>
      <x:c r="J2644" s="85" t="n">
        <x:v>60000000.000000015</x:v>
      </x:c>
      <x:c r="K2644" s="85" t="n">
        <x:v>1033292.897682183</x:v>
      </x:c>
      <x:c r="L2644" s="28" t="n">
        <x:v>43</x:v>
      </x:c>
      <x:c r="M2644" s="28" t="n">
        <x:v>36</x:v>
      </x:c>
      <x:c r="N2644" s="28" t="n">
        <x:v>1.862645149230957e-9</x:v>
      </x:c>
      <x:c r="O2644" s="28" t="n">
        <x:v>2.9802322387695312e-8</x:v>
      </x:c>
      <x:c r="P2644" s="28" t="n">
        <x:v>0</x:v>
      </x:c>
      <x:c r="Q2644" s="62" t="b">
        <x:v>1</x:v>
      </x:c>
      <x:c r="R2644" s="28" t="n">
        <x:v>0</x:v>
      </x:c>
      <x:c r="S2644" s="28" t="str">
        <x:v>ed3620adb2be677d</x:v>
      </x:c>
    </x:row>
    <x:row r="2645" ht="21" customHeight="1">
      <x:c r="A2645" s="60" t="n">
        <x:v>0.7</x:v>
      </x:c>
      <x:c r="B2645" s="28" t="str">
        <x:v>middle_high</x:v>
      </x:c>
      <x:c r="C2645" s="60" t="n">
        <x:v>0.6</x:v>
      </x:c>
      <x:c r="D2645" s="60" t="n">
        <x:v>0.6</x:v>
      </x:c>
      <x:c r="E2645" s="62" t="b">
        <x:v>1</x:v>
      </x:c>
      <x:c r="F2645" s="62" t="b">
        <x:v>0</x:v>
      </x:c>
      <x:c r="G2645" s="85" t="n">
        <x:v>4899371.48193676</x:v>
      </x:c>
      <x:c r="H2645" s="85" t="n">
        <x:v>16585126.81640882</x:v>
      </x:c>
      <x:c r="I2645" s="85" t="n">
        <x:v>74398865.6651685</x:v>
      </x:c>
      <x:c r="J2645" s="85" t="n">
        <x:v>60000000.000000015</x:v>
      </x:c>
      <x:c r="K2645" s="85" t="n">
        <x:v>905170.8429260276</x:v>
      </x:c>
      <x:c r="L2645" s="28" t="n">
        <x:v>43</x:v>
      </x:c>
      <x:c r="M2645" s="28" t="n">
        <x:v>38</x:v>
      </x:c>
      <x:c r="N2645" s="28" t="n">
        <x:v>1.862645149230957e-9</x:v>
      </x:c>
      <x:c r="O2645" s="28" t="n">
        <x:v>2.9802322387695312e-8</x:v>
      </x:c>
      <x:c r="P2645" s="28" t="n">
        <x:v>0</x:v>
      </x:c>
      <x:c r="Q2645" s="62" t="b">
        <x:v>1</x:v>
      </x:c>
      <x:c r="R2645" s="28" t="n">
        <x:v>0</x:v>
      </x:c>
      <x:c r="S2645" s="28" t="str">
        <x:v>206898eb5f8e7da5</x:v>
      </x:c>
    </x:row>
    <x:row r="2646" ht="21" customHeight="1">
      <x:c r="A2646" s="60" t="n">
        <x:v>0.7</x:v>
      </x:c>
      <x:c r="B2646" s="28" t="str">
        <x:v>middle_high</x:v>
      </x:c>
      <x:c r="C2646" s="60" t="n">
        <x:v>0.65</x:v>
      </x:c>
      <x:c r="D2646" s="60" t="n">
        <x:v>0.65</x:v>
      </x:c>
      <x:c r="E2646" s="62" t="b">
        <x:v>1</x:v>
      </x:c>
      <x:c r="F2646" s="62" t="b">
        <x:v>0</x:v>
      </x:c>
      <x:c r="G2646" s="85" t="n">
        <x:v>8694186.861572508</x:v>
      </x:c>
      <x:c r="H2646" s="85" t="n">
        <x:v>28870074.57204032</x:v>
      </x:c>
      <x:c r="I2646" s="85" t="n">
        <x:v>75956712.32876712</x:v>
      </x:c>
      <x:c r="J2646" s="85" t="n">
        <x:v>60000000.000000015</x:v>
      </x:c>
      <x:c r="K2646" s="85" t="n">
        <x:v>777048.7881698641</x:v>
      </x:c>
      <x:c r="L2646" s="28" t="n">
        <x:v>44</x:v>
      </x:c>
      <x:c r="M2646" s="28" t="n">
        <x:v>38</x:v>
      </x:c>
      <x:c r="N2646" s="28" t="n">
        <x:v>1.862645149230957e-9</x:v>
      </x:c>
      <x:c r="O2646" s="28" t="n">
        <x:v>2.9802322387695312e-8</x:v>
      </x:c>
      <x:c r="P2646" s="28" t="n">
        <x:v>0</x:v>
      </x:c>
      <x:c r="Q2646" s="62" t="b">
        <x:v>1</x:v>
      </x:c>
      <x:c r="R2646" s="28" t="n">
        <x:v>0</x:v>
      </x:c>
      <x:c r="S2646" s="28" t="str">
        <x:v>4a97ff5d1cfcee37</x:v>
      </x:c>
    </x:row>
    <x:row r="2647" ht="21" customHeight="1">
      <x:c r="A2647" s="60" t="n">
        <x:v>0.7</x:v>
      </x:c>
      <x:c r="B2647" s="28" t="str">
        <x:v>middle_high</x:v>
      </x:c>
      <x:c r="C2647" s="60" t="n">
        <x:v>0.7</x:v>
      </x:c>
      <x:c r="D2647" s="60" t="n">
        <x:v>0.7</x:v>
      </x:c>
      <x:c r="E2647" s="62" t="b">
        <x:v>1</x:v>
      </x:c>
      <x:c r="F2647" s="62" t="b">
        <x:v>0</x:v>
      </x:c>
      <x:c r="G2647" s="85" t="n">
        <x:v>13917269.333108274</x:v>
      </x:c>
      <x:c r="H2647" s="85" t="n">
        <x:v>43019492.87070293</x:v>
      </x:c>
      <x:c r="I2647" s="85" t="n">
        <x:v>75956712.32876712</x:v>
      </x:c>
      <x:c r="J2647" s="85" t="n">
        <x:v>60000000.000000015</x:v>
      </x:c>
      <x:c r="K2647" s="85" t="n">
        <x:v>694277.9887342406</x:v>
      </x:c>
      <x:c r="L2647" s="28" t="n">
        <x:v>44</x:v>
      </x:c>
      <x:c r="M2647" s="28" t="n">
        <x:v>40</x:v>
      </x:c>
      <x:c r="N2647" s="28" t="n">
        <x:v>1.862645149230957e-9</x:v>
      </x:c>
      <x:c r="O2647" s="28" t="n">
        <x:v>1.4901161193847656e-8</x:v>
      </x:c>
      <x:c r="P2647" s="28" t="n">
        <x:v>0</x:v>
      </x:c>
      <x:c r="Q2647" s="62" t="b">
        <x:v>1</x:v>
      </x:c>
      <x:c r="R2647" s="28" t="n">
        <x:v>0</x:v>
      </x:c>
      <x:c r="S2647" s="28" t="str">
        <x:v>3d5222e1fdccbdb7</x:v>
      </x:c>
    </x:row>
    <x:row r="2648" ht="21" customHeight="1">
      <x:c r="A2648" s="60" t="n">
        <x:v>0.7</x:v>
      </x:c>
      <x:c r="B2648" s="28" t="str">
        <x:v>middle_high</x:v>
      </x:c>
      <x:c r="C2648" s="60" t="n">
        <x:v>0.75</x:v>
      </x:c>
      <x:c r="D2648" s="60" t="n">
        <x:v>0.75</x:v>
      </x:c>
      <x:c r="E2648" s="62" t="b">
        <x:v>1</x:v>
      </x:c>
      <x:c r="F2648" s="62" t="b">
        <x:v>0</x:v>
      </x:c>
      <x:c r="G2648" s="85" t="n">
        <x:v>18806298.923413575</x:v>
      </x:c>
      <x:c r="H2648" s="85" t="n">
        <x:v>57132355.2158282</x:v>
      </x:c>
      <x:c r="I2648" s="85" t="n">
        <x:v>75956712.32876712</x:v>
      </x:c>
      <x:c r="J2648" s="85" t="n">
        <x:v>60000000.000000015</x:v>
      </x:c>
      <x:c r="K2648" s="85" t="n">
        <x:v>630965.6878630123</x:v>
      </x:c>
      <x:c r="L2648" s="28" t="n">
        <x:v>44</x:v>
      </x:c>
      <x:c r="M2648" s="28" t="n">
        <x:v>40</x:v>
      </x:c>
      <x:c r="N2648" s="28" t="n">
        <x:v>3.725290298461914e-9</x:v>
      </x:c>
      <x:c r="O2648" s="28" t="n">
        <x:v>2.9802322387695312e-8</x:v>
      </x:c>
      <x:c r="P2648" s="28" t="n">
        <x:v>0</x:v>
      </x:c>
      <x:c r="Q2648" s="62" t="b">
        <x:v>1</x:v>
      </x:c>
      <x:c r="R2648" s="28" t="n">
        <x:v>0</x:v>
      </x:c>
      <x:c r="S2648" s="28" t="str">
        <x:v>ba1dbb36787e34be</x:v>
      </x:c>
    </x:row>
    <x:row r="2649" ht="21" customHeight="1">
      <x:c r="A2649" s="60" t="n">
        <x:v>0.7</x:v>
      </x:c>
      <x:c r="B2649" s="28" t="str">
        <x:v>middle_high</x:v>
      </x:c>
      <x:c r="C2649" s="60" t="n">
        <x:v>0.8</x:v>
      </x:c>
      <x:c r="D2649" s="60" t="n">
        <x:v>0.8</x:v>
      </x:c>
      <x:c r="E2649" s="62" t="b">
        <x:v>1</x:v>
      </x:c>
      <x:c r="F2649" s="62" t="b">
        <x:v>0</x:v>
      </x:c>
      <x:c r="G2649" s="85" t="n">
        <x:v>23249941.63525838</x:v>
      </x:c>
      <x:c r="H2649" s="85" t="n">
        <x:v>68088848.75055635</x:v>
      </x:c>
      <x:c r="I2649" s="85" t="n">
        <x:v>77695890.41095892</x:v>
      </x:c>
      <x:c r="J2649" s="85" t="n">
        <x:v>60000000.000000015</x:v>
      </x:c>
      <x:c r="K2649" s="85" t="n">
        <x:v>592278.0989260232</x:v>
      </x:c>
      <x:c r="L2649" s="28" t="n">
        <x:v>45</x:v>
      </x:c>
      <x:c r="M2649" s="28" t="n">
        <x:v>40</x:v>
      </x:c>
      <x:c r="N2649" s="28" t="n">
        <x:v>3.725290298461914e-9</x:v>
      </x:c>
      <x:c r="O2649" s="28" t="n">
        <x:v>1.4901161193847656e-8</x:v>
      </x:c>
      <x:c r="P2649" s="28" t="n">
        <x:v>0</x:v>
      </x:c>
      <x:c r="Q2649" s="62" t="b">
        <x:v>1</x:v>
      </x:c>
      <x:c r="R2649" s="28" t="n">
        <x:v>0</x:v>
      </x:c>
      <x:c r="S2649" s="28" t="str">
        <x:v>5382a6ccb18f152e</x:v>
      </x:c>
    </x:row>
    <x:row r="2650" ht="21" customHeight="1">
      <x:c r="A2650" s="60" t="n">
        <x:v>0.7</x:v>
      </x:c>
      <x:c r="B2650" s="28" t="str">
        <x:v>middle_high</x:v>
      </x:c>
      <x:c r="C2650" s="60" t="n">
        <x:v>0.85</x:v>
      </x:c>
      <x:c r="D2650" s="60" t="n">
        <x:v>0.85</x:v>
      </x:c>
      <x:c r="E2650" s="62" t="b">
        <x:v>1</x:v>
      </x:c>
      <x:c r="F2650" s="62" t="b">
        <x:v>0</x:v>
      </x:c>
      <x:c r="G2650" s="85" t="n">
        <x:v>31779678.514490396</x:v>
      </x:c>
      <x:c r="H2650" s="85" t="n">
        <x:v>80252619.02687512</x:v>
      </x:c>
      <x:c r="I2650" s="85" t="n">
        <x:v>77695890.41095892</x:v>
      </x:c>
      <x:c r="J2650" s="85" t="n">
        <x:v>60000000.000000015</x:v>
      </x:c>
      <x:c r="K2650" s="85" t="n">
        <x:v>553590.5099890407</x:v>
      </x:c>
      <x:c r="L2650" s="28" t="n">
        <x:v>45</x:v>
      </x:c>
      <x:c r="M2650" s="28" t="n">
        <x:v>41</x:v>
      </x:c>
      <x:c r="N2650" s="28" t="n">
        <x:v>9.313225746154785e-10</x:v>
      </x:c>
      <x:c r="O2650" s="28" t="n">
        <x:v>2.9802322387695312e-8</x:v>
      </x:c>
      <x:c r="P2650" s="28" t="n">
        <x:v>0</x:v>
      </x:c>
      <x:c r="Q2650" s="62" t="b">
        <x:v>1</x:v>
      </x:c>
      <x:c r="R2650" s="28" t="n">
        <x:v>0</x:v>
      </x:c>
      <x:c r="S2650" s="28" t="str">
        <x:v>5f36177ca275564e</x:v>
      </x:c>
    </x:row>
    <x:row r="2651" ht="21" customHeight="1">
      <x:c r="A2651" s="60" t="n">
        <x:v>0.7</x:v>
      </x:c>
      <x:c r="B2651" s="28" t="str">
        <x:v>middle_high</x:v>
      </x:c>
      <x:c r="C2651" s="60" t="n">
        <x:v>0.9</x:v>
      </x:c>
      <x:c r="D2651" s="60" t="n">
        <x:v>0.9</x:v>
      </x:c>
      <x:c r="E2651" s="62" t="b">
        <x:v>1</x:v>
      </x:c>
      <x:c r="F2651" s="62" t="b">
        <x:v>0</x:v>
      </x:c>
      <x:c r="G2651" s="85" t="n">
        <x:v>38984369.889934994</x:v>
      </x:c>
      <x:c r="H2651" s="85" t="n">
        <x:v>89268676.7081321</x:v>
      </x:c>
      <x:c r="I2651" s="85" t="n">
        <x:v>77718149.84473425</x:v>
      </x:c>
      <x:c r="J2651" s="85" t="n">
        <x:v>60000000.000000015</x:v>
      </x:c>
      <x:c r="K2651" s="85" t="n">
        <x:v>514902.9210520552</x:v>
      </x:c>
      <x:c r="L2651" s="28" t="n">
        <x:v>45</x:v>
      </x:c>
      <x:c r="M2651" s="28" t="n">
        <x:v>42</x:v>
      </x:c>
      <x:c r="N2651" s="28" t="n">
        <x:v>1.862645149230957e-9</x:v>
      </x:c>
      <x:c r="O2651" s="28" t="n">
        <x:v>2.9802322387695312e-8</x:v>
      </x:c>
      <x:c r="P2651" s="28" t="n">
        <x:v>0</x:v>
      </x:c>
      <x:c r="Q2651" s="62" t="b">
        <x:v>1</x:v>
      </x:c>
      <x:c r="R2651" s="28" t="n">
        <x:v>0</x:v>
      </x:c>
      <x:c r="S2651" s="28" t="str">
        <x:v>22bd92a4b347e15a</x:v>
      </x:c>
    </x:row>
    <x:row r="2652" ht="21" customHeight="1">
      <x:c r="A2652" s="60" t="n">
        <x:v>0.7</x:v>
      </x:c>
      <x:c r="B2652" s="28" t="str">
        <x:v>middle_high</x:v>
      </x:c>
      <x:c r="C2652" s="60" t="n">
        <x:v>0.95</x:v>
      </x:c>
      <x:c r="D2652" s="60" t="n">
        <x:v>0.9361238209331334</x:v>
      </x:c>
      <x:c r="E2652" s="62" t="b">
        <x:v>0</x:v>
      </x:c>
      <x:c r="F2652" s="62" t="b">
        <x:v>0</x:v>
      </x:c>
      <x:c r="G2652" s="85" t="n">
        <x:v>42963845.34942428</x:v>
      </x:c>
      <x:c r="H2652" s="85" t="n">
        <x:v>96721252.49817967</x:v>
      </x:c>
      <x:c r="I2652" s="85" t="n">
        <x:v>77756639.10033973</x:v>
      </x:c>
      <x:c r="J2652" s="85" t="n">
        <x:v>60000000.000000015</x:v>
      </x:c>
      <x:c r="K2652" s="85" t="n">
        <x:v>476215.33211506234</x:v>
      </x:c>
      <x:c r="L2652" s="28" t="n">
        <x:v>45</x:v>
      </x:c>
      <x:c r="M2652" s="28" t="n">
        <x:v>42</x:v>
      </x:c>
      <x:c r="N2652" s="28" t="n">
        <x:v>1.862645149230957e-9</x:v>
      </x:c>
      <x:c r="O2652" s="28" t="n">
        <x:v>1.4901161193847656e-8</x:v>
      </x:c>
      <x:c r="P2652" s="28" t="n">
        <x:v>0</x:v>
      </x:c>
      <x:c r="Q2652" s="62" t="b">
        <x:v>1</x:v>
      </x:c>
      <x:c r="R2652" s="28" t="n">
        <x:v>4162853.720059991</x:v>
      </x:c>
      <x:c r="S2652" s="28" t="str">
        <x:v>b818a5beec20f458</x:v>
      </x:c>
    </x:row>
    <x:row r="2653" ht="21" customHeight="1">
      <x:c r="A2653" s="60" t="n">
        <x:v>0.7</x:v>
      </x:c>
      <x:c r="B2653" s="28" t="str">
        <x:v>middle_high</x:v>
      </x:c>
      <x:c r="C2653" s="60" t="n">
        <x:v>1</x:v>
      </x:c>
      <x:c r="D2653" s="60" t="n">
        <x:v>0.9498342654879072</x:v>
      </x:c>
      <x:c r="E2653" s="62" t="b">
        <x:v>0</x:v>
      </x:c>
      <x:c r="F2653" s="62" t="b">
        <x:v>0</x:v>
      </x:c>
      <x:c r="G2653" s="85" t="n">
        <x:v>46367388.932992145</x:v>
      </x:c>
      <x:c r="H2653" s="85" t="n">
        <x:v>99935834.74749225</x:v>
      </x:c>
      <x:c r="I2653" s="85" t="n">
        <x:v>77795128.3559452</x:v>
      </x:c>
      <x:c r="J2653" s="85" t="n">
        <x:v>60000000.000000015</x:v>
      </x:c>
      <x:c r="K2653" s="85" t="n">
        <x:v>437527.74317808344</x:v>
      </x:c>
      <x:c r="L2653" s="28" t="n">
        <x:v>45</x:v>
      </x:c>
      <x:c r="M2653" s="28" t="n">
        <x:v>42</x:v>
      </x:c>
      <x:c r="N2653" s="28" t="n">
        <x:v>3.725290298461914e-9</x:v>
      </x:c>
      <x:c r="O2653" s="28" t="n">
        <x:v>1.4901161193847656e-8</x:v>
      </x:c>
      <x:c r="P2653" s="28" t="n">
        <x:v>0</x:v>
      </x:c>
      <x:c r="Q2653" s="62" t="b">
        <x:v>1</x:v>
      </x:c>
      <x:c r="R2653" s="28" t="n">
        <x:v>15049720.35362786</x:v>
      </x:c>
      <x:c r="S2653" s="28" t="str">
        <x:v>fb97fc90026f2c31</x:v>
      </x:c>
    </x:row>
    <x:row r="2654" ht="21" customHeight="1">
      <x:c r="A2654" s="60" t="n">
        <x:v>0.7</x:v>
      </x:c>
      <x:c r="B2654" s="28" t="str">
        <x:v>back_flat</x:v>
      </x:c>
      <x:c r="C2654" s="60" t="n">
        <x:v>0</x:v>
      </x:c>
      <x:c r="D2654" s="60" t="n">
        <x:v>0</x:v>
      </x:c>
      <x:c r="E2654" s="62" t="b">
        <x:v>1</x:v>
      </x:c>
      <x:c r="F2654" s="62" t="b">
        <x:v>1</x:v>
      </x:c>
      <x:c r="G2654" s="85" t="n">
        <x:v>0</x:v>
      </x:c>
      <x:c r="H2654" s="85" t="n">
        <x:v>0</x:v>
      </x:c>
      <x:c r="I2654" s="85" t="n">
        <x:v>0</x:v>
      </x:c>
      <x:c r="J2654" s="85" t="n">
        <x:v>0</x:v>
      </x:c>
      <x:c r="K2654" s="85" t="n">
        <x:v>37166364.518493116</x:v>
      </x:c>
      <x:c r="L2654" s="28" t="n">
        <x:v>0</x:v>
      </x:c>
      <x:c r="M2654" s="28" t="n">
        <x:v>0</x:v>
      </x:c>
      <x:c r="N2654" s="28" t="n">
        <x:v>3.725290298461914e-9</x:v>
      </x:c>
      <x:c r="O2654" s="28" t="n">
        <x:v>0</x:v>
      </x:c>
      <x:c r="P2654" s="28" t="n">
        <x:v>0</x:v>
      </x:c>
      <x:c r="Q2654" s="62" t="b">
        <x:v>1</x:v>
      </x:c>
      <x:c r="R2654" s="28" t="n">
        <x:v>0</x:v>
      </x:c>
      <x:c r="S2654" s="28" t="str">
        <x:v>58219c1124d3eef7</x:v>
      </x:c>
    </x:row>
    <x:row r="2655" ht="21" customHeight="1">
      <x:c r="A2655" s="60" t="n">
        <x:v>0.7</x:v>
      </x:c>
      <x:c r="B2655" s="28" t="str">
        <x:v>back_flat</x:v>
      </x:c>
      <x:c r="C2655" s="60" t="n">
        <x:v>0.05</x:v>
      </x:c>
      <x:c r="D2655" s="60" t="n">
        <x:v>0.05</x:v>
      </x:c>
      <x:c r="E2655" s="62" t="b">
        <x:v>1</x:v>
      </x:c>
      <x:c r="F2655" s="62" t="b">
        <x:v>1</x:v>
      </x:c>
      <x:c r="G2655" s="85" t="n">
        <x:v>0</x:v>
      </x:c>
      <x:c r="H2655" s="85" t="n">
        <x:v>0</x:v>
      </x:c>
      <x:c r="I2655" s="85" t="n">
        <x:v>0</x:v>
      </x:c>
      <x:c r="J2655" s="85" t="n">
        <x:v>0</x:v>
      </x:c>
      <x:c r="K2655" s="85" t="n">
        <x:v>25425328.490675114</x:v>
      </x:c>
      <x:c r="L2655" s="28" t="n">
        <x:v>0</x:v>
      </x:c>
      <x:c r="M2655" s="28" t="n">
        <x:v>0</x:v>
      </x:c>
      <x:c r="N2655" s="28" t="n">
        <x:v>3.725290298461914e-9</x:v>
      </x:c>
      <x:c r="O2655" s="28" t="n">
        <x:v>5.960464477539063e-8</x:v>
      </x:c>
      <x:c r="P2655" s="28" t="n">
        <x:v>0</x:v>
      </x:c>
      <x:c r="Q2655" s="62" t="b">
        <x:v>1</x:v>
      </x:c>
      <x:c r="R2655" s="28" t="n">
        <x:v>0</x:v>
      </x:c>
      <x:c r="S2655" s="28" t="str">
        <x:v>a2254046f821b99f</x:v>
      </x:c>
    </x:row>
    <x:row r="2656" ht="21" customHeight="1">
      <x:c r="A2656" s="60" t="n">
        <x:v>0.7</x:v>
      </x:c>
      <x:c r="B2656" s="28" t="str">
        <x:v>back_flat</x:v>
      </x:c>
      <x:c r="C2656" s="60" t="n">
        <x:v>0.1</x:v>
      </x:c>
      <x:c r="D2656" s="60" t="n">
        <x:v>0.1</x:v>
      </x:c>
      <x:c r="E2656" s="62" t="b">
        <x:v>1</x:v>
      </x:c>
      <x:c r="F2656" s="62" t="b">
        <x:v>1</x:v>
      </x:c>
      <x:c r="G2656" s="85" t="n">
        <x:v>0</x:v>
      </x:c>
      <x:c r="H2656" s="85" t="n">
        <x:v>0</x:v>
      </x:c>
      <x:c r="I2656" s="85" t="n">
        <x:v>0</x:v>
      </x:c>
      <x:c r="J2656" s="85" t="n">
        <x:v>0</x:v>
      </x:c>
      <x:c r="K2656" s="85" t="n">
        <x:v>13567060.92509275</x:v>
      </x:c>
      <x:c r="L2656" s="28" t="n">
        <x:v>0</x:v>
      </x:c>
      <x:c r="M2656" s="28" t="n">
        <x:v>0</x:v>
      </x:c>
      <x:c r="N2656" s="28" t="n">
        <x:v>1.862645149230957e-9</x:v>
      </x:c>
      <x:c r="O2656" s="28" t="n">
        <x:v>5.960464477539063e-8</x:v>
      </x:c>
      <x:c r="P2656" s="28" t="n">
        <x:v>0</x:v>
      </x:c>
      <x:c r="Q2656" s="62" t="b">
        <x:v>1</x:v>
      </x:c>
      <x:c r="R2656" s="28" t="n">
        <x:v>0</x:v>
      </x:c>
      <x:c r="S2656" s="28" t="str">
        <x:v>e2c7852f048e5921</x:v>
      </x:c>
    </x:row>
    <x:row r="2657" ht="21" customHeight="1">
      <x:c r="A2657" s="60" t="n">
        <x:v>0.7</x:v>
      </x:c>
      <x:c r="B2657" s="28" t="str">
        <x:v>back_flat</x:v>
      </x:c>
      <x:c r="C2657" s="60" t="n">
        <x:v>0.15</x:v>
      </x:c>
      <x:c r="D2657" s="60" t="n">
        <x:v>0.15</x:v>
      </x:c>
      <x:c r="E2657" s="62" t="b">
        <x:v>1</x:v>
      </x:c>
      <x:c r="F2657" s="62" t="b">
        <x:v>1</x:v>
      </x:c>
      <x:c r="G2657" s="85" t="n">
        <x:v>0</x:v>
      </x:c>
      <x:c r="H2657" s="85" t="n">
        <x:v>0</x:v>
      </x:c>
      <x:c r="I2657" s="85" t="n">
        <x:v>1194274.7467316315</x:v>
      </x:c>
      <x:c r="J2657" s="85" t="n">
        <x:v>0</x:v>
      </x:c>
      <x:c r="K2657" s="85" t="n">
        <x:v>3393205.420200713</x:v>
      </x:c>
      <x:c r="L2657" s="28" t="n">
        <x:v>0</x:v>
      </x:c>
      <x:c r="M2657" s="28" t="n">
        <x:v>0</x:v>
      </x:c>
      <x:c r="N2657" s="28" t="n">
        <x:v>3.725290298461914e-9</x:v>
      </x:c>
      <x:c r="O2657" s="28" t="n">
        <x:v>5.960464477539063e-8</x:v>
      </x:c>
      <x:c r="P2657" s="28" t="n">
        <x:v>0</x:v>
      </x:c>
      <x:c r="Q2657" s="62" t="b">
        <x:v>1</x:v>
      </x:c>
      <x:c r="R2657" s="28" t="n">
        <x:v>0</x:v>
      </x:c>
      <x:c r="S2657" s="28" t="str">
        <x:v>956558f43768533d</x:v>
      </x:c>
    </x:row>
    <x:row r="2658" ht="21" customHeight="1">
      <x:c r="A2658" s="60" t="n">
        <x:v>0.7</x:v>
      </x:c>
      <x:c r="B2658" s="28" t="str">
        <x:v>back_flat</x:v>
      </x:c>
      <x:c r="C2658" s="60" t="n">
        <x:v>0.2</x:v>
      </x:c>
      <x:c r="D2658" s="60" t="n">
        <x:v>0.2</x:v>
      </x:c>
      <x:c r="E2658" s="62" t="b">
        <x:v>1</x:v>
      </x:c>
      <x:c r="F2658" s="62" t="b">
        <x:v>1</x:v>
      </x:c>
      <x:c r="G2658" s="85" t="n">
        <x:v>0</x:v>
      </x:c>
      <x:c r="H2658" s="85" t="n">
        <x:v>0</x:v>
      </x:c>
      <x:c r="I2658" s="85" t="n">
        <x:v>8806171.06389028</x:v>
      </x:c>
      <x:c r="J2658" s="85" t="n">
        <x:v>6341080.834812429</x:v>
      </x:c>
      <x:c r="K2658" s="85" t="n">
        <x:v>2772445.6723583373</x:v>
      </x:c>
      <x:c r="L2658" s="28" t="n">
        <x:v>0</x:v>
      </x:c>
      <x:c r="M2658" s="28" t="n">
        <x:v>0</x:v>
      </x:c>
      <x:c r="N2658" s="28" t="n">
        <x:v>1.862645149230957e-9</x:v>
      </x:c>
      <x:c r="O2658" s="28" t="n">
        <x:v>2.9802322387695312e-8</x:v>
      </x:c>
      <x:c r="P2658" s="28" t="n">
        <x:v>0</x:v>
      </x:c>
      <x:c r="Q2658" s="62" t="b">
        <x:v>1</x:v>
      </x:c>
      <x:c r="R2658" s="28" t="n">
        <x:v>0</x:v>
      </x:c>
      <x:c r="S2658" s="28" t="str">
        <x:v>9b51efdb968aa5fa</x:v>
      </x:c>
    </x:row>
    <x:row r="2659" ht="21" customHeight="1">
      <x:c r="A2659" s="60" t="n">
        <x:v>0.7</x:v>
      </x:c>
      <x:c r="B2659" s="28" t="str">
        <x:v>back_flat</x:v>
      </x:c>
      <x:c r="C2659" s="60" t="n">
        <x:v>0.25</x:v>
      </x:c>
      <x:c r="D2659" s="60" t="n">
        <x:v>0.25</x:v>
      </x:c>
      <x:c r="E2659" s="62" t="b">
        <x:v>1</x:v>
      </x:c>
      <x:c r="F2659" s="62" t="b">
        <x:v>1</x:v>
      </x:c>
      <x:c r="G2659" s="85" t="n">
        <x:v>0</x:v>
      </x:c>
      <x:c r="H2659" s="85" t="n">
        <x:v>0</x:v>
      </x:c>
      <x:c r="I2659" s="85" t="n">
        <x:v>14656857.903184935</x:v>
      </x:c>
      <x:c r="J2659" s="85" t="n">
        <x:v>15426351.043515677</x:v>
      </x:c>
      <x:c r="K2659" s="85" t="n">
        <x:v>2328645.8572154846</x:v>
      </x:c>
      <x:c r="L2659" s="28" t="n">
        <x:v>0</x:v>
      </x:c>
      <x:c r="M2659" s="28" t="n">
        <x:v>0</x:v>
      </x:c>
      <x:c r="N2659" s="28" t="n">
        <x:v>3.725290298461914e-9</x:v>
      </x:c>
      <x:c r="O2659" s="28" t="n">
        <x:v>2.9802322387695312e-8</x:v>
      </x:c>
      <x:c r="P2659" s="28" t="n">
        <x:v>0</x:v>
      </x:c>
      <x:c r="Q2659" s="62" t="b">
        <x:v>1</x:v>
      </x:c>
      <x:c r="R2659" s="28" t="n">
        <x:v>0</x:v>
      </x:c>
      <x:c r="S2659" s="28" t="str">
        <x:v>3ce058737f191f43</x:v>
      </x:c>
    </x:row>
    <x:row r="2660" ht="21" customHeight="1">
      <x:c r="A2660" s="60" t="n">
        <x:v>0.7</x:v>
      </x:c>
      <x:c r="B2660" s="28" t="str">
        <x:v>back_flat</x:v>
      </x:c>
      <x:c r="C2660" s="60" t="n">
        <x:v>0.3</x:v>
      </x:c>
      <x:c r="D2660" s="60" t="n">
        <x:v>0.3</x:v>
      </x:c>
      <x:c r="E2660" s="62" t="b">
        <x:v>1</x:v>
      </x:c>
      <x:c r="F2660" s="62" t="b">
        <x:v>1</x:v>
      </x:c>
      <x:c r="G2660" s="85" t="n">
        <x:v>0</x:v>
      </x:c>
      <x:c r="H2660" s="85" t="n">
        <x:v>0</x:v>
      </x:c>
      <x:c r="I2660" s="85" t="n">
        <x:v>20918802.453502566</x:v>
      </x:c>
      <x:c r="J2660" s="85" t="n">
        <x:v>23802172.89548044</x:v>
      </x:c>
      <x:c r="K2660" s="85" t="n">
        <x:v>1978304.7484915624</x:v>
      </x:c>
      <x:c r="L2660" s="28" t="n">
        <x:v>1</x:v>
      </x:c>
      <x:c r="M2660" s="28" t="n">
        <x:v>0</x:v>
      </x:c>
      <x:c r="N2660" s="28" t="n">
        <x:v>1.862645149230957e-9</x:v>
      </x:c>
      <x:c r="O2660" s="28" t="n">
        <x:v>2.9802322387695312e-8</x:v>
      </x:c>
      <x:c r="P2660" s="28" t="n">
        <x:v>0</x:v>
      </x:c>
      <x:c r="Q2660" s="62" t="b">
        <x:v>1</x:v>
      </x:c>
      <x:c r="R2660" s="28" t="n">
        <x:v>0</x:v>
      </x:c>
      <x:c r="S2660" s="28" t="str">
        <x:v>9a68bc2256bacb39</x:v>
      </x:c>
    </x:row>
    <x:row r="2661" ht="21" customHeight="1">
      <x:c r="A2661" s="60" t="n">
        <x:v>0.7</x:v>
      </x:c>
      <x:c r="B2661" s="28" t="str">
        <x:v>back_flat</x:v>
      </x:c>
      <x:c r="C2661" s="60" t="n">
        <x:v>0.35</x:v>
      </x:c>
      <x:c r="D2661" s="60" t="n">
        <x:v>0.35</x:v>
      </x:c>
      <x:c r="E2661" s="62" t="b">
        <x:v>1</x:v>
      </x:c>
      <x:c r="F2661" s="62" t="b">
        <x:v>1</x:v>
      </x:c>
      <x:c r="G2661" s="85" t="n">
        <x:v>0</x:v>
      </x:c>
      <x:c r="H2661" s="85" t="n">
        <x:v>0</x:v>
      </x:c>
      <x:c r="I2661" s="85" t="n">
        <x:v>29174259.081913594</x:v>
      </x:c>
      <x:c r="J2661" s="85" t="n">
        <x:v>27566149.26344307</x:v>
      </x:c>
      <x:c r="K2661" s="85" t="n">
        <x:v>1736328.302235601</x:v>
      </x:c>
      <x:c r="L2661" s="28" t="n">
        <x:v>8</x:v>
      </x:c>
      <x:c r="M2661" s="28" t="n">
        <x:v>0</x:v>
      </x:c>
      <x:c r="N2661" s="28" t="n">
        <x:v>3.725290298461914e-9</x:v>
      </x:c>
      <x:c r="O2661" s="28" t="n">
        <x:v>2.9802322387695312e-8</x:v>
      </x:c>
      <x:c r="P2661" s="28" t="n">
        <x:v>0</x:v>
      </x:c>
      <x:c r="Q2661" s="62" t="b">
        <x:v>1</x:v>
      </x:c>
      <x:c r="R2661" s="28" t="n">
        <x:v>0</x:v>
      </x:c>
      <x:c r="S2661" s="28" t="str">
        <x:v>754eaed1395c7042</x:v>
      </x:c>
    </x:row>
    <x:row r="2662" ht="21" customHeight="1">
      <x:c r="A2662" s="60" t="n">
        <x:v>0.7</x:v>
      </x:c>
      <x:c r="B2662" s="28" t="str">
        <x:v>back_flat</x:v>
      </x:c>
      <x:c r="C2662" s="60" t="n">
        <x:v>0.4</x:v>
      </x:c>
      <x:c r="D2662" s="60" t="n">
        <x:v>0.4</x:v>
      </x:c>
      <x:c r="E2662" s="62" t="b">
        <x:v>1</x:v>
      </x:c>
      <x:c r="F2662" s="62" t="b">
        <x:v>1</x:v>
      </x:c>
      <x:c r="G2662" s="85" t="n">
        <x:v>0</x:v>
      </x:c>
      <x:c r="H2662" s="85" t="n">
        <x:v>0</x:v>
      </x:c>
      <x:c r="I2662" s="85" t="n">
        <x:v>35892553.89778909</x:v>
      </x:c>
      <x:c r="J2662" s="85" t="n">
        <x:v>34969094.506035484</x:v>
      </x:c>
      <x:c r="K2662" s="85" t="n">
        <x:v>1494351.8559796212</x:v>
      </x:c>
      <x:c r="L2662" s="28" t="n">
        <x:v>11</x:v>
      </x:c>
      <x:c r="M2662" s="28" t="n">
        <x:v>0</x:v>
      </x:c>
      <x:c r="N2662" s="28" t="n">
        <x:v>1.862645149230957e-9</x:v>
      </x:c>
      <x:c r="O2662" s="28" t="n">
        <x:v>2.9802322387695312e-8</x:v>
      </x:c>
      <x:c r="P2662" s="28" t="n">
        <x:v>0</x:v>
      </x:c>
      <x:c r="Q2662" s="62" t="b">
        <x:v>1</x:v>
      </x:c>
      <x:c r="R2662" s="28" t="n">
        <x:v>0</x:v>
      </x:c>
      <x:c r="S2662" s="28" t="str">
        <x:v>c9d54146aa73253a</x:v>
      </x:c>
    </x:row>
    <x:row r="2663" ht="21" customHeight="1">
      <x:c r="A2663" s="60" t="n">
        <x:v>0.7</x:v>
      </x:c>
      <x:c r="B2663" s="28" t="str">
        <x:v>back_flat</x:v>
      </x:c>
      <x:c r="C2663" s="60" t="n">
        <x:v>0.45</x:v>
      </x:c>
      <x:c r="D2663" s="60" t="n">
        <x:v>0.45</x:v>
      </x:c>
      <x:c r="E2663" s="62" t="b">
        <x:v>1</x:v>
      </x:c>
      <x:c r="F2663" s="62" t="b">
        <x:v>1</x:v>
      </x:c>
      <x:c r="G2663" s="85" t="n">
        <x:v>0</x:v>
      </x:c>
      <x:c r="H2663" s="85" t="n">
        <x:v>0</x:v>
      </x:c>
      <x:c r="I2663" s="85" t="n">
        <x:v>42109306.508966394</x:v>
      </x:c>
      <x:c r="J2663" s="85" t="n">
        <x:v>43623222.81703208</x:v>
      </x:c>
      <x:c r="K2663" s="85" t="n">
        <x:v>1327002.7610830893</x:v>
      </x:c>
      <x:c r="L2663" s="28" t="n">
        <x:v>14</x:v>
      </x:c>
      <x:c r="M2663" s="28" t="n">
        <x:v>1</x:v>
      </x:c>
      <x:c r="N2663" s="28" t="n">
        <x:v>3.725290298461914e-9</x:v>
      </x:c>
      <x:c r="O2663" s="28" t="n">
        <x:v>1.4901161193847656e-8</x:v>
      </x:c>
      <x:c r="P2663" s="28" t="n">
        <x:v>0</x:v>
      </x:c>
      <x:c r="Q2663" s="62" t="b">
        <x:v>1</x:v>
      </x:c>
      <x:c r="R2663" s="28" t="n">
        <x:v>0</x:v>
      </x:c>
      <x:c r="S2663" s="28" t="str">
        <x:v>cc6469c0ffa3a72c</x:v>
      </x:c>
    </x:row>
    <x:row r="2664" ht="21" customHeight="1">
      <x:c r="A2664" s="60" t="n">
        <x:v>0.7</x:v>
      </x:c>
      <x:c r="B2664" s="28" t="str">
        <x:v>back_flat</x:v>
      </x:c>
      <x:c r="C2664" s="60" t="n">
        <x:v>0.5</x:v>
      </x:c>
      <x:c r="D2664" s="60" t="n">
        <x:v>0.5</x:v>
      </x:c>
      <x:c r="E2664" s="62" t="b">
        <x:v>1</x:v>
      </x:c>
      <x:c r="F2664" s="62" t="b">
        <x:v>1</x:v>
      </x:c>
      <x:c r="G2664" s="85" t="n">
        <x:v>0</x:v>
      </x:c>
      <x:c r="H2664" s="85" t="n">
        <x:v>0</x:v>
      </x:c>
      <x:c r="I2664" s="85" t="n">
        <x:v>47916903.589354046</x:v>
      </x:c>
      <x:c r="J2664" s="85" t="n">
        <x:v>52984773.01801912</x:v>
      </x:c>
      <x:c r="K2664" s="85" t="n">
        <x:v>1189252.2859827415</x:v>
      </x:c>
      <x:c r="L2664" s="28" t="n">
        <x:v>17</x:v>
      </x:c>
      <x:c r="M2664" s="28" t="n">
        <x:v>7</x:v>
      </x:c>
      <x:c r="N2664" s="28" t="n">
        <x:v>3.725290298461914e-9</x:v>
      </x:c>
      <x:c r="O2664" s="28" t="n">
        <x:v>2.9802322387695312e-8</x:v>
      </x:c>
      <x:c r="P2664" s="28" t="n">
        <x:v>0</x:v>
      </x:c>
      <x:c r="Q2664" s="62" t="b">
        <x:v>1</x:v>
      </x:c>
      <x:c r="R2664" s="28" t="n">
        <x:v>0</x:v>
      </x:c>
      <x:c r="S2664" s="28" t="str">
        <x:v>f9aed43fe5e893dd</x:v>
      </x:c>
    </x:row>
    <x:row r="2665" ht="21" customHeight="1">
      <x:c r="A2665" s="60" t="n">
        <x:v>0.7</x:v>
      </x:c>
      <x:c r="B2665" s="28" t="str">
        <x:v>back_flat</x:v>
      </x:c>
      <x:c r="C2665" s="60" t="n">
        <x:v>0.55</x:v>
      </x:c>
      <x:c r="D2665" s="60" t="n">
        <x:v>0.55</x:v>
      </x:c>
      <x:c r="E2665" s="62" t="b">
        <x:v>1</x:v>
      </x:c>
      <x:c r="F2665" s="62" t="b">
        <x:v>0</x:v>
      </x:c>
      <x:c r="G2665" s="85" t="n">
        <x:v>442340.5722725145</x:v>
      </x:c>
      <x:c r="H2665" s="85" t="n">
        <x:v>2850756.0661108703</x:v>
      </x:c>
      <x:c r="I2665" s="85" t="n">
        <x:v>52365064.47397624</x:v>
      </x:c>
      <x:c r="J2665" s="85" t="n">
        <x:v>60000000.000000015</x:v>
      </x:c>
      <x:c r="K2665" s="85" t="n">
        <x:v>1051501.8108823777</x:v>
      </x:c>
      <x:c r="L2665" s="28" t="n">
        <x:v>41</x:v>
      </x:c>
      <x:c r="M2665" s="28" t="n">
        <x:v>32</x:v>
      </x:c>
      <x:c r="N2665" s="28" t="n">
        <x:v>3.725290298461914e-9</x:v>
      </x:c>
      <x:c r="O2665" s="28" t="n">
        <x:v>2.9802322387695312e-8</x:v>
      </x:c>
      <x:c r="P2665" s="28" t="n">
        <x:v>0</x:v>
      </x:c>
      <x:c r="Q2665" s="62" t="b">
        <x:v>1</x:v>
      </x:c>
      <x:c r="R2665" s="28" t="n">
        <x:v>0</x:v>
      </x:c>
      <x:c r="S2665" s="28" t="str">
        <x:v>738f230249d455ef</x:v>
      </x:c>
    </x:row>
    <x:row r="2666" ht="21" customHeight="1">
      <x:c r="A2666" s="60" t="n">
        <x:v>0.7</x:v>
      </x:c>
      <x:c r="B2666" s="28" t="str">
        <x:v>back_flat</x:v>
      </x:c>
      <x:c r="C2666" s="60" t="n">
        <x:v>0.6</x:v>
      </x:c>
      <x:c r="D2666" s="60" t="n">
        <x:v>0.6</x:v>
      </x:c>
      <x:c r="E2666" s="62" t="b">
        <x:v>1</x:v>
      </x:c>
      <x:c r="F2666" s="62" t="b">
        <x:v>0</x:v>
      </x:c>
      <x:c r="G2666" s="85" t="n">
        <x:v>2126488.453811698</x:v>
      </x:c>
      <x:c r="H2666" s="85" t="n">
        <x:v>13863183.076658756</x:v>
      </x:c>
      <x:c r="I2666" s="85" t="n">
        <x:v>53598904.10958907</x:v>
      </x:c>
      <x:c r="J2666" s="85" t="n">
        <x:v>60000000.000000015</x:v>
      </x:c>
      <x:c r="K2666" s="85" t="n">
        <x:v>958506.5721260286</x:v>
      </x:c>
      <x:c r="L2666" s="28" t="n">
        <x:v>42</x:v>
      </x:c>
      <x:c r="M2666" s="28" t="n">
        <x:v>33</x:v>
      </x:c>
      <x:c r="N2666" s="28" t="n">
        <x:v>1.862645149230957e-9</x:v>
      </x:c>
      <x:c r="O2666" s="28" t="n">
        <x:v>2.9802322387695312e-8</x:v>
      </x:c>
      <x:c r="P2666" s="28" t="n">
        <x:v>0</x:v>
      </x:c>
      <x:c r="Q2666" s="62" t="b">
        <x:v>1</x:v>
      </x:c>
      <x:c r="R2666" s="28" t="n">
        <x:v>0</x:v>
      </x:c>
      <x:c r="S2666" s="28" t="str">
        <x:v>c540c1f3a9fff5f4</x:v>
      </x:c>
    </x:row>
    <x:row r="2667" ht="21" customHeight="1">
      <x:c r="A2667" s="60" t="n">
        <x:v>0.7</x:v>
      </x:c>
      <x:c r="B2667" s="28" t="str">
        <x:v>back_flat</x:v>
      </x:c>
      <x:c r="C2667" s="60" t="n">
        <x:v>0.65</x:v>
      </x:c>
      <x:c r="D2667" s="60" t="n">
        <x:v>0.65</x:v>
      </x:c>
      <x:c r="E2667" s="62" t="b">
        <x:v>1</x:v>
      </x:c>
      <x:c r="F2667" s="62" t="b">
        <x:v>0</x:v>
      </x:c>
      <x:c r="G2667" s="85" t="n">
        <x:v>4561509.413207261</x:v>
      </x:c>
      <x:c r="H2667" s="85" t="n">
        <x:v>25936615.517480765</x:v>
      </x:c>
      <x:c r="I2667" s="85" t="n">
        <x:v>53598904.10958907</x:v>
      </x:c>
      <x:c r="J2667" s="85" t="n">
        <x:v>60000000.000000015</x:v>
      </x:c>
      <x:c r="K2667" s="85" t="n">
        <x:v>895654.1614698614</x:v>
      </x:c>
      <x:c r="L2667" s="28" t="n">
        <x:v>42</x:v>
      </x:c>
      <x:c r="M2667" s="28" t="n">
        <x:v>34</x:v>
      </x:c>
      <x:c r="N2667" s="28" t="n">
        <x:v>1.862645149230957e-9</x:v>
      </x:c>
      <x:c r="O2667" s="28" t="n">
        <x:v>1.4901161193847656e-8</x:v>
      </x:c>
      <x:c r="P2667" s="28" t="n">
        <x:v>0</x:v>
      </x:c>
      <x:c r="Q2667" s="62" t="b">
        <x:v>1</x:v>
      </x:c>
      <x:c r="R2667" s="28" t="n">
        <x:v>0</x:v>
      </x:c>
      <x:c r="S2667" s="28" t="str">
        <x:v>879edddea875cd3a</x:v>
      </x:c>
    </x:row>
    <x:row r="2668" ht="21" customHeight="1">
      <x:c r="A2668" s="60" t="n">
        <x:v>0.7</x:v>
      </x:c>
      <x:c r="B2668" s="28" t="str">
        <x:v>back_flat</x:v>
      </x:c>
      <x:c r="C2668" s="60" t="n">
        <x:v>0.7</x:v>
      </x:c>
      <x:c r="D2668" s="60" t="n">
        <x:v>0.7</x:v>
      </x:c>
      <x:c r="E2668" s="62" t="b">
        <x:v>1</x:v>
      </x:c>
      <x:c r="F2668" s="62" t="b">
        <x:v>0</x:v>
      </x:c>
      <x:c r="G2668" s="85" t="n">
        <x:v>6541208.904380404</x:v>
      </x:c>
      <x:c r="H2668" s="85" t="n">
        <x:v>36289151.06599824</x:v>
      </x:c>
      <x:c r="I2668" s="85" t="n">
        <x:v>54870410.95890413</x:v>
      </x:c>
      <x:c r="J2668" s="85" t="n">
        <x:v>60000000.000000015</x:v>
      </x:c>
      <x:c r="K2668" s="85" t="n">
        <x:v>832801.7508137004</x:v>
      </x:c>
      <x:c r="L2668" s="28" t="n">
        <x:v>43</x:v>
      </x:c>
      <x:c r="M2668" s="28" t="n">
        <x:v>35</x:v>
      </x:c>
      <x:c r="N2668" s="28" t="n">
        <x:v>1.862645149230957e-9</x:v>
      </x:c>
      <x:c r="O2668" s="28" t="n">
        <x:v>2.9802322387695312e-8</x:v>
      </x:c>
      <x:c r="P2668" s="28" t="n">
        <x:v>0</x:v>
      </x:c>
      <x:c r="Q2668" s="62" t="b">
        <x:v>1</x:v>
      </x:c>
      <x:c r="R2668" s="28" t="n">
        <x:v>0</x:v>
      </x:c>
      <x:c r="S2668" s="28" t="str">
        <x:v>27ed252b8174f5d6</x:v>
      </x:c>
    </x:row>
    <x:row r="2669" ht="21" customHeight="1">
      <x:c r="A2669" s="60" t="n">
        <x:v>0.7</x:v>
      </x:c>
      <x:c r="B2669" s="28" t="str">
        <x:v>back_flat</x:v>
      </x:c>
      <x:c r="C2669" s="60" t="n">
        <x:v>0.75</x:v>
      </x:c>
      <x:c r="D2669" s="60" t="n">
        <x:v>0.75</x:v>
      </x:c>
      <x:c r="E2669" s="62" t="b">
        <x:v>1</x:v>
      </x:c>
      <x:c r="F2669" s="62" t="b">
        <x:v>0</x:v>
      </x:c>
      <x:c r="G2669" s="85" t="n">
        <x:v>9255939.613555495</x:v>
      </x:c>
      <x:c r="H2669" s="85" t="n">
        <x:v>47945541.590841405</x:v>
      </x:c>
      <x:c r="I2669" s="85" t="n">
        <x:v>54899949.64522947</x:v>
      </x:c>
      <x:c r="J2669" s="85" t="n">
        <x:v>60000000.000000015</x:v>
      </x:c>
      <x:c r="K2669" s="85" t="n">
        <x:v>769949.3401575446</x:v>
      </x:c>
      <x:c r="L2669" s="28" t="n">
        <x:v>43</x:v>
      </x:c>
      <x:c r="M2669" s="28" t="n">
        <x:v>36</x:v>
      </x:c>
      <x:c r="N2669" s="28" t="n">
        <x:v>1.862645149230957e-9</x:v>
      </x:c>
      <x:c r="O2669" s="28" t="n">
        <x:v>2.9802322387695312e-8</x:v>
      </x:c>
      <x:c r="P2669" s="28" t="n">
        <x:v>0</x:v>
      </x:c>
      <x:c r="Q2669" s="62" t="b">
        <x:v>1</x:v>
      </x:c>
      <x:c r="R2669" s="28" t="n">
        <x:v>0</x:v>
      </x:c>
      <x:c r="S2669" s="28" t="str">
        <x:v>a58e4c4a09487344</x:v>
      </x:c>
    </x:row>
    <x:row r="2670" ht="21" customHeight="1">
      <x:c r="A2670" s="60" t="n">
        <x:v>0.7</x:v>
      </x:c>
      <x:c r="B2670" s="28" t="str">
        <x:v>back_flat</x:v>
      </x:c>
      <x:c r="C2670" s="60" t="n">
        <x:v>0.8</x:v>
      </x:c>
      <x:c r="D2670" s="60" t="n">
        <x:v>0.8</x:v>
      </x:c>
      <x:c r="E2670" s="62" t="b">
        <x:v>1</x:v>
      </x:c>
      <x:c r="F2670" s="62" t="b">
        <x:v>0</x:v>
      </x:c>
      <x:c r="G2670" s="85" t="n">
        <x:v>11689441.373998268</x:v>
      </x:c>
      <x:c r="H2670" s="85" t="n">
        <x:v>59601932.115684785</x:v>
      </x:c>
      <x:c r="I2670" s="85" t="n">
        <x:v>54934004.460482225</x:v>
      </x:c>
      <x:c r="J2670" s="85" t="n">
        <x:v>60000000.000000015</x:v>
      </x:c>
      <x:c r="K2670" s="85" t="n">
        <x:v>707096.9295013665</x:v>
      </x:c>
      <x:c r="L2670" s="28" t="n">
        <x:v>43</x:v>
      </x:c>
      <x:c r="M2670" s="28" t="n">
        <x:v>36</x:v>
      </x:c>
      <x:c r="N2670" s="28" t="n">
        <x:v>1.862645149230957e-9</x:v>
      </x:c>
      <x:c r="O2670" s="28" t="n">
        <x:v>1.4901161193847656e-8</x:v>
      </x:c>
      <x:c r="P2670" s="28" t="n">
        <x:v>0</x:v>
      </x:c>
      <x:c r="Q2670" s="62" t="b">
        <x:v>1</x:v>
      </x:c>
      <x:c r="R2670" s="28" t="n">
        <x:v>0</x:v>
      </x:c>
      <x:c r="S2670" s="28" t="str">
        <x:v>977b32d532cae130</x:v>
      </x:c>
    </x:row>
    <x:row r="2671" ht="21" customHeight="1">
      <x:c r="A2671" s="60" t="n">
        <x:v>0.7</x:v>
      </x:c>
      <x:c r="B2671" s="28" t="str">
        <x:v>back_flat</x:v>
      </x:c>
      <x:c r="C2671" s="60" t="n">
        <x:v>0.85</x:v>
      </x:c>
      <x:c r="D2671" s="60" t="n">
        <x:v>0.85</x:v>
      </x:c>
      <x:c r="E2671" s="62" t="b">
        <x:v>1</x:v>
      </x:c>
      <x:c r="F2671" s="62" t="b">
        <x:v>0</x:v>
      </x:c>
      <x:c r="G2671" s="85" t="n">
        <x:v>15782152.215008242</x:v>
      </x:c>
      <x:c r="H2671" s="85" t="n">
        <x:v>68673464.05365947</x:v>
      </x:c>
      <x:c r="I2671" s="85" t="n">
        <x:v>56141917.80821921</x:v>
      </x:c>
      <x:c r="J2671" s="85" t="n">
        <x:v>60000000.000000015</x:v>
      </x:c>
      <x:c r="K2671" s="85" t="n">
        <x:v>644244.5188452005</x:v>
      </x:c>
      <x:c r="L2671" s="28" t="n">
        <x:v>44</x:v>
      </x:c>
      <x:c r="M2671" s="28" t="n">
        <x:v>37</x:v>
      </x:c>
      <x:c r="N2671" s="28" t="n">
        <x:v>1.862645149230957e-9</x:v>
      </x:c>
      <x:c r="O2671" s="28" t="n">
        <x:v>2.9802322387695312e-8</x:v>
      </x:c>
      <x:c r="P2671" s="28" t="n">
        <x:v>0</x:v>
      </x:c>
      <x:c r="Q2671" s="62" t="b">
        <x:v>1</x:v>
      </x:c>
      <x:c r="R2671" s="28" t="n">
        <x:v>0</x:v>
      </x:c>
      <x:c r="S2671" s="28" t="str">
        <x:v>cdfe4c5816588c8b</x:v>
      </x:c>
    </x:row>
    <x:row r="2672" ht="21" customHeight="1">
      <x:c r="A2672" s="60" t="n">
        <x:v>0.7</x:v>
      </x:c>
      <x:c r="B2672" s="28" t="str">
        <x:v>back_flat</x:v>
      </x:c>
      <x:c r="C2672" s="60" t="n">
        <x:v>0.9</x:v>
      </x:c>
      <x:c r="D2672" s="60" t="n">
        <x:v>0.8948658400492392</x:v>
      </x:c>
      <x:c r="E2672" s="62" t="b">
        <x:v>0</x:v>
      </x:c>
      <x:c r="F2672" s="62" t="b">
        <x:v>0</x:v>
      </x:c>
      <x:c r="G2672" s="85" t="n">
        <x:v>19878374.391258743</x:v>
      </x:c>
      <x:c r="H2672" s="85" t="n">
        <x:v>75262506.25295053</x:v>
      </x:c>
      <x:c r="I2672" s="85" t="n">
        <x:v>56141917.80821921</x:v>
      </x:c>
      <x:c r="J2672" s="85" t="n">
        <x:v>60000000.000000015</x:v>
      </x:c>
      <x:c r="K2672" s="85" t="n">
        <x:v>581392.1081890351</x:v>
      </x:c>
      <x:c r="L2672" s="28" t="n">
        <x:v>44</x:v>
      </x:c>
      <x:c r="M2672" s="28" t="n">
        <x:v>38</x:v>
      </x:c>
      <x:c r="N2672" s="28" t="n">
        <x:v>1.862645149230957e-9</x:v>
      </x:c>
      <x:c r="O2672" s="28" t="n">
        <x:v>2.9802322387695312e-8</x:v>
      </x:c>
      <x:c r="P2672" s="28" t="n">
        <x:v>0</x:v>
      </x:c>
      <x:c r="Q2672" s="62" t="b">
        <x:v>1</x:v>
      </x:c>
      <x:c r="R2672" s="28" t="n">
        <x:v>1540247.9852282405</x:v>
      </x:c>
      <x:c r="S2672" s="28" t="str">
        <x:v>c9a5848972f3be05</x:v>
      </x:c>
    </x:row>
    <x:row r="2673" ht="21" customHeight="1">
      <x:c r="A2673" s="60" t="n">
        <x:v>0.7</x:v>
      </x:c>
      <x:c r="B2673" s="28" t="str">
        <x:v>back_flat</x:v>
      </x:c>
      <x:c r="C2673" s="60" t="n">
        <x:v>0.95</x:v>
      </x:c>
      <x:c r="D2673" s="60" t="n">
        <x:v>0.9083032015334562</x:v>
      </x:c>
      <x:c r="E2673" s="62" t="b">
        <x:v>0</x:v>
      </x:c>
      <x:c r="F2673" s="62" t="b">
        <x:v>0</x:v>
      </x:c>
      <x:c r="G2673" s="85" t="n">
        <x:v>20901805.43081035</x:v>
      </x:c>
      <x:c r="H2673" s="85" t="n">
        <x:v>79137369.63451496</x:v>
      </x:c>
      <x:c r="I2673" s="85" t="n">
        <x:v>56141917.80821921</x:v>
      </x:c>
      <x:c r="J2673" s="85" t="n">
        <x:v>60000000.000000015</x:v>
      </x:c>
      <x:c r="K2673" s="85" t="n">
        <x:v>518539.6975328704</x:v>
      </x:c>
      <x:c r="L2673" s="28" t="n">
        <x:v>44</x:v>
      </x:c>
      <x:c r="M2673" s="28" t="n">
        <x:v>38</x:v>
      </x:c>
      <x:c r="N2673" s="28" t="n">
        <x:v>1.862645149230957e-9</x:v>
      </x:c>
      <x:c r="O2673" s="28" t="n">
        <x:v>2.9802322387695312e-8</x:v>
      </x:c>
      <x:c r="P2673" s="28" t="n">
        <x:v>0</x:v>
      </x:c>
      <x:c r="Q2673" s="62" t="b">
        <x:v>1</x:v>
      </x:c>
      <x:c r="R2673" s="28" t="n">
        <x:v>12509039.539963126</x:v>
      </x:c>
      <x:c r="S2673" s="28" t="str">
        <x:v>ac4d658563238ff8</x:v>
      </x:c>
    </x:row>
    <x:row r="2674" ht="21" customHeight="1">
      <x:c r="A2674" s="60" t="n">
        <x:v>0.7</x:v>
      </x:c>
      <x:c r="B2674" s="28" t="str">
        <x:v>back_flat</x:v>
      </x:c>
      <x:c r="C2674" s="60" t="n">
        <x:v>1</x:v>
      </x:c>
      <x:c r="D2674" s="60" t="n">
        <x:v>0.920601109498915</x:v>
      </x:c>
      <x:c r="E2674" s="62" t="b">
        <x:v>0</x:v>
      </x:c>
      <x:c r="F2674" s="62" t="b">
        <x:v>0</x:v>
      </x:c>
      <x:c r="G2674" s="85" t="n">
        <x:v>22518958.890165713</x:v>
      </x:c>
      <x:c r="H2674" s="85" t="n">
        <x:v>81824353.8696142</x:v>
      </x:c>
      <x:c r="I2674" s="85" t="n">
        <x:v>56141917.80821921</x:v>
      </x:c>
      <x:c r="J2674" s="85" t="n">
        <x:v>60000000.000000015</x:v>
      </x:c>
      <x:c r="K2674" s="85" t="n">
        <x:v>469338.0099452081</x:v>
      </x:c>
      <x:c r="L2674" s="28" t="n">
        <x:v>44</x:v>
      </x:c>
      <x:c r="M2674" s="28" t="n">
        <x:v>39</x:v>
      </x:c>
      <x:c r="N2674" s="28" t="n">
        <x:v>1.862645149230957e-9</x:v>
      </x:c>
      <x:c r="O2674" s="28" t="n">
        <x:v>2.9802322387695312e-8</x:v>
      </x:c>
      <x:c r="P2674" s="28" t="n">
        <x:v>0</x:v>
      </x:c>
      <x:c r="Q2674" s="62" t="b">
        <x:v>1</x:v>
      </x:c>
      <x:c r="R2674" s="28" t="n">
        <x:v>23819667.150325477</x:v>
      </x:c>
      <x:c r="S2674" s="28" t="str">
        <x:v>955c5024882cab79</x:v>
      </x:c>
    </x:row>
    <x:row r="2675" ht="21" customHeight="1">
      <x:c r="A2675" s="60" t="n">
        <x:v>0.7</x:v>
      </x:c>
      <x:c r="B2675" s="28" t="str">
        <x:v>back_low</x:v>
      </x:c>
      <x:c r="C2675" s="60" t="n">
        <x:v>0</x:v>
      </x:c>
      <x:c r="D2675" s="60" t="n">
        <x:v>0</x:v>
      </x:c>
      <x:c r="E2675" s="62" t="b">
        <x:v>1</x:v>
      </x:c>
      <x:c r="F2675" s="62" t="b">
        <x:v>1</x:v>
      </x:c>
      <x:c r="G2675" s="85" t="n">
        <x:v>0</x:v>
      </x:c>
      <x:c r="H2675" s="85" t="n">
        <x:v>0</x:v>
      </x:c>
      <x:c r="I2675" s="85" t="n">
        <x:v>0</x:v>
      </x:c>
      <x:c r="J2675" s="85" t="n">
        <x:v>0</x:v>
      </x:c>
      <x:c r="K2675" s="85" t="n">
        <x:v>33173537.98424654</x:v>
      </x:c>
      <x:c r="L2675" s="28" t="n">
        <x:v>0</x:v>
      </x:c>
      <x:c r="M2675" s="28" t="n">
        <x:v>0</x:v>
      </x:c>
      <x:c r="N2675" s="28" t="n">
        <x:v>3.725290298461914e-9</x:v>
      </x:c>
      <x:c r="O2675" s="28" t="n">
        <x:v>0</x:v>
      </x:c>
      <x:c r="P2675" s="28" t="n">
        <x:v>0</x:v>
      </x:c>
      <x:c r="Q2675" s="62" t="b">
        <x:v>1</x:v>
      </x:c>
      <x:c r="R2675" s="28" t="n">
        <x:v>0</x:v>
      </x:c>
      <x:c r="S2675" s="28" t="str">
        <x:v>0665606b451aec52</x:v>
      </x:c>
    </x:row>
    <x:row r="2676" ht="21" customHeight="1">
      <x:c r="A2676" s="60" t="n">
        <x:v>0.7</x:v>
      </x:c>
      <x:c r="B2676" s="28" t="str">
        <x:v>back_low</x:v>
      </x:c>
      <x:c r="C2676" s="60" t="n">
        <x:v>0.05</x:v>
      </x:c>
      <x:c r="D2676" s="60" t="n">
        <x:v>0.05</x:v>
      </x:c>
      <x:c r="E2676" s="62" t="b">
        <x:v>1</x:v>
      </x:c>
      <x:c r="F2676" s="62" t="b">
        <x:v>1</x:v>
      </x:c>
      <x:c r="G2676" s="85" t="n">
        <x:v>0</x:v>
      </x:c>
      <x:c r="H2676" s="85" t="n">
        <x:v>0</x:v>
      </x:c>
      <x:c r="I2676" s="85" t="n">
        <x:v>0</x:v>
      </x:c>
      <x:c r="J2676" s="85" t="n">
        <x:v>0</x:v>
      </x:c>
      <x:c r="K2676" s="85" t="n">
        <x:v>22554318.68563484</x:v>
      </x:c>
      <x:c r="L2676" s="28" t="n">
        <x:v>0</x:v>
      </x:c>
      <x:c r="M2676" s="28" t="n">
        <x:v>0</x:v>
      </x:c>
      <x:c r="N2676" s="28" t="n">
        <x:v>3.725290298461914e-9</x:v>
      </x:c>
      <x:c r="O2676" s="28" t="n">
        <x:v>5.960464477539063e-8</x:v>
      </x:c>
      <x:c r="P2676" s="28" t="n">
        <x:v>0</x:v>
      </x:c>
      <x:c r="Q2676" s="62" t="b">
        <x:v>1</x:v>
      </x:c>
      <x:c r="R2676" s="28" t="n">
        <x:v>0</x:v>
      </x:c>
      <x:c r="S2676" s="28" t="str">
        <x:v>37cf5634205eca89</x:v>
      </x:c>
    </x:row>
    <x:row r="2677" ht="21" customHeight="1">
      <x:c r="A2677" s="60" t="n">
        <x:v>0.7</x:v>
      </x:c>
      <x:c r="B2677" s="28" t="str">
        <x:v>back_low</x:v>
      </x:c>
      <x:c r="C2677" s="60" t="n">
        <x:v>0.1</x:v>
      </x:c>
      <x:c r="D2677" s="60" t="n">
        <x:v>0.1</x:v>
      </x:c>
      <x:c r="E2677" s="62" t="b">
        <x:v>1</x:v>
      </x:c>
      <x:c r="F2677" s="62" t="b">
        <x:v>1</x:v>
      </x:c>
      <x:c r="G2677" s="85" t="n">
        <x:v>0</x:v>
      </x:c>
      <x:c r="H2677" s="85" t="n">
        <x:v>0</x:v>
      </x:c>
      <x:c r="I2677" s="85" t="n">
        <x:v>0</x:v>
      </x:c>
      <x:c r="J2677" s="85" t="n">
        <x:v>0</x:v>
      </x:c>
      <x:c r="K2677" s="85" t="n">
        <x:v>11852347.713307122</x:v>
      </x:c>
      <x:c r="L2677" s="28" t="n">
        <x:v>0</x:v>
      </x:c>
      <x:c r="M2677" s="28" t="n">
        <x:v>0</x:v>
      </x:c>
      <x:c r="N2677" s="28" t="n">
        <x:v>1.862645149230957e-9</x:v>
      </x:c>
      <x:c r="O2677" s="28" t="n">
        <x:v>5.960464477539063e-8</x:v>
      </x:c>
      <x:c r="P2677" s="28" t="n">
        <x:v>0</x:v>
      </x:c>
      <x:c r="Q2677" s="62" t="b">
        <x:v>1</x:v>
      </x:c>
      <x:c r="R2677" s="28" t="n">
        <x:v>0</x:v>
      </x:c>
      <x:c r="S2677" s="28" t="str">
        <x:v>063b9c82a9edfef0</x:v>
      </x:c>
    </x:row>
    <x:row r="2678" ht="21" customHeight="1">
      <x:c r="A2678" s="60" t="n">
        <x:v>0.7</x:v>
      </x:c>
      <x:c r="B2678" s="28" t="str">
        <x:v>back_low</x:v>
      </x:c>
      <x:c r="C2678" s="60" t="n">
        <x:v>0.15</x:v>
      </x:c>
      <x:c r="D2678" s="60" t="n">
        <x:v>0.15</x:v>
      </x:c>
      <x:c r="E2678" s="62" t="b">
        <x:v>1</x:v>
      </x:c>
      <x:c r="F2678" s="62" t="b">
        <x:v>1</x:v>
      </x:c>
      <x:c r="G2678" s="85" t="n">
        <x:v>0</x:v>
      </x:c>
      <x:c r="H2678" s="85" t="n">
        <x:v>0</x:v>
      </x:c>
      <x:c r="I2678" s="85" t="n">
        <x:v>634251.2753819092</x:v>
      </x:c>
      <x:c r="J2678" s="85" t="n">
        <x:v>0</x:v>
      </x:c>
      <x:c r="K2678" s="85" t="n">
        <x:v>2313722.592915826</x:v>
      </x:c>
      <x:c r="L2678" s="28" t="n">
        <x:v>0</x:v>
      </x:c>
      <x:c r="M2678" s="28" t="n">
        <x:v>0</x:v>
      </x:c>
      <x:c r="N2678" s="28" t="n">
        <x:v>1.862645149230957e-9</x:v>
      </x:c>
      <x:c r="O2678" s="28" t="n">
        <x:v>5.960464477539063e-8</x:v>
      </x:c>
      <x:c r="P2678" s="28" t="n">
        <x:v>0</x:v>
      </x:c>
      <x:c r="Q2678" s="62" t="b">
        <x:v>1</x:v>
      </x:c>
      <x:c r="R2678" s="28" t="n">
        <x:v>0</x:v>
      </x:c>
      <x:c r="S2678" s="28" t="str">
        <x:v>40627e429b94c169</x:v>
      </x:c>
    </x:row>
    <x:row r="2679" ht="21" customHeight="1">
      <x:c r="A2679" s="60" t="n">
        <x:v>0.7</x:v>
      </x:c>
      <x:c r="B2679" s="28" t="str">
        <x:v>back_low</x:v>
      </x:c>
      <x:c r="C2679" s="60" t="n">
        <x:v>0.2</x:v>
      </x:c>
      <x:c r="D2679" s="60" t="n">
        <x:v>0.2</x:v>
      </x:c>
      <x:c r="E2679" s="62" t="b">
        <x:v>1</x:v>
      </x:c>
      <x:c r="F2679" s="62" t="b">
        <x:v>1</x:v>
      </x:c>
      <x:c r="G2679" s="85" t="n">
        <x:v>0</x:v>
      </x:c>
      <x:c r="H2679" s="85" t="n">
        <x:v>0</x:v>
      </x:c>
      <x:c r="I2679" s="85" t="n">
        <x:v>6537418.132030907</x:v>
      </x:c>
      <x:c r="J2679" s="85" t="n">
        <x:v>6341080.834812429</x:v>
      </x:c>
      <x:c r="K2679" s="85" t="n">
        <x:v>1958392.429207753</x:v>
      </x:c>
      <x:c r="L2679" s="28" t="n">
        <x:v>0</x:v>
      </x:c>
      <x:c r="M2679" s="28" t="n">
        <x:v>0</x:v>
      </x:c>
      <x:c r="N2679" s="28" t="n">
        <x:v>1.862645149230957e-9</x:v>
      </x:c>
      <x:c r="O2679" s="28" t="n">
        <x:v>2.9802322387695312e-8</x:v>
      </x:c>
      <x:c r="P2679" s="28" t="n">
        <x:v>0</x:v>
      </x:c>
      <x:c r="Q2679" s="62" t="b">
        <x:v>1</x:v>
      </x:c>
      <x:c r="R2679" s="28" t="n">
        <x:v>0</x:v>
      </x:c>
      <x:c r="S2679" s="28" t="str">
        <x:v>c3e62e546f641608</x:v>
      </x:c>
    </x:row>
    <x:row r="2680" ht="21" customHeight="1">
      <x:c r="A2680" s="60" t="n">
        <x:v>0.7</x:v>
      </x:c>
      <x:c r="B2680" s="28" t="str">
        <x:v>back_low</x:v>
      </x:c>
      <x:c r="C2680" s="60" t="n">
        <x:v>0.25</x:v>
      </x:c>
      <x:c r="D2680" s="60" t="n">
        <x:v>0.25</x:v>
      </x:c>
      <x:c r="E2680" s="62" t="b">
        <x:v>1</x:v>
      </x:c>
      <x:c r="F2680" s="62" t="b">
        <x:v>1</x:v>
      </x:c>
      <x:c r="G2680" s="85" t="n">
        <x:v>0</x:v>
      </x:c>
      <x:c r="H2680" s="85" t="n">
        <x:v>0</x:v>
      </x:c>
      <x:c r="I2680" s="85" t="n">
        <x:v>10335655.91863458</x:v>
      </x:c>
      <x:c r="J2680" s="85" t="n">
        <x:v>15426351.043515677</x:v>
      </x:c>
      <x:c r="K2680" s="85" t="n">
        <x:v>1669334.0225564183</x:v>
      </x:c>
      <x:c r="L2680" s="28" t="n">
        <x:v>0</x:v>
      </x:c>
      <x:c r="M2680" s="28" t="n">
        <x:v>0</x:v>
      </x:c>
      <x:c r="N2680" s="28" t="n">
        <x:v>9.313225746154785e-10</x:v>
      </x:c>
      <x:c r="O2680" s="28" t="n">
        <x:v>2.9802322387695312e-8</x:v>
      </x:c>
      <x:c r="P2680" s="28" t="n">
        <x:v>0</x:v>
      </x:c>
      <x:c r="Q2680" s="62" t="b">
        <x:v>1</x:v>
      </x:c>
      <x:c r="R2680" s="28" t="n">
        <x:v>0</x:v>
      </x:c>
      <x:c r="S2680" s="28" t="str">
        <x:v>d9f04f5f6cab0813</x:v>
      </x:c>
    </x:row>
    <x:row r="2681" ht="21" customHeight="1">
      <x:c r="A2681" s="60" t="n">
        <x:v>0.7</x:v>
      </x:c>
      <x:c r="B2681" s="28" t="str">
        <x:v>back_low</x:v>
      </x:c>
      <x:c r="C2681" s="60" t="n">
        <x:v>0.3</x:v>
      </x:c>
      <x:c r="D2681" s="60" t="n">
        <x:v>0.3</x:v>
      </x:c>
      <x:c r="E2681" s="62" t="b">
        <x:v>1</x:v>
      </x:c>
      <x:c r="F2681" s="62" t="b">
        <x:v>1</x:v>
      </x:c>
      <x:c r="G2681" s="85" t="n">
        <x:v>0</x:v>
      </x:c>
      <x:c r="H2681" s="85" t="n">
        <x:v>0</x:v>
      </x:c>
      <x:c r="I2681" s="85" t="n">
        <x:v>14559009.485845188</x:v>
      </x:c>
      <x:c r="J2681" s="85" t="n">
        <x:v>23932819.40008582</x:v>
      </x:c>
      <x:c r="K2681" s="85" t="n">
        <x:v>1458218.6588485294</x:v>
      </x:c>
      <x:c r="L2681" s="28" t="n">
        <x:v>1</x:v>
      </x:c>
      <x:c r="M2681" s="28" t="n">
        <x:v>0</x:v>
      </x:c>
      <x:c r="N2681" s="28" t="n">
        <x:v>1.862645149230957e-9</x:v>
      </x:c>
      <x:c r="O2681" s="28" t="n">
        <x:v>2.9802322387695312e-8</x:v>
      </x:c>
      <x:c r="P2681" s="28" t="n">
        <x:v>0</x:v>
      </x:c>
      <x:c r="Q2681" s="62" t="b">
        <x:v>1</x:v>
      </x:c>
      <x:c r="R2681" s="28" t="n">
        <x:v>0</x:v>
      </x:c>
      <x:c r="S2681" s="28" t="str">
        <x:v>c5a63f086fe4e661</x:v>
      </x:c>
    </x:row>
    <x:row r="2682" ht="21" customHeight="1">
      <x:c r="A2682" s="60" t="n">
        <x:v>0.7</x:v>
      </x:c>
      <x:c r="B2682" s="28" t="str">
        <x:v>back_low</x:v>
      </x:c>
      <x:c r="C2682" s="60" t="n">
        <x:v>0.35</x:v>
      </x:c>
      <x:c r="D2682" s="60" t="n">
        <x:v>0.35</x:v>
      </x:c>
      <x:c r="E2682" s="62" t="b">
        <x:v>1</x:v>
      </x:c>
      <x:c r="F2682" s="62" t="b">
        <x:v>1</x:v>
      </x:c>
      <x:c r="G2682" s="85" t="n">
        <x:v>0</x:v>
      </x:c>
      <x:c r="H2682" s="85" t="n">
        <x:v>0</x:v>
      </x:c>
      <x:c r="I2682" s="85" t="n">
        <x:v>21051918.91569506</x:v>
      </x:c>
      <x:c r="J2682" s="85" t="n">
        <x:v>28798524.69248845</x:v>
      </x:c>
      <x:c r="K2682" s="85" t="n">
        <x:v>1272897.786149281</x:v>
      </x:c>
      <x:c r="L2682" s="28" t="n">
        <x:v>8</x:v>
      </x:c>
      <x:c r="M2682" s="28" t="n">
        <x:v>0</x:v>
      </x:c>
      <x:c r="N2682" s="28" t="n">
        <x:v>1.862645149230957e-9</x:v>
      </x:c>
      <x:c r="O2682" s="28" t="n">
        <x:v>2.9802322387695312e-8</x:v>
      </x:c>
      <x:c r="P2682" s="28" t="n">
        <x:v>0</x:v>
      </x:c>
      <x:c r="Q2682" s="62" t="b">
        <x:v>1</x:v>
      </x:c>
      <x:c r="R2682" s="28" t="n">
        <x:v>0</x:v>
      </x:c>
      <x:c r="S2682" s="28" t="str">
        <x:v>2ef4b33cad6d213c</x:v>
      </x:c>
    </x:row>
    <x:row r="2683" ht="21" customHeight="1">
      <x:c r="A2683" s="60" t="n">
        <x:v>0.7</x:v>
      </x:c>
      <x:c r="B2683" s="28" t="str">
        <x:v>back_low</x:v>
      </x:c>
      <x:c r="C2683" s="60" t="n">
        <x:v>0.4</x:v>
      </x:c>
      <x:c r="D2683" s="60" t="n">
        <x:v>0.4</x:v>
      </x:c>
      <x:c r="E2683" s="62" t="b">
        <x:v>1</x:v>
      </x:c>
      <x:c r="F2683" s="62" t="b">
        <x:v>1</x:v>
      </x:c>
      <x:c r="G2683" s="85" t="n">
        <x:v>0</x:v>
      </x:c>
      <x:c r="H2683" s="85" t="n">
        <x:v>0</x:v>
      </x:c>
      <x:c r="I2683" s="85" t="n">
        <x:v>25854376.901861053</x:v>
      </x:c>
      <x:c r="J2683" s="85" t="n">
        <x:v>36400424.31889326</x:v>
      </x:c>
      <x:c r="K2683" s="85" t="n">
        <x:v>1137699.3327029063</x:v>
      </x:c>
      <x:c r="L2683" s="28" t="n">
        <x:v>11</x:v>
      </x:c>
      <x:c r="M2683" s="28" t="n">
        <x:v>0</x:v>
      </x:c>
      <x:c r="N2683" s="28" t="n">
        <x:v>3.725290298461914e-9</x:v>
      </x:c>
      <x:c r="O2683" s="28" t="n">
        <x:v>2.9802322387695312e-8</x:v>
      </x:c>
      <x:c r="P2683" s="28" t="n">
        <x:v>0</x:v>
      </x:c>
      <x:c r="Q2683" s="62" t="b">
        <x:v>1</x:v>
      </x:c>
      <x:c r="R2683" s="28" t="n">
        <x:v>0</x:v>
      </x:c>
      <x:c r="S2683" s="28" t="str">
        <x:v>480f7ea7017996d5</x:v>
      </x:c>
    </x:row>
    <x:row r="2684" ht="21" customHeight="1">
      <x:c r="A2684" s="60" t="n">
        <x:v>0.7</x:v>
      </x:c>
      <x:c r="B2684" s="28" t="str">
        <x:v>back_low</x:v>
      </x:c>
      <x:c r="C2684" s="60" t="n">
        <x:v>0.45</x:v>
      </x:c>
      <x:c r="D2684" s="60" t="n">
        <x:v>0.45</x:v>
      </x:c>
      <x:c r="E2684" s="62" t="b">
        <x:v>1</x:v>
      </x:c>
      <x:c r="F2684" s="62" t="b">
        <x:v>1</x:v>
      </x:c>
      <x:c r="G2684" s="85" t="n">
        <x:v>0</x:v>
      </x:c>
      <x:c r="H2684" s="85" t="n">
        <x:v>0</x:v>
      </x:c>
      <x:c r="I2684" s="85" t="n">
        <x:v>30102551.097963583</x:v>
      </x:c>
      <x:c r="J2684" s="85" t="n">
        <x:v>44822898.66959774</x:v>
      </x:c>
      <x:c r="K2684" s="85" t="n">
        <x:v>1002500.879256521</x:v>
      </x:c>
      <x:c r="L2684" s="28" t="n">
        <x:v>14</x:v>
      </x:c>
      <x:c r="M2684" s="28" t="n">
        <x:v>0</x:v>
      </x:c>
      <x:c r="N2684" s="28" t="n">
        <x:v>3.725290298461914e-9</x:v>
      </x:c>
      <x:c r="O2684" s="28" t="n">
        <x:v>1.4901161193847656e-8</x:v>
      </x:c>
      <x:c r="P2684" s="28" t="n">
        <x:v>0</x:v>
      </x:c>
      <x:c r="Q2684" s="62" t="b">
        <x:v>1</x:v>
      </x:c>
      <x:c r="R2684" s="28" t="n">
        <x:v>0</x:v>
      </x:c>
      <x:c r="S2684" s="28" t="str">
        <x:v>3e262f3515296095</x:v>
      </x:c>
    </x:row>
    <x:row r="2685" ht="21" customHeight="1">
      <x:c r="A2685" s="60" t="n">
        <x:v>0.7</x:v>
      </x:c>
      <x:c r="B2685" s="28" t="str">
        <x:v>back_low</x:v>
      </x:c>
      <x:c r="C2685" s="60" t="n">
        <x:v>0.5</x:v>
      </x:c>
      <x:c r="D2685" s="60" t="n">
        <x:v>0.5</x:v>
      </x:c>
      <x:c r="E2685" s="62" t="b">
        <x:v>1</x:v>
      </x:c>
      <x:c r="F2685" s="62" t="b">
        <x:v>1</x:v>
      </x:c>
      <x:c r="G2685" s="85" t="n">
        <x:v>0</x:v>
      </x:c>
      <x:c r="H2685" s="85" t="n">
        <x:v>0</x:v>
      </x:c>
      <x:c r="I2685" s="85" t="n">
        <x:v>34063869.090144634</x:v>
      </x:c>
      <x:c r="J2685" s="85" t="n">
        <x:v>53734483.43776464</x:v>
      </x:c>
      <x:c r="K2685" s="85" t="n">
        <x:v>892709.4713389046</x:v>
      </x:c>
      <x:c r="L2685" s="28" t="n">
        <x:v>17</x:v>
      </x:c>
      <x:c r="M2685" s="28" t="n">
        <x:v>0</x:v>
      </x:c>
      <x:c r="N2685" s="28" t="n">
        <x:v>3.725290298461914e-9</x:v>
      </x:c>
      <x:c r="O2685" s="28" t="n">
        <x:v>2.9802322387695312e-8</x:v>
      </x:c>
      <x:c r="P2685" s="28" t="n">
        <x:v>0</x:v>
      </x:c>
      <x:c r="Q2685" s="62" t="b">
        <x:v>1</x:v>
      </x:c>
      <x:c r="R2685" s="28" t="n">
        <x:v>0</x:v>
      </x:c>
      <x:c r="S2685" s="28" t="str">
        <x:v>fc59bf5ff8e7eea1</x:v>
      </x:c>
    </x:row>
    <x:row r="2686" ht="21" customHeight="1">
      <x:c r="A2686" s="60" t="n">
        <x:v>0.7</x:v>
      </x:c>
      <x:c r="B2686" s="28" t="str">
        <x:v>back_low</x:v>
      </x:c>
      <x:c r="C2686" s="60" t="n">
        <x:v>0.55</x:v>
      </x:c>
      <x:c r="D2686" s="60" t="n">
        <x:v>0.55</x:v>
      </x:c>
      <x:c r="E2686" s="62" t="b">
        <x:v>1</x:v>
      </x:c>
      <x:c r="F2686" s="62" t="b">
        <x:v>0</x:v>
      </x:c>
      <x:c r="G2686" s="85" t="n">
        <x:v>189037.69583076614</x:v>
      </x:c>
      <x:c r="H2686" s="85" t="n">
        <x:v>2824714.840009005</x:v>
      </x:c>
      <x:c r="I2686" s="85" t="n">
        <x:v>36927123.28767126</x:v>
      </x:c>
      <x:c r="J2686" s="85" t="n">
        <x:v>60000000.000000015</x:v>
      </x:c>
      <x:c r="K2686" s="85" t="n">
        <x:v>815913.3914864942</x:v>
      </x:c>
      <x:c r="L2686" s="28" t="n">
        <x:v>41</x:v>
      </x:c>
      <x:c r="M2686" s="28" t="n">
        <x:v>23</x:v>
      </x:c>
      <x:c r="N2686" s="28" t="n">
        <x:v>1.862645149230957e-9</x:v>
      </x:c>
      <x:c r="O2686" s="28" t="n">
        <x:v>2.9802322387695312e-8</x:v>
      </x:c>
      <x:c r="P2686" s="28" t="n">
        <x:v>0</x:v>
      </x:c>
      <x:c r="Q2686" s="62" t="b">
        <x:v>1</x:v>
      </x:c>
      <x:c r="R2686" s="28" t="n">
        <x:v>0</x:v>
      </x:c>
      <x:c r="S2686" s="28" t="str">
        <x:v>0891f155441098a7</x:v>
      </x:c>
    </x:row>
    <x:row r="2687" ht="21" customHeight="1">
      <x:c r="A2687" s="60" t="n">
        <x:v>0.7</x:v>
      </x:c>
      <x:c r="B2687" s="28" t="str">
        <x:v>back_low</x:v>
      </x:c>
      <x:c r="C2687" s="60" t="n">
        <x:v>0.6</x:v>
      </x:c>
      <x:c r="D2687" s="60" t="n">
        <x:v>0.6</x:v>
      </x:c>
      <x:c r="E2687" s="62" t="b">
        <x:v>1</x:v>
      </x:c>
      <x:c r="F2687" s="62" t="b">
        <x:v>0</x:v>
      </x:c>
      <x:c r="G2687" s="85" t="n">
        <x:v>833757.0576695715</x:v>
      </x:c>
      <x:c r="H2687" s="85" t="n">
        <x:v>12553212.076343214</x:v>
      </x:c>
      <x:c r="I2687" s="85" t="n">
        <x:v>37834520.54794523</x:v>
      </x:c>
      <x:c r="J2687" s="85" t="n">
        <x:v>60000000.000000015</x:v>
      </x:c>
      <x:c r="K2687" s="85" t="n">
        <x:v>739117.3116340762</x:v>
      </x:c>
      <x:c r="L2687" s="28" t="n">
        <x:v>42</x:v>
      </x:c>
      <x:c r="M2687" s="28" t="n">
        <x:v>30</x:v>
      </x:c>
      <x:c r="N2687" s="28" t="n">
        <x:v>1.862645149230957e-9</x:v>
      </x:c>
      <x:c r="O2687" s="28" t="n">
        <x:v>2.9802322387695312e-8</x:v>
      </x:c>
      <x:c r="P2687" s="28" t="n">
        <x:v>0</x:v>
      </x:c>
      <x:c r="Q2687" s="62" t="b">
        <x:v>1</x:v>
      </x:c>
      <x:c r="R2687" s="28" t="n">
        <x:v>0</x:v>
      </x:c>
      <x:c r="S2687" s="28" t="str">
        <x:v>594abb91a4581f03</x:v>
      </x:c>
    </x:row>
    <x:row r="2688" ht="21" customHeight="1">
      <x:c r="A2688" s="60" t="n">
        <x:v>0.7</x:v>
      </x:c>
      <x:c r="B2688" s="28" t="str">
        <x:v>back_low</x:v>
      </x:c>
      <x:c r="C2688" s="60" t="n">
        <x:v>0.65</x:v>
      </x:c>
      <x:c r="D2688" s="60" t="n">
        <x:v>0.65</x:v>
      </x:c>
      <x:c r="E2688" s="62" t="b">
        <x:v>1</x:v>
      </x:c>
      <x:c r="F2688" s="62" t="b">
        <x:v>0</x:v>
      </x:c>
      <x:c r="G2688" s="85" t="n">
        <x:v>1549874.5283503279</x:v>
      </x:c>
      <x:c r="H2688" s="85" t="n">
        <x:v>23358641.60571364</x:v>
      </x:c>
      <x:c r="I2688" s="85" t="n">
        <x:v>37834520.54794523</x:v>
      </x:c>
      <x:c r="J2688" s="85" t="n">
        <x:v>60000000.000000015</x:v>
      </x:c>
      <x:c r="K2688" s="85" t="n">
        <x:v>662321.2317816766</x:v>
      </x:c>
      <x:c r="L2688" s="28" t="n">
        <x:v>42</x:v>
      </x:c>
      <x:c r="M2688" s="28" t="n">
        <x:v>31</x:v>
      </x:c>
      <x:c r="N2688" s="28" t="n">
        <x:v>1.862645149230957e-9</x:v>
      </x:c>
      <x:c r="O2688" s="28" t="n">
        <x:v>1.4901161193847656e-8</x:v>
      </x:c>
      <x:c r="P2688" s="28" t="n">
        <x:v>0</x:v>
      </x:c>
      <x:c r="Q2688" s="62" t="b">
        <x:v>1</x:v>
      </x:c>
      <x:c r="R2688" s="28" t="n">
        <x:v>0</x:v>
      </x:c>
      <x:c r="S2688" s="28" t="str">
        <x:v>bf40fc1b132803cc</x:v>
      </x:c>
    </x:row>
    <x:row r="2689" ht="21" customHeight="1">
      <x:c r="A2689" s="60" t="n">
        <x:v>0.7</x:v>
      </x:c>
      <x:c r="B2689" s="28" t="str">
        <x:v>back_low</x:v>
      </x:c>
      <x:c r="C2689" s="60" t="n">
        <x:v>0.7</x:v>
      </x:c>
      <x:c r="D2689" s="60" t="n">
        <x:v>0.7</x:v>
      </x:c>
      <x:c r="E2689" s="62" t="b">
        <x:v>1</x:v>
      </x:c>
      <x:c r="F2689" s="62" t="b">
        <x:v>0</x:v>
      </x:c>
      <x:c r="G2689" s="85" t="n">
        <x:v>2490517.1663341066</x:v>
      </x:c>
      <x:c r="H2689" s="85" t="n">
        <x:v>32783271.469975468</x:v>
      </x:c>
      <x:c r="I2689" s="85" t="n">
        <x:v>38732054.79452057</x:v>
      </x:c>
      <x:c r="J2689" s="85" t="n">
        <x:v>60000000.000000015</x:v>
      </x:c>
      <x:c r="K2689" s="85" t="n">
        <x:v>615789.7726219185</x:v>
      </x:c>
      <x:c r="L2689" s="28" t="n">
        <x:v>43</x:v>
      </x:c>
      <x:c r="M2689" s="28" t="n">
        <x:v>32</x:v>
      </x:c>
      <x:c r="N2689" s="28" t="n">
        <x:v>1.862645149230957e-9</x:v>
      </x:c>
      <x:c r="O2689" s="28" t="n">
        <x:v>2.9802322387695312e-8</x:v>
      </x:c>
      <x:c r="P2689" s="28" t="n">
        <x:v>0</x:v>
      </x:c>
      <x:c r="Q2689" s="62" t="b">
        <x:v>1</x:v>
      </x:c>
      <x:c r="R2689" s="28" t="n">
        <x:v>0</x:v>
      </x:c>
      <x:c r="S2689" s="28" t="str">
        <x:v>076352e696f5bc91</x:v>
      </x:c>
    </x:row>
    <x:row r="2690" ht="21" customHeight="1">
      <x:c r="A2690" s="60" t="n">
        <x:v>0.7</x:v>
      </x:c>
      <x:c r="B2690" s="28" t="str">
        <x:v>back_low</x:v>
      </x:c>
      <x:c r="C2690" s="60" t="n">
        <x:v>0.75</x:v>
      </x:c>
      <x:c r="D2690" s="60" t="n">
        <x:v>0.75</x:v>
      </x:c>
      <x:c r="E2690" s="62" t="b">
        <x:v>1</x:v>
      </x:c>
      <x:c r="F2690" s="62" t="b">
        <x:v>0</x:v>
      </x:c>
      <x:c r="G2690" s="85" t="n">
        <x:v>3305077.550955258</x:v>
      </x:c>
      <x:c r="H2690" s="85" t="n">
        <x:v>43311882.961842425</x:v>
      </x:c>
      <x:c r="I2690" s="85" t="n">
        <x:v>38732054.79452057</x:v>
      </x:c>
      <x:c r="J2690" s="85" t="n">
        <x:v>60000000.000000015</x:v>
      </x:c>
      <x:c r="K2690" s="85" t="n">
        <x:v>580622.9349520594</x:v>
      </x:c>
      <x:c r="L2690" s="28" t="n">
        <x:v>43</x:v>
      </x:c>
      <x:c r="M2690" s="28" t="n">
        <x:v>32</x:v>
      </x:c>
      <x:c r="N2690" s="28" t="n">
        <x:v>1.862645149230957e-9</x:v>
      </x:c>
      <x:c r="O2690" s="28" t="n">
        <x:v>2.9802322387695312e-8</x:v>
      </x:c>
      <x:c r="P2690" s="28" t="n">
        <x:v>0</x:v>
      </x:c>
      <x:c r="Q2690" s="62" t="b">
        <x:v>1</x:v>
      </x:c>
      <x:c r="R2690" s="28" t="n">
        <x:v>0</x:v>
      </x:c>
      <x:c r="S2690" s="28" t="str">
        <x:v>12d6610bdf080bf4</x:v>
      </x:c>
    </x:row>
    <x:row r="2691" ht="21" customHeight="1">
      <x:c r="A2691" s="60" t="n">
        <x:v>0.7</x:v>
      </x:c>
      <x:c r="B2691" s="28" t="str">
        <x:v>back_low</x:v>
      </x:c>
      <x:c r="C2691" s="60" t="n">
        <x:v>0.8</x:v>
      </x:c>
      <x:c r="D2691" s="60" t="n">
        <x:v>0.8</x:v>
      </x:c>
      <x:c r="E2691" s="62" t="b">
        <x:v>1</x:v>
      </x:c>
      <x:c r="F2691" s="62" t="b">
        <x:v>0</x:v>
      </x:c>
      <x:c r="G2691" s="85" t="n">
        <x:v>4353591.238691193</x:v>
      </x:c>
      <x:c r="H2691" s="85" t="n">
        <x:v>53700790.107619114</x:v>
      </x:c>
      <x:c r="I2691" s="85" t="n">
        <x:v>38732054.79452057</x:v>
      </x:c>
      <x:c r="J2691" s="85" t="n">
        <x:v>60000000.000000015</x:v>
      </x:c>
      <x:c r="K2691" s="85" t="n">
        <x:v>545456.0972821903</x:v>
      </x:c>
      <x:c r="L2691" s="28" t="n">
        <x:v>43</x:v>
      </x:c>
      <x:c r="M2691" s="28" t="n">
        <x:v>34</x:v>
      </x:c>
      <x:c r="N2691" s="28" t="n">
        <x:v>1.862645149230957e-9</x:v>
      </x:c>
      <x:c r="O2691" s="28" t="n">
        <x:v>1.4901161193847656e-8</x:v>
      </x:c>
      <x:c r="P2691" s="28" t="n">
        <x:v>0</x:v>
      </x:c>
      <x:c r="Q2691" s="62" t="b">
        <x:v>1</x:v>
      </x:c>
      <x:c r="R2691" s="28" t="n">
        <x:v>0</x:v>
      </x:c>
      <x:c r="S2691" s="28" t="str">
        <x:v>11fbc49eca992caa</x:v>
      </x:c>
    </x:row>
    <x:row r="2692" ht="21" customHeight="1">
      <x:c r="A2692" s="60" t="n">
        <x:v>0.7</x:v>
      </x:c>
      <x:c r="B2692" s="28" t="str">
        <x:v>back_low</x:v>
      </x:c>
      <x:c r="C2692" s="60" t="n">
        <x:v>0.85</x:v>
      </x:c>
      <x:c r="D2692" s="60" t="n">
        <x:v>0.85</x:v>
      </x:c>
      <x:c r="E2692" s="62" t="b">
        <x:v>1</x:v>
      </x:c>
      <x:c r="F2692" s="62" t="b">
        <x:v>0</x:v>
      </x:c>
      <x:c r="G2692" s="85" t="n">
        <x:v>5328260.601979241</x:v>
      </x:c>
      <x:c r="H2692" s="85" t="n">
        <x:v>62908858.20412258</x:v>
      </x:c>
      <x:c r="I2692" s="85" t="n">
        <x:v>39629589.04109591</x:v>
      </x:c>
      <x:c r="J2692" s="85" t="n">
        <x:v>60000000.000000015</x:v>
      </x:c>
      <x:c r="K2692" s="85" t="n">
        <x:v>510289.2596123216</x:v>
      </x:c>
      <x:c r="L2692" s="28" t="n">
        <x:v>44</x:v>
      </x:c>
      <x:c r="M2692" s="28" t="n">
        <x:v>34</x:v>
      </x:c>
      <x:c r="N2692" s="28" t="n">
        <x:v>1.862645149230957e-9</x:v>
      </x:c>
      <x:c r="O2692" s="28" t="n">
        <x:v>2.9802322387695312e-8</x:v>
      </x:c>
      <x:c r="P2692" s="28" t="n">
        <x:v>0</x:v>
      </x:c>
      <x:c r="Q2692" s="62" t="b">
        <x:v>1</x:v>
      </x:c>
      <x:c r="R2692" s="28" t="n">
        <x:v>0</x:v>
      </x:c>
      <x:c r="S2692" s="28" t="str">
        <x:v>c2d17a21614d6c24</x:v>
      </x:c>
    </x:row>
    <x:row r="2693" ht="21" customHeight="1">
      <x:c r="A2693" s="60" t="n">
        <x:v>0.7</x:v>
      </x:c>
      <x:c r="B2693" s="28" t="str">
        <x:v>back_low</x:v>
      </x:c>
      <x:c r="C2693" s="60" t="n">
        <x:v>0.9</x:v>
      </x:c>
      <x:c r="D2693" s="60" t="n">
        <x:v>0.8948658400492392</x:v>
      </x:c>
      <x:c r="E2693" s="62" t="b">
        <x:v>0</x:v>
      </x:c>
      <x:c r="F2693" s="62" t="b">
        <x:v>0</x:v>
      </x:c>
      <x:c r="G2693" s="85" t="n">
        <x:v>8002451.153233547</x:v>
      </x:c>
      <x:c r="H2693" s="85" t="n">
        <x:v>70164901.17298624</x:v>
      </x:c>
      <x:c r="I2693" s="85" t="n">
        <x:v>39629589.04109591</x:v>
      </x:c>
      <x:c r="J2693" s="85" t="n">
        <x:v>60000000.000000015</x:v>
      </x:c>
      <x:c r="K2693" s="85" t="n">
        <x:v>475122.42194246606</x:v>
      </x:c>
      <x:c r="L2693" s="28" t="n">
        <x:v>44</x:v>
      </x:c>
      <x:c r="M2693" s="28" t="n">
        <x:v>35</x:v>
      </x:c>
      <x:c r="N2693" s="28" t="n">
        <x:v>1.862645149230957e-9</x:v>
      </x:c>
      <x:c r="O2693" s="28" t="n">
        <x:v>2.9802322387695312e-8</x:v>
      </x:c>
      <x:c r="P2693" s="28" t="n">
        <x:v>0</x:v>
      </x:c>
      <x:c r="Q2693" s="62" t="b">
        <x:v>1</x:v>
      </x:c>
      <x:c r="R2693" s="28" t="n">
        <x:v>1540247.9852282405</x:v>
      </x:c>
      <x:c r="S2693" s="28" t="str">
        <x:v>c2ece49933fb2849</x:v>
      </x:c>
    </x:row>
    <x:row r="2694" ht="21" customHeight="1">
      <x:c r="A2694" s="60" t="n">
        <x:v>0.7</x:v>
      </x:c>
      <x:c r="B2694" s="28" t="str">
        <x:v>back_low</x:v>
      </x:c>
      <x:c r="C2694" s="60" t="n">
        <x:v>0.95</x:v>
      </x:c>
      <x:c r="D2694" s="60" t="n">
        <x:v>0.9083032015334562</x:v>
      </x:c>
      <x:c r="E2694" s="62" t="b">
        <x:v>0</x:v>
      </x:c>
      <x:c r="F2694" s="62" t="b">
        <x:v>0</x:v>
      </x:c>
      <x:c r="G2694" s="85" t="n">
        <x:v>8368457.54677426</x:v>
      </x:c>
      <x:c r="H2694" s="85" t="n">
        <x:v>73374018.22221541</x:v>
      </x:c>
      <x:c r="I2694" s="85" t="n">
        <x:v>39629589.04109591</x:v>
      </x:c>
      <x:c r="J2694" s="85" t="n">
        <x:v>60000000.000000015</x:v>
      </x:c>
      <x:c r="K2694" s="85" t="n">
        <x:v>439955.58427260414</x:v>
      </x:c>
      <x:c r="L2694" s="28" t="n">
        <x:v>44</x:v>
      </x:c>
      <x:c r="M2694" s="28" t="n">
        <x:v>36</x:v>
      </x:c>
      <x:c r="N2694" s="28" t="n">
        <x:v>1.862645149230957e-9</x:v>
      </x:c>
      <x:c r="O2694" s="28" t="n">
        <x:v>2.9802322387695312e-8</x:v>
      </x:c>
      <x:c r="P2694" s="28" t="n">
        <x:v>0</x:v>
      </x:c>
      <x:c r="Q2694" s="62" t="b">
        <x:v>1</x:v>
      </x:c>
      <x:c r="R2694" s="28" t="n">
        <x:v>12509039.539963126</x:v>
      </x:c>
      <x:c r="S2694" s="28" t="str">
        <x:v>90f18e6229469ab0</x:v>
      </x:c>
    </x:row>
    <x:row r="2695" ht="21" customHeight="1">
      <x:c r="A2695" s="60" t="n">
        <x:v>0.7</x:v>
      </x:c>
      <x:c r="B2695" s="28" t="str">
        <x:v>back_low</x:v>
      </x:c>
      <x:c r="C2695" s="60" t="n">
        <x:v>1</x:v>
      </x:c>
      <x:c r="D2695" s="60" t="n">
        <x:v>0.920601109498915</x:v>
      </x:c>
      <x:c r="E2695" s="62" t="b">
        <x:v>0</x:v>
      </x:c>
      <x:c r="F2695" s="62" t="b">
        <x:v>0</x:v>
      </x:c>
      <x:c r="G2695" s="85" t="n">
        <x:v>9028455.621608693</x:v>
      </x:c>
      <x:c r="H2695" s="85" t="n">
        <x:v>75970820.98548017</x:v>
      </x:c>
      <x:c r="I2695" s="85" t="n">
        <x:v>39629589.04109591</x:v>
      </x:c>
      <x:c r="J2695" s="85" t="n">
        <x:v>60000000.000000015</x:v>
      </x:c>
      <x:c r="K2695" s="85" t="n">
        <x:v>404788.74660274363</x:v>
      </x:c>
      <x:c r="L2695" s="28" t="n">
        <x:v>44</x:v>
      </x:c>
      <x:c r="M2695" s="28" t="n">
        <x:v>36</x:v>
      </x:c>
      <x:c r="N2695" s="28" t="n">
        <x:v>1.862645149230957e-9</x:v>
      </x:c>
      <x:c r="O2695" s="28" t="n">
        <x:v>2.9802322387695312e-8</x:v>
      </x:c>
      <x:c r="P2695" s="28" t="n">
        <x:v>0</x:v>
      </x:c>
      <x:c r="Q2695" s="62" t="b">
        <x:v>1</x:v>
      </x:c>
      <x:c r="R2695" s="28" t="n">
        <x:v>23819667.150325477</x:v>
      </x:c>
      <x:c r="S2695" s="28" t="str">
        <x:v>0fda72496f16480a</x:v>
      </x:c>
    </x:row>
    <x:row r="2696" ht="21" customHeight="1">
      <x:c r="A2696" s="60" t="n">
        <x:v>0.7</x:v>
      </x:c>
      <x:c r="B2696" s="28" t="str">
        <x:v>back_high</x:v>
      </x:c>
      <x:c r="C2696" s="60" t="n">
        <x:v>0</x:v>
      </x:c>
      <x:c r="D2696" s="60" t="n">
        <x:v>0</x:v>
      </x:c>
      <x:c r="E2696" s="62" t="b">
        <x:v>1</x:v>
      </x:c>
      <x:c r="F2696" s="62" t="b">
        <x:v>1</x:v>
      </x:c>
      <x:c r="G2696" s="85" t="n">
        <x:v>0</x:v>
      </x:c>
      <x:c r="H2696" s="85" t="n">
        <x:v>0</x:v>
      </x:c>
      <x:c r="I2696" s="85" t="n">
        <x:v>0</x:v>
      </x:c>
      <x:c r="J2696" s="85" t="n">
        <x:v>0</x:v>
      </x:c>
      <x:c r="K2696" s="85" t="n">
        <x:v>41984077.25821912</x:v>
      </x:c>
      <x:c r="L2696" s="28" t="n">
        <x:v>0</x:v>
      </x:c>
      <x:c r="M2696" s="28" t="n">
        <x:v>0</x:v>
      </x:c>
      <x:c r="N2696" s="28" t="n">
        <x:v>3.725290298461914e-9</x:v>
      </x:c>
      <x:c r="O2696" s="28" t="n">
        <x:v>0</x:v>
      </x:c>
      <x:c r="P2696" s="28" t="n">
        <x:v>0</x:v>
      </x:c>
      <x:c r="Q2696" s="62" t="b">
        <x:v>1</x:v>
      </x:c>
      <x:c r="R2696" s="28" t="n">
        <x:v>0</x:v>
      </x:c>
      <x:c r="S2696" s="28" t="str">
        <x:v>420889b2946810c3</x:v>
      </x:c>
    </x:row>
    <x:row r="2697" ht="21" customHeight="1">
      <x:c r="A2697" s="60" t="n">
        <x:v>0.7</x:v>
      </x:c>
      <x:c r="B2697" s="28" t="str">
        <x:v>back_high</x:v>
      </x:c>
      <x:c r="C2697" s="60" t="n">
        <x:v>0.05</x:v>
      </x:c>
      <x:c r="D2697" s="60" t="n">
        <x:v>0.05</x:v>
      </x:c>
      <x:c r="E2697" s="62" t="b">
        <x:v>1</x:v>
      </x:c>
      <x:c r="F2697" s="62" t="b">
        <x:v>1</x:v>
      </x:c>
      <x:c r="G2697" s="85" t="n">
        <x:v>0</x:v>
      </x:c>
      <x:c r="H2697" s="85" t="n">
        <x:v>0</x:v>
      </x:c>
      <x:c r="I2697" s="85" t="n">
        <x:v>0</x:v>
      </x:c>
      <x:c r="J2697" s="85" t="n">
        <x:v>0</x:v>
      </x:c>
      <x:c r="K2697" s="85" t="n">
        <x:v>28896084.13068964</x:v>
      </x:c>
      <x:c r="L2697" s="28" t="n">
        <x:v>0</x:v>
      </x:c>
      <x:c r="M2697" s="28" t="n">
        <x:v>0</x:v>
      </x:c>
      <x:c r="N2697" s="28" t="n">
        <x:v>3.725290298461914e-9</x:v>
      </x:c>
      <x:c r="O2697" s="28" t="n">
        <x:v>5.960464477539063e-8</x:v>
      </x:c>
      <x:c r="P2697" s="28" t="n">
        <x:v>0</x:v>
      </x:c>
      <x:c r="Q2697" s="62" t="b">
        <x:v>1</x:v>
      </x:c>
      <x:c r="R2697" s="28" t="n">
        <x:v>0</x:v>
      </x:c>
      <x:c r="S2697" s="28" t="str">
        <x:v>b47ff385f5c5e111</x:v>
      </x:c>
    </x:row>
    <x:row r="2698" ht="21" customHeight="1">
      <x:c r="A2698" s="60" t="n">
        <x:v>0.7</x:v>
      </x:c>
      <x:c r="B2698" s="28" t="str">
        <x:v>back_high</x:v>
      </x:c>
      <x:c r="C2698" s="60" t="n">
        <x:v>0.1</x:v>
      </x:c>
      <x:c r="D2698" s="60" t="n">
        <x:v>0.1</x:v>
      </x:c>
      <x:c r="E2698" s="62" t="b">
        <x:v>1</x:v>
      </x:c>
      <x:c r="F2698" s="62" t="b">
        <x:v>1</x:v>
      </x:c>
      <x:c r="G2698" s="85" t="n">
        <x:v>0</x:v>
      </x:c>
      <x:c r="H2698" s="85" t="n">
        <x:v>0</x:v>
      </x:c>
      <x:c r="I2698" s="85" t="n">
        <x:v>0</x:v>
      </x:c>
      <x:c r="J2698" s="85" t="n">
        <x:v>0</x:v>
      </x:c>
      <x:c r="K2698" s="85" t="n">
        <x:v>15649483.62853767</x:v>
      </x:c>
      <x:c r="L2698" s="28" t="n">
        <x:v>0</x:v>
      </x:c>
      <x:c r="M2698" s="28" t="n">
        <x:v>0</x:v>
      </x:c>
      <x:c r="N2698" s="28" t="n">
        <x:v>3.725290298461914e-9</x:v>
      </x:c>
      <x:c r="O2698" s="28" t="n">
        <x:v>5.960464477539063e-8</x:v>
      </x:c>
      <x:c r="P2698" s="28" t="n">
        <x:v>0</x:v>
      </x:c>
      <x:c r="Q2698" s="62" t="b">
        <x:v>1</x:v>
      </x:c>
      <x:c r="R2698" s="28" t="n">
        <x:v>0</x:v>
      </x:c>
      <x:c r="S2698" s="28" t="str">
        <x:v>5131e76a36de9138</x:v>
      </x:c>
    </x:row>
    <x:row r="2699" ht="21" customHeight="1">
      <x:c r="A2699" s="60" t="n">
        <x:v>0.7</x:v>
      </x:c>
      <x:c r="B2699" s="28" t="str">
        <x:v>back_high</x:v>
      </x:c>
      <x:c r="C2699" s="60" t="n">
        <x:v>0.15</x:v>
      </x:c>
      <x:c r="D2699" s="60" t="n">
        <x:v>0.15</x:v>
      </x:c>
      <x:c r="E2699" s="62" t="b">
        <x:v>1</x:v>
      </x:c>
      <x:c r="F2699" s="62" t="b">
        <x:v>1</x:v>
      </x:c>
      <x:c r="G2699" s="85" t="n">
        <x:v>0</x:v>
      </x:c>
      <x:c r="H2699" s="85" t="n">
        <x:v>0</x:v>
      </x:c>
      <x:c r="I2699" s="85" t="n">
        <x:v>1881853.7554230446</x:v>
      </x:c>
      <x:c r="J2699" s="85" t="n">
        <x:v>0</x:v>
      </x:c>
      <x:c r="K2699" s="85" t="n">
        <x:v>4703176.852297981</x:v>
      </x:c>
      <x:c r="L2699" s="28" t="n">
        <x:v>0</x:v>
      </x:c>
      <x:c r="M2699" s="28" t="n">
        <x:v>0</x:v>
      </x:c>
      <x:c r="N2699" s="28" t="n">
        <x:v>3.725290298461914e-9</x:v>
      </x:c>
      <x:c r="O2699" s="28" t="n">
        <x:v>5.960464477539063e-8</x:v>
      </x:c>
      <x:c r="P2699" s="28" t="n">
        <x:v>0</x:v>
      </x:c>
      <x:c r="Q2699" s="62" t="b">
        <x:v>1</x:v>
      </x:c>
      <x:c r="R2699" s="28" t="n">
        <x:v>0</x:v>
      </x:c>
      <x:c r="S2699" s="28" t="str">
        <x:v>4dcf10fbd3a91e72</x:v>
      </x:c>
    </x:row>
    <x:row r="2700" ht="21" customHeight="1">
      <x:c r="A2700" s="60" t="n">
        <x:v>0.7</x:v>
      </x:c>
      <x:c r="B2700" s="28" t="str">
        <x:v>back_high</x:v>
      </x:c>
      <x:c r="C2700" s="60" t="n">
        <x:v>0.2</x:v>
      </x:c>
      <x:c r="D2700" s="60" t="n">
        <x:v>0.2</x:v>
      </x:c>
      <x:c r="E2700" s="62" t="b">
        <x:v>1</x:v>
      </x:c>
      <x:c r="F2700" s="62" t="b">
        <x:v>1</x:v>
      </x:c>
      <x:c r="G2700" s="85" t="n">
        <x:v>0</x:v>
      </x:c>
      <x:c r="H2700" s="85" t="n">
        <x:v>0</x:v>
      </x:c>
      <x:c r="I2700" s="85" t="n">
        <x:v>11522971.798465488</x:v>
      </x:c>
      <x:c r="J2700" s="85" t="n">
        <x:v>6341080.834812429</x:v>
      </x:c>
      <x:c r="K2700" s="85" t="n">
        <x:v>3761772.012441896</x:v>
      </x:c>
      <x:c r="L2700" s="28" t="n">
        <x:v>0</x:v>
      </x:c>
      <x:c r="M2700" s="28" t="n">
        <x:v>0</x:v>
      </x:c>
      <x:c r="N2700" s="28" t="n">
        <x:v>1.862645149230957e-9</x:v>
      </x:c>
      <x:c r="O2700" s="28" t="n">
        <x:v>2.9802322387695312e-8</x:v>
      </x:c>
      <x:c r="P2700" s="28" t="n">
        <x:v>0</x:v>
      </x:c>
      <x:c r="Q2700" s="62" t="b">
        <x:v>1</x:v>
      </x:c>
      <x:c r="R2700" s="28" t="n">
        <x:v>0</x:v>
      </x:c>
      <x:c r="S2700" s="28" t="str">
        <x:v>e639e94925820197</x:v>
      </x:c>
    </x:row>
    <x:row r="2701" ht="21" customHeight="1">
      <x:c r="A2701" s="60" t="n">
        <x:v>0.7</x:v>
      </x:c>
      <x:c r="B2701" s="28" t="str">
        <x:v>back_high</x:v>
      </x:c>
      <x:c r="C2701" s="60" t="n">
        <x:v>0.25</x:v>
      </x:c>
      <x:c r="D2701" s="60" t="n">
        <x:v>0.25</x:v>
      </x:c>
      <x:c r="E2701" s="62" t="b">
        <x:v>1</x:v>
      </x:c>
      <x:c r="F2701" s="62" t="b">
        <x:v>1</x:v>
      </x:c>
      <x:c r="G2701" s="85" t="n">
        <x:v>0</x:v>
      </x:c>
      <x:c r="H2701" s="85" t="n">
        <x:v>0</x:v>
      </x:c>
      <x:c r="I2701" s="85" t="n">
        <x:v>19846906.421504922</x:v>
      </x:c>
      <x:c r="J2701" s="85" t="n">
        <x:v>15426351.043515677</x:v>
      </x:c>
      <x:c r="K2701" s="85" t="n">
        <x:v>3130189.644573111</x:v>
      </x:c>
      <x:c r="L2701" s="28" t="n">
        <x:v>0</x:v>
      </x:c>
      <x:c r="M2701" s="28" t="n">
        <x:v>0</x:v>
      </x:c>
      <x:c r="N2701" s="28" t="n">
        <x:v>3.725290298461914e-9</x:v>
      </x:c>
      <x:c r="O2701" s="28" t="n">
        <x:v>2.9802322387695312e-8</x:v>
      </x:c>
      <x:c r="P2701" s="28" t="n">
        <x:v>0</x:v>
      </x:c>
      <x:c r="Q2701" s="62" t="b">
        <x:v>1</x:v>
      </x:c>
      <x:c r="R2701" s="28" t="n">
        <x:v>0</x:v>
      </x:c>
      <x:c r="S2701" s="28" t="str">
        <x:v>3b1928f969a30c67</x:v>
      </x:c>
    </x:row>
    <x:row r="2702" ht="21" customHeight="1">
      <x:c r="A2702" s="60" t="n">
        <x:v>0.7</x:v>
      </x:c>
      <x:c r="B2702" s="28" t="str">
        <x:v>back_high</x:v>
      </x:c>
      <x:c r="C2702" s="60" t="n">
        <x:v>0.3</x:v>
      </x:c>
      <x:c r="D2702" s="60" t="n">
        <x:v>0.3</x:v>
      </x:c>
      <x:c r="E2702" s="62" t="b">
        <x:v>1</x:v>
      </x:c>
      <x:c r="F2702" s="62" t="b">
        <x:v>1</x:v>
      </x:c>
      <x:c r="G2702" s="85" t="n">
        <x:v>0</x:v>
      </x:c>
      <x:c r="H2702" s="85" t="n">
        <x:v>0</x:v>
      </x:c>
      <x:c r="I2702" s="85" t="n">
        <x:v>28571608.142733827</x:v>
      </x:c>
      <x:c r="J2702" s="85" t="n">
        <x:v>23644613.50763233</x:v>
      </x:c>
      <x:c r="K2702" s="85" t="n">
        <x:v>2670898.4435063577</x:v>
      </x:c>
      <x:c r="L2702" s="28" t="n">
        <x:v>1</x:v>
      </x:c>
      <x:c r="M2702" s="28" t="n">
        <x:v>0</x:v>
      </x:c>
      <x:c r="N2702" s="28" t="n">
        <x:v>3.725290298461914e-9</x:v>
      </x:c>
      <x:c r="O2702" s="28" t="n">
        <x:v>2.9802322387695312e-8</x:v>
      </x:c>
      <x:c r="P2702" s="28" t="n">
        <x:v>0</x:v>
      </x:c>
      <x:c r="Q2702" s="62" t="b">
        <x:v>1</x:v>
      </x:c>
      <x:c r="R2702" s="28" t="n">
        <x:v>0</x:v>
      </x:c>
      <x:c r="S2702" s="28" t="str">
        <x:v>51fa3404a371a247</x:v>
      </x:c>
    </x:row>
    <x:row r="2703" ht="21" customHeight="1">
      <x:c r="A2703" s="60" t="n">
        <x:v>0.7</x:v>
      </x:c>
      <x:c r="B2703" s="28" t="str">
        <x:v>back_high</x:v>
      </x:c>
      <x:c r="C2703" s="60" t="n">
        <x:v>0.35</x:v>
      </x:c>
      <x:c r="D2703" s="60" t="n">
        <x:v>0.35</x:v>
      </x:c>
      <x:c r="E2703" s="62" t="b">
        <x:v>1</x:v>
      </x:c>
      <x:c r="F2703" s="62" t="b">
        <x:v>1</x:v>
      </x:c>
      <x:c r="G2703" s="85" t="n">
        <x:v>0</x:v>
      </x:c>
      <x:c r="H2703" s="85" t="n">
        <x:v>0</x:v>
      </x:c>
      <x:c r="I2703" s="85" t="n">
        <x:v>38399870.94952879</x:v>
      </x:c>
      <x:c r="J2703" s="85" t="n">
        <x:v>25990656.36283389</x:v>
      </x:c>
      <x:c r="K2703" s="85" t="n">
        <x:v>2300720.992081596</x:v>
      </x:c>
      <x:c r="L2703" s="28" t="n">
        <x:v>8</x:v>
      </x:c>
      <x:c r="M2703" s="28" t="n">
        <x:v>0</x:v>
      </x:c>
      <x:c r="N2703" s="28" t="n">
        <x:v>1.862645149230957e-9</x:v>
      </x:c>
      <x:c r="O2703" s="28" t="n">
        <x:v>2.9802322387695312e-8</x:v>
      </x:c>
      <x:c r="P2703" s="28" t="n">
        <x:v>0</x:v>
      </x:c>
      <x:c r="Q2703" s="62" t="b">
        <x:v>1</x:v>
      </x:c>
      <x:c r="R2703" s="28" t="n">
        <x:v>0</x:v>
      </x:c>
      <x:c r="S2703" s="28" t="str">
        <x:v>59b6c376ec4a5414</x:v>
      </x:c>
    </x:row>
    <x:row r="2704" ht="21" customHeight="1">
      <x:c r="A2704" s="60" t="n">
        <x:v>0.7</x:v>
      </x:c>
      <x:c r="B2704" s="28" t="str">
        <x:v>back_high</x:v>
      </x:c>
      <x:c r="C2704" s="60" t="n">
        <x:v>0.4</x:v>
      </x:c>
      <x:c r="D2704" s="60" t="n">
        <x:v>0.4</x:v>
      </x:c>
      <x:c r="E2704" s="62" t="b">
        <x:v>1</x:v>
      </x:c>
      <x:c r="F2704" s="62" t="b">
        <x:v>1</x:v>
      </x:c>
      <x:c r="G2704" s="85" t="n">
        <x:v>0</x:v>
      </x:c>
      <x:c r="H2704" s="85" t="n">
        <x:v>0</x:v>
      </x:c>
      <x:c r="I2704" s="85" t="n">
        <x:v>47278784.81301498</x:v>
      </x:c>
      <x:c r="J2704" s="85" t="n">
        <x:v>33073808.216928076</x:v>
      </x:c>
      <x:c r="K2704" s="85" t="n">
        <x:v>1973146.284937434</x:v>
      </x:c>
      <x:c r="L2704" s="28" t="n">
        <x:v>11</x:v>
      </x:c>
      <x:c r="M2704" s="28" t="n">
        <x:v>0</x:v>
      </x:c>
      <x:c r="N2704" s="28" t="n">
        <x:v>3.725290298461914e-9</x:v>
      </x:c>
      <x:c r="O2704" s="28" t="n">
        <x:v>2.9802322387695312e-8</x:v>
      </x:c>
      <x:c r="P2704" s="28" t="n">
        <x:v>0</x:v>
      </x:c>
      <x:c r="Q2704" s="62" t="b">
        <x:v>1</x:v>
      </x:c>
      <x:c r="R2704" s="28" t="n">
        <x:v>0</x:v>
      </x:c>
      <x:c r="S2704" s="28" t="str">
        <x:v>d82a7e2248b2dc55</x:v>
      </x:c>
    </x:row>
    <x:row r="2705" ht="21" customHeight="1">
      <x:c r="A2705" s="60" t="n">
        <x:v>0.7</x:v>
      </x:c>
      <x:c r="B2705" s="28" t="str">
        <x:v>back_high</x:v>
      </x:c>
      <x:c r="C2705" s="60" t="n">
        <x:v>0.45</x:v>
      </x:c>
      <x:c r="D2705" s="60" t="n">
        <x:v>0.45</x:v>
      </x:c>
      <x:c r="E2705" s="62" t="b">
        <x:v>1</x:v>
      </x:c>
      <x:c r="F2705" s="62" t="b">
        <x:v>1</x:v>
      </x:c>
      <x:c r="G2705" s="85" t="n">
        <x:v>0</x:v>
      </x:c>
      <x:c r="H2705" s="85" t="n">
        <x:v>0</x:v>
      </x:c>
      <x:c r="I2705" s="85" t="n">
        <x:v>55773180.2552928</x:v>
      </x:c>
      <x:c r="J2705" s="85" t="n">
        <x:v>42219837.85344919</x:v>
      </x:c>
      <x:c r="K2705" s="85" t="n">
        <x:v>1762213.673808019</x:v>
      </x:c>
      <x:c r="L2705" s="28" t="n">
        <x:v>13</x:v>
      </x:c>
      <x:c r="M2705" s="28" t="n">
        <x:v>4</x:v>
      </x:c>
      <x:c r="N2705" s="28" t="n">
        <x:v>3.725290298461914e-9</x:v>
      </x:c>
      <x:c r="O2705" s="28" t="n">
        <x:v>1.4901161193847656e-8</x:v>
      </x:c>
      <x:c r="P2705" s="28" t="n">
        <x:v>0</x:v>
      </x:c>
      <x:c r="Q2705" s="62" t="b">
        <x:v>1</x:v>
      </x:c>
      <x:c r="R2705" s="28" t="n">
        <x:v>0</x:v>
      </x:c>
      <x:c r="S2705" s="28" t="str">
        <x:v>eeb31edffd94e1b0</x:v>
      </x:c>
    </x:row>
    <x:row r="2706" ht="21" customHeight="1">
      <x:c r="A2706" s="60" t="n">
        <x:v>0.7</x:v>
      </x:c>
      <x:c r="B2706" s="28" t="str">
        <x:v>back_high</x:v>
      </x:c>
      <x:c r="C2706" s="60" t="n">
        <x:v>0.5</x:v>
      </x:c>
      <x:c r="D2706" s="60" t="n">
        <x:v>0.5</x:v>
      </x:c>
      <x:c r="E2706" s="62" t="b">
        <x:v>1</x:v>
      </x:c>
      <x:c r="F2706" s="62" t="b">
        <x:v>1</x:v>
      </x:c>
      <x:c r="G2706" s="85" t="n">
        <x:v>0</x:v>
      </x:c>
      <x:c r="H2706" s="85" t="n">
        <x:v>0</x:v>
      </x:c>
      <x:c r="I2706" s="85" t="n">
        <x:v>64196070.98164292</x:v>
      </x:c>
      <x:c r="J2706" s="85" t="n">
        <x:v>51962902.144630976</x:v>
      </x:c>
      <x:c r="K2706" s="85" t="n">
        <x:v>1551281.0626786212</x:v>
      </x:c>
      <x:c r="L2706" s="28" t="n">
        <x:v>16</x:v>
      </x:c>
      <x:c r="M2706" s="28" t="n">
        <x:v>8</x:v>
      </x:c>
      <x:c r="N2706" s="28" t="n">
        <x:v>3.725290298461914e-9</x:v>
      </x:c>
      <x:c r="O2706" s="28" t="n">
        <x:v>2.9802322387695312e-8</x:v>
      </x:c>
      <x:c r="P2706" s="28" t="n">
        <x:v>0</x:v>
      </x:c>
      <x:c r="Q2706" s="62" t="b">
        <x:v>1</x:v>
      </x:c>
      <x:c r="R2706" s="28" t="n">
        <x:v>0</x:v>
      </x:c>
      <x:c r="S2706" s="28" t="str">
        <x:v>da39c9e50adcdced</x:v>
      </x:c>
    </x:row>
    <x:row r="2707" ht="21" customHeight="1">
      <x:c r="A2707" s="60" t="n">
        <x:v>0.7</x:v>
      </x:c>
      <x:c r="B2707" s="28" t="str">
        <x:v>back_high</x:v>
      </x:c>
      <x:c r="C2707" s="60" t="n">
        <x:v>0.55</x:v>
      </x:c>
      <x:c r="D2707" s="60" t="n">
        <x:v>0.55</x:v>
      </x:c>
      <x:c r="E2707" s="62" t="b">
        <x:v>1</x:v>
      </x:c>
      <x:c r="F2707" s="62" t="b">
        <x:v>0</x:v>
      </x:c>
      <x:c r="G2707" s="85" t="n">
        <x:v>663379.8747351436</x:v>
      </x:c>
      <x:c r="H2707" s="85" t="n">
        <x:v>2543591.7750674114</x:v>
      </x:c>
      <x:c r="I2707" s="85" t="n">
        <x:v>70927129.32564306</x:v>
      </x:c>
      <x:c r="J2707" s="85" t="n">
        <x:v>60000000.000000015</x:v>
      </x:c>
      <x:c r="K2707" s="85" t="n">
        <x:v>1385628.5482616317</x:v>
      </x:c>
      <x:c r="L2707" s="28" t="n">
        <x:v>41</x:v>
      </x:c>
      <x:c r="M2707" s="28" t="n">
        <x:v>34</x:v>
      </x:c>
      <x:c r="N2707" s="28" t="n">
        <x:v>3.725290298461914e-9</x:v>
      </x:c>
      <x:c r="O2707" s="28" t="n">
        <x:v>2.9802322387695312e-8</x:v>
      </x:c>
      <x:c r="P2707" s="28" t="n">
        <x:v>0</x:v>
      </x:c>
      <x:c r="Q2707" s="62" t="b">
        <x:v>1</x:v>
      </x:c>
      <x:c r="R2707" s="28" t="n">
        <x:v>0</x:v>
      </x:c>
      <x:c r="S2707" s="28" t="str">
        <x:v>bcade7af65b1b6e7</x:v>
      </x:c>
    </x:row>
    <x:row r="2708" ht="21" customHeight="1">
      <x:c r="A2708" s="60" t="n">
        <x:v>0.7</x:v>
      </x:c>
      <x:c r="B2708" s="28" t="str">
        <x:v>back_high</x:v>
      </x:c>
      <x:c r="C2708" s="60" t="n">
        <x:v>0.6</x:v>
      </x:c>
      <x:c r="D2708" s="60" t="n">
        <x:v>0.6</x:v>
      </x:c>
      <x:c r="E2708" s="62" t="b">
        <x:v>1</x:v>
      </x:c>
      <x:c r="F2708" s="62" t="b">
        <x:v>0</x:v>
      </x:c>
      <x:c r="G2708" s="85" t="n">
        <x:v>4370962.593553894</x:v>
      </x:c>
      <x:c r="H2708" s="85" t="n">
        <x:v>14797808.604729794</x:v>
      </x:c>
      <x:c r="I2708" s="85" t="n">
        <x:v>72516164.38356164</x:v>
      </x:c>
      <x:c r="J2708" s="85" t="n">
        <x:v>60000000.000000015</x:v>
      </x:c>
      <x:c r="K2708" s="85" t="n">
        <x:v>1289537.0071945158</x:v>
      </x:c>
      <x:c r="L2708" s="28" t="n">
        <x:v>42</x:v>
      </x:c>
      <x:c r="M2708" s="28" t="n">
        <x:v>35</x:v>
      </x:c>
      <x:c r="N2708" s="28" t="n">
        <x:v>1.862645149230957e-9</x:v>
      </x:c>
      <x:c r="O2708" s="28" t="n">
        <x:v>2.9802322387695312e-8</x:v>
      </x:c>
      <x:c r="P2708" s="28" t="n">
        <x:v>0</x:v>
      </x:c>
      <x:c r="Q2708" s="62" t="b">
        <x:v>1</x:v>
      </x:c>
      <x:c r="R2708" s="28" t="n">
        <x:v>0</x:v>
      </x:c>
      <x:c r="S2708" s="28" t="str">
        <x:v>9f029ff363164419</x:v>
      </x:c>
    </x:row>
    <x:row r="2709" ht="21" customHeight="1">
      <x:c r="A2709" s="60" t="n">
        <x:v>0.7</x:v>
      </x:c>
      <x:c r="B2709" s="28" t="str">
        <x:v>back_high</x:v>
      </x:c>
      <x:c r="C2709" s="60" t="n">
        <x:v>0.65</x:v>
      </x:c>
      <x:c r="D2709" s="60" t="n">
        <x:v>0.65</x:v>
      </x:c>
      <x:c r="E2709" s="62" t="b">
        <x:v>1</x:v>
      </x:c>
      <x:c r="F2709" s="62" t="b">
        <x:v>0</x:v>
      </x:c>
      <x:c r="G2709" s="85" t="n">
        <x:v>8846268.821918352</x:v>
      </x:c>
      <x:c r="H2709" s="85" t="n">
        <x:v>28967576.003808465</x:v>
      </x:c>
      <x:c r="I2709" s="85" t="n">
        <x:v>72587526.58615202</x:v>
      </x:c>
      <x:c r="J2709" s="85" t="n">
        <x:v>60000000.000000015</x:v>
      </x:c>
      <x:c r="K2709" s="85" t="n">
        <x:v>1193445.4661274042</x:v>
      </x:c>
      <x:c r="L2709" s="28" t="n">
        <x:v>42</x:v>
      </x:c>
      <x:c r="M2709" s="28" t="n">
        <x:v>36</x:v>
      </x:c>
      <x:c r="N2709" s="28" t="n">
        <x:v>1.862645149230957e-9</x:v>
      </x:c>
      <x:c r="O2709" s="28" t="n">
        <x:v>1.4901161193847656e-8</x:v>
      </x:c>
      <x:c r="P2709" s="28" t="n">
        <x:v>0</x:v>
      </x:c>
      <x:c r="Q2709" s="62" t="b">
        <x:v>1</x:v>
      </x:c>
      <x:c r="R2709" s="28" t="n">
        <x:v>0</x:v>
      </x:c>
      <x:c r="S2709" s="28" t="str">
        <x:v>08a0cc9eeb37793a</x:v>
      </x:c>
    </x:row>
    <x:row r="2710" ht="21" customHeight="1">
      <x:c r="A2710" s="60" t="n">
        <x:v>0.7</x:v>
      </x:c>
      <x:c r="B2710" s="28" t="str">
        <x:v>back_high</x:v>
      </x:c>
      <x:c r="C2710" s="60" t="n">
        <x:v>0.7</x:v>
      </x:c>
      <x:c r="D2710" s="60" t="n">
        <x:v>0.7</x:v>
      </x:c>
      <x:c r="E2710" s="62" t="b">
        <x:v>1</x:v>
      </x:c>
      <x:c r="F2710" s="62" t="b">
        <x:v>0</x:v>
      </x:c>
      <x:c r="G2710" s="85" t="n">
        <x:v>13014305.306687068</x:v>
      </x:c>
      <x:c r="H2710" s="85" t="n">
        <x:v>40011516.57068356</x:v>
      </x:c>
      <x:c r="I2710" s="85" t="n">
        <x:v>74304211.99148355</x:v>
      </x:c>
      <x:c r="J2710" s="85" t="n">
        <x:v>60000000.000000015</x:v>
      </x:c>
      <x:c r="K2710" s="85" t="n">
        <x:v>1097353.9250602713</x:v>
      </x:c>
      <x:c r="L2710" s="28" t="n">
        <x:v>43</x:v>
      </x:c>
      <x:c r="M2710" s="28" t="n">
        <x:v>37</x:v>
      </x:c>
      <x:c r="N2710" s="28" t="n">
        <x:v>1.862645149230957e-9</x:v>
      </x:c>
      <x:c r="O2710" s="28" t="n">
        <x:v>2.9802322387695312e-8</x:v>
      </x:c>
      <x:c r="P2710" s="28" t="n">
        <x:v>0</x:v>
      </x:c>
      <x:c r="Q2710" s="62" t="b">
        <x:v>1</x:v>
      </x:c>
      <x:c r="R2710" s="28" t="n">
        <x:v>0</x:v>
      </x:c>
      <x:c r="S2710" s="28" t="str">
        <x:v>066e01a19a7bea2a</x:v>
      </x:c>
    </x:row>
    <x:row r="2711" ht="21" customHeight="1">
      <x:c r="A2711" s="60" t="n">
        <x:v>0.7</x:v>
      </x:c>
      <x:c r="B2711" s="28" t="str">
        <x:v>back_high</x:v>
      </x:c>
      <x:c r="C2711" s="60" t="n">
        <x:v>0.75</x:v>
      </x:c>
      <x:c r="D2711" s="60" t="n">
        <x:v>0.75</x:v>
      </x:c>
      <x:c r="E2711" s="62" t="b">
        <x:v>1</x:v>
      </x:c>
      <x:c r="F2711" s="62" t="b">
        <x:v>0</x:v>
      </x:c>
      <x:c r="G2711" s="85" t="n">
        <x:v>17684666.841724873</x:v>
      </x:c>
      <x:c r="H2711" s="85" t="n">
        <x:v>53640256.17645829</x:v>
      </x:c>
      <x:c r="I2711" s="85" t="n">
        <x:v>74356428.58050343</x:v>
      </x:c>
      <x:c r="J2711" s="85" t="n">
        <x:v>60000000.000000015</x:v>
      </x:c>
      <x:c r="K2711" s="85" t="n">
        <x:v>1001262.3839931401</x:v>
      </x:c>
      <x:c r="L2711" s="28" t="n">
        <x:v>43</x:v>
      </x:c>
      <x:c r="M2711" s="28" t="n">
        <x:v>38</x:v>
      </x:c>
      <x:c r="N2711" s="28" t="n">
        <x:v>1.862645149230957e-9</x:v>
      </x:c>
      <x:c r="O2711" s="28" t="n">
        <x:v>2.9802322387695312e-8</x:v>
      </x:c>
      <x:c r="P2711" s="28" t="n">
        <x:v>0</x:v>
      </x:c>
      <x:c r="Q2711" s="62" t="b">
        <x:v>1</x:v>
      </x:c>
      <x:c r="R2711" s="28" t="n">
        <x:v>0</x:v>
      </x:c>
      <x:c r="S2711" s="28" t="str">
        <x:v>5a863052861d5e26</x:v>
      </x:c>
    </x:row>
    <x:row r="2712" ht="21" customHeight="1">
      <x:c r="A2712" s="60" t="n">
        <x:v>0.7</x:v>
      </x:c>
      <x:c r="B2712" s="28" t="str">
        <x:v>back_high</x:v>
      </x:c>
      <x:c r="C2712" s="60" t="n">
        <x:v>0.8</x:v>
      </x:c>
      <x:c r="D2712" s="60" t="n">
        <x:v>0.8</x:v>
      </x:c>
      <x:c r="E2712" s="62" t="b">
        <x:v>1</x:v>
      </x:c>
      <x:c r="F2712" s="62" t="b">
        <x:v>0</x:v>
      </x:c>
      <x:c r="G2712" s="85" t="n">
        <x:v>23492269.96159075</x:v>
      </x:c>
      <x:c r="H2712" s="85" t="n">
        <x:v>66366151.93298757</x:v>
      </x:c>
      <x:c r="I2712" s="85" t="n">
        <x:v>74408645.16952328</x:v>
      </x:c>
      <x:c r="J2712" s="85" t="n">
        <x:v>60000000.000000015</x:v>
      </x:c>
      <x:c r="K2712" s="85" t="n">
        <x:v>905170.8429260276</x:v>
      </x:c>
      <x:c r="L2712" s="28" t="n">
        <x:v>43</x:v>
      </x:c>
      <x:c r="M2712" s="28" t="n">
        <x:v>38</x:v>
      </x:c>
      <x:c r="N2712" s="28" t="n">
        <x:v>1.862645149230957e-9</x:v>
      </x:c>
      <x:c r="O2712" s="28" t="n">
        <x:v>1.4901161193847656e-8</x:v>
      </x:c>
      <x:c r="P2712" s="28" t="n">
        <x:v>0</x:v>
      </x:c>
      <x:c r="Q2712" s="62" t="b">
        <x:v>1</x:v>
      </x:c>
      <x:c r="R2712" s="28" t="n">
        <x:v>0</x:v>
      </x:c>
      <x:c r="S2712" s="28" t="str">
        <x:v>f60a9352663ecd91</x:v>
      </x:c>
    </x:row>
    <x:row r="2713" ht="21" customHeight="1">
      <x:c r="A2713" s="60" t="n">
        <x:v>0.7</x:v>
      </x:c>
      <x:c r="B2713" s="28" t="str">
        <x:v>back_high</x:v>
      </x:c>
      <x:c r="C2713" s="60" t="n">
        <x:v>0.85</x:v>
      </x:c>
      <x:c r="D2713" s="60" t="n">
        <x:v>0.85</x:v>
      </x:c>
      <x:c r="E2713" s="62" t="b">
        <x:v>1</x:v>
      </x:c>
      <x:c r="F2713" s="62" t="b">
        <x:v>0</x:v>
      </x:c>
      <x:c r="G2713" s="85" t="n">
        <x:v>31693515.30344382</x:v>
      </x:c>
      <x:c r="H2713" s="85" t="n">
        <x:v>73965592.34642802</x:v>
      </x:c>
      <x:c r="I2713" s="85" t="n">
        <x:v>75956712.32876712</x:v>
      </x:c>
      <x:c r="J2713" s="85" t="n">
        <x:v>60000000.000000015</x:v>
      </x:c>
      <x:c r="K2713" s="85" t="n">
        <x:v>809079.3018589152</x:v>
      </x:c>
      <x:c r="L2713" s="28" t="n">
        <x:v>44</x:v>
      </x:c>
      <x:c r="M2713" s="28" t="n">
        <x:v>39</x:v>
      </x:c>
      <x:c r="N2713" s="28" t="n">
        <x:v>1.862645149230957e-9</x:v>
      </x:c>
      <x:c r="O2713" s="28" t="n">
        <x:v>2.9802322387695312e-8</x:v>
      </x:c>
      <x:c r="P2713" s="28" t="n">
        <x:v>0</x:v>
      </x:c>
      <x:c r="Q2713" s="62" t="b">
        <x:v>1</x:v>
      </x:c>
      <x:c r="R2713" s="28" t="n">
        <x:v>0</x:v>
      </x:c>
      <x:c r="S2713" s="28" t="str">
        <x:v>d3fbeba1289fbce9</x:v>
      </x:c>
    </x:row>
    <x:row r="2714" ht="21" customHeight="1">
      <x:c r="A2714" s="60" t="n">
        <x:v>0.7</x:v>
      </x:c>
      <x:c r="B2714" s="28" t="str">
        <x:v>back_high</x:v>
      </x:c>
      <x:c r="C2714" s="60" t="n">
        <x:v>0.9</x:v>
      </x:c>
      <x:c r="D2714" s="60" t="n">
        <x:v>0.8948658400492392</x:v>
      </x:c>
      <x:c r="E2714" s="62" t="b">
        <x:v>0</x:v>
      </x:c>
      <x:c r="F2714" s="62" t="b">
        <x:v>0</x:v>
      </x:c>
      <x:c r="G2714" s="85" t="n">
        <x:v>36250633.95910783</x:v>
      </x:c>
      <x:c r="H2714" s="85" t="n">
        <x:v>81608307.91243266</x:v>
      </x:c>
      <x:c r="I2714" s="85" t="n">
        <x:v>75956712.32876712</x:v>
      </x:c>
      <x:c r="J2714" s="85" t="n">
        <x:v>60000000.000000015</x:v>
      </x:c>
      <x:c r="K2714" s="85" t="n">
        <x:v>732639.5616904057</x:v>
      </x:c>
      <x:c r="L2714" s="28" t="n">
        <x:v>44</x:v>
      </x:c>
      <x:c r="M2714" s="28" t="n">
        <x:v>40</x:v>
      </x:c>
      <x:c r="N2714" s="28" t="n">
        <x:v>1.862645149230957e-9</x:v>
      </x:c>
      <x:c r="O2714" s="28" t="n">
        <x:v>2.9802322387695312e-8</x:v>
      </x:c>
      <x:c r="P2714" s="28" t="n">
        <x:v>0</x:v>
      </x:c>
      <x:c r="Q2714" s="62" t="b">
        <x:v>1</x:v>
      </x:c>
      <x:c r="R2714" s="28" t="n">
        <x:v>1540247.9852282405</x:v>
      </x:c>
      <x:c r="S2714" s="28" t="str">
        <x:v>ee3ecbb2df564dd8</x:v>
      </x:c>
    </x:row>
    <x:row r="2715" ht="21" customHeight="1">
      <x:c r="A2715" s="60" t="n">
        <x:v>0.7</x:v>
      </x:c>
      <x:c r="B2715" s="28" t="str">
        <x:v>back_high</x:v>
      </x:c>
      <x:c r="C2715" s="60" t="n">
        <x:v>0.95</x:v>
      </x:c>
      <x:c r="D2715" s="60" t="n">
        <x:v>0.9083032015334562</x:v>
      </x:c>
      <x:c r="E2715" s="62" t="b">
        <x:v>0</x:v>
      </x:c>
      <x:c r="F2715" s="62" t="b">
        <x:v>0</x:v>
      </x:c>
      <x:c r="G2715" s="85" t="n">
        <x:v>38379983.817606844</x:v>
      </x:c>
      <x:c r="H2715" s="85" t="n">
        <x:v>86401952.04846919</x:v>
      </x:c>
      <x:c r="I2715" s="85" t="n">
        <x:v>75956712.32876712</x:v>
      </x:c>
      <x:c r="J2715" s="85" t="n">
        <x:v>60000000.000000015</x:v>
      </x:c>
      <x:c r="K2715" s="85" t="n">
        <x:v>675097.2022561637</x:v>
      </x:c>
      <x:c r="L2715" s="28" t="n">
        <x:v>44</x:v>
      </x:c>
      <x:c r="M2715" s="28" t="n">
        <x:v>40</x:v>
      </x:c>
      <x:c r="N2715" s="28" t="n">
        <x:v>3.725290298461914e-9</x:v>
      </x:c>
      <x:c r="O2715" s="28" t="n">
        <x:v>2.9802322387695312e-8</x:v>
      </x:c>
      <x:c r="P2715" s="28" t="n">
        <x:v>0</x:v>
      </x:c>
      <x:c r="Q2715" s="62" t="b">
        <x:v>1</x:v>
      </x:c>
      <x:c r="R2715" s="28" t="n">
        <x:v>12509039.539963126</x:v>
      </x:c>
      <x:c r="S2715" s="28" t="str">
        <x:v>945fa29502be613d</x:v>
      </x:c>
    </x:row>
    <x:row r="2716" ht="21" customHeight="1">
      <x:c r="A2716" s="60" t="n">
        <x:v>0.7</x:v>
      </x:c>
      <x:c r="B2716" s="28" t="str">
        <x:v>back_high</x:v>
      </x:c>
      <x:c r="C2716" s="60" t="n">
        <x:v>1</x:v>
      </x:c>
      <x:c r="D2716" s="60" t="n">
        <x:v>0.920601109498915</x:v>
      </x:c>
      <x:c r="E2716" s="62" t="b">
        <x:v>0</x:v>
      </x:c>
      <x:c r="F2716" s="62" t="b">
        <x:v>0</x:v>
      </x:c>
      <x:c r="G2716" s="85" t="n">
        <x:v>41291187.34159917</x:v>
      </x:c>
      <x:c r="H2716" s="85" t="n">
        <x:v>89209807.97956514</x:v>
      </x:c>
      <x:c r="I2716" s="85" t="n">
        <x:v>75956712.32876712</x:v>
      </x:c>
      <x:c r="J2716" s="85" t="n">
        <x:v>60000000.000000015</x:v>
      </x:c>
      <x:c r="K2716" s="85" t="n">
        <x:v>630965.6878630123</x:v>
      </x:c>
      <x:c r="L2716" s="28" t="n">
        <x:v>44</x:v>
      </x:c>
      <x:c r="M2716" s="28" t="n">
        <x:v>40</x:v>
      </x:c>
      <x:c r="N2716" s="28" t="n">
        <x:v>1.862645149230957e-9</x:v>
      </x:c>
      <x:c r="O2716" s="28" t="n">
        <x:v>2.9802322387695312e-8</x:v>
      </x:c>
      <x:c r="P2716" s="28" t="n">
        <x:v>0</x:v>
      </x:c>
      <x:c r="Q2716" s="62" t="b">
        <x:v>1</x:v>
      </x:c>
      <x:c r="R2716" s="28" t="n">
        <x:v>23819667.150325477</x:v>
      </x:c>
      <x:c r="S2716" s="28" t="str">
        <x:v>40a21965d4fd7395</x:v>
      </x:c>
    </x:row>
    <x:row r="2717" ht="21" customHeight="1">
      <x:c r="A2717" s="60" t="n">
        <x:v>0.7</x:v>
      </x:c>
      <x:c r="B2717" s="28" t="str">
        <x:v>level_flat</x:v>
      </x:c>
      <x:c r="C2717" s="60" t="n">
        <x:v>0</x:v>
      </x:c>
      <x:c r="D2717" s="60" t="n">
        <x:v>0</x:v>
      </x:c>
      <x:c r="E2717" s="62" t="b">
        <x:v>1</x:v>
      </x:c>
      <x:c r="F2717" s="62" t="b">
        <x:v>1</x:v>
      </x:c>
      <x:c r="G2717" s="85" t="n">
        <x:v>0</x:v>
      </x:c>
      <x:c r="H2717" s="85" t="n">
        <x:v>0</x:v>
      </x:c>
      <x:c r="I2717" s="85" t="n">
        <x:v>0</x:v>
      </x:c>
      <x:c r="J2717" s="85" t="n">
        <x:v>0</x:v>
      </x:c>
      <x:c r="K2717" s="85" t="n">
        <x:v>37166364.518493116</x:v>
      </x:c>
      <x:c r="L2717" s="28" t="n">
        <x:v>0</x:v>
      </x:c>
      <x:c r="M2717" s="28" t="n">
        <x:v>0</x:v>
      </x:c>
      <x:c r="N2717" s="28" t="n">
        <x:v>3.725290298461914e-9</x:v>
      </x:c>
      <x:c r="O2717" s="28" t="n">
        <x:v>0</x:v>
      </x:c>
      <x:c r="P2717" s="28" t="n">
        <x:v>0</x:v>
      </x:c>
      <x:c r="Q2717" s="62" t="b">
        <x:v>1</x:v>
      </x:c>
      <x:c r="R2717" s="28" t="n">
        <x:v>0</x:v>
      </x:c>
      <x:c r="S2717" s="28" t="str">
        <x:v>ad2a89e020c5b2df</x:v>
      </x:c>
    </x:row>
    <x:row r="2718" ht="21" customHeight="1">
      <x:c r="A2718" s="60" t="n">
        <x:v>0.7</x:v>
      </x:c>
      <x:c r="B2718" s="28" t="str">
        <x:v>level_flat</x:v>
      </x:c>
      <x:c r="C2718" s="60" t="n">
        <x:v>0.05</x:v>
      </x:c>
      <x:c r="D2718" s="60" t="n">
        <x:v>0.05</x:v>
      </x:c>
      <x:c r="E2718" s="62" t="b">
        <x:v>1</x:v>
      </x:c>
      <x:c r="F2718" s="62" t="b">
        <x:v>1</x:v>
      </x:c>
      <x:c r="G2718" s="85" t="n">
        <x:v>0</x:v>
      </x:c>
      <x:c r="H2718" s="85" t="n">
        <x:v>0</x:v>
      </x:c>
      <x:c r="I2718" s="85" t="n">
        <x:v>0</x:v>
      </x:c>
      <x:c r="J2718" s="85" t="n">
        <x:v>0</x:v>
      </x:c>
      <x:c r="K2718" s="85" t="n">
        <x:v>25266226.39329993</x:v>
      </x:c>
      <x:c r="L2718" s="28" t="n">
        <x:v>0</x:v>
      </x:c>
      <x:c r="M2718" s="28" t="n">
        <x:v>0</x:v>
      </x:c>
      <x:c r="N2718" s="28" t="n">
        <x:v>1.862645149230957e-9</x:v>
      </x:c>
      <x:c r="O2718" s="28" t="n">
        <x:v>2.9802322387695312e-8</x:v>
      </x:c>
      <x:c r="P2718" s="28" t="n">
        <x:v>0</x:v>
      </x:c>
      <x:c r="Q2718" s="62" t="b">
        <x:v>1</x:v>
      </x:c>
      <x:c r="R2718" s="28" t="n">
        <x:v>0</x:v>
      </x:c>
      <x:c r="S2718" s="28" t="str">
        <x:v>8d537f211138973f</x:v>
      </x:c>
    </x:row>
    <x:row r="2719" ht="21" customHeight="1">
      <x:c r="A2719" s="60" t="n">
        <x:v>0.7</x:v>
      </x:c>
      <x:c r="B2719" s="28" t="str">
        <x:v>level_flat</x:v>
      </x:c>
      <x:c r="C2719" s="60" t="n">
        <x:v>0.1</x:v>
      </x:c>
      <x:c r="D2719" s="60" t="n">
        <x:v>0.1</x:v>
      </x:c>
      <x:c r="E2719" s="62" t="b">
        <x:v>1</x:v>
      </x:c>
      <x:c r="F2719" s="62" t="b">
        <x:v>1</x:v>
      </x:c>
      <x:c r="G2719" s="85" t="n">
        <x:v>0</x:v>
      </x:c>
      <x:c r="H2719" s="85" t="n">
        <x:v>0</x:v>
      </x:c>
      <x:c r="I2719" s="85" t="n">
        <x:v>0</x:v>
      </x:c>
      <x:c r="J2719" s="85" t="n">
        <x:v>0</x:v>
      </x:c>
      <x:c r="K2719" s="85" t="n">
        <x:v>13248144.109071707</x:v>
      </x:c>
      <x:c r="L2719" s="28" t="n">
        <x:v>0</x:v>
      </x:c>
      <x:c r="M2719" s="28" t="n">
        <x:v>0</x:v>
      </x:c>
      <x:c r="N2719" s="28" t="n">
        <x:v>3.725290298461914e-9</x:v>
      </x:c>
      <x:c r="O2719" s="28" t="n">
        <x:v>5.960464477539063e-8</x:v>
      </x:c>
      <x:c r="P2719" s="28" t="n">
        <x:v>0</x:v>
      </x:c>
      <x:c r="Q2719" s="62" t="b">
        <x:v>1</x:v>
      </x:c>
      <x:c r="R2719" s="28" t="n">
        <x:v>0</x:v>
      </x:c>
      <x:c r="S2719" s="28" t="str">
        <x:v>b0548f23e4d3342f</x:v>
      </x:c>
    </x:row>
    <x:row r="2720" ht="21" customHeight="1">
      <x:c r="A2720" s="60" t="n">
        <x:v>0.7</x:v>
      </x:c>
      <x:c r="B2720" s="28" t="str">
        <x:v>level_flat</x:v>
      </x:c>
      <x:c r="C2720" s="60" t="n">
        <x:v>0.15</x:v>
      </x:c>
      <x:c r="D2720" s="60" t="n">
        <x:v>0.15</x:v>
      </x:c>
      <x:c r="E2720" s="62" t="b">
        <x:v>1</x:v>
      </x:c>
      <x:c r="F2720" s="62" t="b">
        <x:v>1</x:v>
      </x:c>
      <x:c r="G2720" s="85" t="n">
        <x:v>0</x:v>
      </x:c>
      <x:c r="H2720" s="85" t="n">
        <x:v>0</x:v>
      </x:c>
      <x:c r="I2720" s="85" t="n">
        <x:v>1148742.0368472752</x:v>
      </x:c>
      <x:c r="J2720" s="85" t="n">
        <x:v>0</x:v>
      </x:c>
      <x:c r="K2720" s="85" t="n">
        <x:v>2887255.2594583686</x:v>
      </x:c>
      <x:c r="L2720" s="28" t="n">
        <x:v>0</x:v>
      </x:c>
      <x:c r="M2720" s="28" t="n">
        <x:v>0</x:v>
      </x:c>
      <x:c r="N2720" s="28" t="n">
        <x:v>3.725290298461914e-9</x:v>
      </x:c>
      <x:c r="O2720" s="28" t="n">
        <x:v>2.9802322387695312e-8</x:v>
      </x:c>
      <x:c r="P2720" s="28" t="n">
        <x:v>0</x:v>
      </x:c>
      <x:c r="Q2720" s="62" t="b">
        <x:v>1</x:v>
      </x:c>
      <x:c r="R2720" s="28" t="n">
        <x:v>0</x:v>
      </x:c>
      <x:c r="S2720" s="28" t="str">
        <x:v>a2fbbdf7c0aa12df</x:v>
      </x:c>
    </x:row>
    <x:row r="2721" ht="21" customHeight="1">
      <x:c r="A2721" s="60" t="n">
        <x:v>0.7</x:v>
      </x:c>
      <x:c r="B2721" s="28" t="str">
        <x:v>level_flat</x:v>
      </x:c>
      <x:c r="C2721" s="60" t="n">
        <x:v>0.2</x:v>
      </x:c>
      <x:c r="D2721" s="60" t="n">
        <x:v>0.2</x:v>
      </x:c>
      <x:c r="E2721" s="62" t="b">
        <x:v>1</x:v>
      </x:c>
      <x:c r="F2721" s="62" t="b">
        <x:v>1</x:v>
      </x:c>
      <x:c r="G2721" s="85" t="n">
        <x:v>0</x:v>
      </x:c>
      <x:c r="H2721" s="85" t="n">
        <x:v>0</x:v>
      </x:c>
      <x:c r="I2721" s="85" t="n">
        <x:v>8781944.561292194</x:v>
      </x:c>
      <x:c r="J2721" s="85" t="n">
        <x:v>6323003.27253424</x:v>
      </x:c>
      <x:c r="K2721" s="85" t="n">
        <x:v>2167462.078530719</x:v>
      </x:c>
      <x:c r="L2721" s="28" t="n">
        <x:v>0</x:v>
      </x:c>
      <x:c r="M2721" s="28" t="n">
        <x:v>0</x:v>
      </x:c>
      <x:c r="N2721" s="28" t="n">
        <x:v>9.313225746154785e-10</x:v>
      </x:c>
      <x:c r="O2721" s="28" t="n">
        <x:v>2.9802322387695312e-8</x:v>
      </x:c>
      <x:c r="P2721" s="28" t="n">
        <x:v>0</x:v>
      </x:c>
      <x:c r="Q2721" s="62" t="b">
        <x:v>1</x:v>
      </x:c>
      <x:c r="R2721" s="28" t="n">
        <x:v>0</x:v>
      </x:c>
      <x:c r="S2721" s="28" t="str">
        <x:v>6a67c96cee50bea3</x:v>
      </x:c>
    </x:row>
    <x:row r="2722" ht="21" customHeight="1">
      <x:c r="A2722" s="60" t="n">
        <x:v>0.7</x:v>
      </x:c>
      <x:c r="B2722" s="28" t="str">
        <x:v>level_flat</x:v>
      </x:c>
      <x:c r="C2722" s="60" t="n">
        <x:v>0.25</x:v>
      </x:c>
      <x:c r="D2722" s="60" t="n">
        <x:v>0.25</x:v>
      </x:c>
      <x:c r="E2722" s="62" t="b">
        <x:v>1</x:v>
      </x:c>
      <x:c r="F2722" s="62" t="b">
        <x:v>1</x:v>
      </x:c>
      <x:c r="G2722" s="85" t="n">
        <x:v>0</x:v>
      </x:c>
      <x:c r="H2722" s="85" t="n">
        <x:v>0</x:v>
      </x:c>
      <x:c r="I2722" s="85" t="n">
        <x:v>14710123.87582825</x:v>
      </x:c>
      <x:c r="J2722" s="85" t="n">
        <x:v>15403754.090667764</x:v>
      </x:c>
      <x:c r="K2722" s="85" t="n">
        <x:v>1675882.6234547934</x:v>
      </x:c>
      <x:c r="L2722" s="28" t="n">
        <x:v>0</x:v>
      </x:c>
      <x:c r="M2722" s="28" t="n">
        <x:v>0</x:v>
      </x:c>
      <x:c r="N2722" s="28" t="n">
        <x:v>3.725290298461914e-9</x:v>
      </x:c>
      <x:c r="O2722" s="28" t="n">
        <x:v>2.9802322387695312e-8</x:v>
      </x:c>
      <x:c r="P2722" s="28" t="n">
        <x:v>0</x:v>
      </x:c>
      <x:c r="Q2722" s="62" t="b">
        <x:v>1</x:v>
      </x:c>
      <x:c r="R2722" s="28" t="n">
        <x:v>0</x:v>
      </x:c>
      <x:c r="S2722" s="28" t="str">
        <x:v>583e9f3c9d3bb409</x:v>
      </x:c>
    </x:row>
    <x:row r="2723" ht="21" customHeight="1">
      <x:c r="A2723" s="60" t="n">
        <x:v>0.7</x:v>
      </x:c>
      <x:c r="B2723" s="28" t="str">
        <x:v>level_flat</x:v>
      </x:c>
      <x:c r="C2723" s="60" t="n">
        <x:v>0.3</x:v>
      </x:c>
      <x:c r="D2723" s="60" t="n">
        <x:v>0.3</x:v>
      </x:c>
      <x:c r="E2723" s="62" t="b">
        <x:v>1</x:v>
      </x:c>
      <x:c r="F2723" s="62" t="b">
        <x:v>1</x:v>
      </x:c>
      <x:c r="G2723" s="85" t="n">
        <x:v>0</x:v>
      </x:c>
      <x:c r="H2723" s="85" t="n">
        <x:v>0</x:v>
      </x:c>
      <x:c r="I2723" s="85" t="n">
        <x:v>20779438.058618173</x:v>
      </x:c>
      <x:c r="J2723" s="85" t="n">
        <x:v>24484504.908801205</x:v>
      </x:c>
      <x:c r="K2723" s="85" t="n">
        <x:v>1325026.4629402822</x:v>
      </x:c>
      <x:c r="L2723" s="28" t="n">
        <x:v>0</x:v>
      </x:c>
      <x:c r="M2723" s="28" t="n">
        <x:v>0</x:v>
      </x:c>
      <x:c r="N2723" s="28" t="n">
        <x:v>3.725290298461914e-9</x:v>
      </x:c>
      <x:c r="O2723" s="28" t="n">
        <x:v>7.450580596923828e-9</x:v>
      </x:c>
      <x:c r="P2723" s="28" t="n">
        <x:v>0</x:v>
      </x:c>
      <x:c r="Q2723" s="62" t="b">
        <x:v>1</x:v>
      </x:c>
      <x:c r="R2723" s="28" t="n">
        <x:v>0</x:v>
      </x:c>
      <x:c r="S2723" s="28" t="str">
        <x:v>2d876297c56b9453</x:v>
      </x:c>
    </x:row>
    <x:row r="2724" ht="21" customHeight="1">
      <x:c r="A2724" s="60" t="n">
        <x:v>0.7</x:v>
      </x:c>
      <x:c r="B2724" s="28" t="str">
        <x:v>level_flat</x:v>
      </x:c>
      <x:c r="C2724" s="60" t="n">
        <x:v>0.35</x:v>
      </x:c>
      <x:c r="D2724" s="60" t="n">
        <x:v>0.35</x:v>
      </x:c>
      <x:c r="E2724" s="62" t="b">
        <x:v>1</x:v>
      </x:c>
      <x:c r="F2724" s="62" t="b">
        <x:v>1</x:v>
      </x:c>
      <x:c r="G2724" s="85" t="n">
        <x:v>0</x:v>
      </x:c>
      <x:c r="H2724" s="85" t="n">
        <x:v>0</x:v>
      </x:c>
      <x:c r="I2724" s="85" t="n">
        <x:v>29878119.938532427</x:v>
      </x:c>
      <x:c r="J2724" s="85" t="n">
        <x:v>26371466.95082195</x:v>
      </x:c>
      <x:c r="K2724" s="85" t="n">
        <x:v>1071776.9300038414</x:v>
      </x:c>
      <x:c r="L2724" s="28" t="n">
        <x:v>8</x:v>
      </x:c>
      <x:c r="M2724" s="28" t="n">
        <x:v>0</x:v>
      </x:c>
      <x:c r="N2724" s="28" t="n">
        <x:v>3.725290298461914e-9</x:v>
      </x:c>
      <x:c r="O2724" s="28" t="n">
        <x:v>2.9802322387695312e-8</x:v>
      </x:c>
      <x:c r="P2724" s="28" t="n">
        <x:v>0</x:v>
      </x:c>
      <x:c r="Q2724" s="62" t="b">
        <x:v>1</x:v>
      </x:c>
      <x:c r="R2724" s="28" t="n">
        <x:v>0</x:v>
      </x:c>
      <x:c r="S2724" s="28" t="str">
        <x:v>a9e1419a2a3f86c0</x:v>
      </x:c>
    </x:row>
    <x:row r="2725" ht="21" customHeight="1">
      <x:c r="A2725" s="60" t="n">
        <x:v>0.7</x:v>
      </x:c>
      <x:c r="B2725" s="28" t="str">
        <x:v>level_flat</x:v>
      </x:c>
      <x:c r="C2725" s="60" t="n">
        <x:v>0.4</x:v>
      </x:c>
      <x:c r="D2725" s="60" t="n">
        <x:v>0.4</x:v>
      </x:c>
      <x:c r="E2725" s="62" t="b">
        <x:v>1</x:v>
      </x:c>
      <x:c r="F2725" s="62" t="b">
        <x:v>1</x:v>
      </x:c>
      <x:c r="G2725" s="85" t="n">
        <x:v>0</x:v>
      </x:c>
      <x:c r="H2725" s="85" t="n">
        <x:v>0</x:v>
      </x:c>
      <x:c r="I2725" s="85" t="n">
        <x:v>36990054.663682036</x:v>
      </x:c>
      <x:c r="J2725" s="85" t="n">
        <x:v>33126424.95812144</x:v>
      </x:c>
      <x:c r="K2725" s="85" t="n">
        <x:v>874703.3579178134</x:v>
      </x:c>
      <x:c r="L2725" s="28" t="n">
        <x:v>12</x:v>
      </x:c>
      <x:c r="M2725" s="28" t="n">
        <x:v>0</x:v>
      </x:c>
      <x:c r="N2725" s="28" t="n">
        <x:v>3.725290298461914e-9</x:v>
      </x:c>
      <x:c r="O2725" s="28" t="n">
        <x:v>2.9802322387695312e-8</x:v>
      </x:c>
      <x:c r="P2725" s="28" t="n">
        <x:v>0</x:v>
      </x:c>
      <x:c r="Q2725" s="62" t="b">
        <x:v>1</x:v>
      </x:c>
      <x:c r="R2725" s="28" t="n">
        <x:v>0</x:v>
      </x:c>
      <x:c r="S2725" s="28" t="str">
        <x:v>ee3c64d4fe026be2</x:v>
      </x:c>
    </x:row>
    <x:row r="2726" ht="21" customHeight="1">
      <x:c r="A2726" s="60" t="n">
        <x:v>0.7</x:v>
      </x:c>
      <x:c r="B2726" s="28" t="str">
        <x:v>level_flat</x:v>
      </x:c>
      <x:c r="C2726" s="60" t="n">
        <x:v>0.45</x:v>
      </x:c>
      <x:c r="D2726" s="60" t="n">
        <x:v>0.45</x:v>
      </x:c>
      <x:c r="E2726" s="62" t="b">
        <x:v>1</x:v>
      </x:c>
      <x:c r="F2726" s="62" t="b">
        <x:v>1</x:v>
      </x:c>
      <x:c r="G2726" s="85" t="n">
        <x:v>0</x:v>
      </x:c>
      <x:c r="H2726" s="85" t="n">
        <x:v>0</x:v>
      </x:c>
      <x:c r="I2726" s="85" t="n">
        <x:v>43929384.39955423</x:v>
      </x:c>
      <x:c r="J2726" s="85" t="n">
        <x:v>40311119.70622724</x:v>
      </x:c>
      <x:c r="K2726" s="85" t="n">
        <x:v>769949.3401575446</x:v>
      </x:c>
      <x:c r="L2726" s="28" t="n">
        <x:v>16</x:v>
      </x:c>
      <x:c r="M2726" s="28" t="n">
        <x:v>0</x:v>
      </x:c>
      <x:c r="N2726" s="28" t="n">
        <x:v>1.862645149230957e-9</x:v>
      </x:c>
      <x:c r="O2726" s="28" t="n">
        <x:v>2.9802322387695312e-8</x:v>
      </x:c>
      <x:c r="P2726" s="28" t="n">
        <x:v>0</x:v>
      </x:c>
      <x:c r="Q2726" s="62" t="b">
        <x:v>1</x:v>
      </x:c>
      <x:c r="R2726" s="28" t="n">
        <x:v>0</x:v>
      </x:c>
      <x:c r="S2726" s="28" t="str">
        <x:v>ba633171f949dc1e</x:v>
      </x:c>
    </x:row>
    <x:row r="2727" ht="21" customHeight="1">
      <x:c r="A2727" s="60" t="n">
        <x:v>0.7</x:v>
      </x:c>
      <x:c r="B2727" s="28" t="str">
        <x:v>level_flat</x:v>
      </x:c>
      <x:c r="C2727" s="60" t="n">
        <x:v>0.5</x:v>
      </x:c>
      <x:c r="D2727" s="60" t="n">
        <x:v>0.5</x:v>
      </x:c>
      <x:c r="E2727" s="62" t="b">
        <x:v>1</x:v>
      </x:c>
      <x:c r="F2727" s="62" t="b">
        <x:v>1</x:v>
      </x:c>
      <x:c r="G2727" s="85" t="n">
        <x:v>0</x:v>
      </x:c>
      <x:c r="H2727" s="85" t="n">
        <x:v>0</x:v>
      </x:c>
      <x:c r="I2727" s="85" t="n">
        <x:v>50053351.21171433</x:v>
      </x:c>
      <x:c r="J2727" s="85" t="n">
        <x:v>49475174.3141803</x:v>
      </x:c>
      <x:c r="K2727" s="85" t="n">
        <x:v>665195.3223972574</x:v>
      </x:c>
      <x:c r="L2727" s="28" t="n">
        <x:v>19</x:v>
      </x:c>
      <x:c r="M2727" s="28" t="n">
        <x:v>3</x:v>
      </x:c>
      <x:c r="N2727" s="28" t="n">
        <x:v>1.862645149230957e-9</x:v>
      </x:c>
      <x:c r="O2727" s="28" t="n">
        <x:v>1.4901161193847656e-8</x:v>
      </x:c>
      <x:c r="P2727" s="28" t="n">
        <x:v>0</x:v>
      </x:c>
      <x:c r="Q2727" s="62" t="b">
        <x:v>1</x:v>
      </x:c>
      <x:c r="R2727" s="28" t="n">
        <x:v>0</x:v>
      </x:c>
      <x:c r="S2727" s="28" t="str">
        <x:v>69de388add77a64b</x:v>
      </x:c>
    </x:row>
    <x:row r="2728" ht="21" customHeight="1">
      <x:c r="A2728" s="60" t="n">
        <x:v>0.7</x:v>
      </x:c>
      <x:c r="B2728" s="28" t="str">
        <x:v>level_flat</x:v>
      </x:c>
      <x:c r="C2728" s="60" t="n">
        <x:v>0.55</x:v>
      </x:c>
      <x:c r="D2728" s="60" t="n">
        <x:v>0.55</x:v>
      </x:c>
      <x:c r="E2728" s="62" t="b">
        <x:v>1</x:v>
      </x:c>
      <x:c r="F2728" s="62" t="b">
        <x:v>1</x:v>
      </x:c>
      <x:c r="G2728" s="85" t="n">
        <x:v>0</x:v>
      </x:c>
      <x:c r="H2728" s="85" t="n">
        <x:v>0</x:v>
      </x:c>
      <x:c r="I2728" s="85" t="n">
        <x:v>55859825.09358671</x:v>
      </x:c>
      <x:c r="J2728" s="85" t="n">
        <x:v>59160803.326618135</x:v>
      </x:c>
      <x:c r="K2728" s="85" t="n">
        <x:v>560441.3046369894</x:v>
      </x:c>
      <x:c r="L2728" s="28" t="n">
        <x:v>26</x:v>
      </x:c>
      <x:c r="M2728" s="28" t="n">
        <x:v>13</x:v>
      </x:c>
      <x:c r="N2728" s="28" t="n">
        <x:v>1.862645149230957e-9</x:v>
      </x:c>
      <x:c r="O2728" s="28" t="n">
        <x:v>2.9802322387695312e-8</x:v>
      </x:c>
      <x:c r="P2728" s="28" t="n">
        <x:v>0</x:v>
      </x:c>
      <x:c r="Q2728" s="62" t="b">
        <x:v>1</x:v>
      </x:c>
      <x:c r="R2728" s="28" t="n">
        <x:v>0</x:v>
      </x:c>
      <x:c r="S2728" s="28" t="str">
        <x:v>d408dce4b0fe6b87</x:v>
      </x:c>
    </x:row>
    <x:row r="2729" ht="21" customHeight="1">
      <x:c r="A2729" s="60" t="n">
        <x:v>0.7</x:v>
      </x:c>
      <x:c r="B2729" s="28" t="str">
        <x:v>level_flat</x:v>
      </x:c>
      <x:c r="C2729" s="60" t="n">
        <x:v>0.6</x:v>
      </x:c>
      <x:c r="D2729" s="60" t="n">
        <x:v>0.6</x:v>
      </x:c>
      <x:c r="E2729" s="62" t="b">
        <x:v>1</x:v>
      </x:c>
      <x:c r="F2729" s="62" t="b">
        <x:v>0</x:v>
      </x:c>
      <x:c r="G2729" s="85" t="n">
        <x:v>1854089.651596041</x:v>
      </x:c>
      <x:c r="H2729" s="85" t="n">
        <x:v>12081573.426657746</x:v>
      </x:c>
      <x:c r="I2729" s="85" t="n">
        <x:v>56141917.80821921</x:v>
      </x:c>
      <x:c r="J2729" s="85" t="n">
        <x:v>60000000.000000015</x:v>
      </x:c>
      <x:c r="K2729" s="85" t="n">
        <x:v>469338.0099452081</x:v>
      </x:c>
      <x:c r="L2729" s="28" t="n">
        <x:v>44</x:v>
      </x:c>
      <x:c r="M2729" s="28" t="n">
        <x:v>34</x:v>
      </x:c>
      <x:c r="N2729" s="28" t="n">
        <x:v>1.862645149230957e-9</x:v>
      </x:c>
      <x:c r="O2729" s="28" t="n">
        <x:v>2.9802322387695312e-8</x:v>
      </x:c>
      <x:c r="P2729" s="28" t="n">
        <x:v>0</x:v>
      </x:c>
      <x:c r="Q2729" s="62" t="b">
        <x:v>1</x:v>
      </x:c>
      <x:c r="R2729" s="28" t="n">
        <x:v>0</x:v>
      </x:c>
      <x:c r="S2729" s="28" t="str">
        <x:v>650c97b1a984c92f</x:v>
      </x:c>
    </x:row>
    <x:row r="2730" ht="21" customHeight="1">
      <x:c r="A2730" s="60" t="n">
        <x:v>0.7</x:v>
      </x:c>
      <x:c r="B2730" s="28" t="str">
        <x:v>level_flat</x:v>
      </x:c>
      <x:c r="C2730" s="60" t="n">
        <x:v>0.65</x:v>
      </x:c>
      <x:c r="D2730" s="60" t="n">
        <x:v>0.65</x:v>
      </x:c>
      <x:c r="E2730" s="62" t="b">
        <x:v>1</x:v>
      </x:c>
      <x:c r="F2730" s="62" t="b">
        <x:v>0</x:v>
      </x:c>
      <x:c r="G2730" s="85" t="n">
        <x:v>3992493.0793317137</x:v>
      </x:c>
      <x:c r="H2730" s="85" t="n">
        <x:v>22707703.629802007</x:v>
      </x:c>
      <x:c r="I2730" s="85" t="n">
        <x:v>57427397.26027401</x:v>
      </x:c>
      <x:c r="J2730" s="85" t="n">
        <x:v>60000000.000000015</x:v>
      </x:c>
      <x:c r="K2730" s="85" t="n">
        <x:v>434508.71128081775</x:v>
      </x:c>
      <x:c r="L2730" s="28" t="n">
        <x:v>45</x:v>
      </x:c>
      <x:c r="M2730" s="28" t="n">
        <x:v>34</x:v>
      </x:c>
      <x:c r="N2730" s="28" t="n">
        <x:v>1.862645149230957e-9</x:v>
      </x:c>
      <x:c r="O2730" s="28" t="n">
        <x:v>2.9802322387695312e-8</x:v>
      </x:c>
      <x:c r="P2730" s="28" t="n">
        <x:v>0</x:v>
      </x:c>
      <x:c r="Q2730" s="62" t="b">
        <x:v>1</x:v>
      </x:c>
      <x:c r="R2730" s="28" t="n">
        <x:v>0</x:v>
      </x:c>
      <x:c r="S2730" s="28" t="str">
        <x:v>cb8bfed1ca96d25b</x:v>
      </x:c>
    </x:row>
    <x:row r="2731" ht="21" customHeight="1">
      <x:c r="A2731" s="60" t="n">
        <x:v>0.7</x:v>
      </x:c>
      <x:c r="B2731" s="28" t="str">
        <x:v>level_flat</x:v>
      </x:c>
      <x:c r="C2731" s="60" t="n">
        <x:v>0.7</x:v>
      </x:c>
      <x:c r="D2731" s="60" t="n">
        <x:v>0.7</x:v>
      </x:c>
      <x:c r="E2731" s="62" t="b">
        <x:v>1</x:v>
      </x:c>
      <x:c r="F2731" s="62" t="b">
        <x:v>0</x:v>
      </x:c>
      <x:c r="G2731" s="85" t="n">
        <x:v>6276665.236658571</x:v>
      </x:c>
      <x:c r="H2731" s="85" t="n">
        <x:v>35092905.53379025</x:v>
      </x:c>
      <x:c r="I2731" s="85" t="n">
        <x:v>57427397.26027401</x:v>
      </x:c>
      <x:c r="J2731" s="85" t="n">
        <x:v>60000000.000000015</x:v>
      </x:c>
      <x:c r="K2731" s="85" t="n">
        <x:v>402599.4497671267</x:v>
      </x:c>
      <x:c r="L2731" s="28" t="n">
        <x:v>45</x:v>
      </x:c>
      <x:c r="M2731" s="28" t="n">
        <x:v>36</x:v>
      </x:c>
      <x:c r="N2731" s="28" t="n">
        <x:v>1.862645149230957e-9</x:v>
      </x:c>
      <x:c r="O2731" s="28" t="n">
        <x:v>2.9802322387695312e-8</x:v>
      </x:c>
      <x:c r="P2731" s="28" t="n">
        <x:v>0</x:v>
      </x:c>
      <x:c r="Q2731" s="62" t="b">
        <x:v>1</x:v>
      </x:c>
      <x:c r="R2731" s="28" t="n">
        <x:v>0</x:v>
      </x:c>
      <x:c r="S2731" s="28" t="str">
        <x:v>654f2b53c0432511</x:v>
      </x:c>
    </x:row>
    <x:row r="2732" ht="21" customHeight="1">
      <x:c r="A2732" s="60" t="n">
        <x:v>0.7</x:v>
      </x:c>
      <x:c r="B2732" s="28" t="str">
        <x:v>level_flat</x:v>
      </x:c>
      <x:c r="C2732" s="60" t="n">
        <x:v>0.75</x:v>
      </x:c>
      <x:c r="D2732" s="60" t="n">
        <x:v>0.75</x:v>
      </x:c>
      <x:c r="E2732" s="62" t="b">
        <x:v>1</x:v>
      </x:c>
      <x:c r="F2732" s="62" t="b">
        <x:v>0</x:v>
      </x:c>
      <x:c r="G2732" s="85" t="n">
        <x:v>8993533.701574976</x:v>
      </x:c>
      <x:c r="H2732" s="85" t="n">
        <x:v>47076826.96807239</x:v>
      </x:c>
      <x:c r="I2732" s="85" t="n">
        <x:v>57427397.26027401</x:v>
      </x:c>
      <x:c r="J2732" s="85" t="n">
        <x:v>60000000.000000015</x:v>
      </x:c>
      <x:c r="K2732" s="85" t="n">
        <x:v>370690.1882534244</x:v>
      </x:c>
      <x:c r="L2732" s="28" t="n">
        <x:v>45</x:v>
      </x:c>
      <x:c r="M2732" s="28" t="n">
        <x:v>37</x:v>
      </x:c>
      <x:c r="N2732" s="28" t="n">
        <x:v>1.862645149230957e-9</x:v>
      </x:c>
      <x:c r="O2732" s="28" t="n">
        <x:v>2.9802322387695312e-8</x:v>
      </x:c>
      <x:c r="P2732" s="28" t="n">
        <x:v>0</x:v>
      </x:c>
      <x:c r="Q2732" s="62" t="b">
        <x:v>1</x:v>
      </x:c>
      <x:c r="R2732" s="28" t="n">
        <x:v>0</x:v>
      </x:c>
      <x:c r="S2732" s="28" t="str">
        <x:v>05a4f77a8a91e2e4</x:v>
      </x:c>
    </x:row>
    <x:row r="2733" ht="21" customHeight="1">
      <x:c r="A2733" s="60" t="n">
        <x:v>0.7</x:v>
      </x:c>
      <x:c r="B2733" s="28" t="str">
        <x:v>level_flat</x:v>
      </x:c>
      <x:c r="C2733" s="60" t="n">
        <x:v>0.8</x:v>
      </x:c>
      <x:c r="D2733" s="60" t="n">
        <x:v>0.8</x:v>
      </x:c>
      <x:c r="E2733" s="62" t="b">
        <x:v>1</x:v>
      </x:c>
      <x:c r="F2733" s="62" t="b">
        <x:v>0</x:v>
      </x:c>
      <x:c r="G2733" s="85" t="n">
        <x:v>11547486.371059231</x:v>
      </x:c>
      <x:c r="H2733" s="85" t="n">
        <x:v>58996317.978526</x:v>
      </x:c>
      <x:c r="I2733" s="85" t="n">
        <x:v>57443535.7641644</x:v>
      </x:c>
      <x:c r="J2733" s="85" t="n">
        <x:v>60000000.000000015</x:v>
      </x:c>
      <x:c r="K2733" s="85" t="n">
        <x:v>338780.926739731</x:v>
      </x:c>
      <x:c r="L2733" s="28" t="n">
        <x:v>45</x:v>
      </x:c>
      <x:c r="M2733" s="28" t="n">
        <x:v>38</x:v>
      </x:c>
      <x:c r="N2733" s="28" t="n">
        <x:v>1.862645149230957e-9</x:v>
      </x:c>
      <x:c r="O2733" s="28" t="n">
        <x:v>2.9802322387695312e-8</x:v>
      </x:c>
      <x:c r="P2733" s="28" t="n">
        <x:v>0</x:v>
      </x:c>
      <x:c r="Q2733" s="62" t="b">
        <x:v>1</x:v>
      </x:c>
      <x:c r="R2733" s="28" t="n">
        <x:v>0</x:v>
      </x:c>
      <x:c r="S2733" s="28" t="str">
        <x:v>46ee72b151d57e87</x:v>
      </x:c>
    </x:row>
    <x:row r="2734" ht="21" customHeight="1">
      <x:c r="A2734" s="60" t="n">
        <x:v>0.7</x:v>
      </x:c>
      <x:c r="B2734" s="28" t="str">
        <x:v>level_flat</x:v>
      </x:c>
      <x:c r="C2734" s="60" t="n">
        <x:v>0.85</x:v>
      </x:c>
      <x:c r="D2734" s="60" t="n">
        <x:v>0.85</x:v>
      </x:c>
      <x:c r="E2734" s="62" t="b">
        <x:v>1</x:v>
      </x:c>
      <x:c r="F2734" s="62" t="b">
        <x:v>0</x:v>
      </x:c>
      <x:c r="G2734" s="85" t="n">
        <x:v>14418559.46803497</x:v>
      </x:c>
      <x:c r="H2734" s="85" t="n">
        <x:v>68725844.25107774</x:v>
      </x:c>
      <x:c r="I2734" s="85" t="n">
        <x:v>58712876.71232879</x:v>
      </x:c>
      <x:c r="J2734" s="85" t="n">
        <x:v>60000000.000000015</x:v>
      </x:c>
      <x:c r="K2734" s="85" t="n">
        <x:v>306871.66522602784</x:v>
      </x:c>
      <x:c r="L2734" s="28" t="n">
        <x:v>46</x:v>
      </x:c>
      <x:c r="M2734" s="28" t="n">
        <x:v>38</x:v>
      </x:c>
      <x:c r="N2734" s="28" t="n">
        <x:v>1.862645149230957e-9</x:v>
      </x:c>
      <x:c r="O2734" s="28" t="n">
        <x:v>2.9802322387695312e-8</x:v>
      </x:c>
      <x:c r="P2734" s="28" t="n">
        <x:v>0</x:v>
      </x:c>
      <x:c r="Q2734" s="62" t="b">
        <x:v>1</x:v>
      </x:c>
      <x:c r="R2734" s="28" t="n">
        <x:v>0</x:v>
      </x:c>
      <x:c r="S2734" s="28" t="str">
        <x:v>f68c4abf487a4e5d</x:v>
      </x:c>
    </x:row>
    <x:row r="2735" ht="21" customHeight="1">
      <x:c r="A2735" s="60" t="n">
        <x:v>0.7</x:v>
      </x:c>
      <x:c r="B2735" s="28" t="str">
        <x:v>level_flat</x:v>
      </x:c>
      <x:c r="C2735" s="60" t="n">
        <x:v>0.9</x:v>
      </x:c>
      <x:c r="D2735" s="60" t="n">
        <x:v>0.9</x:v>
      </x:c>
      <x:c r="E2735" s="62" t="b">
        <x:v>1</x:v>
      </x:c>
      <x:c r="F2735" s="62" t="b">
        <x:v>0</x:v>
      </x:c>
      <x:c r="G2735" s="85" t="n">
        <x:v>20086905.37274991</x:v>
      </x:c>
      <x:c r="H2735" s="85" t="n">
        <x:v>76955258.51264793</x:v>
      </x:c>
      <x:c r="I2735" s="85" t="n">
        <x:v>58712876.71232879</x:v>
      </x:c>
      <x:c r="J2735" s="85" t="n">
        <x:v>60000000.000000015</x:v>
      </x:c>
      <x:c r="K2735" s="85" t="n">
        <x:v>274962.4037123307</x:v>
      </x:c>
      <x:c r="L2735" s="28" t="n">
        <x:v>46</x:v>
      </x:c>
      <x:c r="M2735" s="28" t="n">
        <x:v>40</x:v>
      </x:c>
      <x:c r="N2735" s="28" t="n">
        <x:v>1.862645149230957e-9</x:v>
      </x:c>
      <x:c r="O2735" s="28" t="n">
        <x:v>7.450580596923828e-9</x:v>
      </x:c>
      <x:c r="P2735" s="28" t="n">
        <x:v>0</x:v>
      </x:c>
      <x:c r="Q2735" s="62" t="b">
        <x:v>1</x:v>
      </x:c>
      <x:c r="R2735" s="28" t="n">
        <x:v>0</x:v>
      </x:c>
      <x:c r="S2735" s="28" t="str">
        <x:v>d25a6aac353ebe56</x:v>
      </x:c>
    </x:row>
    <x:row r="2736" ht="21" customHeight="1">
      <x:c r="A2736" s="60" t="n">
        <x:v>0.7</x:v>
      </x:c>
      <x:c r="B2736" s="28" t="str">
        <x:v>level_flat</x:v>
      </x:c>
      <x:c r="C2736" s="60" t="n">
        <x:v>0.95</x:v>
      </x:c>
      <x:c r="D2736" s="60" t="n">
        <x:v>0.9219114501462435</x:v>
      </x:c>
      <x:c r="E2736" s="62" t="b">
        <x:v>0</x:v>
      </x:c>
      <x:c r="F2736" s="62" t="b">
        <x:v>0</x:v>
      </x:c>
      <x:c r="G2736" s="85" t="n">
        <x:v>21612683.66375188</x:v>
      </x:c>
      <x:c r="H2736" s="85" t="n">
        <x:v>81828861.22224633</x:v>
      </x:c>
      <x:c r="I2736" s="85" t="n">
        <x:v>58712876.71232879</x:v>
      </x:c>
      <x:c r="J2736" s="85" t="n">
        <x:v>60000000.000000015</x:v>
      </x:c>
      <x:c r="K2736" s="85" t="n">
        <x:v>243053.14219863588</x:v>
      </x:c>
      <x:c r="L2736" s="28" t="n">
        <x:v>46</x:v>
      </x:c>
      <x:c r="M2736" s="28" t="n">
        <x:v>40</x:v>
      </x:c>
      <x:c r="N2736" s="28" t="n">
        <x:v>9.313225746154785e-10</x:v>
      </x:c>
      <x:c r="O2736" s="28" t="n">
        <x:v>1.4901161193847656e-8</x:v>
      </x:c>
      <x:c r="P2736" s="28" t="n">
        <x:v>0</x:v>
      </x:c>
      <x:c r="Q2736" s="62" t="b">
        <x:v>1</x:v>
      </x:c>
      <x:c r="R2736" s="28" t="n">
        <x:v>8426564.956126928</x:v>
      </x:c>
      <x:c r="S2736" s="28" t="str">
        <x:v>c63dadb18a040d81</x:v>
      </x:c>
    </x:row>
    <x:row r="2737" ht="21" customHeight="1">
      <x:c r="A2737" s="60" t="n">
        <x:v>0.7</x:v>
      </x:c>
      <x:c r="B2737" s="28" t="str">
        <x:v>level_flat</x:v>
      </x:c>
      <x:c r="C2737" s="60" t="n">
        <x:v>1</x:v>
      </x:c>
      <x:c r="D2737" s="60" t="n">
        <x:v>0.9350574964161632</x:v>
      </x:c>
      <x:c r="E2737" s="62" t="b">
        <x:v>0</x:v>
      </x:c>
      <x:c r="F2737" s="62" t="b">
        <x:v>0</x:v>
      </x:c>
      <x:c r="G2737" s="85" t="n">
        <x:v>23364600.964437738</x:v>
      </x:c>
      <x:c r="H2737" s="85" t="n">
        <x:v>84897058.81435685</x:v>
      </x:c>
      <x:c r="I2737" s="85" t="n">
        <x:v>58712876.71232879</x:v>
      </x:c>
      <x:c r="J2737" s="85" t="n">
        <x:v>60000000.000000015</x:v>
      </x:c>
      <x:c r="K2737" s="85" t="n">
        <x:v>211143.88068492897</x:v>
      </x:c>
      <x:c r="L2737" s="28" t="n">
        <x:v>46</x:v>
      </x:c>
      <x:c r="M2737" s="28" t="n">
        <x:v>40</x:v>
      </x:c>
      <x:c r="N2737" s="28" t="n">
        <x:v>1.862645149230957e-9</x:v>
      </x:c>
      <x:c r="O2737" s="28" t="n">
        <x:v>7.450580596923828e-9</x:v>
      </x:c>
      <x:c r="P2737" s="28" t="n">
        <x:v>0</x:v>
      </x:c>
      <x:c r="Q2737" s="62" t="b">
        <x:v>1</x:v>
      </x:c>
      <x:c r="R2737" s="28" t="n">
        <x:v>19482751.075151026</x:v>
      </x:c>
      <x:c r="S2737" s="28" t="str">
        <x:v>c75eb8520da2bdf3</x:v>
      </x:c>
    </x:row>
    <x:row r="2738" ht="21" customHeight="1">
      <x:c r="A2738" s="60" t="n">
        <x:v>0.7</x:v>
      </x:c>
      <x:c r="B2738" s="28" t="str">
        <x:v>level_low</x:v>
      </x:c>
      <x:c r="C2738" s="60" t="n">
        <x:v>0</x:v>
      </x:c>
      <x:c r="D2738" s="60" t="n">
        <x:v>0</x:v>
      </x:c>
      <x:c r="E2738" s="62" t="b">
        <x:v>1</x:v>
      </x:c>
      <x:c r="F2738" s="62" t="b">
        <x:v>1</x:v>
      </x:c>
      <x:c r="G2738" s="85" t="n">
        <x:v>0</x:v>
      </x:c>
      <x:c r="H2738" s="85" t="n">
        <x:v>0</x:v>
      </x:c>
      <x:c r="I2738" s="85" t="n">
        <x:v>0</x:v>
      </x:c>
      <x:c r="J2738" s="85" t="n">
        <x:v>0</x:v>
      </x:c>
      <x:c r="K2738" s="85" t="n">
        <x:v>33173537.98424654</x:v>
      </x:c>
      <x:c r="L2738" s="28" t="n">
        <x:v>0</x:v>
      </x:c>
      <x:c r="M2738" s="28" t="n">
        <x:v>0</x:v>
      </x:c>
      <x:c r="N2738" s="28" t="n">
        <x:v>3.725290298461914e-9</x:v>
      </x:c>
      <x:c r="O2738" s="28" t="n">
        <x:v>0</x:v>
      </x:c>
      <x:c r="P2738" s="28" t="n">
        <x:v>0</x:v>
      </x:c>
      <x:c r="Q2738" s="62" t="b">
        <x:v>1</x:v>
      </x:c>
      <x:c r="R2738" s="28" t="n">
        <x:v>0</x:v>
      </x:c>
      <x:c r="S2738" s="28" t="str">
        <x:v>ca9aadc73d447928</x:v>
      </x:c>
    </x:row>
    <x:row r="2739" ht="21" customHeight="1">
      <x:c r="A2739" s="60" t="n">
        <x:v>0.7</x:v>
      </x:c>
      <x:c r="B2739" s="28" t="str">
        <x:v>level_low</x:v>
      </x:c>
      <x:c r="C2739" s="60" t="n">
        <x:v>0.05</x:v>
      </x:c>
      <x:c r="D2739" s="60" t="n">
        <x:v>0.05</x:v>
      </x:c>
      <x:c r="E2739" s="62" t="b">
        <x:v>1</x:v>
      </x:c>
      <x:c r="F2739" s="62" t="b">
        <x:v>1</x:v>
      </x:c>
      <x:c r="G2739" s="85" t="n">
        <x:v>0</x:v>
      </x:c>
      <x:c r="H2739" s="85" t="n">
        <x:v>0</x:v>
      </x:c>
      <x:c r="I2739" s="85" t="n">
        <x:v>0</x:v>
      </x:c>
      <x:c r="J2739" s="85" t="n">
        <x:v>0</x:v>
      </x:c>
      <x:c r="K2739" s="85" t="n">
        <x:v>22463045.182516217</x:v>
      </x:c>
      <x:c r="L2739" s="28" t="n">
        <x:v>0</x:v>
      </x:c>
      <x:c r="M2739" s="28" t="n">
        <x:v>0</x:v>
      </x:c>
      <x:c r="N2739" s="28" t="n">
        <x:v>1.862645149230957e-9</x:v>
      </x:c>
      <x:c r="O2739" s="28" t="n">
        <x:v>2.9802322387695312e-8</x:v>
      </x:c>
      <x:c r="P2739" s="28" t="n">
        <x:v>0</x:v>
      </x:c>
      <x:c r="Q2739" s="62" t="b">
        <x:v>1</x:v>
      </x:c>
      <x:c r="R2739" s="28" t="n">
        <x:v>0</x:v>
      </x:c>
      <x:c r="S2739" s="28" t="str">
        <x:v>a590f1d57727b27c</x:v>
      </x:c>
    </x:row>
    <x:row r="2740" ht="21" customHeight="1">
      <x:c r="A2740" s="60" t="n">
        <x:v>0.7</x:v>
      </x:c>
      <x:c r="B2740" s="28" t="str">
        <x:v>level_low</x:v>
      </x:c>
      <x:c r="C2740" s="60" t="n">
        <x:v>0.1</x:v>
      </x:c>
      <x:c r="D2740" s="60" t="n">
        <x:v>0.1</x:v>
      </x:c>
      <x:c r="E2740" s="62" t="b">
        <x:v>1</x:v>
      </x:c>
      <x:c r="F2740" s="62" t="b">
        <x:v>1</x:v>
      </x:c>
      <x:c r="G2740" s="85" t="n">
        <x:v>0</x:v>
      </x:c>
      <x:c r="H2740" s="85" t="n">
        <x:v>0</x:v>
      </x:c>
      <x:c r="I2740" s="85" t="n">
        <x:v>0</x:v>
      </x:c>
      <x:c r="J2740" s="85" t="n">
        <x:v>0</x:v>
      </x:c>
      <x:c r="K2740" s="85" t="n">
        <x:v>11669297.680290554</x:v>
      </x:c>
      <x:c r="L2740" s="28" t="n">
        <x:v>0</x:v>
      </x:c>
      <x:c r="M2740" s="28" t="n">
        <x:v>0</x:v>
      </x:c>
      <x:c r="N2740" s="28" t="n">
        <x:v>3.725290298461914e-9</x:v>
      </x:c>
      <x:c r="O2740" s="28" t="n">
        <x:v>5.960464477539063e-8</x:v>
      </x:c>
      <x:c r="P2740" s="28" t="n">
        <x:v>0</x:v>
      </x:c>
      <x:c r="Q2740" s="62" t="b">
        <x:v>1</x:v>
      </x:c>
      <x:c r="R2740" s="28" t="n">
        <x:v>0</x:v>
      </x:c>
      <x:c r="S2740" s="28" t="str">
        <x:v>613f08b08290d0ff</x:v>
      </x:c>
    </x:row>
    <x:row r="2741" ht="21" customHeight="1">
      <x:c r="A2741" s="60" t="n">
        <x:v>0.7</x:v>
      </x:c>
      <x:c r="B2741" s="28" t="str">
        <x:v>level_low</x:v>
      </x:c>
      <x:c r="C2741" s="60" t="n">
        <x:v>0.15</x:v>
      </x:c>
      <x:c r="D2741" s="60" t="n">
        <x:v>0.15</x:v>
      </x:c>
      <x:c r="E2741" s="62" t="b">
        <x:v>1</x:v>
      </x:c>
      <x:c r="F2741" s="62" t="b">
        <x:v>1</x:v>
      </x:c>
      <x:c r="G2741" s="85" t="n">
        <x:v>0</x:v>
      </x:c>
      <x:c r="H2741" s="85" t="n">
        <x:v>0</x:v>
      </x:c>
      <x:c r="I2741" s="85" t="n">
        <x:v>601435.5538971794</x:v>
      </x:c>
      <x:c r="J2741" s="85" t="n">
        <x:v>0</x:v>
      </x:c>
      <x:c r="K2741" s="85" t="n">
        <x:v>2024782.221884643</x:v>
      </x:c>
      <x:c r="L2741" s="28" t="n">
        <x:v>0</x:v>
      </x:c>
      <x:c r="M2741" s="28" t="n">
        <x:v>0</x:v>
      </x:c>
      <x:c r="N2741" s="28" t="n">
        <x:v>9.313225746154785e-10</x:v>
      </x:c>
      <x:c r="O2741" s="28" t="n">
        <x:v>2.9802322387695312e-8</x:v>
      </x:c>
      <x:c r="P2741" s="28" t="n">
        <x:v>0</x:v>
      </x:c>
      <x:c r="Q2741" s="62" t="b">
        <x:v>1</x:v>
      </x:c>
      <x:c r="R2741" s="28" t="n">
        <x:v>0</x:v>
      </x:c>
      <x:c r="S2741" s="28" t="str">
        <x:v>ef3a6a507b4efe58</x:v>
      </x:c>
    </x:row>
    <x:row r="2742" ht="21" customHeight="1">
      <x:c r="A2742" s="60" t="n">
        <x:v>0.7</x:v>
      </x:c>
      <x:c r="B2742" s="28" t="str">
        <x:v>level_low</x:v>
      </x:c>
      <x:c r="C2742" s="60" t="n">
        <x:v>0.2</x:v>
      </x:c>
      <x:c r="D2742" s="60" t="n">
        <x:v>0.2</x:v>
      </x:c>
      <x:c r="E2742" s="62" t="b">
        <x:v>1</x:v>
      </x:c>
      <x:c r="F2742" s="62" t="b">
        <x:v>1</x:v>
      </x:c>
      <x:c r="G2742" s="85" t="n">
        <x:v>0</x:v>
      </x:c>
      <x:c r="H2742" s="85" t="n">
        <x:v>0</x:v>
      </x:c>
      <x:c r="I2742" s="85" t="n">
        <x:v>6532203.3089785585</x:v>
      </x:c>
      <x:c r="J2742" s="85" t="n">
        <x:v>6323003.27253424</x:v>
      </x:c>
      <x:c r="K2742" s="85" t="n">
        <x:v>1606817.540577806</x:v>
      </x:c>
      <x:c r="L2742" s="28" t="n">
        <x:v>0</x:v>
      </x:c>
      <x:c r="M2742" s="28" t="n">
        <x:v>0</x:v>
      </x:c>
      <x:c r="N2742" s="28" t="n">
        <x:v>3.725290298461914e-9</x:v>
      </x:c>
      <x:c r="O2742" s="28" t="n">
        <x:v>2.9802322387695312e-8</x:v>
      </x:c>
      <x:c r="P2742" s="28" t="n">
        <x:v>0</x:v>
      </x:c>
      <x:c r="Q2742" s="62" t="b">
        <x:v>1</x:v>
      </x:c>
      <x:c r="R2742" s="28" t="n">
        <x:v>0</x:v>
      </x:c>
      <x:c r="S2742" s="28" t="str">
        <x:v>782c74dc70cc39df</x:v>
      </x:c>
    </x:row>
    <x:row r="2743" ht="21" customHeight="1">
      <x:c r="A2743" s="60" t="n">
        <x:v>0.7</x:v>
      </x:c>
      <x:c r="B2743" s="28" t="str">
        <x:v>level_low</x:v>
      </x:c>
      <x:c r="C2743" s="60" t="n">
        <x:v>0.25</x:v>
      </x:c>
      <x:c r="D2743" s="60" t="n">
        <x:v>0.25</x:v>
      </x:c>
      <x:c r="E2743" s="62" t="b">
        <x:v>1</x:v>
      </x:c>
      <x:c r="F2743" s="62" t="b">
        <x:v>1</x:v>
      </x:c>
      <x:c r="G2743" s="85" t="n">
        <x:v>0</x:v>
      </x:c>
      <x:c r="H2743" s="85" t="n">
        <x:v>0</x:v>
      </x:c>
      <x:c r="I2743" s="85" t="n">
        <x:v>10365399.791265193</x:v>
      </x:c>
      <x:c r="J2743" s="85" t="n">
        <x:v>15403754.090667764</x:v>
      </x:c>
      <x:c r="K2743" s="85" t="n">
        <x:v>1290778.222676318</x:v>
      </x:c>
      <x:c r="L2743" s="28" t="n">
        <x:v>0</x:v>
      </x:c>
      <x:c r="M2743" s="28" t="n">
        <x:v>0</x:v>
      </x:c>
      <x:c r="N2743" s="28" t="n">
        <x:v>1.862645149230957e-9</x:v>
      </x:c>
      <x:c r="O2743" s="28" t="n">
        <x:v>2.9802322387695312e-8</x:v>
      </x:c>
      <x:c r="P2743" s="28" t="n">
        <x:v>0</x:v>
      </x:c>
      <x:c r="Q2743" s="62" t="b">
        <x:v>1</x:v>
      </x:c>
      <x:c r="R2743" s="28" t="n">
        <x:v>0</x:v>
      </x:c>
      <x:c r="S2743" s="28" t="str">
        <x:v>b8027e46710026b5</x:v>
      </x:c>
    </x:row>
    <x:row r="2744" ht="21" customHeight="1">
      <x:c r="A2744" s="60" t="n">
        <x:v>0.7</x:v>
      </x:c>
      <x:c r="B2744" s="28" t="str">
        <x:v>level_low</x:v>
      </x:c>
      <x:c r="C2744" s="60" t="n">
        <x:v>0.3</x:v>
      </x:c>
      <x:c r="D2744" s="60" t="n">
        <x:v>0.3</x:v>
      </x:c>
      <x:c r="E2744" s="62" t="b">
        <x:v>1</x:v>
      </x:c>
      <x:c r="F2744" s="62" t="b">
        <x:v>1</x:v>
      </x:c>
      <x:c r="G2744" s="85" t="n">
        <x:v>0</x:v>
      </x:c>
      <x:c r="H2744" s="85" t="n">
        <x:v>0</x:v>
      </x:c>
      <x:c r="I2744" s="85" t="n">
        <x:v>14237152.33275897</x:v>
      </x:c>
      <x:c r="J2744" s="85" t="n">
        <x:v>24484504.908801205</x:v>
      </x:c>
      <x:c r="K2744" s="85" t="n">
        <x:v>1043350.9382279455</x:v>
      </x:c>
      <x:c r="L2744" s="28" t="n">
        <x:v>0</x:v>
      </x:c>
      <x:c r="M2744" s="28" t="n">
        <x:v>0</x:v>
      </x:c>
      <x:c r="N2744" s="28" t="n">
        <x:v>3.725290298461914e-9</x:v>
      </x:c>
      <x:c r="O2744" s="28" t="n">
        <x:v>7.450580596923828e-9</x:v>
      </x:c>
      <x:c r="P2744" s="28" t="n">
        <x:v>0</x:v>
      </x:c>
      <x:c r="Q2744" s="62" t="b">
        <x:v>1</x:v>
      </x:c>
      <x:c r="R2744" s="28" t="n">
        <x:v>0</x:v>
      </x:c>
      <x:c r="S2744" s="28" t="str">
        <x:v>07155c5df0d8cc2a</x:v>
      </x:c>
    </x:row>
    <x:row r="2745" ht="21" customHeight="1">
      <x:c r="A2745" s="60" t="n">
        <x:v>0.7</x:v>
      </x:c>
      <x:c r="B2745" s="28" t="str">
        <x:v>level_low</x:v>
      </x:c>
      <x:c r="C2745" s="60" t="n">
        <x:v>0.35</x:v>
      </x:c>
      <x:c r="D2745" s="60" t="n">
        <x:v>0.35</x:v>
      </x:c>
      <x:c r="E2745" s="62" t="b">
        <x:v>1</x:v>
      </x:c>
      <x:c r="F2745" s="62" t="b">
        <x:v>1</x:v>
      </x:c>
      <x:c r="G2745" s="85" t="n">
        <x:v>0</x:v>
      </x:c>
      <x:c r="H2745" s="85" t="n">
        <x:v>0</x:v>
      </x:c>
      <x:c r="I2745" s="85" t="n">
        <x:v>22205247.97562162</x:v>
      </x:c>
      <x:c r="J2745" s="85" t="n">
        <x:v>27086591.891660795</x:v>
      </x:c>
      <x:c r="K2745" s="85" t="n">
        <x:v>847361.6012202722</x:v>
      </x:c>
      <x:c r="L2745" s="28" t="n">
        <x:v>10</x:v>
      </x:c>
      <x:c r="M2745" s="28" t="n">
        <x:v>0</x:v>
      </x:c>
      <x:c r="N2745" s="28" t="n">
        <x:v>9.313225746154785e-10</x:v>
      </x:c>
      <x:c r="O2745" s="28" t="n">
        <x:v>2.9802322387695312e-8</x:v>
      </x:c>
      <x:c r="P2745" s="28" t="n">
        <x:v>0</x:v>
      </x:c>
      <x:c r="Q2745" s="62" t="b">
        <x:v>1</x:v>
      </x:c>
      <x:c r="R2745" s="28" t="n">
        <x:v>0</x:v>
      </x:c>
      <x:c r="S2745" s="28" t="str">
        <x:v>ca87702335f8f222</x:v>
      </x:c>
    </x:row>
    <x:row r="2746" ht="21" customHeight="1">
      <x:c r="A2746" s="60" t="n">
        <x:v>0.7</x:v>
      </x:c>
      <x:c r="B2746" s="28" t="str">
        <x:v>level_low</x:v>
      </x:c>
      <x:c r="C2746" s="60" t="n">
        <x:v>0.4</x:v>
      </x:c>
      <x:c r="D2746" s="60" t="n">
        <x:v>0.4</x:v>
      </x:c>
      <x:c r="E2746" s="62" t="b">
        <x:v>1</x:v>
      </x:c>
      <x:c r="F2746" s="62" t="b">
        <x:v>1</x:v>
      </x:c>
      <x:c r="G2746" s="85" t="n">
        <x:v>0</x:v>
      </x:c>
      <x:c r="H2746" s="85" t="n">
        <x:v>0</x:v>
      </x:c>
      <x:c r="I2746" s="85" t="n">
        <x:v>27039686.017358392</x:v>
      </x:c>
      <x:c r="J2746" s="85" t="n">
        <x:v>34720936.63892961</x:v>
      </x:c>
      <x:c r="K2746" s="85" t="n">
        <x:v>709838.3932646565</x:v>
      </x:c>
      <x:c r="L2746" s="28" t="n">
        <x:v>13</x:v>
      </x:c>
      <x:c r="M2746" s="28" t="n">
        <x:v>0</x:v>
      </x:c>
      <x:c r="N2746" s="28" t="n">
        <x:v>3.725290298461914e-9</x:v>
      </x:c>
      <x:c r="O2746" s="28" t="n">
        <x:v>2.9802322387695312e-8</x:v>
      </x:c>
      <x:c r="P2746" s="28" t="n">
        <x:v>0</x:v>
      </x:c>
      <x:c r="Q2746" s="62" t="b">
        <x:v>1</x:v>
      </x:c>
      <x:c r="R2746" s="28" t="n">
        <x:v>0</x:v>
      </x:c>
      <x:c r="S2746" s="28" t="str">
        <x:v>024c834310b16154</x:v>
      </x:c>
    </x:row>
    <x:row r="2747" ht="21" customHeight="1">
      <x:c r="A2747" s="60" t="n">
        <x:v>0.7</x:v>
      </x:c>
      <x:c r="B2747" s="28" t="str">
        <x:v>level_low</x:v>
      </x:c>
      <x:c r="C2747" s="60" t="n">
        <x:v>0.45</x:v>
      </x:c>
      <x:c r="D2747" s="60" t="n">
        <x:v>0.45</x:v>
      </x:c>
      <x:c r="E2747" s="62" t="b">
        <x:v>1</x:v>
      </x:c>
      <x:c r="F2747" s="62" t="b">
        <x:v>1</x:v>
      </x:c>
      <x:c r="G2747" s="85" t="n">
        <x:v>0</x:v>
      </x:c>
      <x:c r="H2747" s="85" t="n">
        <x:v>0</x:v>
      </x:c>
      <x:c r="I2747" s="85" t="n">
        <x:v>31787806.848945506</x:v>
      </x:c>
      <x:c r="J2747" s="85" t="n">
        <x:v>42408995.46118398</x:v>
      </x:c>
      <x:c r="K2747" s="85" t="n">
        <x:v>590984.4086898621</x:v>
      </x:c>
      <x:c r="L2747" s="28" t="n">
        <x:v>16</x:v>
      </x:c>
      <x:c r="M2747" s="28" t="n">
        <x:v>0</x:v>
      </x:c>
      <x:c r="N2747" s="28" t="n">
        <x:v>1.862645149230957e-9</x:v>
      </x:c>
      <x:c r="O2747" s="28" t="n">
        <x:v>2.9802322387695312e-8</x:v>
      </x:c>
      <x:c r="P2747" s="28" t="n">
        <x:v>0</x:v>
      </x:c>
      <x:c r="Q2747" s="62" t="b">
        <x:v>1</x:v>
      </x:c>
      <x:c r="R2747" s="28" t="n">
        <x:v>0</x:v>
      </x:c>
      <x:c r="S2747" s="28" t="str">
        <x:v>305821c493cb0bc8</x:v>
      </x:c>
    </x:row>
    <x:row r="2748" ht="21" customHeight="1">
      <x:c r="A2748" s="60" t="n">
        <x:v>0.7</x:v>
      </x:c>
      <x:c r="B2748" s="28" t="str">
        <x:v>level_low</x:v>
      </x:c>
      <x:c r="C2748" s="60" t="n">
        <x:v>0.5</x:v>
      </x:c>
      <x:c r="D2748" s="60" t="n">
        <x:v>0.5</x:v>
      </x:c>
      <x:c r="E2748" s="62" t="b">
        <x:v>1</x:v>
      </x:c>
      <x:c r="F2748" s="62" t="b">
        <x:v>1</x:v>
      </x:c>
      <x:c r="G2748" s="85" t="n">
        <x:v>0</x:v>
      </x:c>
      <x:c r="H2748" s="85" t="n">
        <x:v>0</x:v>
      </x:c>
      <x:c r="I2748" s="85" t="n">
        <x:v>35881343.253500044</x:v>
      </x:c>
      <x:c r="J2748" s="85" t="n">
        <x:v>51151046.442351654</x:v>
      </x:c>
      <x:c r="K2748" s="85" t="n">
        <x:v>522011.5388356154</x:v>
      </x:c>
      <x:c r="L2748" s="28" t="n">
        <x:v>19</x:v>
      </x:c>
      <x:c r="M2748" s="28" t="n">
        <x:v>0</x:v>
      </x:c>
      <x:c r="N2748" s="28" t="n">
        <x:v>1.862645149230957e-9</x:v>
      </x:c>
      <x:c r="O2748" s="28" t="n">
        <x:v>1.4901161193847656e-8</x:v>
      </x:c>
      <x:c r="P2748" s="28" t="n">
        <x:v>0</x:v>
      </x:c>
      <x:c r="Q2748" s="62" t="b">
        <x:v>1</x:v>
      </x:c>
      <x:c r="R2748" s="28" t="n">
        <x:v>0</x:v>
      </x:c>
      <x:c r="S2748" s="28" t="str">
        <x:v>325c98ae16a4901e</x:v>
      </x:c>
    </x:row>
    <x:row r="2749" ht="21" customHeight="1">
      <x:c r="A2749" s="60" t="n">
        <x:v>0.7</x:v>
      </x:c>
      <x:c r="B2749" s="28" t="str">
        <x:v>level_low</x:v>
      </x:c>
      <x:c r="C2749" s="60" t="n">
        <x:v>0.55</x:v>
      </x:c>
      <x:c r="D2749" s="60" t="n">
        <x:v>0.55</x:v>
      </x:c>
      <x:c r="E2749" s="62" t="b">
        <x:v>1</x:v>
      </x:c>
      <x:c r="F2749" s="62" t="b">
        <x:v>0</x:v>
      </x:c>
      <x:c r="G2749" s="85" t="n">
        <x:v>12817.922694421552</x:v>
      </x:c>
      <x:c r="H2749" s="85" t="n">
        <x:v>224670.658061077</x:v>
      </x:c>
      <x:c r="I2749" s="85" t="n">
        <x:v>39629589.04109591</x:v>
      </x:c>
      <x:c r="J2749" s="85" t="n">
        <x:v>60000000.000000015</x:v>
      </x:c>
      <x:c r="K2749" s="85" t="n">
        <x:v>463400.14271917875</x:v>
      </x:c>
      <x:c r="L2749" s="28" t="n">
        <x:v>44</x:v>
      </x:c>
      <x:c r="M2749" s="28" t="n">
        <x:v>17</x:v>
      </x:c>
      <x:c r="N2749" s="28" t="n">
        <x:v>1.862645149230957e-9</x:v>
      </x:c>
      <x:c r="O2749" s="28" t="n">
        <x:v>2.9802322387695312e-8</x:v>
      </x:c>
      <x:c r="P2749" s="28" t="n">
        <x:v>0</x:v>
      </x:c>
      <x:c r="Q2749" s="62" t="b">
        <x:v>1</x:v>
      </x:c>
      <x:c r="R2749" s="28" t="n">
        <x:v>0</x:v>
      </x:c>
      <x:c r="S2749" s="28" t="str">
        <x:v>c07598da4c2cea17</x:v>
      </x:c>
    </x:row>
    <x:row r="2750" ht="21" customHeight="1">
      <x:c r="A2750" s="60" t="n">
        <x:v>0.7</x:v>
      </x:c>
      <x:c r="B2750" s="28" t="str">
        <x:v>level_low</x:v>
      </x:c>
      <x:c r="C2750" s="60" t="n">
        <x:v>0.6</x:v>
      </x:c>
      <x:c r="D2750" s="60" t="n">
        <x:v>0.6</x:v>
      </x:c>
      <x:c r="E2750" s="62" t="b">
        <x:v>1</x:v>
      </x:c>
      <x:c r="F2750" s="62" t="b">
        <x:v>0</x:v>
      </x:c>
      <x:c r="G2750" s="85" t="n">
        <x:v>741570.7037071007</x:v>
      </x:c>
      <x:c r="H2750" s="85" t="n">
        <x:v>11161807.951661512</x:v>
      </x:c>
      <x:c r="I2750" s="85" t="n">
        <x:v>39629589.04109591</x:v>
      </x:c>
      <x:c r="J2750" s="85" t="n">
        <x:v>60000000.000000015</x:v>
      </x:c>
      <x:c r="K2750" s="85" t="n">
        <x:v>404788.74660274363</x:v>
      </x:c>
      <x:c r="L2750" s="28" t="n">
        <x:v>44</x:v>
      </x:c>
      <x:c r="M2750" s="28" t="n">
        <x:v>30</x:v>
      </x:c>
      <x:c r="N2750" s="28" t="n">
        <x:v>1.862645149230957e-9</x:v>
      </x:c>
      <x:c r="O2750" s="28" t="n">
        <x:v>2.9802322387695312e-8</x:v>
      </x:c>
      <x:c r="P2750" s="28" t="n">
        <x:v>0</x:v>
      </x:c>
      <x:c r="Q2750" s="62" t="b">
        <x:v>1</x:v>
      </x:c>
      <x:c r="R2750" s="28" t="n">
        <x:v>0</x:v>
      </x:c>
      <x:c r="S2750" s="28" t="str">
        <x:v>f2ea86aa15ae2752</x:v>
      </x:c>
    </x:row>
    <x:row r="2751" ht="21" customHeight="1">
      <x:c r="A2751" s="60" t="n">
        <x:v>0.7</x:v>
      </x:c>
      <x:c r="B2751" s="28" t="str">
        <x:v>level_low</x:v>
      </x:c>
      <x:c r="C2751" s="60" t="n">
        <x:v>0.65</x:v>
      </x:c>
      <x:c r="D2751" s="60" t="n">
        <x:v>0.65</x:v>
      </x:c>
      <x:c r="E2751" s="62" t="b">
        <x:v>1</x:v>
      </x:c>
      <x:c r="F2751" s="62" t="b">
        <x:v>0</x:v>
      </x:c>
      <x:c r="G2751" s="85" t="n">
        <x:v>1385972.697401936</x:v>
      </x:c>
      <x:c r="H2751" s="85" t="n">
        <x:v>20885442.116128277</x:v>
      </x:c>
      <x:c r="I2751" s="85" t="n">
        <x:v>40536986.30136988</x:v>
      </x:c>
      <x:c r="J2751" s="85" t="n">
        <x:v>60000000.000000015</x:v>
      </x:c>
      <x:c r="K2751" s="85" t="n">
        <x:v>313225.96002054977</x:v>
      </x:c>
      <x:c r="L2751" s="28" t="n">
        <x:v>45</x:v>
      </x:c>
      <x:c r="M2751" s="28" t="n">
        <x:v>31</x:v>
      </x:c>
      <x:c r="N2751" s="28" t="n">
        <x:v>1.862645149230957e-9</x:v>
      </x:c>
      <x:c r="O2751" s="28" t="n">
        <x:v>2.9802322387695312e-8</x:v>
      </x:c>
      <x:c r="P2751" s="28" t="n">
        <x:v>0</x:v>
      </x:c>
      <x:c r="Q2751" s="62" t="b">
        <x:v>1</x:v>
      </x:c>
      <x:c r="R2751" s="28" t="n">
        <x:v>0</x:v>
      </x:c>
      <x:c r="S2751" s="28" t="str">
        <x:v>c33fca6b50e370f9</x:v>
      </x:c>
    </x:row>
    <x:row r="2752" ht="21" customHeight="1">
      <x:c r="A2752" s="60" t="n">
        <x:v>0.7</x:v>
      </x:c>
      <x:c r="B2752" s="28" t="str">
        <x:v>level_low</x:v>
      </x:c>
      <x:c r="C2752" s="60" t="n">
        <x:v>0.7</x:v>
      </x:c>
      <x:c r="D2752" s="60" t="n">
        <x:v>0.7</x:v>
      </x:c>
      <x:c r="E2752" s="62" t="b">
        <x:v>1</x:v>
      </x:c>
      <x:c r="F2752" s="62" t="b">
        <x:v>0</x:v>
      </x:c>
      <x:c r="G2752" s="85" t="n">
        <x:v>2385843.967423677</x:v>
      </x:c>
      <x:c r="H2752" s="85" t="n">
        <x:v>31676794.56508625</x:v>
      </x:c>
      <x:c r="I2752" s="85" t="n">
        <x:v>40536986.30136988</x:v>
      </x:c>
      <x:c r="J2752" s="85" t="n">
        <x:v>60000000.000000015</x:v>
      </x:c>
      <x:c r="K2752" s="85" t="n">
        <x:v>294603.4968904089</x:v>
      </x:c>
      <x:c r="L2752" s="28" t="n">
        <x:v>45</x:v>
      </x:c>
      <x:c r="M2752" s="28" t="n">
        <x:v>32</x:v>
      </x:c>
      <x:c r="N2752" s="28" t="n">
        <x:v>1.862645149230957e-9</x:v>
      </x:c>
      <x:c r="O2752" s="28" t="n">
        <x:v>2.9802322387695312e-8</x:v>
      </x:c>
      <x:c r="P2752" s="28" t="n">
        <x:v>0</x:v>
      </x:c>
      <x:c r="Q2752" s="62" t="b">
        <x:v>1</x:v>
      </x:c>
      <x:c r="R2752" s="28" t="n">
        <x:v>0</x:v>
      </x:c>
      <x:c r="S2752" s="28" t="str">
        <x:v>2d5cb1c50528af0d</x:v>
      </x:c>
    </x:row>
    <x:row r="2753" ht="21" customHeight="1">
      <x:c r="A2753" s="60" t="n">
        <x:v>0.7</x:v>
      </x:c>
      <x:c r="B2753" s="28" t="str">
        <x:v>level_low</x:v>
      </x:c>
      <x:c r="C2753" s="60" t="n">
        <x:v>0.75</x:v>
      </x:c>
      <x:c r="D2753" s="60" t="n">
        <x:v>0.75</x:v>
      </x:c>
      <x:c r="E2753" s="62" t="b">
        <x:v>1</x:v>
      </x:c>
      <x:c r="F2753" s="62" t="b">
        <x:v>0</x:v>
      </x:c>
      <x:c r="G2753" s="85" t="n">
        <x:v>3217592.8909445764</x:v>
      </x:c>
      <x:c r="H2753" s="85" t="n">
        <x:v>42336970.323650226</x:v>
      </x:c>
      <x:c r="I2753" s="85" t="n">
        <x:v>40536986.30136988</x:v>
      </x:c>
      <x:c r="J2753" s="85" t="n">
        <x:v>60000000.000000015</x:v>
      </x:c>
      <x:c r="K2753" s="85" t="n">
        <x:v>276395.97455479513</x:v>
      </x:c>
      <x:c r="L2753" s="28" t="n">
        <x:v>45</x:v>
      </x:c>
      <x:c r="M2753" s="28" t="n">
        <x:v>33</x:v>
      </x:c>
      <x:c r="N2753" s="28" t="n">
        <x:v>1.862645149230957e-9</x:v>
      </x:c>
      <x:c r="O2753" s="28" t="n">
        <x:v>2.9802322387695312e-8</x:v>
      </x:c>
      <x:c r="P2753" s="28" t="n">
        <x:v>0</x:v>
      </x:c>
      <x:c r="Q2753" s="62" t="b">
        <x:v>1</x:v>
      </x:c>
      <x:c r="R2753" s="28" t="n">
        <x:v>0</x:v>
      </x:c>
      <x:c r="S2753" s="28" t="str">
        <x:v>af0d4c303b4c2512</x:v>
      </x:c>
    </x:row>
    <x:row r="2754" ht="21" customHeight="1">
      <x:c r="A2754" s="60" t="n">
        <x:v>0.7</x:v>
      </x:c>
      <x:c r="B2754" s="28" t="str">
        <x:v>level_low</x:v>
      </x:c>
      <x:c r="C2754" s="60" t="n">
        <x:v>0.8</x:v>
      </x:c>
      <x:c r="D2754" s="60" t="n">
        <x:v>0.8</x:v>
      </x:c>
      <x:c r="E2754" s="62" t="b">
        <x:v>1</x:v>
      </x:c>
      <x:c r="F2754" s="62" t="b">
        <x:v>0</x:v>
      </x:c>
      <x:c r="G2754" s="85" t="n">
        <x:v>4199114.142373484</x:v>
      </x:c>
      <x:c r="H2754" s="85" t="n">
        <x:v>52928066.09181318</x:v>
      </x:c>
      <x:c r="I2754" s="85" t="n">
        <x:v>40536986.30136988</x:v>
      </x:c>
      <x:c r="J2754" s="85" t="n">
        <x:v>60000000.000000015</x:v>
      </x:c>
      <x:c r="K2754" s="85" t="n">
        <x:v>258188.45221917625</x:v>
      </x:c>
      <x:c r="L2754" s="28" t="n">
        <x:v>45</x:v>
      </x:c>
      <x:c r="M2754" s="28" t="n">
        <x:v>34</x:v>
      </x:c>
      <x:c r="N2754" s="28" t="n">
        <x:v>1.862645149230957e-9</x:v>
      </x:c>
      <x:c r="O2754" s="28" t="n">
        <x:v>2.9802322387695312e-8</x:v>
      </x:c>
      <x:c r="P2754" s="28" t="n">
        <x:v>0</x:v>
      </x:c>
      <x:c r="Q2754" s="62" t="b">
        <x:v>1</x:v>
      </x:c>
      <x:c r="R2754" s="28" t="n">
        <x:v>0</x:v>
      </x:c>
      <x:c r="S2754" s="28" t="str">
        <x:v>a3047853ebf6b5bb</x:v>
      </x:c>
    </x:row>
    <x:row r="2755" ht="21" customHeight="1">
      <x:c r="A2755" s="60" t="n">
        <x:v>0.7</x:v>
      </x:c>
      <x:c r="B2755" s="28" t="str">
        <x:v>level_low</x:v>
      </x:c>
      <x:c r="C2755" s="60" t="n">
        <x:v>0.85</x:v>
      </x:c>
      <x:c r="D2755" s="60" t="n">
        <x:v>0.85</x:v>
      </x:c>
      <x:c r="E2755" s="62" t="b">
        <x:v>1</x:v>
      </x:c>
      <x:c r="F2755" s="62" t="b">
        <x:v>0</x:v>
      </x:c>
      <x:c r="G2755" s="85" t="n">
        <x:v>5246383.131324222</x:v>
      </x:c>
      <x:c r="H2755" s="85" t="n">
        <x:v>62217955.73383632</x:v>
      </x:c>
      <x:c r="I2755" s="85" t="n">
        <x:v>41444383.561643854</x:v>
      </x:c>
      <x:c r="J2755" s="85" t="n">
        <x:v>60000000.000000015</x:v>
      </x:c>
      <x:c r="K2755" s="85" t="n">
        <x:v>239980.92988356296</x:v>
      </x:c>
      <x:c r="L2755" s="28" t="n">
        <x:v>46</x:v>
      </x:c>
      <x:c r="M2755" s="28" t="n">
        <x:v>35</x:v>
      </x:c>
      <x:c r="N2755" s="28" t="n">
        <x:v>9.313225746154785e-10</x:v>
      </x:c>
      <x:c r="O2755" s="28" t="n">
        <x:v>2.9802322387695312e-8</x:v>
      </x:c>
      <x:c r="P2755" s="28" t="n">
        <x:v>0</x:v>
      </x:c>
      <x:c r="Q2755" s="62" t="b">
        <x:v>1</x:v>
      </x:c>
      <x:c r="R2755" s="28" t="n">
        <x:v>0</x:v>
      </x:c>
      <x:c r="S2755" s="28" t="str">
        <x:v>eba3160614f67c4d</x:v>
      </x:c>
    </x:row>
    <x:row r="2756" ht="21" customHeight="1">
      <x:c r="A2756" s="60" t="n">
        <x:v>0.7</x:v>
      </x:c>
      <x:c r="B2756" s="28" t="str">
        <x:v>level_low</x:v>
      </x:c>
      <x:c r="C2756" s="60" t="n">
        <x:v>0.9</x:v>
      </x:c>
      <x:c r="D2756" s="60" t="n">
        <x:v>0.9</x:v>
      </x:c>
      <x:c r="E2756" s="62" t="b">
        <x:v>1</x:v>
      </x:c>
      <x:c r="F2756" s="62" t="b">
        <x:v>0</x:v>
      </x:c>
      <x:c r="G2756" s="85" t="n">
        <x:v>7895534.675874565</x:v>
      </x:c>
      <x:c r="H2756" s="85" t="n">
        <x:v>71458729.98480392</x:v>
      </x:c>
      <x:c r="I2756" s="85" t="n">
        <x:v>41444383.561643854</x:v>
      </x:c>
      <x:c r="J2756" s="85" t="n">
        <x:v>60000000.000000015</x:v>
      </x:c>
      <x:c r="K2756" s="85" t="n">
        <x:v>221773.40754794684</x:v>
      </x:c>
      <x:c r="L2756" s="28" t="n">
        <x:v>46</x:v>
      </x:c>
      <x:c r="M2756" s="28" t="n">
        <x:v>36</x:v>
      </x:c>
      <x:c r="N2756" s="28" t="n">
        <x:v>1.862645149230957e-9</x:v>
      </x:c>
      <x:c r="O2756" s="28" t="n">
        <x:v>7.450580596923828e-9</x:v>
      </x:c>
      <x:c r="P2756" s="28" t="n">
        <x:v>0</x:v>
      </x:c>
      <x:c r="Q2756" s="62" t="b">
        <x:v>1</x:v>
      </x:c>
      <x:c r="R2756" s="28" t="n">
        <x:v>0</x:v>
      </x:c>
      <x:c r="S2756" s="28" t="str">
        <x:v>1f6df8ddb6730f1c</x:v>
      </x:c>
    </x:row>
    <x:row r="2757" ht="21" customHeight="1">
      <x:c r="A2757" s="60" t="n">
        <x:v>0.7</x:v>
      </x:c>
      <x:c r="B2757" s="28" t="str">
        <x:v>level_low</x:v>
      </x:c>
      <x:c r="C2757" s="60" t="n">
        <x:v>0.95</x:v>
      </x:c>
      <x:c r="D2757" s="60" t="n">
        <x:v>0.9219114501462435</x:v>
      </x:c>
      <x:c r="E2757" s="62" t="b">
        <x:v>0</x:v>
      </x:c>
      <x:c r="F2757" s="62" t="b">
        <x:v>0</x:v>
      </x:c>
      <x:c r="G2757" s="85" t="n">
        <x:v>8608003.570934216</x:v>
      </x:c>
      <x:c r="H2757" s="85" t="n">
        <x:v>75474340.08482039</x:v>
      </x:c>
      <x:c r="I2757" s="85" t="n">
        <x:v>41444383.561643854</x:v>
      </x:c>
      <x:c r="J2757" s="85" t="n">
        <x:v>60000000.000000015</x:v>
      </x:c>
      <x:c r="K2757" s="85" t="n">
        <x:v>203565.8852123289</x:v>
      </x:c>
      <x:c r="L2757" s="28" t="n">
        <x:v>46</x:v>
      </x:c>
      <x:c r="M2757" s="28" t="n">
        <x:v>36</x:v>
      </x:c>
      <x:c r="N2757" s="28" t="n">
        <x:v>1.862645149230957e-9</x:v>
      </x:c>
      <x:c r="O2757" s="28" t="n">
        <x:v>1.4901161193847656e-8</x:v>
      </x:c>
      <x:c r="P2757" s="28" t="n">
        <x:v>0</x:v>
      </x:c>
      <x:c r="Q2757" s="62" t="b">
        <x:v>1</x:v>
      </x:c>
      <x:c r="R2757" s="28" t="n">
        <x:v>8426564.956126928</x:v>
      </x:c>
      <x:c r="S2757" s="28" t="str">
        <x:v>ac68128e989474eb</x:v>
      </x:c>
    </x:row>
    <x:row r="2758" ht="21" customHeight="1">
      <x:c r="A2758" s="60" t="n">
        <x:v>0.7</x:v>
      </x:c>
      <x:c r="B2758" s="28" t="str">
        <x:v>level_low</x:v>
      </x:c>
      <x:c r="C2758" s="60" t="n">
        <x:v>1</x:v>
      </x:c>
      <x:c r="D2758" s="60" t="n">
        <x:v>0.9350574964161632</x:v>
      </x:c>
      <x:c r="E2758" s="62" t="b">
        <x:v>0</x:v>
      </x:c>
      <x:c r="F2758" s="62" t="b">
        <x:v>0</x:v>
      </x:c>
      <x:c r="G2758" s="85" t="n">
        <x:v>9311185.673366882</x:v>
      </x:c>
      <x:c r="H2758" s="85" t="n">
        <x:v>78349880.59983197</x:v>
      </x:c>
      <x:c r="I2758" s="85" t="n">
        <x:v>41444383.561643854</x:v>
      </x:c>
      <x:c r="J2758" s="85" t="n">
        <x:v>60000000.000000015</x:v>
      </x:c>
      <x:c r="K2758" s="85" t="n">
        <x:v>185358.36287671304</x:v>
      </x:c>
      <x:c r="L2758" s="28" t="n">
        <x:v>46</x:v>
      </x:c>
      <x:c r="M2758" s="28" t="n">
        <x:v>37</x:v>
      </x:c>
      <x:c r="N2758" s="28" t="n">
        <x:v>9.313225746154785e-10</x:v>
      </x:c>
      <x:c r="O2758" s="28" t="n">
        <x:v>7.450580596923828e-9</x:v>
      </x:c>
      <x:c r="P2758" s="28" t="n">
        <x:v>0</x:v>
      </x:c>
      <x:c r="Q2758" s="62" t="b">
        <x:v>1</x:v>
      </x:c>
      <x:c r="R2758" s="28" t="n">
        <x:v>19482751.075151026</x:v>
      </x:c>
      <x:c r="S2758" s="28" t="str">
        <x:v>42080ac4642f5772</x:v>
      </x:c>
    </x:row>
    <x:row r="2759" ht="21" customHeight="1">
      <x:c r="A2759" s="60" t="n">
        <x:v>0.7</x:v>
      </x:c>
      <x:c r="B2759" s="28" t="str">
        <x:v>level_high</x:v>
      </x:c>
      <x:c r="C2759" s="60" t="n">
        <x:v>0</x:v>
      </x:c>
      <x:c r="D2759" s="60" t="n">
        <x:v>0</x:v>
      </x:c>
      <x:c r="E2759" s="62" t="b">
        <x:v>1</x:v>
      </x:c>
      <x:c r="F2759" s="62" t="b">
        <x:v>1</x:v>
      </x:c>
      <x:c r="G2759" s="85" t="n">
        <x:v>0</x:v>
      </x:c>
      <x:c r="H2759" s="85" t="n">
        <x:v>0</x:v>
      </x:c>
      <x:c r="I2759" s="85" t="n">
        <x:v>0</x:v>
      </x:c>
      <x:c r="J2759" s="85" t="n">
        <x:v>0</x:v>
      </x:c>
      <x:c r="K2759" s="85" t="n">
        <x:v>41984077.25821912</x:v>
      </x:c>
      <x:c r="L2759" s="28" t="n">
        <x:v>0</x:v>
      </x:c>
      <x:c r="M2759" s="28" t="n">
        <x:v>0</x:v>
      </x:c>
      <x:c r="N2759" s="28" t="n">
        <x:v>3.725290298461914e-9</x:v>
      </x:c>
      <x:c r="O2759" s="28" t="n">
        <x:v>0</x:v>
      </x:c>
      <x:c r="P2759" s="28" t="n">
        <x:v>0</x:v>
      </x:c>
      <x:c r="Q2759" s="62" t="b">
        <x:v>1</x:v>
      </x:c>
      <x:c r="R2759" s="28" t="n">
        <x:v>0</x:v>
      </x:c>
      <x:c r="S2759" s="28" t="str">
        <x:v>a824b50cdfaa5011</x:v>
      </x:c>
    </x:row>
    <x:row r="2760" ht="21" customHeight="1">
      <x:c r="A2760" s="60" t="n">
        <x:v>0.7</x:v>
      </x:c>
      <x:c r="B2760" s="28" t="str">
        <x:v>level_high</x:v>
      </x:c>
      <x:c r="C2760" s="60" t="n">
        <x:v>0.05</x:v>
      </x:c>
      <x:c r="D2760" s="60" t="n">
        <x:v>0.05</x:v>
      </x:c>
      <x:c r="E2760" s="62" t="b">
        <x:v>1</x:v>
      </x:c>
      <x:c r="F2760" s="62" t="b">
        <x:v>1</x:v>
      </x:c>
      <x:c r="G2760" s="85" t="n">
        <x:v>0</x:v>
      </x:c>
      <x:c r="H2760" s="85" t="n">
        <x:v>0</x:v>
      </x:c>
      <x:c r="I2760" s="85" t="n">
        <x:v>0</x:v>
      </x:c>
      <x:c r="J2760" s="85" t="n">
        <x:v>0</x:v>
      </x:c>
      <x:c r="K2760" s="85" t="n">
        <x:v>28655528.24149051</x:v>
      </x:c>
      <x:c r="L2760" s="28" t="n">
        <x:v>0</x:v>
      </x:c>
      <x:c r="M2760" s="28" t="n">
        <x:v>0</x:v>
      </x:c>
      <x:c r="N2760" s="28" t="n">
        <x:v>3.725290298461914e-9</x:v>
      </x:c>
      <x:c r="O2760" s="28" t="n">
        <x:v>2.9802322387695312e-8</x:v>
      </x:c>
      <x:c r="P2760" s="28" t="n">
        <x:v>0</x:v>
      </x:c>
      <x:c r="Q2760" s="62" t="b">
        <x:v>1</x:v>
      </x:c>
      <x:c r="R2760" s="28" t="n">
        <x:v>0</x:v>
      </x:c>
      <x:c r="S2760" s="28" t="str">
        <x:v>0872b493520503ac</x:v>
      </x:c>
    </x:row>
    <x:row r="2761" ht="21" customHeight="1">
      <x:c r="A2761" s="60" t="n">
        <x:v>0.7</x:v>
      </x:c>
      <x:c r="B2761" s="28" t="str">
        <x:v>level_high</x:v>
      </x:c>
      <x:c r="C2761" s="60" t="n">
        <x:v>0.1</x:v>
      </x:c>
      <x:c r="D2761" s="60" t="n">
        <x:v>0.1</x:v>
      </x:c>
      <x:c r="E2761" s="62" t="b">
        <x:v>1</x:v>
      </x:c>
      <x:c r="F2761" s="62" t="b">
        <x:v>1</x:v>
      </x:c>
      <x:c r="G2761" s="85" t="n">
        <x:v>0</x:v>
      </x:c>
      <x:c r="H2761" s="85" t="n">
        <x:v>0</x:v>
      </x:c>
      <x:c r="I2761" s="85" t="n">
        <x:v>0</x:v>
      </x:c>
      <x:c r="J2761" s="85" t="n">
        <x:v>0</x:v>
      </x:c>
      <x:c r="K2761" s="85" t="n">
        <x:v>15167407.715479193</x:v>
      </x:c>
      <x:c r="L2761" s="28" t="n">
        <x:v>0</x:v>
      </x:c>
      <x:c r="M2761" s="28" t="n">
        <x:v>0</x:v>
      </x:c>
      <x:c r="N2761" s="28" t="n">
        <x:v>3.725290298461914e-9</x:v>
      </x:c>
      <x:c r="O2761" s="28" t="n">
        <x:v>5.960464477539063e-8</x:v>
      </x:c>
      <x:c r="P2761" s="28" t="n">
        <x:v>0</x:v>
      </x:c>
      <x:c r="Q2761" s="62" t="b">
        <x:v>1</x:v>
      </x:c>
      <x:c r="R2761" s="28" t="n">
        <x:v>0</x:v>
      </x:c>
      <x:c r="S2761" s="28" t="str">
        <x:v>3bda1cd8d44e1597</x:v>
      </x:c>
    </x:row>
    <x:row r="2762" ht="21" customHeight="1">
      <x:c r="A2762" s="60" t="n">
        <x:v>0.7</x:v>
      </x:c>
      <x:c r="B2762" s="28" t="str">
        <x:v>level_high</x:v>
      </x:c>
      <x:c r="C2762" s="60" t="n">
        <x:v>0.15</x:v>
      </x:c>
      <x:c r="D2762" s="60" t="n">
        <x:v>0.15</x:v>
      </x:c>
      <x:c r="E2762" s="62" t="b">
        <x:v>1</x:v>
      </x:c>
      <x:c r="F2762" s="62" t="b">
        <x:v>1</x:v>
      </x:c>
      <x:c r="G2762" s="85" t="n">
        <x:v>0</x:v>
      </x:c>
      <x:c r="H2762" s="85" t="n">
        <x:v>0</x:v>
      </x:c>
      <x:c r="I2762" s="85" t="n">
        <x:v>1838703.8977336914</x:v>
      </x:c>
      <x:c r="J2762" s="85" t="n">
        <x:v>0</x:v>
      </x:c>
      <x:c r="K2762" s="85" t="n">
        <x:v>3936642.0445669773</x:v>
      </x:c>
      <x:c r="L2762" s="28" t="n">
        <x:v>0</x:v>
      </x:c>
      <x:c r="M2762" s="28" t="n">
        <x:v>0</x:v>
      </x:c>
      <x:c r="N2762" s="28" t="n">
        <x:v>3.725290298461914e-9</x:v>
      </x:c>
      <x:c r="O2762" s="28" t="n">
        <x:v>2.9802322387695312e-8</x:v>
      </x:c>
      <x:c r="P2762" s="28" t="n">
        <x:v>0</x:v>
      </x:c>
      <x:c r="Q2762" s="62" t="b">
        <x:v>1</x:v>
      </x:c>
      <x:c r="R2762" s="28" t="n">
        <x:v>0</x:v>
      </x:c>
      <x:c r="S2762" s="28" t="str">
        <x:v>9b5008ec7651c13a</x:v>
      </x:c>
    </x:row>
    <x:row r="2763" ht="21" customHeight="1">
      <x:c r="A2763" s="60" t="n">
        <x:v>0.7</x:v>
      </x:c>
      <x:c r="B2763" s="28" t="str">
        <x:v>level_high</x:v>
      </x:c>
      <x:c r="C2763" s="60" t="n">
        <x:v>0.2</x:v>
      </x:c>
      <x:c r="D2763" s="60" t="n">
        <x:v>0.2</x:v>
      </x:c>
      <x:c r="E2763" s="62" t="b">
        <x:v>1</x:v>
      </x:c>
      <x:c r="F2763" s="62" t="b">
        <x:v>1</x:v>
      </x:c>
      <x:c r="G2763" s="85" t="n">
        <x:v>0</x:v>
      </x:c>
      <x:c r="H2763" s="85" t="n">
        <x:v>0</x:v>
      </x:c>
      <x:c r="I2763" s="85" t="n">
        <x:v>11559454.14689124</x:v>
      </x:c>
      <x:c r="J2763" s="85" t="n">
        <x:v>6323003.27253424</x:v>
      </x:c>
      <x:c r="K2763" s="85" t="n">
        <x:v>2885604.393219701</x:v>
      </x:c>
      <x:c r="L2763" s="28" t="n">
        <x:v>0</x:v>
      </x:c>
      <x:c r="M2763" s="28" t="n">
        <x:v>0</x:v>
      </x:c>
      <x:c r="N2763" s="28" t="n">
        <x:v>1.862645149230957e-9</x:v>
      </x:c>
      <x:c r="O2763" s="28" t="n">
        <x:v>2.9802322387695312e-8</x:v>
      </x:c>
      <x:c r="P2763" s="28" t="n">
        <x:v>0</x:v>
      </x:c>
      <x:c r="Q2763" s="62" t="b">
        <x:v>1</x:v>
      </x:c>
      <x:c r="R2763" s="28" t="n">
        <x:v>0</x:v>
      </x:c>
      <x:c r="S2763" s="28" t="str">
        <x:v>f9add68a0bfb42a7</x:v>
      </x:c>
    </x:row>
    <x:row r="2764" ht="21" customHeight="1">
      <x:c r="A2764" s="60" t="n">
        <x:v>0.7</x:v>
      </x:c>
      <x:c r="B2764" s="28" t="str">
        <x:v>level_high</x:v>
      </x:c>
      <x:c r="C2764" s="60" t="n">
        <x:v>0.25</x:v>
      </x:c>
      <x:c r="D2764" s="60" t="n">
        <x:v>0.25</x:v>
      </x:c>
      <x:c r="E2764" s="62" t="b">
        <x:v>1</x:v>
      </x:c>
      <x:c r="F2764" s="62" t="b">
        <x:v>1</x:v>
      </x:c>
      <x:c r="G2764" s="85" t="n">
        <x:v>0</x:v>
      </x:c>
      <x:c r="H2764" s="85" t="n">
        <x:v>0</x:v>
      </x:c>
      <x:c r="I2764" s="85" t="n">
        <x:v>20049297.89763176</x:v>
      </x:c>
      <x:c r="J2764" s="85" t="n">
        <x:v>15403754.090667764</x:v>
      </x:c>
      <x:c r="K2764" s="85" t="n">
        <x:v>2207988.213372599</x:v>
      </x:c>
      <x:c r="L2764" s="28" t="n">
        <x:v>0</x:v>
      </x:c>
      <x:c r="M2764" s="28" t="n">
        <x:v>0</x:v>
      </x:c>
      <x:c r="N2764" s="28" t="n">
        <x:v>3.725290298461914e-9</x:v>
      </x:c>
      <x:c r="O2764" s="28" t="n">
        <x:v>2.9802322387695312e-8</x:v>
      </x:c>
      <x:c r="P2764" s="28" t="n">
        <x:v>0</x:v>
      </x:c>
      <x:c r="Q2764" s="62" t="b">
        <x:v>1</x:v>
      </x:c>
      <x:c r="R2764" s="28" t="n">
        <x:v>0</x:v>
      </x:c>
      <x:c r="S2764" s="28" t="str">
        <x:v>6b13e90b8d0cd655</x:v>
      </x:c>
    </x:row>
    <x:row r="2765" ht="21" customHeight="1">
      <x:c r="A2765" s="60" t="n">
        <x:v>0.7</x:v>
      </x:c>
      <x:c r="B2765" s="28" t="str">
        <x:v>level_high</x:v>
      </x:c>
      <x:c r="C2765" s="60" t="n">
        <x:v>0.3</x:v>
      </x:c>
      <x:c r="D2765" s="60" t="n">
        <x:v>0.3</x:v>
      </x:c>
      <x:c r="E2765" s="62" t="b">
        <x:v>1</x:v>
      </x:c>
      <x:c r="F2765" s="62" t="b">
        <x:v>1</x:v>
      </x:c>
      <x:c r="G2765" s="85" t="n">
        <x:v>0</x:v>
      </x:c>
      <x:c r="H2765" s="85" t="n">
        <x:v>0</x:v>
      </x:c>
      <x:c r="I2765" s="85" t="n">
        <x:v>28774300.63720543</x:v>
      </x:c>
      <x:c r="J2765" s="85" t="n">
        <x:v>24484504.908801205</x:v>
      </x:c>
      <x:c r="K2765" s="85" t="n">
        <x:v>1696906.4036854622</x:v>
      </x:c>
      <x:c r="L2765" s="28" t="n">
        <x:v>0</x:v>
      </x:c>
      <x:c r="M2765" s="28" t="n">
        <x:v>0</x:v>
      </x:c>
      <x:c r="N2765" s="28" t="n">
        <x:v>1.862645149230957e-9</x:v>
      </x:c>
      <x:c r="O2765" s="28" t="n">
        <x:v>7.450580596923828e-9</x:v>
      </x:c>
      <x:c r="P2765" s="28" t="n">
        <x:v>0</x:v>
      </x:c>
      <x:c r="Q2765" s="62" t="b">
        <x:v>1</x:v>
      </x:c>
      <x:c r="R2765" s="28" t="n">
        <x:v>0</x:v>
      </x:c>
      <x:c r="S2765" s="28" t="str">
        <x:v>76966b1922354308</x:v>
      </x:c>
    </x:row>
    <x:row r="2766" ht="21" customHeight="1">
      <x:c r="A2766" s="60" t="n">
        <x:v>0.7</x:v>
      </x:c>
      <x:c r="B2766" s="28" t="str">
        <x:v>level_high</x:v>
      </x:c>
      <x:c r="C2766" s="60" t="n">
        <x:v>0.35</x:v>
      </x:c>
      <x:c r="D2766" s="60" t="n">
        <x:v>0.35</x:v>
      </x:c>
      <x:c r="E2766" s="62" t="b">
        <x:v>1</x:v>
      </x:c>
      <x:c r="F2766" s="62" t="b">
        <x:v>1</x:v>
      </x:c>
      <x:c r="G2766" s="85" t="n">
        <x:v>0</x:v>
      </x:c>
      <x:c r="H2766" s="85" t="n">
        <x:v>0</x:v>
      </x:c>
      <x:c r="I2766" s="85" t="n">
        <x:v>38576473.81335503</x:v>
      </x:c>
      <x:c r="J2766" s="85" t="n">
        <x:v>26459514.218200967</x:v>
      </x:c>
      <x:c r="K2766" s="85" t="n">
        <x:v>1369622.9419709581</x:v>
      </x:c>
      <x:c r="L2766" s="28" t="n">
        <x:v>6</x:v>
      </x:c>
      <x:c r="M2766" s="28" t="n">
        <x:v>0</x:v>
      </x:c>
      <x:c r="N2766" s="28" t="n">
        <x:v>1.862645149230957e-9</x:v>
      </x:c>
      <x:c r="O2766" s="28" t="n">
        <x:v>2.9802322387695312e-8</x:v>
      </x:c>
      <x:c r="P2766" s="28" t="n">
        <x:v>0</x:v>
      </x:c>
      <x:c r="Q2766" s="62" t="b">
        <x:v>1</x:v>
      </x:c>
      <x:c r="R2766" s="28" t="n">
        <x:v>0</x:v>
      </x:c>
      <x:c r="S2766" s="28" t="str">
        <x:v>71c0798ae5ef03a1</x:v>
      </x:c>
    </x:row>
    <x:row r="2767" ht="21" customHeight="1">
      <x:c r="A2767" s="60" t="n">
        <x:v>0.7</x:v>
      </x:c>
      <x:c r="B2767" s="28" t="str">
        <x:v>level_high</x:v>
      </x:c>
      <x:c r="C2767" s="60" t="n">
        <x:v>0.4</x:v>
      </x:c>
      <x:c r="D2767" s="60" t="n">
        <x:v>0.4</x:v>
      </x:c>
      <x:c r="E2767" s="62" t="b">
        <x:v>1</x:v>
      </x:c>
      <x:c r="F2767" s="62" t="b">
        <x:v>1</x:v>
      </x:c>
      <x:c r="G2767" s="85" t="n">
        <x:v>0</x:v>
      </x:c>
      <x:c r="H2767" s="85" t="n">
        <x:v>0</x:v>
      </x:c>
      <x:c r="I2767" s="85" t="n">
        <x:v>48265977.578019425</x:v>
      </x:c>
      <x:c r="J2767" s="85" t="n">
        <x:v>30618334.68664875</x:v>
      </x:c>
      <x:c r="K2767" s="85" t="n">
        <x:v>1161414.9524383503</x:v>
      </x:c>
      <x:c r="L2767" s="28" t="n">
        <x:v>12</x:v>
      </x:c>
      <x:c r="M2767" s="28" t="n">
        <x:v>0</x:v>
      </x:c>
      <x:c r="N2767" s="28" t="n">
        <x:v>1.862645149230957e-9</x:v>
      </x:c>
      <x:c r="O2767" s="28" t="n">
        <x:v>2.9802322387695312e-8</x:v>
      </x:c>
      <x:c r="P2767" s="28" t="n">
        <x:v>0</x:v>
      </x:c>
      <x:c r="Q2767" s="62" t="b">
        <x:v>1</x:v>
      </x:c>
      <x:c r="R2767" s="28" t="n">
        <x:v>0</x:v>
      </x:c>
      <x:c r="S2767" s="28" t="str">
        <x:v>bb7f493e6a9d3f2d</x:v>
      </x:c>
    </x:row>
    <x:row r="2768" ht="21" customHeight="1">
      <x:c r="A2768" s="60" t="n">
        <x:v>0.7</x:v>
      </x:c>
      <x:c r="B2768" s="28" t="str">
        <x:v>level_high</x:v>
      </x:c>
      <x:c r="C2768" s="60" t="n">
        <x:v>0.45</x:v>
      </x:c>
      <x:c r="D2768" s="60" t="n">
        <x:v>0.45</x:v>
      </x:c>
      <x:c r="E2768" s="62" t="b">
        <x:v>1</x:v>
      </x:c>
      <x:c r="F2768" s="62" t="b">
        <x:v>1</x:v>
      </x:c>
      <x:c r="G2768" s="85" t="n">
        <x:v>0</x:v>
      </x:c>
      <x:c r="H2768" s="85" t="n">
        <x:v>0</x:v>
      </x:c>
      <x:c r="I2768" s="85" t="n">
        <x:v>57253078.610016406</x:v>
      </x:c>
      <x:c r="J2768" s="85" t="n">
        <x:v>37796560.36051513</x:v>
      </x:c>
      <x:c r="K2768" s="85" t="n">
        <x:v>1001262.3839931401</x:v>
      </x:c>
      <x:c r="L2768" s="28" t="n">
        <x:v>15</x:v>
      </x:c>
      <x:c r="M2768" s="28" t="n">
        <x:v>1</x:v>
      </x:c>
      <x:c r="N2768" s="28" t="n">
        <x:v>1.862645149230957e-9</x:v>
      </x:c>
      <x:c r="O2768" s="28" t="n">
        <x:v>2.9802322387695312e-8</x:v>
      </x:c>
      <x:c r="P2768" s="28" t="n">
        <x:v>0</x:v>
      </x:c>
      <x:c r="Q2768" s="62" t="b">
        <x:v>1</x:v>
      </x:c>
      <x:c r="R2768" s="28" t="n">
        <x:v>0</x:v>
      </x:c>
      <x:c r="S2768" s="28" t="str">
        <x:v>0bdbc47c61633d62</x:v>
      </x:c>
    </x:row>
    <x:row r="2769" ht="21" customHeight="1">
      <x:c r="A2769" s="60" t="n">
        <x:v>0.7</x:v>
      </x:c>
      <x:c r="B2769" s="28" t="str">
        <x:v>level_high</x:v>
      </x:c>
      <x:c r="C2769" s="60" t="n">
        <x:v>0.5</x:v>
      </x:c>
      <x:c r="D2769" s="60" t="n">
        <x:v>0.5</x:v>
      </x:c>
      <x:c r="E2769" s="62" t="b">
        <x:v>1</x:v>
      </x:c>
      <x:c r="F2769" s="62" t="b">
        <x:v>1</x:v>
      </x:c>
      <x:c r="G2769" s="85" t="n">
        <x:v>0</x:v>
      </x:c>
      <x:c r="H2769" s="85" t="n">
        <x:v>0</x:v>
      </x:c>
      <x:c r="I2769" s="85" t="n">
        <x:v>66067530.687655434</x:v>
      </x:c>
      <x:c r="J2769" s="85" t="n">
        <x:v>47149206.23635843</x:v>
      </x:c>
      <x:c r="K2769" s="85" t="n">
        <x:v>841109.8155479506</x:v>
      </x:c>
      <x:c r="L2769" s="28" t="n">
        <x:v>18</x:v>
      </x:c>
      <x:c r="M2769" s="28" t="n">
        <x:v>7</x:v>
      </x:c>
      <x:c r="N2769" s="28" t="n">
        <x:v>3.725290298461914e-9</x:v>
      </x:c>
      <x:c r="O2769" s="28" t="n">
        <x:v>1.4901161193847656e-8</x:v>
      </x:c>
      <x:c r="P2769" s="28" t="n">
        <x:v>0</x:v>
      </x:c>
      <x:c r="Q2769" s="62" t="b">
        <x:v>1</x:v>
      </x:c>
      <x:c r="R2769" s="28" t="n">
        <x:v>0</x:v>
      </x:c>
      <x:c r="S2769" s="28" t="str">
        <x:v>d3c244b0f7af6862</x:v>
      </x:c>
    </x:row>
    <x:row r="2770" ht="21" customHeight="1">
      <x:c r="A2770" s="60" t="n">
        <x:v>0.7</x:v>
      </x:c>
      <x:c r="B2770" s="28" t="str">
        <x:v>level_high</x:v>
      </x:c>
      <x:c r="C2770" s="60" t="n">
        <x:v>0.55</x:v>
      </x:c>
      <x:c r="D2770" s="60" t="n">
        <x:v>0.55</x:v>
      </x:c>
      <x:c r="E2770" s="62" t="b">
        <x:v>1</x:v>
      </x:c>
      <x:c r="F2770" s="62" t="b">
        <x:v>1</x:v>
      </x:c>
      <x:c r="G2770" s="85" t="n">
        <x:v>0</x:v>
      </x:c>
      <x:c r="H2770" s="85" t="n">
        <x:v>0</x:v>
      </x:c>
      <x:c r="I2770" s="85" t="n">
        <x:v>74549271.37729798</x:v>
      </x:c>
      <x:c r="J2770" s="85" t="n">
        <x:v>57312194.11993217</x:v>
      </x:c>
      <x:c r="K2770" s="85" t="n">
        <x:v>713458.775212325</x:v>
      </x:c>
      <x:c r="L2770" s="28" t="n">
        <x:v>24</x:v>
      </x:c>
      <x:c r="M2770" s="28" t="n">
        <x:v>14</x:v>
      </x:c>
      <x:c r="N2770" s="28" t="n">
        <x:v>1.862645149230957e-9</x:v>
      </x:c>
      <x:c r="O2770" s="28" t="n">
        <x:v>2.9802322387695312e-8</x:v>
      </x:c>
      <x:c r="P2770" s="28" t="n">
        <x:v>0</x:v>
      </x:c>
      <x:c r="Q2770" s="62" t="b">
        <x:v>1</x:v>
      </x:c>
      <x:c r="R2770" s="28" t="n">
        <x:v>0</x:v>
      </x:c>
      <x:c r="S2770" s="28" t="str">
        <x:v>ad7b2493ba81f98d</x:v>
      </x:c>
    </x:row>
    <x:row r="2771" ht="21" customHeight="1">
      <x:c r="A2771" s="60" t="n">
        <x:v>0.7</x:v>
      </x:c>
      <x:c r="B2771" s="28" t="str">
        <x:v>level_high</x:v>
      </x:c>
      <x:c r="C2771" s="60" t="n">
        <x:v>0.6</x:v>
      </x:c>
      <x:c r="D2771" s="60" t="n">
        <x:v>0.6</x:v>
      </x:c>
      <x:c r="E2771" s="62" t="b">
        <x:v>1</x:v>
      </x:c>
      <x:c r="F2771" s="62" t="b">
        <x:v>0</x:v>
      </x:c>
      <x:c r="G2771" s="85" t="n">
        <x:v>3678216.0459000217</x:v>
      </x:c>
      <x:c r="H2771" s="85" t="n">
        <x:v>12573535.447299572</x:v>
      </x:c>
      <x:c r="I2771" s="85" t="n">
        <x:v>75956712.32876712</x:v>
      </x:c>
      <x:c r="J2771" s="85" t="n">
        <x:v>60000000.000000015</x:v>
      </x:c>
      <x:c r="K2771" s="85" t="n">
        <x:v>630965.6878630123</x:v>
      </x:c>
      <x:c r="L2771" s="28" t="n">
        <x:v>44</x:v>
      </x:c>
      <x:c r="M2771" s="28" t="n">
        <x:v>36</x:v>
      </x:c>
      <x:c r="N2771" s="28" t="n">
        <x:v>1.862645149230957e-9</x:v>
      </x:c>
      <x:c r="O2771" s="28" t="n">
        <x:v>2.9802322387695312e-8</x:v>
      </x:c>
      <x:c r="P2771" s="28" t="n">
        <x:v>0</x:v>
      </x:c>
      <x:c r="Q2771" s="62" t="b">
        <x:v>1</x:v>
      </x:c>
      <x:c r="R2771" s="28" t="n">
        <x:v>0</x:v>
      </x:c>
      <x:c r="S2771" s="28" t="str">
        <x:v>6e0c1f3fe629818f</x:v>
      </x:c>
    </x:row>
    <x:row r="2772" ht="21" customHeight="1">
      <x:c r="A2772" s="60" t="n">
        <x:v>0.7</x:v>
      </x:c>
      <x:c r="B2772" s="28" t="str">
        <x:v>level_high</x:v>
      </x:c>
      <x:c r="C2772" s="60" t="n">
        <x:v>0.65</x:v>
      </x:c>
      <x:c r="D2772" s="60" t="n">
        <x:v>0.65</x:v>
      </x:c>
      <x:c r="E2772" s="62" t="b">
        <x:v>1</x:v>
      </x:c>
      <x:c r="F2772" s="62" t="b">
        <x:v>0</x:v>
      </x:c>
      <x:c r="G2772" s="85" t="n">
        <x:v>7335422.570902037</x:v>
      </x:c>
      <x:c r="H2772" s="85" t="n">
        <x:v>24486122.99041906</x:v>
      </x:c>
      <x:c r="I2772" s="85" t="n">
        <x:v>77695890.41095892</x:v>
      </x:c>
      <x:c r="J2772" s="85" t="n">
        <x:v>60000000.000000015</x:v>
      </x:c>
      <x:c r="K2772" s="85" t="n">
        <x:v>582606.2016917852</x:v>
      </x:c>
      <x:c r="L2772" s="28" t="n">
        <x:v>45</x:v>
      </x:c>
      <x:c r="M2772" s="28" t="n">
        <x:v>36</x:v>
      </x:c>
      <x:c r="N2772" s="28" t="n">
        <x:v>1.862645149230957e-9</x:v>
      </x:c>
      <x:c r="O2772" s="28" t="n">
        <x:v>2.9802322387695312e-8</x:v>
      </x:c>
      <x:c r="P2772" s="28" t="n">
        <x:v>0</x:v>
      </x:c>
      <x:c r="Q2772" s="62" t="b">
        <x:v>1</x:v>
      </x:c>
      <x:c r="R2772" s="28" t="n">
        <x:v>0</x:v>
      </x:c>
      <x:c r="S2772" s="28" t="str">
        <x:v>ab33e0e418a6cb35</x:v>
      </x:c>
    </x:row>
    <x:row r="2773" ht="21" customHeight="1">
      <x:c r="A2773" s="60" t="n">
        <x:v>0.7</x:v>
      </x:c>
      <x:c r="B2773" s="28" t="str">
        <x:v>level_high</x:v>
      </x:c>
      <x:c r="C2773" s="60" t="n">
        <x:v>0.7</x:v>
      </x:c>
      <x:c r="D2773" s="60" t="n">
        <x:v>0.7</x:v>
      </x:c>
      <x:c r="E2773" s="62" t="b">
        <x:v>1</x:v>
      </x:c>
      <x:c r="F2773" s="62" t="b">
        <x:v>0</x:v>
      </x:c>
      <x:c r="G2773" s="85" t="n">
        <x:v>12484420.07400788</x:v>
      </x:c>
      <x:c r="H2773" s="85" t="n">
        <x:v>38723968.033500805</x:v>
      </x:c>
      <x:c r="I2773" s="85" t="n">
        <x:v>77698905.2169315</x:v>
      </x:c>
      <x:c r="J2773" s="85" t="n">
        <x:v>60000000.000000015</x:v>
      </x:c>
      <x:c r="K2773" s="85" t="n">
        <x:v>534246.7155205451</x:v>
      </x:c>
      <x:c r="L2773" s="28" t="n">
        <x:v>45</x:v>
      </x:c>
      <x:c r="M2773" s="28" t="n">
        <x:v>38</x:v>
      </x:c>
      <x:c r="N2773" s="28" t="n">
        <x:v>1.862645149230957e-9</x:v>
      </x:c>
      <x:c r="O2773" s="28" t="n">
        <x:v>2.9802322387695312e-8</x:v>
      </x:c>
      <x:c r="P2773" s="28" t="n">
        <x:v>0</x:v>
      </x:c>
      <x:c r="Q2773" s="62" t="b">
        <x:v>1</x:v>
      </x:c>
      <x:c r="R2773" s="28" t="n">
        <x:v>0</x:v>
      </x:c>
      <x:c r="S2773" s="28" t="str">
        <x:v>bfcb17fe950d1885</x:v>
      </x:c>
    </x:row>
    <x:row r="2774" ht="21" customHeight="1">
      <x:c r="A2774" s="60" t="n">
        <x:v>0.7</x:v>
      </x:c>
      <x:c r="B2774" s="28" t="str">
        <x:v>level_high</x:v>
      </x:c>
      <x:c r="C2774" s="60" t="n">
        <x:v>0.75</x:v>
      </x:c>
      <x:c r="D2774" s="60" t="n">
        <x:v>0.75</x:v>
      </x:c>
      <x:c r="E2774" s="62" t="b">
        <x:v>1</x:v>
      </x:c>
      <x:c r="F2774" s="62" t="b">
        <x:v>0</x:v>
      </x:c>
      <x:c r="G2774" s="85" t="n">
        <x:v>17390312.735629227</x:v>
      </x:c>
      <x:c r="H2774" s="85" t="n">
        <x:v>52820729.925335884</x:v>
      </x:c>
      <x:c r="I2774" s="85" t="n">
        <x:v>77747016.78643835</x:v>
      </x:c>
      <x:c r="J2774" s="85" t="n">
        <x:v>60000000.000000015</x:v>
      </x:c>
      <x:c r="K2774" s="85" t="n">
        <x:v>485887.2293493105</x:v>
      </x:c>
      <x:c r="L2774" s="28" t="n">
        <x:v>45</x:v>
      </x:c>
      <x:c r="M2774" s="28" t="n">
        <x:v>40</x:v>
      </x:c>
      <x:c r="N2774" s="28" t="n">
        <x:v>1.862645149230957e-9</x:v>
      </x:c>
      <x:c r="O2774" s="28" t="n">
        <x:v>2.9802322387695312e-8</x:v>
      </x:c>
      <x:c r="P2774" s="28" t="n">
        <x:v>0</x:v>
      </x:c>
      <x:c r="Q2774" s="62" t="b">
        <x:v>1</x:v>
      </x:c>
      <x:c r="R2774" s="28" t="n">
        <x:v>0</x:v>
      </x:c>
      <x:c r="S2774" s="28" t="str">
        <x:v>de9ad93b97404e64</x:v>
      </x:c>
    </x:row>
    <x:row r="2775" ht="21" customHeight="1">
      <x:c r="A2775" s="60" t="n">
        <x:v>0.7</x:v>
      </x:c>
      <x:c r="B2775" s="28" t="str">
        <x:v>level_high</x:v>
      </x:c>
      <x:c r="C2775" s="60" t="n">
        <x:v>0.8</x:v>
      </x:c>
      <x:c r="D2775" s="60" t="n">
        <x:v>0.8</x:v>
      </x:c>
      <x:c r="E2775" s="62" t="b">
        <x:v>1</x:v>
      </x:c>
      <x:c r="F2775" s="62" t="b">
        <x:v>0</x:v>
      </x:c>
      <x:c r="G2775" s="85" t="n">
        <x:v>22966870.07231678</x:v>
      </x:c>
      <x:c r="H2775" s="85" t="n">
        <x:v>66281941.80091217</x:v>
      </x:c>
      <x:c r="I2775" s="85" t="n">
        <x:v>77795128.3559452</x:v>
      </x:c>
      <x:c r="J2775" s="85" t="n">
        <x:v>60000000.000000015</x:v>
      </x:c>
      <x:c r="K2775" s="85" t="n">
        <x:v>437527.74317808344</x:v>
      </x:c>
      <x:c r="L2775" s="28" t="n">
        <x:v>45</x:v>
      </x:c>
      <x:c r="M2775" s="28" t="n">
        <x:v>40</x:v>
      </x:c>
      <x:c r="N2775" s="28" t="n">
        <x:v>1.862645149230957e-9</x:v>
      </x:c>
      <x:c r="O2775" s="28" t="n">
        <x:v>2.9802322387695312e-8</x:v>
      </x:c>
      <x:c r="P2775" s="28" t="n">
        <x:v>0</x:v>
      </x:c>
      <x:c r="Q2775" s="62" t="b">
        <x:v>1</x:v>
      </x:c>
      <x:c r="R2775" s="28" t="n">
        <x:v>0</x:v>
      </x:c>
      <x:c r="S2775" s="28" t="str">
        <x:v>a3d71330498bcfa2</x:v>
      </x:c>
    </x:row>
    <x:row r="2776" ht="21" customHeight="1">
      <x:c r="A2776" s="60" t="n">
        <x:v>0.7</x:v>
      </x:c>
      <x:c r="B2776" s="28" t="str">
        <x:v>level_high</x:v>
      </x:c>
      <x:c r="C2776" s="60" t="n">
        <x:v>0.85</x:v>
      </x:c>
      <x:c r="D2776" s="60" t="n">
        <x:v>0.85</x:v>
      </x:c>
      <x:c r="E2776" s="62" t="b">
        <x:v>1</x:v>
      </x:c>
      <x:c r="F2776" s="62" t="b">
        <x:v>0</x:v>
      </x:c>
      <x:c r="G2776" s="85" t="n">
        <x:v>30915213.595269</x:v>
      </x:c>
      <x:c r="H2776" s="85" t="n">
        <x:v>75239369.52400978</x:v>
      </x:c>
      <x:c r="I2776" s="85" t="n">
        <x:v>79435068.49315068</x:v>
      </x:c>
      <x:c r="J2776" s="85" t="n">
        <x:v>60000000.000000015</x:v>
      </x:c>
      <x:c r="K2776" s="85" t="n">
        <x:v>389168.2570068535</x:v>
      </x:c>
      <x:c r="L2776" s="28" t="n">
        <x:v>46</x:v>
      </x:c>
      <x:c r="M2776" s="28" t="n">
        <x:v>40</x:v>
      </x:c>
      <x:c r="N2776" s="28" t="n">
        <x:v>1.862645149230957e-9</x:v>
      </x:c>
      <x:c r="O2776" s="28" t="n">
        <x:v>2.9802322387695312e-8</x:v>
      </x:c>
      <x:c r="P2776" s="28" t="n">
        <x:v>0</x:v>
      </x:c>
      <x:c r="Q2776" s="62" t="b">
        <x:v>1</x:v>
      </x:c>
      <x:c r="R2776" s="28" t="n">
        <x:v>0</x:v>
      </x:c>
      <x:c r="S2776" s="28" t="str">
        <x:v>273d6e77767d87fa</x:v>
      </x:c>
    </x:row>
    <x:row r="2777" ht="21" customHeight="1">
      <x:c r="A2777" s="60" t="n">
        <x:v>0.7</x:v>
      </x:c>
      <x:c r="B2777" s="28" t="str">
        <x:v>level_high</x:v>
      </x:c>
      <x:c r="C2777" s="60" t="n">
        <x:v>0.9</x:v>
      </x:c>
      <x:c r="D2777" s="60" t="n">
        <x:v>0.9</x:v>
      </x:c>
      <x:c r="E2777" s="62" t="b">
        <x:v>1</x:v>
      </x:c>
      <x:c r="F2777" s="62" t="b">
        <x:v>0</x:v>
      </x:c>
      <x:c r="G2777" s="85" t="n">
        <x:v>37000600.65238595</x:v>
      </x:c>
      <x:c r="H2777" s="85" t="n">
        <x:v>83847217.82783836</x:v>
      </x:c>
      <x:c r="I2777" s="85" t="n">
        <x:v>79435068.49315068</x:v>
      </x:c>
      <x:c r="J2777" s="85" t="n">
        <x:v>60000000.000000015</x:v>
      </x:c>
      <x:c r="K2777" s="85" t="n">
        <x:v>340808.77083561715</x:v>
      </x:c>
      <x:c r="L2777" s="28" t="n">
        <x:v>46</x:v>
      </x:c>
      <x:c r="M2777" s="28" t="n">
        <x:v>42</x:v>
      </x:c>
      <x:c r="N2777" s="28" t="n">
        <x:v>1.862645149230957e-9</x:v>
      </x:c>
      <x:c r="O2777" s="28" t="n">
        <x:v>7.450580596923828e-9</x:v>
      </x:c>
      <x:c r="P2777" s="28" t="n">
        <x:v>0</x:v>
      </x:c>
      <x:c r="Q2777" s="62" t="b">
        <x:v>1</x:v>
      </x:c>
      <x:c r="R2777" s="28" t="n">
        <x:v>0</x:v>
      </x:c>
      <x:c r="S2777" s="28" t="str">
        <x:v>5234273385cfedfd</x:v>
      </x:c>
    </x:row>
    <x:row r="2778" ht="21" customHeight="1">
      <x:c r="A2778" s="60" t="n">
        <x:v>0.7</x:v>
      </x:c>
      <x:c r="B2778" s="28" t="str">
        <x:v>level_high</x:v>
      </x:c>
      <x:c r="C2778" s="60" t="n">
        <x:v>0.95</x:v>
      </x:c>
      <x:c r="D2778" s="60" t="n">
        <x:v>0.9219114501462435</x:v>
      </x:c>
      <x:c r="E2778" s="62" t="b">
        <x:v>0</x:v>
      </x:c>
      <x:c r="F2778" s="62" t="b">
        <x:v>0</x:v>
      </x:c>
      <x:c r="G2778" s="85" t="n">
        <x:v>39936959.882250376</x:v>
      </x:c>
      <x:c r="H2778" s="85" t="n">
        <x:v>89907054.39341155</x:v>
      </x:c>
      <x:c r="I2778" s="85" t="n">
        <x:v>79435068.49315068</x:v>
      </x:c>
      <x:c r="J2778" s="85" t="n">
        <x:v>60000000.000000015</x:v>
      </x:c>
      <x:c r="K2778" s="85" t="n">
        <x:v>292449.28466439096</x:v>
      </x:c>
      <x:c r="L2778" s="28" t="n">
        <x:v>46</x:v>
      </x:c>
      <x:c r="M2778" s="28" t="n">
        <x:v>42</x:v>
      </x:c>
      <x:c r="N2778" s="28" t="n">
        <x:v>9.313225746154785e-10</x:v>
      </x:c>
      <x:c r="O2778" s="28" t="n">
        <x:v>1.4901161193847656e-8</x:v>
      </x:c>
      <x:c r="P2778" s="28" t="n">
        <x:v>0</x:v>
      </x:c>
      <x:c r="Q2778" s="62" t="b">
        <x:v>1</x:v>
      </x:c>
      <x:c r="R2778" s="28" t="n">
        <x:v>8426564.956126928</x:v>
      </x:c>
      <x:c r="S2778" s="28" t="str">
        <x:v>5b9ff8cf6aa1df24</x:v>
      </x:c>
    </x:row>
    <x:row r="2779" ht="21" customHeight="1">
      <x:c r="A2779" s="60" t="n">
        <x:v>0.7</x:v>
      </x:c>
      <x:c r="B2779" s="28" t="str">
        <x:v>level_high</x:v>
      </x:c>
      <x:c r="C2779" s="60" t="n">
        <x:v>1</x:v>
      </x:c>
      <x:c r="D2779" s="60" t="n">
        <x:v>0.9350574964161632</x:v>
      </x:c>
      <x:c r="E2779" s="62" t="b">
        <x:v>0</x:v>
      </x:c>
      <x:c r="F2779" s="62" t="b">
        <x:v>0</x:v>
      </x:c>
      <x:c r="G2779" s="85" t="n">
        <x:v>43156545.10229619</x:v>
      </x:c>
      <x:c r="H2779" s="85" t="n">
        <x:v>93239922.35405113</x:v>
      </x:c>
      <x:c r="I2779" s="85" t="n">
        <x:v>79435068.49315068</x:v>
      </x:c>
      <x:c r="J2779" s="85" t="n">
        <x:v>60000000.000000015</x:v>
      </x:c>
      <x:c r="K2779" s="85" t="n">
        <x:v>244089.79849315272</x:v>
      </x:c>
      <x:c r="L2779" s="28" t="n">
        <x:v>46</x:v>
      </x:c>
      <x:c r="M2779" s="28" t="n">
        <x:v>42</x:v>
      </x:c>
      <x:c r="N2779" s="28" t="n">
        <x:v>1.862645149230957e-9</x:v>
      </x:c>
      <x:c r="O2779" s="28" t="n">
        <x:v>7.450580596923828e-9</x:v>
      </x:c>
      <x:c r="P2779" s="28" t="n">
        <x:v>0</x:v>
      </x:c>
      <x:c r="Q2779" s="62" t="b">
        <x:v>1</x:v>
      </x:c>
      <x:c r="R2779" s="28" t="n">
        <x:v>19482751.075151026</x:v>
      </x:c>
      <x:c r="S2779" s="28" t="str">
        <x:v>d7ef2964ffc08c8c</x:v>
      </x:c>
    </x:row>
  </x:sheetData>
  <x:pageMargins left="0.7" right="0.7" top="0.75" bottom="0.75" header="0.3" footer="0.3"/>
  <x:tableParts count="1">
    <x:tablePart xmlns:r="http://schemas.openxmlformats.org/officeDocument/2006/relationships" r:id="Rd2f7f1893cd04b97"/>
  </x:tableParts>
</x:worksheet>
</file>

<file path=xl/worksheets/sheet18.xml><?xml version="1.0" encoding="utf-8"?>
<x:worksheet xmlns:x="http://schemas.openxmlformats.org/spreadsheetml/2006/main">
  <x:sheetPr>
    <x:tabColor rgb="FFBE5555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23" hidden="0" customWidth="1"/>
    <x:col min="5" max="5" width="23" hidden="0" customWidth="1"/>
    <x:col min="6" max="6" width="23" hidden="0" customWidth="1"/>
    <x:col min="7" max="7" width="33" hidden="0" customWidth="1"/>
    <x:col min="8" max="8" width="33" hidden="0" customWidth="1"/>
  </x:cols>
  <x:sheetData>
    <x:row r="1">
      <x:c r="A1" s="23"/>
      <x:c r="B1" s="23"/>
      <x:c r="C1" s="117" t="str">
        <x:v>Validation</x:v>
      </x:c>
      <x:c r="D1" s="23"/>
      <x:c r="E1" s="23"/>
      <x:c r="F1" s="23"/>
      <x:c r="G1" s="23"/>
      <x:c r="H1" s="23"/>
    </x:row>
    <x:row r="2">
      <x:c r="A2" s="23"/>
      <x:c r="B2" s="23"/>
      <x:c r="C2" s="24" t="str">
        <x:v>Validation And Reconciliation</x:v>
      </x:c>
      <x:c r="D2" s="25"/>
      <x:c r="E2" s="25"/>
      <x:c r="F2" s="25"/>
      <x:c r="G2" s="25"/>
      <x:c r="H2" s="25"/>
    </x:row>
    <x:row r="3" ht="22" customHeight="1">
      <x:c r="A3" s="23"/>
      <x:c r="B3" s="23"/>
      <x:c r="C3" s="26" t="str">
        <x:v>Excel checks are live. Python checks reflect the last validated run.</x:v>
      </x:c>
      <x:c r="D3" s="23"/>
      <x:c r="E3" s="23"/>
      <x:c r="F3" s="23"/>
      <x:c r="G3" s="23"/>
      <x:c r="H3" s="23"/>
    </x:row>
    <x:row r="4">
      <x:c r="A4" s="23"/>
      <x:c r="B4" s="23"/>
      <x:c r="C4" s="23"/>
      <x:c r="D4" s="23"/>
      <x:c r="E4" s="23"/>
      <x:c r="F4" s="23"/>
      <x:c r="G4" s="23"/>
      <x:c r="H4" s="23"/>
    </x:row>
    <x:row r="5">
      <x:c r="A5" s="23"/>
      <x:c r="B5" s="23"/>
      <x:c r="C5" s="23"/>
      <x:c r="D5" s="23"/>
      <x:c r="E5" s="23"/>
      <x:c r="F5" s="23"/>
      <x:c r="G5" s="23"/>
      <x:c r="H5" s="23"/>
    </x:row>
    <x:row r="6">
      <x:c r="A6" s="23"/>
      <x:c r="B6" s="23"/>
      <x:c r="C6" s="23"/>
      <x:c r="D6" s="23"/>
      <x:c r="E6" s="23"/>
      <x:c r="F6" s="23"/>
      <x:c r="G6" s="23"/>
      <x:c r="H6" s="23"/>
    </x:row>
    <x:row r="7" ht="38" customHeight="1">
      <x:c r="A7" s="23"/>
      <x:c r="B7" s="23"/>
      <x:c r="C7" s="7" t="str">
        <x:v>Check</x:v>
      </x:c>
      <x:c r="D7" s="7" t="str">
        <x:v>Actual / difference</x:v>
      </x:c>
      <x:c r="E7" s="7" t="str">
        <x:v>Tolerance / expected</x:v>
      </x:c>
      <x:c r="F7" s="7" t="str">
        <x:v>Result</x:v>
      </x:c>
      <x:c r="G7" s="7" t="str">
        <x:v>Owner</x:v>
      </x:c>
      <x:c r="H7" s="7" t="str">
        <x:v>Meaning</x:v>
      </x:c>
    </x:row>
    <x:row r="8" ht="32" customHeight="1">
      <x:c r="A8" s="23"/>
      <x:c r="B8" s="23"/>
      <x:c r="C8" s="23" t="str">
        <x:v>Portfolio source completeness</x:v>
      </x:c>
      <x:c r="D8" s="197" t="n">
        <x:f>0</x:f>
        <x:v>0</x:v>
      </x:c>
      <x:c r="E8" s="148" t="n">
        <x:v>0</x:v>
      </x:c>
      <x:c r="F8" s="23" t="str">
        <x:f>IF(ISNUMBER(D8),IF(ABS(D8)&lt;=E8,"OK","CHECK"),"NOT RUN")</x:f>
        <x:v>OK</x:v>
      </x:c>
      <x:c r="G8" s="23" t="str">
        <x:v>Input validation</x:v>
      </x:c>
      <x:c r="H8" s="33" t="str">
        <x:v>Python rejects missing or invalid inputs</x:v>
      </x:c>
    </x:row>
    <x:row r="9" ht="32" customHeight="1">
      <x:c r="A9" s="150"/>
      <x:c r="B9" s="150"/>
      <x:c r="C9" s="23" t="str">
        <x:v>Duplicate facility identifiers</x:v>
      </x:c>
      <x:c r="D9" s="197" t="n">
        <x:f>SUM('Portfolio Inputs'!X8:X289)</x:f>
        <x:v>0</x:v>
      </x:c>
      <x:c r="E9" s="148" t="n">
        <x:v>0</x:v>
      </x:c>
      <x:c r="F9" s="23" t="str">
        <x:f>IF(ISNUMBER(D9),IF(ABS(D9)&lt;=E9,"OK","CHECK"),"NOT RUN")</x:f>
        <x:v>OK</x:v>
      </x:c>
      <x:c r="G9" s="23" t="str">
        <x:v>Excel</x:v>
      </x:c>
      <x:c r="H9" s="33" t="str">
        <x:v>Repeated obligor IDs are expected</x:v>
      </x:c>
    </x:row>
    <x:row r="10" ht="32" customHeight="1">
      <x:c r="A10" s="150"/>
      <x:c r="B10" s="150"/>
      <x:c r="C10" s="23" t="str">
        <x:v>Portfolio par vs imported par</x:v>
      </x:c>
      <x:c r="D10" s="197" t="n">
        <x:f>Portfolio_Par-300000000</x:f>
        <x:v>0</x:v>
      </x:c>
      <x:c r="E10" s="148" t="n">
        <x:v>0.030000000000000002</x:v>
      </x:c>
      <x:c r="F10" s="23" t="str">
        <x:f>IF(ISNUMBER(D10),IF(ABS(D10)&lt;=E10,"OK","CHECK"),"NOT RUN")</x:f>
        <x:v>OK</x:v>
      </x:c>
      <x:c r="G10" s="23" t="str">
        <x:v>Excel</x:v>
      </x:c>
      <x:c r="H10" s="33" t="str">
        <x:v>Reconcile imported balances</x:v>
      </x:c>
    </x:row>
    <x:row r="11" ht="32" customHeight="1">
      <x:c r="A11" s="150"/>
      <x:c r="B11" s="150"/>
      <x:c r="C11" s="23" t="str">
        <x:v>Obligor grouped par vs portfolio</x:v>
      </x:c>
      <x:c r="D11" s="197" t="n">
        <x:f>SUM('Obligor Calc'!F8:F277)-Portfolio_Par</x:f>
        <x:v>0</x:v>
      </x:c>
      <x:c r="E11" s="148" t="n">
        <x:v>0.030000000000000002</x:v>
      </x:c>
      <x:c r="F11" s="23" t="str">
        <x:f>IF(ISNUMBER(D11),IF(ABS(D11)&lt;=E11,"OK","CHECK"),"NOT RUN")</x:f>
        <x:v>OK</x:v>
      </x:c>
      <x:c r="G11" s="23" t="str">
        <x:v>Excel</x:v>
      </x:c>
      <x:c r="H11" s="33" t="str">
        <x:v>Every facility included once</x:v>
      </x:c>
    </x:row>
    <x:row r="12" ht="32" customHeight="1">
      <x:c r="A12" s="150"/>
      <x:c r="B12" s="150"/>
      <x:c r="C12" s="23" t="str">
        <x:v>Obligor grouped count vs facilities</x:v>
      </x:c>
      <x:c r="D12" s="197" t="n">
        <x:f>SUM('Obligor Calc'!G8:G277)-'Portfolio Calc'!D9</x:f>
        <x:v>0</x:v>
      </x:c>
      <x:c r="E12" s="148" t="n">
        <x:v>0</x:v>
      </x:c>
      <x:c r="F12" s="23" t="str">
        <x:f>IF(ISNUMBER(D12),IF(ABS(D12)&lt;=E12,"OK","CHECK"),"NOT RUN")</x:f>
        <x:v>OK</x:v>
      </x:c>
      <x:c r="G12" s="23" t="str">
        <x:v>Excel</x:v>
      </x:c>
      <x:c r="H12" s="33" t="str">
        <x:v>No missing facility group</x:v>
      </x:c>
    </x:row>
    <x:row r="13" ht="32" customHeight="1">
      <x:c r="A13" s="150"/>
      <x:c r="B13" s="150"/>
      <x:c r="C13" s="23" t="str">
        <x:v>Capital stack difference</x:v>
      </x:c>
      <x:c r="D13" s="197" t="n">
        <x:f>'Capital Calc'!J8</x:f>
        <x:v>0</x:v>
      </x:c>
      <x:c r="E13" s="148" t="n">
        <x:v>0.030000000000000002</x:v>
      </x:c>
      <x:c r="F13" s="23" t="str">
        <x:f>IF(ISNUMBER(D13),IF(ABS(D13)&lt;=E13,"OK","CHECK"),"NOT RUN")</x:f>
        <x:v>OK</x:v>
      </x:c>
      <x:c r="G13" s="23" t="str">
        <x:v>Excel</x:v>
      </x:c>
      <x:c r="H13" s="33" t="str">
        <x:v>Senior + junior + equity = par</x:v>
      </x:c>
    </x:row>
    <x:row r="14" ht="32" customHeight="1">
      <x:c r="A14" s="150"/>
      <x:c r="B14" s="150"/>
      <x:c r="C14" s="23" t="str">
        <x:v>Edited portfolio cells</x:v>
      </x:c>
      <x:c r="D14" s="197" t="n">
        <x:f>SUM('Portfolio Inputs'!W8:W289)</x:f>
        <x:v>0</x:v>
      </x:c>
      <x:c r="E14" s="148" t="n">
        <x:v>0</x:v>
      </x:c>
      <x:c r="F14" s="23" t="str">
        <x:f>IF(ISNUMBER(D14),IF(ABS(D14)&lt;=E14,"OK","CHECK"),"NOT RUN")</x:f>
        <x:v>OK</x:v>
      </x:c>
      <x:c r="G14" s="23" t="str">
        <x:v>Excel</x:v>
      </x:c>
      <x:c r="H14" s="33" t="str">
        <x:v>Any source change requires rerun</x:v>
      </x:c>
    </x:row>
    <x:row r="15" ht="32" customHeight="1">
      <x:c r="A15" s="150"/>
      <x:c r="B15" s="150"/>
      <x:c r="C15" s="23" t="str">
        <x:v>Edited scalar assumptions</x:v>
      </x:c>
      <x:c r="D15" s="197" t="n">
        <x:f>SUM('Assumptions'!G8:G62)</x:f>
        <x:v>0</x:v>
      </x:c>
      <x:c r="E15" s="148" t="n">
        <x:v>0</x:v>
      </x:c>
      <x:c r="F15" s="23" t="str">
        <x:f>IF(ISNUMBER(D15),IF(ABS(D15)&lt;=E15,"OK","CHECK"),"NOT RUN")</x:f>
        <x:v>OK</x:v>
      </x:c>
      <x:c r="G15" s="23" t="str">
        <x:v>Excel</x:v>
      </x:c>
      <x:c r="H15" s="33" t="str">
        <x:v>Compare all editable scalar inputs</x:v>
      </x:c>
    </x:row>
    <x:row r="16" ht="32" customHeight="1">
      <x:c r="A16" s="150"/>
      <x:c r="B16" s="150"/>
      <x:c r="C16" s="23" t="str">
        <x:v>Edited stress curve cells</x:v>
      </x:c>
      <x:c r="D16" s="197" t="n">
        <x:f>SUM('Stress Inputs'!H8:H583)</x:f>
        <x:v>0</x:v>
      </x:c>
      <x:c r="E16" s="148" t="n">
        <x:v>0</x:v>
      </x:c>
      <x:c r="F16" s="23" t="str">
        <x:f>IF(ISNUMBER(D16),IF(ABS(D16)&lt;=E16,"OK","CHECK"),"NOT RUN")</x:f>
        <x:v>OK</x:v>
      </x:c>
      <x:c r="G16" s="23" t="str">
        <x:v>Excel</x:v>
      </x:c>
      <x:c r="H16" s="33" t="str">
        <x:v>Compare default weights and rate paths</x:v>
      </x:c>
    </x:row>
    <x:row r="17" ht="32" customHeight="1">
      <x:c r="A17" s="150"/>
      <x:c r="B17" s="150"/>
      <x:c r="C17" s="23" t="str">
        <x:v>Added / deleted source rows</x:v>
      </x:c>
      <x:c r="D17" s="197" t="n">
        <x:f>COUNTA('Portfolio Inputs'!A:A)-286</x:f>
        <x:v>0</x:v>
      </x:c>
      <x:c r="E17" s="148" t="n">
        <x:v>0</x:v>
      </x:c>
      <x:c r="F17" s="23" t="str">
        <x:f>IF(ISNUMBER(D17),IF(ABS(D17)&lt;=E17,"OK","CHECK"),"NOT RUN")</x:f>
        <x:v>OK</x:v>
      </x:c>
      <x:c r="G17" s="23" t="str">
        <x:v>Excel</x:v>
      </x:c>
      <x:c r="H17" s="33" t="str">
        <x:v>Rebuild workbook to change portfolio row count</x:v>
      </x:c>
    </x:row>
    <x:row r="18" ht="32" customHeight="1">
      <x:c r="A18" s="150"/>
      <x:c r="B18" s="150"/>
      <x:c r="C18" s="23" t="str">
        <x:v>Portfolio field sanity</x:v>
      </x:c>
      <x:c r="D18" s="197" t="n">
        <x:f>SUM('Portfolio Inputs'!Y8:Y289)</x:f>
        <x:v>0</x:v>
      </x:c>
      <x:c r="E18" s="148" t="n">
        <x:v>0</x:v>
      </x:c>
      <x:c r="F18" s="23" t="str">
        <x:f>IF(ISNUMBER(D18),IF(ABS(D18)&lt;=E18,"OK","CHECK"),"NOT RUN")</x:f>
        <x:v>OK</x:v>
      </x:c>
      <x:c r="G18" s="23" t="str">
        <x:v>Excel</x:v>
      </x:c>
      <x:c r="H18" s="33" t="str">
        <x:v>Full validation runs in Python</x:v>
      </x:c>
    </x:row>
    <x:row r="19" ht="32" customHeight="1">
      <x:c r="A19" s="150"/>
      <x:c r="B19" s="150"/>
      <x:c r="C19" s="23" t="str">
        <x:v>Cash conservation (all grid runs)</x:v>
      </x:c>
      <x:c r="D19" s="197" t="n">
        <x:v>3.725290298461914e-9</x:v>
      </x:c>
      <x:c r="E19" s="148" t="n">
        <x:v>0.030000000000000002</x:v>
      </x:c>
      <x:c r="F19" s="23" t="str">
        <x:f>IF(ISNUMBER(D19),IF(ABS(D19)&lt;=E19,"OK","CHECK"),"NOT RUN")</x:f>
        <x:v>OK</x:v>
      </x:c>
      <x:c r="G19" s="23" t="str">
        <x:v>Python</x:v>
      </x:c>
      <x:c r="H19" s="33" t="str">
        <x:v>Maximum absolute residual</x:v>
      </x:c>
    </x:row>
    <x:row r="20" ht="32" customHeight="1">
      <x:c r="A20" s="150"/>
      <x:c r="B20" s="150"/>
      <x:c r="C20" s="23" t="str">
        <x:v>Waterfall priority (all grid runs)</x:v>
      </x:c>
      <x:c r="D20" s="197" t="n">
        <x:v>0</x:v>
      </x:c>
      <x:c r="E20" s="148" t="n">
        <x:v>0.030000000000000002</x:v>
      </x:c>
      <x:c r="F20" s="23" t="str">
        <x:f>IF(ISNUMBER(D20),IF(ABS(D20)&lt;=E20,"OK","CHECK"),"NOT RUN")</x:f>
        <x:v>OK</x:v>
      </x:c>
      <x:c r="G20" s="23" t="str">
        <x:v>Python</x:v>
      </x:c>
      <x:c r="H20" s="33" t="str">
        <x:v>Subordinate payments while senior due</x:v>
      </x:c>
    </x:row>
    <x:row r="21" ht="32" customHeight="1">
      <x:c r="A21" s="150"/>
      <x:c r="B21" s="150"/>
      <x:c r="C21" s="23" t="str">
        <x:v>Accounting failures (all grid runs)</x:v>
      </x:c>
      <x:c r="D21" s="197" t="n">
        <x:v>0</x:v>
      </x:c>
      <x:c r="E21" s="148" t="n">
        <x:v>0</x:v>
      </x:c>
      <x:c r="F21" s="23" t="str">
        <x:f>IF(ISNUMBER(D21),IF(ABS(D21)&lt;=E21,"OK","CHECK"),"NOT RUN")</x:f>
        <x:v>OK</x:v>
      </x:c>
      <x:c r="G21" s="23" t="str">
        <x:v>Python</x:v>
      </x:c>
      <x:c r="H21" s="33" t="str">
        <x:v>Distinct from stress shortfalls</x:v>
      </x:c>
    </x:row>
    <x:row r="22" ht="32" customHeight="1">
      <x:c r="A22" s="150"/>
      <x:c r="B22" s="150"/>
      <x:c r="C22" s="23" t="str">
        <x:v>Unattained default targets (grid)</x:v>
      </x:c>
      <x:c r="D22" s="197" t="n">
        <x:v>297</x:v>
      </x:c>
      <x:c r="E22" s="148"/>
      <x:c r="F22" s="23" t="str">
        <x:f>IF(ISNUMBER(D22),"DISCLOSURE","NOT RUN")</x:f>
        <x:v>DISCLOSURE</x:v>
      </x:c>
      <x:c r="G22" s="23" t="str">
        <x:v>Python</x:v>
      </x:c>
      <x:c r="H22" s="33" t="str">
        <x:v>Disclosure: cannot treat these as a pass</x:v>
      </x:c>
    </x:row>
    <x:row r="23" ht="32" customHeight="1">
      <x:c r="A23" s="150"/>
      <x:c r="B23" s="150"/>
      <x:c r="C23" s="23" t="str">
        <x:v>Five-year pattern WAM scope</x:v>
      </x:c>
      <x:c r="D23" s="197" t="n">
        <x:v>0</x:v>
      </x:c>
      <x:c r="E23" s="148" t="n">
        <x:v>0</x:v>
      </x:c>
      <x:c r="F23" s="23" t="str">
        <x:f>IF(ISNUMBER(D23),IF(ABS(D23)&lt;=E23,"OK","CHECK"),"NOT RUN")</x:f>
        <x:v>OK</x:v>
      </x:c>
      <x:c r="G23" s="23" t="str">
        <x:v>Python</x:v>
      </x:c>
      <x:c r="H23" s="33" t="str">
        <x:v>4–7 years typical; otherwise review timing</x:v>
      </x:c>
    </x:row>
    <x:row r="24" ht="32" customHeight="1">
      <x:c r="A24" s="150"/>
      <x:c r="B24" s="150"/>
      <x:c r="C24" s="23" t="str">
        <x:v>Cash conservation (Excel)</x:v>
      </x:c>
      <x:c r="D24" s="197" t="n">
        <x:f>MAX(MAX('Cash Flow Calc'!E65:AZ65),-MIN('Cash Flow Calc'!E65:AZ65))</x:f>
        <x:v>1.862645149230957e-9</x:v>
      </x:c>
      <x:c r="E24" s="148" t="n">
        <x:v>0.030000000000000002</x:v>
      </x:c>
      <x:c r="F24" s="23" t="str">
        <x:f>IF(ISNUMBER(D24),IF(ABS(D24)&lt;=E24,"OK","CHECK"),"NOT RUN")</x:f>
        <x:v>OK</x:v>
      </x:c>
      <x:c r="G24" s="23" t="str">
        <x:v>Excel</x:v>
      </x:c>
      <x:c r="H24" s="33" t="str">
        <x:v>Independent base cash-flow equation</x:v>
      </x:c>
    </x:row>
    <x:row r="25" ht="32" customHeight="1">
      <x:c r="A25" s="150"/>
      <x:c r="B25" s="150"/>
      <x:c r="C25" s="23" t="str">
        <x:v>Collateral par roll-forward (Excel)</x:v>
      </x:c>
      <x:c r="D25" s="197" t="n">
        <x:f>MAX(MAX('Cash Flow Calc'!E66:AZ66),-MIN('Cash Flow Calc'!E66:AZ66))</x:f>
        <x:v>2.9802322387695312e-8</x:v>
      </x:c>
      <x:c r="E25" s="148" t="n">
        <x:v>0.030000000000000002</x:v>
      </x:c>
      <x:c r="F25" s="23" t="str">
        <x:f>IF(ISNUMBER(D25),IF(ABS(D25)&lt;=E25,"OK","CHECK"),"NOT RUN")</x:f>
        <x:v>OK</x:v>
      </x:c>
      <x:c r="G25" s="23" t="str">
        <x:v>Excel</x:v>
      </x:c>
      <x:c r="H25" s="33" t="str">
        <x:v>Independent base cash-flow equation</x:v>
      </x:c>
    </x:row>
    <x:row r="26" ht="32" customHeight="1">
      <x:c r="A26" s="150"/>
      <x:c r="B26" s="150"/>
      <x:c r="C26" s="23" t="str">
        <x:v>Senior debt roll-forward (Excel)</x:v>
      </x:c>
      <x:c r="D26" s="197" t="n">
        <x:f>MAX(MAX('Cash Flow Calc'!E67:AZ67),-MIN('Cash Flow Calc'!E67:AZ67))</x:f>
        <x:v>0</x:v>
      </x:c>
      <x:c r="E26" s="148" t="n">
        <x:v>0.030000000000000002</x:v>
      </x:c>
      <x:c r="F26" s="23" t="str">
        <x:f>IF(ISNUMBER(D26),IF(ABS(D26)&lt;=E26,"OK","CHECK"),"NOT RUN")</x:f>
        <x:v>OK</x:v>
      </x:c>
      <x:c r="G26" s="23" t="str">
        <x:v>Excel</x:v>
      </x:c>
      <x:c r="H26" s="33" t="str">
        <x:v>Independent base cash-flow equation</x:v>
      </x:c>
    </x:row>
    <x:row r="27" ht="32" customHeight="1">
      <x:c r="A27" s="150"/>
      <x:c r="B27" s="150"/>
      <x:c r="C27" s="23" t="str">
        <x:v>Junior debt roll-forward (Excel)</x:v>
      </x:c>
      <x:c r="D27" s="197" t="n">
        <x:f>MAX(MAX('Cash Flow Calc'!E68:AZ68),-MIN('Cash Flow Calc'!E68:AZ68))</x:f>
        <x:v>0</x:v>
      </x:c>
      <x:c r="E27" s="148" t="n">
        <x:v>0.030000000000000002</x:v>
      </x:c>
      <x:c r="F27" s="23" t="str">
        <x:f>IF(ISNUMBER(D27),IF(ABS(D27)&lt;=E27,"OK","CHECK"),"NOT RUN")</x:f>
        <x:v>OK</x:v>
      </x:c>
      <x:c r="G27" s="23" t="str">
        <x:v>Excel</x:v>
      </x:c>
      <x:c r="H27" s="33" t="str">
        <x:v>Independent base cash-flow equation</x:v>
      </x:c>
    </x:row>
    <x:row r="28" ht="32" customHeight="1">
      <x:c r="A28" s="150"/>
      <x:c r="B28" s="150"/>
      <x:c r="C28" s="23" t="str">
        <x:v>Coverage trigger disagreement</x:v>
      </x:c>
      <x:c r="D28" s="197" t="n">
        <x:f>MAX(MAX('Cash Flow Calc'!E69:AZ69),-MIN('Cash Flow Calc'!E69:AZ69))</x:f>
        <x:v>0</x:v>
      </x:c>
      <x:c r="E28" s="148" t="n">
        <x:v>0</x:v>
      </x:c>
      <x:c r="F28" s="23" t="str">
        <x:f>IF(ISNUMBER(D28),IF(ABS(D28)&lt;=E28,"OK","CHECK"),"NOT RUN")</x:f>
        <x:v>OK</x:v>
      </x:c>
      <x:c r="G28" s="23" t="str">
        <x:v>Excel</x:v>
      </x:c>
      <x:c r="H28" s="33" t="str">
        <x:v>Independent base cash-flow equation</x:v>
      </x:c>
    </x:row>
    <x:row r="29" ht="32" customHeight="1">
      <x:c r="A29" s="150"/>
      <x:c r="B29" s="150"/>
      <x:c r="C29" s="23" t="str">
        <x:v>Waterfall priority violation (Excel)</x:v>
      </x:c>
      <x:c r="D29" s="197" t="n">
        <x:f>MAX(MAX('Cash Flow Calc'!E70:AZ70),-MIN('Cash Flow Calc'!E70:AZ70))</x:f>
        <x:v>0</x:v>
      </x:c>
      <x:c r="E29" s="148" t="n">
        <x:v>0.030000000000000002</x:v>
      </x:c>
      <x:c r="F29" s="23" t="str">
        <x:f>IF(ISNUMBER(D29),IF(ABS(D29)&lt;=E29,"OK","CHECK"),"NOT RUN")</x:f>
        <x:v>OK</x:v>
      </x:c>
      <x:c r="G29" s="23" t="str">
        <x:v>Excel</x:v>
      </x:c>
      <x:c r="H29" s="33" t="str">
        <x:v>Independent base cash-flow equation</x:v>
      </x:c>
    </x:row>
    <x:row r="30" ht="32" customHeight="1">
      <x:c r="A30" s="150"/>
      <x:c r="B30" s="150"/>
      <x:c r="C30" s="23" t="str">
        <x:v>Recovery receivable roll-forward</x:v>
      </x:c>
      <x:c r="D30" s="197" t="n">
        <x:f>MAX(MAX('Cash Flow Calc'!E71:AZ71),-MIN('Cash Flow Calc'!E71:AZ71))</x:f>
        <x:v>9.313225746154785e-10</x:v>
      </x:c>
      <x:c r="E30" s="148" t="n">
        <x:v>0.030000000000000002</x:v>
      </x:c>
      <x:c r="F30" s="23" t="str">
        <x:f>IF(ISNUMBER(D30),IF(ABS(D30)&lt;=E30,"OK","CHECK"),"NOT RUN")</x:f>
        <x:v>OK</x:v>
      </x:c>
      <x:c r="G30" s="23" t="str">
        <x:v>Excel</x:v>
      </x:c>
      <x:c r="H30" s="33" t="str">
        <x:v>Independent base cash-flow equation</x:v>
      </x:c>
    </x:row>
    <x:row r="31" ht="32" customHeight="1">
      <x:c r="A31" s="150"/>
      <x:c r="B31" s="150"/>
      <x:c r="C31" s="23" t="str">
        <x:v>Asset interest receivable roll-forward</x:v>
      </x:c>
      <x:c r="D31" s="197" t="n">
        <x:f>MAX(MAX('Cash Flow Calc'!E72:AZ72),-MIN('Cash Flow Calc'!E72:AZ72))</x:f>
        <x:v>1.3969838619232178e-9</x:v>
      </x:c>
      <x:c r="E31" s="148" t="n">
        <x:v>0.030000000000000002</x:v>
      </x:c>
      <x:c r="F31" s="23" t="str">
        <x:f>IF(ISNUMBER(D31),IF(ABS(D31)&lt;=E31,"OK","CHECK"),"NOT RUN")</x:f>
        <x:v>OK</x:v>
      </x:c>
      <x:c r="G31" s="23" t="str">
        <x:v>Excel</x:v>
      </x:c>
      <x:c r="H31" s="33" t="str">
        <x:v>Independent base cash-flow equation</x:v>
      </x:c>
    </x:row>
    <x:row r="32" ht="32" customHeight="1">
      <x:c r="A32" s="150"/>
      <x:c r="B32" s="150"/>
      <x:c r="C32" s="23" t="str">
        <x:v>Edited Fitch input cells</x:v>
      </x:c>
      <x:c r="D32" s="197" t="n">
        <x:f>'Fitch Calc'!D17</x:f>
        <x:v>0</x:v>
      </x:c>
      <x:c r="E32" s="148" t="n">
        <x:v>0</x:v>
      </x:c>
      <x:c r="F32" s="23" t="str">
        <x:f>IF(ISNUMBER(D32),IF(ABS(D32)&lt;=E32,"OK","CHECK"),"NOT RUN")</x:f>
        <x:v>OK</x:v>
      </x:c>
      <x:c r="G32" s="23" t="str">
        <x:v>Excel</x:v>
      </x:c>
      <x:c r="H32" s="33" t="str">
        <x:v>Change the source CSV and rerun</x:v>
      </x:c>
    </x:row>
    <x:row r="33" ht="32" customHeight="1">
      <x:c r="A33" s="150"/>
      <x:c r="B33" s="150"/>
      <x:c r="C33" s="23" t="str">
        <x:v>Edited Fitch source factors</x:v>
      </x:c>
      <x:c r="D33" s="197" t="n">
        <x:f>'Fitch Calc'!D18</x:f>
        <x:v>0</x:v>
      </x:c>
      <x:c r="E33" s="148" t="n">
        <x:v>0</x:v>
      </x:c>
      <x:c r="F33" s="23" t="str">
        <x:f>IF(ISNUMBER(D33),IF(ABS(D33)&lt;=E33,"OK","CHECK"),"NOT RUN")</x:f>
        <x:v>OK</x:v>
      </x:c>
      <x:c r="G33" s="23" t="str">
        <x:v>Excel</x:v>
      </x:c>
      <x:c r="H33" s="33" t="str">
        <x:v>Versioned source constants must match</x:v>
      </x:c>
    </x:row>
    <x:row r="34" ht="32" customHeight="1">
      <x:c r="A34" s="150"/>
      <x:c r="B34" s="150"/>
      <x:c r="C34" s="23" t="str">
        <x:v>Edited S&amp;P source factors</x:v>
      </x:c>
      <x:c r="D34" s="197" t="n">
        <x:f>SP_Parameter_Changes</x:f>
        <x:v>0</x:v>
      </x:c>
      <x:c r="E34" s="148" t="n">
        <x:v>0</x:v>
      </x:c>
      <x:c r="F34" s="23" t="str">
        <x:f>IF(ISNUMBER(D34),IF(ABS(D34)&lt;=E34,"OK","CHECK"),"NOT RUN")</x:f>
        <x:v>OK</x:v>
      </x:c>
      <x:c r="G34" s="23" t="str">
        <x:v>Excel</x:v>
      </x:c>
      <x:c r="H34" s="33" t="str">
        <x:v>Versioned source constants must match</x:v>
      </x:c>
    </x:row>
    <x:row r="35" ht="32" customHeight="1">
      <x:c r="A35" s="150"/>
      <x:c r="B35" s="150"/>
      <x:c r="C35" s="23" t="str">
        <x:v>S&amp;P WARF vs Python</x:v>
      </x:c>
      <x:c r="D35" s="197" t="n">
        <x:f>SPWARF-2379.3783153333334</x:f>
        <x:v>0</x:v>
      </x:c>
      <x:c r="E35" s="148" t="n">
        <x:v>0.000001</x:v>
      </x:c>
      <x:c r="F35" s="23" t="str">
        <x:f>IF(ISNUMBER(D35),IF(ABS(D35)&lt;=E35,"OK","CHECK"),"NOT RUN")</x:f>
        <x:v>OK</x:v>
      </x:c>
      <x:c r="G35" s="23" t="str">
        <x:v>Excel / Python</x:v>
      </x:c>
      <x:c r="H35" s="33" t="str">
        <x:v>Independent weighted calculation</x:v>
      </x:c>
    </x:row>
    <x:row r="36" ht="32" customHeight="1">
      <x:c r="A36" s="150"/>
      <x:c r="B36" s="150"/>
      <x:c r="C36" s="23" t="str">
        <x:v>S&amp;P dispersion vs Python</x:v>
      </x:c>
      <x:c r="D36" s="197" t="n">
        <x:f>SP_DRD-827.2140147427556</x:f>
        <x:v>3.410605131648481e-13</x:v>
      </x:c>
      <x:c r="E36" s="148" t="n">
        <x:v>0.000001</x:v>
      </x:c>
      <x:c r="F36" s="23" t="str">
        <x:f>IF(ISNUMBER(D36),IF(ABS(D36)&lt;=E36,"OK","CHECK"),"NOT RUN")</x:f>
        <x:v>OK</x:v>
      </x:c>
      <x:c r="G36" s="23" t="str">
        <x:v>Excel / Python</x:v>
      </x:c>
      <x:c r="H36" s="33" t="str">
        <x:v>Weighted absolute deviation</x:v>
      </x:c>
    </x:row>
    <x:row r="37" ht="32" customHeight="1">
      <x:c r="A37" s="150"/>
      <x:c r="B37" s="150"/>
      <x:c r="C37" s="23" t="str">
        <x:v>Fitch WARF vs Python</x:v>
      </x:c>
      <x:c r="D37" s="197" t="n">
        <x:f>IF(ISNUMBER(Fitch_WARF),Fitch_WARF-21.428948526666666,1)</x:f>
        <x:v>0</x:v>
      </x:c>
      <x:c r="E37" s="148" t="n">
        <x:v>0.000001</x:v>
      </x:c>
      <x:c r="F37" s="23" t="str">
        <x:f>IF(ISNUMBER(D37),IF(ABS(D37)&lt;=E37,"OK","CHECK"),"NOT RUN")</x:f>
        <x:v>OK</x:v>
      </x:c>
      <x:c r="G37" s="23" t="str">
        <x:v>Excel / Python</x:v>
      </x:c>
      <x:c r="H37" s="33" t="str">
        <x:v>Only compared when complete</x:v>
      </x:c>
    </x:row>
    <x:row r="38" ht="32" customHeight="1">
      <x:c r="A38" s="150"/>
      <x:c r="B38" s="150"/>
      <x:c r="C38" s="23" t="str">
        <x:v>Fitch WARR vs Python</x:v>
      </x:c>
      <x:c r="D38" s="197"/>
      <x:c r="E38" s="148" t="n">
        <x:v>0.000001</x:v>
      </x:c>
      <x:c r="F38" s="23" t="str">
        <x:f>IF(ISNUMBER(D38),IF(ABS(D38)&lt;=E38,"OK","CHECK"),"NOT RUN")</x:f>
        <x:v>NOT RUN</x:v>
      </x:c>
      <x:c r="G38" s="23" t="str">
        <x:v>Excel / Python</x:v>
      </x:c>
      <x:c r="H38" s="33" t="str">
        <x:v>Only compared when complete</x:v>
      </x:c>
    </x:row>
    <x:row r="39" ht="32" customHeight="1">
      <x:c r="A39" s="150"/>
      <x:c r="B39" s="150"/>
      <x:c r="C39" s="23"/>
      <x:c r="D39" s="105"/>
      <x:c r="E39" s="148"/>
      <x:c r="F39" s="23"/>
      <x:c r="G39" s="23"/>
      <x:c r="H39" s="33"/>
    </x:row>
    <x:row r="40" ht="32" customHeight="1">
      <x:c r="A40" s="150"/>
      <x:c r="B40" s="150"/>
      <x:c r="C40" s="23"/>
      <x:c r="D40" s="105"/>
      <x:c r="E40" s="148"/>
      <x:c r="F40" s="23"/>
      <x:c r="G40" s="23"/>
      <x:c r="H40" s="33"/>
    </x:row>
    <x:row r="41" ht="32" customHeight="1">
      <x:c r="A41" s="150"/>
      <x:c r="B41" s="150"/>
      <x:c r="C41" s="23" t="str">
        <x:v>Refresh required</x:v>
      </x:c>
      <x:c r="D41" s="105" t="b">
        <x:f>IFERROR(OR(D8&lt;&gt;0,D14&lt;&gt;0,D15&lt;&gt;0,D16&lt;&gt;0,D17&lt;&gt;0,'Fitch Calc'!D17&lt;&gt;0,'Fitch Calc'!D18&lt;&gt;0,SP_Parameter_Changes&lt;&gt;0),TRUE)</x:f>
        <x:v>0</x:v>
      </x:c>
      <x:c r="E41" s="148"/>
      <x:c r="F41" s="23"/>
      <x:c r="G41" s="23"/>
      <x:c r="H41" s="33"/>
    </x:row>
    <x:row r="42" ht="32" customHeight="1">
      <x:c r="A42" s="150"/>
      <x:c r="B42" s="150"/>
      <x:c r="C42" s="23" t="str">
        <x:v>Live formula errors</x:v>
      </x:c>
      <x:c r="D42" s="105" t="n">
        <x:f>SUMPRODUCT(--ISERROR('Portfolio Calc'!D8:D23))+SUMPRODUCT(--ISERROR('Capital Calc'!D8:J19))+SUMPRODUCT(--ISERROR('Portfolio Inputs'!S8:AB289))+SUMPRODUCT(--ISERROR('Cash Flow Calc'!E63:AZ72))+SUMPRODUCT(--ISERROR('Fitch Inputs'!I8:O289))+SUMPRODUCT(--ISERROR('Fitch Calc'!D8:D18))+SUMPRODUCT(--ISERROR('Agency Comparison'!D8:G29))</x:f>
        <x:v>0</x:v>
      </x:c>
      <x:c r="E42" s="148"/>
      <x:c r="F42" s="23" t="str">
        <x:f>IF(D42=0,"OK","CHECK")</x:f>
        <x:v>OK</x:v>
      </x:c>
      <x:c r="G42" s="23"/>
      <x:c r="H42" s="33"/>
    </x:row>
  </x:sheetData>
  <x:conditionalFormatting sqref="F8:F42">
    <x:cfRule type="containsText" dxfId="2" priority="1" operator="containsText" text="CHECK"/>
    <x:cfRule type="containsText" dxfId="3" priority="2" operator="containsText" text="REFRESH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20395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9" hidden="0" customWidth="1"/>
    <x:col min="4" max="4" width="44" hidden="0" customWidth="1"/>
    <x:col min="5" max="5" width="67" hidden="0" customWidth="1"/>
    <x:col min="6" max="6" width="62" hidden="0" customWidth="1"/>
    <x:col min="7" max="7" width="72" hidden="0" customWidth="1"/>
  </x:cols>
  <x:sheetData>
    <x:row r="1">
      <x:c r="A1" s="23"/>
      <x:c r="B1" s="23"/>
      <x:c r="C1" s="110" t="str">
        <x:v>Guide / outstanding work</x:v>
      </x:c>
      <x:c r="D1" s="23"/>
      <x:c r="E1" s="23"/>
      <x:c r="F1" s="23"/>
      <x:c r="G1" s="23"/>
    </x:row>
    <x:row r="2">
      <x:c r="A2" s="23"/>
      <x:c r="B2" s="23"/>
      <x:c r="C2" s="24" t="str">
        <x:v>What Is Still Needed</x:v>
      </x:c>
      <x:c r="D2" s="25"/>
      <x:c r="E2" s="25"/>
      <x:c r="F2" s="25"/>
      <x:c r="G2" s="25"/>
    </x:row>
    <x:row r="3" ht="22" customHeight="1">
      <x:c r="A3" s="23"/>
      <x:c r="B3" s="23"/>
      <x:c r="C3" s="26" t="str">
        <x:v>Resolve data gaps and implementation work separately. Full instructions are in docs/OUTSTANDING_AND_NEXT_STEPS.md.</x:v>
      </x:c>
      <x:c r="D3" s="23"/>
      <x:c r="E3" s="23"/>
      <x:c r="F3" s="23"/>
      <x:c r="G3" s="23"/>
    </x:row>
    <x:row r="4">
      <x:c r="A4" s="23"/>
      <x:c r="B4" s="23"/>
      <x:c r="C4" s="23"/>
      <x:c r="D4" s="23"/>
      <x:c r="E4" s="23"/>
      <x:c r="F4" s="23"/>
      <x:c r="G4" s="23"/>
    </x:row>
    <x:row r="5">
      <x:c r="A5" s="23"/>
      <x:c r="B5" s="23"/>
      <x:c r="C5" s="23"/>
      <x:c r="D5" s="23"/>
      <x:c r="E5" s="23"/>
      <x:c r="F5" s="23"/>
      <x:c r="G5" s="23"/>
    </x:row>
    <x:row r="6">
      <x:c r="A6" s="23"/>
      <x:c r="B6" s="23"/>
      <x:c r="C6" s="23"/>
      <x:c r="D6" s="23"/>
      <x:c r="E6" s="23"/>
      <x:c r="F6" s="23"/>
      <x:c r="G6" s="23"/>
    </x:row>
    <x:row r="7" ht="38" customHeight="1">
      <x:c r="A7" s="23"/>
      <x:c r="B7" s="23"/>
      <x:c r="C7" s="7" t="str">
        <x:v>Item / owner</x:v>
      </x:c>
      <x:c r="D7" s="7" t="str">
        <x:v>Current treatment</x:v>
      </x:c>
      <x:c r="E7" s="7" t="str">
        <x:v>What to provide or implement</x:v>
      </x:c>
      <x:c r="F7" s="7" t="str">
        <x:v>Assumptions allowed now</x:v>
      </x:c>
      <x:c r="G7" s="7" t="str">
        <x:v>Where it comes from</x:v>
      </x:c>
    </x:row>
    <x:row r="8" ht="86" customHeight="1">
      <x:c r="A8" s="23"/>
      <x:c r="B8" s="23"/>
      <x:c r="C8" s="33" t="str">
        <x:v>S&amp;P WARF / implemented</x:v>
      </x:c>
      <x:c r="D8" s="33" t="str">
        <x:v>Sourced factors and live formulas</x:v>
      </x:c>
      <x:c r="E8" s="33" t="str">
        <x:v>Review rating assignment / eligibility for the actual deal. No missing factor table remains for the supported scope.</x:v>
      </x:c>
      <x:c r="F8" s="33" t="str">
        <x:v>The fictional ratings are retained and labelled. No ordinal or Fitch factor substitution.</x:v>
      </x:c>
      <x:c r="G8" s="33" t="str">
        <x:v>SP Credit Parameters; Blue Owl original November 2025 filing; S&amp;P AUF Table 13</x:v>
      </x:c>
    </x:row>
    <x:row r="9" ht="86" customHeight="1">
      <x:c r="A9" s="150"/>
      <x:c r="B9" s="150"/>
      <x:c r="C9" s="154" t="str">
        <x:v>S&amp;P AAA SDR / credit model</x:v>
      </x:c>
      <x:c r="D9" s="154" t="str">
        <x:v>Unavailable unless externally supplied</x:v>
      </x:c>
      <x:c r="E9" s="154" t="str">
        <x:v>Check FT access to CDO Evaluator via Ratings360. Import portfolio-specific output with source/version, date, criteria and input hashes; alternatively build and benchmark a criteria-informed engine.</x:v>
      </x:c>
      <x:c r="F9" s="154" t="str">
        <x:v>Keep formal SDR blank. Use labelled development default sensitivities for exploration.</x:v>
      </x:c>
      <x:c r="G9" s="154" t="str">
        <x:v>S&amp;P CDO Suite of Models; core criteria default, correlation and quantile tables</x:v>
      </x:c>
    </x:row>
    <x:row r="10" ht="86" customHeight="1">
      <x:c r="A10" s="150"/>
      <x:c r="B10" s="150"/>
      <x:c r="C10" s="154" t="str">
        <x:v>S&amp;P Monitor / implementation</x:v>
      </x:c>
      <x:c r="D10" s="154" t="str">
        <x:v>Not implemented</x:v>
      </x:c>
      <x:c r="E10" s="154" t="str">
        <x:v>Confirm eligibility, exact asset codes, regions, maturity definitions and transaction-specific BDR coefficients.</x:v>
      </x:c>
      <x:c r="F10" s="154" t="str">
        <x:v>Do not borrow another deal's coefficients or treat an unverified regression as agency SDR.</x:v>
      </x:c>
      <x:c r="G10" s="154" t="str">
        <x:v>S&amp;P CDO Monitor technical articles and applicable transaction documents</x:v>
      </x:c>
    </x:row>
    <x:row r="11" ht="86" customHeight="1">
      <x:c r="A11" s="150"/>
      <x:c r="B11" s="150"/>
      <x:c r="C11" s="154" t="str">
        <x:v>Fitch ratings / input owner</x:v>
      </x:c>
      <x:c r="D11" s="154" t="str">
        <x:v>Separate sidecar; example is development_proxy</x:v>
      </x:c>
      <x:c r="E11" s="154" t="str">
        <x:v>Supply public Fitch IDRs or reviewed Appendix 5 equivalencies with source evidence for every obligor.</x:v>
      </x:c>
      <x:c r="F11" s="154" t="str">
        <x:v>Same-symbol fictional proxies are explicit, optional example inputs only.</x:v>
      </x:c>
      <x:c r="G11" s="154" t="str">
        <x:v>Fitch Inputs; Appendix 5; templates/fitch_inputs_dictionary.csv</x:v>
      </x:c>
    </x:row>
    <x:row r="12" ht="86" customHeight="1">
      <x:c r="A12" s="150"/>
      <x:c r="B12" s="150"/>
      <x:c r="C12" s="154" t="str">
        <x:v>Fitch recovery / input owner</x:v>
      </x:c>
      <x:c r="D12" s="154" t="str">
        <x:v>Whole WARR gated on complete coverage</x:v>
      </x:c>
      <x:c r="E12" s="154" t="str">
        <x:v>Resolve seven example facilities without a reviewed recovery classification. Check issue recovery opinions before fallback rules.</x:v>
      </x:c>
      <x:c r="F12" s="154" t="str">
        <x:v>Example first-lien fallbacks are sourced but expressly assumed. No zero for missing recovery.</x:v>
      </x:c>
      <x:c r="G12" s="154" t="str">
        <x:v>Fitch Appendix 4 and Appendix 6; docs/fitch_inputs.md</x:v>
      </x:c>
    </x:row>
    <x:row r="13" ht="86" customHeight="1">
      <x:c r="A13" s="150"/>
      <x:c r="B13" s="150"/>
      <x:c r="C13" s="154" t="str">
        <x:v>Industry taxonomy / input owner</x:v>
      </x:c>
      <x:c r="D13" s="154" t="str">
        <x:v>S&amp;P supplied labels; Fitch blank</x:v>
      </x:c>
      <x:c r="E13" s="154" t="str">
        <x:v>Map agency-specific classifications and retain review evidence. Supplied text similarity is insufficient.</x:v>
      </x:c>
      <x:c r="F13" s="154" t="str">
        <x:v>No automatic cross-agency industry mapping.</x:v>
      </x:c>
      <x:c r="G13" s="154" t="str">
        <x:v>S&amp;P asset codes; Fitch PCM industry classification</x:v>
      </x:c>
    </x:row>
    <x:row r="14" ht="86" customHeight="1">
      <x:c r="A14" s="150"/>
      <x:c r="B14" s="150"/>
      <x:c r="C14" s="154" t="str">
        <x:v>Fitch RDR/RLR / credit model</x:v>
      </x:c>
      <x:c r="D14" s="154" t="str">
        <x:v>Not calculated</x:v>
      </x:c>
      <x:c r="E14" s="154" t="str">
        <x:v>Obtain / run the applicable Fitch Portfolio Credit Model and retain complete inputs, assumptions and version.</x:v>
      </x:c>
      <x:c r="F14" s="154" t="str">
        <x:v>No assumed AAA percentile or hurdle imported from S&amp;P.</x:v>
      </x:c>
      <x:c r="G14" s="154" t="str">
        <x:v>Fitch PCM; criteria default/loss distributions and Appendix 6</x:v>
      </x:c>
    </x:row>
    <x:row r="15" ht="86" customHeight="1">
      <x:c r="A15" s="150"/>
      <x:c r="B15" s="150"/>
      <x:c r="C15" s="154" t="str">
        <x:v>Actual deal terms / deal owner</x:v>
      </x:c>
      <x:c r="D15" s="154" t="str">
        <x:v>Fictional editable development terms</x:v>
      </x:c>
      <x:c r="E15" s="154" t="str">
        <x:v>Provide term sheet / waterfall, payment dates, coupons, fees, OC/IC definitions, collateral haircuts, reinvestment conditions and legal final maturity.</x:v>
      </x:c>
      <x:c r="F15" s="154" t="str">
        <x:v>64/26/10 is user-specified; all other development terms stay labelled until replaced.</x:v>
      </x:c>
      <x:c r="G15" s="154" t="str">
        <x:v>Assumptions provenance; deal documents</x:v>
      </x:c>
    </x:row>
    <x:row r="16" ht="86" customHeight="1">
      <x:c r="A16" s="150"/>
      <x:c r="B16" s="150"/>
      <x:c r="C16" s="154" t="str">
        <x:v>Cash-flow engine / engineering</x:v>
      </x:c>
      <x:c r="D16" s="154" t="str">
        <x:v>Independent simplified waterfall</x:v>
      </x:c>
      <x:c r="E16" s="154" t="str">
        <x:v>Implement agency-specific collateral amortisation, default / recovery timing, full rate and prepayment scenarios, event tests and required payment promises.</x:v>
      </x:c>
      <x:c r="F16" s="154" t="str">
        <x:v>Development scenarios can test behaviour; they are not agency BDRs.</x:v>
      </x:c>
      <x:c r="G16" s="154" t="str">
        <x:v>S&amp;P framework; Fitch criteria pages 18–23; docs/cashflow_design.md</x:v>
      </x:c>
    </x:row>
    <x:row r="17" ht="86" customHeight="1">
      <x:c r="A17" s="150"/>
      <x:c r="B17" s="150"/>
      <x:c r="C17" s="154" t="str">
        <x:v>Schedules and asset detail / data</x:v>
      </x:c>
      <x:c r="D17" s="154" t="str">
        <x:v>18 supplied fields</x:v>
      </x:c>
      <x:c r="E17" s="154" t="str">
        <x:v>Add next coupon/reset date, day-count, amortisation, accrued interest and reviewed recovery hierarchy as scope requires.</x:v>
      </x:c>
      <x:c r="F17" s="154" t="str">
        <x:v>Bullet maturity and synthetic coupon anchor are disclosed development conventions.</x:v>
      </x:c>
      <x:c r="G17" s="154" t="str">
        <x:v>Servicer / trustee / loan records</x:v>
      </x:c>
    </x:row>
    <x:row r="18" ht="86" customHeight="1">
      <x:c r="A18" s="150"/>
      <x:c r="B18" s="150"/>
      <x:c r="C18" s="154" t="str">
        <x:v>Benchmarking / validation</x:v>
      </x:c>
      <x:c r="D18" s="154" t="str">
        <x:v>Fictional implementation tests</x:v>
      </x:c>
      <x:c r="E18" s="154" t="str">
        <x:v>Compare representative results against trusted agency / approved internal outputs, then validate full Excel recalculation in the FT runtime.</x:v>
      </x:c>
      <x:c r="F18" s="154" t="str">
        <x:v>Passing software tests is not rating-model calibration.</x:v>
      </x:c>
      <x:c r="G18" s="154" t="str">
        <x:v>docs/validation_report.md; FT approved local environment</x:v>
      </x:c>
    </x:row>
    <x:row r="19" ht="86" customHeight="1">
      <x:c r="A19" s="150"/>
      <x:c r="B19" s="150"/>
      <x:c r="C19" s="154" t="str">
        <x:v>New LLM / maintainer</x:v>
      </x:c>
      <x:c r="D19" s="154" t="str">
        <x:v>Documented handover</x:v>
      </x:c>
      <x:c r="E19" s="154" t="str">
        <x:v>Start with LLM_HANDOVER.md, then README, dictionaries, methodology and tests; preserve output/status boundaries.</x:v>
      </x:c>
      <x:c r="F19" s="154" t="str">
        <x:v>No real data uploads. No promotion of proxies to agency conclusions.</x:v>
      </x:c>
      <x:c r="G19" s="154" t="str">
        <x:v>docs/LLM_HANDOVER.md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20395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9" hidden="0" customWidth="1"/>
    <x:col min="4" max="4" width="49" hidden="0" customWidth="1"/>
    <x:col min="5" max="5" width="58" hidden="0" customWidth="1"/>
    <x:col min="6" max="6" width="53" hidden="0" customWidth="1"/>
    <x:col min="7" max="7" width="80" hidden="0" customWidth="1"/>
  </x:cols>
  <x:sheetData>
    <x:row r="1">
      <x:c r="A1" s="23"/>
      <x:c r="B1" s="23"/>
      <x:c r="C1" s="110" t="str">
        <x:v>Guide / source register</x:v>
      </x:c>
      <x:c r="D1" s="23"/>
      <x:c r="E1" s="23"/>
      <x:c r="F1" s="23"/>
      <x:c r="G1" s="23"/>
    </x:row>
    <x:row r="2">
      <x:c r="A2" s="23"/>
      <x:c r="B2" s="23"/>
      <x:c r="C2" s="24" t="str">
        <x:v>Methodology And Sources</x:v>
      </x:c>
      <x:c r="D2" s="25"/>
      <x:c r="E2" s="25"/>
      <x:c r="F2" s="25"/>
      <x:c r="G2" s="25"/>
    </x:row>
    <x:row r="3" ht="22" customHeight="1">
      <x:c r="A3" s="23"/>
      <x:c r="B3" s="23"/>
      <x:c r="C3" s="26" t="str">
        <x:v>Requirements are distinguished from supplied inputs, supported calculations and model gaps.</x:v>
      </x:c>
      <x:c r="D3" s="23"/>
      <x:c r="E3" s="23"/>
      <x:c r="F3" s="23"/>
      <x:c r="G3" s="23"/>
    </x:row>
    <x:row r="4">
      <x:c r="A4" s="23"/>
      <x:c r="B4" s="23"/>
      <x:c r="C4" s="23"/>
      <x:c r="D4" s="23"/>
      <x:c r="E4" s="23"/>
      <x:c r="F4" s="23"/>
      <x:c r="G4" s="23"/>
    </x:row>
    <x:row r="5">
      <x:c r="A5" s="23"/>
      <x:c r="B5" s="23"/>
      <x:c r="C5" s="23"/>
      <x:c r="D5" s="23"/>
      <x:c r="E5" s="23"/>
      <x:c r="F5" s="23"/>
      <x:c r="G5" s="23"/>
    </x:row>
    <x:row r="6">
      <x:c r="A6" s="23"/>
      <x:c r="B6" s="23"/>
      <x:c r="C6" s="23"/>
      <x:c r="D6" s="23"/>
      <x:c r="E6" s="23"/>
      <x:c r="F6" s="23"/>
      <x:c r="G6" s="23"/>
    </x:row>
    <x:row r="7" ht="38" customHeight="1">
      <x:c r="A7" s="23"/>
      <x:c r="B7" s="23"/>
      <x:c r="C7" s="7" t="str">
        <x:v>Component</x:v>
      </x:c>
      <x:c r="D7" s="7" t="str">
        <x:v>Implemented / result</x:v>
      </x:c>
      <x:c r="E7" s="7" t="str">
        <x:v>Inputs / dependency</x:v>
      </x:c>
      <x:c r="F7" s="7" t="str">
        <x:v>Gap or limitation</x:v>
      </x:c>
      <x:c r="G7" s="7" t="str">
        <x:v>Source</x:v>
      </x:c>
    </x:row>
    <x:row r="8" ht="73" customHeight="1">
      <x:c r="A8" s="23"/>
      <x:c r="B8" s="23"/>
      <x:c r="C8" s="33" t="str">
        <x:v>Core criteria version</x:v>
      </x:c>
      <x:c r="D8" s="33" t="str">
        <x:v>2019-06-21 / republished 2026-04-10</x:v>
      </x:c>
      <x:c r="E8" s="33" t="str">
        <x:v>User supplied 66-page PDF; current public S&amp;P page</x:v>
      </x:c>
      <x:c r="F8" s="33" t="str">
        <x:v>S&amp;P component basis. Fitch uses its own 1 June 2026 criteria and separate tabs</x:v>
      </x:c>
      <x:c r="G8" s="33" t="str">
        <x:v>https://www.spglobal.com/ratings/en/regulatory/article/-/view/sourceId/11020014</x:v>
      </x:c>
    </x:row>
    <x:row r="9" ht="73" customHeight="1">
      <x:c r="A9" s="150"/>
      <x:c r="B9" s="150"/>
      <x:c r="C9" s="33" t="str">
        <x:v>Portfolio credit analysis</x:v>
      </x:c>
      <x:c r="D9" s="33" t="str">
        <x:v>Composition, obligor concentration, weighted terms/spreads/recoveries</x:v>
      </x:c>
      <x:c r="E9" s="33" t="str">
        <x:v>Supplied issuer rating inputs, par, maturity, industry</x:v>
      </x:c>
      <x:c r="F9" s="33" t="str">
        <x:v>Published SPWARF factors implemented. CDO Evaluator distribution and full CDO Monitor remain outstanding</x:v>
      </x:c>
      <x:c r="G9" s="33" t="str">
        <x:v>https://www.spglobal.com/ratings/en/regulatory/article/-/view/sourceId/11020014 (paragraphs 68–101)</x:v>
      </x:c>
    </x:row>
    <x:row r="10" ht="73" customHeight="1">
      <x:c r="A10" s="150"/>
      <x:c r="B10" s="150"/>
      <x:c r="C10" s="33" t="str">
        <x:v>Scenario default rates</x:v>
      </x:c>
      <x:c r="D10" s="33" t="str">
        <x:v>Unavailable unless an external SDR is explicitly supplied</x:v>
      </x:c>
      <x:c r="E10" s="33" t="str">
        <x:v>CDO Evaluator input/output, approved credit mapping and documented portfolio hash</x:v>
      </x:c>
      <x:c r="F10" s="33" t="str">
        <x:v>No substitute percentile or concentration heuristic represented as S&amp;P SDR</x:v>
      </x:c>
      <x:c r="G10" s="33" t="str">
        <x:v>https://www.spglobal.com/ratings/en/regulatory/article/-/view/sourceId/11020014 (paragraphs 24–58)</x:v>
      </x:c>
    </x:row>
    <x:row r="11" ht="73" customHeight="1">
      <x:c r="A11" s="150"/>
      <x:c r="B11" s="150"/>
      <x:c r="C11" s="33" t="str">
        <x:v>Cash-flow default capacity</x:v>
      </x:c>
      <x:c r="D11" s="33" t="str">
        <x:v>Exploratory fixed-severity grid with first-failure brackets</x:v>
      </x:c>
      <x:c r="E11" s="33" t="str">
        <x:v>Facility cash flows, stated fictional deal terms and scenario paths</x:v>
      </x:c>
      <x:c r="F11" s="33" t="str">
        <x:v>Pro rata fractional defaults; not S&amp;P Cash Flow Evaluator output or agency BDR</x:v>
      </x:c>
      <x:c r="G11" s="33" t="str">
        <x:v>https://www.spglobal.com/ratings/en/regulatory/article/-/view/sourceId/11020014 (paragraphs 124–150)</x:v>
      </x:c>
    </x:row>
    <x:row r="12" ht="73" customHeight="1">
      <x:c r="A12" s="150"/>
      <x:c r="B12" s="150"/>
      <x:c r="C12" s="33" t="str">
        <x:v>Default timing</x:v>
      </x:c>
      <x:c r="D12" s="33" t="str">
        <x:v>Four five-year Table 20 patterns; quarterly allocation</x:v>
      </x:c>
      <x:c r="E12" s="33" t="str">
        <x:v>Annual weights / 4; original par default notional</x:v>
      </x:c>
      <x:c r="F12" s="33" t="str">
        <x:v>Review applicability for WAM outside 4–7 years and reinvesting portfolios</x:v>
      </x:c>
      <x:c r="G12" s="33" t="str">
        <x:v>https://www.spglobal.com/ratings/en/regulatory/article/-/view/sourceId/11020014 (Table 20, paragraphs 130–133)</x:v>
      </x:c>
    </x:row>
    <x:row r="13" ht="73" customHeight="1">
      <x:c r="A13" s="150"/>
      <x:c r="B13" s="150"/>
      <x:c r="C13" s="33" t="str">
        <x:v>Rates and prepayments</x:v>
      </x:c>
      <x:c r="D13" s="33" t="str">
        <x:v>Explicit editable quarterly rates and annual prepayment fractions</x:v>
      </x:c>
      <x:c r="E13" s="33" t="str">
        <x:v>Fictional low 0.5%, flat 3%, high 6% reference paths</x:v>
      </x:c>
      <x:c r="F13" s="33" t="str">
        <x:v>Calibrated five-path CIR stresses / forward curve absent; no benchmark basis model</x:v>
      </x:c>
      <x:c r="G13" s="33" t="str">
        <x:v>https://www.spglobal.com/ratings/en/regulatory/ratings-criteria</x:v>
      </x:c>
    </x:row>
    <x:row r="14" ht="73" customHeight="1">
      <x:c r="A14" s="150"/>
      <x:c r="B14" s="150"/>
      <x:c r="C14" s="33" t="str">
        <x:v>Largest obligor test</x:v>
      </x:c>
      <x:c r="D14" s="33" t="str">
        <x:v>Maximum loss across rating bands and prescribed counts</x:v>
      </x:c>
      <x:c r="E14" s="33" t="str">
        <x:v>Common-default obligor groups; 5% flat corporate recovery</x:v>
      </x:c>
      <x:c r="F14" s="33" t="str">
        <x:v>Performing corporate scope only; below CCC- and sovereigns excluded</x:v>
      </x:c>
      <x:c r="G14" s="33" t="str">
        <x:v>https://www.spglobal.com/ratings/en/regulatory/article/-/view/sourceId/11020014 (Table 4, paragraphs 156–161)</x:v>
      </x:c>
    </x:row>
    <x:row r="15" ht="73" customHeight="1">
      <x:c r="A15" s="150"/>
      <x:c r="B15" s="150"/>
      <x:c r="C15" s="33" t="str">
        <x:v>Largest industry tests</x:v>
      </x:c>
      <x:c r="D15" s="33" t="str">
        <x:v>Primary 17% recovery; alternative rating-band counts / 5% recovery</x:v>
      </x:c>
      <x:c r="E15" s="33" t="str">
        <x:v>Industry labels require reviewed official classification</x:v>
      </x:c>
      <x:c r="F15" s="33" t="str">
        <x:v>Primary OR alternative route. Loss amounts do not establish tranche sufficiency</x:v>
      </x:c>
      <x:c r="G15" s="33" t="str">
        <x:v>https://www.spglobal.com/ratings/en/regulatory/article/-/view/sourceId/11020014 (paragraphs 162–164)</x:v>
      </x:c>
    </x:row>
    <x:row r="16" ht="73" customHeight="1">
      <x:c r="A16" s="150"/>
      <x:c r="B16" s="150"/>
      <x:c r="C16" s="33" t="str">
        <x:v>Recovery assumptions</x:v>
      </x:c>
      <x:c r="D16" s="33" t="str">
        <x:v>Facility recovery_aaa used as supplied fictional stress inputs</x:v>
      </x:c>
      <x:c r="E16" s="33" t="str">
        <x:v>No silent replacement or automatic Table 15 selection</x:v>
      </x:c>
      <x:c r="F16" s="33" t="str">
        <x:v>Recovery-rating hierarchy, cov-lite status, debt cushion and jurisdiction mapping require review</x:v>
      </x:c>
      <x:c r="G16" s="33" t="str">
        <x:v>https://www.spglobal.com/ratings/en/regulatory/article/-/view/sourceId/11020014 (paragraphs 109–123)</x:v>
      </x:c>
    </x:row>
    <x:row r="17" ht="73" customHeight="1">
      <x:c r="A17" s="150"/>
      <x:c r="B17" s="150"/>
      <x:c r="C17" s="33" t="str">
        <x:v>Coverage tests</x:v>
      </x:c>
      <x:c r="D17" s="33" t="str">
        <x:v>Editable senior OC/IC, cash diversion and reinvestment stop</x:v>
      </x:c>
      <x:c r="E17" s="33" t="str">
        <x:v>Explicit simple performing-par numerator, optional recovery credit</x:v>
      </x:c>
      <x:c r="F17" s="33" t="str">
        <x:v>No CCC haircut, discounted-obligation adjustments, junior tests, or indenture-specific definitions</x:v>
      </x:c>
      <x:c r="G17" s="33" t="str">
        <x:v>Fictional development assumptions; see docs/cashflow_design.md</x:v>
      </x:c>
    </x:row>
    <x:row r="18" ht="73" customHeight="1">
      <x:c r="A18" s="150"/>
      <x:c r="B18" s="150"/>
      <x:c r="C18" s="33" t="str">
        <x:v>Coupons and maturity</x:v>
      </x:c>
      <x:c r="D18" s="33" t="str">
        <x:v>Quarterly/semiannual assets; quarterly notes; ACT/365</x:v>
      </x:c>
      <x:c r="E18" s="33" t="str">
        <x:v>Synthetic as-of coupon anchor; contractual bullet maturities</x:v>
      </x:c>
      <x:c r="F18" s="33" t="str">
        <x:v>No next-coupon dates, accrued purchase interest, day-count election or amortisation input</x:v>
      </x:c>
      <x:c r="G18" s="33" t="str">
        <x:v>Supplied schema + explicit fictional timing convention</x:v>
      </x:c>
    </x:row>
    <x:row r="19" ht="73" customHeight="1">
      <x:c r="A19" s="150"/>
      <x:c r="B19" s="150"/>
      <x:c r="C19" s="33" t="str">
        <x:v>Full rating scope</x:v>
      </x:c>
      <x:c r="D19" s="33" t="str">
        <x:v>AAA NOT DETERMINED</x:v>
      </x:c>
      <x:c r="E19" s="33" t="str">
        <x:v>Credit analysis + payment structure + counterparty/legal/operational review</x:v>
      </x:c>
      <x:c r="F19" s="33" t="str">
        <x:v>Qualitative/legal/manager/counterparty criteria not implemented</x:v>
      </x:c>
      <x:c r="G19" s="33" t="str">
        <x:v>https://www.spglobal.com/ratings/en/regulatory/article/-/view/sourceId/11020014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81909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9" hidden="0" customWidth="1"/>
    <x:col min="4" max="4" width="16" hidden="0" customWidth="1"/>
    <x:col min="5" max="5" width="16" hidden="0" customWidth="1"/>
    <x:col min="6" max="6" width="31" hidden="0" customWidth="1"/>
    <x:col min="7" max="7" width="2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</x:cols>
  <x:sheetData>
    <x:row r="1">
      <x:c r="A1" s="112" t="str">
        <x:v>Shared run baseline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>
      <x:c r="A2" s="2" t="str">
        <x:v>Imported Portfolio Snapshot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>
      <x:c r="A3" s="1" t="str">
        <x:v>Comparison baseline. Do not edit. Rebuild from CSV to change row count.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</x:row>
    <x:row r="7" ht="38" customHeight="1">
      <x:c r="A7" s="7" t="str">
        <x:v>instrument_id</x:v>
      </x:c>
      <x:c r="B7" s="7" t="str">
        <x:v>obligor_id</x:v>
      </x:c>
      <x:c r="C7" s="7" t="str">
        <x:v>obligor_name</x:v>
      </x:c>
      <x:c r="D7" s="7" t="str">
        <x:v>par</x:v>
      </x:c>
      <x:c r="E7" s="7" t="str">
        <x:v>sp_rating</x:v>
      </x:c>
      <x:c r="F7" s="7" t="str">
        <x:v>sp_industry</x:v>
      </x:c>
      <x:c r="G7" s="7" t="str">
        <x:v>country</x:v>
      </x:c>
      <x:c r="H7" s="7" t="str">
        <x:v>seniority</x:v>
      </x:c>
      <x:c r="I7" s="7" t="str">
        <x:v>rate_type</x:v>
      </x:c>
      <x:c r="J7" s="7" t="str">
        <x:v>spread_bps</x:v>
      </x:c>
      <x:c r="K7" s="7" t="str">
        <x:v>fixed_coupon_rate</x:v>
      </x:c>
      <x:c r="L7" s="7" t="str">
        <x:v>floor_bps</x:v>
      </x:c>
      <x:c r="M7" s="7" t="str">
        <x:v>maturity_date</x:v>
      </x:c>
      <x:c r="N7" s="7" t="str">
        <x:v>recovery_aaa</x:v>
      </x:c>
      <x:c r="O7" s="7" t="str">
        <x:v>price</x:v>
      </x:c>
      <x:c r="P7" s="7" t="str">
        <x:v>payment_frequency</x:v>
      </x:c>
      <x:c r="Q7" s="7" t="str">
        <x:v>currency</x:v>
      </x:c>
      <x:c r="R7" s="7" t="str">
        <x:v>benchmark</x:v>
      </x:c>
      <x:c r="S7" s="1"/>
      <x:c r="T7" s="1"/>
      <x:c r="U7" s="1"/>
      <x:c r="V7" s="1"/>
      <x:c r="W7" s="1"/>
      <x:c r="X7" s="1"/>
      <x:c r="Y7" s="1"/>
    </x:row>
    <x:row r="8">
      <x:c r="A8" s="8" t="str">
        <x:v>SYN-LN-00001</x:v>
      </x:c>
      <x:c r="B8" s="8" t="str">
        <x:v>SYN-OB-0001</x:v>
      </x:c>
      <x:c r="C8" s="8" t="str">
        <x:v>Alder Holdings 001</x:v>
      </x:c>
      <x:c r="D8" s="9" t="n">
        <x:v>1182000</x:v>
      </x:c>
      <x:c r="E8" s="8" t="str">
        <x:v>BB-</x:v>
      </x:c>
      <x:c r="F8" s="8" t="str">
        <x:v>Hotels, Restaurants &amp; Leisure</x:v>
      </x:c>
      <x:c r="G8" s="8" t="str">
        <x:v>United States</x:v>
      </x:c>
      <x:c r="H8" s="8" t="str">
        <x:v>1st Lien</x:v>
      </x:c>
      <x:c r="I8" s="8" t="str">
        <x:v>Floating</x:v>
      </x:c>
      <x:c r="J8" s="8" t="n">
        <x:v>220</x:v>
      </x:c>
      <x:c r="K8" s="10"/>
      <x:c r="L8" s="8" t="n">
        <x:v>0</x:v>
      </x:c>
      <x:c r="M8" s="11" t="n">
        <x:v>48882</x:v>
      </x:c>
      <x:c r="N8" s="10" t="n">
        <x:v>0.395</x:v>
      </x:c>
      <x:c r="O8" s="12" t="n">
        <x:v>101.5</x:v>
      </x:c>
      <x:c r="P8" s="13" t="n">
        <x:v>4</x:v>
      </x:c>
      <x:c r="Q8" s="8" t="str">
        <x:v>USD</x:v>
      </x:c>
      <x:c r="R8" s="8" t="str">
        <x:v>SOFR</x:v>
      </x:c>
      <x:c r="S8" s="1"/>
      <x:c r="T8" s="1"/>
      <x:c r="U8" s="1"/>
      <x:c r="V8" s="1"/>
      <x:c r="W8" s="1"/>
      <x:c r="X8" s="1"/>
      <x:c r="Y8" s="1"/>
    </x:row>
    <x:row r="9">
      <x:c r="A9" s="8" t="str">
        <x:v>SYN-LN-00002</x:v>
      </x:c>
      <x:c r="B9" s="8" t="str">
        <x:v>SYN-OB-0002</x:v>
      </x:c>
      <x:c r="C9" s="8" t="str">
        <x:v>Amber Inc. 002</x:v>
      </x:c>
      <x:c r="D9" s="9" t="n">
        <x:v>586000</x:v>
      </x:c>
      <x:c r="E9" s="8" t="str">
        <x:v>BBB</x:v>
      </x:c>
      <x:c r="F9" s="8" t="str">
        <x:v>IT Services</x:v>
      </x:c>
      <x:c r="G9" s="8" t="str">
        <x:v>United Kingdom</x:v>
      </x:c>
      <x:c r="H9" s="8" t="str">
        <x:v>Sr Unsec</x:v>
      </x:c>
      <x:c r="I9" s="8" t="str">
        <x:v>Floating</x:v>
      </x:c>
      <x:c r="J9" s="8" t="n">
        <x:v>220</x:v>
      </x:c>
      <x:c r="K9" s="10"/>
      <x:c r="L9" s="8" t="n">
        <x:v>0</x:v>
      </x:c>
      <x:c r="M9" s="11" t="n">
        <x:v>47894</x:v>
      </x:c>
      <x:c r="N9" s="10" t="n">
        <x:v>0.2</x:v>
      </x:c>
      <x:c r="O9" s="12" t="n">
        <x:v>96.5</x:v>
      </x:c>
      <x:c r="P9" s="13" t="n">
        <x:v>4</x:v>
      </x:c>
      <x:c r="Q9" s="8" t="str">
        <x:v>USD</x:v>
      </x:c>
      <x:c r="R9" s="8" t="str">
        <x:v>SOFR</x:v>
      </x:c>
      <x:c r="S9" s="1"/>
      <x:c r="T9" s="1"/>
      <x:c r="U9" s="1"/>
      <x:c r="V9" s="1"/>
      <x:c r="W9" s="1"/>
      <x:c r="X9" s="1"/>
      <x:c r="Y9" s="1"/>
    </x:row>
    <x:row r="10">
      <x:c r="A10" s="8" t="str">
        <x:v>SYN-LN-00003</x:v>
      </x:c>
      <x:c r="B10" s="8" t="str">
        <x:v>SYN-OB-0003</x:v>
      </x:c>
      <x:c r="C10" s="8" t="str">
        <x:v>Arbor Corp. 003</x:v>
      </x:c>
      <x:c r="D10" s="9" t="n">
        <x:v>1182000</x:v>
      </x:c>
      <x:c r="E10" s="8" t="str">
        <x:v>B</x:v>
      </x:c>
      <x:c r="F10" s="8" t="str">
        <x:v>Industrial Conglomerates</x:v>
      </x:c>
      <x:c r="G10" s="8" t="str">
        <x:v>United States</x:v>
      </x:c>
      <x:c r="H10" s="8" t="str">
        <x:v>1st Lien</x:v>
      </x:c>
      <x:c r="I10" s="8" t="str">
        <x:v>Floating</x:v>
      </x:c>
      <x:c r="J10" s="8" t="n">
        <x:v>255</x:v>
      </x:c>
      <x:c r="K10" s="10"/>
      <x:c r="L10" s="8" t="n">
        <x:v>0</x:v>
      </x:c>
      <x:c r="M10" s="11" t="n">
        <x:v>48319</x:v>
      </x:c>
      <x:c r="N10" s="10" t="n">
        <x:v>0.405</x:v>
      </x:c>
      <x:c r="O10" s="12" t="n">
        <x:v>100.25</x:v>
      </x:c>
      <x:c r="P10" s="13" t="n">
        <x:v>4</x:v>
      </x:c>
      <x:c r="Q10" s="8" t="str">
        <x:v>USD</x:v>
      </x:c>
      <x:c r="R10" s="8" t="str">
        <x:v>SOFR</x:v>
      </x:c>
      <x:c r="S10" s="1"/>
      <x:c r="T10" s="1"/>
      <x:c r="U10" s="1"/>
      <x:c r="V10" s="1"/>
      <x:c r="W10" s="1"/>
      <x:c r="X10" s="1"/>
      <x:c r="Y10" s="1"/>
    </x:row>
    <x:row r="11">
      <x:c r="A11" s="8" t="str">
        <x:v>SYN-LN-00004</x:v>
      </x:c>
      <x:c r="B11" s="8" t="str">
        <x:v>SYN-OB-0004</x:v>
      </x:c>
      <x:c r="C11" s="8" t="str">
        <x:v>Atlas Group 004</x:v>
      </x:c>
      <x:c r="D11" s="9" t="n">
        <x:v>1182000</x:v>
      </x:c>
      <x:c r="E11" s="8" t="str">
        <x:v>B-</x:v>
      </x:c>
      <x:c r="F11" s="8" t="str">
        <x:v>Financial services</x:v>
      </x:c>
      <x:c r="G11" s="8" t="str">
        <x:v>United States</x:v>
      </x:c>
      <x:c r="H11" s="8" t="str">
        <x:v>1st Lien</x:v>
      </x:c>
      <x:c r="I11" s="8" t="str">
        <x:v>Floating</x:v>
      </x:c>
      <x:c r="J11" s="8" t="n">
        <x:v>575</x:v>
      </x:c>
      <x:c r="K11" s="10"/>
      <x:c r="L11" s="8" t="n">
        <x:v>0</x:v>
      </x:c>
      <x:c r="M11" s="11" t="n">
        <x:v>47968</x:v>
      </x:c>
      <x:c r="N11" s="10" t="n">
        <x:v>0.305</x:v>
      </x:c>
      <x:c r="O11" s="12" t="n">
        <x:v>101.25</x:v>
      </x:c>
      <x:c r="P11" s="13" t="n">
        <x:v>4</x:v>
      </x:c>
      <x:c r="Q11" s="8" t="str">
        <x:v>USD</x:v>
      </x:c>
      <x:c r="R11" s="8" t="str">
        <x:v>SOFR</x:v>
      </x:c>
      <x:c r="S11" s="1"/>
      <x:c r="T11" s="1"/>
      <x:c r="U11" s="1"/>
      <x:c r="V11" s="1"/>
      <x:c r="W11" s="1"/>
      <x:c r="X11" s="1"/>
      <x:c r="Y11" s="1"/>
    </x:row>
    <x:row r="12">
      <x:c r="A12" s="8" t="str">
        <x:v>SYN-LN-00005</x:v>
      </x:c>
      <x:c r="B12" s="8" t="str">
        <x:v>SYN-OB-0005</x:v>
      </x:c>
      <x:c r="C12" s="8" t="str">
        <x:v>Beacon LLC 005</x:v>
      </x:c>
      <x:c r="D12" s="9" t="n">
        <x:v>1182000</x:v>
      </x:c>
      <x:c r="E12" s="8" t="str">
        <x:v>B</x:v>
      </x:c>
      <x:c r="F12" s="8" t="str">
        <x:v>Healthcare Providers &amp; Services</x:v>
      </x:c>
      <x:c r="G12" s="8" t="str">
        <x:v>United States</x:v>
      </x:c>
      <x:c r="H12" s="8" t="str">
        <x:v>1st Lien</x:v>
      </x:c>
      <x:c r="I12" s="8" t="str">
        <x:v>Floating</x:v>
      </x:c>
      <x:c r="J12" s="8" t="n">
        <x:v>195</x:v>
      </x:c>
      <x:c r="K12" s="10"/>
      <x:c r="L12" s="8" t="n">
        <x:v>0</x:v>
      </x:c>
      <x:c r="M12" s="11" t="n">
        <x:v>47937</x:v>
      </x:c>
      <x:c r="N12" s="10" t="n">
        <x:v>0.36</x:v>
      </x:c>
      <x:c r="O12" s="12" t="n">
        <x:v>96.75</x:v>
      </x:c>
      <x:c r="P12" s="13" t="n">
        <x:v>4</x:v>
      </x:c>
      <x:c r="Q12" s="8" t="str">
        <x:v>USD</x:v>
      </x:c>
      <x:c r="R12" s="8" t="str">
        <x:v>SOFR</x:v>
      </x:c>
      <x:c r="S12" s="1"/>
      <x:c r="T12" s="1"/>
      <x:c r="U12" s="1"/>
      <x:c r="V12" s="1"/>
      <x:c r="W12" s="1"/>
      <x:c r="X12" s="1"/>
      <x:c r="Y12" s="1"/>
    </x:row>
    <x:row r="13">
      <x:c r="A13" s="8" t="str">
        <x:v>SYN-LN-00006</x:v>
      </x:c>
      <x:c r="B13" s="8" t="str">
        <x:v>SYN-OB-0006</x:v>
      </x:c>
      <x:c r="C13" s="8" t="str">
        <x:v>Bluewater Holdings 006</x:v>
      </x:c>
      <x:c r="D13" s="9" t="n">
        <x:v>1182000</x:v>
      </x:c>
      <x:c r="E13" s="8" t="str">
        <x:v>B</x:v>
      </x:c>
      <x:c r="F13" s="8" t="str">
        <x:v>Chemicals</x:v>
      </x:c>
      <x:c r="G13" s="8" t="str">
        <x:v>United States</x:v>
      </x:c>
      <x:c r="H13" s="8" t="str">
        <x:v>1st Lien</x:v>
      </x:c>
      <x:c r="I13" s="8" t="str">
        <x:v>Floating</x:v>
      </x:c>
      <x:c r="J13" s="8" t="n">
        <x:v>325</x:v>
      </x:c>
      <x:c r="K13" s="10"/>
      <x:c r="L13" s="8" t="n">
        <x:v>0</x:v>
      </x:c>
      <x:c r="M13" s="11" t="n">
        <x:v>48594</x:v>
      </x:c>
      <x:c r="N13" s="10" t="n">
        <x:v>0.43</x:v>
      </x:c>
      <x:c r="O13" s="12" t="n">
        <x:v>99</x:v>
      </x:c>
      <x:c r="P13" s="13" t="n">
        <x:v>4</x:v>
      </x:c>
      <x:c r="Q13" s="8" t="str">
        <x:v>USD</x:v>
      </x:c>
      <x:c r="R13" s="8" t="str">
        <x:v>SOFR</x:v>
      </x:c>
      <x:c r="S13" s="1"/>
      <x:c r="T13" s="1"/>
      <x:c r="U13" s="1"/>
      <x:c r="V13" s="1"/>
      <x:c r="W13" s="1"/>
      <x:c r="X13" s="1"/>
      <x:c r="Y13" s="1"/>
    </x:row>
    <x:row r="14">
      <x:c r="A14" s="8" t="str">
        <x:v>SYN-LN-00007</x:v>
      </x:c>
      <x:c r="B14" s="8" t="str">
        <x:v>SYN-OB-0007</x:v>
      </x:c>
      <x:c r="C14" s="8" t="str">
        <x:v>Bracken Inc. 007</x:v>
      </x:c>
      <x:c r="D14" s="9" t="n">
        <x:v>1182000</x:v>
      </x:c>
      <x:c r="E14" s="8" t="str">
        <x:v>B</x:v>
      </x:c>
      <x:c r="F14" s="8" t="str">
        <x:v>Building Products</x:v>
      </x:c>
      <x:c r="G14" s="8" t="str">
        <x:v>United States</x:v>
      </x:c>
      <x:c r="H14" s="8" t="str">
        <x:v>1st Lien</x:v>
      </x:c>
      <x:c r="I14" s="8" t="str">
        <x:v>Floating</x:v>
      </x:c>
      <x:c r="J14" s="8" t="n">
        <x:v>290</x:v>
      </x:c>
      <x:c r="K14" s="10"/>
      <x:c r="L14" s="8" t="n">
        <x:v>0</x:v>
      </x:c>
      <x:c r="M14" s="11" t="n">
        <x:v>47133</x:v>
      </x:c>
      <x:c r="N14" s="10" t="n">
        <x:v>0.45</x:v>
      </x:c>
      <x:c r="O14" s="12" t="n">
        <x:v>99.5</x:v>
      </x:c>
      <x:c r="P14" s="13" t="n">
        <x:v>4</x:v>
      </x:c>
      <x:c r="Q14" s="8" t="str">
        <x:v>USD</x:v>
      </x:c>
      <x:c r="R14" s="8" t="str">
        <x:v>SOFR</x:v>
      </x:c>
      <x:c r="S14" s="1"/>
      <x:c r="T14" s="1"/>
      <x:c r="U14" s="1"/>
      <x:c r="V14" s="1"/>
      <x:c r="W14" s="1"/>
      <x:c r="X14" s="1"/>
      <x:c r="Y14" s="1"/>
    </x:row>
    <x:row r="15">
      <x:c r="A15" s="8" t="str">
        <x:v>SYN-LN-00008</x:v>
      </x:c>
      <x:c r="B15" s="8" t="str">
        <x:v>SYN-OB-0008</x:v>
      </x:c>
      <x:c r="C15" s="8" t="str">
        <x:v>Cedar Corp. 008</x:v>
      </x:c>
      <x:c r="D15" s="9" t="n">
        <x:v>1182000</x:v>
      </x:c>
      <x:c r="E15" s="8" t="str">
        <x:v>B+</x:v>
      </x:c>
      <x:c r="F15" s="8" t="str">
        <x:v>Industrial Conglomerates</x:v>
      </x:c>
      <x:c r="G15" s="8" t="str">
        <x:v>United States</x:v>
      </x:c>
      <x:c r="H15" s="8" t="str">
        <x:v>1st Lien</x:v>
      </x:c>
      <x:c r="I15" s="8" t="str">
        <x:v>Floating</x:v>
      </x:c>
      <x:c r="J15" s="8" t="n">
        <x:v>110</x:v>
      </x:c>
      <x:c r="K15" s="10"/>
      <x:c r="L15" s="8" t="n">
        <x:v>0</x:v>
      </x:c>
      <x:c r="M15" s="11" t="n">
        <x:v>48517</x:v>
      </x:c>
      <x:c r="N15" s="10" t="n">
        <x:v>0.49</x:v>
      </x:c>
      <x:c r="O15" s="12" t="n">
        <x:v>98.5</x:v>
      </x:c>
      <x:c r="P15" s="13" t="n">
        <x:v>4</x:v>
      </x:c>
      <x:c r="Q15" s="8" t="str">
        <x:v>USD</x:v>
      </x:c>
      <x:c r="R15" s="8" t="str">
        <x:v>SOFR</x:v>
      </x:c>
      <x:c r="S15" s="1"/>
      <x:c r="T15" s="1"/>
      <x:c r="U15" s="1"/>
      <x:c r="V15" s="1"/>
      <x:c r="W15" s="1"/>
      <x:c r="X15" s="1"/>
      <x:c r="Y15" s="1"/>
    </x:row>
    <x:row r="16">
      <x:c r="A16" s="8" t="str">
        <x:v>SYN-LN-00009</x:v>
      </x:c>
      <x:c r="B16" s="8" t="str">
        <x:v>SYN-OB-0009</x:v>
      </x:c>
      <x:c r="C16" s="8" t="str">
        <x:v>Cobalt Group 009</x:v>
      </x:c>
      <x:c r="D16" s="9" t="n">
        <x:v>1182000</x:v>
      </x:c>
      <x:c r="E16" s="8" t="str">
        <x:v>BB-</x:v>
      </x:c>
      <x:c r="F16" s="8" t="str">
        <x:v>Diversified Telecommunication Services</x:v>
      </x:c>
      <x:c r="G16" s="8" t="str">
        <x:v>United States</x:v>
      </x:c>
      <x:c r="H16" s="8" t="str">
        <x:v>1st Lien</x:v>
      </x:c>
      <x:c r="I16" s="8" t="str">
        <x:v>Floating</x:v>
      </x:c>
      <x:c r="J16" s="8" t="n">
        <x:v>330</x:v>
      </x:c>
      <x:c r="K16" s="10"/>
      <x:c r="L16" s="8" t="n">
        <x:v>0</x:v>
      </x:c>
      <x:c r="M16" s="11" t="n">
        <x:v>48745</x:v>
      </x:c>
      <x:c r="N16" s="10" t="n">
        <x:v>0.2</x:v>
      </x:c>
      <x:c r="O16" s="12" t="n">
        <x:v>99.75</x:v>
      </x:c>
      <x:c r="P16" s="13" t="n">
        <x:v>4</x:v>
      </x:c>
      <x:c r="Q16" s="8" t="str">
        <x:v>USD</x:v>
      </x:c>
      <x:c r="R16" s="8" t="str">
        <x:v>SOFR</x:v>
      </x:c>
      <x:c r="S16" s="1"/>
      <x:c r="T16" s="1"/>
      <x:c r="U16" s="1"/>
      <x:c r="V16" s="1"/>
      <x:c r="W16" s="1"/>
      <x:c r="X16" s="1"/>
      <x:c r="Y16" s="1"/>
    </x:row>
    <x:row r="17">
      <x:c r="A17" s="8" t="str">
        <x:v>SYN-LN-00010</x:v>
      </x:c>
      <x:c r="B17" s="8" t="str">
        <x:v>SYN-OB-0010</x:v>
      </x:c>
      <x:c r="C17" s="8" t="str">
        <x:v>Copper LLC 010</x:v>
      </x:c>
      <x:c r="D17" s="9" t="n">
        <x:v>1182000</x:v>
      </x:c>
      <x:c r="E17" s="8" t="str">
        <x:v>BB</x:v>
      </x:c>
      <x:c r="F17" s="8" t="str">
        <x:v>Commercial Services &amp; Supplies</x:v>
      </x:c>
      <x:c r="G17" s="8" t="str">
        <x:v>United States</x:v>
      </x:c>
      <x:c r="H17" s="8" t="str">
        <x:v>1st Lien</x:v>
      </x:c>
      <x:c r="I17" s="8" t="str">
        <x:v>Floating</x:v>
      </x:c>
      <x:c r="J17" s="8" t="n">
        <x:v>205</x:v>
      </x:c>
      <x:c r="K17" s="10"/>
      <x:c r="L17" s="8" t="n">
        <x:v>0</x:v>
      </x:c>
      <x:c r="M17" s="11" t="n">
        <x:v>48151</x:v>
      </x:c>
      <x:c r="N17" s="10" t="n">
        <x:v>0.525</x:v>
      </x:c>
      <x:c r="O17" s="12" t="n">
        <x:v>100.375</x:v>
      </x:c>
      <x:c r="P17" s="13" t="n">
        <x:v>4</x:v>
      </x:c>
      <x:c r="Q17" s="8" t="str">
        <x:v>USD</x:v>
      </x:c>
      <x:c r="R17" s="8" t="str">
        <x:v>SOFR</x:v>
      </x:c>
      <x:c r="S17" s="1"/>
      <x:c r="T17" s="1"/>
      <x:c r="U17" s="1"/>
      <x:c r="V17" s="1"/>
      <x:c r="W17" s="1"/>
      <x:c r="X17" s="1"/>
      <x:c r="Y17" s="1"/>
    </x:row>
    <x:row r="18">
      <x:c r="A18" s="8" t="str">
        <x:v>SYN-LN-00011</x:v>
      </x:c>
      <x:c r="B18" s="8" t="str">
        <x:v>SYN-OB-0011</x:v>
      </x:c>
      <x:c r="C18" s="8" t="str">
        <x:v>Crest Holdings 011</x:v>
      </x:c>
      <x:c r="D18" s="9" t="n">
        <x:v>570000</x:v>
      </x:c>
      <x:c r="E18" s="8" t="str">
        <x:v>B+</x:v>
      </x:c>
      <x:c r="F18" s="8" t="str">
        <x:v>Commercial Services &amp; Supplies</x:v>
      </x:c>
      <x:c r="G18" s="8" t="str">
        <x:v>United States</x:v>
      </x:c>
      <x:c r="H18" s="8" t="str">
        <x:v>1st Lien</x:v>
      </x:c>
      <x:c r="I18" s="8" t="str">
        <x:v>Floating</x:v>
      </x:c>
      <x:c r="J18" s="8" t="n">
        <x:v>130</x:v>
      </x:c>
      <x:c r="K18" s="10"/>
      <x:c r="L18" s="8" t="n">
        <x:v>0</x:v>
      </x:c>
      <x:c r="M18" s="11" t="n">
        <x:v>48867</x:v>
      </x:c>
      <x:c r="N18" s="10" t="n">
        <x:v>0.395</x:v>
      </x:c>
      <x:c r="O18" s="12" t="n">
        <x:v>100.125</x:v>
      </x:c>
      <x:c r="P18" s="13" t="n">
        <x:v>4</x:v>
      </x:c>
      <x:c r="Q18" s="8" t="str">
        <x:v>USD</x:v>
      </x:c>
      <x:c r="R18" s="8" t="str">
        <x:v>SOFR</x:v>
      </x:c>
      <x:c r="S18" s="1"/>
      <x:c r="T18" s="1"/>
      <x:c r="U18" s="1"/>
      <x:c r="V18" s="1"/>
      <x:c r="W18" s="1"/>
      <x:c r="X18" s="1"/>
      <x:c r="Y18" s="1"/>
    </x:row>
    <x:row r="19">
      <x:c r="A19" s="8" t="str">
        <x:v>SYN-LN-00012</x:v>
      </x:c>
      <x:c r="B19" s="8" t="str">
        <x:v>SYN-OB-0011</x:v>
      </x:c>
      <x:c r="C19" s="8" t="str">
        <x:v>Crest Holdings 011</x:v>
      </x:c>
      <x:c r="D19" s="9" t="n">
        <x:v>612000</x:v>
      </x:c>
      <x:c r="E19" s="8" t="str">
        <x:v>B+</x:v>
      </x:c>
      <x:c r="F19" s="8" t="str">
        <x:v>Commercial Services &amp; Supplies</x:v>
      </x:c>
      <x:c r="G19" s="8" t="str">
        <x:v>United States</x:v>
      </x:c>
      <x:c r="H19" s="8" t="str">
        <x:v>1st Lien</x:v>
      </x:c>
      <x:c r="I19" s="8" t="str">
        <x:v>Floating</x:v>
      </x:c>
      <x:c r="J19" s="8" t="n">
        <x:v>140</x:v>
      </x:c>
      <x:c r="K19" s="10"/>
      <x:c r="L19" s="8" t="n">
        <x:v>0</x:v>
      </x:c>
      <x:c r="M19" s="11" t="n">
        <x:v>48928</x:v>
      </x:c>
      <x:c r="N19" s="10" t="n">
        <x:v>0.395</x:v>
      </x:c>
      <x:c r="O19" s="12" t="n">
        <x:v>100.25</x:v>
      </x:c>
      <x:c r="P19" s="13" t="n">
        <x:v>4</x:v>
      </x:c>
      <x:c r="Q19" s="8" t="str">
        <x:v>USD</x:v>
      </x:c>
      <x:c r="R19" s="8" t="str">
        <x:v>SOFR</x:v>
      </x:c>
      <x:c r="S19" s="1"/>
      <x:c r="T19" s="1"/>
      <x:c r="U19" s="1"/>
      <x:c r="V19" s="1"/>
      <x:c r="W19" s="1"/>
      <x:c r="X19" s="1"/>
      <x:c r="Y19" s="1"/>
    </x:row>
    <x:row r="20">
      <x:c r="A20" s="8" t="str">
        <x:v>SYN-LN-00013</x:v>
      </x:c>
      <x:c r="B20" s="8" t="str">
        <x:v>SYN-OB-0012</x:v>
      </x:c>
      <x:c r="C20" s="8" t="str">
        <x:v>Duneland Inc. 012</x:v>
      </x:c>
      <x:c r="D20" s="9" t="n">
        <x:v>650000</x:v>
      </x:c>
      <x:c r="E20" s="8" t="str">
        <x:v>B+</x:v>
      </x:c>
      <x:c r="F20" s="8" t="str">
        <x:v>Industrial Conglomerates</x:v>
      </x:c>
      <x:c r="G20" s="8" t="str">
        <x:v>United States</x:v>
      </x:c>
      <x:c r="H20" s="8" t="str">
        <x:v>1st Lien</x:v>
      </x:c>
      <x:c r="I20" s="8" t="str">
        <x:v>Floating</x:v>
      </x:c>
      <x:c r="J20" s="8" t="n">
        <x:v>280</x:v>
      </x:c>
      <x:c r="K20" s="10"/>
      <x:c r="L20" s="8" t="n">
        <x:v>50</x:v>
      </x:c>
      <x:c r="M20" s="11" t="n">
        <x:v>48014</x:v>
      </x:c>
      <x:c r="N20" s="10" t="n">
        <x:v>0.285</x:v>
      </x:c>
      <x:c r="O20" s="12" t="n">
        <x:v>99.625</x:v>
      </x:c>
      <x:c r="P20" s="13" t="n">
        <x:v>4</x:v>
      </x:c>
      <x:c r="Q20" s="8" t="str">
        <x:v>USD</x:v>
      </x:c>
      <x:c r="R20" s="8" t="str">
        <x:v>SOFR</x:v>
      </x:c>
      <x:c r="S20" s="1"/>
      <x:c r="T20" s="1"/>
      <x:c r="U20" s="1"/>
      <x:c r="V20" s="1"/>
      <x:c r="W20" s="1"/>
      <x:c r="X20" s="1"/>
      <x:c r="Y20" s="1"/>
    </x:row>
    <x:row r="21">
      <x:c r="A21" s="8" t="str">
        <x:v>SYN-LN-00014</x:v>
      </x:c>
      <x:c r="B21" s="8" t="str">
        <x:v>SYN-OB-0012</x:v>
      </x:c>
      <x:c r="C21" s="8" t="str">
        <x:v>Duneland Inc. 012</x:v>
      </x:c>
      <x:c r="D21" s="9" t="n">
        <x:v>532000</x:v>
      </x:c>
      <x:c r="E21" s="8" t="str">
        <x:v>B+</x:v>
      </x:c>
      <x:c r="F21" s="8" t="str">
        <x:v>Industrial Conglomerates</x:v>
      </x:c>
      <x:c r="G21" s="8" t="str">
        <x:v>United States</x:v>
      </x:c>
      <x:c r="H21" s="8" t="str">
        <x:v>1st Lien</x:v>
      </x:c>
      <x:c r="I21" s="8" t="str">
        <x:v>Floating</x:v>
      </x:c>
      <x:c r="J21" s="8" t="n">
        <x:v>290</x:v>
      </x:c>
      <x:c r="K21" s="10"/>
      <x:c r="L21" s="8" t="n">
        <x:v>0</x:v>
      </x:c>
      <x:c r="M21" s="11" t="n">
        <x:v>48088</x:v>
      </x:c>
      <x:c r="N21" s="10" t="n">
        <x:v>0.285</x:v>
      </x:c>
      <x:c r="O21" s="12" t="n">
        <x:v>99.75</x:v>
      </x:c>
      <x:c r="P21" s="13" t="n">
        <x:v>4</x:v>
      </x:c>
      <x:c r="Q21" s="8" t="str">
        <x:v>USD</x:v>
      </x:c>
      <x:c r="R21" s="8" t="str">
        <x:v>SOFR</x:v>
      </x:c>
      <x:c r="S21" s="1"/>
      <x:c r="T21" s="1"/>
      <x:c r="U21" s="1"/>
      <x:c r="V21" s="1"/>
      <x:c r="W21" s="1"/>
      <x:c r="X21" s="1"/>
      <x:c r="Y21" s="1"/>
    </x:row>
    <x:row r="22">
      <x:c r="A22" s="8" t="str">
        <x:v>SYN-LN-00015</x:v>
      </x:c>
      <x:c r="B22" s="8" t="str">
        <x:v>SYN-OB-0013</x:v>
      </x:c>
      <x:c r="C22" s="8" t="str">
        <x:v>Elmstone Corp. 013</x:v>
      </x:c>
      <x:c r="D22" s="9" t="n">
        <x:v>1182000</x:v>
      </x:c>
      <x:c r="E22" s="8" t="str">
        <x:v>BB</x:v>
      </x:c>
      <x:c r="F22" s="8" t="str">
        <x:v>Construction Materials</x:v>
      </x:c>
      <x:c r="G22" s="8" t="str">
        <x:v>United States</x:v>
      </x:c>
      <x:c r="H22" s="8" t="str">
        <x:v>1st Lien</x:v>
      </x:c>
      <x:c r="I22" s="8" t="str">
        <x:v>Floating</x:v>
      </x:c>
      <x:c r="J22" s="8" t="n">
        <x:v>195</x:v>
      </x:c>
      <x:c r="K22" s="10"/>
      <x:c r="L22" s="8" t="n">
        <x:v>0</x:v>
      </x:c>
      <x:c r="M22" s="11" t="n">
        <x:v>48027</x:v>
      </x:c>
      <x:c r="N22" s="10" t="n">
        <x:v>0.315</x:v>
      </x:c>
      <x:c r="O22" s="12" t="n">
        <x:v>99.25</x:v>
      </x:c>
      <x:c r="P22" s="13" t="n">
        <x:v>4</x:v>
      </x:c>
      <x:c r="Q22" s="8" t="str">
        <x:v>USD</x:v>
      </x:c>
      <x:c r="R22" s="8" t="str">
        <x:v>SOFR</x:v>
      </x:c>
      <x:c r="S22" s="1"/>
      <x:c r="T22" s="1"/>
      <x:c r="U22" s="1"/>
      <x:c r="V22" s="1"/>
      <x:c r="W22" s="1"/>
      <x:c r="X22" s="1"/>
      <x:c r="Y22" s="1"/>
    </x:row>
    <x:row r="23">
      <x:c r="A23" s="8" t="str">
        <x:v>SYN-LN-00016</x:v>
      </x:c>
      <x:c r="B23" s="8" t="str">
        <x:v>SYN-OB-0014</x:v>
      </x:c>
      <x:c r="C23" s="8" t="str">
        <x:v>Evergreen Group 014</x:v>
      </x:c>
      <x:c r="D23" s="9" t="n">
        <x:v>1182000</x:v>
      </x:c>
      <x:c r="E23" s="8" t="str">
        <x:v>BB-</x:v>
      </x:c>
      <x:c r="F23" s="8" t="str">
        <x:v>Hotels, Restaurants &amp; Leisure</x:v>
      </x:c>
      <x:c r="G23" s="8" t="str">
        <x:v>United States</x:v>
      </x:c>
      <x:c r="H23" s="8" t="str">
        <x:v>1st Lien</x:v>
      </x:c>
      <x:c r="I23" s="8" t="str">
        <x:v>Floating</x:v>
      </x:c>
      <x:c r="J23" s="8" t="n">
        <x:v>215</x:v>
      </x:c>
      <x:c r="K23" s="10"/>
      <x:c r="L23" s="8" t="n">
        <x:v>0</x:v>
      </x:c>
      <x:c r="M23" s="11" t="n">
        <x:v>48288</x:v>
      </x:c>
      <x:c r="N23" s="10" t="n">
        <x:v>0.725</x:v>
      </x:c>
      <x:c r="O23" s="12" t="n">
        <x:v>98.125</x:v>
      </x:c>
      <x:c r="P23" s="13" t="n">
        <x:v>4</x:v>
      </x:c>
      <x:c r="Q23" s="8" t="str">
        <x:v>USD</x:v>
      </x:c>
      <x:c r="R23" s="8" t="str">
        <x:v>SOFR</x:v>
      </x:c>
      <x:c r="S23" s="1"/>
      <x:c r="T23" s="1"/>
      <x:c r="U23" s="1"/>
      <x:c r="V23" s="1"/>
      <x:c r="W23" s="1"/>
      <x:c r="X23" s="1"/>
      <x:c r="Y23" s="1"/>
    </x:row>
    <x:row r="24">
      <x:c r="A24" s="8" t="str">
        <x:v>SYN-LN-00017</x:v>
      </x:c>
      <x:c r="B24" s="8" t="str">
        <x:v>SYN-OB-0015</x:v>
      </x:c>
      <x:c r="C24" s="8" t="str">
        <x:v>Fairhaven LLC 015</x:v>
      </x:c>
      <x:c r="D24" s="9" t="n">
        <x:v>630000</x:v>
      </x:c>
      <x:c r="E24" s="8" t="str">
        <x:v>BB-</x:v>
      </x:c>
      <x:c r="F24" s="8" t="str">
        <x:v>Beverages</x:v>
      </x:c>
      <x:c r="G24" s="8" t="str">
        <x:v>Switzerland</x:v>
      </x:c>
      <x:c r="H24" s="8" t="str">
        <x:v>Sr Secured</x:v>
      </x:c>
      <x:c r="I24" s="8" t="str">
        <x:v>Fixed</x:v>
      </x:c>
      <x:c r="J24" s="8"/>
      <x:c r="K24" s="10" t="n">
        <x:v>0.0455</x:v>
      </x:c>
      <x:c r="L24" s="8"/>
      <x:c r="M24" s="11" t="n">
        <x:v>49003</x:v>
      </x:c>
      <x:c r="N24" s="10" t="n">
        <x:v>0.325</x:v>
      </x:c>
      <x:c r="O24" s="12" t="n">
        <x:v>99</x:v>
      </x:c>
      <x:c r="P24" s="13" t="n">
        <x:v>2</x:v>
      </x:c>
      <x:c r="Q24" s="8" t="str">
        <x:v>USD</x:v>
      </x:c>
      <x:c r="R24" s="8"/>
      <x:c r="S24" s="1"/>
      <x:c r="T24" s="1"/>
      <x:c r="U24" s="1"/>
      <x:c r="V24" s="1"/>
      <x:c r="W24" s="1"/>
      <x:c r="X24" s="1"/>
      <x:c r="Y24" s="1"/>
    </x:row>
    <x:row r="25">
      <x:c r="A25" s="8" t="str">
        <x:v>SYN-LN-00018</x:v>
      </x:c>
      <x:c r="B25" s="8" t="str">
        <x:v>SYN-OB-0016</x:v>
      </x:c>
      <x:c r="C25" s="8" t="str">
        <x:v>Granite Holdings 016</x:v>
      </x:c>
      <x:c r="D25" s="9" t="n">
        <x:v>1182000</x:v>
      </x:c>
      <x:c r="E25" s="8" t="str">
        <x:v>BB</x:v>
      </x:c>
      <x:c r="F25" s="8" t="str">
        <x:v>Banks</x:v>
      </x:c>
      <x:c r="G25" s="8" t="str">
        <x:v>United States</x:v>
      </x:c>
      <x:c r="H25" s="8" t="str">
        <x:v>1st Lien</x:v>
      </x:c>
      <x:c r="I25" s="8" t="str">
        <x:v>Floating</x:v>
      </x:c>
      <x:c r="J25" s="8" t="n">
        <x:v>285</x:v>
      </x:c>
      <x:c r="K25" s="10"/>
      <x:c r="L25" s="8" t="n">
        <x:v>0</x:v>
      </x:c>
      <x:c r="M25" s="11" t="n">
        <x:v>47710</x:v>
      </x:c>
      <x:c r="N25" s="10" t="n">
        <x:v>0.45</x:v>
      </x:c>
      <x:c r="O25" s="12" t="n">
        <x:v>101.5</x:v>
      </x:c>
      <x:c r="P25" s="13" t="n">
        <x:v>4</x:v>
      </x:c>
      <x:c r="Q25" s="8" t="str">
        <x:v>USD</x:v>
      </x:c>
      <x:c r="R25" s="8" t="str">
        <x:v>SOFR</x:v>
      </x:c>
      <x:c r="S25" s="1"/>
      <x:c r="T25" s="1"/>
      <x:c r="U25" s="1"/>
      <x:c r="V25" s="1"/>
      <x:c r="W25" s="1"/>
      <x:c r="X25" s="1"/>
      <x:c r="Y25" s="1"/>
    </x:row>
    <x:row r="26">
      <x:c r="A26" s="8" t="str">
        <x:v>SYN-LN-00019</x:v>
      </x:c>
      <x:c r="B26" s="8" t="str">
        <x:v>SYN-OB-0017</x:v>
      </x:c>
      <x:c r="C26" s="8" t="str">
        <x:v>Harbor Inc. 017</x:v>
      </x:c>
      <x:c r="D26" s="9" t="n">
        <x:v>1182000</x:v>
      </x:c>
      <x:c r="E26" s="8" t="str">
        <x:v>B-</x:v>
      </x:c>
      <x:c r="F26" s="8" t="str">
        <x:v>Transportation Infrastructure</x:v>
      </x:c>
      <x:c r="G26" s="8" t="str">
        <x:v>United States</x:v>
      </x:c>
      <x:c r="H26" s="8" t="str">
        <x:v>1st Lien</x:v>
      </x:c>
      <x:c r="I26" s="8" t="str">
        <x:v>Floating</x:v>
      </x:c>
      <x:c r="J26" s="8" t="n">
        <x:v>280</x:v>
      </x:c>
      <x:c r="K26" s="10"/>
      <x:c r="L26" s="8" t="n">
        <x:v>0</x:v>
      </x:c>
      <x:c r="M26" s="11" t="n">
        <x:v>48349</x:v>
      </x:c>
      <x:c r="N26" s="10" t="n">
        <x:v>0.235</x:v>
      </x:c>
      <x:c r="O26" s="12" t="n">
        <x:v>95.375</x:v>
      </x:c>
      <x:c r="P26" s="13" t="n">
        <x:v>4</x:v>
      </x:c>
      <x:c r="Q26" s="8" t="str">
        <x:v>USD</x:v>
      </x:c>
      <x:c r="R26" s="8" t="str">
        <x:v>SOFR</x:v>
      </x:c>
      <x:c r="S26" s="1"/>
      <x:c r="T26" s="1"/>
      <x:c r="U26" s="1"/>
      <x:c r="V26" s="1"/>
      <x:c r="W26" s="1"/>
      <x:c r="X26" s="1"/>
      <x:c r="Y26" s="1"/>
    </x:row>
    <x:row r="27">
      <x:c r="A27" s="8" t="str">
        <x:v>SYN-LN-00020</x:v>
      </x:c>
      <x:c r="B27" s="8" t="str">
        <x:v>SYN-OB-0018</x:v>
      </x:c>
      <x:c r="C27" s="8" t="str">
        <x:v>Hawthorne Corp. 018</x:v>
      </x:c>
      <x:c r="D27" s="9" t="n">
        <x:v>1182000</x:v>
      </x:c>
      <x:c r="E27" s="8" t="str">
        <x:v>B+</x:v>
      </x:c>
      <x:c r="F27" s="8" t="str">
        <x:v>Passenger airlines</x:v>
      </x:c>
      <x:c r="G27" s="8" t="str">
        <x:v>United States</x:v>
      </x:c>
      <x:c r="H27" s="8" t="str">
        <x:v>1st Lien</x:v>
      </x:c>
      <x:c r="I27" s="8" t="str">
        <x:v>Floating</x:v>
      </x:c>
      <x:c r="J27" s="8" t="n">
        <x:v>290</x:v>
      </x:c>
      <x:c r="K27" s="10"/>
      <x:c r="L27" s="8" t="n">
        <x:v>0</x:v>
      </x:c>
      <x:c r="M27" s="11" t="n">
        <x:v>47817</x:v>
      </x:c>
      <x:c r="N27" s="10" t="n">
        <x:v>0.495</x:v>
      </x:c>
      <x:c r="O27" s="12" t="n">
        <x:v>100.25</x:v>
      </x:c>
      <x:c r="P27" s="13" t="n">
        <x:v>4</x:v>
      </x:c>
      <x:c r="Q27" s="8" t="str">
        <x:v>USD</x:v>
      </x:c>
      <x:c r="R27" s="8" t="str">
        <x:v>SOFR</x:v>
      </x:c>
      <x:c r="S27" s="1"/>
      <x:c r="T27" s="1"/>
      <x:c r="U27" s="1"/>
      <x:c r="V27" s="1"/>
      <x:c r="W27" s="1"/>
      <x:c r="X27" s="1"/>
      <x:c r="Y27" s="1"/>
    </x:row>
    <x:row r="28">
      <x:c r="A28" s="8" t="str">
        <x:v>SYN-LN-00021</x:v>
      </x:c>
      <x:c r="B28" s="8" t="str">
        <x:v>SYN-OB-0019</x:v>
      </x:c>
      <x:c r="C28" s="8" t="str">
        <x:v>Highland Group 019</x:v>
      </x:c>
      <x:c r="D28" s="9" t="n">
        <x:v>1182000</x:v>
      </x:c>
      <x:c r="E28" s="8" t="str">
        <x:v>BB-</x:v>
      </x:c>
      <x:c r="F28" s="8" t="str">
        <x:v>Industrial Conglomerates</x:v>
      </x:c>
      <x:c r="G28" s="8" t="str">
        <x:v>United States</x:v>
      </x:c>
      <x:c r="H28" s="8" t="str">
        <x:v>1st Lien</x:v>
      </x:c>
      <x:c r="I28" s="8" t="str">
        <x:v>Floating</x:v>
      </x:c>
      <x:c r="J28" s="8" t="n">
        <x:v>150</x:v>
      </x:c>
      <x:c r="K28" s="10"/>
      <x:c r="L28" s="8" t="n">
        <x:v>0</x:v>
      </x:c>
      <x:c r="M28" s="11" t="n">
        <x:v>47966</x:v>
      </x:c>
      <x:c r="N28" s="10" t="n">
        <x:v>0.275</x:v>
      </x:c>
      <x:c r="O28" s="12" t="n">
        <x:v>99.25</x:v>
      </x:c>
      <x:c r="P28" s="13" t="n">
        <x:v>4</x:v>
      </x:c>
      <x:c r="Q28" s="8" t="str">
        <x:v>USD</x:v>
      </x:c>
      <x:c r="R28" s="8" t="str">
        <x:v>SOFR</x:v>
      </x:c>
      <x:c r="S28" s="1"/>
      <x:c r="T28" s="1"/>
      <x:c r="U28" s="1"/>
      <x:c r="V28" s="1"/>
      <x:c r="W28" s="1"/>
      <x:c r="X28" s="1"/>
      <x:c r="Y28" s="1"/>
    </x:row>
    <x:row r="29">
      <x:c r="A29" s="8" t="str">
        <x:v>SYN-LN-00022</x:v>
      </x:c>
      <x:c r="B29" s="8" t="str">
        <x:v>SYN-OB-0020</x:v>
      </x:c>
      <x:c r="C29" s="8" t="str">
        <x:v>Ironwood LLC 020</x:v>
      </x:c>
      <x:c r="D29" s="9" t="n">
        <x:v>1182000</x:v>
      </x:c>
      <x:c r="E29" s="8" t="str">
        <x:v>BBB-</x:v>
      </x:c>
      <x:c r="F29" s="8" t="str">
        <x:v>Capital Markets</x:v>
      </x:c>
      <x:c r="G29" s="8" t="str">
        <x:v>United States</x:v>
      </x:c>
      <x:c r="H29" s="8" t="str">
        <x:v>1st Lien</x:v>
      </x:c>
      <x:c r="I29" s="8" t="str">
        <x:v>Floating</x:v>
      </x:c>
      <x:c r="J29" s="8" t="n">
        <x:v>225</x:v>
      </x:c>
      <x:c r="K29" s="10"/>
      <x:c r="L29" s="8" t="n">
        <x:v>0</x:v>
      </x:c>
      <x:c r="M29" s="11" t="n">
        <x:v>48638</x:v>
      </x:c>
      <x:c r="N29" s="10" t="n">
        <x:v>0.37</x:v>
      </x:c>
      <x:c r="O29" s="12" t="n">
        <x:v>101.5</x:v>
      </x:c>
      <x:c r="P29" s="13" t="n">
        <x:v>4</x:v>
      </x:c>
      <x:c r="Q29" s="8" t="str">
        <x:v>USD</x:v>
      </x:c>
      <x:c r="R29" s="8" t="str">
        <x:v>SOFR</x:v>
      </x:c>
      <x:c r="S29" s="1"/>
      <x:c r="T29" s="1"/>
      <x:c r="U29" s="1"/>
      <x:c r="V29" s="1"/>
      <x:c r="W29" s="1"/>
      <x:c r="X29" s="1"/>
      <x:c r="Y29" s="1"/>
    </x:row>
    <x:row r="30">
      <x:c r="A30" s="8" t="str">
        <x:v>SYN-LN-00023</x:v>
      </x:c>
      <x:c r="B30" s="8" t="str">
        <x:v>SYN-OB-0021</x:v>
      </x:c>
      <x:c r="C30" s="8" t="str">
        <x:v>Juniper Holdings 021</x:v>
      </x:c>
      <x:c r="D30" s="9" t="n">
        <x:v>1182000</x:v>
      </x:c>
      <x:c r="E30" s="8" t="str">
        <x:v>BB</x:v>
      </x:c>
      <x:c r="F30" s="8" t="str">
        <x:v>Healthcare Technology</x:v>
      </x:c>
      <x:c r="G30" s="8" t="str">
        <x:v>United States</x:v>
      </x:c>
      <x:c r="H30" s="8" t="str">
        <x:v>1st Lien</x:v>
      </x:c>
      <x:c r="I30" s="8" t="str">
        <x:v>Floating</x:v>
      </x:c>
      <x:c r="J30" s="8" t="n">
        <x:v>215</x:v>
      </x:c>
      <x:c r="K30" s="10"/>
      <x:c r="L30" s="8" t="n">
        <x:v>0</x:v>
      </x:c>
      <x:c r="M30" s="11" t="n">
        <x:v>48548</x:v>
      </x:c>
      <x:c r="N30" s="10" t="n">
        <x:v>0.435</x:v>
      </x:c>
      <x:c r="O30" s="12" t="n">
        <x:v>99.375</x:v>
      </x:c>
      <x:c r="P30" s="13" t="n">
        <x:v>4</x:v>
      </x:c>
      <x:c r="Q30" s="8" t="str">
        <x:v>USD</x:v>
      </x:c>
      <x:c r="R30" s="8" t="str">
        <x:v>SOFR</x:v>
      </x:c>
      <x:c r="S30" s="1"/>
      <x:c r="T30" s="1"/>
      <x:c r="U30" s="1"/>
      <x:c r="V30" s="1"/>
      <x:c r="W30" s="1"/>
      <x:c r="X30" s="1"/>
      <x:c r="Y30" s="1"/>
    </x:row>
    <x:row r="31">
      <x:c r="A31" s="8" t="str">
        <x:v>SYN-LN-00024</x:v>
      </x:c>
      <x:c r="B31" s="8" t="str">
        <x:v>SYN-OB-0022</x:v>
      </x:c>
      <x:c r="C31" s="8" t="str">
        <x:v>Keystone Inc. 022</x:v>
      </x:c>
      <x:c r="D31" s="9" t="n">
        <x:v>1182000</x:v>
      </x:c>
      <x:c r="E31" s="8" t="str">
        <x:v>B+</x:v>
      </x:c>
      <x:c r="F31" s="8" t="str">
        <x:v>Hotels, Restaurants &amp; Leisure</x:v>
      </x:c>
      <x:c r="G31" s="8" t="str">
        <x:v>United States</x:v>
      </x:c>
      <x:c r="H31" s="8" t="str">
        <x:v>1st Lien</x:v>
      </x:c>
      <x:c r="I31" s="8" t="str">
        <x:v>Floating</x:v>
      </x:c>
      <x:c r="J31" s="8" t="n">
        <x:v>215</x:v>
      </x:c>
      <x:c r="K31" s="10"/>
      <x:c r="L31" s="8" t="n">
        <x:v>0</x:v>
      </x:c>
      <x:c r="M31" s="11" t="n">
        <x:v>49140</x:v>
      </x:c>
      <x:c r="N31" s="10" t="n">
        <x:v>0.435</x:v>
      </x:c>
      <x:c r="O31" s="12" t="n">
        <x:v>98.75</x:v>
      </x:c>
      <x:c r="P31" s="13" t="n">
        <x:v>4</x:v>
      </x:c>
      <x:c r="Q31" s="8" t="str">
        <x:v>USD</x:v>
      </x:c>
      <x:c r="R31" s="8" t="str">
        <x:v>SOFR</x:v>
      </x:c>
      <x:c r="S31" s="1"/>
      <x:c r="T31" s="1"/>
      <x:c r="U31" s="1"/>
      <x:c r="V31" s="1"/>
      <x:c r="W31" s="1"/>
      <x:c r="X31" s="1"/>
      <x:c r="Y31" s="1"/>
    </x:row>
    <x:row r="32">
      <x:c r="A32" s="8" t="str">
        <x:v>SYN-LN-00025</x:v>
      </x:c>
      <x:c r="B32" s="8" t="str">
        <x:v>SYN-OB-0023</x:v>
      </x:c>
      <x:c r="C32" s="8" t="str">
        <x:v>Lakeview Corp. 023</x:v>
      </x:c>
      <x:c r="D32" s="9" t="n">
        <x:v>1182000</x:v>
      </x:c>
      <x:c r="E32" s="8" t="str">
        <x:v>B-</x:v>
      </x:c>
      <x:c r="F32" s="8" t="str">
        <x:v>Containers &amp; Packaging</x:v>
      </x:c>
      <x:c r="G32" s="8" t="str">
        <x:v>United States</x:v>
      </x:c>
      <x:c r="H32" s="8" t="str">
        <x:v>1st Lien</x:v>
      </x:c>
      <x:c r="I32" s="8" t="str">
        <x:v>Floating</x:v>
      </x:c>
      <x:c r="J32" s="8" t="n">
        <x:v>290</x:v>
      </x:c>
      <x:c r="K32" s="10"/>
      <x:c r="L32" s="8" t="n">
        <x:v>0</x:v>
      </x:c>
      <x:c r="M32" s="11" t="n">
        <x:v>47845</x:v>
      </x:c>
      <x:c r="N32" s="10" t="n">
        <x:v>0.27</x:v>
      </x:c>
      <x:c r="O32" s="12" t="n">
        <x:v>100.375</x:v>
      </x:c>
      <x:c r="P32" s="13" t="n">
        <x:v>4</x:v>
      </x:c>
      <x:c r="Q32" s="8" t="str">
        <x:v>USD</x:v>
      </x:c>
      <x:c r="R32" s="8" t="str">
        <x:v>SOFR</x:v>
      </x:c>
      <x:c r="S32" s="1"/>
      <x:c r="T32" s="1"/>
      <x:c r="U32" s="1"/>
      <x:c r="V32" s="1"/>
      <x:c r="W32" s="1"/>
      <x:c r="X32" s="1"/>
      <x:c r="Y32" s="1"/>
    </x:row>
    <x:row r="33">
      <x:c r="A33" s="8" t="str">
        <x:v>SYN-LN-00026</x:v>
      </x:c>
      <x:c r="B33" s="8" t="str">
        <x:v>SYN-OB-0024</x:v>
      </x:c>
      <x:c r="C33" s="8" t="str">
        <x:v>Larkspur Group 024</x:v>
      </x:c>
      <x:c r="D33" s="9" t="n">
        <x:v>1182000</x:v>
      </x:c>
      <x:c r="E33" s="8" t="str">
        <x:v>B</x:v>
      </x:c>
      <x:c r="F33" s="8" t="str">
        <x:v>Aerospace &amp; Defense</x:v>
      </x:c>
      <x:c r="G33" s="8" t="str">
        <x:v>Luxembourg</x:v>
      </x:c>
      <x:c r="H33" s="8" t="str">
        <x:v>1st Lien</x:v>
      </x:c>
      <x:c r="I33" s="8" t="str">
        <x:v>Floating</x:v>
      </x:c>
      <x:c r="J33" s="8" t="n">
        <x:v>405</x:v>
      </x:c>
      <x:c r="K33" s="10"/>
      <x:c r="L33" s="8" t="n">
        <x:v>0</x:v>
      </x:c>
      <x:c r="M33" s="11" t="n">
        <x:v>47480</x:v>
      </x:c>
      <x:c r="N33" s="10" t="n">
        <x:v>0.285</x:v>
      </x:c>
      <x:c r="O33" s="12" t="n">
        <x:v>101.5</x:v>
      </x:c>
      <x:c r="P33" s="13" t="n">
        <x:v>4</x:v>
      </x:c>
      <x:c r="Q33" s="8" t="str">
        <x:v>USD</x:v>
      </x:c>
      <x:c r="R33" s="8" t="str">
        <x:v>SOFR</x:v>
      </x:c>
      <x:c r="S33" s="1"/>
      <x:c r="T33" s="1"/>
      <x:c r="U33" s="1"/>
      <x:c r="V33" s="1"/>
      <x:c r="W33" s="1"/>
      <x:c r="X33" s="1"/>
      <x:c r="Y33" s="1"/>
    </x:row>
    <x:row r="34">
      <x:c r="A34" s="8" t="str">
        <x:v>SYN-LN-00027</x:v>
      </x:c>
      <x:c r="B34" s="8" t="str">
        <x:v>SYN-OB-0025</x:v>
      </x:c>
      <x:c r="C34" s="8" t="str">
        <x:v>Maple LLC 025</x:v>
      </x:c>
      <x:c r="D34" s="9" t="n">
        <x:v>1182000</x:v>
      </x:c>
      <x:c r="E34" s="8" t="str">
        <x:v>BB-</x:v>
      </x:c>
      <x:c r="F34" s="8" t="str">
        <x:v>Broadline retail</x:v>
      </x:c>
      <x:c r="G34" s="8" t="str">
        <x:v>United States</x:v>
      </x:c>
      <x:c r="H34" s="8" t="str">
        <x:v>1st Lien</x:v>
      </x:c>
      <x:c r="I34" s="8" t="str">
        <x:v>Floating</x:v>
      </x:c>
      <x:c r="J34" s="8" t="n">
        <x:v>235</x:v>
      </x:c>
      <x:c r="K34" s="10"/>
      <x:c r="L34" s="8" t="n">
        <x:v>0</x:v>
      </x:c>
      <x:c r="M34" s="11" t="n">
        <x:v>48727</x:v>
      </x:c>
      <x:c r="N34" s="10" t="n">
        <x:v>0.475</x:v>
      </x:c>
      <x:c r="O34" s="12" t="n">
        <x:v>100.25</x:v>
      </x:c>
      <x:c r="P34" s="13" t="n">
        <x:v>4</x:v>
      </x:c>
      <x:c r="Q34" s="8" t="str">
        <x:v>USD</x:v>
      </x:c>
      <x:c r="R34" s="8" t="str">
        <x:v>SOFR</x:v>
      </x:c>
      <x:c r="S34" s="1"/>
      <x:c r="T34" s="1"/>
      <x:c r="U34" s="1"/>
      <x:c r="V34" s="1"/>
      <x:c r="W34" s="1"/>
      <x:c r="X34" s="1"/>
      <x:c r="Y34" s="1"/>
    </x:row>
    <x:row r="35">
      <x:c r="A35" s="8" t="str">
        <x:v>SYN-LN-00028</x:v>
      </x:c>
      <x:c r="B35" s="8" t="str">
        <x:v>SYN-OB-0026</x:v>
      </x:c>
      <x:c r="C35" s="8" t="str">
        <x:v>Meridian Holdings 026</x:v>
      </x:c>
      <x:c r="D35" s="9" t="n">
        <x:v>1182000</x:v>
      </x:c>
      <x:c r="E35" s="8" t="str">
        <x:v>BB-</x:v>
      </x:c>
      <x:c r="F35" s="8" t="str">
        <x:v>Household Products</x:v>
      </x:c>
      <x:c r="G35" s="8" t="str">
        <x:v>United States</x:v>
      </x:c>
      <x:c r="H35" s="8" t="str">
        <x:v>1st Lien</x:v>
      </x:c>
      <x:c r="I35" s="8" t="str">
        <x:v>Floating</x:v>
      </x:c>
      <x:c r="J35" s="8" t="n">
        <x:v>295</x:v>
      </x:c>
      <x:c r="K35" s="10"/>
      <x:c r="L35" s="8" t="n">
        <x:v>0</x:v>
      </x:c>
      <x:c r="M35" s="11" t="n">
        <x:v>48515</x:v>
      </x:c>
      <x:c r="N35" s="10" t="n">
        <x:v>0.365</x:v>
      </x:c>
      <x:c r="O35" s="12" t="n">
        <x:v>97</x:v>
      </x:c>
      <x:c r="P35" s="13" t="n">
        <x:v>4</x:v>
      </x:c>
      <x:c r="Q35" s="8" t="str">
        <x:v>USD</x:v>
      </x:c>
      <x:c r="R35" s="8" t="str">
        <x:v>SOFR</x:v>
      </x:c>
      <x:c r="S35" s="1"/>
      <x:c r="T35" s="1"/>
      <x:c r="U35" s="1"/>
      <x:c r="V35" s="1"/>
      <x:c r="W35" s="1"/>
      <x:c r="X35" s="1"/>
      <x:c r="Y35" s="1"/>
    </x:row>
    <x:row r="36">
      <x:c r="A36" s="8" t="str">
        <x:v>SYN-LN-00029</x:v>
      </x:c>
      <x:c r="B36" s="8" t="str">
        <x:v>SYN-OB-0027</x:v>
      </x:c>
      <x:c r="C36" s="8" t="str">
        <x:v>Northfield Inc. 027</x:v>
      </x:c>
      <x:c r="D36" s="9" t="n">
        <x:v>630000</x:v>
      </x:c>
      <x:c r="E36" s="8" t="str">
        <x:v>B</x:v>
      </x:c>
      <x:c r="F36" s="8" t="str">
        <x:v>Aerospace &amp; Defense</x:v>
      </x:c>
      <x:c r="G36" s="8" t="str">
        <x:v>Luxembourg</x:v>
      </x:c>
      <x:c r="H36" s="8" t="str">
        <x:v>1st Lien</x:v>
      </x:c>
      <x:c r="I36" s="8" t="str">
        <x:v>Floating</x:v>
      </x:c>
      <x:c r="J36" s="8" t="n">
        <x:v>365</x:v>
      </x:c>
      <x:c r="K36" s="10"/>
      <x:c r="L36" s="8" t="n">
        <x:v>50</x:v>
      </x:c>
      <x:c r="M36" s="11" t="n">
        <x:v>49582</x:v>
      </x:c>
      <x:c r="N36" s="10" t="n">
        <x:v>0.43</x:v>
      </x:c>
      <x:c r="O36" s="12" t="n">
        <x:v>99.5</x:v>
      </x:c>
      <x:c r="P36" s="13" t="n">
        <x:v>4</x:v>
      </x:c>
      <x:c r="Q36" s="8" t="str">
        <x:v>USD</x:v>
      </x:c>
      <x:c r="R36" s="8" t="str">
        <x:v>SOFR</x:v>
      </x:c>
      <x:c r="S36" s="1"/>
      <x:c r="T36" s="1"/>
      <x:c r="U36" s="1"/>
      <x:c r="V36" s="1"/>
      <x:c r="W36" s="1"/>
      <x:c r="X36" s="1"/>
      <x:c r="Y36" s="1"/>
    </x:row>
    <x:row r="37">
      <x:c r="A37" s="8" t="str">
        <x:v>SYN-LN-00030</x:v>
      </x:c>
      <x:c r="B37" s="8" t="str">
        <x:v>SYN-OB-0028</x:v>
      </x:c>
      <x:c r="C37" s="8" t="str">
        <x:v>Oakmont Corp. 028</x:v>
      </x:c>
      <x:c r="D37" s="9" t="n">
        <x:v>1182000</x:v>
      </x:c>
      <x:c r="E37" s="8" t="str">
        <x:v>B-</x:v>
      </x:c>
      <x:c r="F37" s="8" t="str">
        <x:v>Financial services</x:v>
      </x:c>
      <x:c r="G37" s="8" t="str">
        <x:v>United States</x:v>
      </x:c>
      <x:c r="H37" s="8" t="str">
        <x:v>1st Lien</x:v>
      </x:c>
      <x:c r="I37" s="8" t="str">
        <x:v>Floating</x:v>
      </x:c>
      <x:c r="J37" s="8" t="n">
        <x:v>330</x:v>
      </x:c>
      <x:c r="K37" s="10"/>
      <x:c r="L37" s="8" t="n">
        <x:v>0</x:v>
      </x:c>
      <x:c r="M37" s="11" t="n">
        <x:v>48533</x:v>
      </x:c>
      <x:c r="N37" s="10" t="n">
        <x:v>0.385</x:v>
      </x:c>
      <x:c r="O37" s="12" t="n">
        <x:v>98.875</x:v>
      </x:c>
      <x:c r="P37" s="13" t="n">
        <x:v>4</x:v>
      </x:c>
      <x:c r="Q37" s="8" t="str">
        <x:v>USD</x:v>
      </x:c>
      <x:c r="R37" s="8" t="str">
        <x:v>SOFR</x:v>
      </x:c>
      <x:c r="S37" s="1"/>
      <x:c r="T37" s="1"/>
      <x:c r="U37" s="1"/>
      <x:c r="V37" s="1"/>
      <x:c r="W37" s="1"/>
      <x:c r="X37" s="1"/>
      <x:c r="Y37" s="1"/>
    </x:row>
    <x:row r="38">
      <x:c r="A38" s="8" t="str">
        <x:v>SYN-LN-00031</x:v>
      </x:c>
      <x:c r="B38" s="8" t="str">
        <x:v>SYN-OB-0029</x:v>
      </x:c>
      <x:c r="C38" s="8" t="str">
        <x:v>Orchard Group 029</x:v>
      </x:c>
      <x:c r="D38" s="9" t="n">
        <x:v>1182000</x:v>
      </x:c>
      <x:c r="E38" s="8" t="str">
        <x:v>B+</x:v>
      </x:c>
      <x:c r="F38" s="8" t="str">
        <x:v>Semiconductors &amp; Semiconductor Equipment</x:v>
      </x:c>
      <x:c r="G38" s="8" t="str">
        <x:v>United States</x:v>
      </x:c>
      <x:c r="H38" s="8" t="str">
        <x:v>1st Lien</x:v>
      </x:c>
      <x:c r="I38" s="8" t="str">
        <x:v>Floating</x:v>
      </x:c>
      <x:c r="J38" s="8" t="n">
        <x:v>375</x:v>
      </x:c>
      <x:c r="K38" s="10"/>
      <x:c r="L38" s="8" t="n">
        <x:v>0</x:v>
      </x:c>
      <x:c r="M38" s="11" t="n">
        <x:v>48301</x:v>
      </x:c>
      <x:c r="N38" s="10" t="n">
        <x:v>0.295</x:v>
      </x:c>
      <x:c r="O38" s="12" t="n">
        <x:v>100.5</x:v>
      </x:c>
      <x:c r="P38" s="13" t="n">
        <x:v>4</x:v>
      </x:c>
      <x:c r="Q38" s="8" t="str">
        <x:v>USD</x:v>
      </x:c>
      <x:c r="R38" s="8" t="str">
        <x:v>SOFR</x:v>
      </x:c>
      <x:c r="S38" s="1"/>
      <x:c r="T38" s="1"/>
      <x:c r="U38" s="1"/>
      <x:c r="V38" s="1"/>
      <x:c r="W38" s="1"/>
      <x:c r="X38" s="1"/>
      <x:c r="Y38" s="1"/>
    </x:row>
    <x:row r="39">
      <x:c r="A39" s="8" t="str">
        <x:v>SYN-LN-00032</x:v>
      </x:c>
      <x:c r="B39" s="8" t="str">
        <x:v>SYN-OB-0030</x:v>
      </x:c>
      <x:c r="C39" s="8" t="str">
        <x:v>Pinecrest LLC 030</x:v>
      </x:c>
      <x:c r="D39" s="9" t="n">
        <x:v>1182000</x:v>
      </x:c>
      <x:c r="E39" s="8" t="str">
        <x:v>B</x:v>
      </x:c>
      <x:c r="F39" s="8" t="str">
        <x:v>Industrial Conglomerates</x:v>
      </x:c>
      <x:c r="G39" s="8" t="str">
        <x:v>United States</x:v>
      </x:c>
      <x:c r="H39" s="8" t="str">
        <x:v>1st Lien</x:v>
      </x:c>
      <x:c r="I39" s="8" t="str">
        <x:v>Floating</x:v>
      </x:c>
      <x:c r="J39" s="8" t="n">
        <x:v>435</x:v>
      </x:c>
      <x:c r="K39" s="10"/>
      <x:c r="L39" s="8" t="n">
        <x:v>0</x:v>
      </x:c>
      <x:c r="M39" s="11" t="n">
        <x:v>48607</x:v>
      </x:c>
      <x:c r="N39" s="10" t="n">
        <x:v>0.325</x:v>
      </x:c>
      <x:c r="O39" s="12" t="n">
        <x:v>100.625</x:v>
      </x:c>
      <x:c r="P39" s="13" t="n">
        <x:v>4</x:v>
      </x:c>
      <x:c r="Q39" s="8" t="str">
        <x:v>USD</x:v>
      </x:c>
      <x:c r="R39" s="8" t="str">
        <x:v>SOFR</x:v>
      </x:c>
      <x:c r="S39" s="1"/>
      <x:c r="T39" s="1"/>
      <x:c r="U39" s="1"/>
      <x:c r="V39" s="1"/>
      <x:c r="W39" s="1"/>
      <x:c r="X39" s="1"/>
      <x:c r="Y39" s="1"/>
    </x:row>
    <x:row r="40">
      <x:c r="A40" s="8" t="str">
        <x:v>SYN-LN-00033</x:v>
      </x:c>
      <x:c r="B40" s="8" t="str">
        <x:v>SYN-OB-0031</x:v>
      </x:c>
      <x:c r="C40" s="8" t="str">
        <x:v>Redwood Holdings 031</x:v>
      </x:c>
      <x:c r="D40" s="9" t="n">
        <x:v>1182000</x:v>
      </x:c>
      <x:c r="E40" s="8" t="str">
        <x:v>B+</x:v>
      </x:c>
      <x:c r="F40" s="8" t="str">
        <x:v>Professional Services</x:v>
      </x:c>
      <x:c r="G40" s="8" t="str">
        <x:v>United States</x:v>
      </x:c>
      <x:c r="H40" s="8" t="str">
        <x:v>1st Lien</x:v>
      </x:c>
      <x:c r="I40" s="8" t="str">
        <x:v>Floating</x:v>
      </x:c>
      <x:c r="J40" s="8" t="n">
        <x:v>430</x:v>
      </x:c>
      <x:c r="K40" s="10"/>
      <x:c r="L40" s="8" t="n">
        <x:v>0</x:v>
      </x:c>
      <x:c r="M40" s="11" t="n">
        <x:v>48898</x:v>
      </x:c>
      <x:c r="N40" s="10" t="n">
        <x:v>0.335</x:v>
      </x:c>
      <x:c r="O40" s="12" t="n">
        <x:v>100.125</x:v>
      </x:c>
      <x:c r="P40" s="13" t="n">
        <x:v>4</x:v>
      </x:c>
      <x:c r="Q40" s="8" t="str">
        <x:v>USD</x:v>
      </x:c>
      <x:c r="R40" s="8" t="str">
        <x:v>SOFR</x:v>
      </x:c>
      <x:c r="S40" s="1"/>
      <x:c r="T40" s="1"/>
      <x:c r="U40" s="1"/>
      <x:c r="V40" s="1"/>
      <x:c r="W40" s="1"/>
      <x:c r="X40" s="1"/>
      <x:c r="Y40" s="1"/>
    </x:row>
    <x:row r="41">
      <x:c r="A41" s="8" t="str">
        <x:v>SYN-LN-00034</x:v>
      </x:c>
      <x:c r="B41" s="8" t="str">
        <x:v>SYN-OB-0032</x:v>
      </x:c>
      <x:c r="C41" s="8" t="str">
        <x:v>Riverton Inc. 032</x:v>
      </x:c>
      <x:c r="D41" s="9" t="n">
        <x:v>1182000</x:v>
      </x:c>
      <x:c r="E41" s="8" t="str">
        <x:v>B+</x:v>
      </x:c>
      <x:c r="F41" s="8" t="str">
        <x:v>Semiconductors &amp; Semiconductor Equipment</x:v>
      </x:c>
      <x:c r="G41" s="8" t="str">
        <x:v>United States</x:v>
      </x:c>
      <x:c r="H41" s="8" t="str">
        <x:v>1st Lien</x:v>
      </x:c>
      <x:c r="I41" s="8" t="str">
        <x:v>Floating</x:v>
      </x:c>
      <x:c r="J41" s="8" t="n">
        <x:v>325</x:v>
      </x:c>
      <x:c r="K41" s="10"/>
      <x:c r="L41" s="8" t="n">
        <x:v>0</x:v>
      </x:c>
      <x:c r="M41" s="11" t="n">
        <x:v>47983</x:v>
      </x:c>
      <x:c r="N41" s="10" t="n">
        <x:v>0.355</x:v>
      </x:c>
      <x:c r="O41" s="12" t="n">
        <x:v>100.125</x:v>
      </x:c>
      <x:c r="P41" s="13" t="n">
        <x:v>4</x:v>
      </x:c>
      <x:c r="Q41" s="8" t="str">
        <x:v>USD</x:v>
      </x:c>
      <x:c r="R41" s="8" t="str">
        <x:v>SOFR</x:v>
      </x:c>
      <x:c r="S41" s="1"/>
      <x:c r="T41" s="1"/>
      <x:c r="U41" s="1"/>
      <x:c r="V41" s="1"/>
      <x:c r="W41" s="1"/>
      <x:c r="X41" s="1"/>
      <x:c r="Y41" s="1"/>
    </x:row>
    <x:row r="42">
      <x:c r="A42" s="8" t="str">
        <x:v>SYN-LN-00035</x:v>
      </x:c>
      <x:c r="B42" s="8" t="str">
        <x:v>SYN-OB-0033</x:v>
      </x:c>
      <x:c r="C42" s="8" t="str">
        <x:v>Silver Corp. 033</x:v>
      </x:c>
      <x:c r="D42" s="9" t="n">
        <x:v>1182000</x:v>
      </x:c>
      <x:c r="E42" s="8" t="str">
        <x:v>B-</x:v>
      </x:c>
      <x:c r="F42" s="8" t="str">
        <x:v>Healthcare Technology</x:v>
      </x:c>
      <x:c r="G42" s="8" t="str">
        <x:v>United States</x:v>
      </x:c>
      <x:c r="H42" s="8" t="str">
        <x:v>1st Lien</x:v>
      </x:c>
      <x:c r="I42" s="8" t="str">
        <x:v>Floating</x:v>
      </x:c>
      <x:c r="J42" s="8" t="n">
        <x:v>430</x:v>
      </x:c>
      <x:c r="K42" s="10"/>
      <x:c r="L42" s="8" t="n">
        <x:v>0</x:v>
      </x:c>
      <x:c r="M42" s="11" t="n">
        <x:v>48014</x:v>
      </x:c>
      <x:c r="N42" s="10" t="n">
        <x:v>0.435</x:v>
      </x:c>
      <x:c r="O42" s="12" t="n">
        <x:v>99.625</x:v>
      </x:c>
      <x:c r="P42" s="13" t="n">
        <x:v>4</x:v>
      </x:c>
      <x:c r="Q42" s="8" t="str">
        <x:v>USD</x:v>
      </x:c>
      <x:c r="R42" s="8" t="str">
        <x:v>SOFR</x:v>
      </x:c>
      <x:c r="S42" s="1"/>
      <x:c r="T42" s="1"/>
      <x:c r="U42" s="1"/>
      <x:c r="V42" s="1"/>
      <x:c r="W42" s="1"/>
      <x:c r="X42" s="1"/>
      <x:c r="Y42" s="1"/>
    </x:row>
    <x:row r="43">
      <x:c r="A43" s="8" t="str">
        <x:v>SYN-LN-00036</x:v>
      </x:c>
      <x:c r="B43" s="8" t="str">
        <x:v>SYN-OB-0034</x:v>
      </x:c>
      <x:c r="C43" s="8" t="str">
        <x:v>Stonebridge Group 034</x:v>
      </x:c>
      <x:c r="D43" s="9" t="n">
        <x:v>1182000</x:v>
      </x:c>
      <x:c r="E43" s="8" t="str">
        <x:v>B</x:v>
      </x:c>
      <x:c r="F43" s="8" t="str">
        <x:v>Building Products</x:v>
      </x:c>
      <x:c r="G43" s="8" t="str">
        <x:v>United States</x:v>
      </x:c>
      <x:c r="H43" s="8" t="str">
        <x:v>1st Lien</x:v>
      </x:c>
      <x:c r="I43" s="8" t="str">
        <x:v>Floating</x:v>
      </x:c>
      <x:c r="J43" s="8" t="n">
        <x:v>275</x:v>
      </x:c>
      <x:c r="K43" s="10"/>
      <x:c r="L43" s="8" t="n">
        <x:v>0</x:v>
      </x:c>
      <x:c r="M43" s="11" t="n">
        <x:v>48182</x:v>
      </x:c>
      <x:c r="N43" s="10" t="n">
        <x:v>0.36</x:v>
      </x:c>
      <x:c r="O43" s="12" t="n">
        <x:v>99.5</x:v>
      </x:c>
      <x:c r="P43" s="13" t="n">
        <x:v>4</x:v>
      </x:c>
      <x:c r="Q43" s="8" t="str">
        <x:v>USD</x:v>
      </x:c>
      <x:c r="R43" s="8" t="str">
        <x:v>SOFR</x:v>
      </x:c>
      <x:c r="S43" s="1"/>
      <x:c r="T43" s="1"/>
      <x:c r="U43" s="1"/>
      <x:c r="V43" s="1"/>
      <x:c r="W43" s="1"/>
      <x:c r="X43" s="1"/>
      <x:c r="Y43" s="1"/>
    </x:row>
    <x:row r="44">
      <x:c r="A44" s="8" t="str">
        <x:v>SYN-LN-00037</x:v>
      </x:c>
      <x:c r="B44" s="8" t="str">
        <x:v>SYN-OB-0035</x:v>
      </x:c>
      <x:c r="C44" s="8" t="str">
        <x:v>Summit LLC 035</x:v>
      </x:c>
      <x:c r="D44" s="9" t="n">
        <x:v>1182000</x:v>
      </x:c>
      <x:c r="E44" s="8" t="str">
        <x:v>BB-</x:v>
      </x:c>
      <x:c r="F44" s="8" t="str">
        <x:v>Gas Utilities</x:v>
      </x:c>
      <x:c r="G44" s="8" t="str">
        <x:v>United States</x:v>
      </x:c>
      <x:c r="H44" s="8" t="str">
        <x:v>1st Lien</x:v>
      </x:c>
      <x:c r="I44" s="8" t="str">
        <x:v>Floating</x:v>
      </x:c>
      <x:c r="J44" s="8" t="n">
        <x:v>220</x:v>
      </x:c>
      <x:c r="K44" s="10"/>
      <x:c r="L44" s="8" t="n">
        <x:v>0</x:v>
      </x:c>
      <x:c r="M44" s="11" t="n">
        <x:v>48057</x:v>
      </x:c>
      <x:c r="N44" s="10" t="n">
        <x:v>0.2</x:v>
      </x:c>
      <x:c r="O44" s="12" t="n">
        <x:v>97.25</x:v>
      </x:c>
      <x:c r="P44" s="13" t="n">
        <x:v>4</x:v>
      </x:c>
      <x:c r="Q44" s="8" t="str">
        <x:v>USD</x:v>
      </x:c>
      <x:c r="R44" s="8" t="str">
        <x:v>SOFR</x:v>
      </x:c>
      <x:c r="S44" s="1"/>
      <x:c r="T44" s="1"/>
      <x:c r="U44" s="1"/>
      <x:c r="V44" s="1"/>
      <x:c r="W44" s="1"/>
      <x:c r="X44" s="1"/>
      <x:c r="Y44" s="1"/>
    </x:row>
    <x:row r="45">
      <x:c r="A45" s="8" t="str">
        <x:v>SYN-LN-00038</x:v>
      </x:c>
      <x:c r="B45" s="8" t="str">
        <x:v>SYN-OB-0036</x:v>
      </x:c>
      <x:c r="C45" s="8" t="str">
        <x:v>Timber Holdings 036</x:v>
      </x:c>
      <x:c r="D45" s="9" t="n">
        <x:v>1182000</x:v>
      </x:c>
      <x:c r="E45" s="8" t="str">
        <x:v>B-</x:v>
      </x:c>
      <x:c r="F45" s="8" t="str">
        <x:v>Machinery</x:v>
      </x:c>
      <x:c r="G45" s="8" t="str">
        <x:v>United States</x:v>
      </x:c>
      <x:c r="H45" s="8" t="str">
        <x:v>1st Lien</x:v>
      </x:c>
      <x:c r="I45" s="8" t="str">
        <x:v>Floating</x:v>
      </x:c>
      <x:c r="J45" s="8" t="n">
        <x:v>460</x:v>
      </x:c>
      <x:c r="K45" s="10"/>
      <x:c r="L45" s="8" t="n">
        <x:v>0</x:v>
      </x:c>
      <x:c r="M45" s="11" t="n">
        <x:v>48638</x:v>
      </x:c>
      <x:c r="N45" s="10" t="n">
        <x:v>0.47</x:v>
      </x:c>
      <x:c r="O45" s="12" t="n">
        <x:v>101.5</x:v>
      </x:c>
      <x:c r="P45" s="13" t="n">
        <x:v>4</x:v>
      </x:c>
      <x:c r="Q45" s="8" t="str">
        <x:v>USD</x:v>
      </x:c>
      <x:c r="R45" s="8" t="str">
        <x:v>SOFR</x:v>
      </x:c>
      <x:c r="S45" s="1"/>
      <x:c r="T45" s="1"/>
      <x:c r="U45" s="1"/>
      <x:c r="V45" s="1"/>
      <x:c r="W45" s="1"/>
      <x:c r="X45" s="1"/>
      <x:c r="Y45" s="1"/>
    </x:row>
    <x:row r="46">
      <x:c r="A46" s="8" t="str">
        <x:v>SYN-LN-00039</x:v>
      </x:c>
      <x:c r="B46" s="8" t="str">
        <x:v>SYN-OB-0037</x:v>
      </x:c>
      <x:c r="C46" s="8" t="str">
        <x:v>Westhaven Inc. 037</x:v>
      </x:c>
      <x:c r="D46" s="9" t="n">
        <x:v>1182000</x:v>
      </x:c>
      <x:c r="E46" s="8" t="str">
        <x:v>B-</x:v>
      </x:c>
      <x:c r="F46" s="8" t="str">
        <x:v>Energy Equipment &amp; Services</x:v>
      </x:c>
      <x:c r="G46" s="8" t="str">
        <x:v>United States</x:v>
      </x:c>
      <x:c r="H46" s="8" t="str">
        <x:v>1st Lien</x:v>
      </x:c>
      <x:c r="I46" s="8" t="str">
        <x:v>Floating</x:v>
      </x:c>
      <x:c r="J46" s="8" t="n">
        <x:v>150</x:v>
      </x:c>
      <x:c r="K46" s="10"/>
      <x:c r="L46" s="8" t="n">
        <x:v>0</x:v>
      </x:c>
      <x:c r="M46" s="11" t="n">
        <x:v>47327</x:v>
      </x:c>
      <x:c r="N46" s="10" t="n">
        <x:v>0.34</x:v>
      </x:c>
      <x:c r="O46" s="12" t="n">
        <x:v>98.75</x:v>
      </x:c>
      <x:c r="P46" s="13" t="n">
        <x:v>4</x:v>
      </x:c>
      <x:c r="Q46" s="8" t="str">
        <x:v>USD</x:v>
      </x:c>
      <x:c r="R46" s="8" t="str">
        <x:v>SOFR</x:v>
      </x:c>
      <x:c r="S46" s="1"/>
      <x:c r="T46" s="1"/>
      <x:c r="U46" s="1"/>
      <x:c r="V46" s="1"/>
      <x:c r="W46" s="1"/>
      <x:c r="X46" s="1"/>
      <x:c r="Y46" s="1"/>
    </x:row>
    <x:row r="47">
      <x:c r="A47" s="8" t="str">
        <x:v>SYN-LN-00040</x:v>
      </x:c>
      <x:c r="B47" s="8" t="str">
        <x:v>SYN-OB-0038</x:v>
      </x:c>
      <x:c r="C47" s="8" t="str">
        <x:v>Willow Corp. 038</x:v>
      </x:c>
      <x:c r="D47" s="9" t="n">
        <x:v>630000</x:v>
      </x:c>
      <x:c r="E47" s="8" t="str">
        <x:v>BB</x:v>
      </x:c>
      <x:c r="F47" s="8" t="str">
        <x:v>Auto Components</x:v>
      </x:c>
      <x:c r="G47" s="8" t="str">
        <x:v>Canada</x:v>
      </x:c>
      <x:c r="H47" s="8" t="str">
        <x:v>1st Lien</x:v>
      </x:c>
      <x:c r="I47" s="8" t="str">
        <x:v>Floating</x:v>
      </x:c>
      <x:c r="J47" s="8" t="n">
        <x:v>295</x:v>
      </x:c>
      <x:c r="K47" s="10"/>
      <x:c r="L47" s="8" t="n">
        <x:v>50</x:v>
      </x:c>
      <x:c r="M47" s="11" t="n">
        <x:v>48563</x:v>
      </x:c>
      <x:c r="N47" s="10" t="n">
        <x:v>0.62</x:v>
      </x:c>
      <x:c r="O47" s="12" t="n">
        <x:v>100.75</x:v>
      </x:c>
      <x:c r="P47" s="13" t="n">
        <x:v>4</x:v>
      </x:c>
      <x:c r="Q47" s="8" t="str">
        <x:v>USD</x:v>
      </x:c>
      <x:c r="R47" s="8" t="str">
        <x:v>SOFR</x:v>
      </x:c>
      <x:c r="S47" s="1"/>
      <x:c r="T47" s="1"/>
      <x:c r="U47" s="1"/>
      <x:c r="V47" s="1"/>
      <x:c r="W47" s="1"/>
      <x:c r="X47" s="1"/>
      <x:c r="Y47" s="1"/>
    </x:row>
    <x:row r="48">
      <x:c r="A48" s="8" t="str">
        <x:v>SYN-LN-00041</x:v>
      </x:c>
      <x:c r="B48" s="8" t="str">
        <x:v>SYN-OB-0039</x:v>
      </x:c>
      <x:c r="C48" s="8" t="str">
        <x:v>Windward Group 039</x:v>
      </x:c>
      <x:c r="D48" s="9" t="n">
        <x:v>1182000</x:v>
      </x:c>
      <x:c r="E48" s="8" t="str">
        <x:v>B</x:v>
      </x:c>
      <x:c r="F48" s="8" t="str">
        <x:v>Aerospace &amp; Defense</x:v>
      </x:c>
      <x:c r="G48" s="8" t="str">
        <x:v>United States</x:v>
      </x:c>
      <x:c r="H48" s="8" t="str">
        <x:v>1st Lien</x:v>
      </x:c>
      <x:c r="I48" s="8" t="str">
        <x:v>Floating</x:v>
      </x:c>
      <x:c r="J48" s="8" t="n">
        <x:v>220</x:v>
      </x:c>
      <x:c r="K48" s="10"/>
      <x:c r="L48" s="8" t="n">
        <x:v>0</x:v>
      </x:c>
      <x:c r="M48" s="11" t="n">
        <x:v>48745</x:v>
      </x:c>
      <x:c r="N48" s="10" t="n">
        <x:v>0.415</x:v>
      </x:c>
      <x:c r="O48" s="12" t="n">
        <x:v>100.75</x:v>
      </x:c>
      <x:c r="P48" s="13" t="n">
        <x:v>4</x:v>
      </x:c>
      <x:c r="Q48" s="8" t="str">
        <x:v>USD</x:v>
      </x:c>
      <x:c r="R48" s="8" t="str">
        <x:v>SOFR</x:v>
      </x:c>
      <x:c r="S48" s="1"/>
      <x:c r="T48" s="1"/>
      <x:c r="U48" s="1"/>
      <x:c r="V48" s="1"/>
      <x:c r="W48" s="1"/>
      <x:c r="X48" s="1"/>
      <x:c r="Y48" s="1"/>
    </x:row>
    <x:row r="49">
      <x:c r="A49" s="8" t="str">
        <x:v>SYN-LN-00042</x:v>
      </x:c>
      <x:c r="B49" s="8" t="str">
        <x:v>SYN-OB-0040</x:v>
      </x:c>
      <x:c r="C49" s="8" t="str">
        <x:v>Woodland LLC 040</x:v>
      </x:c>
      <x:c r="D49" s="9" t="n">
        <x:v>1182000</x:v>
      </x:c>
      <x:c r="E49" s="8" t="str">
        <x:v>BB</x:v>
      </x:c>
      <x:c r="F49" s="8" t="str">
        <x:v>Interactive media and services</x:v>
      </x:c>
      <x:c r="G49" s="8" t="str">
        <x:v>United States</x:v>
      </x:c>
      <x:c r="H49" s="8" t="str">
        <x:v>1st Lien</x:v>
      </x:c>
      <x:c r="I49" s="8" t="str">
        <x:v>Floating</x:v>
      </x:c>
      <x:c r="J49" s="8" t="n">
        <x:v>305</x:v>
      </x:c>
      <x:c r="K49" s="10"/>
      <x:c r="L49" s="8" t="n">
        <x:v>0</x:v>
      </x:c>
      <x:c r="M49" s="11" t="n">
        <x:v>48548</x:v>
      </x:c>
      <x:c r="N49" s="10" t="n">
        <x:v>0.545</x:v>
      </x:c>
      <x:c r="O49" s="12" t="n">
        <x:v>99.125</x:v>
      </x:c>
      <x:c r="P49" s="13" t="n">
        <x:v>4</x:v>
      </x:c>
      <x:c r="Q49" s="8" t="str">
        <x:v>USD</x:v>
      </x:c>
      <x:c r="R49" s="8" t="str">
        <x:v>SOFR</x:v>
      </x:c>
      <x:c r="S49" s="1"/>
      <x:c r="T49" s="1"/>
      <x:c r="U49" s="1"/>
      <x:c r="V49" s="1"/>
      <x:c r="W49" s="1"/>
      <x:c r="X49" s="1"/>
      <x:c r="Y49" s="1"/>
    </x:row>
    <x:row r="50">
      <x:c r="A50" s="8" t="str">
        <x:v>SYN-LN-00043</x:v>
      </x:c>
      <x:c r="B50" s="8" t="str">
        <x:v>SYN-OB-0041</x:v>
      </x:c>
      <x:c r="C50" s="8" t="str">
        <x:v>Alder Holdings 041</x:v>
      </x:c>
      <x:c r="D50" s="9" t="n">
        <x:v>1182000</x:v>
      </x:c>
      <x:c r="E50" s="8" t="str">
        <x:v>B</x:v>
      </x:c>
      <x:c r="F50" s="8" t="str">
        <x:v>IT Services</x:v>
      </x:c>
      <x:c r="G50" s="8" t="str">
        <x:v>United States</x:v>
      </x:c>
      <x:c r="H50" s="8" t="str">
        <x:v>1st Lien</x:v>
      </x:c>
      <x:c r="I50" s="8" t="str">
        <x:v>Floating</x:v>
      </x:c>
      <x:c r="J50" s="8" t="n">
        <x:v>270</x:v>
      </x:c>
      <x:c r="K50" s="10"/>
      <x:c r="L50" s="8" t="n">
        <x:v>0</x:v>
      </x:c>
      <x:c r="M50" s="11" t="n">
        <x:v>48882</x:v>
      </x:c>
      <x:c r="N50" s="10" t="n">
        <x:v>0.28</x:v>
      </x:c>
      <x:c r="O50" s="12" t="n">
        <x:v>99.125</x:v>
      </x:c>
      <x:c r="P50" s="13" t="n">
        <x:v>4</x:v>
      </x:c>
      <x:c r="Q50" s="8" t="str">
        <x:v>USD</x:v>
      </x:c>
      <x:c r="R50" s="8" t="str">
        <x:v>SOFR</x:v>
      </x:c>
      <x:c r="S50" s="1"/>
      <x:c r="T50" s="1"/>
      <x:c r="U50" s="1"/>
      <x:c r="V50" s="1"/>
      <x:c r="W50" s="1"/>
      <x:c r="X50" s="1"/>
      <x:c r="Y50" s="1"/>
    </x:row>
    <x:row r="51">
      <x:c r="A51" s="8" t="str">
        <x:v>SYN-LN-00044</x:v>
      </x:c>
      <x:c r="B51" s="8" t="str">
        <x:v>SYN-OB-0042</x:v>
      </x:c>
      <x:c r="C51" s="8" t="str">
        <x:v>Amber Inc. 042</x:v>
      </x:c>
      <x:c r="D51" s="9" t="n">
        <x:v>1182000</x:v>
      </x:c>
      <x:c r="E51" s="8" t="str">
        <x:v>B+</x:v>
      </x:c>
      <x:c r="F51" s="8" t="str">
        <x:v>Semiconductors &amp; Semiconductor Equipment</x:v>
      </x:c>
      <x:c r="G51" s="8" t="str">
        <x:v>United States</x:v>
      </x:c>
      <x:c r="H51" s="8" t="str">
        <x:v>1st Lien</x:v>
      </x:c>
      <x:c r="I51" s="8" t="str">
        <x:v>Floating</x:v>
      </x:c>
      <x:c r="J51" s="8" t="n">
        <x:v>330</x:v>
      </x:c>
      <x:c r="K51" s="10"/>
      <x:c r="L51" s="8" t="n">
        <x:v>0</x:v>
      </x:c>
      <x:c r="M51" s="11" t="n">
        <x:v>48182</x:v>
      </x:c>
      <x:c r="N51" s="10" t="n">
        <x:v>0.425</x:v>
      </x:c>
      <x:c r="O51" s="12" t="n">
        <x:v>99.625</x:v>
      </x:c>
      <x:c r="P51" s="13" t="n">
        <x:v>4</x:v>
      </x:c>
      <x:c r="Q51" s="8" t="str">
        <x:v>USD</x:v>
      </x:c>
      <x:c r="R51" s="8" t="str">
        <x:v>SOFR</x:v>
      </x:c>
      <x:c r="S51" s="1"/>
      <x:c r="T51" s="1"/>
      <x:c r="U51" s="1"/>
      <x:c r="V51" s="1"/>
      <x:c r="W51" s="1"/>
      <x:c r="X51" s="1"/>
      <x:c r="Y51" s="1"/>
    </x:row>
    <x:row r="52">
      <x:c r="A52" s="8" t="str">
        <x:v>SYN-LN-00045</x:v>
      </x:c>
      <x:c r="B52" s="8" t="str">
        <x:v>SYN-OB-0043</x:v>
      </x:c>
      <x:c r="C52" s="8" t="str">
        <x:v>Arbor Corp. 043</x:v>
      </x:c>
      <x:c r="D52" s="9" t="n">
        <x:v>1182000</x:v>
      </x:c>
      <x:c r="E52" s="8" t="str">
        <x:v>B</x:v>
      </x:c>
      <x:c r="F52" s="8" t="str">
        <x:v>Healthcare Providers &amp; Services</x:v>
      </x:c>
      <x:c r="G52" s="8" t="str">
        <x:v>United States</x:v>
      </x:c>
      <x:c r="H52" s="8" t="str">
        <x:v>1st Lien</x:v>
      </x:c>
      <x:c r="I52" s="8" t="str">
        <x:v>Floating</x:v>
      </x:c>
      <x:c r="J52" s="8" t="n">
        <x:v>365</x:v>
      </x:c>
      <x:c r="K52" s="10"/>
      <x:c r="L52" s="8" t="n">
        <x:v>0</x:v>
      </x:c>
      <x:c r="M52" s="11" t="n">
        <x:v>48852</x:v>
      </x:c>
      <x:c r="N52" s="10" t="n">
        <x:v>0.39</x:v>
      </x:c>
      <x:c r="O52" s="12" t="n">
        <x:v>101.5</x:v>
      </x:c>
      <x:c r="P52" s="13" t="n">
        <x:v>4</x:v>
      </x:c>
      <x:c r="Q52" s="8" t="str">
        <x:v>USD</x:v>
      </x:c>
      <x:c r="R52" s="8" t="str">
        <x:v>SOFR</x:v>
      </x:c>
      <x:c r="S52" s="1"/>
      <x:c r="T52" s="1"/>
      <x:c r="U52" s="1"/>
      <x:c r="V52" s="1"/>
      <x:c r="W52" s="1"/>
      <x:c r="X52" s="1"/>
      <x:c r="Y52" s="1"/>
    </x:row>
    <x:row r="53">
      <x:c r="A53" s="8" t="str">
        <x:v>SYN-LN-00046</x:v>
      </x:c>
      <x:c r="B53" s="8" t="str">
        <x:v>SYN-OB-0044</x:v>
      </x:c>
      <x:c r="C53" s="8" t="str">
        <x:v>Atlas Group 044</x:v>
      </x:c>
      <x:c r="D53" s="9" t="n">
        <x:v>1182000</x:v>
      </x:c>
      <x:c r="E53" s="8" t="str">
        <x:v>B+</x:v>
      </x:c>
      <x:c r="F53" s="8" t="str">
        <x:v>Electric Utilities</x:v>
      </x:c>
      <x:c r="G53" s="8" t="str">
        <x:v>United States</x:v>
      </x:c>
      <x:c r="H53" s="8" t="str">
        <x:v>1st Lien</x:v>
      </x:c>
      <x:c r="I53" s="8" t="str">
        <x:v>Floating</x:v>
      </x:c>
      <x:c r="J53" s="8" t="n">
        <x:v>300</x:v>
      </x:c>
      <x:c r="K53" s="10"/>
      <x:c r="L53" s="8" t="n">
        <x:v>0</x:v>
      </x:c>
      <x:c r="M53" s="11" t="n">
        <x:v>48911</x:v>
      </x:c>
      <x:c r="N53" s="10" t="n">
        <x:v>0.43</x:v>
      </x:c>
      <x:c r="O53" s="12" t="n">
        <x:v>101.125</x:v>
      </x:c>
      <x:c r="P53" s="13" t="n">
        <x:v>4</x:v>
      </x:c>
      <x:c r="Q53" s="8" t="str">
        <x:v>USD</x:v>
      </x:c>
      <x:c r="R53" s="8" t="str">
        <x:v>SOFR</x:v>
      </x:c>
      <x:c r="S53" s="1"/>
      <x:c r="T53" s="1"/>
      <x:c r="U53" s="1"/>
      <x:c r="V53" s="1"/>
      <x:c r="W53" s="1"/>
      <x:c r="X53" s="1"/>
      <x:c r="Y53" s="1"/>
    </x:row>
    <x:row r="54">
      <x:c r="A54" s="8" t="str">
        <x:v>SYN-LN-00047</x:v>
      </x:c>
      <x:c r="B54" s="8" t="str">
        <x:v>SYN-OB-0045</x:v>
      </x:c>
      <x:c r="C54" s="8" t="str">
        <x:v>Beacon LLC 045</x:v>
      </x:c>
      <x:c r="D54" s="9" t="n">
        <x:v>1182000</x:v>
      </x:c>
      <x:c r="E54" s="8" t="str">
        <x:v>B</x:v>
      </x:c>
      <x:c r="F54" s="8" t="str">
        <x:v>Aerospace &amp; Defense</x:v>
      </x:c>
      <x:c r="G54" s="8" t="str">
        <x:v>United States</x:v>
      </x:c>
      <x:c r="H54" s="8" t="str">
        <x:v>1st Lien</x:v>
      </x:c>
      <x:c r="I54" s="8" t="str">
        <x:v>Floating</x:v>
      </x:c>
      <x:c r="J54" s="8" t="n">
        <x:v>360</x:v>
      </x:c>
      <x:c r="K54" s="10"/>
      <x:c r="L54" s="8" t="n">
        <x:v>0</x:v>
      </x:c>
      <x:c r="M54" s="11" t="n">
        <x:v>48928</x:v>
      </x:c>
      <x:c r="N54" s="10" t="n">
        <x:v>0.305</x:v>
      </x:c>
      <x:c r="O54" s="12" t="n">
        <x:v>98.75</x:v>
      </x:c>
      <x:c r="P54" s="13" t="n">
        <x:v>4</x:v>
      </x:c>
      <x:c r="Q54" s="8" t="str">
        <x:v>USD</x:v>
      </x:c>
      <x:c r="R54" s="8" t="str">
        <x:v>SOFR</x:v>
      </x:c>
      <x:c r="S54" s="1"/>
      <x:c r="T54" s="1"/>
      <x:c r="U54" s="1"/>
      <x:c r="V54" s="1"/>
      <x:c r="W54" s="1"/>
      <x:c r="X54" s="1"/>
      <x:c r="Y54" s="1"/>
    </x:row>
    <x:row r="55">
      <x:c r="A55" s="8" t="str">
        <x:v>SYN-LN-00048</x:v>
      </x:c>
      <x:c r="B55" s="8" t="str">
        <x:v>SYN-OB-0046</x:v>
      </x:c>
      <x:c r="C55" s="8" t="str">
        <x:v>Bluewater Holdings 046</x:v>
      </x:c>
      <x:c r="D55" s="9" t="n">
        <x:v>1182000</x:v>
      </x:c>
      <x:c r="E55" s="8" t="str">
        <x:v>B</x:v>
      </x:c>
      <x:c r="F55" s="8" t="str">
        <x:v>Aerospace &amp; Defense</x:v>
      </x:c>
      <x:c r="G55" s="8" t="str">
        <x:v>United States</x:v>
      </x:c>
      <x:c r="H55" s="8" t="str">
        <x:v>1st Lien</x:v>
      </x:c>
      <x:c r="I55" s="8" t="str">
        <x:v>Floating</x:v>
      </x:c>
      <x:c r="J55" s="8" t="n">
        <x:v>365</x:v>
      </x:c>
      <x:c r="K55" s="10"/>
      <x:c r="L55" s="8" t="n">
        <x:v>0</x:v>
      </x:c>
      <x:c r="M55" s="11" t="n">
        <x:v>47832</x:v>
      </x:c>
      <x:c r="N55" s="10" t="n">
        <x:v>0.445</x:v>
      </x:c>
      <x:c r="O55" s="12" t="n">
        <x:v>101.5</x:v>
      </x:c>
      <x:c r="P55" s="13" t="n">
        <x:v>4</x:v>
      </x:c>
      <x:c r="Q55" s="8" t="str">
        <x:v>USD</x:v>
      </x:c>
      <x:c r="R55" s="8" t="str">
        <x:v>SOFR</x:v>
      </x:c>
      <x:c r="S55" s="1"/>
      <x:c r="T55" s="1"/>
      <x:c r="U55" s="1"/>
      <x:c r="V55" s="1"/>
      <x:c r="W55" s="1"/>
      <x:c r="X55" s="1"/>
      <x:c r="Y55" s="1"/>
    </x:row>
    <x:row r="56">
      <x:c r="A56" s="8" t="str">
        <x:v>SYN-LN-00049</x:v>
      </x:c>
      <x:c r="B56" s="8" t="str">
        <x:v>SYN-OB-0047</x:v>
      </x:c>
      <x:c r="C56" s="8" t="str">
        <x:v>Bracken Inc. 047</x:v>
      </x:c>
      <x:c r="D56" s="9" t="n">
        <x:v>1182000</x:v>
      </x:c>
      <x:c r="E56" s="8" t="str">
        <x:v>B-</x:v>
      </x:c>
      <x:c r="F56" s="8" t="str">
        <x:v>Diversified Telecommunication Services</x:v>
      </x:c>
      <x:c r="G56" s="8" t="str">
        <x:v>United States</x:v>
      </x:c>
      <x:c r="H56" s="8" t="str">
        <x:v>1st Lien</x:v>
      </x:c>
      <x:c r="I56" s="8" t="str">
        <x:v>Floating</x:v>
      </x:c>
      <x:c r="J56" s="8" t="n">
        <x:v>430</x:v>
      </x:c>
      <x:c r="K56" s="10"/>
      <x:c r="L56" s="8" t="n">
        <x:v>0</x:v>
      </x:c>
      <x:c r="M56" s="11" t="n">
        <x:v>47437</x:v>
      </x:c>
      <x:c r="N56" s="10" t="n">
        <x:v>0.375</x:v>
      </x:c>
      <x:c r="O56" s="12" t="n">
        <x:v>95.5</x:v>
      </x:c>
      <x:c r="P56" s="13" t="n">
        <x:v>4</x:v>
      </x:c>
      <x:c r="Q56" s="8" t="str">
        <x:v>USD</x:v>
      </x:c>
      <x:c r="R56" s="8" t="str">
        <x:v>SOFR</x:v>
      </x:c>
      <x:c r="S56" s="1"/>
      <x:c r="T56" s="1"/>
      <x:c r="U56" s="1"/>
      <x:c r="V56" s="1"/>
      <x:c r="W56" s="1"/>
      <x:c r="X56" s="1"/>
      <x:c r="Y56" s="1"/>
    </x:row>
    <x:row r="57">
      <x:c r="A57" s="8" t="str">
        <x:v>SYN-LN-00050</x:v>
      </x:c>
      <x:c r="B57" s="8" t="str">
        <x:v>SYN-OB-0048</x:v>
      </x:c>
      <x:c r="C57" s="8" t="str">
        <x:v>Cedar Corp. 048</x:v>
      </x:c>
      <x:c r="D57" s="9" t="n">
        <x:v>630000</x:v>
      </x:c>
      <x:c r="E57" s="8" t="str">
        <x:v>BBB-</x:v>
      </x:c>
      <x:c r="F57" s="8" t="str">
        <x:v>Financial services</x:v>
      </x:c>
      <x:c r="G57" s="8" t="str">
        <x:v>Netherlands</x:v>
      </x:c>
      <x:c r="H57" s="8" t="str">
        <x:v>Sr Secured</x:v>
      </x:c>
      <x:c r="I57" s="8" t="str">
        <x:v>Floating</x:v>
      </x:c>
      <x:c r="J57" s="8" t="n">
        <x:v>210</x:v>
      </x:c>
      <x:c r="K57" s="10"/>
      <x:c r="L57" s="8" t="n">
        <x:v>50</x:v>
      </x:c>
      <x:c r="M57" s="11" t="n">
        <x:v>47618</x:v>
      </x:c>
      <x:c r="N57" s="10" t="n">
        <x:v>0.33</x:v>
      </x:c>
      <x:c r="O57" s="12" t="n">
        <x:v>97.625</x:v>
      </x:c>
      <x:c r="P57" s="13" t="n">
        <x:v>4</x:v>
      </x:c>
      <x:c r="Q57" s="8" t="str">
        <x:v>USD</x:v>
      </x:c>
      <x:c r="R57" s="8" t="str">
        <x:v>SOFR</x:v>
      </x:c>
      <x:c r="S57" s="1"/>
      <x:c r="T57" s="1"/>
      <x:c r="U57" s="1"/>
      <x:c r="V57" s="1"/>
      <x:c r="W57" s="1"/>
      <x:c r="X57" s="1"/>
      <x:c r="Y57" s="1"/>
    </x:row>
    <x:row r="58">
      <x:c r="A58" s="8" t="str">
        <x:v>SYN-LN-00051</x:v>
      </x:c>
      <x:c r="B58" s="8" t="str">
        <x:v>SYN-OB-0049</x:v>
      </x:c>
      <x:c r="C58" s="8" t="str">
        <x:v>Cobalt Group 049</x:v>
      </x:c>
      <x:c r="D58" s="9" t="n">
        <x:v>1182000</x:v>
      </x:c>
      <x:c r="E58" s="8" t="str">
        <x:v>BB</x:v>
      </x:c>
      <x:c r="F58" s="8" t="str">
        <x:v>Banks</x:v>
      </x:c>
      <x:c r="G58" s="8" t="str">
        <x:v>United States</x:v>
      </x:c>
      <x:c r="H58" s="8" t="str">
        <x:v>1st Lien</x:v>
      </x:c>
      <x:c r="I58" s="8" t="str">
        <x:v>Floating</x:v>
      </x:c>
      <x:c r="J58" s="8" t="n">
        <x:v>260</x:v>
      </x:c>
      <x:c r="K58" s="10"/>
      <x:c r="L58" s="8" t="n">
        <x:v>0</x:v>
      </x:c>
      <x:c r="M58" s="11" t="n">
        <x:v>47529</x:v>
      </x:c>
      <x:c r="N58" s="10" t="n">
        <x:v>0.515</x:v>
      </x:c>
      <x:c r="O58" s="12" t="n">
        <x:v>99.125</x:v>
      </x:c>
      <x:c r="P58" s="13" t="n">
        <x:v>4</x:v>
      </x:c>
      <x:c r="Q58" s="8" t="str">
        <x:v>USD</x:v>
      </x:c>
      <x:c r="R58" s="8" t="str">
        <x:v>SOFR</x:v>
      </x:c>
      <x:c r="S58" s="1"/>
      <x:c r="T58" s="1"/>
      <x:c r="U58" s="1"/>
      <x:c r="V58" s="1"/>
      <x:c r="W58" s="1"/>
      <x:c r="X58" s="1"/>
      <x:c r="Y58" s="1"/>
    </x:row>
    <x:row r="59">
      <x:c r="A59" s="8" t="str">
        <x:v>SYN-LN-00052</x:v>
      </x:c>
      <x:c r="B59" s="8" t="str">
        <x:v>SYN-OB-0050</x:v>
      </x:c>
      <x:c r="C59" s="8" t="str">
        <x:v>Copper LLC 050</x:v>
      </x:c>
      <x:c r="D59" s="9" t="n">
        <x:v>630000</x:v>
      </x:c>
      <x:c r="E59" s="8" t="str">
        <x:v>BB+</x:v>
      </x:c>
      <x:c r="F59" s="8" t="str">
        <x:v>Construction &amp; Engineering</x:v>
      </x:c>
      <x:c r="G59" s="8" t="str">
        <x:v>United States</x:v>
      </x:c>
      <x:c r="H59" s="8" t="str">
        <x:v>1st Lien</x:v>
      </x:c>
      <x:c r="I59" s="8" t="str">
        <x:v>Floating</x:v>
      </x:c>
      <x:c r="J59" s="8" t="n">
        <x:v>195</x:v>
      </x:c>
      <x:c r="K59" s="10"/>
      <x:c r="L59" s="8" t="n">
        <x:v>50</x:v>
      </x:c>
      <x:c r="M59" s="11" t="n">
        <x:v>47815</x:v>
      </x:c>
      <x:c r="N59" s="10" t="n">
        <x:v>0.475</x:v>
      </x:c>
      <x:c r="O59" s="12" t="n">
        <x:v>99.125</x:v>
      </x:c>
      <x:c r="P59" s="13" t="n">
        <x:v>4</x:v>
      </x:c>
      <x:c r="Q59" s="8" t="str">
        <x:v>USD</x:v>
      </x:c>
      <x:c r="R59" s="8" t="str">
        <x:v>SOFR</x:v>
      </x:c>
      <x:c r="S59" s="1"/>
      <x:c r="T59" s="1"/>
      <x:c r="U59" s="1"/>
      <x:c r="V59" s="1"/>
      <x:c r="W59" s="1"/>
      <x:c r="X59" s="1"/>
      <x:c r="Y59" s="1"/>
    </x:row>
    <x:row r="60">
      <x:c r="A60" s="8" t="str">
        <x:v>SYN-LN-00053</x:v>
      </x:c>
      <x:c r="B60" s="8" t="str">
        <x:v>SYN-OB-0051</x:v>
      </x:c>
      <x:c r="C60" s="8" t="str">
        <x:v>Crest Holdings 051</x:v>
      </x:c>
      <x:c r="D60" s="9" t="n">
        <x:v>1182000</x:v>
      </x:c>
      <x:c r="E60" s="8" t="str">
        <x:v>BB-</x:v>
      </x:c>
      <x:c r="F60" s="8" t="str">
        <x:v>Food Products</x:v>
      </x:c>
      <x:c r="G60" s="8" t="str">
        <x:v>United Kingdom</x:v>
      </x:c>
      <x:c r="H60" s="8" t="str">
        <x:v>1st Lien</x:v>
      </x:c>
      <x:c r="I60" s="8" t="str">
        <x:v>Floating</x:v>
      </x:c>
      <x:c r="J60" s="8" t="n">
        <x:v>355</x:v>
      </x:c>
      <x:c r="K60" s="10"/>
      <x:c r="L60" s="8" t="n">
        <x:v>0</x:v>
      </x:c>
      <x:c r="M60" s="11" t="n">
        <x:v>48423</x:v>
      </x:c>
      <x:c r="N60" s="10" t="n">
        <x:v>0.4</x:v>
      </x:c>
      <x:c r="O60" s="12" t="n">
        <x:v>99.375</x:v>
      </x:c>
      <x:c r="P60" s="13" t="n">
        <x:v>4</x:v>
      </x:c>
      <x:c r="Q60" s="8" t="str">
        <x:v>USD</x:v>
      </x:c>
      <x:c r="R60" s="8" t="str">
        <x:v>SOFR</x:v>
      </x:c>
      <x:c r="S60" s="1"/>
      <x:c r="T60" s="1"/>
      <x:c r="U60" s="1"/>
      <x:c r="V60" s="1"/>
      <x:c r="W60" s="1"/>
      <x:c r="X60" s="1"/>
      <x:c r="Y60" s="1"/>
    </x:row>
    <x:row r="61">
      <x:c r="A61" s="8" t="str">
        <x:v>SYN-LN-00054</x:v>
      </x:c>
      <x:c r="B61" s="8" t="str">
        <x:v>SYN-OB-0052</x:v>
      </x:c>
      <x:c r="C61" s="8" t="str">
        <x:v>Duneland Inc. 052</x:v>
      </x:c>
      <x:c r="D61" s="9" t="n">
        <x:v>1182000</x:v>
      </x:c>
      <x:c r="E61" s="8" t="str">
        <x:v>B-</x:v>
      </x:c>
      <x:c r="F61" s="8" t="str">
        <x:v>Software</x:v>
      </x:c>
      <x:c r="G61" s="8" t="str">
        <x:v>United States</x:v>
      </x:c>
      <x:c r="H61" s="8" t="str">
        <x:v>1st Lien</x:v>
      </x:c>
      <x:c r="I61" s="8" t="str">
        <x:v>Floating</x:v>
      </x:c>
      <x:c r="J61" s="8" t="n">
        <x:v>380</x:v>
      </x:c>
      <x:c r="K61" s="10"/>
      <x:c r="L61" s="8" t="n">
        <x:v>0</x:v>
      </x:c>
      <x:c r="M61" s="11" t="n">
        <x:v>48546</x:v>
      </x:c>
      <x:c r="N61" s="10" t="n">
        <x:v>0.37</x:v>
      </x:c>
      <x:c r="O61" s="12" t="n">
        <x:v>95.875</x:v>
      </x:c>
      <x:c r="P61" s="13" t="n">
        <x:v>4</x:v>
      </x:c>
      <x:c r="Q61" s="8" t="str">
        <x:v>USD</x:v>
      </x:c>
      <x:c r="R61" s="8" t="str">
        <x:v>SOFR</x:v>
      </x:c>
      <x:c r="S61" s="1"/>
      <x:c r="T61" s="1"/>
      <x:c r="U61" s="1"/>
      <x:c r="V61" s="1"/>
      <x:c r="W61" s="1"/>
      <x:c r="X61" s="1"/>
      <x:c r="Y61" s="1"/>
    </x:row>
    <x:row r="62">
      <x:c r="A62" s="8" t="str">
        <x:v>SYN-LN-00055</x:v>
      </x:c>
      <x:c r="B62" s="8" t="str">
        <x:v>SYN-OB-0053</x:v>
      </x:c>
      <x:c r="C62" s="8" t="str">
        <x:v>Elmstone Corp. 053</x:v>
      </x:c>
      <x:c r="D62" s="9" t="n">
        <x:v>1182000</x:v>
      </x:c>
      <x:c r="E62" s="8" t="str">
        <x:v>B+</x:v>
      </x:c>
      <x:c r="F62" s="8" t="str">
        <x:v>Industrial Conglomerates</x:v>
      </x:c>
      <x:c r="G62" s="8" t="str">
        <x:v>United States</x:v>
      </x:c>
      <x:c r="H62" s="8" t="str">
        <x:v>1st Lien</x:v>
      </x:c>
      <x:c r="I62" s="8" t="str">
        <x:v>Floating</x:v>
      </x:c>
      <x:c r="J62" s="8" t="n">
        <x:v>195</x:v>
      </x:c>
      <x:c r="K62" s="10"/>
      <x:c r="L62" s="8" t="n">
        <x:v>0</x:v>
      </x:c>
      <x:c r="M62" s="11" t="n">
        <x:v>47710</x:v>
      </x:c>
      <x:c r="N62" s="10" t="n">
        <x:v>0.49</x:v>
      </x:c>
      <x:c r="O62" s="12" t="n">
        <x:v>101.25</x:v>
      </x:c>
      <x:c r="P62" s="13" t="n">
        <x:v>4</x:v>
      </x:c>
      <x:c r="Q62" s="8" t="str">
        <x:v>USD</x:v>
      </x:c>
      <x:c r="R62" s="8" t="str">
        <x:v>SOFR</x:v>
      </x:c>
      <x:c r="S62" s="1"/>
      <x:c r="T62" s="1"/>
      <x:c r="U62" s="1"/>
      <x:c r="V62" s="1"/>
      <x:c r="W62" s="1"/>
      <x:c r="X62" s="1"/>
      <x:c r="Y62" s="1"/>
    </x:row>
    <x:row r="63">
      <x:c r="A63" s="8" t="str">
        <x:v>SYN-LN-00056</x:v>
      </x:c>
      <x:c r="B63" s="8" t="str">
        <x:v>SYN-OB-0054</x:v>
      </x:c>
      <x:c r="C63" s="8" t="str">
        <x:v>Evergreen Group 054</x:v>
      </x:c>
      <x:c r="D63" s="9" t="n">
        <x:v>1182000</x:v>
      </x:c>
      <x:c r="E63" s="8" t="str">
        <x:v>B-</x:v>
      </x:c>
      <x:c r="F63" s="8" t="str">
        <x:v>Diversified Telecommunication Services</x:v>
      </x:c>
      <x:c r="G63" s="8" t="str">
        <x:v>United States</x:v>
      </x:c>
      <x:c r="H63" s="8" t="str">
        <x:v>1st Lien</x:v>
      </x:c>
      <x:c r="I63" s="8" t="str">
        <x:v>Floating</x:v>
      </x:c>
      <x:c r="J63" s="8" t="n">
        <x:v>335</x:v>
      </x:c>
      <x:c r="K63" s="10"/>
      <x:c r="L63" s="8" t="n">
        <x:v>0</x:v>
      </x:c>
      <x:c r="M63" s="11" t="n">
        <x:v>48699</x:v>
      </x:c>
      <x:c r="N63" s="10" t="n">
        <x:v>0.2</x:v>
      </x:c>
      <x:c r="O63" s="12" t="n">
        <x:v>101.5</x:v>
      </x:c>
      <x:c r="P63" s="13" t="n">
        <x:v>4</x:v>
      </x:c>
      <x:c r="Q63" s="8" t="str">
        <x:v>USD</x:v>
      </x:c>
      <x:c r="R63" s="8" t="str">
        <x:v>SOFR</x:v>
      </x:c>
      <x:c r="S63" s="1"/>
      <x:c r="T63" s="1"/>
      <x:c r="U63" s="1"/>
      <x:c r="V63" s="1"/>
      <x:c r="W63" s="1"/>
      <x:c r="X63" s="1"/>
      <x:c r="Y63" s="1"/>
    </x:row>
    <x:row r="64">
      <x:c r="A64" s="8" t="str">
        <x:v>SYN-LN-00057</x:v>
      </x:c>
      <x:c r="B64" s="8" t="str">
        <x:v>SYN-OB-0055</x:v>
      </x:c>
      <x:c r="C64" s="8" t="str">
        <x:v>Fairhaven LLC 055</x:v>
      </x:c>
      <x:c r="D64" s="9" t="n">
        <x:v>630000</x:v>
      </x:c>
      <x:c r="E64" s="8" t="str">
        <x:v>B-</x:v>
      </x:c>
      <x:c r="F64" s="8" t="str">
        <x:v>Healthcare Providers &amp; Services</x:v>
      </x:c>
      <x:c r="G64" s="8" t="str">
        <x:v>Austria</x:v>
      </x:c>
      <x:c r="H64" s="8" t="str">
        <x:v>1st Lien</x:v>
      </x:c>
      <x:c r="I64" s="8" t="str">
        <x:v>Floating</x:v>
      </x:c>
      <x:c r="J64" s="8" t="n">
        <x:v>425</x:v>
      </x:c>
      <x:c r="K64" s="10"/>
      <x:c r="L64" s="8" t="n">
        <x:v>50</x:v>
      </x:c>
      <x:c r="M64" s="11" t="n">
        <x:v>48485</x:v>
      </x:c>
      <x:c r="N64" s="10" t="n">
        <x:v>0.405</x:v>
      </x:c>
      <x:c r="O64" s="12" t="n">
        <x:v>96.25</x:v>
      </x:c>
      <x:c r="P64" s="13" t="n">
        <x:v>4</x:v>
      </x:c>
      <x:c r="Q64" s="8" t="str">
        <x:v>USD</x:v>
      </x:c>
      <x:c r="R64" s="8" t="str">
        <x:v>SOFR</x:v>
      </x:c>
      <x:c r="S64" s="1"/>
      <x:c r="T64" s="1"/>
      <x:c r="U64" s="1"/>
      <x:c r="V64" s="1"/>
      <x:c r="W64" s="1"/>
      <x:c r="X64" s="1"/>
      <x:c r="Y64" s="1"/>
    </x:row>
    <x:row r="65">
      <x:c r="A65" s="8" t="str">
        <x:v>SYN-LN-00058</x:v>
      </x:c>
      <x:c r="B65" s="8" t="str">
        <x:v>SYN-OB-0056</x:v>
      </x:c>
      <x:c r="C65" s="8" t="str">
        <x:v>Granite Holdings 056</x:v>
      </x:c>
      <x:c r="D65" s="9" t="n">
        <x:v>630000</x:v>
      </x:c>
      <x:c r="E65" s="8" t="str">
        <x:v>BBB+</x:v>
      </x:c>
      <x:c r="F65" s="8" t="str">
        <x:v>Leisure Products</x:v>
      </x:c>
      <x:c r="G65" s="8" t="str">
        <x:v>United Kingdom</x:v>
      </x:c>
      <x:c r="H65" s="8" t="str">
        <x:v>1st Lien</x:v>
      </x:c>
      <x:c r="I65" s="8" t="str">
        <x:v>Floating</x:v>
      </x:c>
      <x:c r="J65" s="8" t="n">
        <x:v>265</x:v>
      </x:c>
      <x:c r="K65" s="10"/>
      <x:c r="L65" s="8" t="n">
        <x:v>50</x:v>
      </x:c>
      <x:c r="M65" s="11" t="n">
        <x:v>47679</x:v>
      </x:c>
      <x:c r="N65" s="10" t="n">
        <x:v>0.495</x:v>
      </x:c>
      <x:c r="O65" s="12" t="n">
        <x:v>95.375</x:v>
      </x:c>
      <x:c r="P65" s="13" t="n">
        <x:v>4</x:v>
      </x:c>
      <x:c r="Q65" s="8" t="str">
        <x:v>USD</x:v>
      </x:c>
      <x:c r="R65" s="8" t="str">
        <x:v>SOFR</x:v>
      </x:c>
      <x:c r="S65" s="1"/>
      <x:c r="T65" s="1"/>
      <x:c r="U65" s="1"/>
      <x:c r="V65" s="1"/>
      <x:c r="W65" s="1"/>
      <x:c r="X65" s="1"/>
      <x:c r="Y65" s="1"/>
    </x:row>
    <x:row r="66">
      <x:c r="A66" s="8" t="str">
        <x:v>SYN-LN-00059</x:v>
      </x:c>
      <x:c r="B66" s="8" t="str">
        <x:v>SYN-OB-0057</x:v>
      </x:c>
      <x:c r="C66" s="8" t="str">
        <x:v>Harbor Inc. 057</x:v>
      </x:c>
      <x:c r="D66" s="9" t="n">
        <x:v>1182000</x:v>
      </x:c>
      <x:c r="E66" s="8" t="str">
        <x:v>BB+</x:v>
      </x:c>
      <x:c r="F66" s="8" t="str">
        <x:v>Leisure Products</x:v>
      </x:c>
      <x:c r="G66" s="8" t="str">
        <x:v>United States</x:v>
      </x:c>
      <x:c r="H66" s="8" t="str">
        <x:v>1st Lien</x:v>
      </x:c>
      <x:c r="I66" s="8" t="str">
        <x:v>Floating</x:v>
      </x:c>
      <x:c r="J66" s="8" t="n">
        <x:v>190</x:v>
      </x:c>
      <x:c r="K66" s="10"/>
      <x:c r="L66" s="8" t="n">
        <x:v>0</x:v>
      </x:c>
      <x:c r="M66" s="11" t="n">
        <x:v>48609</x:v>
      </x:c>
      <x:c r="N66" s="10" t="n">
        <x:v>0.46</x:v>
      </x:c>
      <x:c r="O66" s="12" t="n">
        <x:v>100.5</x:v>
      </x:c>
      <x:c r="P66" s="13" t="n">
        <x:v>4</x:v>
      </x:c>
      <x:c r="Q66" s="8" t="str">
        <x:v>USD</x:v>
      </x:c>
      <x:c r="R66" s="8" t="str">
        <x:v>SOFR</x:v>
      </x:c>
      <x:c r="S66" s="1"/>
      <x:c r="T66" s="1"/>
      <x:c r="U66" s="1"/>
      <x:c r="V66" s="1"/>
      <x:c r="W66" s="1"/>
      <x:c r="X66" s="1"/>
      <x:c r="Y66" s="1"/>
    </x:row>
    <x:row r="67">
      <x:c r="A67" s="8" t="str">
        <x:v>SYN-LN-00060</x:v>
      </x:c>
      <x:c r="B67" s="8" t="str">
        <x:v>SYN-OB-0058</x:v>
      </x:c>
      <x:c r="C67" s="8" t="str">
        <x:v>Hawthorne Corp. 058</x:v>
      </x:c>
      <x:c r="D67" s="9" t="n">
        <x:v>1182000</x:v>
      </x:c>
      <x:c r="E67" s="8" t="str">
        <x:v>BB-</x:v>
      </x:c>
      <x:c r="F67" s="8" t="str">
        <x:v>Household Products</x:v>
      </x:c>
      <x:c r="G67" s="8" t="str">
        <x:v>United States</x:v>
      </x:c>
      <x:c r="H67" s="8" t="str">
        <x:v>1st Lien</x:v>
      </x:c>
      <x:c r="I67" s="8" t="str">
        <x:v>Floating</x:v>
      </x:c>
      <x:c r="J67" s="8" t="n">
        <x:v>265</x:v>
      </x:c>
      <x:c r="K67" s="10"/>
      <x:c r="L67" s="8" t="n">
        <x:v>0</x:v>
      </x:c>
      <x:c r="M67" s="11" t="n">
        <x:v>48941</x:v>
      </x:c>
      <x:c r="N67" s="10" t="n">
        <x:v>0.35</x:v>
      </x:c>
      <x:c r="O67" s="12" t="n">
        <x:v>96</x:v>
      </x:c>
      <x:c r="P67" s="13" t="n">
        <x:v>4</x:v>
      </x:c>
      <x:c r="Q67" s="8" t="str">
        <x:v>USD</x:v>
      </x:c>
      <x:c r="R67" s="8" t="str">
        <x:v>SOFR</x:v>
      </x:c>
      <x:c r="S67" s="1"/>
      <x:c r="T67" s="1"/>
      <x:c r="U67" s="1"/>
      <x:c r="V67" s="1"/>
      <x:c r="W67" s="1"/>
      <x:c r="X67" s="1"/>
      <x:c r="Y67" s="1"/>
    </x:row>
    <x:row r="68">
      <x:c r="A68" s="8" t="str">
        <x:v>SYN-LN-00061</x:v>
      </x:c>
      <x:c r="B68" s="8" t="str">
        <x:v>SYN-OB-0059</x:v>
      </x:c>
      <x:c r="C68" s="8" t="str">
        <x:v>Highland Group 059</x:v>
      </x:c>
      <x:c r="D68" s="9" t="n">
        <x:v>1182000</x:v>
      </x:c>
      <x:c r="E68" s="8" t="str">
        <x:v>B-</x:v>
      </x:c>
      <x:c r="F68" s="8" t="str">
        <x:v>Transportation Infrastructure</x:v>
      </x:c>
      <x:c r="G68" s="8" t="str">
        <x:v>United States</x:v>
      </x:c>
      <x:c r="H68" s="8" t="str">
        <x:v>1st Lien</x:v>
      </x:c>
      <x:c r="I68" s="8" t="str">
        <x:v>Floating</x:v>
      </x:c>
      <x:c r="J68" s="8" t="n">
        <x:v>410</x:v>
      </x:c>
      <x:c r="K68" s="10"/>
      <x:c r="L68" s="8" t="n">
        <x:v>0</x:v>
      </x:c>
      <x:c r="M68" s="11" t="n">
        <x:v>48197</x:v>
      </x:c>
      <x:c r="N68" s="10" t="n">
        <x:v>0.45</x:v>
      </x:c>
      <x:c r="O68" s="12" t="n">
        <x:v>96.5</x:v>
      </x:c>
      <x:c r="P68" s="13" t="n">
        <x:v>4</x:v>
      </x:c>
      <x:c r="Q68" s="8" t="str">
        <x:v>USD</x:v>
      </x:c>
      <x:c r="R68" s="8" t="str">
        <x:v>SOFR</x:v>
      </x:c>
      <x:c r="S68" s="1"/>
      <x:c r="T68" s="1"/>
      <x:c r="U68" s="1"/>
      <x:c r="V68" s="1"/>
      <x:c r="W68" s="1"/>
      <x:c r="X68" s="1"/>
      <x:c r="Y68" s="1"/>
    </x:row>
    <x:row r="69">
      <x:c r="A69" s="8" t="str">
        <x:v>SYN-LN-00062</x:v>
      </x:c>
      <x:c r="B69" s="8" t="str">
        <x:v>SYN-OB-0060</x:v>
      </x:c>
      <x:c r="C69" s="8" t="str">
        <x:v>Ironwood LLC 060</x:v>
      </x:c>
      <x:c r="D69" s="9" t="n">
        <x:v>1182000</x:v>
      </x:c>
      <x:c r="E69" s="8" t="str">
        <x:v>B</x:v>
      </x:c>
      <x:c r="F69" s="8" t="str">
        <x:v>Diversified Consumer Services</x:v>
      </x:c>
      <x:c r="G69" s="8" t="str">
        <x:v>United States</x:v>
      </x:c>
      <x:c r="H69" s="8" t="str">
        <x:v>1st Lien</x:v>
      </x:c>
      <x:c r="I69" s="8" t="str">
        <x:v>Floating</x:v>
      </x:c>
      <x:c r="J69" s="8" t="n">
        <x:v>275</x:v>
      </x:c>
      <x:c r="K69" s="10"/>
      <x:c r="L69" s="8" t="n">
        <x:v>0</x:v>
      </x:c>
      <x:c r="M69" s="11" t="n">
        <x:v>49094</x:v>
      </x:c>
      <x:c r="N69" s="10" t="n">
        <x:v>0.43</x:v>
      </x:c>
      <x:c r="O69" s="12" t="n">
        <x:v>101.25</x:v>
      </x:c>
      <x:c r="P69" s="13" t="n">
        <x:v>4</x:v>
      </x:c>
      <x:c r="Q69" s="8" t="str">
        <x:v>USD</x:v>
      </x:c>
      <x:c r="R69" s="8" t="str">
        <x:v>SOFR</x:v>
      </x:c>
      <x:c r="S69" s="1"/>
      <x:c r="T69" s="1"/>
      <x:c r="U69" s="1"/>
      <x:c r="V69" s="1"/>
      <x:c r="W69" s="1"/>
      <x:c r="X69" s="1"/>
      <x:c r="Y69" s="1"/>
    </x:row>
    <x:row r="70">
      <x:c r="A70" s="8" t="str">
        <x:v>SYN-LN-00063</x:v>
      </x:c>
      <x:c r="B70" s="8" t="str">
        <x:v>SYN-OB-0061</x:v>
      </x:c>
      <x:c r="C70" s="8" t="str">
        <x:v>Juniper Holdings 061</x:v>
      </x:c>
      <x:c r="D70" s="9" t="n">
        <x:v>630000</x:v>
      </x:c>
      <x:c r="E70" s="8" t="str">
        <x:v>B+</x:v>
      </x:c>
      <x:c r="F70" s="8" t="str">
        <x:v>Electric Utilities</x:v>
      </x:c>
      <x:c r="G70" s="8" t="str">
        <x:v>Ireland</x:v>
      </x:c>
      <x:c r="H70" s="8" t="str">
        <x:v>1st Lien</x:v>
      </x:c>
      <x:c r="I70" s="8" t="str">
        <x:v>Floating</x:v>
      </x:c>
      <x:c r="J70" s="8" t="n">
        <x:v>300</x:v>
      </x:c>
      <x:c r="K70" s="10"/>
      <x:c r="L70" s="8" t="n">
        <x:v>0</x:v>
      </x:c>
      <x:c r="M70" s="11" t="n">
        <x:v>48487</x:v>
      </x:c>
      <x:c r="N70" s="10" t="n">
        <x:v>0.415</x:v>
      </x:c>
      <x:c r="O70" s="12" t="n">
        <x:v>100</x:v>
      </x:c>
      <x:c r="P70" s="13" t="n">
        <x:v>4</x:v>
      </x:c>
      <x:c r="Q70" s="8" t="str">
        <x:v>USD</x:v>
      </x:c>
      <x:c r="R70" s="8" t="str">
        <x:v>SOFR</x:v>
      </x:c>
      <x:c r="S70" s="1"/>
      <x:c r="T70" s="1"/>
      <x:c r="U70" s="1"/>
      <x:c r="V70" s="1"/>
      <x:c r="W70" s="1"/>
      <x:c r="X70" s="1"/>
      <x:c r="Y70" s="1"/>
    </x:row>
    <x:row r="71">
      <x:c r="A71" s="8" t="str">
        <x:v>SYN-LN-00064</x:v>
      </x:c>
      <x:c r="B71" s="8" t="str">
        <x:v>SYN-OB-0062</x:v>
      </x:c>
      <x:c r="C71" s="8" t="str">
        <x:v>Keystone Inc. 062</x:v>
      </x:c>
      <x:c r="D71" s="9" t="n">
        <x:v>1182000</x:v>
      </x:c>
      <x:c r="E71" s="8" t="str">
        <x:v>B+</x:v>
      </x:c>
      <x:c r="F71" s="8" t="str">
        <x:v>Electric Utilities</x:v>
      </x:c>
      <x:c r="G71" s="8" t="str">
        <x:v>United States</x:v>
      </x:c>
      <x:c r="H71" s="8" t="str">
        <x:v>1st Lien</x:v>
      </x:c>
      <x:c r="I71" s="8" t="str">
        <x:v>Floating</x:v>
      </x:c>
      <x:c r="J71" s="8" t="n">
        <x:v>285</x:v>
      </x:c>
      <x:c r="K71" s="10"/>
      <x:c r="L71" s="8" t="n">
        <x:v>0</x:v>
      </x:c>
      <x:c r="M71" s="11" t="n">
        <x:v>48699</x:v>
      </x:c>
      <x:c r="N71" s="10" t="n">
        <x:v>0.375</x:v>
      </x:c>
      <x:c r="O71" s="12" t="n">
        <x:v>97.625</x:v>
      </x:c>
      <x:c r="P71" s="13" t="n">
        <x:v>4</x:v>
      </x:c>
      <x:c r="Q71" s="8" t="str">
        <x:v>USD</x:v>
      </x:c>
      <x:c r="R71" s="8" t="str">
        <x:v>SOFR</x:v>
      </x:c>
      <x:c r="S71" s="1"/>
      <x:c r="T71" s="1"/>
      <x:c r="U71" s="1"/>
      <x:c r="V71" s="1"/>
      <x:c r="W71" s="1"/>
      <x:c r="X71" s="1"/>
      <x:c r="Y71" s="1"/>
    </x:row>
    <x:row r="72">
      <x:c r="A72" s="8" t="str">
        <x:v>SYN-LN-00065</x:v>
      </x:c>
      <x:c r="B72" s="8" t="str">
        <x:v>SYN-OB-0063</x:v>
      </x:c>
      <x:c r="C72" s="8" t="str">
        <x:v>Lakeview Corp. 063</x:v>
      </x:c>
      <x:c r="D72" s="9" t="n">
        <x:v>1182000</x:v>
      </x:c>
      <x:c r="E72" s="8" t="str">
        <x:v>B-</x:v>
      </x:c>
      <x:c r="F72" s="8" t="str">
        <x:v>Software</x:v>
      </x:c>
      <x:c r="G72" s="8" t="str">
        <x:v>United States</x:v>
      </x:c>
      <x:c r="H72" s="8" t="str">
        <x:v>1st Lien</x:v>
      </x:c>
      <x:c r="I72" s="8" t="str">
        <x:v>Floating</x:v>
      </x:c>
      <x:c r="J72" s="8" t="n">
        <x:v>515</x:v>
      </x:c>
      <x:c r="K72" s="10"/>
      <x:c r="L72" s="8" t="n">
        <x:v>0</x:v>
      </x:c>
      <x:c r="M72" s="11" t="n">
        <x:v>47907</x:v>
      </x:c>
      <x:c r="N72" s="10" t="n">
        <x:v>0.3</x:v>
      </x:c>
      <x:c r="O72" s="12" t="n">
        <x:v>101.5</x:v>
      </x:c>
      <x:c r="P72" s="13" t="n">
        <x:v>4</x:v>
      </x:c>
      <x:c r="Q72" s="8" t="str">
        <x:v>USD</x:v>
      </x:c>
      <x:c r="R72" s="8" t="str">
        <x:v>SOFR</x:v>
      </x:c>
      <x:c r="S72" s="1"/>
      <x:c r="T72" s="1"/>
      <x:c r="U72" s="1"/>
      <x:c r="V72" s="1"/>
      <x:c r="W72" s="1"/>
      <x:c r="X72" s="1"/>
      <x:c r="Y72" s="1"/>
    </x:row>
    <x:row r="73">
      <x:c r="A73" s="8" t="str">
        <x:v>SYN-LN-00066</x:v>
      </x:c>
      <x:c r="B73" s="8" t="str">
        <x:v>SYN-OB-0064</x:v>
      </x:c>
      <x:c r="C73" s="8" t="str">
        <x:v>Larkspur Group 064</x:v>
      </x:c>
      <x:c r="D73" s="9" t="n">
        <x:v>1182000</x:v>
      </x:c>
      <x:c r="E73" s="8" t="str">
        <x:v>B-</x:v>
      </x:c>
      <x:c r="F73" s="8" t="str">
        <x:v>Financial services</x:v>
      </x:c>
      <x:c r="G73" s="8" t="str">
        <x:v>United Kingdom</x:v>
      </x:c>
      <x:c r="H73" s="8" t="str">
        <x:v>1st Lien</x:v>
      </x:c>
      <x:c r="I73" s="8" t="str">
        <x:v>Floating</x:v>
      </x:c>
      <x:c r="J73" s="8" t="n">
        <x:v>455</x:v>
      </x:c>
      <x:c r="K73" s="10"/>
      <x:c r="L73" s="8" t="n">
        <x:v>0</x:v>
      </x:c>
      <x:c r="M73" s="11" t="n">
        <x:v>47876</x:v>
      </x:c>
      <x:c r="N73" s="10" t="n">
        <x:v>0.33</x:v>
      </x:c>
      <x:c r="O73" s="12" t="n">
        <x:v>100.75</x:v>
      </x:c>
      <x:c r="P73" s="13" t="n">
        <x:v>4</x:v>
      </x:c>
      <x:c r="Q73" s="8" t="str">
        <x:v>USD</x:v>
      </x:c>
      <x:c r="R73" s="8" t="str">
        <x:v>SOFR</x:v>
      </x:c>
      <x:c r="S73" s="1"/>
      <x:c r="T73" s="1"/>
      <x:c r="U73" s="1"/>
      <x:c r="V73" s="1"/>
      <x:c r="W73" s="1"/>
      <x:c r="X73" s="1"/>
      <x:c r="Y73" s="1"/>
    </x:row>
    <x:row r="74">
      <x:c r="A74" s="8" t="str">
        <x:v>SYN-LN-00067</x:v>
      </x:c>
      <x:c r="B74" s="8" t="str">
        <x:v>SYN-OB-0065</x:v>
      </x:c>
      <x:c r="C74" s="8" t="str">
        <x:v>Maple LLC 065</x:v>
      </x:c>
      <x:c r="D74" s="9" t="n">
        <x:v>1182000</x:v>
      </x:c>
      <x:c r="E74" s="8" t="str">
        <x:v>BB-</x:v>
      </x:c>
      <x:c r="F74" s="8" t="str">
        <x:v>Hotels, Restaurants &amp; Leisure</x:v>
      </x:c>
      <x:c r="G74" s="8" t="str">
        <x:v>United States</x:v>
      </x:c>
      <x:c r="H74" s="8" t="str">
        <x:v>1st Lien</x:v>
      </x:c>
      <x:c r="I74" s="8" t="str">
        <x:v>Floating</x:v>
      </x:c>
      <x:c r="J74" s="8" t="n">
        <x:v>225</x:v>
      </x:c>
      <x:c r="K74" s="10"/>
      <x:c r="L74" s="8" t="n">
        <x:v>0</x:v>
      </x:c>
      <x:c r="M74" s="11" t="n">
        <x:v>47756</x:v>
      </x:c>
      <x:c r="N74" s="10" t="n">
        <x:v>0.2</x:v>
      </x:c>
      <x:c r="O74" s="12" t="n">
        <x:v>101.5</x:v>
      </x:c>
      <x:c r="P74" s="13" t="n">
        <x:v>4</x:v>
      </x:c>
      <x:c r="Q74" s="8" t="str">
        <x:v>USD</x:v>
      </x:c>
      <x:c r="R74" s="8" t="str">
        <x:v>SOFR</x:v>
      </x:c>
      <x:c r="S74" s="1"/>
      <x:c r="T74" s="1"/>
      <x:c r="U74" s="1"/>
      <x:c r="V74" s="1"/>
      <x:c r="W74" s="1"/>
      <x:c r="X74" s="1"/>
      <x:c r="Y74" s="1"/>
    </x:row>
    <x:row r="75">
      <x:c r="A75" s="8" t="str">
        <x:v>SYN-LN-00068</x:v>
      </x:c>
      <x:c r="B75" s="8" t="str">
        <x:v>SYN-OB-0066</x:v>
      </x:c>
      <x:c r="C75" s="8" t="str">
        <x:v>Meridian Holdings 066</x:v>
      </x:c>
      <x:c r="D75" s="9" t="n">
        <x:v>1182000</x:v>
      </x:c>
      <x:c r="E75" s="8" t="str">
        <x:v>B-</x:v>
      </x:c>
      <x:c r="F75" s="8" t="str">
        <x:v>Financial services</x:v>
      </x:c>
      <x:c r="G75" s="8" t="str">
        <x:v>United States</x:v>
      </x:c>
      <x:c r="H75" s="8" t="str">
        <x:v>1st Lien</x:v>
      </x:c>
      <x:c r="I75" s="8" t="str">
        <x:v>Floating</x:v>
      </x:c>
      <x:c r="J75" s="8" t="n">
        <x:v>365</x:v>
      </x:c>
      <x:c r="K75" s="10"/>
      <x:c r="L75" s="8" t="n">
        <x:v>0</x:v>
      </x:c>
      <x:c r="M75" s="11" t="n">
        <x:v>47786</x:v>
      </x:c>
      <x:c r="N75" s="10" t="n">
        <x:v>0.395</x:v>
      </x:c>
      <x:c r="O75" s="12" t="n">
        <x:v>98</x:v>
      </x:c>
      <x:c r="P75" s="13" t="n">
        <x:v>4</x:v>
      </x:c>
      <x:c r="Q75" s="8" t="str">
        <x:v>USD</x:v>
      </x:c>
      <x:c r="R75" s="8" t="str">
        <x:v>SOFR</x:v>
      </x:c>
      <x:c r="S75" s="1"/>
      <x:c r="T75" s="1"/>
      <x:c r="U75" s="1"/>
      <x:c r="V75" s="1"/>
      <x:c r="W75" s="1"/>
      <x:c r="X75" s="1"/>
      <x:c r="Y75" s="1"/>
    </x:row>
    <x:row r="76">
      <x:c r="A76" s="8" t="str">
        <x:v>SYN-LN-00069</x:v>
      </x:c>
      <x:c r="B76" s="8" t="str">
        <x:v>SYN-OB-0067</x:v>
      </x:c>
      <x:c r="C76" s="8" t="str">
        <x:v>Northfield Inc. 067</x:v>
      </x:c>
      <x:c r="D76" s="9" t="n">
        <x:v>1182000</x:v>
      </x:c>
      <x:c r="E76" s="8" t="str">
        <x:v>BB</x:v>
      </x:c>
      <x:c r="F76" s="8" t="str">
        <x:v>Diversified Telecommunication Services</x:v>
      </x:c>
      <x:c r="G76" s="8" t="str">
        <x:v>United States</x:v>
      </x:c>
      <x:c r="H76" s="8" t="str">
        <x:v>1st Lien</x:v>
      </x:c>
      <x:c r="I76" s="8" t="str">
        <x:v>Floating</x:v>
      </x:c>
      <x:c r="J76" s="8" t="n">
        <x:v>215</x:v>
      </x:c>
      <x:c r="K76" s="10"/>
      <x:c r="L76" s="8" t="n">
        <x:v>0</x:v>
      </x:c>
      <x:c r="M76" s="11" t="n">
        <x:v>47662</x:v>
      </x:c>
      <x:c r="N76" s="10" t="n">
        <x:v>0.55</x:v>
      </x:c>
      <x:c r="O76" s="12" t="n">
        <x:v>100.875</x:v>
      </x:c>
      <x:c r="P76" s="13" t="n">
        <x:v>4</x:v>
      </x:c>
      <x:c r="Q76" s="8" t="str">
        <x:v>USD</x:v>
      </x:c>
      <x:c r="R76" s="8" t="str">
        <x:v>SOFR</x:v>
      </x:c>
      <x:c r="S76" s="1"/>
      <x:c r="T76" s="1"/>
      <x:c r="U76" s="1"/>
      <x:c r="V76" s="1"/>
      <x:c r="W76" s="1"/>
      <x:c r="X76" s="1"/>
      <x:c r="Y76" s="1"/>
    </x:row>
    <x:row r="77">
      <x:c r="A77" s="8" t="str">
        <x:v>SYN-LN-00070</x:v>
      </x:c>
      <x:c r="B77" s="8" t="str">
        <x:v>SYN-OB-0068</x:v>
      </x:c>
      <x:c r="C77" s="8" t="str">
        <x:v>Oakmont Corp. 068</x:v>
      </x:c>
      <x:c r="D77" s="9" t="n">
        <x:v>1182000</x:v>
      </x:c>
      <x:c r="E77" s="8" t="str">
        <x:v>B</x:v>
      </x:c>
      <x:c r="F77" s="8" t="str">
        <x:v>Chemicals</x:v>
      </x:c>
      <x:c r="G77" s="8" t="str">
        <x:v>United States</x:v>
      </x:c>
      <x:c r="H77" s="8" t="str">
        <x:v>1st Lien</x:v>
      </x:c>
      <x:c r="I77" s="8" t="str">
        <x:v>Floating</x:v>
      </x:c>
      <x:c r="J77" s="8" t="n">
        <x:v>190</x:v>
      </x:c>
      <x:c r="K77" s="10"/>
      <x:c r="L77" s="8" t="n">
        <x:v>0</x:v>
      </x:c>
      <x:c r="M77" s="11" t="n">
        <x:v>48119</x:v>
      </x:c>
      <x:c r="N77" s="10" t="n">
        <x:v>0.31</x:v>
      </x:c>
      <x:c r="O77" s="12" t="n">
        <x:v>100</x:v>
      </x:c>
      <x:c r="P77" s="13" t="n">
        <x:v>4</x:v>
      </x:c>
      <x:c r="Q77" s="8" t="str">
        <x:v>USD</x:v>
      </x:c>
      <x:c r="R77" s="8" t="str">
        <x:v>SOFR</x:v>
      </x:c>
      <x:c r="S77" s="1"/>
      <x:c r="T77" s="1"/>
      <x:c r="U77" s="1"/>
      <x:c r="V77" s="1"/>
      <x:c r="W77" s="1"/>
      <x:c r="X77" s="1"/>
      <x:c r="Y77" s="1"/>
    </x:row>
    <x:row r="78">
      <x:c r="A78" s="8" t="str">
        <x:v>SYN-LN-00071</x:v>
      </x:c>
      <x:c r="B78" s="8" t="str">
        <x:v>SYN-OB-0069</x:v>
      </x:c>
      <x:c r="C78" s="8" t="str">
        <x:v>Orchard Group 069</x:v>
      </x:c>
      <x:c r="D78" s="9" t="n">
        <x:v>1182000</x:v>
      </x:c>
      <x:c r="E78" s="8" t="str">
        <x:v>B</x:v>
      </x:c>
      <x:c r="F78" s="8" t="str">
        <x:v>Diversified Consumer Services</x:v>
      </x:c>
      <x:c r="G78" s="8" t="str">
        <x:v>United States</x:v>
      </x:c>
      <x:c r="H78" s="8" t="str">
        <x:v>1st Lien</x:v>
      </x:c>
      <x:c r="I78" s="8" t="str">
        <x:v>Floating</x:v>
      </x:c>
      <x:c r="J78" s="8" t="n">
        <x:v>335</x:v>
      </x:c>
      <x:c r="K78" s="10"/>
      <x:c r="L78" s="8" t="n">
        <x:v>0</x:v>
      </x:c>
      <x:c r="M78" s="11" t="n">
        <x:v>48959</x:v>
      </x:c>
      <x:c r="N78" s="10" t="n">
        <x:v>0.39</x:v>
      </x:c>
      <x:c r="O78" s="12" t="n">
        <x:v>100.5</x:v>
      </x:c>
      <x:c r="P78" s="13" t="n">
        <x:v>4</x:v>
      </x:c>
      <x:c r="Q78" s="8" t="str">
        <x:v>USD</x:v>
      </x:c>
      <x:c r="R78" s="8" t="str">
        <x:v>SOFR</x:v>
      </x:c>
      <x:c r="S78" s="1"/>
      <x:c r="T78" s="1"/>
      <x:c r="U78" s="1"/>
      <x:c r="V78" s="1"/>
      <x:c r="W78" s="1"/>
      <x:c r="X78" s="1"/>
      <x:c r="Y78" s="1"/>
    </x:row>
    <x:row r="79">
      <x:c r="A79" s="8" t="str">
        <x:v>SYN-LN-00072</x:v>
      </x:c>
      <x:c r="B79" s="8" t="str">
        <x:v>SYN-OB-0070</x:v>
      </x:c>
      <x:c r="C79" s="8" t="str">
        <x:v>Pinecrest LLC 070</x:v>
      </x:c>
      <x:c r="D79" s="9" t="n">
        <x:v>630000</x:v>
      </x:c>
      <x:c r="E79" s="8" t="str">
        <x:v>B</x:v>
      </x:c>
      <x:c r="F79" s="8" t="str">
        <x:v>Electrical Equipment</x:v>
      </x:c>
      <x:c r="G79" s="8" t="str">
        <x:v>United States</x:v>
      </x:c>
      <x:c r="H79" s="8" t="str">
        <x:v>1st Lien</x:v>
      </x:c>
      <x:c r="I79" s="8" t="str">
        <x:v>Floating</x:v>
      </x:c>
      <x:c r="J79" s="8" t="n">
        <x:v>115</x:v>
      </x:c>
      <x:c r="K79" s="10"/>
      <x:c r="L79" s="8" t="n">
        <x:v>0</x:v>
      </x:c>
      <x:c r="M79" s="11" t="n">
        <x:v>48014</x:v>
      </x:c>
      <x:c r="N79" s="10" t="n">
        <x:v>0.225</x:v>
      </x:c>
      <x:c r="O79" s="12" t="n">
        <x:v>101.5</x:v>
      </x:c>
      <x:c r="P79" s="13" t="n">
        <x:v>4</x:v>
      </x:c>
      <x:c r="Q79" s="8" t="str">
        <x:v>USD</x:v>
      </x:c>
      <x:c r="R79" s="8" t="str">
        <x:v>SOFR</x:v>
      </x:c>
      <x:c r="S79" s="1"/>
      <x:c r="T79" s="1"/>
      <x:c r="U79" s="1"/>
      <x:c r="V79" s="1"/>
      <x:c r="W79" s="1"/>
      <x:c r="X79" s="1"/>
      <x:c r="Y79" s="1"/>
    </x:row>
    <x:row r="80">
      <x:c r="A80" s="8" t="str">
        <x:v>SYN-LN-00073</x:v>
      </x:c>
      <x:c r="B80" s="8" t="str">
        <x:v>SYN-OB-0071</x:v>
      </x:c>
      <x:c r="C80" s="8" t="str">
        <x:v>Redwood Holdings 071</x:v>
      </x:c>
      <x:c r="D80" s="9" t="n">
        <x:v>1182000</x:v>
      </x:c>
      <x:c r="E80" s="8" t="str">
        <x:v>B-</x:v>
      </x:c>
      <x:c r="F80" s="8" t="str">
        <x:v>Specialty Retail</x:v>
      </x:c>
      <x:c r="G80" s="8" t="str">
        <x:v>United States</x:v>
      </x:c>
      <x:c r="H80" s="8" t="str">
        <x:v>1st Lien</x:v>
      </x:c>
      <x:c r="I80" s="8" t="str">
        <x:v>Floating</x:v>
      </x:c>
      <x:c r="J80" s="8" t="n">
        <x:v>200</x:v>
      </x:c>
      <x:c r="K80" s="10"/>
      <x:c r="L80" s="8" t="n">
        <x:v>0</x:v>
      </x:c>
      <x:c r="M80" s="11" t="n">
        <x:v>49079</x:v>
      </x:c>
      <x:c r="N80" s="10" t="n">
        <x:v>0.445</x:v>
      </x:c>
      <x:c r="O80" s="12" t="n">
        <x:v>101.5</x:v>
      </x:c>
      <x:c r="P80" s="13" t="n">
        <x:v>4</x:v>
      </x:c>
      <x:c r="Q80" s="8" t="str">
        <x:v>USD</x:v>
      </x:c>
      <x:c r="R80" s="8" t="str">
        <x:v>SOFR</x:v>
      </x:c>
      <x:c r="S80" s="1"/>
      <x:c r="T80" s="1"/>
      <x:c r="U80" s="1"/>
      <x:c r="V80" s="1"/>
      <x:c r="W80" s="1"/>
      <x:c r="X80" s="1"/>
      <x:c r="Y80" s="1"/>
    </x:row>
    <x:row r="81">
      <x:c r="A81" s="8" t="str">
        <x:v>SYN-LN-00074</x:v>
      </x:c>
      <x:c r="B81" s="8" t="str">
        <x:v>SYN-OB-0072</x:v>
      </x:c>
      <x:c r="C81" s="8" t="str">
        <x:v>Riverton Inc. 072</x:v>
      </x:c>
      <x:c r="D81" s="9" t="n">
        <x:v>630000</x:v>
      </x:c>
      <x:c r="E81" s="8" t="str">
        <x:v>A-</x:v>
      </x:c>
      <x:c r="F81" s="8" t="str">
        <x:v>Building Products</x:v>
      </x:c>
      <x:c r="G81" s="8" t="str">
        <x:v>Germany</x:v>
      </x:c>
      <x:c r="H81" s="8" t="str">
        <x:v>1st Lien</x:v>
      </x:c>
      <x:c r="I81" s="8" t="str">
        <x:v>Floating</x:v>
      </x:c>
      <x:c r="J81" s="8" t="n">
        <x:v>335</x:v>
      </x:c>
      <x:c r="K81" s="10"/>
      <x:c r="L81" s="8" t="n">
        <x:v>0</x:v>
      </x:c>
      <x:c r="M81" s="11" t="n">
        <x:v>48533</x:v>
      </x:c>
      <x:c r="N81" s="10" t="n">
        <x:v>0.305</x:v>
      </x:c>
      <x:c r="O81" s="12" t="n">
        <x:v>98.375</x:v>
      </x:c>
      <x:c r="P81" s="13" t="n">
        <x:v>4</x:v>
      </x:c>
      <x:c r="Q81" s="8" t="str">
        <x:v>USD</x:v>
      </x:c>
      <x:c r="R81" s="8" t="str">
        <x:v>SOFR</x:v>
      </x:c>
      <x:c r="S81" s="1"/>
      <x:c r="T81" s="1"/>
      <x:c r="U81" s="1"/>
      <x:c r="V81" s="1"/>
      <x:c r="W81" s="1"/>
      <x:c r="X81" s="1"/>
      <x:c r="Y81" s="1"/>
    </x:row>
    <x:row r="82">
      <x:c r="A82" s="8" t="str">
        <x:v>SYN-LN-00075</x:v>
      </x:c>
      <x:c r="B82" s="8" t="str">
        <x:v>SYN-OB-0073</x:v>
      </x:c>
      <x:c r="C82" s="8" t="str">
        <x:v>Silver Corp. 073</x:v>
      </x:c>
      <x:c r="D82" s="9" t="n">
        <x:v>1182000</x:v>
      </x:c>
      <x:c r="E82" s="8" t="str">
        <x:v>B-</x:v>
      </x:c>
      <x:c r="F82" s="8" t="str">
        <x:v>Healthcare Technology</x:v>
      </x:c>
      <x:c r="G82" s="8" t="str">
        <x:v>United States</x:v>
      </x:c>
      <x:c r="H82" s="8" t="str">
        <x:v>1st Lien</x:v>
      </x:c>
      <x:c r="I82" s="8" t="str">
        <x:v>Floating</x:v>
      </x:c>
      <x:c r="J82" s="8" t="n">
        <x:v>405</x:v>
      </x:c>
      <x:c r="K82" s="10"/>
      <x:c r="L82" s="8" t="n">
        <x:v>0</x:v>
      </x:c>
      <x:c r="M82" s="11" t="n">
        <x:v>48485</x:v>
      </x:c>
      <x:c r="N82" s="10" t="n">
        <x:v>0.31</x:v>
      </x:c>
      <x:c r="O82" s="12" t="n">
        <x:v>97.125</x:v>
      </x:c>
      <x:c r="P82" s="13" t="n">
        <x:v>4</x:v>
      </x:c>
      <x:c r="Q82" s="8" t="str">
        <x:v>USD</x:v>
      </x:c>
      <x:c r="R82" s="8" t="str">
        <x:v>SOFR</x:v>
      </x:c>
      <x:c r="S82" s="1"/>
      <x:c r="T82" s="1"/>
      <x:c r="U82" s="1"/>
      <x:c r="V82" s="1"/>
      <x:c r="W82" s="1"/>
      <x:c r="X82" s="1"/>
      <x:c r="Y82" s="1"/>
    </x:row>
    <x:row r="83">
      <x:c r="A83" s="8" t="str">
        <x:v>SYN-LN-00076</x:v>
      </x:c>
      <x:c r="B83" s="8" t="str">
        <x:v>SYN-OB-0074</x:v>
      </x:c>
      <x:c r="C83" s="8" t="str">
        <x:v>Stonebridge Group 074</x:v>
      </x:c>
      <x:c r="D83" s="9" t="n">
        <x:v>1182000</x:v>
      </x:c>
      <x:c r="E83" s="8" t="str">
        <x:v>B</x:v>
      </x:c>
      <x:c r="F83" s="8" t="str">
        <x:v>Diversified Consumer Services</x:v>
      </x:c>
      <x:c r="G83" s="8" t="str">
        <x:v>United States</x:v>
      </x:c>
      <x:c r="H83" s="8" t="str">
        <x:v>1st Lien</x:v>
      </x:c>
      <x:c r="I83" s="8" t="str">
        <x:v>Floating</x:v>
      </x:c>
      <x:c r="J83" s="8" t="n">
        <x:v>240</x:v>
      </x:c>
      <x:c r="K83" s="10"/>
      <x:c r="L83" s="8" t="n">
        <x:v>0</x:v>
      </x:c>
      <x:c r="M83" s="11" t="n">
        <x:v>48243</x:v>
      </x:c>
      <x:c r="N83" s="10" t="n">
        <x:v>0.39</x:v>
      </x:c>
      <x:c r="O83" s="12" t="n">
        <x:v>98</x:v>
      </x:c>
      <x:c r="P83" s="13" t="n">
        <x:v>4</x:v>
      </x:c>
      <x:c r="Q83" s="8" t="str">
        <x:v>USD</x:v>
      </x:c>
      <x:c r="R83" s="8" t="str">
        <x:v>SOFR</x:v>
      </x:c>
      <x:c r="S83" s="1"/>
      <x:c r="T83" s="1"/>
      <x:c r="U83" s="1"/>
      <x:c r="V83" s="1"/>
      <x:c r="W83" s="1"/>
      <x:c r="X83" s="1"/>
      <x:c r="Y83" s="1"/>
    </x:row>
    <x:row r="84">
      <x:c r="A84" s="8" t="str">
        <x:v>SYN-LN-00077</x:v>
      </x:c>
      <x:c r="B84" s="8" t="str">
        <x:v>SYN-OB-0075</x:v>
      </x:c>
      <x:c r="C84" s="8" t="str">
        <x:v>Summit LLC 075</x:v>
      </x:c>
      <x:c r="D84" s="9" t="n">
        <x:v>1182000</x:v>
      </x:c>
      <x:c r="E84" s="8" t="str">
        <x:v>B+</x:v>
      </x:c>
      <x:c r="F84" s="8" t="str">
        <x:v>Insurance</x:v>
      </x:c>
      <x:c r="G84" s="8" t="str">
        <x:v>United States</x:v>
      </x:c>
      <x:c r="H84" s="8" t="str">
        <x:v>1st Lien</x:v>
      </x:c>
      <x:c r="I84" s="8" t="str">
        <x:v>Floating</x:v>
      </x:c>
      <x:c r="J84" s="8" t="n">
        <x:v>250</x:v>
      </x:c>
      <x:c r="K84" s="10"/>
      <x:c r="L84" s="8" t="n">
        <x:v>0</x:v>
      </x:c>
      <x:c r="M84" s="11" t="n">
        <x:v>48441</x:v>
      </x:c>
      <x:c r="N84" s="10" t="n">
        <x:v>0.365</x:v>
      </x:c>
      <x:c r="O84" s="12" t="n">
        <x:v>99.125</x:v>
      </x:c>
      <x:c r="P84" s="13" t="n">
        <x:v>4</x:v>
      </x:c>
      <x:c r="Q84" s="8" t="str">
        <x:v>USD</x:v>
      </x:c>
      <x:c r="R84" s="8" t="str">
        <x:v>SOFR</x:v>
      </x:c>
      <x:c r="S84" s="1"/>
      <x:c r="T84" s="1"/>
      <x:c r="U84" s="1"/>
      <x:c r="V84" s="1"/>
      <x:c r="W84" s="1"/>
      <x:c r="X84" s="1"/>
      <x:c r="Y84" s="1"/>
    </x:row>
    <x:row r="85">
      <x:c r="A85" s="8" t="str">
        <x:v>SYN-LN-00078</x:v>
      </x:c>
      <x:c r="B85" s="8" t="str">
        <x:v>SYN-OB-0076</x:v>
      </x:c>
      <x:c r="C85" s="8" t="str">
        <x:v>Timber Holdings 076</x:v>
      </x:c>
      <x:c r="D85" s="9" t="n">
        <x:v>770000</x:v>
      </x:c>
      <x:c r="E85" s="8" t="str">
        <x:v>BB-</x:v>
      </x:c>
      <x:c r="F85" s="8" t="str">
        <x:v>Oil, Gas &amp; Consumable Fuels</x:v>
      </x:c>
      <x:c r="G85" s="8" t="str">
        <x:v>United States</x:v>
      </x:c>
      <x:c r="H85" s="8" t="str">
        <x:v>1st Lien</x:v>
      </x:c>
      <x:c r="I85" s="8" t="str">
        <x:v>Floating</x:v>
      </x:c>
      <x:c r="J85" s="8" t="n">
        <x:v>200</x:v>
      </x:c>
      <x:c r="K85" s="10"/>
      <x:c r="L85" s="8" t="n">
        <x:v>0</x:v>
      </x:c>
      <x:c r="M85" s="11" t="n">
        <x:v>48362</x:v>
      </x:c>
      <x:c r="N85" s="10" t="n">
        <x:v>0.345</x:v>
      </x:c>
      <x:c r="O85" s="12" t="n">
        <x:v>101</x:v>
      </x:c>
      <x:c r="P85" s="13" t="n">
        <x:v>4</x:v>
      </x:c>
      <x:c r="Q85" s="8" t="str">
        <x:v>USD</x:v>
      </x:c>
      <x:c r="R85" s="8" t="str">
        <x:v>SOFR</x:v>
      </x:c>
      <x:c r="S85" s="1"/>
      <x:c r="T85" s="1"/>
      <x:c r="U85" s="1"/>
      <x:c r="V85" s="1"/>
      <x:c r="W85" s="1"/>
      <x:c r="X85" s="1"/>
      <x:c r="Y85" s="1"/>
    </x:row>
    <x:row r="86">
      <x:c r="A86" s="8" t="str">
        <x:v>SYN-LN-00079</x:v>
      </x:c>
      <x:c r="B86" s="8" t="str">
        <x:v>SYN-OB-0076</x:v>
      </x:c>
      <x:c r="C86" s="8" t="str">
        <x:v>Timber Holdings 076</x:v>
      </x:c>
      <x:c r="D86" s="9" t="n">
        <x:v>412000</x:v>
      </x:c>
      <x:c r="E86" s="8" t="str">
        <x:v>BB-</x:v>
      </x:c>
      <x:c r="F86" s="8" t="str">
        <x:v>Oil, Gas &amp; Consumable Fuels</x:v>
      </x:c>
      <x:c r="G86" s="8" t="str">
        <x:v>United States</x:v>
      </x:c>
      <x:c r="H86" s="8" t="str">
        <x:v>1st Lien</x:v>
      </x:c>
      <x:c r="I86" s="8" t="str">
        <x:v>Floating</x:v>
      </x:c>
      <x:c r="J86" s="8" t="n">
        <x:v>210</x:v>
      </x:c>
      <x:c r="K86" s="10"/>
      <x:c r="L86" s="8" t="n">
        <x:v>50</x:v>
      </x:c>
      <x:c r="M86" s="11" t="n">
        <x:v>48425</x:v>
      </x:c>
      <x:c r="N86" s="10" t="n">
        <x:v>0.345</x:v>
      </x:c>
      <x:c r="O86" s="12" t="n">
        <x:v>101.125</x:v>
      </x:c>
      <x:c r="P86" s="13" t="n">
        <x:v>4</x:v>
      </x:c>
      <x:c r="Q86" s="8" t="str">
        <x:v>USD</x:v>
      </x:c>
      <x:c r="R86" s="8" t="str">
        <x:v>SOFR</x:v>
      </x:c>
      <x:c r="S86" s="1"/>
      <x:c r="T86" s="1"/>
      <x:c r="U86" s="1"/>
      <x:c r="V86" s="1"/>
      <x:c r="W86" s="1"/>
      <x:c r="X86" s="1"/>
      <x:c r="Y86" s="1"/>
    </x:row>
    <x:row r="87">
      <x:c r="A87" s="8" t="str">
        <x:v>SYN-LN-00080</x:v>
      </x:c>
      <x:c r="B87" s="8" t="str">
        <x:v>SYN-OB-0077</x:v>
      </x:c>
      <x:c r="C87" s="8" t="str">
        <x:v>Westhaven Inc. 077</x:v>
      </x:c>
      <x:c r="D87" s="9" t="n">
        <x:v>1182000</x:v>
      </x:c>
      <x:c r="E87" s="8" t="str">
        <x:v>B</x:v>
      </x:c>
      <x:c r="F87" s="8" t="str">
        <x:v>IT Services</x:v>
      </x:c>
      <x:c r="G87" s="8" t="str">
        <x:v>United States</x:v>
      </x:c>
      <x:c r="H87" s="8" t="str">
        <x:v>1st Lien</x:v>
      </x:c>
      <x:c r="I87" s="8" t="str">
        <x:v>Floating</x:v>
      </x:c>
      <x:c r="J87" s="8" t="n">
        <x:v>135</x:v>
      </x:c>
      <x:c r="K87" s="10"/>
      <x:c r="L87" s="8" t="n">
        <x:v>0</x:v>
      </x:c>
      <x:c r="M87" s="11" t="n">
        <x:v>48880</x:v>
      </x:c>
      <x:c r="N87" s="10" t="n">
        <x:v>0.325</x:v>
      </x:c>
      <x:c r="O87" s="12" t="n">
        <x:v>98.25</x:v>
      </x:c>
      <x:c r="P87" s="13" t="n">
        <x:v>4</x:v>
      </x:c>
      <x:c r="Q87" s="8" t="str">
        <x:v>USD</x:v>
      </x:c>
      <x:c r="R87" s="8" t="str">
        <x:v>SOFR</x:v>
      </x:c>
      <x:c r="S87" s="1"/>
      <x:c r="T87" s="1"/>
      <x:c r="U87" s="1"/>
      <x:c r="V87" s="1"/>
      <x:c r="W87" s="1"/>
      <x:c r="X87" s="1"/>
      <x:c r="Y87" s="1"/>
    </x:row>
    <x:row r="88">
      <x:c r="A88" s="8" t="str">
        <x:v>SYN-LN-00081</x:v>
      </x:c>
      <x:c r="B88" s="8" t="str">
        <x:v>SYN-OB-0078</x:v>
      </x:c>
      <x:c r="C88" s="8" t="str">
        <x:v>Willow Corp. 078</x:v>
      </x:c>
      <x:c r="D88" s="9" t="n">
        <x:v>1182000</x:v>
      </x:c>
      <x:c r="E88" s="8" t="str">
        <x:v>B</x:v>
      </x:c>
      <x:c r="F88" s="8" t="str">
        <x:v>IT Services</x:v>
      </x:c>
      <x:c r="G88" s="8" t="str">
        <x:v>United States</x:v>
      </x:c>
      <x:c r="H88" s="8" t="str">
        <x:v>1st Lien</x:v>
      </x:c>
      <x:c r="I88" s="8" t="str">
        <x:v>Floating</x:v>
      </x:c>
      <x:c r="J88" s="8" t="n">
        <x:v>325</x:v>
      </x:c>
      <x:c r="K88" s="10"/>
      <x:c r="L88" s="8" t="n">
        <x:v>0</x:v>
      </x:c>
      <x:c r="M88" s="11" t="n">
        <x:v>48487</x:v>
      </x:c>
      <x:c r="N88" s="10" t="n">
        <x:v>0.485</x:v>
      </x:c>
      <x:c r="O88" s="12" t="n">
        <x:v>101.5</x:v>
      </x:c>
      <x:c r="P88" s="13" t="n">
        <x:v>4</x:v>
      </x:c>
      <x:c r="Q88" s="8" t="str">
        <x:v>USD</x:v>
      </x:c>
      <x:c r="R88" s="8" t="str">
        <x:v>SOFR</x:v>
      </x:c>
      <x:c r="S88" s="1"/>
      <x:c r="T88" s="1"/>
      <x:c r="U88" s="1"/>
      <x:c r="V88" s="1"/>
      <x:c r="W88" s="1"/>
      <x:c r="X88" s="1"/>
      <x:c r="Y88" s="1"/>
    </x:row>
    <x:row r="89">
      <x:c r="A89" s="8" t="str">
        <x:v>SYN-LN-00082</x:v>
      </x:c>
      <x:c r="B89" s="8" t="str">
        <x:v>SYN-OB-0079</x:v>
      </x:c>
      <x:c r="C89" s="8" t="str">
        <x:v>Windward Group 079</x:v>
      </x:c>
      <x:c r="D89" s="9" t="n">
        <x:v>1182000</x:v>
      </x:c>
      <x:c r="E89" s="8" t="str">
        <x:v>B</x:v>
      </x:c>
      <x:c r="F89" s="8" t="str">
        <x:v>Construction &amp; Engineering</x:v>
      </x:c>
      <x:c r="G89" s="8" t="str">
        <x:v>United States</x:v>
      </x:c>
      <x:c r="H89" s="8" t="str">
        <x:v>1st Lien</x:v>
      </x:c>
      <x:c r="I89" s="8" t="str">
        <x:v>Floating</x:v>
      </x:c>
      <x:c r="J89" s="8" t="n">
        <x:v>380</x:v>
      </x:c>
      <x:c r="K89" s="10"/>
      <x:c r="L89" s="8" t="n">
        <x:v>0</x:v>
      </x:c>
      <x:c r="M89" s="11" t="n">
        <x:v>48546</x:v>
      </x:c>
      <x:c r="N89" s="10" t="n">
        <x:v>0.405</x:v>
      </x:c>
      <x:c r="O89" s="12" t="n">
        <x:v>96.875</x:v>
      </x:c>
      <x:c r="P89" s="13" t="n">
        <x:v>4</x:v>
      </x:c>
      <x:c r="Q89" s="8" t="str">
        <x:v>USD</x:v>
      </x:c>
      <x:c r="R89" s="8" t="str">
        <x:v>SOFR</x:v>
      </x:c>
      <x:c r="S89" s="1"/>
      <x:c r="T89" s="1"/>
      <x:c r="U89" s="1"/>
      <x:c r="V89" s="1"/>
      <x:c r="W89" s="1"/>
      <x:c r="X89" s="1"/>
      <x:c r="Y89" s="1"/>
    </x:row>
    <x:row r="90">
      <x:c r="A90" s="8" t="str">
        <x:v>SYN-LN-00083</x:v>
      </x:c>
      <x:c r="B90" s="8" t="str">
        <x:v>SYN-OB-0080</x:v>
      </x:c>
      <x:c r="C90" s="8" t="str">
        <x:v>Woodland LLC 080</x:v>
      </x:c>
      <x:c r="D90" s="9" t="n">
        <x:v>1182000</x:v>
      </x:c>
      <x:c r="E90" s="8" t="str">
        <x:v>B-</x:v>
      </x:c>
      <x:c r="F90" s="8" t="str">
        <x:v>Diversified Telecommunication Services</x:v>
      </x:c>
      <x:c r="G90" s="8" t="str">
        <x:v>United States</x:v>
      </x:c>
      <x:c r="H90" s="8" t="str">
        <x:v>1st Lien</x:v>
      </x:c>
      <x:c r="I90" s="8" t="str">
        <x:v>Floating</x:v>
      </x:c>
      <x:c r="J90" s="8" t="n">
        <x:v>315</x:v>
      </x:c>
      <x:c r="K90" s="10"/>
      <x:c r="L90" s="8" t="n">
        <x:v>0</x:v>
      </x:c>
      <x:c r="M90" s="11" t="n">
        <x:v>47966</x:v>
      </x:c>
      <x:c r="N90" s="10" t="n">
        <x:v>0.255</x:v>
      </x:c>
      <x:c r="O90" s="12" t="n">
        <x:v>95.75</x:v>
      </x:c>
      <x:c r="P90" s="13" t="n">
        <x:v>4</x:v>
      </x:c>
      <x:c r="Q90" s="8" t="str">
        <x:v>USD</x:v>
      </x:c>
      <x:c r="R90" s="8" t="str">
        <x:v>SOFR</x:v>
      </x:c>
      <x:c r="S90" s="1"/>
      <x:c r="T90" s="1"/>
      <x:c r="U90" s="1"/>
      <x:c r="V90" s="1"/>
      <x:c r="W90" s="1"/>
      <x:c r="X90" s="1"/>
      <x:c r="Y90" s="1"/>
    </x:row>
    <x:row r="91">
      <x:c r="A91" s="8" t="str">
        <x:v>SYN-LN-00084</x:v>
      </x:c>
      <x:c r="B91" s="8" t="str">
        <x:v>SYN-OB-0081</x:v>
      </x:c>
      <x:c r="C91" s="8" t="str">
        <x:v>Alder Holdings 081</x:v>
      </x:c>
      <x:c r="D91" s="9" t="n">
        <x:v>1182000</x:v>
      </x:c>
      <x:c r="E91" s="8" t="str">
        <x:v>BB</x:v>
      </x:c>
      <x:c r="F91" s="8" t="str">
        <x:v>Commercial Services &amp; Supplies</x:v>
      </x:c>
      <x:c r="G91" s="8" t="str">
        <x:v>United States</x:v>
      </x:c>
      <x:c r="H91" s="8" t="str">
        <x:v>1st Lien</x:v>
      </x:c>
      <x:c r="I91" s="8" t="str">
        <x:v>Floating</x:v>
      </x:c>
      <x:c r="J91" s="8" t="n">
        <x:v>230</x:v>
      </x:c>
      <x:c r="K91" s="10"/>
      <x:c r="L91" s="8" t="n">
        <x:v>0</x:v>
      </x:c>
      <x:c r="M91" s="11" t="n">
        <x:v>48149</x:v>
      </x:c>
      <x:c r="N91" s="10" t="n">
        <x:v>0.37</x:v>
      </x:c>
      <x:c r="O91" s="12" t="n">
        <x:v>98.75</x:v>
      </x:c>
      <x:c r="P91" s="13" t="n">
        <x:v>4</x:v>
      </x:c>
      <x:c r="Q91" s="8" t="str">
        <x:v>USD</x:v>
      </x:c>
      <x:c r="R91" s="8" t="str">
        <x:v>SOFR</x:v>
      </x:c>
      <x:c r="S91" s="1"/>
      <x:c r="T91" s="1"/>
      <x:c r="U91" s="1"/>
      <x:c r="V91" s="1"/>
      <x:c r="W91" s="1"/>
      <x:c r="X91" s="1"/>
      <x:c r="Y91" s="1"/>
    </x:row>
    <x:row r="92">
      <x:c r="A92" s="8" t="str">
        <x:v>SYN-LN-00085</x:v>
      </x:c>
      <x:c r="B92" s="8" t="str">
        <x:v>SYN-OB-0082</x:v>
      </x:c>
      <x:c r="C92" s="8" t="str">
        <x:v>Amber Inc. 082</x:v>
      </x:c>
      <x:c r="D92" s="9" t="n">
        <x:v>630000</x:v>
      </x:c>
      <x:c r="E92" s="8" t="str">
        <x:v>BBB-</x:v>
      </x:c>
      <x:c r="F92" s="8" t="str">
        <x:v>Media</x:v>
      </x:c>
      <x:c r="G92" s="8" t="str">
        <x:v>Netherlands</x:v>
      </x:c>
      <x:c r="H92" s="8" t="str">
        <x:v>1st Lien</x:v>
      </x:c>
      <x:c r="I92" s="8" t="str">
        <x:v>Floating</x:v>
      </x:c>
      <x:c r="J92" s="8" t="n">
        <x:v>245</x:v>
      </x:c>
      <x:c r="K92" s="10"/>
      <x:c r="L92" s="8" t="n">
        <x:v>50</x:v>
      </x:c>
      <x:c r="M92" s="11" t="n">
        <x:v>48850</x:v>
      </x:c>
      <x:c r="N92" s="10" t="n">
        <x:v>0.5</x:v>
      </x:c>
      <x:c r="O92" s="12" t="n">
        <x:v>97.125</x:v>
      </x:c>
      <x:c r="P92" s="13" t="n">
        <x:v>4</x:v>
      </x:c>
      <x:c r="Q92" s="8" t="str">
        <x:v>USD</x:v>
      </x:c>
      <x:c r="R92" s="8" t="str">
        <x:v>SOFR</x:v>
      </x:c>
      <x:c r="S92" s="1"/>
      <x:c r="T92" s="1"/>
      <x:c r="U92" s="1"/>
      <x:c r="V92" s="1"/>
      <x:c r="W92" s="1"/>
      <x:c r="X92" s="1"/>
      <x:c r="Y92" s="1"/>
    </x:row>
    <x:row r="93">
      <x:c r="A93" s="8" t="str">
        <x:v>SYN-LN-00086</x:v>
      </x:c>
      <x:c r="B93" s="8" t="str">
        <x:v>SYN-OB-0083</x:v>
      </x:c>
      <x:c r="C93" s="8" t="str">
        <x:v>Arbor Corp. 083</x:v>
      </x:c>
      <x:c r="D93" s="9" t="n">
        <x:v>1182000</x:v>
      </x:c>
      <x:c r="E93" s="8" t="str">
        <x:v>BB+</x:v>
      </x:c>
      <x:c r="F93" s="8" t="str">
        <x:v>Specialty Retail</x:v>
      </x:c>
      <x:c r="G93" s="8" t="str">
        <x:v>United States</x:v>
      </x:c>
      <x:c r="H93" s="8" t="str">
        <x:v>1st Lien</x:v>
      </x:c>
      <x:c r="I93" s="8" t="str">
        <x:v>Floating</x:v>
      </x:c>
      <x:c r="J93" s="8" t="n">
        <x:v>240</x:v>
      </x:c>
      <x:c r="K93" s="10"/>
      <x:c r="L93" s="8" t="n">
        <x:v>0</x:v>
      </x:c>
      <x:c r="M93" s="11" t="n">
        <x:v>48136</x:v>
      </x:c>
      <x:c r="N93" s="10" t="n">
        <x:v>0.415</x:v>
      </x:c>
      <x:c r="O93" s="12" t="n">
        <x:v>101.5</x:v>
      </x:c>
      <x:c r="P93" s="13" t="n">
        <x:v>4</x:v>
      </x:c>
      <x:c r="Q93" s="8" t="str">
        <x:v>USD</x:v>
      </x:c>
      <x:c r="R93" s="8" t="str">
        <x:v>SOFR</x:v>
      </x:c>
      <x:c r="S93" s="1"/>
      <x:c r="T93" s="1"/>
      <x:c r="U93" s="1"/>
      <x:c r="V93" s="1"/>
      <x:c r="W93" s="1"/>
      <x:c r="X93" s="1"/>
      <x:c r="Y93" s="1"/>
    </x:row>
    <x:row r="94">
      <x:c r="A94" s="8" t="str">
        <x:v>SYN-LN-00087</x:v>
      </x:c>
      <x:c r="B94" s="8" t="str">
        <x:v>SYN-OB-0084</x:v>
      </x:c>
      <x:c r="C94" s="8" t="str">
        <x:v>Atlas Group 084</x:v>
      </x:c>
      <x:c r="D94" s="9" t="n">
        <x:v>630000</x:v>
      </x:c>
      <x:c r="E94" s="8" t="str">
        <x:v>BB+</x:v>
      </x:c>
      <x:c r="F94" s="8" t="str">
        <x:v>Leisure Products</x:v>
      </x:c>
      <x:c r="G94" s="8" t="str">
        <x:v>United Kingdom</x:v>
      </x:c>
      <x:c r="H94" s="8" t="str">
        <x:v>1st Lien</x:v>
      </x:c>
      <x:c r="I94" s="8" t="str">
        <x:v>Floating</x:v>
      </x:c>
      <x:c r="J94" s="8" t="n">
        <x:v>190</x:v>
      </x:c>
      <x:c r="K94" s="10"/>
      <x:c r="L94" s="8" t="n">
        <x:v>0</x:v>
      </x:c>
      <x:c r="M94" s="11" t="n">
        <x:v>48576</x:v>
      </x:c>
      <x:c r="N94" s="10" t="n">
        <x:v>0.305</x:v>
      </x:c>
      <x:c r="O94" s="12" t="n">
        <x:v>99.875</x:v>
      </x:c>
      <x:c r="P94" s="13" t="n">
        <x:v>4</x:v>
      </x:c>
      <x:c r="Q94" s="8" t="str">
        <x:v>USD</x:v>
      </x:c>
      <x:c r="R94" s="8" t="str">
        <x:v>SOFR</x:v>
      </x:c>
      <x:c r="S94" s="1"/>
      <x:c r="T94" s="1"/>
      <x:c r="U94" s="1"/>
      <x:c r="V94" s="1"/>
      <x:c r="W94" s="1"/>
      <x:c r="X94" s="1"/>
      <x:c r="Y94" s="1"/>
    </x:row>
    <x:row r="95">
      <x:c r="A95" s="8" t="str">
        <x:v>SYN-LN-00088</x:v>
      </x:c>
      <x:c r="B95" s="8" t="str">
        <x:v>SYN-OB-0085</x:v>
      </x:c>
      <x:c r="C95" s="8" t="str">
        <x:v>Beacon LLC 085</x:v>
      </x:c>
      <x:c r="D95" s="9" t="n">
        <x:v>1182000</x:v>
      </x:c>
      <x:c r="E95" s="8" t="str">
        <x:v>B</x:v>
      </x:c>
      <x:c r="F95" s="8" t="str">
        <x:v>Building Products</x:v>
      </x:c>
      <x:c r="G95" s="8" t="str">
        <x:v>United States</x:v>
      </x:c>
      <x:c r="H95" s="8" t="str">
        <x:v>1st Lien</x:v>
      </x:c>
      <x:c r="I95" s="8" t="str">
        <x:v>Floating</x:v>
      </x:c>
      <x:c r="J95" s="8" t="n">
        <x:v>200</x:v>
      </x:c>
      <x:c r="K95" s="10"/>
      <x:c r="L95" s="8" t="n">
        <x:v>0</x:v>
      </x:c>
      <x:c r="M95" s="11" t="n">
        <x:v>48029</x:v>
      </x:c>
      <x:c r="N95" s="10" t="n">
        <x:v>0.47</x:v>
      </x:c>
      <x:c r="O95" s="12" t="n">
        <x:v>98.625</x:v>
      </x:c>
      <x:c r="P95" s="13" t="n">
        <x:v>4</x:v>
      </x:c>
      <x:c r="Q95" s="8" t="str">
        <x:v>USD</x:v>
      </x:c>
      <x:c r="R95" s="8" t="str">
        <x:v>SOFR</x:v>
      </x:c>
      <x:c r="S95" s="1"/>
      <x:c r="T95" s="1"/>
      <x:c r="U95" s="1"/>
      <x:c r="V95" s="1"/>
      <x:c r="W95" s="1"/>
      <x:c r="X95" s="1"/>
      <x:c r="Y95" s="1"/>
    </x:row>
    <x:row r="96">
      <x:c r="A96" s="8" t="str">
        <x:v>SYN-LN-00089</x:v>
      </x:c>
      <x:c r="B96" s="8" t="str">
        <x:v>SYN-OB-0086</x:v>
      </x:c>
      <x:c r="C96" s="8" t="str">
        <x:v>Bluewater Holdings 086</x:v>
      </x:c>
      <x:c r="D96" s="9" t="n">
        <x:v>1182000</x:v>
      </x:c>
      <x:c r="E96" s="8" t="str">
        <x:v>BB</x:v>
      </x:c>
      <x:c r="F96" s="8" t="str">
        <x:v>Diversified Telecommunication Services</x:v>
      </x:c>
      <x:c r="G96" s="8" t="str">
        <x:v>United States</x:v>
      </x:c>
      <x:c r="H96" s="8" t="str">
        <x:v>1st Lien</x:v>
      </x:c>
      <x:c r="I96" s="8" t="str">
        <x:v>Floating</x:v>
      </x:c>
      <x:c r="J96" s="8" t="n">
        <x:v>115</x:v>
      </x:c>
      <x:c r="K96" s="10"/>
      <x:c r="L96" s="8" t="n">
        <x:v>0</x:v>
      </x:c>
      <x:c r="M96" s="11" t="n">
        <x:v>48393</x:v>
      </x:c>
      <x:c r="N96" s="10" t="n">
        <x:v>0.5</x:v>
      </x:c>
      <x:c r="O96" s="12" t="n">
        <x:v>101.5</x:v>
      </x:c>
      <x:c r="P96" s="13" t="n">
        <x:v>4</x:v>
      </x:c>
      <x:c r="Q96" s="8" t="str">
        <x:v>USD</x:v>
      </x:c>
      <x:c r="R96" s="8" t="str">
        <x:v>SOFR</x:v>
      </x:c>
      <x:c r="S96" s="1"/>
      <x:c r="T96" s="1"/>
      <x:c r="U96" s="1"/>
      <x:c r="V96" s="1"/>
      <x:c r="W96" s="1"/>
      <x:c r="X96" s="1"/>
      <x:c r="Y96" s="1"/>
    </x:row>
    <x:row r="97">
      <x:c r="A97" s="8" t="str">
        <x:v>SYN-LN-00090</x:v>
      </x:c>
      <x:c r="B97" s="8" t="str">
        <x:v>SYN-OB-0087</x:v>
      </x:c>
      <x:c r="C97" s="8" t="str">
        <x:v>Bracken Inc. 087</x:v>
      </x:c>
      <x:c r="D97" s="9" t="n">
        <x:v>1182000</x:v>
      </x:c>
      <x:c r="E97" s="8" t="str">
        <x:v>B+</x:v>
      </x:c>
      <x:c r="F97" s="8" t="str">
        <x:v>Media</x:v>
      </x:c>
      <x:c r="G97" s="8" t="str">
        <x:v>United States</x:v>
      </x:c>
      <x:c r="H97" s="8" t="str">
        <x:v>1st Lien</x:v>
      </x:c>
      <x:c r="I97" s="8" t="str">
        <x:v>Floating</x:v>
      </x:c>
      <x:c r="J97" s="8" t="n">
        <x:v>270</x:v>
      </x:c>
      <x:c r="K97" s="10"/>
      <x:c r="L97" s="8" t="n">
        <x:v>0</x:v>
      </x:c>
      <x:c r="M97" s="11" t="n">
        <x:v>47741</x:v>
      </x:c>
      <x:c r="N97" s="10" t="n">
        <x:v>0.595</x:v>
      </x:c>
      <x:c r="O97" s="12" t="n">
        <x:v>99.625</x:v>
      </x:c>
      <x:c r="P97" s="13" t="n">
        <x:v>4</x:v>
      </x:c>
      <x:c r="Q97" s="8" t="str">
        <x:v>USD</x:v>
      </x:c>
      <x:c r="R97" s="8" t="str">
        <x:v>SOFR</x:v>
      </x:c>
      <x:c r="S97" s="1"/>
      <x:c r="T97" s="1"/>
      <x:c r="U97" s="1"/>
      <x:c r="V97" s="1"/>
      <x:c r="W97" s="1"/>
      <x:c r="X97" s="1"/>
      <x:c r="Y97" s="1"/>
    </x:row>
    <x:row r="98">
      <x:c r="A98" s="8" t="str">
        <x:v>SYN-LN-00091</x:v>
      </x:c>
      <x:c r="B98" s="8" t="str">
        <x:v>SYN-OB-0088</x:v>
      </x:c>
      <x:c r="C98" s="8" t="str">
        <x:v>Cedar Corp. 088</x:v>
      </x:c>
      <x:c r="D98" s="9" t="n">
        <x:v>630000</x:v>
      </x:c>
      <x:c r="E98" s="8" t="str">
        <x:v>BBB-</x:v>
      </x:c>
      <x:c r="F98" s="8" t="str">
        <x:v>Electrical Equipment</x:v>
      </x:c>
      <x:c r="G98" s="8" t="str">
        <x:v>United States</x:v>
      </x:c>
      <x:c r="H98" s="8" t="str">
        <x:v>Senior</x:v>
      </x:c>
      <x:c r="I98" s="8" t="str">
        <x:v>Floating</x:v>
      </x:c>
      <x:c r="J98" s="8" t="n">
        <x:v>225</x:v>
      </x:c>
      <x:c r="K98" s="10"/>
      <x:c r="L98" s="8" t="n">
        <x:v>50</x:v>
      </x:c>
      <x:c r="M98" s="11" t="n">
        <x:v>48487</x:v>
      </x:c>
      <x:c r="N98" s="10" t="n">
        <x:v>0.495</x:v>
      </x:c>
      <x:c r="O98" s="12" t="n">
        <x:v>99.625</x:v>
      </x:c>
      <x:c r="P98" s="13" t="n">
        <x:v>4</x:v>
      </x:c>
      <x:c r="Q98" s="8" t="str">
        <x:v>USD</x:v>
      </x:c>
      <x:c r="R98" s="8" t="str">
        <x:v>SOFR</x:v>
      </x:c>
      <x:c r="S98" s="1"/>
      <x:c r="T98" s="1"/>
      <x:c r="U98" s="1"/>
      <x:c r="V98" s="1"/>
      <x:c r="W98" s="1"/>
      <x:c r="X98" s="1"/>
      <x:c r="Y98" s="1"/>
    </x:row>
    <x:row r="99">
      <x:c r="A99" s="8" t="str">
        <x:v>SYN-LN-00092</x:v>
      </x:c>
      <x:c r="B99" s="8" t="str">
        <x:v>SYN-OB-0089</x:v>
      </x:c>
      <x:c r="C99" s="8" t="str">
        <x:v>Cobalt Group 089</x:v>
      </x:c>
      <x:c r="D99" s="9" t="n">
        <x:v>1182000</x:v>
      </x:c>
      <x:c r="E99" s="8" t="str">
        <x:v>BB</x:v>
      </x:c>
      <x:c r="F99" s="8" t="str">
        <x:v>Commercial Services &amp; Supplies</x:v>
      </x:c>
      <x:c r="G99" s="8" t="str">
        <x:v>United States</x:v>
      </x:c>
      <x:c r="H99" s="8" t="str">
        <x:v>1st Lien</x:v>
      </x:c>
      <x:c r="I99" s="8" t="str">
        <x:v>Floating</x:v>
      </x:c>
      <x:c r="J99" s="8" t="n">
        <x:v>205</x:v>
      </x:c>
      <x:c r="K99" s="10"/>
      <x:c r="L99" s="8" t="n">
        <x:v>0</x:v>
      </x:c>
      <x:c r="M99" s="11" t="n">
        <x:v>48364</x:v>
      </x:c>
      <x:c r="N99" s="10" t="n">
        <x:v>0.31</x:v>
      </x:c>
      <x:c r="O99" s="12" t="n">
        <x:v>98.375</x:v>
      </x:c>
      <x:c r="P99" s="13" t="n">
        <x:v>4</x:v>
      </x:c>
      <x:c r="Q99" s="8" t="str">
        <x:v>USD</x:v>
      </x:c>
      <x:c r="R99" s="8" t="str">
        <x:v>SOFR</x:v>
      </x:c>
      <x:c r="S99" s="1"/>
      <x:c r="T99" s="1"/>
      <x:c r="U99" s="1"/>
      <x:c r="V99" s="1"/>
      <x:c r="W99" s="1"/>
      <x:c r="X99" s="1"/>
      <x:c r="Y99" s="1"/>
    </x:row>
    <x:row r="100">
      <x:c r="A100" s="8" t="str">
        <x:v>SYN-LN-00093</x:v>
      </x:c>
      <x:c r="B100" s="8" t="str">
        <x:v>SYN-OB-0090</x:v>
      </x:c>
      <x:c r="C100" s="8" t="str">
        <x:v>Copper LLC 090</x:v>
      </x:c>
      <x:c r="D100" s="9" t="n">
        <x:v>1182000</x:v>
      </x:c>
      <x:c r="E100" s="8" t="str">
        <x:v>B</x:v>
      </x:c>
      <x:c r="F100" s="8" t="str">
        <x:v>Auto Components</x:v>
      </x:c>
      <x:c r="G100" s="8" t="str">
        <x:v>United States</x:v>
      </x:c>
      <x:c r="H100" s="8" t="str">
        <x:v>1st Lien</x:v>
      </x:c>
      <x:c r="I100" s="8" t="str">
        <x:v>Floating</x:v>
      </x:c>
      <x:c r="J100" s="8" t="n">
        <x:v>320</x:v>
      </x:c>
      <x:c r="K100" s="10"/>
      <x:c r="L100" s="8" t="n">
        <x:v>0</x:v>
      </x:c>
      <x:c r="M100" s="11" t="n">
        <x:v>48441</x:v>
      </x:c>
      <x:c r="N100" s="10" t="n">
        <x:v>0.2</x:v>
      </x:c>
      <x:c r="O100" s="12" t="n">
        <x:v>101.5</x:v>
      </x:c>
      <x:c r="P100" s="13" t="n">
        <x:v>4</x:v>
      </x:c>
      <x:c r="Q100" s="8" t="str">
        <x:v>USD</x:v>
      </x:c>
      <x:c r="R100" s="8" t="str">
        <x:v>SOFR</x:v>
      </x:c>
      <x:c r="S100" s="1"/>
      <x:c r="T100" s="1"/>
      <x:c r="U100" s="1"/>
      <x:c r="V100" s="1"/>
      <x:c r="W100" s="1"/>
      <x:c r="X100" s="1"/>
      <x:c r="Y100" s="1"/>
    </x:row>
    <x:row r="101">
      <x:c r="A101" s="8" t="str">
        <x:v>SYN-LN-00094</x:v>
      </x:c>
      <x:c r="B101" s="8" t="str">
        <x:v>SYN-OB-0091</x:v>
      </x:c>
      <x:c r="C101" s="8" t="str">
        <x:v>Crest Holdings 091</x:v>
      </x:c>
      <x:c r="D101" s="9" t="n">
        <x:v>1182000</x:v>
      </x:c>
      <x:c r="E101" s="8" t="str">
        <x:v>B</x:v>
      </x:c>
      <x:c r="F101" s="8" t="str">
        <x:v>Media</x:v>
      </x:c>
      <x:c r="G101" s="8" t="str">
        <x:v>United States</x:v>
      </x:c>
      <x:c r="H101" s="8" t="str">
        <x:v>1st Lien</x:v>
      </x:c>
      <x:c r="I101" s="8" t="str">
        <x:v>Floating</x:v>
      </x:c>
      <x:c r="J101" s="8" t="n">
        <x:v>340</x:v>
      </x:c>
      <x:c r="K101" s="10"/>
      <x:c r="L101" s="8" t="n">
        <x:v>0</x:v>
      </x:c>
      <x:c r="M101" s="11" t="n">
        <x:v>49003</x:v>
      </x:c>
      <x:c r="N101" s="10" t="n">
        <x:v>0.425</x:v>
      </x:c>
      <x:c r="O101" s="12" t="n">
        <x:v>100</x:v>
      </x:c>
      <x:c r="P101" s="13" t="n">
        <x:v>4</x:v>
      </x:c>
      <x:c r="Q101" s="8" t="str">
        <x:v>USD</x:v>
      </x:c>
      <x:c r="R101" s="8" t="str">
        <x:v>SOFR</x:v>
      </x:c>
      <x:c r="S101" s="1"/>
      <x:c r="T101" s="1"/>
      <x:c r="U101" s="1"/>
      <x:c r="V101" s="1"/>
      <x:c r="W101" s="1"/>
      <x:c r="X101" s="1"/>
      <x:c r="Y101" s="1"/>
    </x:row>
    <x:row r="102">
      <x:c r="A102" s="8" t="str">
        <x:v>SYN-LN-00095</x:v>
      </x:c>
      <x:c r="B102" s="8" t="str">
        <x:v>SYN-OB-0092</x:v>
      </x:c>
      <x:c r="C102" s="8" t="str">
        <x:v>Duneland Inc. 092</x:v>
      </x:c>
      <x:c r="D102" s="9" t="n">
        <x:v>630000</x:v>
      </x:c>
      <x:c r="E102" s="8" t="str">
        <x:v>B+</x:v>
      </x:c>
      <x:c r="F102" s="8" t="str">
        <x:v>Gas Utilities</x:v>
      </x:c>
      <x:c r="G102" s="8" t="str">
        <x:v>Germany</x:v>
      </x:c>
      <x:c r="H102" s="8" t="str">
        <x:v>1st Lien</x:v>
      </x:c>
      <x:c r="I102" s="8" t="str">
        <x:v>Floating</x:v>
      </x:c>
      <x:c r="J102" s="8" t="n">
        <x:v>115</x:v>
      </x:c>
      <x:c r="K102" s="10"/>
      <x:c r="L102" s="8" t="n">
        <x:v>0</x:v>
      </x:c>
      <x:c r="M102" s="11" t="n">
        <x:v>47133</x:v>
      </x:c>
      <x:c r="N102" s="10" t="n">
        <x:v>0.68</x:v>
      </x:c>
      <x:c r="O102" s="12" t="n">
        <x:v>101.5</x:v>
      </x:c>
      <x:c r="P102" s="13" t="n">
        <x:v>4</x:v>
      </x:c>
      <x:c r="Q102" s="8" t="str">
        <x:v>USD</x:v>
      </x:c>
      <x:c r="R102" s="8" t="str">
        <x:v>SOFR</x:v>
      </x:c>
      <x:c r="S102" s="1"/>
      <x:c r="T102" s="1"/>
      <x:c r="U102" s="1"/>
      <x:c r="V102" s="1"/>
      <x:c r="W102" s="1"/>
      <x:c r="X102" s="1"/>
      <x:c r="Y102" s="1"/>
    </x:row>
    <x:row r="103">
      <x:c r="A103" s="8" t="str">
        <x:v>SYN-LN-00096</x:v>
      </x:c>
      <x:c r="B103" s="8" t="str">
        <x:v>SYN-OB-0093</x:v>
      </x:c>
      <x:c r="C103" s="8" t="str">
        <x:v>Elmstone Corp. 093</x:v>
      </x:c>
      <x:c r="D103" s="9" t="n">
        <x:v>1182000</x:v>
      </x:c>
      <x:c r="E103" s="8" t="str">
        <x:v>B-</x:v>
      </x:c>
      <x:c r="F103" s="8" t="str">
        <x:v>Textiles, Apparel &amp; Luxury Goods</x:v>
      </x:c>
      <x:c r="G103" s="8" t="str">
        <x:v>United States</x:v>
      </x:c>
      <x:c r="H103" s="8" t="str">
        <x:v>1st Lien</x:v>
      </x:c>
      <x:c r="I103" s="8" t="str">
        <x:v>Floating</x:v>
      </x:c>
      <x:c r="J103" s="8" t="n">
        <x:v>395</x:v>
      </x:c>
      <x:c r="K103" s="10"/>
      <x:c r="L103" s="8" t="n">
        <x:v>0</x:v>
      </x:c>
      <x:c r="M103" s="11" t="n">
        <x:v>48272</x:v>
      </x:c>
      <x:c r="N103" s="10" t="n">
        <x:v>0.44</x:v>
      </x:c>
      <x:c r="O103" s="12" t="n">
        <x:v>99.75</x:v>
      </x:c>
      <x:c r="P103" s="13" t="n">
        <x:v>4</x:v>
      </x:c>
      <x:c r="Q103" s="8" t="str">
        <x:v>USD</x:v>
      </x:c>
      <x:c r="R103" s="8" t="str">
        <x:v>SOFR</x:v>
      </x:c>
      <x:c r="S103" s="1"/>
      <x:c r="T103" s="1"/>
      <x:c r="U103" s="1"/>
      <x:c r="V103" s="1"/>
      <x:c r="W103" s="1"/>
      <x:c r="X103" s="1"/>
      <x:c r="Y103" s="1"/>
    </x:row>
    <x:row r="104">
      <x:c r="A104" s="8" t="str">
        <x:v>SYN-LN-00097</x:v>
      </x:c>
      <x:c r="B104" s="8" t="str">
        <x:v>SYN-OB-0094</x:v>
      </x:c>
      <x:c r="C104" s="8" t="str">
        <x:v>Evergreen Group 094</x:v>
      </x:c>
      <x:c r="D104" s="9" t="n">
        <x:v>770000</x:v>
      </x:c>
      <x:c r="E104" s="8" t="str">
        <x:v>BB-</x:v>
      </x:c>
      <x:c r="F104" s="8" t="str">
        <x:v>Hotels, Restaurants &amp; Leisure</x:v>
      </x:c>
      <x:c r="G104" s="8" t="str">
        <x:v>United States</x:v>
      </x:c>
      <x:c r="H104" s="8" t="str">
        <x:v>1st Lien</x:v>
      </x:c>
      <x:c r="I104" s="8" t="str">
        <x:v>Floating</x:v>
      </x:c>
      <x:c r="J104" s="8" t="n">
        <x:v>370</x:v>
      </x:c>
      <x:c r="K104" s="10"/>
      <x:c r="L104" s="8" t="n">
        <x:v>0</x:v>
      </x:c>
      <x:c r="M104" s="11" t="n">
        <x:v>48180</x:v>
      </x:c>
      <x:c r="N104" s="10" t="n">
        <x:v>0.52</x:v>
      </x:c>
      <x:c r="O104" s="12" t="n">
        <x:v>98</x:v>
      </x:c>
      <x:c r="P104" s="13" t="n">
        <x:v>4</x:v>
      </x:c>
      <x:c r="Q104" s="8" t="str">
        <x:v>USD</x:v>
      </x:c>
      <x:c r="R104" s="8" t="str">
        <x:v>SOFR</x:v>
      </x:c>
      <x:c r="S104" s="1"/>
      <x:c r="T104" s="1"/>
      <x:c r="U104" s="1"/>
      <x:c r="V104" s="1"/>
      <x:c r="W104" s="1"/>
      <x:c r="X104" s="1"/>
      <x:c r="Y104" s="1"/>
    </x:row>
    <x:row r="105">
      <x:c r="A105" s="8" t="str">
        <x:v>SYN-LN-00098</x:v>
      </x:c>
      <x:c r="B105" s="8" t="str">
        <x:v>SYN-OB-0094</x:v>
      </x:c>
      <x:c r="C105" s="8" t="str">
        <x:v>Evergreen Group 094</x:v>
      </x:c>
      <x:c r="D105" s="9" t="n">
        <x:v>412000</x:v>
      </x:c>
      <x:c r="E105" s="8" t="str">
        <x:v>BB-</x:v>
      </x:c>
      <x:c r="F105" s="8" t="str">
        <x:v>Hotels, Restaurants &amp; Leisure</x:v>
      </x:c>
      <x:c r="G105" s="8" t="str">
        <x:v>United States</x:v>
      </x:c>
      <x:c r="H105" s="8" t="str">
        <x:v>1st Lien</x:v>
      </x:c>
      <x:c r="I105" s="8" t="str">
        <x:v>Floating</x:v>
      </x:c>
      <x:c r="J105" s="8" t="n">
        <x:v>380</x:v>
      </x:c>
      <x:c r="K105" s="10"/>
      <x:c r="L105" s="8" t="n">
        <x:v>0</x:v>
      </x:c>
      <x:c r="M105" s="11" t="n">
        <x:v>48243</x:v>
      </x:c>
      <x:c r="N105" s="10" t="n">
        <x:v>0.52</x:v>
      </x:c>
      <x:c r="O105" s="12" t="n">
        <x:v>98.125</x:v>
      </x:c>
      <x:c r="P105" s="13" t="n">
        <x:v>4</x:v>
      </x:c>
      <x:c r="Q105" s="8" t="str">
        <x:v>USD</x:v>
      </x:c>
      <x:c r="R105" s="8" t="str">
        <x:v>SOFR</x:v>
      </x:c>
      <x:c r="S105" s="1"/>
      <x:c r="T105" s="1"/>
      <x:c r="U105" s="1"/>
      <x:c r="V105" s="1"/>
      <x:c r="W105" s="1"/>
      <x:c r="X105" s="1"/>
      <x:c r="Y105" s="1"/>
    </x:row>
    <x:row r="106">
      <x:c r="A106" s="8" t="str">
        <x:v>SYN-LN-00099</x:v>
      </x:c>
      <x:c r="B106" s="8" t="str">
        <x:v>SYN-OB-0095</x:v>
      </x:c>
      <x:c r="C106" s="8" t="str">
        <x:v>Fairhaven LLC 095</x:v>
      </x:c>
      <x:c r="D106" s="9" t="n">
        <x:v>1182000</x:v>
      </x:c>
      <x:c r="E106" s="8" t="str">
        <x:v>BB+</x:v>
      </x:c>
      <x:c r="F106" s="8" t="str">
        <x:v>Pharmaceuticals</x:v>
      </x:c>
      <x:c r="G106" s="8" t="str">
        <x:v>Luxembourg</x:v>
      </x:c>
      <x:c r="H106" s="8" t="str">
        <x:v>1st Lien</x:v>
      </x:c>
      <x:c r="I106" s="8" t="str">
        <x:v>Floating</x:v>
      </x:c>
      <x:c r="J106" s="8" t="n">
        <x:v>215</x:v>
      </x:c>
      <x:c r="K106" s="10"/>
      <x:c r="L106" s="8" t="n">
        <x:v>0</x:v>
      </x:c>
      <x:c r="M106" s="11" t="n">
        <x:v>48607</x:v>
      </x:c>
      <x:c r="N106" s="10" t="n">
        <x:v>0.34</x:v>
      </x:c>
      <x:c r="O106" s="12" t="n">
        <x:v>99.875</x:v>
      </x:c>
      <x:c r="P106" s="13" t="n">
        <x:v>4</x:v>
      </x:c>
      <x:c r="Q106" s="8" t="str">
        <x:v>USD</x:v>
      </x:c>
      <x:c r="R106" s="8" t="str">
        <x:v>SOFR</x:v>
      </x:c>
      <x:c r="S106" s="1"/>
      <x:c r="T106" s="1"/>
      <x:c r="U106" s="1"/>
      <x:c r="V106" s="1"/>
      <x:c r="W106" s="1"/>
      <x:c r="X106" s="1"/>
      <x:c r="Y106" s="1"/>
    </x:row>
    <x:row r="107">
      <x:c r="A107" s="8" t="str">
        <x:v>SYN-LN-00100</x:v>
      </x:c>
      <x:c r="B107" s="8" t="str">
        <x:v>SYN-OB-0096</x:v>
      </x:c>
      <x:c r="C107" s="8" t="str">
        <x:v>Granite Holdings 096</x:v>
      </x:c>
      <x:c r="D107" s="9" t="n">
        <x:v>1182000</x:v>
      </x:c>
      <x:c r="E107" s="8" t="str">
        <x:v>B</x:v>
      </x:c>
      <x:c r="F107" s="8" t="str">
        <x:v>Electronic Equipment, Instruments &amp; Components</x:v>
      </x:c>
      <x:c r="G107" s="8" t="str">
        <x:v>United Kingdom</x:v>
      </x:c>
      <x:c r="H107" s="8" t="str">
        <x:v>1st Lien</x:v>
      </x:c>
      <x:c r="I107" s="8" t="str">
        <x:v>Floating</x:v>
      </x:c>
      <x:c r="J107" s="8" t="n">
        <x:v>265</x:v>
      </x:c>
      <x:c r="K107" s="10"/>
      <x:c r="L107" s="8" t="n">
        <x:v>0</x:v>
      </x:c>
      <x:c r="M107" s="11" t="n">
        <x:v>48180</x:v>
      </x:c>
      <x:c r="N107" s="10" t="n">
        <x:v>0.41</x:v>
      </x:c>
      <x:c r="O107" s="12" t="n">
        <x:v>100.25</x:v>
      </x:c>
      <x:c r="P107" s="13" t="n">
        <x:v>4</x:v>
      </x:c>
      <x:c r="Q107" s="8" t="str">
        <x:v>USD</x:v>
      </x:c>
      <x:c r="R107" s="8" t="str">
        <x:v>SOFR</x:v>
      </x:c>
      <x:c r="S107" s="1"/>
      <x:c r="T107" s="1"/>
      <x:c r="U107" s="1"/>
      <x:c r="V107" s="1"/>
      <x:c r="W107" s="1"/>
      <x:c r="X107" s="1"/>
      <x:c r="Y107" s="1"/>
    </x:row>
    <x:row r="108">
      <x:c r="A108" s="8" t="str">
        <x:v>SYN-LN-00101</x:v>
      </x:c>
      <x:c r="B108" s="8" t="str">
        <x:v>SYN-OB-0097</x:v>
      </x:c>
      <x:c r="C108" s="8" t="str">
        <x:v>Harbor Inc. 097</x:v>
      </x:c>
      <x:c r="D108" s="9" t="n">
        <x:v>1182000</x:v>
      </x:c>
      <x:c r="E108" s="8" t="str">
        <x:v>B</x:v>
      </x:c>
      <x:c r="F108" s="8" t="str">
        <x:v>Healthcare Equipment &amp; Supplies</x:v>
      </x:c>
      <x:c r="G108" s="8" t="str">
        <x:v>United States</x:v>
      </x:c>
      <x:c r="H108" s="8" t="str">
        <x:v>1st Lien</x:v>
      </x:c>
      <x:c r="I108" s="8" t="str">
        <x:v>Floating</x:v>
      </x:c>
      <x:c r="J108" s="8" t="n">
        <x:v>220</x:v>
      </x:c>
      <x:c r="K108" s="10"/>
      <x:c r="L108" s="8" t="n">
        <x:v>0</x:v>
      </x:c>
      <x:c r="M108" s="11" t="n">
        <x:v>48625</x:v>
      </x:c>
      <x:c r="N108" s="10" t="n">
        <x:v>0.305</x:v>
      </x:c>
      <x:c r="O108" s="12" t="n">
        <x:v>96.625</x:v>
      </x:c>
      <x:c r="P108" s="13" t="n">
        <x:v>4</x:v>
      </x:c>
      <x:c r="Q108" s="8" t="str">
        <x:v>USD</x:v>
      </x:c>
      <x:c r="R108" s="8" t="str">
        <x:v>SOFR</x:v>
      </x:c>
      <x:c r="S108" s="1"/>
      <x:c r="T108" s="1"/>
      <x:c r="U108" s="1"/>
      <x:c r="V108" s="1"/>
      <x:c r="W108" s="1"/>
      <x:c r="X108" s="1"/>
      <x:c r="Y108" s="1"/>
    </x:row>
    <x:row r="109">
      <x:c r="A109" s="8" t="str">
        <x:v>SYN-LN-00102</x:v>
      </x:c>
      <x:c r="B109" s="8" t="str">
        <x:v>SYN-OB-0098</x:v>
      </x:c>
      <x:c r="C109" s="8" t="str">
        <x:v>Hawthorne Corp. 098</x:v>
      </x:c>
      <x:c r="D109" s="9" t="n">
        <x:v>1182000</x:v>
      </x:c>
      <x:c r="E109" s="8" t="str">
        <x:v>BB</x:v>
      </x:c>
      <x:c r="F109" s="8" t="str">
        <x:v>Diversified Telecommunication Services</x:v>
      </x:c>
      <x:c r="G109" s="8" t="str">
        <x:v>United States</x:v>
      </x:c>
      <x:c r="H109" s="8" t="str">
        <x:v>1st Lien</x:v>
      </x:c>
      <x:c r="I109" s="8" t="str">
        <x:v>Floating</x:v>
      </x:c>
      <x:c r="J109" s="8" t="n">
        <x:v>285</x:v>
      </x:c>
      <x:c r="K109" s="10"/>
      <x:c r="L109" s="8" t="n">
        <x:v>0</x:v>
      </x:c>
      <x:c r="M109" s="11" t="n">
        <x:v>48090</x:v>
      </x:c>
      <x:c r="N109" s="10" t="n">
        <x:v>0.595</x:v>
      </x:c>
      <x:c r="O109" s="12" t="n">
        <x:v>98.125</x:v>
      </x:c>
      <x:c r="P109" s="13" t="n">
        <x:v>4</x:v>
      </x:c>
      <x:c r="Q109" s="8" t="str">
        <x:v>USD</x:v>
      </x:c>
      <x:c r="R109" s="8" t="str">
        <x:v>SOFR</x:v>
      </x:c>
      <x:c r="S109" s="1"/>
      <x:c r="T109" s="1"/>
      <x:c r="U109" s="1"/>
      <x:c r="V109" s="1"/>
      <x:c r="W109" s="1"/>
      <x:c r="X109" s="1"/>
      <x:c r="Y109" s="1"/>
    </x:row>
    <x:row r="110">
      <x:c r="A110" s="8" t="str">
        <x:v>SYN-LN-00103</x:v>
      </x:c>
      <x:c r="B110" s="8" t="str">
        <x:v>SYN-OB-0099</x:v>
      </x:c>
      <x:c r="C110" s="8" t="str">
        <x:v>Highland Group 099</x:v>
      </x:c>
      <x:c r="D110" s="9" t="n">
        <x:v>1182000</x:v>
      </x:c>
      <x:c r="E110" s="8" t="str">
        <x:v>B</x:v>
      </x:c>
      <x:c r="F110" s="8" t="str">
        <x:v>Financial services</x:v>
      </x:c>
      <x:c r="G110" s="8" t="str">
        <x:v>United States</x:v>
      </x:c>
      <x:c r="H110" s="8" t="str">
        <x:v>1st Lien</x:v>
      </x:c>
      <x:c r="I110" s="8" t="str">
        <x:v>Floating</x:v>
      </x:c>
      <x:c r="J110" s="8" t="n">
        <x:v>175</x:v>
      </x:c>
      <x:c r="K110" s="10"/>
      <x:c r="L110" s="8" t="n">
        <x:v>0</x:v>
      </x:c>
      <x:c r="M110" s="11" t="n">
        <x:v>47572</x:v>
      </x:c>
      <x:c r="N110" s="10" t="n">
        <x:v>0.475</x:v>
      </x:c>
      <x:c r="O110" s="12" t="n">
        <x:v>98.875</x:v>
      </x:c>
      <x:c r="P110" s="13" t="n">
        <x:v>4</x:v>
      </x:c>
      <x:c r="Q110" s="8" t="str">
        <x:v>USD</x:v>
      </x:c>
      <x:c r="R110" s="8" t="str">
        <x:v>SOFR</x:v>
      </x:c>
      <x:c r="S110" s="1"/>
      <x:c r="T110" s="1"/>
      <x:c r="U110" s="1"/>
      <x:c r="V110" s="1"/>
      <x:c r="W110" s="1"/>
      <x:c r="X110" s="1"/>
      <x:c r="Y110" s="1"/>
    </x:row>
    <x:row r="111">
      <x:c r="A111" s="8" t="str">
        <x:v>SYN-LN-00104</x:v>
      </x:c>
      <x:c r="B111" s="8" t="str">
        <x:v>SYN-OB-0100</x:v>
      </x:c>
      <x:c r="C111" s="8" t="str">
        <x:v>Ironwood LLC 100</x:v>
      </x:c>
      <x:c r="D111" s="9" t="n">
        <x:v>1182000</x:v>
      </x:c>
      <x:c r="E111" s="8" t="str">
        <x:v>B-</x:v>
      </x:c>
      <x:c r="F111" s="8" t="str">
        <x:v>Machinery</x:v>
      </x:c>
      <x:c r="G111" s="8" t="str">
        <x:v>United States</x:v>
      </x:c>
      <x:c r="H111" s="8" t="str">
        <x:v>1st Lien</x:v>
      </x:c>
      <x:c r="I111" s="8" t="str">
        <x:v>Floating</x:v>
      </x:c>
      <x:c r="J111" s="8" t="n">
        <x:v>380</x:v>
      </x:c>
      <x:c r="K111" s="10"/>
      <x:c r="L111" s="8" t="n">
        <x:v>0</x:v>
      </x:c>
      <x:c r="M111" s="11" t="n">
        <x:v>49003</x:v>
      </x:c>
      <x:c r="N111" s="10" t="n">
        <x:v>0.365</x:v>
      </x:c>
      <x:c r="O111" s="12" t="n">
        <x:v>99.375</x:v>
      </x:c>
      <x:c r="P111" s="13" t="n">
        <x:v>4</x:v>
      </x:c>
      <x:c r="Q111" s="8" t="str">
        <x:v>USD</x:v>
      </x:c>
      <x:c r="R111" s="8" t="str">
        <x:v>SOFR</x:v>
      </x:c>
      <x:c r="S111" s="1"/>
      <x:c r="T111" s="1"/>
      <x:c r="U111" s="1"/>
      <x:c r="V111" s="1"/>
      <x:c r="W111" s="1"/>
      <x:c r="X111" s="1"/>
      <x:c r="Y111" s="1"/>
    </x:row>
    <x:row r="112">
      <x:c r="A112" s="8" t="str">
        <x:v>SYN-LN-00105</x:v>
      </x:c>
      <x:c r="B112" s="8" t="str">
        <x:v>SYN-OB-0101</x:v>
      </x:c>
      <x:c r="C112" s="8" t="str">
        <x:v>Juniper Holdings 101</x:v>
      </x:c>
      <x:c r="D112" s="9" t="n">
        <x:v>1182000</x:v>
      </x:c>
      <x:c r="E112" s="8" t="str">
        <x:v>B-</x:v>
      </x:c>
      <x:c r="F112" s="8" t="str">
        <x:v>Consumer Finance</x:v>
      </x:c>
      <x:c r="G112" s="8" t="str">
        <x:v>United States</x:v>
      </x:c>
      <x:c r="H112" s="8" t="str">
        <x:v>1st Lien</x:v>
      </x:c>
      <x:c r="I112" s="8" t="str">
        <x:v>Floating</x:v>
      </x:c>
      <x:c r="J112" s="8" t="n">
        <x:v>210</x:v>
      </x:c>
      <x:c r="K112" s="10"/>
      <x:c r="L112" s="8" t="n">
        <x:v>0</x:v>
      </x:c>
      <x:c r="M112" s="11" t="n">
        <x:v>48197</x:v>
      </x:c>
      <x:c r="N112" s="10" t="n">
        <x:v>0.535</x:v>
      </x:c>
      <x:c r="O112" s="12" t="n">
        <x:v>96.875</x:v>
      </x:c>
      <x:c r="P112" s="13" t="n">
        <x:v>4</x:v>
      </x:c>
      <x:c r="Q112" s="8" t="str">
        <x:v>USD</x:v>
      </x:c>
      <x:c r="R112" s="8" t="str">
        <x:v>SOFR</x:v>
      </x:c>
      <x:c r="S112" s="1"/>
      <x:c r="T112" s="1"/>
      <x:c r="U112" s="1"/>
      <x:c r="V112" s="1"/>
      <x:c r="W112" s="1"/>
      <x:c r="X112" s="1"/>
      <x:c r="Y112" s="1"/>
    </x:row>
    <x:row r="113">
      <x:c r="A113" s="8" t="str">
        <x:v>SYN-LN-00106</x:v>
      </x:c>
      <x:c r="B113" s="8" t="str">
        <x:v>SYN-OB-0102</x:v>
      </x:c>
      <x:c r="C113" s="8" t="str">
        <x:v>Keystone Inc. 102</x:v>
      </x:c>
      <x:c r="D113" s="9" t="n">
        <x:v>1182000</x:v>
      </x:c>
      <x:c r="E113" s="8" t="str">
        <x:v>B+</x:v>
      </x:c>
      <x:c r="F113" s="8" t="str">
        <x:v>Independent Power and Renewable Electricity Producers</x:v>
      </x:c>
      <x:c r="G113" s="8" t="str">
        <x:v>United States</x:v>
      </x:c>
      <x:c r="H113" s="8" t="str">
        <x:v>1st Lien</x:v>
      </x:c>
      <x:c r="I113" s="8" t="str">
        <x:v>Floating</x:v>
      </x:c>
      <x:c r="J113" s="8" t="n">
        <x:v>175</x:v>
      </x:c>
      <x:c r="K113" s="10"/>
      <x:c r="L113" s="8" t="n">
        <x:v>0</x:v>
      </x:c>
      <x:c r="M113" s="11" t="n">
        <x:v>47815</x:v>
      </x:c>
      <x:c r="N113" s="10" t="n">
        <x:v>0.43</x:v>
      </x:c>
      <x:c r="O113" s="12" t="n">
        <x:v>100.5</x:v>
      </x:c>
      <x:c r="P113" s="13" t="n">
        <x:v>4</x:v>
      </x:c>
      <x:c r="Q113" s="8" t="str">
        <x:v>USD</x:v>
      </x:c>
      <x:c r="R113" s="8" t="str">
        <x:v>SOFR</x:v>
      </x:c>
      <x:c r="S113" s="1"/>
      <x:c r="T113" s="1"/>
      <x:c r="U113" s="1"/>
      <x:c r="V113" s="1"/>
      <x:c r="W113" s="1"/>
      <x:c r="X113" s="1"/>
      <x:c r="Y113" s="1"/>
    </x:row>
    <x:row r="114">
      <x:c r="A114" s="8" t="str">
        <x:v>SYN-LN-00107</x:v>
      </x:c>
      <x:c r="B114" s="8" t="str">
        <x:v>SYN-OB-0103</x:v>
      </x:c>
      <x:c r="C114" s="8" t="str">
        <x:v>Lakeview Corp. 103</x:v>
      </x:c>
      <x:c r="D114" s="9" t="n">
        <x:v>1182000</x:v>
      </x:c>
      <x:c r="E114" s="8" t="str">
        <x:v>BB-</x:v>
      </x:c>
      <x:c r="F114" s="8" t="str">
        <x:v>Real Estate Management &amp; Development</x:v>
      </x:c>
      <x:c r="G114" s="8" t="str">
        <x:v>United States</x:v>
      </x:c>
      <x:c r="H114" s="8" t="str">
        <x:v>1st Lien</x:v>
      </x:c>
      <x:c r="I114" s="8" t="str">
        <x:v>Floating</x:v>
      </x:c>
      <x:c r="J114" s="8" t="n">
        <x:v>220</x:v>
      </x:c>
      <x:c r="K114" s="10"/>
      <x:c r="L114" s="8" t="n">
        <x:v>0</x:v>
      </x:c>
      <x:c r="M114" s="11" t="n">
        <x:v>48943</x:v>
      </x:c>
      <x:c r="N114" s="10" t="n">
        <x:v>0.48</x:v>
      </x:c>
      <x:c r="O114" s="12" t="n">
        <x:v>94.875</x:v>
      </x:c>
      <x:c r="P114" s="13" t="n">
        <x:v>4</x:v>
      </x:c>
      <x:c r="Q114" s="8" t="str">
        <x:v>USD</x:v>
      </x:c>
      <x:c r="R114" s="8" t="str">
        <x:v>SOFR</x:v>
      </x:c>
      <x:c r="S114" s="1"/>
      <x:c r="T114" s="1"/>
      <x:c r="U114" s="1"/>
      <x:c r="V114" s="1"/>
      <x:c r="W114" s="1"/>
      <x:c r="X114" s="1"/>
      <x:c r="Y114" s="1"/>
    </x:row>
    <x:row r="115">
      <x:c r="A115" s="8" t="str">
        <x:v>SYN-LN-00108</x:v>
      </x:c>
      <x:c r="B115" s="8" t="str">
        <x:v>SYN-OB-0104</x:v>
      </x:c>
      <x:c r="C115" s="8" t="str">
        <x:v>Larkspur Group 104</x:v>
      </x:c>
      <x:c r="D115" s="9" t="n">
        <x:v>630000</x:v>
      </x:c>
      <x:c r="E115" s="8" t="str">
        <x:v>B-</x:v>
      </x:c>
      <x:c r="F115" s="8" t="str">
        <x:v>Software</x:v>
      </x:c>
      <x:c r="G115" s="8" t="str">
        <x:v>United States</x:v>
      </x:c>
      <x:c r="H115" s="8" t="str">
        <x:v>1st Lien</x:v>
      </x:c>
      <x:c r="I115" s="8" t="str">
        <x:v>Fixed</x:v>
      </x:c>
      <x:c r="J115" s="8"/>
      <x:c r="K115" s="10" t="n">
        <x:v>0.046875</x:v>
      </x:c>
      <x:c r="L115" s="8"/>
      <x:c r="M115" s="11" t="n">
        <x:v>47419</x:v>
      </x:c>
      <x:c r="N115" s="10" t="n">
        <x:v>0.465</x:v>
      </x:c>
      <x:c r="O115" s="12" t="n">
        <x:v>99</x:v>
      </x:c>
      <x:c r="P115" s="13" t="n">
        <x:v>2</x:v>
      </x:c>
      <x:c r="Q115" s="8" t="str">
        <x:v>USD</x:v>
      </x:c>
      <x:c r="R115" s="8"/>
      <x:c r="S115" s="1"/>
      <x:c r="T115" s="1"/>
      <x:c r="U115" s="1"/>
      <x:c r="V115" s="1"/>
      <x:c r="W115" s="1"/>
      <x:c r="X115" s="1"/>
      <x:c r="Y115" s="1"/>
    </x:row>
    <x:row r="116">
      <x:c r="A116" s="8" t="str">
        <x:v>SYN-LN-00109</x:v>
      </x:c>
      <x:c r="B116" s="8" t="str">
        <x:v>SYN-OB-0105</x:v>
      </x:c>
      <x:c r="C116" s="8" t="str">
        <x:v>Maple LLC 105</x:v>
      </x:c>
      <x:c r="D116" s="9" t="n">
        <x:v>1182000</x:v>
      </x:c>
      <x:c r="E116" s="8" t="str">
        <x:v>B</x:v>
      </x:c>
      <x:c r="F116" s="8" t="str">
        <x:v>Construction &amp; Engineering</x:v>
      </x:c>
      <x:c r="G116" s="8" t="str">
        <x:v>United States</x:v>
      </x:c>
      <x:c r="H116" s="8" t="str">
        <x:v>1st Lien</x:v>
      </x:c>
      <x:c r="I116" s="8" t="str">
        <x:v>Floating</x:v>
      </x:c>
      <x:c r="J116" s="8" t="n">
        <x:v>350</x:v>
      </x:c>
      <x:c r="K116" s="10"/>
      <x:c r="L116" s="8" t="n">
        <x:v>0</x:v>
      </x:c>
      <x:c r="M116" s="11" t="n">
        <x:v>49092</x:v>
      </x:c>
      <x:c r="N116" s="10" t="n">
        <x:v>0.335</x:v>
      </x:c>
      <x:c r="O116" s="12" t="n">
        <x:v>99.625</x:v>
      </x:c>
      <x:c r="P116" s="13" t="n">
        <x:v>4</x:v>
      </x:c>
      <x:c r="Q116" s="8" t="str">
        <x:v>USD</x:v>
      </x:c>
      <x:c r="R116" s="8" t="str">
        <x:v>SOFR</x:v>
      </x:c>
      <x:c r="S116" s="1"/>
      <x:c r="T116" s="1"/>
      <x:c r="U116" s="1"/>
      <x:c r="V116" s="1"/>
      <x:c r="W116" s="1"/>
      <x:c r="X116" s="1"/>
      <x:c r="Y116" s="1"/>
    </x:row>
    <x:row r="117">
      <x:c r="A117" s="8" t="str">
        <x:v>SYN-LN-00110</x:v>
      </x:c>
      <x:c r="B117" s="8" t="str">
        <x:v>SYN-OB-0106</x:v>
      </x:c>
      <x:c r="C117" s="8" t="str">
        <x:v>Meridian Holdings 106</x:v>
      </x:c>
      <x:c r="D117" s="9" t="n">
        <x:v>1182000</x:v>
      </x:c>
      <x:c r="E117" s="8" t="str">
        <x:v>B+</x:v>
      </x:c>
      <x:c r="F117" s="8" t="str">
        <x:v>Electric Utilities</x:v>
      </x:c>
      <x:c r="G117" s="8" t="str">
        <x:v>United States</x:v>
      </x:c>
      <x:c r="H117" s="8" t="str">
        <x:v>1st Lien</x:v>
      </x:c>
      <x:c r="I117" s="8" t="str">
        <x:v>Floating</x:v>
      </x:c>
      <x:c r="J117" s="8" t="n">
        <x:v>340</x:v>
      </x:c>
      <x:c r="K117" s="10"/>
      <x:c r="L117" s="8" t="n">
        <x:v>0</x:v>
      </x:c>
      <x:c r="M117" s="11" t="n">
        <x:v>47570</x:v>
      </x:c>
      <x:c r="N117" s="10" t="n">
        <x:v>0.375</x:v>
      </x:c>
      <x:c r="O117" s="12" t="n">
        <x:v>99</x:v>
      </x:c>
      <x:c r="P117" s="13" t="n">
        <x:v>4</x:v>
      </x:c>
      <x:c r="Q117" s="8" t="str">
        <x:v>USD</x:v>
      </x:c>
      <x:c r="R117" s="8" t="str">
        <x:v>SOFR</x:v>
      </x:c>
      <x:c r="S117" s="1"/>
      <x:c r="T117" s="1"/>
      <x:c r="U117" s="1"/>
      <x:c r="V117" s="1"/>
      <x:c r="W117" s="1"/>
      <x:c r="X117" s="1"/>
      <x:c r="Y117" s="1"/>
    </x:row>
    <x:row r="118">
      <x:c r="A118" s="8" t="str">
        <x:v>SYN-LN-00111</x:v>
      </x:c>
      <x:c r="B118" s="8" t="str">
        <x:v>SYN-OB-0107</x:v>
      </x:c>
      <x:c r="C118" s="8" t="str">
        <x:v>Northfield Inc. 107</x:v>
      </x:c>
      <x:c r="D118" s="9" t="n">
        <x:v>630000</x:v>
      </x:c>
      <x:c r="E118" s="8" t="str">
        <x:v>A-</x:v>
      </x:c>
      <x:c r="F118" s="8" t="str">
        <x:v>Diversified Consumer Services</x:v>
      </x:c>
      <x:c r="G118" s="8" t="str">
        <x:v>Netherlands</x:v>
      </x:c>
      <x:c r="H118" s="8" t="str">
        <x:v>1st Lien</x:v>
      </x:c>
      <x:c r="I118" s="8" t="str">
        <x:v>Floating</x:v>
      </x:c>
      <x:c r="J118" s="8" t="n">
        <x:v>325</x:v>
      </x:c>
      <x:c r="K118" s="10"/>
      <x:c r="L118" s="8" t="n">
        <x:v>0</x:v>
      </x:c>
      <x:c r="M118" s="11" t="n">
        <x:v>48243</x:v>
      </x:c>
      <x:c r="N118" s="10" t="n">
        <x:v>0.565</x:v>
      </x:c>
      <x:c r="O118" s="12" t="n">
        <x:v>101.5</x:v>
      </x:c>
      <x:c r="P118" s="13" t="n">
        <x:v>4</x:v>
      </x:c>
      <x:c r="Q118" s="8" t="str">
        <x:v>USD</x:v>
      </x:c>
      <x:c r="R118" s="8" t="str">
        <x:v>SOFR</x:v>
      </x:c>
      <x:c r="S118" s="1"/>
      <x:c r="T118" s="1"/>
      <x:c r="U118" s="1"/>
      <x:c r="V118" s="1"/>
      <x:c r="W118" s="1"/>
      <x:c r="X118" s="1"/>
      <x:c r="Y118" s="1"/>
    </x:row>
    <x:row r="119">
      <x:c r="A119" s="8" t="str">
        <x:v>SYN-LN-00112</x:v>
      </x:c>
      <x:c r="B119" s="8" t="str">
        <x:v>SYN-OB-0108</x:v>
      </x:c>
      <x:c r="C119" s="8" t="str">
        <x:v>Oakmont Corp. 108</x:v>
      </x:c>
      <x:c r="D119" s="9" t="n">
        <x:v>630000</x:v>
      </x:c>
      <x:c r="E119" s="8" t="str">
        <x:v>B</x:v>
      </x:c>
      <x:c r="F119" s="8" t="str">
        <x:v>Wireless Telecommunication Services</x:v>
      </x:c>
      <x:c r="G119" s="8" t="str">
        <x:v>Luxembourg</x:v>
      </x:c>
      <x:c r="H119" s="8" t="str">
        <x:v>1st Lien</x:v>
      </x:c>
      <x:c r="I119" s="8" t="str">
        <x:v>Floating</x:v>
      </x:c>
      <x:c r="J119" s="8" t="n">
        <x:v>315</x:v>
      </x:c>
      <x:c r="K119" s="10"/>
      <x:c r="L119" s="8" t="n">
        <x:v>50</x:v>
      </x:c>
      <x:c r="M119" s="11" t="n">
        <x:v>48149</x:v>
      </x:c>
      <x:c r="N119" s="10" t="n">
        <x:v>0.37</x:v>
      </x:c>
      <x:c r="O119" s="12" t="n">
        <x:v>98.875</x:v>
      </x:c>
      <x:c r="P119" s="13" t="n">
        <x:v>4</x:v>
      </x:c>
      <x:c r="Q119" s="8" t="str">
        <x:v>USD</x:v>
      </x:c>
      <x:c r="R119" s="8" t="str">
        <x:v>SOFR</x:v>
      </x:c>
      <x:c r="S119" s="1"/>
      <x:c r="T119" s="1"/>
      <x:c r="U119" s="1"/>
      <x:c r="V119" s="1"/>
      <x:c r="W119" s="1"/>
      <x:c r="X119" s="1"/>
      <x:c r="Y119" s="1"/>
    </x:row>
    <x:row r="120">
      <x:c r="A120" s="8" t="str">
        <x:v>SYN-LN-00113</x:v>
      </x:c>
      <x:c r="B120" s="8" t="str">
        <x:v>SYN-OB-0109</x:v>
      </x:c>
      <x:c r="C120" s="8" t="str">
        <x:v>Orchard Group 109</x:v>
      </x:c>
      <x:c r="D120" s="9" t="n">
        <x:v>1220000</x:v>
      </x:c>
      <x:c r="E120" s="8" t="str">
        <x:v>B</x:v>
      </x:c>
      <x:c r="F120" s="8" t="str">
        <x:v>Healthcare Providers &amp; Services</x:v>
      </x:c>
      <x:c r="G120" s="8" t="str">
        <x:v>United States</x:v>
      </x:c>
      <x:c r="H120" s="8" t="str">
        <x:v>1st Lien</x:v>
      </x:c>
      <x:c r="I120" s="8" t="str">
        <x:v>Floating</x:v>
      </x:c>
      <x:c r="J120" s="8" t="n">
        <x:v>255</x:v>
      </x:c>
      <x:c r="K120" s="10"/>
      <x:c r="L120" s="8" t="n">
        <x:v>0</x:v>
      </x:c>
      <x:c r="M120" s="11" t="n">
        <x:v>48454</x:v>
      </x:c>
      <x:c r="N120" s="10" t="n">
        <x:v>0.455</x:v>
      </x:c>
      <x:c r="O120" s="12" t="n">
        <x:v>97.75</x:v>
      </x:c>
      <x:c r="P120" s="13" t="n">
        <x:v>4</x:v>
      </x:c>
      <x:c r="Q120" s="8" t="str">
        <x:v>USD</x:v>
      </x:c>
      <x:c r="R120" s="8" t="str">
        <x:v>SOFR</x:v>
      </x:c>
      <x:c r="S120" s="1"/>
      <x:c r="T120" s="1"/>
      <x:c r="U120" s="1"/>
      <x:c r="V120" s="1"/>
      <x:c r="W120" s="1"/>
      <x:c r="X120" s="1"/>
      <x:c r="Y120" s="1"/>
    </x:row>
    <x:row r="121">
      <x:c r="A121" s="8" t="str">
        <x:v>SYN-LN-00114</x:v>
      </x:c>
      <x:c r="B121" s="8" t="str">
        <x:v>SYN-OB-0110</x:v>
      </x:c>
      <x:c r="C121" s="8" t="str">
        <x:v>Pinecrest LLC 110</x:v>
      </x:c>
      <x:c r="D121" s="9" t="n">
        <x:v>1182000</x:v>
      </x:c>
      <x:c r="E121" s="8" t="str">
        <x:v>B</x:v>
      </x:c>
      <x:c r="F121" s="8" t="str">
        <x:v>Chemicals</x:v>
      </x:c>
      <x:c r="G121" s="8" t="str">
        <x:v>Netherlands</x:v>
      </x:c>
      <x:c r="H121" s="8" t="str">
        <x:v>1st Lien</x:v>
      </x:c>
      <x:c r="I121" s="8" t="str">
        <x:v>Floating</x:v>
      </x:c>
      <x:c r="J121" s="8" t="n">
        <x:v>340</x:v>
      </x:c>
      <x:c r="K121" s="10"/>
      <x:c r="L121" s="8" t="n">
        <x:v>0</x:v>
      </x:c>
      <x:c r="M121" s="11" t="n">
        <x:v>48867</x:v>
      </x:c>
      <x:c r="N121" s="10" t="n">
        <x:v>0.425</x:v>
      </x:c>
      <x:c r="O121" s="12" t="n">
        <x:v>100.5</x:v>
      </x:c>
      <x:c r="P121" s="13" t="n">
        <x:v>4</x:v>
      </x:c>
      <x:c r="Q121" s="8" t="str">
        <x:v>USD</x:v>
      </x:c>
      <x:c r="R121" s="8" t="str">
        <x:v>SOFR</x:v>
      </x:c>
      <x:c r="S121" s="1"/>
      <x:c r="T121" s="1"/>
      <x:c r="U121" s="1"/>
      <x:c r="V121" s="1"/>
      <x:c r="W121" s="1"/>
      <x:c r="X121" s="1"/>
      <x:c r="Y121" s="1"/>
    </x:row>
    <x:row r="122">
      <x:c r="A122" s="8" t="str">
        <x:v>SYN-LN-00115</x:v>
      </x:c>
      <x:c r="B122" s="8" t="str">
        <x:v>SYN-OB-0111</x:v>
      </x:c>
      <x:c r="C122" s="8" t="str">
        <x:v>Redwood Holdings 111</x:v>
      </x:c>
      <x:c r="D122" s="9" t="n">
        <x:v>1182000</x:v>
      </x:c>
      <x:c r="E122" s="8" t="str">
        <x:v>B+</x:v>
      </x:c>
      <x:c r="F122" s="8" t="str">
        <x:v>Media</x:v>
      </x:c>
      <x:c r="G122" s="8" t="str">
        <x:v>United States</x:v>
      </x:c>
      <x:c r="H122" s="8" t="str">
        <x:v>1st Lien</x:v>
      </x:c>
      <x:c r="I122" s="8" t="str">
        <x:v>Floating</x:v>
      </x:c>
      <x:c r="J122" s="8" t="n">
        <x:v>265</x:v>
      </x:c>
      <x:c r="K122" s="10"/>
      <x:c r="L122" s="8" t="n">
        <x:v>0</x:v>
      </x:c>
      <x:c r="M122" s="11" t="n">
        <x:v>48027</x:v>
      </x:c>
      <x:c r="N122" s="10" t="n">
        <x:v>0.2</x:v>
      </x:c>
      <x:c r="O122" s="12" t="n">
        <x:v>100.625</x:v>
      </x:c>
      <x:c r="P122" s="13" t="n">
        <x:v>4</x:v>
      </x:c>
      <x:c r="Q122" s="8" t="str">
        <x:v>USD</x:v>
      </x:c>
      <x:c r="R122" s="8" t="str">
        <x:v>SOFR</x:v>
      </x:c>
      <x:c r="S122" s="1"/>
      <x:c r="T122" s="1"/>
      <x:c r="U122" s="1"/>
      <x:c r="V122" s="1"/>
      <x:c r="W122" s="1"/>
      <x:c r="X122" s="1"/>
      <x:c r="Y122" s="1"/>
    </x:row>
    <x:row r="123">
      <x:c r="A123" s="8" t="str">
        <x:v>SYN-LN-00116</x:v>
      </x:c>
      <x:c r="B123" s="8" t="str">
        <x:v>SYN-OB-0112</x:v>
      </x:c>
      <x:c r="C123" s="8" t="str">
        <x:v>Riverton Inc. 112</x:v>
      </x:c>
      <x:c r="D123" s="9" t="n">
        <x:v>1182000</x:v>
      </x:c>
      <x:c r="E123" s="8" t="str">
        <x:v>B</x:v>
      </x:c>
      <x:c r="F123" s="8" t="str">
        <x:v>IT Services</x:v>
      </x:c>
      <x:c r="G123" s="8" t="str">
        <x:v>United States</x:v>
      </x:c>
      <x:c r="H123" s="8" t="str">
        <x:v>1st Lien</x:v>
      </x:c>
      <x:c r="I123" s="8" t="str">
        <x:v>Floating</x:v>
      </x:c>
      <x:c r="J123" s="8" t="n">
        <x:v>290</x:v>
      </x:c>
      <x:c r="K123" s="10"/>
      <x:c r="L123" s="8" t="n">
        <x:v>0</x:v>
      </x:c>
      <x:c r="M123" s="11" t="n">
        <x:v>48533</x:v>
      </x:c>
      <x:c r="N123" s="10" t="n">
        <x:v>0.235</x:v>
      </x:c>
      <x:c r="O123" s="12" t="n">
        <x:v>99.75</x:v>
      </x:c>
      <x:c r="P123" s="13" t="n">
        <x:v>4</x:v>
      </x:c>
      <x:c r="Q123" s="8" t="str">
        <x:v>USD</x:v>
      </x:c>
      <x:c r="R123" s="8" t="str">
        <x:v>SOFR</x:v>
      </x:c>
      <x:c r="S123" s="1"/>
      <x:c r="T123" s="1"/>
      <x:c r="U123" s="1"/>
      <x:c r="V123" s="1"/>
      <x:c r="W123" s="1"/>
      <x:c r="X123" s="1"/>
      <x:c r="Y123" s="1"/>
    </x:row>
    <x:row r="124">
      <x:c r="A124" s="8" t="str">
        <x:v>SYN-LN-00117</x:v>
      </x:c>
      <x:c r="B124" s="8" t="str">
        <x:v>SYN-OB-0113</x:v>
      </x:c>
      <x:c r="C124" s="8" t="str">
        <x:v>Silver Corp. 113</x:v>
      </x:c>
      <x:c r="D124" s="9" t="n">
        <x:v>1182000</x:v>
      </x:c>
      <x:c r="E124" s="8" t="str">
        <x:v>B-</x:v>
      </x:c>
      <x:c r="F124" s="8" t="str">
        <x:v>Healthcare Technology</x:v>
      </x:c>
      <x:c r="G124" s="8" t="str">
        <x:v>United States</x:v>
      </x:c>
      <x:c r="H124" s="8" t="str">
        <x:v>1st Lien</x:v>
      </x:c>
      <x:c r="I124" s="8" t="str">
        <x:v>Floating</x:v>
      </x:c>
      <x:c r="J124" s="8" t="n">
        <x:v>365</x:v>
      </x:c>
      <x:c r="K124" s="10"/>
      <x:c r="L124" s="8" t="n">
        <x:v>0</x:v>
      </x:c>
      <x:c r="M124" s="11" t="n">
        <x:v>48119</x:v>
      </x:c>
      <x:c r="N124" s="10" t="n">
        <x:v>0.24</x:v>
      </x:c>
      <x:c r="O124" s="12" t="n">
        <x:v>100</x:v>
      </x:c>
      <x:c r="P124" s="13" t="n">
        <x:v>4</x:v>
      </x:c>
      <x:c r="Q124" s="8" t="str">
        <x:v>USD</x:v>
      </x:c>
      <x:c r="R124" s="8" t="str">
        <x:v>SOFR</x:v>
      </x:c>
      <x:c r="S124" s="1"/>
      <x:c r="T124" s="1"/>
      <x:c r="U124" s="1"/>
      <x:c r="V124" s="1"/>
      <x:c r="W124" s="1"/>
      <x:c r="X124" s="1"/>
      <x:c r="Y124" s="1"/>
    </x:row>
    <x:row r="125">
      <x:c r="A125" s="8" t="str">
        <x:v>SYN-LN-00118</x:v>
      </x:c>
      <x:c r="B125" s="8" t="str">
        <x:v>SYN-OB-0114</x:v>
      </x:c>
      <x:c r="C125" s="8" t="str">
        <x:v>Stonebridge Group 114</x:v>
      </x:c>
      <x:c r="D125" s="9" t="n">
        <x:v>1224000</x:v>
      </x:c>
      <x:c r="E125" s="8" t="str">
        <x:v>B</x:v>
      </x:c>
      <x:c r="F125" s="8" t="str">
        <x:v>Healthcare Providers &amp; Services</x:v>
      </x:c>
      <x:c r="G125" s="8" t="str">
        <x:v>United States</x:v>
      </x:c>
      <x:c r="H125" s="8" t="str">
        <x:v>1st Lien</x:v>
      </x:c>
      <x:c r="I125" s="8" t="str">
        <x:v>Floating</x:v>
      </x:c>
      <x:c r="J125" s="8" t="n">
        <x:v>300</x:v>
      </x:c>
      <x:c r="K125" s="10"/>
      <x:c r="L125" s="8" t="n">
        <x:v>0</x:v>
      </x:c>
      <x:c r="M125" s="11" t="n">
        <x:v>47756</x:v>
      </x:c>
      <x:c r="N125" s="10" t="n">
        <x:v>0.335</x:v>
      </x:c>
      <x:c r="O125" s="12" t="n">
        <x:v>98.875</x:v>
      </x:c>
      <x:c r="P125" s="13" t="n">
        <x:v>4</x:v>
      </x:c>
      <x:c r="Q125" s="8" t="str">
        <x:v>USD</x:v>
      </x:c>
      <x:c r="R125" s="8" t="str">
        <x:v>SOFR</x:v>
      </x:c>
      <x:c r="S125" s="1"/>
      <x:c r="T125" s="1"/>
      <x:c r="U125" s="1"/>
      <x:c r="V125" s="1"/>
      <x:c r="W125" s="1"/>
      <x:c r="X125" s="1"/>
      <x:c r="Y125" s="1"/>
    </x:row>
    <x:row r="126">
      <x:c r="A126" s="8" t="str">
        <x:v>SYN-LN-00119</x:v>
      </x:c>
      <x:c r="B126" s="8" t="str">
        <x:v>SYN-OB-0115</x:v>
      </x:c>
      <x:c r="C126" s="8" t="str">
        <x:v>Summit LLC 115</x:v>
      </x:c>
      <x:c r="D126" s="9" t="n">
        <x:v>610000</x:v>
      </x:c>
      <x:c r="E126" s="8" t="str">
        <x:v>B+</x:v>
      </x:c>
      <x:c r="F126" s="8" t="str">
        <x:v>Life Sciences Tools &amp; Services</x:v>
      </x:c>
      <x:c r="G126" s="8" t="str">
        <x:v>United States</x:v>
      </x:c>
      <x:c r="H126" s="8" t="str">
        <x:v>1st Lien</x:v>
      </x:c>
      <x:c r="I126" s="8" t="str">
        <x:v>Floating</x:v>
      </x:c>
      <x:c r="J126" s="8" t="n">
        <x:v>255</x:v>
      </x:c>
      <x:c r="K126" s="10"/>
      <x:c r="L126" s="8" t="n">
        <x:v>50</x:v>
      </x:c>
      <x:c r="M126" s="11" t="n">
        <x:v>48197</x:v>
      </x:c>
      <x:c r="N126" s="10" t="n">
        <x:v>0.505</x:v>
      </x:c>
      <x:c r="O126" s="12" t="n">
        <x:v>101.5</x:v>
      </x:c>
      <x:c r="P126" s="13" t="n">
        <x:v>4</x:v>
      </x:c>
      <x:c r="Q126" s="8" t="str">
        <x:v>USD</x:v>
      </x:c>
      <x:c r="R126" s="8" t="str">
        <x:v>SOFR</x:v>
      </x:c>
      <x:c r="S126" s="1"/>
      <x:c r="T126" s="1"/>
      <x:c r="U126" s="1"/>
      <x:c r="V126" s="1"/>
      <x:c r="W126" s="1"/>
      <x:c r="X126" s="1"/>
      <x:c r="Y126" s="1"/>
    </x:row>
    <x:row r="127">
      <x:c r="A127" s="8" t="str">
        <x:v>SYN-LN-00120</x:v>
      </x:c>
      <x:c r="B127" s="8" t="str">
        <x:v>SYN-OB-0115</x:v>
      </x:c>
      <x:c r="C127" s="8" t="str">
        <x:v>Summit LLC 115</x:v>
      </x:c>
      <x:c r="D127" s="9" t="n">
        <x:v>572000</x:v>
      </x:c>
      <x:c r="E127" s="8" t="str">
        <x:v>B+</x:v>
      </x:c>
      <x:c r="F127" s="8" t="str">
        <x:v>Life Sciences Tools &amp; Services</x:v>
      </x:c>
      <x:c r="G127" s="8" t="str">
        <x:v>United States</x:v>
      </x:c>
      <x:c r="H127" s="8" t="str">
        <x:v>1st Lien</x:v>
      </x:c>
      <x:c r="I127" s="8" t="str">
        <x:v>Floating</x:v>
      </x:c>
      <x:c r="J127" s="8" t="n">
        <x:v>265</x:v>
      </x:c>
      <x:c r="K127" s="10"/>
      <x:c r="L127" s="8" t="n">
        <x:v>50</x:v>
      </x:c>
      <x:c r="M127" s="11" t="n">
        <x:v>48272</x:v>
      </x:c>
      <x:c r="N127" s="10" t="n">
        <x:v>0.505</x:v>
      </x:c>
      <x:c r="O127" s="12" t="n">
        <x:v>101.625</x:v>
      </x:c>
      <x:c r="P127" s="13" t="n">
        <x:v>4</x:v>
      </x:c>
      <x:c r="Q127" s="8" t="str">
        <x:v>USD</x:v>
      </x:c>
      <x:c r="R127" s="8" t="str">
        <x:v>SOFR</x:v>
      </x:c>
      <x:c r="S127" s="1"/>
      <x:c r="T127" s="1"/>
      <x:c r="U127" s="1"/>
      <x:c r="V127" s="1"/>
      <x:c r="W127" s="1"/>
      <x:c r="X127" s="1"/>
      <x:c r="Y127" s="1"/>
    </x:row>
    <x:row r="128">
      <x:c r="A128" s="8" t="str">
        <x:v>SYN-LN-00121</x:v>
      </x:c>
      <x:c r="B128" s="8" t="str">
        <x:v>SYN-OB-0116</x:v>
      </x:c>
      <x:c r="C128" s="8" t="str">
        <x:v>Timber Holdings 116</x:v>
      </x:c>
      <x:c r="D128" s="9" t="n">
        <x:v>1182000</x:v>
      </x:c>
      <x:c r="E128" s="8" t="str">
        <x:v>B</x:v>
      </x:c>
      <x:c r="F128" s="8" t="str">
        <x:v>Chemicals</x:v>
      </x:c>
      <x:c r="G128" s="8" t="str">
        <x:v>United States</x:v>
      </x:c>
      <x:c r="H128" s="8" t="str">
        <x:v>1st Lien</x:v>
      </x:c>
      <x:c r="I128" s="8" t="str">
        <x:v>Floating</x:v>
      </x:c>
      <x:c r="J128" s="8" t="n">
        <x:v>290</x:v>
      </x:c>
      <x:c r="K128" s="10"/>
      <x:c r="L128" s="8" t="n">
        <x:v>0</x:v>
      </x:c>
      <x:c r="M128" s="11" t="n">
        <x:v>48941</x:v>
      </x:c>
      <x:c r="N128" s="10" t="n">
        <x:v>0.275</x:v>
      </x:c>
      <x:c r="O128" s="12" t="n">
        <x:v>98.5</x:v>
      </x:c>
      <x:c r="P128" s="13" t="n">
        <x:v>4</x:v>
      </x:c>
      <x:c r="Q128" s="8" t="str">
        <x:v>USD</x:v>
      </x:c>
      <x:c r="R128" s="8" t="str">
        <x:v>SOFR</x:v>
      </x:c>
      <x:c r="S128" s="1"/>
      <x:c r="T128" s="1"/>
      <x:c r="U128" s="1"/>
      <x:c r="V128" s="1"/>
      <x:c r="W128" s="1"/>
      <x:c r="X128" s="1"/>
      <x:c r="Y128" s="1"/>
    </x:row>
    <x:row r="129">
      <x:c r="A129" s="8" t="str">
        <x:v>SYN-LN-00122</x:v>
      </x:c>
      <x:c r="B129" s="8" t="str">
        <x:v>SYN-OB-0117</x:v>
      </x:c>
      <x:c r="C129" s="8" t="str">
        <x:v>Westhaven Inc. 117</x:v>
      </x:c>
      <x:c r="D129" s="9" t="n">
        <x:v>630000</x:v>
      </x:c>
      <x:c r="E129" s="8" t="str">
        <x:v>B+</x:v>
      </x:c>
      <x:c r="F129" s="8" t="str">
        <x:v>Hotels, Restaurants &amp; Leisure</x:v>
      </x:c>
      <x:c r="G129" s="8" t="str">
        <x:v>United Kingdom</x:v>
      </x:c>
      <x:c r="H129" s="8" t="str">
        <x:v>Sr Unsec</x:v>
      </x:c>
      <x:c r="I129" s="8" t="str">
        <x:v>Floating</x:v>
      </x:c>
      <x:c r="J129" s="8" t="n">
        <x:v>235</x:v>
      </x:c>
      <x:c r="K129" s="10"/>
      <x:c r="L129" s="8" t="n">
        <x:v>0</x:v>
      </x:c>
      <x:c r="M129" s="11" t="n">
        <x:v>48259</x:v>
      </x:c>
      <x:c r="N129" s="10" t="n">
        <x:v>0.2</x:v>
      </x:c>
      <x:c r="O129" s="12" t="n">
        <x:v>101.5</x:v>
      </x:c>
      <x:c r="P129" s="13" t="n">
        <x:v>4</x:v>
      </x:c>
      <x:c r="Q129" s="8" t="str">
        <x:v>USD</x:v>
      </x:c>
      <x:c r="R129" s="8" t="str">
        <x:v>SOFR</x:v>
      </x:c>
      <x:c r="S129" s="1"/>
      <x:c r="T129" s="1"/>
      <x:c r="U129" s="1"/>
      <x:c r="V129" s="1"/>
      <x:c r="W129" s="1"/>
      <x:c r="X129" s="1"/>
      <x:c r="Y129" s="1"/>
    </x:row>
    <x:row r="130">
      <x:c r="A130" s="8" t="str">
        <x:v>SYN-LN-00123</x:v>
      </x:c>
      <x:c r="B130" s="8" t="str">
        <x:v>SYN-OB-0118</x:v>
      </x:c>
      <x:c r="C130" s="8" t="str">
        <x:v>Willow Corp. 118</x:v>
      </x:c>
      <x:c r="D130" s="9" t="n">
        <x:v>1182000</x:v>
      </x:c>
      <x:c r="E130" s="8" t="str">
        <x:v>B-</x:v>
      </x:c>
      <x:c r="F130" s="8" t="str">
        <x:v>Consumer Finance</x:v>
      </x:c>
      <x:c r="G130" s="8" t="str">
        <x:v>United States</x:v>
      </x:c>
      <x:c r="H130" s="8" t="str">
        <x:v>1st Lien</x:v>
      </x:c>
      <x:c r="I130" s="8" t="str">
        <x:v>Floating</x:v>
      </x:c>
      <x:c r="J130" s="8" t="n">
        <x:v>380</x:v>
      </x:c>
      <x:c r="K130" s="10"/>
      <x:c r="L130" s="8" t="n">
        <x:v>0</x:v>
      </x:c>
      <x:c r="M130" s="11" t="n">
        <x:v>48548</x:v>
      </x:c>
      <x:c r="N130" s="10" t="n">
        <x:v>0.495</x:v>
      </x:c>
      <x:c r="O130" s="12" t="n">
        <x:v>100</x:v>
      </x:c>
      <x:c r="P130" s="13" t="n">
        <x:v>4</x:v>
      </x:c>
      <x:c r="Q130" s="8" t="str">
        <x:v>USD</x:v>
      </x:c>
      <x:c r="R130" s="8" t="str">
        <x:v>SOFR</x:v>
      </x:c>
      <x:c r="S130" s="1"/>
      <x:c r="T130" s="1"/>
      <x:c r="U130" s="1"/>
      <x:c r="V130" s="1"/>
      <x:c r="W130" s="1"/>
      <x:c r="X130" s="1"/>
      <x:c r="Y130" s="1"/>
    </x:row>
    <x:row r="131">
      <x:c r="A131" s="8" t="str">
        <x:v>SYN-LN-00124</x:v>
      </x:c>
      <x:c r="B131" s="8" t="str">
        <x:v>SYN-OB-0119</x:v>
      </x:c>
      <x:c r="C131" s="8" t="str">
        <x:v>Windward Group 119</x:v>
      </x:c>
      <x:c r="D131" s="9" t="n">
        <x:v>1182000</x:v>
      </x:c>
      <x:c r="E131" s="8" t="str">
        <x:v>B-</x:v>
      </x:c>
      <x:c r="F131" s="8" t="str">
        <x:v>Financial services</x:v>
      </x:c>
      <x:c r="G131" s="8" t="str">
        <x:v>United States</x:v>
      </x:c>
      <x:c r="H131" s="8" t="str">
        <x:v>1st Lien</x:v>
      </x:c>
      <x:c r="I131" s="8" t="str">
        <x:v>Floating</x:v>
      </x:c>
      <x:c r="J131" s="8" t="n">
        <x:v>250</x:v>
      </x:c>
      <x:c r="K131" s="10"/>
      <x:c r="L131" s="8" t="n">
        <x:v>0</x:v>
      </x:c>
      <x:c r="M131" s="11" t="n">
        <x:v>48395</x:v>
      </x:c>
      <x:c r="N131" s="10" t="n">
        <x:v>0.35</x:v>
      </x:c>
      <x:c r="O131" s="12" t="n">
        <x:v>98.625</x:v>
      </x:c>
      <x:c r="P131" s="13" t="n">
        <x:v>4</x:v>
      </x:c>
      <x:c r="Q131" s="8" t="str">
        <x:v>USD</x:v>
      </x:c>
      <x:c r="R131" s="8" t="str">
        <x:v>SOFR</x:v>
      </x:c>
      <x:c r="S131" s="1"/>
      <x:c r="T131" s="1"/>
      <x:c r="U131" s="1"/>
      <x:c r="V131" s="1"/>
      <x:c r="W131" s="1"/>
      <x:c r="X131" s="1"/>
      <x:c r="Y131" s="1"/>
    </x:row>
    <x:row r="132">
      <x:c r="A132" s="8" t="str">
        <x:v>SYN-LN-00125</x:v>
      </x:c>
      <x:c r="B132" s="8" t="str">
        <x:v>SYN-OB-0120</x:v>
      </x:c>
      <x:c r="C132" s="8" t="str">
        <x:v>Woodland LLC 120</x:v>
      </x:c>
      <x:c r="D132" s="9" t="n">
        <x:v>1182000</x:v>
      </x:c>
      <x:c r="E132" s="8" t="str">
        <x:v>BB-</x:v>
      </x:c>
      <x:c r="F132" s="8" t="str">
        <x:v>Gas Utilities</x:v>
      </x:c>
      <x:c r="G132" s="8" t="str">
        <x:v>United States</x:v>
      </x:c>
      <x:c r="H132" s="8" t="str">
        <x:v>1st Lien</x:v>
      </x:c>
      <x:c r="I132" s="8" t="str">
        <x:v>Floating</x:v>
      </x:c>
      <x:c r="J132" s="8" t="n">
        <x:v>235</x:v>
      </x:c>
      <x:c r="K132" s="10"/>
      <x:c r="L132" s="8" t="n">
        <x:v>0</x:v>
      </x:c>
      <x:c r="M132" s="11" t="n">
        <x:v>47922</x:v>
      </x:c>
      <x:c r="N132" s="10" t="n">
        <x:v>0.45</x:v>
      </x:c>
      <x:c r="O132" s="12" t="n">
        <x:v>98.5</x:v>
      </x:c>
      <x:c r="P132" s="13" t="n">
        <x:v>4</x:v>
      </x:c>
      <x:c r="Q132" s="8" t="str">
        <x:v>USD</x:v>
      </x:c>
      <x:c r="R132" s="8" t="str">
        <x:v>SOFR</x:v>
      </x:c>
      <x:c r="S132" s="1"/>
      <x:c r="T132" s="1"/>
      <x:c r="U132" s="1"/>
      <x:c r="V132" s="1"/>
      <x:c r="W132" s="1"/>
      <x:c r="X132" s="1"/>
      <x:c r="Y132" s="1"/>
    </x:row>
    <x:row r="133">
      <x:c r="A133" s="8" t="str">
        <x:v>SYN-LN-00126</x:v>
      </x:c>
      <x:c r="B133" s="8" t="str">
        <x:v>SYN-OB-0121</x:v>
      </x:c>
      <x:c r="C133" s="8" t="str">
        <x:v>Alder Holdings 121</x:v>
      </x:c>
      <x:c r="D133" s="9" t="n">
        <x:v>1182000</x:v>
      </x:c>
      <x:c r="E133" s="8" t="str">
        <x:v>B-</x:v>
      </x:c>
      <x:c r="F133" s="8" t="str">
        <x:v>Software</x:v>
      </x:c>
      <x:c r="G133" s="8" t="str">
        <x:v>United States</x:v>
      </x:c>
      <x:c r="H133" s="8" t="str">
        <x:v>1st Lien</x:v>
      </x:c>
      <x:c r="I133" s="8" t="str">
        <x:v>Floating</x:v>
      </x:c>
      <x:c r="J133" s="8" t="n">
        <x:v>365</x:v>
      </x:c>
      <x:c r="K133" s="10"/>
      <x:c r="L133" s="8" t="n">
        <x:v>0</x:v>
      </x:c>
      <x:c r="M133" s="11" t="n">
        <x:v>48594</x:v>
      </x:c>
      <x:c r="N133" s="10" t="n">
        <x:v>0.36</x:v>
      </x:c>
      <x:c r="O133" s="12" t="n">
        <x:v>98.25</x:v>
      </x:c>
      <x:c r="P133" s="13" t="n">
        <x:v>4</x:v>
      </x:c>
      <x:c r="Q133" s="8" t="str">
        <x:v>USD</x:v>
      </x:c>
      <x:c r="R133" s="8" t="str">
        <x:v>SOFR</x:v>
      </x:c>
      <x:c r="S133" s="1"/>
      <x:c r="T133" s="1"/>
      <x:c r="U133" s="1"/>
      <x:c r="V133" s="1"/>
      <x:c r="W133" s="1"/>
      <x:c r="X133" s="1"/>
      <x:c r="Y133" s="1"/>
    </x:row>
    <x:row r="134">
      <x:c r="A134" s="8" t="str">
        <x:v>SYN-LN-00127</x:v>
      </x:c>
      <x:c r="B134" s="8" t="str">
        <x:v>SYN-OB-0122</x:v>
      </x:c>
      <x:c r="C134" s="8" t="str">
        <x:v>Amber Inc. 122</x:v>
      </x:c>
      <x:c r="D134" s="9" t="n">
        <x:v>1182000</x:v>
      </x:c>
      <x:c r="E134" s="8" t="str">
        <x:v>BB-</x:v>
      </x:c>
      <x:c r="F134" s="8" t="str">
        <x:v>Oil, Gas &amp; Consumable Fuels</x:v>
      </x:c>
      <x:c r="G134" s="8" t="str">
        <x:v>United States</x:v>
      </x:c>
      <x:c r="H134" s="8" t="str">
        <x:v>1st Lien</x:v>
      </x:c>
      <x:c r="I134" s="8" t="str">
        <x:v>Floating</x:v>
      </x:c>
      <x:c r="J134" s="8" t="n">
        <x:v>150</x:v>
      </x:c>
      <x:c r="K134" s="10"/>
      <x:c r="L134" s="8" t="n">
        <x:v>0</x:v>
      </x:c>
      <x:c r="M134" s="11" t="n">
        <x:v>48319</x:v>
      </x:c>
      <x:c r="N134" s="10" t="n">
        <x:v>0.325</x:v>
      </x:c>
      <x:c r="O134" s="12" t="n">
        <x:v>101.5</x:v>
      </x:c>
      <x:c r="P134" s="13" t="n">
        <x:v>4</x:v>
      </x:c>
      <x:c r="Q134" s="8" t="str">
        <x:v>USD</x:v>
      </x:c>
      <x:c r="R134" s="8" t="str">
        <x:v>SOFR</x:v>
      </x:c>
      <x:c r="S134" s="1"/>
      <x:c r="T134" s="1"/>
      <x:c r="U134" s="1"/>
      <x:c r="V134" s="1"/>
      <x:c r="W134" s="1"/>
      <x:c r="X134" s="1"/>
      <x:c r="Y134" s="1"/>
    </x:row>
    <x:row r="135">
      <x:c r="A135" s="8" t="str">
        <x:v>SYN-LN-00128</x:v>
      </x:c>
      <x:c r="B135" s="8" t="str">
        <x:v>SYN-OB-0123</x:v>
      </x:c>
      <x:c r="C135" s="8" t="str">
        <x:v>Arbor Corp. 123</x:v>
      </x:c>
      <x:c r="D135" s="9" t="n">
        <x:v>1182000</x:v>
      </x:c>
      <x:c r="E135" s="8" t="str">
        <x:v>B+</x:v>
      </x:c>
      <x:c r="F135" s="8" t="str">
        <x:v>Media</x:v>
      </x:c>
      <x:c r="G135" s="8" t="str">
        <x:v>United States</x:v>
      </x:c>
      <x:c r="H135" s="8" t="str">
        <x:v>1st Lien</x:v>
      </x:c>
      <x:c r="I135" s="8" t="str">
        <x:v>Floating</x:v>
      </x:c>
      <x:c r="J135" s="8" t="n">
        <x:v>290</x:v>
      </x:c>
      <x:c r="K135" s="10"/>
      <x:c r="L135" s="8" t="n">
        <x:v>0</x:v>
      </x:c>
      <x:c r="M135" s="11" t="n">
        <x:v>48821</x:v>
      </x:c>
      <x:c r="N135" s="10" t="n">
        <x:v>0.535</x:v>
      </x:c>
      <x:c r="O135" s="12" t="n">
        <x:v>101.5</x:v>
      </x:c>
      <x:c r="P135" s="13" t="n">
        <x:v>4</x:v>
      </x:c>
      <x:c r="Q135" s="8" t="str">
        <x:v>USD</x:v>
      </x:c>
      <x:c r="R135" s="8" t="str">
        <x:v>SOFR</x:v>
      </x:c>
      <x:c r="S135" s="1"/>
      <x:c r="T135" s="1"/>
      <x:c r="U135" s="1"/>
      <x:c r="V135" s="1"/>
      <x:c r="W135" s="1"/>
      <x:c r="X135" s="1"/>
      <x:c r="Y135" s="1"/>
    </x:row>
    <x:row r="136">
      <x:c r="A136" s="8" t="str">
        <x:v>SYN-LN-00129</x:v>
      </x:c>
      <x:c r="B136" s="8" t="str">
        <x:v>SYN-OB-0124</x:v>
      </x:c>
      <x:c r="C136" s="8" t="str">
        <x:v>Atlas Group 124</x:v>
      </x:c>
      <x:c r="D136" s="9" t="n">
        <x:v>1182000</x:v>
      </x:c>
      <x:c r="E136" s="8" t="str">
        <x:v>BB-</x:v>
      </x:c>
      <x:c r="F136" s="8" t="str">
        <x:v>Hotels, Restaurants &amp; Leisure</x:v>
      </x:c>
      <x:c r="G136" s="8" t="str">
        <x:v>United States</x:v>
      </x:c>
      <x:c r="H136" s="8" t="str">
        <x:v>1st Lien</x:v>
      </x:c>
      <x:c r="I136" s="8" t="str">
        <x:v>Floating</x:v>
      </x:c>
      <x:c r="J136" s="8" t="n">
        <x:v>260</x:v>
      </x:c>
      <x:c r="K136" s="10"/>
      <x:c r="L136" s="8" t="n">
        <x:v>0</x:v>
      </x:c>
      <x:c r="M136" s="11" t="n">
        <x:v>48546</x:v>
      </x:c>
      <x:c r="N136" s="10" t="n">
        <x:v>0.285</x:v>
      </x:c>
      <x:c r="O136" s="12" t="n">
        <x:v>99.625</x:v>
      </x:c>
      <x:c r="P136" s="13" t="n">
        <x:v>4</x:v>
      </x:c>
      <x:c r="Q136" s="8" t="str">
        <x:v>USD</x:v>
      </x:c>
      <x:c r="R136" s="8" t="str">
        <x:v>SOFR</x:v>
      </x:c>
      <x:c r="S136" s="1"/>
      <x:c r="T136" s="1"/>
      <x:c r="U136" s="1"/>
      <x:c r="V136" s="1"/>
      <x:c r="W136" s="1"/>
      <x:c r="X136" s="1"/>
      <x:c r="Y136" s="1"/>
    </x:row>
    <x:row r="137">
      <x:c r="A137" s="8" t="str">
        <x:v>SYN-LN-00130</x:v>
      </x:c>
      <x:c r="B137" s="8" t="str">
        <x:v>SYN-OB-0125</x:v>
      </x:c>
      <x:c r="C137" s="8" t="str">
        <x:v>Beacon LLC 125</x:v>
      </x:c>
      <x:c r="D137" s="9" t="n">
        <x:v>1182000</x:v>
      </x:c>
      <x:c r="E137" s="8" t="str">
        <x:v>B+</x:v>
      </x:c>
      <x:c r="F137" s="8" t="str">
        <x:v>Insurance</x:v>
      </x:c>
      <x:c r="G137" s="8" t="str">
        <x:v>United States</x:v>
      </x:c>
      <x:c r="H137" s="8" t="str">
        <x:v>1st Lien</x:v>
      </x:c>
      <x:c r="I137" s="8" t="str">
        <x:v>Floating</x:v>
      </x:c>
      <x:c r="J137" s="8" t="n">
        <x:v>305</x:v>
      </x:c>
      <x:c r="K137" s="10"/>
      <x:c r="L137" s="8" t="n">
        <x:v>0</x:v>
      </x:c>
      <x:c r="M137" s="11" t="n">
        <x:v>48167</x:v>
      </x:c>
      <x:c r="N137" s="10" t="n">
        <x:v>0.34</x:v>
      </x:c>
      <x:c r="O137" s="12" t="n">
        <x:v>100.75</x:v>
      </x:c>
      <x:c r="P137" s="13" t="n">
        <x:v>4</x:v>
      </x:c>
      <x:c r="Q137" s="8" t="str">
        <x:v>USD</x:v>
      </x:c>
      <x:c r="R137" s="8" t="str">
        <x:v>SOFR</x:v>
      </x:c>
      <x:c r="S137" s="1"/>
      <x:c r="T137" s="1"/>
      <x:c r="U137" s="1"/>
      <x:c r="V137" s="1"/>
      <x:c r="W137" s="1"/>
      <x:c r="X137" s="1"/>
      <x:c r="Y137" s="1"/>
    </x:row>
    <x:row r="138">
      <x:c r="A138" s="8" t="str">
        <x:v>SYN-LN-00131</x:v>
      </x:c>
      <x:c r="B138" s="8" t="str">
        <x:v>SYN-OB-0126</x:v>
      </x:c>
      <x:c r="C138" s="8" t="str">
        <x:v>Bluewater Holdings 126</x:v>
      </x:c>
      <x:c r="D138" s="9" t="n">
        <x:v>1182000</x:v>
      </x:c>
      <x:c r="E138" s="8" t="str">
        <x:v>BB-</x:v>
      </x:c>
      <x:c r="F138" s="8" t="str">
        <x:v>Hotels, Restaurants &amp; Leisure</x:v>
      </x:c>
      <x:c r="G138" s="8" t="str">
        <x:v>United States</x:v>
      </x:c>
      <x:c r="H138" s="8" t="str">
        <x:v>1st Lien</x:v>
      </x:c>
      <x:c r="I138" s="8" t="str">
        <x:v>Floating</x:v>
      </x:c>
      <x:c r="J138" s="8" t="n">
        <x:v>255</x:v>
      </x:c>
      <x:c r="K138" s="10"/>
      <x:c r="L138" s="8" t="n">
        <x:v>0</x:v>
      </x:c>
      <x:c r="M138" s="11" t="n">
        <x:v>48301</x:v>
      </x:c>
      <x:c r="N138" s="10" t="n">
        <x:v>0.305</x:v>
      </x:c>
      <x:c r="O138" s="12" t="n">
        <x:v>101.125</x:v>
      </x:c>
      <x:c r="P138" s="13" t="n">
        <x:v>4</x:v>
      </x:c>
      <x:c r="Q138" s="8" t="str">
        <x:v>USD</x:v>
      </x:c>
      <x:c r="R138" s="8" t="str">
        <x:v>SOFR</x:v>
      </x:c>
      <x:c r="S138" s="1"/>
      <x:c r="T138" s="1"/>
      <x:c r="U138" s="1"/>
      <x:c r="V138" s="1"/>
      <x:c r="W138" s="1"/>
      <x:c r="X138" s="1"/>
      <x:c r="Y138" s="1"/>
    </x:row>
    <x:row r="139">
      <x:c r="A139" s="8" t="str">
        <x:v>SYN-LN-00132</x:v>
      </x:c>
      <x:c r="B139" s="8" t="str">
        <x:v>SYN-OB-0127</x:v>
      </x:c>
      <x:c r="C139" s="8" t="str">
        <x:v>Bracken Inc. 127</x:v>
      </x:c>
      <x:c r="D139" s="9" t="n">
        <x:v>1182000</x:v>
      </x:c>
      <x:c r="E139" s="8" t="str">
        <x:v>B-</x:v>
      </x:c>
      <x:c r="F139" s="8" t="str">
        <x:v>Energy Equipment &amp; Services</x:v>
      </x:c>
      <x:c r="G139" s="8" t="str">
        <x:v>United States</x:v>
      </x:c>
      <x:c r="H139" s="8" t="str">
        <x:v>1st Lien</x:v>
      </x:c>
      <x:c r="I139" s="8" t="str">
        <x:v>Floating</x:v>
      </x:c>
      <x:c r="J139" s="8" t="n">
        <x:v>330</x:v>
      </x:c>
      <x:c r="K139" s="10"/>
      <x:c r="L139" s="8" t="n">
        <x:v>0</x:v>
      </x:c>
      <x:c r="M139" s="11" t="n">
        <x:v>48714</x:v>
      </x:c>
      <x:c r="N139" s="10" t="n">
        <x:v>0.38</x:v>
      </x:c>
      <x:c r="O139" s="12" t="n">
        <x:v>97.875</x:v>
      </x:c>
      <x:c r="P139" s="13" t="n">
        <x:v>4</x:v>
      </x:c>
      <x:c r="Q139" s="8" t="str">
        <x:v>USD</x:v>
      </x:c>
      <x:c r="R139" s="8" t="str">
        <x:v>SOFR</x:v>
      </x:c>
      <x:c r="S139" s="1"/>
      <x:c r="T139" s="1"/>
      <x:c r="U139" s="1"/>
      <x:c r="V139" s="1"/>
      <x:c r="W139" s="1"/>
      <x:c r="X139" s="1"/>
      <x:c r="Y139" s="1"/>
    </x:row>
    <x:row r="140">
      <x:c r="A140" s="8" t="str">
        <x:v>SYN-LN-00133</x:v>
      </x:c>
      <x:c r="B140" s="8" t="str">
        <x:v>SYN-OB-0128</x:v>
      </x:c>
      <x:c r="C140" s="8" t="str">
        <x:v>Cedar Corp. 128</x:v>
      </x:c>
      <x:c r="D140" s="9" t="n">
        <x:v>1182000</x:v>
      </x:c>
      <x:c r="E140" s="8" t="str">
        <x:v>B</x:v>
      </x:c>
      <x:c r="F140" s="8" t="str">
        <x:v>Healthcare Equipment &amp; Supplies</x:v>
      </x:c>
      <x:c r="G140" s="8" t="str">
        <x:v>United States</x:v>
      </x:c>
      <x:c r="H140" s="8" t="str">
        <x:v>1st Lien</x:v>
      </x:c>
      <x:c r="I140" s="8" t="str">
        <x:v>Floating</x:v>
      </x:c>
      <x:c r="J140" s="8" t="n">
        <x:v>240</x:v>
      </x:c>
      <x:c r="K140" s="10"/>
      <x:c r="L140" s="8" t="n">
        <x:v>0</x:v>
      </x:c>
      <x:c r="M140" s="11" t="n">
        <x:v>48395</x:v>
      </x:c>
      <x:c r="N140" s="10" t="n">
        <x:v>0.37</x:v>
      </x:c>
      <x:c r="O140" s="12" t="n">
        <x:v>101.5</x:v>
      </x:c>
      <x:c r="P140" s="13" t="n">
        <x:v>4</x:v>
      </x:c>
      <x:c r="Q140" s="8" t="str">
        <x:v>USD</x:v>
      </x:c>
      <x:c r="R140" s="8" t="str">
        <x:v>SOFR</x:v>
      </x:c>
      <x:c r="S140" s="1"/>
      <x:c r="T140" s="1"/>
      <x:c r="U140" s="1"/>
      <x:c r="V140" s="1"/>
      <x:c r="W140" s="1"/>
      <x:c r="X140" s="1"/>
      <x:c r="Y140" s="1"/>
    </x:row>
    <x:row r="141">
      <x:c r="A141" s="8" t="str">
        <x:v>SYN-LN-00134</x:v>
      </x:c>
      <x:c r="B141" s="8" t="str">
        <x:v>SYN-OB-0129</x:v>
      </x:c>
      <x:c r="C141" s="8" t="str">
        <x:v>Cobalt Group 129</x:v>
      </x:c>
      <x:c r="D141" s="9" t="n">
        <x:v>1182000</x:v>
      </x:c>
      <x:c r="E141" s="8" t="str">
        <x:v>B+</x:v>
      </x:c>
      <x:c r="F141" s="8" t="str">
        <x:v>Industrial Conglomerates</x:v>
      </x:c>
      <x:c r="G141" s="8" t="str">
        <x:v>United States</x:v>
      </x:c>
      <x:c r="H141" s="8" t="str">
        <x:v>1st Lien</x:v>
      </x:c>
      <x:c r="I141" s="8" t="str">
        <x:v>Floating</x:v>
      </x:c>
      <x:c r="J141" s="8" t="n">
        <x:v>300</x:v>
      </x:c>
      <x:c r="K141" s="10"/>
      <x:c r="L141" s="8" t="n">
        <x:v>0</x:v>
      </x:c>
      <x:c r="M141" s="11" t="n">
        <x:v>48106</x:v>
      </x:c>
      <x:c r="N141" s="10" t="n">
        <x:v>0.545</x:v>
      </x:c>
      <x:c r="O141" s="12" t="n">
        <x:v>101.25</x:v>
      </x:c>
      <x:c r="P141" s="13" t="n">
        <x:v>4</x:v>
      </x:c>
      <x:c r="Q141" s="8" t="str">
        <x:v>USD</x:v>
      </x:c>
      <x:c r="R141" s="8" t="str">
        <x:v>SOFR</x:v>
      </x:c>
      <x:c r="S141" s="1"/>
      <x:c r="T141" s="1"/>
      <x:c r="U141" s="1"/>
      <x:c r="V141" s="1"/>
      <x:c r="W141" s="1"/>
      <x:c r="X141" s="1"/>
      <x:c r="Y141" s="1"/>
    </x:row>
    <x:row r="142">
      <x:c r="A142" s="8" t="str">
        <x:v>SYN-LN-00135</x:v>
      </x:c>
      <x:c r="B142" s="8" t="str">
        <x:v>SYN-OB-0130</x:v>
      </x:c>
      <x:c r="C142" s="8" t="str">
        <x:v>Copper LLC 130</x:v>
      </x:c>
      <x:c r="D142" s="9" t="n">
        <x:v>1182000</x:v>
      </x:c>
      <x:c r="E142" s="8" t="str">
        <x:v>B</x:v>
      </x:c>
      <x:c r="F142" s="8" t="str">
        <x:v>Chemicals</x:v>
      </x:c>
      <x:c r="G142" s="8" t="str">
        <x:v>United States</x:v>
      </x:c>
      <x:c r="H142" s="8" t="str">
        <x:v>1st Lien</x:v>
      </x:c>
      <x:c r="I142" s="8" t="str">
        <x:v>Floating</x:v>
      </x:c>
      <x:c r="J142" s="8" t="n">
        <x:v>265</x:v>
      </x:c>
      <x:c r="K142" s="10"/>
      <x:c r="L142" s="8" t="n">
        <x:v>0</x:v>
      </x:c>
      <x:c r="M142" s="11" t="n">
        <x:v>47863</x:v>
      </x:c>
      <x:c r="N142" s="10" t="n">
        <x:v>0.35</x:v>
      </x:c>
      <x:c r="O142" s="12" t="n">
        <x:v>96.625</x:v>
      </x:c>
      <x:c r="P142" s="13" t="n">
        <x:v>4</x:v>
      </x:c>
      <x:c r="Q142" s="8" t="str">
        <x:v>USD</x:v>
      </x:c>
      <x:c r="R142" s="8" t="str">
        <x:v>SOFR</x:v>
      </x:c>
      <x:c r="S142" s="1"/>
      <x:c r="T142" s="1"/>
      <x:c r="U142" s="1"/>
      <x:c r="V142" s="1"/>
      <x:c r="W142" s="1"/>
      <x:c r="X142" s="1"/>
      <x:c r="Y142" s="1"/>
    </x:row>
    <x:row r="143">
      <x:c r="A143" s="8" t="str">
        <x:v>SYN-LN-00136</x:v>
      </x:c>
      <x:c r="B143" s="8" t="str">
        <x:v>SYN-OB-0131</x:v>
      </x:c>
      <x:c r="C143" s="8" t="str">
        <x:v>Crest Holdings 131</x:v>
      </x:c>
      <x:c r="D143" s="9" t="n">
        <x:v>1182000</x:v>
      </x:c>
      <x:c r="E143" s="8" t="str">
        <x:v>B</x:v>
      </x:c>
      <x:c r="F143" s="8" t="str">
        <x:v>Chemicals</x:v>
      </x:c>
      <x:c r="G143" s="8" t="str">
        <x:v>United States</x:v>
      </x:c>
      <x:c r="H143" s="8" t="str">
        <x:v>1st Lien</x:v>
      </x:c>
      <x:c r="I143" s="8" t="str">
        <x:v>Floating</x:v>
      </x:c>
      <x:c r="J143" s="8" t="n">
        <x:v>295</x:v>
      </x:c>
      <x:c r="K143" s="10"/>
      <x:c r="L143" s="8" t="n">
        <x:v>0</x:v>
      </x:c>
      <x:c r="M143" s="11" t="n">
        <x:v>48425</x:v>
      </x:c>
      <x:c r="N143" s="10" t="n">
        <x:v>0.22</x:v>
      </x:c>
      <x:c r="O143" s="12" t="n">
        <x:v>96.125</x:v>
      </x:c>
      <x:c r="P143" s="13" t="n">
        <x:v>4</x:v>
      </x:c>
      <x:c r="Q143" s="8" t="str">
        <x:v>USD</x:v>
      </x:c>
      <x:c r="R143" s="8" t="str">
        <x:v>SOFR</x:v>
      </x:c>
      <x:c r="S143" s="1"/>
      <x:c r="T143" s="1"/>
      <x:c r="U143" s="1"/>
      <x:c r="V143" s="1"/>
      <x:c r="W143" s="1"/>
      <x:c r="X143" s="1"/>
      <x:c r="Y143" s="1"/>
    </x:row>
    <x:row r="144">
      <x:c r="A144" s="8" t="str">
        <x:v>SYN-LN-00137</x:v>
      </x:c>
      <x:c r="B144" s="8" t="str">
        <x:v>SYN-OB-0132</x:v>
      </x:c>
      <x:c r="C144" s="8" t="str">
        <x:v>Duneland Inc. 132</x:v>
      </x:c>
      <x:c r="D144" s="9" t="n">
        <x:v>1182000</x:v>
      </x:c>
      <x:c r="E144" s="8" t="str">
        <x:v>BB</x:v>
      </x:c>
      <x:c r="F144" s="8" t="str">
        <x:v>Commercial Services &amp; Supplies</x:v>
      </x:c>
      <x:c r="G144" s="8" t="str">
        <x:v>United States</x:v>
      </x:c>
      <x:c r="H144" s="8" t="str">
        <x:v>1st Lien</x:v>
      </x:c>
      <x:c r="I144" s="8" t="str">
        <x:v>Floating</x:v>
      </x:c>
      <x:c r="J144" s="8" t="n">
        <x:v>290</x:v>
      </x:c>
      <x:c r="K144" s="10"/>
      <x:c r="L144" s="8" t="n">
        <x:v>0</x:v>
      </x:c>
      <x:c r="M144" s="11" t="n">
        <x:v>48059</x:v>
      </x:c>
      <x:c r="N144" s="10" t="n">
        <x:v>0.505</x:v>
      </x:c>
      <x:c r="O144" s="12" t="n">
        <x:v>98.625</x:v>
      </x:c>
      <x:c r="P144" s="13" t="n">
        <x:v>4</x:v>
      </x:c>
      <x:c r="Q144" s="8" t="str">
        <x:v>USD</x:v>
      </x:c>
      <x:c r="R144" s="8" t="str">
        <x:v>SOFR</x:v>
      </x:c>
      <x:c r="S144" s="1"/>
      <x:c r="T144" s="1"/>
      <x:c r="U144" s="1"/>
      <x:c r="V144" s="1"/>
      <x:c r="W144" s="1"/>
      <x:c r="X144" s="1"/>
      <x:c r="Y144" s="1"/>
    </x:row>
    <x:row r="145">
      <x:c r="A145" s="8" t="str">
        <x:v>SYN-LN-00138</x:v>
      </x:c>
      <x:c r="B145" s="8" t="str">
        <x:v>SYN-OB-0133</x:v>
      </x:c>
      <x:c r="C145" s="8" t="str">
        <x:v>Elmstone Corp. 133</x:v>
      </x:c>
      <x:c r="D145" s="9" t="n">
        <x:v>1182000</x:v>
      </x:c>
      <x:c r="E145" s="8" t="str">
        <x:v>B</x:v>
      </x:c>
      <x:c r="F145" s="8" t="str">
        <x:v>IT Services</x:v>
      </x:c>
      <x:c r="G145" s="8" t="str">
        <x:v>United States</x:v>
      </x:c>
      <x:c r="H145" s="8" t="str">
        <x:v>1st Lien</x:v>
      </x:c>
      <x:c r="I145" s="8" t="str">
        <x:v>Floating</x:v>
      </x:c>
      <x:c r="J145" s="8" t="n">
        <x:v>390</x:v>
      </x:c>
      <x:c r="K145" s="10"/>
      <x:c r="L145" s="8" t="n">
        <x:v>0</x:v>
      </x:c>
      <x:c r="M145" s="11" t="n">
        <x:v>48607</x:v>
      </x:c>
      <x:c r="N145" s="10" t="n">
        <x:v>0.485</x:v>
      </x:c>
      <x:c r="O145" s="12" t="n">
        <x:v>98.25</x:v>
      </x:c>
      <x:c r="P145" s="13" t="n">
        <x:v>4</x:v>
      </x:c>
      <x:c r="Q145" s="8" t="str">
        <x:v>USD</x:v>
      </x:c>
      <x:c r="R145" s="8" t="str">
        <x:v>SOFR</x:v>
      </x:c>
      <x:c r="S145" s="1"/>
      <x:c r="T145" s="1"/>
      <x:c r="U145" s="1"/>
      <x:c r="V145" s="1"/>
      <x:c r="W145" s="1"/>
      <x:c r="X145" s="1"/>
      <x:c r="Y145" s="1"/>
    </x:row>
    <x:row r="146">
      <x:c r="A146" s="8" t="str">
        <x:v>SYN-LN-00139</x:v>
      </x:c>
      <x:c r="B146" s="8" t="str">
        <x:v>SYN-OB-0134</x:v>
      </x:c>
      <x:c r="C146" s="8" t="str">
        <x:v>Evergreen Group 134</x:v>
      </x:c>
      <x:c r="D146" s="9" t="n">
        <x:v>1198000</x:v>
      </x:c>
      <x:c r="E146" s="8" t="str">
        <x:v>B</x:v>
      </x:c>
      <x:c r="F146" s="8" t="str">
        <x:v>Software</x:v>
      </x:c>
      <x:c r="G146" s="8" t="str">
        <x:v>United States</x:v>
      </x:c>
      <x:c r="H146" s="8" t="str">
        <x:v>1st Lien</x:v>
      </x:c>
      <x:c r="I146" s="8" t="str">
        <x:v>Floating</x:v>
      </x:c>
      <x:c r="J146" s="8" t="n">
        <x:v>400</x:v>
      </x:c>
      <x:c r="K146" s="10"/>
      <x:c r="L146" s="8" t="n">
        <x:v>0</x:v>
      </x:c>
      <x:c r="M146" s="11" t="n">
        <x:v>48515</x:v>
      </x:c>
      <x:c r="N146" s="10" t="n">
        <x:v>0.425</x:v>
      </x:c>
      <x:c r="O146" s="12" t="n">
        <x:v>101.5</x:v>
      </x:c>
      <x:c r="P146" s="13" t="n">
        <x:v>4</x:v>
      </x:c>
      <x:c r="Q146" s="8" t="str">
        <x:v>USD</x:v>
      </x:c>
      <x:c r="R146" s="8" t="str">
        <x:v>SOFR</x:v>
      </x:c>
      <x:c r="S146" s="1"/>
      <x:c r="T146" s="1"/>
      <x:c r="U146" s="1"/>
      <x:c r="V146" s="1"/>
      <x:c r="W146" s="1"/>
      <x:c r="X146" s="1"/>
      <x:c r="Y146" s="1"/>
    </x:row>
    <x:row r="147">
      <x:c r="A147" s="8" t="str">
        <x:v>SYN-LN-00140</x:v>
      </x:c>
      <x:c r="B147" s="8" t="str">
        <x:v>SYN-OB-0135</x:v>
      </x:c>
      <x:c r="C147" s="8" t="str">
        <x:v>Fairhaven LLC 135</x:v>
      </x:c>
      <x:c r="D147" s="9" t="n">
        <x:v>1182000</x:v>
      </x:c>
      <x:c r="E147" s="8" t="str">
        <x:v>B+</x:v>
      </x:c>
      <x:c r="F147" s="8" t="str">
        <x:v>Passenger airlines</x:v>
      </x:c>
      <x:c r="G147" s="8" t="str">
        <x:v>United States</x:v>
      </x:c>
      <x:c r="H147" s="8" t="str">
        <x:v>1st Lien</x:v>
      </x:c>
      <x:c r="I147" s="8" t="str">
        <x:v>Floating</x:v>
      </x:c>
      <x:c r="J147" s="8" t="n">
        <x:v>260</x:v>
      </x:c>
      <x:c r="K147" s="10"/>
      <x:c r="L147" s="8" t="n">
        <x:v>0</x:v>
      </x:c>
      <x:c r="M147" s="11" t="n">
        <x:v>47421</x:v>
      </x:c>
      <x:c r="N147" s="10" t="n">
        <x:v>0.54</x:v>
      </x:c>
      <x:c r="O147" s="12" t="n">
        <x:v>101.5</x:v>
      </x:c>
      <x:c r="P147" s="13" t="n">
        <x:v>4</x:v>
      </x:c>
      <x:c r="Q147" s="8" t="str">
        <x:v>USD</x:v>
      </x:c>
      <x:c r="R147" s="8" t="str">
        <x:v>SOFR</x:v>
      </x:c>
      <x:c r="S147" s="1"/>
      <x:c r="T147" s="1"/>
      <x:c r="U147" s="1"/>
      <x:c r="V147" s="1"/>
      <x:c r="W147" s="1"/>
      <x:c r="X147" s="1"/>
      <x:c r="Y147" s="1"/>
    </x:row>
    <x:row r="148">
      <x:c r="A148" s="8" t="str">
        <x:v>SYN-LN-00141</x:v>
      </x:c>
      <x:c r="B148" s="8" t="str">
        <x:v>SYN-OB-0136</x:v>
      </x:c>
      <x:c r="C148" s="8" t="str">
        <x:v>Granite Holdings 136</x:v>
      </x:c>
      <x:c r="D148" s="9" t="n">
        <x:v>1182000</x:v>
      </x:c>
      <x:c r="E148" s="8" t="str">
        <x:v>B</x:v>
      </x:c>
      <x:c r="F148" s="8" t="str">
        <x:v>Aerospace &amp; Defense</x:v>
      </x:c>
      <x:c r="G148" s="8" t="str">
        <x:v>United States</x:v>
      </x:c>
      <x:c r="H148" s="8" t="str">
        <x:v>1st Lien</x:v>
      </x:c>
      <x:c r="I148" s="8" t="str">
        <x:v>Floating</x:v>
      </x:c>
      <x:c r="J148" s="8" t="n">
        <x:v>395</x:v>
      </x:c>
      <x:c r="K148" s="10"/>
      <x:c r="L148" s="8" t="n">
        <x:v>0</x:v>
      </x:c>
      <x:c r="M148" s="11" t="n">
        <x:v>47662</x:v>
      </x:c>
      <x:c r="N148" s="10" t="n">
        <x:v>0.395</x:v>
      </x:c>
      <x:c r="O148" s="12" t="n">
        <x:v>97.375</x:v>
      </x:c>
      <x:c r="P148" s="13" t="n">
        <x:v>4</x:v>
      </x:c>
      <x:c r="Q148" s="8" t="str">
        <x:v>USD</x:v>
      </x:c>
      <x:c r="R148" s="8" t="str">
        <x:v>SOFR</x:v>
      </x:c>
      <x:c r="S148" s="1"/>
      <x:c r="T148" s="1"/>
      <x:c r="U148" s="1"/>
      <x:c r="V148" s="1"/>
      <x:c r="W148" s="1"/>
      <x:c r="X148" s="1"/>
      <x:c r="Y148" s="1"/>
    </x:row>
    <x:row r="149">
      <x:c r="A149" s="8" t="str">
        <x:v>SYN-LN-00142</x:v>
      </x:c>
      <x:c r="B149" s="8" t="str">
        <x:v>SYN-OB-0137</x:v>
      </x:c>
      <x:c r="C149" s="8" t="str">
        <x:v>Harbor Inc. 137</x:v>
      </x:c>
      <x:c r="D149" s="9" t="n">
        <x:v>1182000</x:v>
      </x:c>
      <x:c r="E149" s="8" t="str">
        <x:v>BB-</x:v>
      </x:c>
      <x:c r="F149" s="8" t="str">
        <x:v>Hotels, Restaurants &amp; Leisure</x:v>
      </x:c>
      <x:c r="G149" s="8" t="str">
        <x:v>United States</x:v>
      </x:c>
      <x:c r="H149" s="8" t="str">
        <x:v>1st Lien</x:v>
      </x:c>
      <x:c r="I149" s="8" t="str">
        <x:v>Floating</x:v>
      </x:c>
      <x:c r="J149" s="8" t="n">
        <x:v>290</x:v>
      </x:c>
      <x:c r="K149" s="10"/>
      <x:c r="L149" s="8" t="n">
        <x:v>0</x:v>
      </x:c>
      <x:c r="M149" s="11" t="n">
        <x:v>48301</x:v>
      </x:c>
      <x:c r="N149" s="10" t="n">
        <x:v>0.47</x:v>
      </x:c>
      <x:c r="O149" s="12" t="n">
        <x:v>99.125</x:v>
      </x:c>
      <x:c r="P149" s="13" t="n">
        <x:v>4</x:v>
      </x:c>
      <x:c r="Q149" s="8" t="str">
        <x:v>USD</x:v>
      </x:c>
      <x:c r="R149" s="8" t="str">
        <x:v>SOFR</x:v>
      </x:c>
      <x:c r="S149" s="1"/>
      <x:c r="T149" s="1"/>
      <x:c r="U149" s="1"/>
      <x:c r="V149" s="1"/>
      <x:c r="W149" s="1"/>
      <x:c r="X149" s="1"/>
      <x:c r="Y149" s="1"/>
    </x:row>
    <x:row r="150">
      <x:c r="A150" s="8" t="str">
        <x:v>SYN-LN-00143</x:v>
      </x:c>
      <x:c r="B150" s="8" t="str">
        <x:v>SYN-OB-0138</x:v>
      </x:c>
      <x:c r="C150" s="8" t="str">
        <x:v>Hawthorne Corp. 138</x:v>
      </x:c>
      <x:c r="D150" s="9" t="n">
        <x:v>1182000</x:v>
      </x:c>
      <x:c r="E150" s="8" t="str">
        <x:v>B</x:v>
      </x:c>
      <x:c r="F150" s="8" t="str">
        <x:v>Auto Components</x:v>
      </x:c>
      <x:c r="G150" s="8" t="str">
        <x:v>United States</x:v>
      </x:c>
      <x:c r="H150" s="8" t="str">
        <x:v>1st Lien</x:v>
      </x:c>
      <x:c r="I150" s="8" t="str">
        <x:v>Floating</x:v>
      </x:c>
      <x:c r="J150" s="8" t="n">
        <x:v>290</x:v>
      </x:c>
      <x:c r="K150" s="10"/>
      <x:c r="L150" s="8" t="n">
        <x:v>0</x:v>
      </x:c>
      <x:c r="M150" s="11" t="n">
        <x:v>48456</x:v>
      </x:c>
      <x:c r="N150" s="10" t="n">
        <x:v>0.33</x:v>
      </x:c>
      <x:c r="O150" s="12" t="n">
        <x:v>100.875</x:v>
      </x:c>
      <x:c r="P150" s="13" t="n">
        <x:v>4</x:v>
      </x:c>
      <x:c r="Q150" s="8" t="str">
        <x:v>USD</x:v>
      </x:c>
      <x:c r="R150" s="8" t="str">
        <x:v>SOFR</x:v>
      </x:c>
      <x:c r="S150" s="1"/>
      <x:c r="T150" s="1"/>
      <x:c r="U150" s="1"/>
      <x:c r="V150" s="1"/>
      <x:c r="W150" s="1"/>
      <x:c r="X150" s="1"/>
      <x:c r="Y150" s="1"/>
    </x:row>
    <x:row r="151">
      <x:c r="A151" s="8" t="str">
        <x:v>SYN-LN-00144</x:v>
      </x:c>
      <x:c r="B151" s="8" t="str">
        <x:v>SYN-OB-0139</x:v>
      </x:c>
      <x:c r="C151" s="8" t="str">
        <x:v>Highland Group 139</x:v>
      </x:c>
      <x:c r="D151" s="9" t="n">
        <x:v>630000</x:v>
      </x:c>
      <x:c r="E151" s="8" t="str">
        <x:v>BB+</x:v>
      </x:c>
      <x:c r="F151" s="8" t="str">
        <x:v>Specialty Retail</x:v>
      </x:c>
      <x:c r="G151" s="8" t="str">
        <x:v>Netherlands</x:v>
      </x:c>
      <x:c r="H151" s="8" t="str">
        <x:v>1st Lien</x:v>
      </x:c>
      <x:c r="I151" s="8" t="str">
        <x:v>Floating</x:v>
      </x:c>
      <x:c r="J151" s="8" t="n">
        <x:v>165</x:v>
      </x:c>
      <x:c r="K151" s="10"/>
      <x:c r="L151" s="8" t="n">
        <x:v>0</x:v>
      </x:c>
      <x:c r="M151" s="11" t="n">
        <x:v>47907</x:v>
      </x:c>
      <x:c r="N151" s="10" t="n">
        <x:v>0.36</x:v>
      </x:c>
      <x:c r="O151" s="12" t="n">
        <x:v>100.375</x:v>
      </x:c>
      <x:c r="P151" s="13" t="n">
        <x:v>4</x:v>
      </x:c>
      <x:c r="Q151" s="8" t="str">
        <x:v>USD</x:v>
      </x:c>
      <x:c r="R151" s="8" t="str">
        <x:v>SOFR</x:v>
      </x:c>
      <x:c r="S151" s="1"/>
      <x:c r="T151" s="1"/>
      <x:c r="U151" s="1"/>
      <x:c r="V151" s="1"/>
      <x:c r="W151" s="1"/>
      <x:c r="X151" s="1"/>
      <x:c r="Y151" s="1"/>
    </x:row>
    <x:row r="152">
      <x:c r="A152" s="8" t="str">
        <x:v>SYN-LN-00145</x:v>
      </x:c>
      <x:c r="B152" s="8" t="str">
        <x:v>SYN-OB-0140</x:v>
      </x:c>
      <x:c r="C152" s="8" t="str">
        <x:v>Ironwood LLC 140</x:v>
      </x:c>
      <x:c r="D152" s="9" t="n">
        <x:v>1182000</x:v>
      </x:c>
      <x:c r="E152" s="8" t="str">
        <x:v>B</x:v>
      </x:c>
      <x:c r="F152" s="8" t="str">
        <x:v>Healthcare Providers &amp; Services</x:v>
      </x:c>
      <x:c r="G152" s="8" t="str">
        <x:v>United States</x:v>
      </x:c>
      <x:c r="H152" s="8" t="str">
        <x:v>1st Lien</x:v>
      </x:c>
      <x:c r="I152" s="8" t="str">
        <x:v>Floating</x:v>
      </x:c>
      <x:c r="J152" s="8" t="n">
        <x:v>340</x:v>
      </x:c>
      <x:c r="K152" s="10"/>
      <x:c r="L152" s="8" t="n">
        <x:v>0</x:v>
      </x:c>
      <x:c r="M152" s="11" t="n">
        <x:v>48790</x:v>
      </x:c>
      <x:c r="N152" s="10" t="n">
        <x:v>0.365</x:v>
      </x:c>
      <x:c r="O152" s="12" t="n">
        <x:v>99.375</x:v>
      </x:c>
      <x:c r="P152" s="13" t="n">
        <x:v>4</x:v>
      </x:c>
      <x:c r="Q152" s="8" t="str">
        <x:v>USD</x:v>
      </x:c>
      <x:c r="R152" s="8" t="str">
        <x:v>SOFR</x:v>
      </x:c>
      <x:c r="S152" s="1"/>
      <x:c r="T152" s="1"/>
      <x:c r="U152" s="1"/>
      <x:c r="V152" s="1"/>
      <x:c r="W152" s="1"/>
      <x:c r="X152" s="1"/>
      <x:c r="Y152" s="1"/>
    </x:row>
    <x:row r="153">
      <x:c r="A153" s="8" t="str">
        <x:v>SYN-LN-00146</x:v>
      </x:c>
      <x:c r="B153" s="8" t="str">
        <x:v>SYN-OB-0141</x:v>
      </x:c>
      <x:c r="C153" s="8" t="str">
        <x:v>Juniper Holdings 141</x:v>
      </x:c>
      <x:c r="D153" s="9" t="n">
        <x:v>1182000</x:v>
      </x:c>
      <x:c r="E153" s="8" t="str">
        <x:v>B+</x:v>
      </x:c>
      <x:c r="F153" s="8" t="str">
        <x:v>Passenger airlines</x:v>
      </x:c>
      <x:c r="G153" s="8" t="str">
        <x:v>United States</x:v>
      </x:c>
      <x:c r="H153" s="8" t="str">
        <x:v>1st Lien</x:v>
      </x:c>
      <x:c r="I153" s="8" t="str">
        <x:v>Floating</x:v>
      </x:c>
      <x:c r="J153" s="8" t="n">
        <x:v>390</x:v>
      </x:c>
      <x:c r="K153" s="10"/>
      <x:c r="L153" s="8" t="n">
        <x:v>0</x:v>
      </x:c>
      <x:c r="M153" s="11" t="n">
        <x:v>47692</x:v>
      </x:c>
      <x:c r="N153" s="10" t="n">
        <x:v>0.49</x:v>
      </x:c>
      <x:c r="O153" s="12" t="n">
        <x:v>98.375</x:v>
      </x:c>
      <x:c r="P153" s="13" t="n">
        <x:v>4</x:v>
      </x:c>
      <x:c r="Q153" s="8" t="str">
        <x:v>USD</x:v>
      </x:c>
      <x:c r="R153" s="8" t="str">
        <x:v>SOFR</x:v>
      </x:c>
      <x:c r="S153" s="1"/>
      <x:c r="T153" s="1"/>
      <x:c r="U153" s="1"/>
      <x:c r="V153" s="1"/>
      <x:c r="W153" s="1"/>
      <x:c r="X153" s="1"/>
      <x:c r="Y153" s="1"/>
    </x:row>
    <x:row r="154">
      <x:c r="A154" s="8" t="str">
        <x:v>SYN-LN-00147</x:v>
      </x:c>
      <x:c r="B154" s="8" t="str">
        <x:v>SYN-OB-0142</x:v>
      </x:c>
      <x:c r="C154" s="8" t="str">
        <x:v>Keystone Inc. 142</x:v>
      </x:c>
      <x:c r="D154" s="9" t="n">
        <x:v>1182000</x:v>
      </x:c>
      <x:c r="E154" s="8" t="str">
        <x:v>B-</x:v>
      </x:c>
      <x:c r="F154" s="8" t="str">
        <x:v>Containers &amp; Packaging</x:v>
      </x:c>
      <x:c r="G154" s="8" t="str">
        <x:v>United States</x:v>
      </x:c>
      <x:c r="H154" s="8" t="str">
        <x:v>1st Lien</x:v>
      </x:c>
      <x:c r="I154" s="8" t="str">
        <x:v>Floating</x:v>
      </x:c>
      <x:c r="J154" s="8" t="n">
        <x:v>365</x:v>
      </x:c>
      <x:c r="K154" s="10"/>
      <x:c r="L154" s="8" t="n">
        <x:v>0</x:v>
      </x:c>
      <x:c r="M154" s="11" t="n">
        <x:v>47649</x:v>
      </x:c>
      <x:c r="N154" s="10" t="n">
        <x:v>0.44</x:v>
      </x:c>
      <x:c r="O154" s="12" t="n">
        <x:v>100.375</x:v>
      </x:c>
      <x:c r="P154" s="13" t="n">
        <x:v>4</x:v>
      </x:c>
      <x:c r="Q154" s="8" t="str">
        <x:v>USD</x:v>
      </x:c>
      <x:c r="R154" s="8" t="str">
        <x:v>SOFR</x:v>
      </x:c>
      <x:c r="S154" s="1"/>
      <x:c r="T154" s="1"/>
      <x:c r="U154" s="1"/>
      <x:c r="V154" s="1"/>
      <x:c r="W154" s="1"/>
      <x:c r="X154" s="1"/>
      <x:c r="Y154" s="1"/>
    </x:row>
    <x:row r="155">
      <x:c r="A155" s="8" t="str">
        <x:v>SYN-LN-00148</x:v>
      </x:c>
      <x:c r="B155" s="8" t="str">
        <x:v>SYN-OB-0143</x:v>
      </x:c>
      <x:c r="C155" s="8" t="str">
        <x:v>Lakeview Corp. 143</x:v>
      </x:c>
      <x:c r="D155" s="9" t="n">
        <x:v>630000</x:v>
      </x:c>
      <x:c r="E155" s="8" t="str">
        <x:v>BBB</x:v>
      </x:c>
      <x:c r="F155" s="8" t="str">
        <x:v>Software</x:v>
      </x:c>
      <x:c r="G155" s="8" t="str">
        <x:v>Austria</x:v>
      </x:c>
      <x:c r="H155" s="8" t="str">
        <x:v>1st Lien</x:v>
      </x:c>
      <x:c r="I155" s="8" t="str">
        <x:v>Floating</x:v>
      </x:c>
      <x:c r="J155" s="8" t="n">
        <x:v>215</x:v>
      </x:c>
      <x:c r="K155" s="10"/>
      <x:c r="L155" s="8" t="n">
        <x:v>50</x:v>
      </x:c>
      <x:c r="M155" s="11" t="n">
        <x:v>48319</x:v>
      </x:c>
      <x:c r="N155" s="10" t="n">
        <x:v>0.41</x:v>
      </x:c>
      <x:c r="O155" s="12" t="n">
        <x:v>101.125</x:v>
      </x:c>
      <x:c r="P155" s="13" t="n">
        <x:v>4</x:v>
      </x:c>
      <x:c r="Q155" s="8" t="str">
        <x:v>USD</x:v>
      </x:c>
      <x:c r="R155" s="8" t="str">
        <x:v>SOFR</x:v>
      </x:c>
      <x:c r="S155" s="1"/>
      <x:c r="T155" s="1"/>
      <x:c r="U155" s="1"/>
      <x:c r="V155" s="1"/>
      <x:c r="W155" s="1"/>
      <x:c r="X155" s="1"/>
      <x:c r="Y155" s="1"/>
    </x:row>
    <x:row r="156">
      <x:c r="A156" s="8" t="str">
        <x:v>SYN-LN-00149</x:v>
      </x:c>
      <x:c r="B156" s="8" t="str">
        <x:v>SYN-OB-0144</x:v>
      </x:c>
      <x:c r="C156" s="8" t="str">
        <x:v>Larkspur Group 144</x:v>
      </x:c>
      <x:c r="D156" s="9" t="n">
        <x:v>1182000</x:v>
      </x:c>
      <x:c r="E156" s="8" t="str">
        <x:v>B</x:v>
      </x:c>
      <x:c r="F156" s="8" t="str">
        <x:v>Diversified Consumer Services</x:v>
      </x:c>
      <x:c r="G156" s="8" t="str">
        <x:v>United States</x:v>
      </x:c>
      <x:c r="H156" s="8" t="str">
        <x:v>1st Lien</x:v>
      </x:c>
      <x:c r="I156" s="8" t="str">
        <x:v>Floating</x:v>
      </x:c>
      <x:c r="J156" s="8" t="n">
        <x:v>355</x:v>
      </x:c>
      <x:c r="K156" s="10"/>
      <x:c r="L156" s="8" t="n">
        <x:v>0</x:v>
      </x:c>
      <x:c r="M156" s="11" t="n">
        <x:v>48393</x:v>
      </x:c>
      <x:c r="N156" s="10" t="n">
        <x:v>0.335</x:v>
      </x:c>
      <x:c r="O156" s="12" t="n">
        <x:v>101.5</x:v>
      </x:c>
      <x:c r="P156" s="13" t="n">
        <x:v>4</x:v>
      </x:c>
      <x:c r="Q156" s="8" t="str">
        <x:v>USD</x:v>
      </x:c>
      <x:c r="R156" s="8" t="str">
        <x:v>SOFR</x:v>
      </x:c>
      <x:c r="S156" s="1"/>
      <x:c r="T156" s="1"/>
      <x:c r="U156" s="1"/>
      <x:c r="V156" s="1"/>
      <x:c r="W156" s="1"/>
      <x:c r="X156" s="1"/>
      <x:c r="Y156" s="1"/>
    </x:row>
    <x:row r="157">
      <x:c r="A157" s="8" t="str">
        <x:v>SYN-LN-00150</x:v>
      </x:c>
      <x:c r="B157" s="8" t="str">
        <x:v>SYN-OB-0145</x:v>
      </x:c>
      <x:c r="C157" s="8" t="str">
        <x:v>Maple LLC 145</x:v>
      </x:c>
      <x:c r="D157" s="9" t="n">
        <x:v>1182000</x:v>
      </x:c>
      <x:c r="E157" s="8" t="str">
        <x:v>B+</x:v>
      </x:c>
      <x:c r="F157" s="8" t="str">
        <x:v>Passenger airlines</x:v>
      </x:c>
      <x:c r="G157" s="8" t="str">
        <x:v>United States</x:v>
      </x:c>
      <x:c r="H157" s="8" t="str">
        <x:v>1st Lien</x:v>
      </x:c>
      <x:c r="I157" s="8" t="str">
        <x:v>Floating</x:v>
      </x:c>
      <x:c r="J157" s="8" t="n">
        <x:v>325</x:v>
      </x:c>
      <x:c r="K157" s="10"/>
      <x:c r="L157" s="8" t="n">
        <x:v>0</x:v>
      </x:c>
      <x:c r="M157" s="11" t="n">
        <x:v>48241</x:v>
      </x:c>
      <x:c r="N157" s="10" t="n">
        <x:v>0.38</x:v>
      </x:c>
      <x:c r="O157" s="12" t="n">
        <x:v>98.875</x:v>
      </x:c>
      <x:c r="P157" s="13" t="n">
        <x:v>4</x:v>
      </x:c>
      <x:c r="Q157" s="8" t="str">
        <x:v>USD</x:v>
      </x:c>
      <x:c r="R157" s="8" t="str">
        <x:v>SOFR</x:v>
      </x:c>
      <x:c r="S157" s="1"/>
      <x:c r="T157" s="1"/>
      <x:c r="U157" s="1"/>
      <x:c r="V157" s="1"/>
      <x:c r="W157" s="1"/>
      <x:c r="X157" s="1"/>
      <x:c r="Y157" s="1"/>
    </x:row>
    <x:row r="158">
      <x:c r="A158" s="8" t="str">
        <x:v>SYN-LN-00151</x:v>
      </x:c>
      <x:c r="B158" s="8" t="str">
        <x:v>SYN-OB-0146</x:v>
      </x:c>
      <x:c r="C158" s="8" t="str">
        <x:v>Meridian Holdings 146</x:v>
      </x:c>
      <x:c r="D158" s="9" t="n">
        <x:v>1189000</x:v>
      </x:c>
      <x:c r="E158" s="8" t="str">
        <x:v>B</x:v>
      </x:c>
      <x:c r="F158" s="8" t="str">
        <x:v>Software</x:v>
      </x:c>
      <x:c r="G158" s="8" t="str">
        <x:v>United States</x:v>
      </x:c>
      <x:c r="H158" s="8" t="str">
        <x:v>1st Lien</x:v>
      </x:c>
      <x:c r="I158" s="8" t="str">
        <x:v>Floating</x:v>
      </x:c>
      <x:c r="J158" s="8" t="n">
        <x:v>245</x:v>
      </x:c>
      <x:c r="K158" s="10"/>
      <x:c r="L158" s="8" t="n">
        <x:v>0</x:v>
      </x:c>
      <x:c r="M158" s="11" t="n">
        <x:v>47694</x:v>
      </x:c>
      <x:c r="N158" s="10" t="n">
        <x:v>0.41</x:v>
      </x:c>
      <x:c r="O158" s="12" t="n">
        <x:v>95.25</x:v>
      </x:c>
      <x:c r="P158" s="13" t="n">
        <x:v>4</x:v>
      </x:c>
      <x:c r="Q158" s="8" t="str">
        <x:v>USD</x:v>
      </x:c>
      <x:c r="R158" s="8" t="str">
        <x:v>SOFR</x:v>
      </x:c>
      <x:c r="S158" s="1"/>
      <x:c r="T158" s="1"/>
      <x:c r="U158" s="1"/>
      <x:c r="V158" s="1"/>
      <x:c r="W158" s="1"/>
      <x:c r="X158" s="1"/>
      <x:c r="Y158" s="1"/>
    </x:row>
    <x:row r="159">
      <x:c r="A159" s="8" t="str">
        <x:v>SYN-LN-00152</x:v>
      </x:c>
      <x:c r="B159" s="8" t="str">
        <x:v>SYN-OB-0147</x:v>
      </x:c>
      <x:c r="C159" s="8" t="str">
        <x:v>Northfield Inc. 147</x:v>
      </x:c>
      <x:c r="D159" s="9" t="n">
        <x:v>1182000</x:v>
      </x:c>
      <x:c r="E159" s="8" t="str">
        <x:v>B</x:v>
      </x:c>
      <x:c r="F159" s="8" t="str">
        <x:v>Healthcare Providers &amp; Services</x:v>
      </x:c>
      <x:c r="G159" s="8" t="str">
        <x:v>United States</x:v>
      </x:c>
      <x:c r="H159" s="8" t="str">
        <x:v>1st Lien</x:v>
      </x:c>
      <x:c r="I159" s="8" t="str">
        <x:v>Floating</x:v>
      </x:c>
      <x:c r="J159" s="8" t="n">
        <x:v>195</x:v>
      </x:c>
      <x:c r="K159" s="10"/>
      <x:c r="L159" s="8" t="n">
        <x:v>0</x:v>
      </x:c>
      <x:c r="M159" s="11" t="n">
        <x:v>47953</x:v>
      </x:c>
      <x:c r="N159" s="10" t="n">
        <x:v>0.355</x:v>
      </x:c>
      <x:c r="O159" s="12" t="n">
        <x:v>99.875</x:v>
      </x:c>
      <x:c r="P159" s="13" t="n">
        <x:v>4</x:v>
      </x:c>
      <x:c r="Q159" s="8" t="str">
        <x:v>USD</x:v>
      </x:c>
      <x:c r="R159" s="8" t="str">
        <x:v>SOFR</x:v>
      </x:c>
      <x:c r="S159" s="1"/>
      <x:c r="T159" s="1"/>
      <x:c r="U159" s="1"/>
      <x:c r="V159" s="1"/>
      <x:c r="W159" s="1"/>
      <x:c r="X159" s="1"/>
      <x:c r="Y159" s="1"/>
    </x:row>
    <x:row r="160">
      <x:c r="A160" s="8" t="str">
        <x:v>SYN-LN-00153</x:v>
      </x:c>
      <x:c r="B160" s="8" t="str">
        <x:v>SYN-OB-0148</x:v>
      </x:c>
      <x:c r="C160" s="8" t="str">
        <x:v>Oakmont Corp. 148</x:v>
      </x:c>
      <x:c r="D160" s="9" t="n">
        <x:v>1182000</x:v>
      </x:c>
      <x:c r="E160" s="8" t="str">
        <x:v>B</x:v>
      </x:c>
      <x:c r="F160" s="8" t="str">
        <x:v>Financial services</x:v>
      </x:c>
      <x:c r="G160" s="8" t="str">
        <x:v>United States</x:v>
      </x:c>
      <x:c r="H160" s="8" t="str">
        <x:v>1st Lien</x:v>
      </x:c>
      <x:c r="I160" s="8" t="str">
        <x:v>Floating</x:v>
      </x:c>
      <x:c r="J160" s="8" t="n">
        <x:v>265</x:v>
      </x:c>
      <x:c r="K160" s="10"/>
      <x:c r="L160" s="8" t="n">
        <x:v>0</x:v>
      </x:c>
      <x:c r="M160" s="11" t="n">
        <x:v>48819</x:v>
      </x:c>
      <x:c r="N160" s="10" t="n">
        <x:v>0.34</x:v>
      </x:c>
      <x:c r="O160" s="12" t="n">
        <x:v>101.125</x:v>
      </x:c>
      <x:c r="P160" s="13" t="n">
        <x:v>4</x:v>
      </x:c>
      <x:c r="Q160" s="8" t="str">
        <x:v>USD</x:v>
      </x:c>
      <x:c r="R160" s="8" t="str">
        <x:v>SOFR</x:v>
      </x:c>
      <x:c r="S160" s="1"/>
      <x:c r="T160" s="1"/>
      <x:c r="U160" s="1"/>
      <x:c r="V160" s="1"/>
      <x:c r="W160" s="1"/>
      <x:c r="X160" s="1"/>
      <x:c r="Y160" s="1"/>
    </x:row>
    <x:row r="161">
      <x:c r="A161" s="8" t="str">
        <x:v>SYN-LN-00154</x:v>
      </x:c>
      <x:c r="B161" s="8" t="str">
        <x:v>SYN-OB-0149</x:v>
      </x:c>
      <x:c r="C161" s="8" t="str">
        <x:v>Orchard Group 149</x:v>
      </x:c>
      <x:c r="D161" s="9" t="n">
        <x:v>1182000</x:v>
      </x:c>
      <x:c r="E161" s="8" t="str">
        <x:v>B-</x:v>
      </x:c>
      <x:c r="F161" s="8" t="str">
        <x:v>Financial services</x:v>
      </x:c>
      <x:c r="G161" s="8" t="str">
        <x:v>United Kingdom</x:v>
      </x:c>
      <x:c r="H161" s="8" t="str">
        <x:v>1st Lien</x:v>
      </x:c>
      <x:c r="I161" s="8" t="str">
        <x:v>Floating</x:v>
      </x:c>
      <x:c r="J161" s="8" t="n">
        <x:v>355</x:v>
      </x:c>
      <x:c r="K161" s="10"/>
      <x:c r="L161" s="8" t="n">
        <x:v>0</x:v>
      </x:c>
      <x:c r="M161" s="11" t="n">
        <x:v>48044</x:v>
      </x:c>
      <x:c r="N161" s="10" t="n">
        <x:v>0.37</x:v>
      </x:c>
      <x:c r="O161" s="12" t="n">
        <x:v>98</x:v>
      </x:c>
      <x:c r="P161" s="13" t="n">
        <x:v>4</x:v>
      </x:c>
      <x:c r="Q161" s="8" t="str">
        <x:v>USD</x:v>
      </x:c>
      <x:c r="R161" s="8" t="str">
        <x:v>SOFR</x:v>
      </x:c>
      <x:c r="S161" s="1"/>
      <x:c r="T161" s="1"/>
      <x:c r="U161" s="1"/>
      <x:c r="V161" s="1"/>
      <x:c r="W161" s="1"/>
      <x:c r="X161" s="1"/>
      <x:c r="Y161" s="1"/>
    </x:row>
    <x:row r="162">
      <x:c r="A162" s="8" t="str">
        <x:v>SYN-LN-00155</x:v>
      </x:c>
      <x:c r="B162" s="8" t="str">
        <x:v>SYN-OB-0150</x:v>
      </x:c>
      <x:c r="C162" s="8" t="str">
        <x:v>Pinecrest LLC 150</x:v>
      </x:c>
      <x:c r="D162" s="9" t="n">
        <x:v>1182000</x:v>
      </x:c>
      <x:c r="E162" s="8" t="str">
        <x:v>BB-</x:v>
      </x:c>
      <x:c r="F162" s="8" t="str">
        <x:v>Professional Services</x:v>
      </x:c>
      <x:c r="G162" s="8" t="str">
        <x:v>United States</x:v>
      </x:c>
      <x:c r="H162" s="8" t="str">
        <x:v>1st Lien</x:v>
      </x:c>
      <x:c r="I162" s="8" t="str">
        <x:v>Floating</x:v>
      </x:c>
      <x:c r="J162" s="8" t="n">
        <x:v>315</x:v>
      </x:c>
      <x:c r="K162" s="10"/>
      <x:c r="L162" s="8" t="n">
        <x:v>0</x:v>
      </x:c>
      <x:c r="M162" s="11" t="n">
        <x:v>48898</x:v>
      </x:c>
      <x:c r="N162" s="10" t="n">
        <x:v>0.365</x:v>
      </x:c>
      <x:c r="O162" s="12" t="n">
        <x:v>98</x:v>
      </x:c>
      <x:c r="P162" s="13" t="n">
        <x:v>4</x:v>
      </x:c>
      <x:c r="Q162" s="8" t="str">
        <x:v>USD</x:v>
      </x:c>
      <x:c r="R162" s="8" t="str">
        <x:v>SOFR</x:v>
      </x:c>
      <x:c r="S162" s="1"/>
      <x:c r="T162" s="1"/>
      <x:c r="U162" s="1"/>
      <x:c r="V162" s="1"/>
      <x:c r="W162" s="1"/>
      <x:c r="X162" s="1"/>
      <x:c r="Y162" s="1"/>
    </x:row>
    <x:row r="163">
      <x:c r="A163" s="8" t="str">
        <x:v>SYN-LN-00156</x:v>
      </x:c>
      <x:c r="B163" s="8" t="str">
        <x:v>SYN-OB-0151</x:v>
      </x:c>
      <x:c r="C163" s="8" t="str">
        <x:v>Redwood Holdings 151</x:v>
      </x:c>
      <x:c r="D163" s="9" t="n">
        <x:v>1182000</x:v>
      </x:c>
      <x:c r="E163" s="8" t="str">
        <x:v>B</x:v>
      </x:c>
      <x:c r="F163" s="8" t="str">
        <x:v>Aerospace &amp; Defense</x:v>
      </x:c>
      <x:c r="G163" s="8" t="str">
        <x:v>United States</x:v>
      </x:c>
      <x:c r="H163" s="8" t="str">
        <x:v>1st Lien</x:v>
      </x:c>
      <x:c r="I163" s="8" t="str">
        <x:v>Floating</x:v>
      </x:c>
      <x:c r="J163" s="8" t="n">
        <x:v>225</x:v>
      </x:c>
      <x:c r="K163" s="10"/>
      <x:c r="L163" s="8" t="n">
        <x:v>0</x:v>
      </x:c>
      <x:c r="M163" s="11" t="n">
        <x:v>48423</x:v>
      </x:c>
      <x:c r="N163" s="10" t="n">
        <x:v>0.325</x:v>
      </x:c>
      <x:c r="O163" s="12" t="n">
        <x:v>96.75</x:v>
      </x:c>
      <x:c r="P163" s="13" t="n">
        <x:v>4</x:v>
      </x:c>
      <x:c r="Q163" s="8" t="str">
        <x:v>USD</x:v>
      </x:c>
      <x:c r="R163" s="8" t="str">
        <x:v>SOFR</x:v>
      </x:c>
      <x:c r="S163" s="1"/>
      <x:c r="T163" s="1"/>
      <x:c r="U163" s="1"/>
      <x:c r="V163" s="1"/>
      <x:c r="W163" s="1"/>
      <x:c r="X163" s="1"/>
      <x:c r="Y163" s="1"/>
    </x:row>
    <x:row r="164">
      <x:c r="A164" s="8" t="str">
        <x:v>SYN-LN-00157</x:v>
      </x:c>
      <x:c r="B164" s="8" t="str">
        <x:v>SYN-OB-0152</x:v>
      </x:c>
      <x:c r="C164" s="8" t="str">
        <x:v>Riverton Inc. 152</x:v>
      </x:c>
      <x:c r="D164" s="9" t="n">
        <x:v>1182000</x:v>
      </x:c>
      <x:c r="E164" s="8" t="str">
        <x:v>BB</x:v>
      </x:c>
      <x:c r="F164" s="8" t="str">
        <x:v>Transportation Infrastructure</x:v>
      </x:c>
      <x:c r="G164" s="8" t="str">
        <x:v>United States</x:v>
      </x:c>
      <x:c r="H164" s="8" t="str">
        <x:v>1st Lien</x:v>
      </x:c>
      <x:c r="I164" s="8" t="str">
        <x:v>Floating</x:v>
      </x:c>
      <x:c r="J164" s="8" t="n">
        <x:v>195</x:v>
      </x:c>
      <x:c r="K164" s="10"/>
      <x:c r="L164" s="8" t="n">
        <x:v>0</x:v>
      </x:c>
      <x:c r="M164" s="11" t="n">
        <x:v>48272</x:v>
      </x:c>
      <x:c r="N164" s="10" t="n">
        <x:v>0.62</x:v>
      </x:c>
      <x:c r="O164" s="12" t="n">
        <x:v>97.75</x:v>
      </x:c>
      <x:c r="P164" s="13" t="n">
        <x:v>4</x:v>
      </x:c>
      <x:c r="Q164" s="8" t="str">
        <x:v>USD</x:v>
      </x:c>
      <x:c r="R164" s="8" t="str">
        <x:v>SOFR</x:v>
      </x:c>
      <x:c r="S164" s="1"/>
      <x:c r="T164" s="1"/>
      <x:c r="U164" s="1"/>
      <x:c r="V164" s="1"/>
      <x:c r="W164" s="1"/>
      <x:c r="X164" s="1"/>
      <x:c r="Y164" s="1"/>
    </x:row>
    <x:row r="165">
      <x:c r="A165" s="8" t="str">
        <x:v>SYN-LN-00158</x:v>
      </x:c>
      <x:c r="B165" s="8" t="str">
        <x:v>SYN-OB-0153</x:v>
      </x:c>
      <x:c r="C165" s="8" t="str">
        <x:v>Silver Corp. 153</x:v>
      </x:c>
      <x:c r="D165" s="9" t="n">
        <x:v>1182000</x:v>
      </x:c>
      <x:c r="E165" s="8" t="str">
        <x:v>B</x:v>
      </x:c>
      <x:c r="F165" s="8" t="str">
        <x:v>Chemicals</x:v>
      </x:c>
      <x:c r="G165" s="8" t="str">
        <x:v>Netherlands</x:v>
      </x:c>
      <x:c r="H165" s="8" t="str">
        <x:v>1st Lien</x:v>
      </x:c>
      <x:c r="I165" s="8" t="str">
        <x:v>Floating</x:v>
      </x:c>
      <x:c r="J165" s="8" t="n">
        <x:v>335</x:v>
      </x:c>
      <x:c r="K165" s="10"/>
      <x:c r="L165" s="8" t="n">
        <x:v>0</x:v>
      </x:c>
      <x:c r="M165" s="11" t="n">
        <x:v>47998</x:v>
      </x:c>
      <x:c r="N165" s="10" t="n">
        <x:v>0.34</x:v>
      </x:c>
      <x:c r="O165" s="12" t="n">
        <x:v>101.5</x:v>
      </x:c>
      <x:c r="P165" s="13" t="n">
        <x:v>4</x:v>
      </x:c>
      <x:c r="Q165" s="8" t="str">
        <x:v>USD</x:v>
      </x:c>
      <x:c r="R165" s="8" t="str">
        <x:v>SOFR</x:v>
      </x:c>
      <x:c r="S165" s="1"/>
      <x:c r="T165" s="1"/>
      <x:c r="U165" s="1"/>
      <x:c r="V165" s="1"/>
      <x:c r="W165" s="1"/>
      <x:c r="X165" s="1"/>
      <x:c r="Y165" s="1"/>
    </x:row>
    <x:row r="166">
      <x:c r="A166" s="8" t="str">
        <x:v>SYN-LN-00159</x:v>
      </x:c>
      <x:c r="B166" s="8" t="str">
        <x:v>SYN-OB-0154</x:v>
      </x:c>
      <x:c r="C166" s="8" t="str">
        <x:v>Stonebridge Group 154</x:v>
      </x:c>
      <x:c r="D166" s="9" t="n">
        <x:v>1182000</x:v>
      </x:c>
      <x:c r="E166" s="8" t="str">
        <x:v>BB-</x:v>
      </x:c>
      <x:c r="F166" s="8" t="str">
        <x:v>Household Durables</x:v>
      </x:c>
      <x:c r="G166" s="8" t="str">
        <x:v>United States</x:v>
      </x:c>
      <x:c r="H166" s="8" t="str">
        <x:v>1st Lien</x:v>
      </x:c>
      <x:c r="I166" s="8" t="str">
        <x:v>Floating</x:v>
      </x:c>
      <x:c r="J166" s="8" t="n">
        <x:v>285</x:v>
      </x:c>
      <x:c r="K166" s="10"/>
      <x:c r="L166" s="8" t="n">
        <x:v>0</x:v>
      </x:c>
      <x:c r="M166" s="11" t="n">
        <x:v>48472</x:v>
      </x:c>
      <x:c r="N166" s="10" t="n">
        <x:v>0.485</x:v>
      </x:c>
      <x:c r="O166" s="12" t="n">
        <x:v>97.25</x:v>
      </x:c>
      <x:c r="P166" s="13" t="n">
        <x:v>4</x:v>
      </x:c>
      <x:c r="Q166" s="8" t="str">
        <x:v>USD</x:v>
      </x:c>
      <x:c r="R166" s="8" t="str">
        <x:v>SOFR</x:v>
      </x:c>
      <x:c r="S166" s="1"/>
      <x:c r="T166" s="1"/>
      <x:c r="U166" s="1"/>
      <x:c r="V166" s="1"/>
      <x:c r="W166" s="1"/>
      <x:c r="X166" s="1"/>
      <x:c r="Y166" s="1"/>
    </x:row>
    <x:row r="167">
      <x:c r="A167" s="8" t="str">
        <x:v>SYN-LN-00160</x:v>
      </x:c>
      <x:c r="B167" s="8" t="str">
        <x:v>SYN-OB-0155</x:v>
      </x:c>
      <x:c r="C167" s="8" t="str">
        <x:v>Summit LLC 155</x:v>
      </x:c>
      <x:c r="D167" s="9" t="n">
        <x:v>1182000</x:v>
      </x:c>
      <x:c r="E167" s="8" t="str">
        <x:v>B</x:v>
      </x:c>
      <x:c r="F167" s="8" t="str">
        <x:v>Healthcare Equipment &amp; Supplies</x:v>
      </x:c>
      <x:c r="G167" s="8" t="str">
        <x:v>United States</x:v>
      </x:c>
      <x:c r="H167" s="8" t="str">
        <x:v>1st Lien</x:v>
      </x:c>
      <x:c r="I167" s="8" t="str">
        <x:v>Floating</x:v>
      </x:c>
      <x:c r="J167" s="8" t="n">
        <x:v>240</x:v>
      </x:c>
      <x:c r="K167" s="10"/>
      <x:c r="L167" s="8" t="n">
        <x:v>0</x:v>
      </x:c>
      <x:c r="M167" s="11" t="n">
        <x:v>48517</x:v>
      </x:c>
      <x:c r="N167" s="10" t="n">
        <x:v>0.43</x:v>
      </x:c>
      <x:c r="O167" s="12" t="n">
        <x:v>101.5</x:v>
      </x:c>
      <x:c r="P167" s="13" t="n">
        <x:v>4</x:v>
      </x:c>
      <x:c r="Q167" s="8" t="str">
        <x:v>USD</x:v>
      </x:c>
      <x:c r="R167" s="8" t="str">
        <x:v>SOFR</x:v>
      </x:c>
      <x:c r="S167" s="1"/>
      <x:c r="T167" s="1"/>
      <x:c r="U167" s="1"/>
      <x:c r="V167" s="1"/>
      <x:c r="W167" s="1"/>
      <x:c r="X167" s="1"/>
      <x:c r="Y167" s="1"/>
    </x:row>
    <x:row r="168">
      <x:c r="A168" s="8" t="str">
        <x:v>SYN-LN-00161</x:v>
      </x:c>
      <x:c r="B168" s="8" t="str">
        <x:v>SYN-OB-0156</x:v>
      </x:c>
      <x:c r="C168" s="8" t="str">
        <x:v>Timber Holdings 156</x:v>
      </x:c>
      <x:c r="D168" s="9" t="n">
        <x:v>1182000</x:v>
      </x:c>
      <x:c r="E168" s="8" t="str">
        <x:v>BB</x:v>
      </x:c>
      <x:c r="F168" s="8" t="str">
        <x:v>Machinery</x:v>
      </x:c>
      <x:c r="G168" s="8" t="str">
        <x:v>United States</x:v>
      </x:c>
      <x:c r="H168" s="8" t="str">
        <x:v>1st Lien</x:v>
      </x:c>
      <x:c r="I168" s="8" t="str">
        <x:v>Floating</x:v>
      </x:c>
      <x:c r="J168" s="8" t="n">
        <x:v>205</x:v>
      </x:c>
      <x:c r="K168" s="10"/>
      <x:c r="L168" s="8" t="n">
        <x:v>0</x:v>
      </x:c>
      <x:c r="M168" s="11" t="n">
        <x:v>47498</x:v>
      </x:c>
      <x:c r="N168" s="10" t="n">
        <x:v>0.525</x:v>
      </x:c>
      <x:c r="O168" s="12" t="n">
        <x:v>99.5</x:v>
      </x:c>
      <x:c r="P168" s="13" t="n">
        <x:v>4</x:v>
      </x:c>
      <x:c r="Q168" s="8" t="str">
        <x:v>USD</x:v>
      </x:c>
      <x:c r="R168" s="8" t="str">
        <x:v>SOFR</x:v>
      </x:c>
      <x:c r="S168" s="1"/>
      <x:c r="T168" s="1"/>
      <x:c r="U168" s="1"/>
      <x:c r="V168" s="1"/>
      <x:c r="W168" s="1"/>
      <x:c r="X168" s="1"/>
      <x:c r="Y168" s="1"/>
    </x:row>
    <x:row r="169">
      <x:c r="A169" s="8" t="str">
        <x:v>SYN-LN-00162</x:v>
      </x:c>
      <x:c r="B169" s="8" t="str">
        <x:v>SYN-OB-0157</x:v>
      </x:c>
      <x:c r="C169" s="8" t="str">
        <x:v>Westhaven Inc. 157</x:v>
      </x:c>
      <x:c r="D169" s="9" t="n">
        <x:v>1182000</x:v>
      </x:c>
      <x:c r="E169" s="8" t="str">
        <x:v>BB-</x:v>
      </x:c>
      <x:c r="F169" s="8" t="str">
        <x:v>Automobiles</x:v>
      </x:c>
      <x:c r="G169" s="8" t="str">
        <x:v>United States</x:v>
      </x:c>
      <x:c r="H169" s="8" t="str">
        <x:v>1st Lien</x:v>
      </x:c>
      <x:c r="I169" s="8" t="str">
        <x:v>Floating</x:v>
      </x:c>
      <x:c r="J169" s="8" t="n">
        <x:v>275</x:v>
      </x:c>
      <x:c r="K169" s="10"/>
      <x:c r="L169" s="8" t="n">
        <x:v>0</x:v>
      </x:c>
      <x:c r="M169" s="11" t="n">
        <x:v>48423</x:v>
      </x:c>
      <x:c r="N169" s="10" t="n">
        <x:v>0.225</x:v>
      </x:c>
      <x:c r="O169" s="12" t="n">
        <x:v>101.5</x:v>
      </x:c>
      <x:c r="P169" s="13" t="n">
        <x:v>4</x:v>
      </x:c>
      <x:c r="Q169" s="8" t="str">
        <x:v>USD</x:v>
      </x:c>
      <x:c r="R169" s="8" t="str">
        <x:v>SOFR</x:v>
      </x:c>
      <x:c r="S169" s="1"/>
      <x:c r="T169" s="1"/>
      <x:c r="U169" s="1"/>
      <x:c r="V169" s="1"/>
      <x:c r="W169" s="1"/>
      <x:c r="X169" s="1"/>
      <x:c r="Y169" s="1"/>
    </x:row>
    <x:row r="170">
      <x:c r="A170" s="8" t="str">
        <x:v>SYN-LN-00163</x:v>
      </x:c>
      <x:c r="B170" s="8" t="str">
        <x:v>SYN-OB-0158</x:v>
      </x:c>
      <x:c r="C170" s="8" t="str">
        <x:v>Willow Corp. 158</x:v>
      </x:c>
      <x:c r="D170" s="9" t="n">
        <x:v>1182000</x:v>
      </x:c>
      <x:c r="E170" s="8" t="str">
        <x:v>BB</x:v>
      </x:c>
      <x:c r="F170" s="8" t="str">
        <x:v>Banks</x:v>
      </x:c>
      <x:c r="G170" s="8" t="str">
        <x:v>United States</x:v>
      </x:c>
      <x:c r="H170" s="8" t="str">
        <x:v>1st Lien</x:v>
      </x:c>
      <x:c r="I170" s="8" t="str">
        <x:v>Floating</x:v>
      </x:c>
      <x:c r="J170" s="8" t="n">
        <x:v>230</x:v>
      </x:c>
      <x:c r="K170" s="10"/>
      <x:c r="L170" s="8" t="n">
        <x:v>0</x:v>
      </x:c>
      <x:c r="M170" s="11" t="n">
        <x:v>47756</x:v>
      </x:c>
      <x:c r="N170" s="10" t="n">
        <x:v>0.475</x:v>
      </x:c>
      <x:c r="O170" s="12" t="n">
        <x:v>99.625</x:v>
      </x:c>
      <x:c r="P170" s="13" t="n">
        <x:v>4</x:v>
      </x:c>
      <x:c r="Q170" s="8" t="str">
        <x:v>USD</x:v>
      </x:c>
      <x:c r="R170" s="8" t="str">
        <x:v>SOFR</x:v>
      </x:c>
      <x:c r="S170" s="1"/>
      <x:c r="T170" s="1"/>
      <x:c r="U170" s="1"/>
      <x:c r="V170" s="1"/>
      <x:c r="W170" s="1"/>
      <x:c r="X170" s="1"/>
      <x:c r="Y170" s="1"/>
    </x:row>
    <x:row r="171">
      <x:c r="A171" s="8" t="str">
        <x:v>SYN-LN-00164</x:v>
      </x:c>
      <x:c r="B171" s="8" t="str">
        <x:v>SYN-OB-0159</x:v>
      </x:c>
      <x:c r="C171" s="8" t="str">
        <x:v>Windward Group 159</x:v>
      </x:c>
      <x:c r="D171" s="9" t="n">
        <x:v>1182000</x:v>
      </x:c>
      <x:c r="E171" s="8" t="str">
        <x:v>B</x:v>
      </x:c>
      <x:c r="F171" s="8" t="str">
        <x:v>Chemicals</x:v>
      </x:c>
      <x:c r="G171" s="8" t="str">
        <x:v>United States</x:v>
      </x:c>
      <x:c r="H171" s="8" t="str">
        <x:v>1st Lien</x:v>
      </x:c>
      <x:c r="I171" s="8" t="str">
        <x:v>Floating</x:v>
      </x:c>
      <x:c r="J171" s="8" t="n">
        <x:v>375</x:v>
      </x:c>
      <x:c r="K171" s="10"/>
      <x:c r="L171" s="8" t="n">
        <x:v>0</x:v>
      </x:c>
      <x:c r="M171" s="11" t="n">
        <x:v>48180</x:v>
      </x:c>
      <x:c r="N171" s="10" t="n">
        <x:v>0.345</x:v>
      </x:c>
      <x:c r="O171" s="12" t="n">
        <x:v>98.25</x:v>
      </x:c>
      <x:c r="P171" s="13" t="n">
        <x:v>4</x:v>
      </x:c>
      <x:c r="Q171" s="8" t="str">
        <x:v>USD</x:v>
      </x:c>
      <x:c r="R171" s="8" t="str">
        <x:v>SOFR</x:v>
      </x:c>
      <x:c r="S171" s="1"/>
      <x:c r="T171" s="1"/>
      <x:c r="U171" s="1"/>
      <x:c r="V171" s="1"/>
      <x:c r="W171" s="1"/>
      <x:c r="X171" s="1"/>
      <x:c r="Y171" s="1"/>
    </x:row>
    <x:row r="172">
      <x:c r="A172" s="8" t="str">
        <x:v>SYN-LN-00165</x:v>
      </x:c>
      <x:c r="B172" s="8" t="str">
        <x:v>SYN-OB-0160</x:v>
      </x:c>
      <x:c r="C172" s="8" t="str">
        <x:v>Woodland LLC 160</x:v>
      </x:c>
      <x:c r="D172" s="9" t="n">
        <x:v>550000</x:v>
      </x:c>
      <x:c r="E172" s="8" t="str">
        <x:v>B</x:v>
      </x:c>
      <x:c r="F172" s="8" t="str">
        <x:v>Software</x:v>
      </x:c>
      <x:c r="G172" s="8" t="str">
        <x:v>United States</x:v>
      </x:c>
      <x:c r="H172" s="8" t="str">
        <x:v>1st Lien</x:v>
      </x:c>
      <x:c r="I172" s="8" t="str">
        <x:v>Floating</x:v>
      </x:c>
      <x:c r="J172" s="8" t="n">
        <x:v>230</x:v>
      </x:c>
      <x:c r="K172" s="10"/>
      <x:c r="L172" s="8" t="n">
        <x:v>50</x:v>
      </x:c>
      <x:c r="M172" s="11" t="n">
        <x:v>47692</x:v>
      </x:c>
      <x:c r="N172" s="10" t="n">
        <x:v>0.36</x:v>
      </x:c>
      <x:c r="O172" s="12" t="n">
        <x:v>96.5</x:v>
      </x:c>
      <x:c r="P172" s="13" t="n">
        <x:v>4</x:v>
      </x:c>
      <x:c r="Q172" s="8" t="str">
        <x:v>USD</x:v>
      </x:c>
      <x:c r="R172" s="8" t="str">
        <x:v>SOFR</x:v>
      </x:c>
      <x:c r="S172" s="1"/>
      <x:c r="T172" s="1"/>
      <x:c r="U172" s="1"/>
      <x:c r="V172" s="1"/>
      <x:c r="W172" s="1"/>
      <x:c r="X172" s="1"/>
      <x:c r="Y172" s="1"/>
    </x:row>
    <x:row r="173">
      <x:c r="A173" s="8" t="str">
        <x:v>SYN-LN-00166</x:v>
      </x:c>
      <x:c r="B173" s="8" t="str">
        <x:v>SYN-OB-0160</x:v>
      </x:c>
      <x:c r="C173" s="8" t="str">
        <x:v>Woodland LLC 160</x:v>
      </x:c>
      <x:c r="D173" s="9" t="n">
        <x:v>665000</x:v>
      </x:c>
      <x:c r="E173" s="8" t="str">
        <x:v>B</x:v>
      </x:c>
      <x:c r="F173" s="8" t="str">
        <x:v>Software</x:v>
      </x:c>
      <x:c r="G173" s="8" t="str">
        <x:v>United States</x:v>
      </x:c>
      <x:c r="H173" s="8" t="str">
        <x:v>1st Lien</x:v>
      </x:c>
      <x:c r="I173" s="8" t="str">
        <x:v>Floating</x:v>
      </x:c>
      <x:c r="J173" s="8" t="n">
        <x:v>240</x:v>
      </x:c>
      <x:c r="K173" s="10"/>
      <x:c r="L173" s="8" t="n">
        <x:v>0</x:v>
      </x:c>
      <x:c r="M173" s="11" t="n">
        <x:v>47756</x:v>
      </x:c>
      <x:c r="N173" s="10" t="n">
        <x:v>0.36</x:v>
      </x:c>
      <x:c r="O173" s="12" t="n">
        <x:v>96.625</x:v>
      </x:c>
      <x:c r="P173" s="13" t="n">
        <x:v>4</x:v>
      </x:c>
      <x:c r="Q173" s="8" t="str">
        <x:v>USD</x:v>
      </x:c>
      <x:c r="R173" s="8" t="str">
        <x:v>SOFR</x:v>
      </x:c>
      <x:c r="S173" s="1"/>
      <x:c r="T173" s="1"/>
      <x:c r="U173" s="1"/>
      <x:c r="V173" s="1"/>
      <x:c r="W173" s="1"/>
      <x:c r="X173" s="1"/>
      <x:c r="Y173" s="1"/>
    </x:row>
    <x:row r="174">
      <x:c r="A174" s="8" t="str">
        <x:v>SYN-LN-00167</x:v>
      </x:c>
      <x:c r="B174" s="8" t="str">
        <x:v>SYN-OB-0161</x:v>
      </x:c>
      <x:c r="C174" s="8" t="str">
        <x:v>Alder Holdings 161</x:v>
      </x:c>
      <x:c r="D174" s="9" t="n">
        <x:v>1182000</x:v>
      </x:c>
      <x:c r="E174" s="8" t="str">
        <x:v>B</x:v>
      </x:c>
      <x:c r="F174" s="8" t="str">
        <x:v>IT Services</x:v>
      </x:c>
      <x:c r="G174" s="8" t="str">
        <x:v>United States</x:v>
      </x:c>
      <x:c r="H174" s="8" t="str">
        <x:v>1st Lien</x:v>
      </x:c>
      <x:c r="I174" s="8" t="str">
        <x:v>Floating</x:v>
      </x:c>
      <x:c r="J174" s="8" t="n">
        <x:v>250</x:v>
      </x:c>
      <x:c r="K174" s="10"/>
      <x:c r="L174" s="8" t="n">
        <x:v>0</x:v>
      </x:c>
      <x:c r="M174" s="11" t="n">
        <x:v>48057</x:v>
      </x:c>
      <x:c r="N174" s="10" t="n">
        <x:v>0.23</x:v>
      </x:c>
      <x:c r="O174" s="12" t="n">
        <x:v>100.125</x:v>
      </x:c>
      <x:c r="P174" s="13" t="n">
        <x:v>4</x:v>
      </x:c>
      <x:c r="Q174" s="8" t="str">
        <x:v>USD</x:v>
      </x:c>
      <x:c r="R174" s="8" t="str">
        <x:v>SOFR</x:v>
      </x:c>
      <x:c r="S174" s="1"/>
      <x:c r="T174" s="1"/>
      <x:c r="U174" s="1"/>
      <x:c r="V174" s="1"/>
      <x:c r="W174" s="1"/>
      <x:c r="X174" s="1"/>
      <x:c r="Y174" s="1"/>
    </x:row>
    <x:row r="175">
      <x:c r="A175" s="8" t="str">
        <x:v>SYN-LN-00168</x:v>
      </x:c>
      <x:c r="B175" s="8" t="str">
        <x:v>SYN-OB-0162</x:v>
      </x:c>
      <x:c r="C175" s="8" t="str">
        <x:v>Amber Inc. 162</x:v>
      </x:c>
      <x:c r="D175" s="9" t="n">
        <x:v>630000</x:v>
      </x:c>
      <x:c r="E175" s="8" t="str">
        <x:v>BB-</x:v>
      </x:c>
      <x:c r="F175" s="8" t="str">
        <x:v>Ground transportation</x:v>
      </x:c>
      <x:c r="G175" s="8" t="str">
        <x:v>Luxembourg</x:v>
      </x:c>
      <x:c r="H175" s="8" t="str">
        <x:v>1st Lien</x:v>
      </x:c>
      <x:c r="I175" s="8" t="str">
        <x:v>Fixed</x:v>
      </x:c>
      <x:c r="J175" s="8"/>
      <x:c r="K175" s="10" t="n">
        <x:v>0.046</x:v>
      </x:c>
      <x:c r="L175" s="8"/>
      <x:c r="M175" s="11" t="n">
        <x:v>48546</x:v>
      </x:c>
      <x:c r="N175" s="10" t="n">
        <x:v>0.5</x:v>
      </x:c>
      <x:c r="O175" s="12" t="n">
        <x:v>98.5</x:v>
      </x:c>
      <x:c r="P175" s="13" t="n">
        <x:v>2</x:v>
      </x:c>
      <x:c r="Q175" s="8" t="str">
        <x:v>USD</x:v>
      </x:c>
      <x:c r="R175" s="8"/>
      <x:c r="S175" s="1"/>
      <x:c r="T175" s="1"/>
      <x:c r="U175" s="1"/>
      <x:c r="V175" s="1"/>
      <x:c r="W175" s="1"/>
      <x:c r="X175" s="1"/>
      <x:c r="Y175" s="1"/>
    </x:row>
    <x:row r="176">
      <x:c r="A176" s="8" t="str">
        <x:v>SYN-LN-00169</x:v>
      </x:c>
      <x:c r="B176" s="8" t="str">
        <x:v>SYN-OB-0163</x:v>
      </x:c>
      <x:c r="C176" s="8" t="str">
        <x:v>Arbor Corp. 163</x:v>
      </x:c>
      <x:c r="D176" s="9" t="n">
        <x:v>660000</x:v>
      </x:c>
      <x:c r="E176" s="8" t="str">
        <x:v>B+</x:v>
      </x:c>
      <x:c r="F176" s="8" t="str">
        <x:v>Capital Markets</x:v>
      </x:c>
      <x:c r="G176" s="8" t="str">
        <x:v>United States</x:v>
      </x:c>
      <x:c r="H176" s="8" t="str">
        <x:v>1st Lien</x:v>
      </x:c>
      <x:c r="I176" s="8" t="str">
        <x:v>Floating</x:v>
      </x:c>
      <x:c r="J176" s="8" t="n">
        <x:v>345</x:v>
      </x:c>
      <x:c r="K176" s="10"/>
      <x:c r="L176" s="8" t="n">
        <x:v>0</x:v>
      </x:c>
      <x:c r="M176" s="11" t="n">
        <x:v>48441</x:v>
      </x:c>
      <x:c r="N176" s="10" t="n">
        <x:v>0.385</x:v>
      </x:c>
      <x:c r="O176" s="12" t="n">
        <x:v>101.5</x:v>
      </x:c>
      <x:c r="P176" s="13" t="n">
        <x:v>4</x:v>
      </x:c>
      <x:c r="Q176" s="8" t="str">
        <x:v>USD</x:v>
      </x:c>
      <x:c r="R176" s="8" t="str">
        <x:v>SOFR</x:v>
      </x:c>
      <x:c r="S176" s="1"/>
      <x:c r="T176" s="1"/>
      <x:c r="U176" s="1"/>
      <x:c r="V176" s="1"/>
      <x:c r="W176" s="1"/>
      <x:c r="X176" s="1"/>
      <x:c r="Y176" s="1"/>
    </x:row>
    <x:row r="177">
      <x:c r="A177" s="8" t="str">
        <x:v>SYN-LN-00170</x:v>
      </x:c>
      <x:c r="B177" s="8" t="str">
        <x:v>SYN-OB-0163</x:v>
      </x:c>
      <x:c r="C177" s="8" t="str">
        <x:v>Arbor Corp. 163</x:v>
      </x:c>
      <x:c r="D177" s="9" t="n">
        <x:v>522000</x:v>
      </x:c>
      <x:c r="E177" s="8" t="str">
        <x:v>B+</x:v>
      </x:c>
      <x:c r="F177" s="8" t="str">
        <x:v>Capital Markets</x:v>
      </x:c>
      <x:c r="G177" s="8" t="str">
        <x:v>United States</x:v>
      </x:c>
      <x:c r="H177" s="8" t="str">
        <x:v>1st Lien</x:v>
      </x:c>
      <x:c r="I177" s="8" t="str">
        <x:v>Floating</x:v>
      </x:c>
      <x:c r="J177" s="8" t="n">
        <x:v>355</x:v>
      </x:c>
      <x:c r="K177" s="10"/>
      <x:c r="L177" s="8" t="n">
        <x:v>75</x:v>
      </x:c>
      <x:c r="M177" s="11" t="n">
        <x:v>48517</x:v>
      </x:c>
      <x:c r="N177" s="10" t="n">
        <x:v>0.385</x:v>
      </x:c>
      <x:c r="O177" s="12" t="n">
        <x:v>101.625</x:v>
      </x:c>
      <x:c r="P177" s="13" t="n">
        <x:v>4</x:v>
      </x:c>
      <x:c r="Q177" s="8" t="str">
        <x:v>USD</x:v>
      </x:c>
      <x:c r="R177" s="8" t="str">
        <x:v>SOFR</x:v>
      </x:c>
      <x:c r="S177" s="1"/>
      <x:c r="T177" s="1"/>
      <x:c r="U177" s="1"/>
      <x:c r="V177" s="1"/>
      <x:c r="W177" s="1"/>
      <x:c r="X177" s="1"/>
      <x:c r="Y177" s="1"/>
    </x:row>
    <x:row r="178">
      <x:c r="A178" s="8" t="str">
        <x:v>SYN-LN-00171</x:v>
      </x:c>
      <x:c r="B178" s="8" t="str">
        <x:v>SYN-OB-0164</x:v>
      </x:c>
      <x:c r="C178" s="8" t="str">
        <x:v>Atlas Group 164</x:v>
      </x:c>
      <x:c r="D178" s="9" t="n">
        <x:v>1182000</x:v>
      </x:c>
      <x:c r="E178" s="8" t="str">
        <x:v>B-</x:v>
      </x:c>
      <x:c r="F178" s="8" t="str">
        <x:v>Transportation Infrastructure</x:v>
      </x:c>
      <x:c r="G178" s="8" t="str">
        <x:v>United States</x:v>
      </x:c>
      <x:c r="H178" s="8" t="str">
        <x:v>1st Lien</x:v>
      </x:c>
      <x:c r="I178" s="8" t="str">
        <x:v>Floating</x:v>
      </x:c>
      <x:c r="J178" s="8" t="n">
        <x:v>375</x:v>
      </x:c>
      <x:c r="K178" s="10"/>
      <x:c r="L178" s="8" t="n">
        <x:v>0</x:v>
      </x:c>
      <x:c r="M178" s="11" t="n">
        <x:v>47937</x:v>
      </x:c>
      <x:c r="N178" s="10" t="n">
        <x:v>0.505</x:v>
      </x:c>
      <x:c r="O178" s="12" t="n">
        <x:v>98.375</x:v>
      </x:c>
      <x:c r="P178" s="13" t="n">
        <x:v>4</x:v>
      </x:c>
      <x:c r="Q178" s="8" t="str">
        <x:v>USD</x:v>
      </x:c>
      <x:c r="R178" s="8" t="str">
        <x:v>SOFR</x:v>
      </x:c>
      <x:c r="S178" s="1"/>
      <x:c r="T178" s="1"/>
      <x:c r="U178" s="1"/>
      <x:c r="V178" s="1"/>
      <x:c r="W178" s="1"/>
      <x:c r="X178" s="1"/>
      <x:c r="Y178" s="1"/>
    </x:row>
    <x:row r="179">
      <x:c r="A179" s="8" t="str">
        <x:v>SYN-LN-00172</x:v>
      </x:c>
      <x:c r="B179" s="8" t="str">
        <x:v>SYN-OB-0165</x:v>
      </x:c>
      <x:c r="C179" s="8" t="str">
        <x:v>Beacon LLC 165</x:v>
      </x:c>
      <x:c r="D179" s="9" t="n">
        <x:v>1182000</x:v>
      </x:c>
      <x:c r="E179" s="8" t="str">
        <x:v>B-</x:v>
      </x:c>
      <x:c r="F179" s="8" t="str">
        <x:v>Financial services</x:v>
      </x:c>
      <x:c r="G179" s="8" t="str">
        <x:v>United States</x:v>
      </x:c>
      <x:c r="H179" s="8" t="str">
        <x:v>1st Lien</x:v>
      </x:c>
      <x:c r="I179" s="8" t="str">
        <x:v>Floating</x:v>
      </x:c>
      <x:c r="J179" s="8" t="n">
        <x:v>415</x:v>
      </x:c>
      <x:c r="K179" s="10"/>
      <x:c r="L179" s="8" t="n">
        <x:v>0</x:v>
      </x:c>
      <x:c r="M179" s="11" t="n">
        <x:v>48149</x:v>
      </x:c>
      <x:c r="N179" s="10" t="n">
        <x:v>0.405</x:v>
      </x:c>
      <x:c r="O179" s="12" t="n">
        <x:v>101.5</x:v>
      </x:c>
      <x:c r="P179" s="13" t="n">
        <x:v>4</x:v>
      </x:c>
      <x:c r="Q179" s="8" t="str">
        <x:v>USD</x:v>
      </x:c>
      <x:c r="R179" s="8" t="str">
        <x:v>SOFR</x:v>
      </x:c>
      <x:c r="S179" s="1"/>
      <x:c r="T179" s="1"/>
      <x:c r="U179" s="1"/>
      <x:c r="V179" s="1"/>
      <x:c r="W179" s="1"/>
      <x:c r="X179" s="1"/>
      <x:c r="Y179" s="1"/>
    </x:row>
    <x:row r="180">
      <x:c r="A180" s="8" t="str">
        <x:v>SYN-LN-00173</x:v>
      </x:c>
      <x:c r="B180" s="8" t="str">
        <x:v>SYN-OB-0166</x:v>
      </x:c>
      <x:c r="C180" s="8" t="str">
        <x:v>Bluewater Holdings 166</x:v>
      </x:c>
      <x:c r="D180" s="9" t="n">
        <x:v>1207000</x:v>
      </x:c>
      <x:c r="E180" s="8" t="str">
        <x:v>B</x:v>
      </x:c>
      <x:c r="F180" s="8" t="str">
        <x:v>Software</x:v>
      </x:c>
      <x:c r="G180" s="8" t="str">
        <x:v>United States</x:v>
      </x:c>
      <x:c r="H180" s="8" t="str">
        <x:v>1st Lien</x:v>
      </x:c>
      <x:c r="I180" s="8" t="str">
        <x:v>Floating</x:v>
      </x:c>
      <x:c r="J180" s="8" t="n">
        <x:v>345</x:v>
      </x:c>
      <x:c r="K180" s="10"/>
      <x:c r="L180" s="8" t="n">
        <x:v>0</x:v>
      </x:c>
      <x:c r="M180" s="11" t="n">
        <x:v>47983</x:v>
      </x:c>
      <x:c r="N180" s="10" t="n">
        <x:v>0.45</x:v>
      </x:c>
      <x:c r="O180" s="12" t="n">
        <x:v>100.875</x:v>
      </x:c>
      <x:c r="P180" s="13" t="n">
        <x:v>4</x:v>
      </x:c>
      <x:c r="Q180" s="8" t="str">
        <x:v>USD</x:v>
      </x:c>
      <x:c r="R180" s="8" t="str">
        <x:v>SOFR</x:v>
      </x:c>
      <x:c r="S180" s="1"/>
      <x:c r="T180" s="1"/>
      <x:c r="U180" s="1"/>
      <x:c r="V180" s="1"/>
      <x:c r="W180" s="1"/>
      <x:c r="X180" s="1"/>
      <x:c r="Y180" s="1"/>
    </x:row>
    <x:row r="181">
      <x:c r="A181" s="8" t="str">
        <x:v>SYN-LN-00174</x:v>
      </x:c>
      <x:c r="B181" s="8" t="str">
        <x:v>SYN-OB-0167</x:v>
      </x:c>
      <x:c r="C181" s="8" t="str">
        <x:v>Bracken Inc. 167</x:v>
      </x:c>
      <x:c r="D181" s="9" t="n">
        <x:v>1182000</x:v>
      </x:c>
      <x:c r="E181" s="8" t="str">
        <x:v>B-</x:v>
      </x:c>
      <x:c r="F181" s="8" t="str">
        <x:v>Technology Hardware, Storage &amp; Peripherals</x:v>
      </x:c>
      <x:c r="G181" s="8" t="str">
        <x:v>United States</x:v>
      </x:c>
      <x:c r="H181" s="8" t="str">
        <x:v>1st Lien</x:v>
      </x:c>
      <x:c r="I181" s="8" t="str">
        <x:v>Floating</x:v>
      </x:c>
      <x:c r="J181" s="8" t="n">
        <x:v>100</x:v>
      </x:c>
      <x:c r="K181" s="10"/>
      <x:c r="L181" s="8" t="n">
        <x:v>0</x:v>
      </x:c>
      <x:c r="M181" s="11" t="n">
        <x:v>48197</x:v>
      </x:c>
      <x:c r="N181" s="10" t="n">
        <x:v>0.285</x:v>
      </x:c>
      <x:c r="O181" s="12" t="n">
        <x:v>97.875</x:v>
      </x:c>
      <x:c r="P181" s="13" t="n">
        <x:v>4</x:v>
      </x:c>
      <x:c r="Q181" s="8" t="str">
        <x:v>USD</x:v>
      </x:c>
      <x:c r="R181" s="8" t="str">
        <x:v>SOFR</x:v>
      </x:c>
      <x:c r="S181" s="1"/>
      <x:c r="T181" s="1"/>
      <x:c r="U181" s="1"/>
      <x:c r="V181" s="1"/>
      <x:c r="W181" s="1"/>
      <x:c r="X181" s="1"/>
      <x:c r="Y181" s="1"/>
    </x:row>
    <x:row r="182">
      <x:c r="A182" s="8" t="str">
        <x:v>SYN-LN-00175</x:v>
      </x:c>
      <x:c r="B182" s="8" t="str">
        <x:v>SYN-OB-0168</x:v>
      </x:c>
      <x:c r="C182" s="8" t="str">
        <x:v>Cedar Corp. 168</x:v>
      </x:c>
      <x:c r="D182" s="9" t="n">
        <x:v>1182000</x:v>
      </x:c>
      <x:c r="E182" s="8" t="str">
        <x:v>B+</x:v>
      </x:c>
      <x:c r="F182" s="8" t="str">
        <x:v>Media</x:v>
      </x:c>
      <x:c r="G182" s="8" t="str">
        <x:v>United States</x:v>
      </x:c>
      <x:c r="H182" s="8" t="str">
        <x:v>1st Lien</x:v>
      </x:c>
      <x:c r="I182" s="8" t="str">
        <x:v>Floating</x:v>
      </x:c>
      <x:c r="J182" s="8" t="n">
        <x:v>205</x:v>
      </x:c>
      <x:c r="K182" s="10"/>
      <x:c r="L182" s="8" t="n">
        <x:v>0</x:v>
      </x:c>
      <x:c r="M182" s="11" t="n">
        <x:v>48775</x:v>
      </x:c>
      <x:c r="N182" s="10" t="n">
        <x:v>0.455</x:v>
      </x:c>
      <x:c r="O182" s="12" t="n">
        <x:v>99.625</x:v>
      </x:c>
      <x:c r="P182" s="13" t="n">
        <x:v>4</x:v>
      </x:c>
      <x:c r="Q182" s="8" t="str">
        <x:v>USD</x:v>
      </x:c>
      <x:c r="R182" s="8" t="str">
        <x:v>SOFR</x:v>
      </x:c>
      <x:c r="S182" s="1"/>
      <x:c r="T182" s="1"/>
      <x:c r="U182" s="1"/>
      <x:c r="V182" s="1"/>
      <x:c r="W182" s="1"/>
      <x:c r="X182" s="1"/>
      <x:c r="Y182" s="1"/>
    </x:row>
    <x:row r="183">
      <x:c r="A183" s="8" t="str">
        <x:v>SYN-LN-00176</x:v>
      </x:c>
      <x:c r="B183" s="8" t="str">
        <x:v>SYN-OB-0169</x:v>
      </x:c>
      <x:c r="C183" s="8" t="str">
        <x:v>Cobalt Group 169</x:v>
      </x:c>
      <x:c r="D183" s="9" t="n">
        <x:v>1182000</x:v>
      </x:c>
      <x:c r="E183" s="8" t="str">
        <x:v>B</x:v>
      </x:c>
      <x:c r="F183" s="8" t="str">
        <x:v>Chemicals</x:v>
      </x:c>
      <x:c r="G183" s="8" t="str">
        <x:v>United States</x:v>
      </x:c>
      <x:c r="H183" s="8" t="str">
        <x:v>1st Lien</x:v>
      </x:c>
      <x:c r="I183" s="8" t="str">
        <x:v>Floating</x:v>
      </x:c>
      <x:c r="J183" s="8" t="n">
        <x:v>250</x:v>
      </x:c>
      <x:c r="K183" s="10"/>
      <x:c r="L183" s="8" t="n">
        <x:v>0</x:v>
      </x:c>
      <x:c r="M183" s="11" t="n">
        <x:v>48515</x:v>
      </x:c>
      <x:c r="N183" s="10" t="n">
        <x:v>0.31</x:v>
      </x:c>
      <x:c r="O183" s="12" t="n">
        <x:v>96.125</x:v>
      </x:c>
      <x:c r="P183" s="13" t="n">
        <x:v>4</x:v>
      </x:c>
      <x:c r="Q183" s="8" t="str">
        <x:v>USD</x:v>
      </x:c>
      <x:c r="R183" s="8" t="str">
        <x:v>SOFR</x:v>
      </x:c>
      <x:c r="S183" s="1"/>
      <x:c r="T183" s="1"/>
      <x:c r="U183" s="1"/>
      <x:c r="V183" s="1"/>
      <x:c r="W183" s="1"/>
      <x:c r="X183" s="1"/>
      <x:c r="Y183" s="1"/>
    </x:row>
    <x:row r="184">
      <x:c r="A184" s="8" t="str">
        <x:v>SYN-LN-00177</x:v>
      </x:c>
      <x:c r="B184" s="8" t="str">
        <x:v>SYN-OB-0170</x:v>
      </x:c>
      <x:c r="C184" s="8" t="str">
        <x:v>Copper LLC 170</x:v>
      </x:c>
      <x:c r="D184" s="9" t="n">
        <x:v>1182000</x:v>
      </x:c>
      <x:c r="E184" s="8" t="str">
        <x:v>B+</x:v>
      </x:c>
      <x:c r="F184" s="8" t="str">
        <x:v>Media</x:v>
      </x:c>
      <x:c r="G184" s="8" t="str">
        <x:v>United States</x:v>
      </x:c>
      <x:c r="H184" s="8" t="str">
        <x:v>1st Lien</x:v>
      </x:c>
      <x:c r="I184" s="8" t="str">
        <x:v>Floating</x:v>
      </x:c>
      <x:c r="J184" s="8" t="n">
        <x:v>315</x:v>
      </x:c>
      <x:c r="K184" s="10"/>
      <x:c r="L184" s="8" t="n">
        <x:v>0</x:v>
      </x:c>
      <x:c r="M184" s="11" t="n">
        <x:v>47662</x:v>
      </x:c>
      <x:c r="N184" s="10" t="n">
        <x:v>0.39</x:v>
      </x:c>
      <x:c r="O184" s="12" t="n">
        <x:v>99.875</x:v>
      </x:c>
      <x:c r="P184" s="13" t="n">
        <x:v>4</x:v>
      </x:c>
      <x:c r="Q184" s="8" t="str">
        <x:v>USD</x:v>
      </x:c>
      <x:c r="R184" s="8" t="str">
        <x:v>SOFR</x:v>
      </x:c>
      <x:c r="S184" s="1"/>
      <x:c r="T184" s="1"/>
      <x:c r="U184" s="1"/>
      <x:c r="V184" s="1"/>
      <x:c r="W184" s="1"/>
      <x:c r="X184" s="1"/>
      <x:c r="Y184" s="1"/>
    </x:row>
    <x:row r="185">
      <x:c r="A185" s="8" t="str">
        <x:v>SYN-LN-00178</x:v>
      </x:c>
      <x:c r="B185" s="8" t="str">
        <x:v>SYN-OB-0171</x:v>
      </x:c>
      <x:c r="C185" s="8" t="str">
        <x:v>Crest Holdings 171</x:v>
      </x:c>
      <x:c r="D185" s="9" t="n">
        <x:v>1182000</x:v>
      </x:c>
      <x:c r="E185" s="8" t="str">
        <x:v>BB</x:v>
      </x:c>
      <x:c r="F185" s="8" t="str">
        <x:v>Household Products</x:v>
      </x:c>
      <x:c r="G185" s="8" t="str">
        <x:v>United States</x:v>
      </x:c>
      <x:c r="H185" s="8" t="str">
        <x:v>1st Lien</x:v>
      </x:c>
      <x:c r="I185" s="8" t="str">
        <x:v>Floating</x:v>
      </x:c>
      <x:c r="J185" s="8" t="n">
        <x:v>245</x:v>
      </x:c>
      <x:c r="K185" s="10"/>
      <x:c r="L185" s="8" t="n">
        <x:v>0</x:v>
      </x:c>
      <x:c r="M185" s="11" t="n">
        <x:v>48197</x:v>
      </x:c>
      <x:c r="N185" s="10" t="n">
        <x:v>0.415</x:v>
      </x:c>
      <x:c r="O185" s="12" t="n">
        <x:v>99.625</x:v>
      </x:c>
      <x:c r="P185" s="13" t="n">
        <x:v>4</x:v>
      </x:c>
      <x:c r="Q185" s="8" t="str">
        <x:v>USD</x:v>
      </x:c>
      <x:c r="R185" s="8" t="str">
        <x:v>SOFR</x:v>
      </x:c>
      <x:c r="S185" s="1"/>
      <x:c r="T185" s="1"/>
      <x:c r="U185" s="1"/>
      <x:c r="V185" s="1"/>
      <x:c r="W185" s="1"/>
      <x:c r="X185" s="1"/>
      <x:c r="Y185" s="1"/>
    </x:row>
    <x:row r="186">
      <x:c r="A186" s="8" t="str">
        <x:v>SYN-LN-00179</x:v>
      </x:c>
      <x:c r="B186" s="8" t="str">
        <x:v>SYN-OB-0172</x:v>
      </x:c>
      <x:c r="C186" s="8" t="str">
        <x:v>Duneland Inc. 172</x:v>
      </x:c>
      <x:c r="D186" s="9" t="n">
        <x:v>1182000</x:v>
      </x:c>
      <x:c r="E186" s="8" t="str">
        <x:v>B-</x:v>
      </x:c>
      <x:c r="F186" s="8" t="str">
        <x:v>Machinery</x:v>
      </x:c>
      <x:c r="G186" s="8" t="str">
        <x:v>United States</x:v>
      </x:c>
      <x:c r="H186" s="8" t="str">
        <x:v>1st Lien</x:v>
      </x:c>
      <x:c r="I186" s="8" t="str">
        <x:v>Floating</x:v>
      </x:c>
      <x:c r="J186" s="8" t="n">
        <x:v>395</x:v>
      </x:c>
      <x:c r="K186" s="10"/>
      <x:c r="L186" s="8" t="n">
        <x:v>0</x:v>
      </x:c>
      <x:c r="M186" s="11" t="n">
        <x:v>47692</x:v>
      </x:c>
      <x:c r="N186" s="10" t="n">
        <x:v>0.335</x:v>
      </x:c>
      <x:c r="O186" s="12" t="n">
        <x:v>98.75</x:v>
      </x:c>
      <x:c r="P186" s="13" t="n">
        <x:v>4</x:v>
      </x:c>
      <x:c r="Q186" s="8" t="str">
        <x:v>USD</x:v>
      </x:c>
      <x:c r="R186" s="8" t="str">
        <x:v>SOFR</x:v>
      </x:c>
      <x:c r="S186" s="1"/>
      <x:c r="T186" s="1"/>
      <x:c r="U186" s="1"/>
      <x:c r="V186" s="1"/>
      <x:c r="W186" s="1"/>
      <x:c r="X186" s="1"/>
      <x:c r="Y186" s="1"/>
    </x:row>
    <x:row r="187">
      <x:c r="A187" s="8" t="str">
        <x:v>SYN-LN-00180</x:v>
      </x:c>
      <x:c r="B187" s="8" t="str">
        <x:v>SYN-OB-0173</x:v>
      </x:c>
      <x:c r="C187" s="8" t="str">
        <x:v>Elmstone Corp. 173</x:v>
      </x:c>
      <x:c r="D187" s="9" t="n">
        <x:v>630000</x:v>
      </x:c>
      <x:c r="E187" s="8" t="str">
        <x:v>BBB+</x:v>
      </x:c>
      <x:c r="F187" s="8" t="str">
        <x:v>Auto Components</x:v>
      </x:c>
      <x:c r="G187" s="8" t="str">
        <x:v>United Kingdom</x:v>
      </x:c>
      <x:c r="H187" s="8" t="str">
        <x:v>1st Lien</x:v>
      </x:c>
      <x:c r="I187" s="8" t="str">
        <x:v>Fixed</x:v>
      </x:c>
      <x:c r="J187" s="8"/>
      <x:c r="K187" s="10" t="n">
        <x:v>0.04225</x:v>
      </x:c>
      <x:c r="L187" s="8"/>
      <x:c r="M187" s="11" t="n">
        <x:v>48393</x:v>
      </x:c>
      <x:c r="N187" s="10" t="n">
        <x:v>0.435</x:v>
      </x:c>
      <x:c r="O187" s="12" t="n">
        <x:v>97.125</x:v>
      </x:c>
      <x:c r="P187" s="13" t="n">
        <x:v>2</x:v>
      </x:c>
      <x:c r="Q187" s="8" t="str">
        <x:v>USD</x:v>
      </x:c>
      <x:c r="R187" s="8"/>
      <x:c r="S187" s="1"/>
      <x:c r="T187" s="1"/>
      <x:c r="U187" s="1"/>
      <x:c r="V187" s="1"/>
      <x:c r="W187" s="1"/>
      <x:c r="X187" s="1"/>
      <x:c r="Y187" s="1"/>
    </x:row>
    <x:row r="188">
      <x:c r="A188" s="8" t="str">
        <x:v>SYN-LN-00181</x:v>
      </x:c>
      <x:c r="B188" s="8" t="str">
        <x:v>SYN-OB-0174</x:v>
      </x:c>
      <x:c r="C188" s="8" t="str">
        <x:v>Evergreen Group 174</x:v>
      </x:c>
      <x:c r="D188" s="9" t="n">
        <x:v>1211000</x:v>
      </x:c>
      <x:c r="E188" s="8" t="str">
        <x:v>B</x:v>
      </x:c>
      <x:c r="F188" s="8" t="str">
        <x:v>Healthcare Providers &amp; Services</x:v>
      </x:c>
      <x:c r="G188" s="8" t="str">
        <x:v>United States</x:v>
      </x:c>
      <x:c r="H188" s="8" t="str">
        <x:v>1st Lien</x:v>
      </x:c>
      <x:c r="I188" s="8" t="str">
        <x:v>Floating</x:v>
      </x:c>
      <x:c r="J188" s="8" t="n">
        <x:v>285</x:v>
      </x:c>
      <x:c r="K188" s="10"/>
      <x:c r="L188" s="8" t="n">
        <x:v>0</x:v>
      </x:c>
      <x:c r="M188" s="11" t="n">
        <x:v>47511</x:v>
      </x:c>
      <x:c r="N188" s="10" t="n">
        <x:v>0.475</x:v>
      </x:c>
      <x:c r="O188" s="12" t="n">
        <x:v>100.75</x:v>
      </x:c>
      <x:c r="P188" s="13" t="n">
        <x:v>4</x:v>
      </x:c>
      <x:c r="Q188" s="8" t="str">
        <x:v>USD</x:v>
      </x:c>
      <x:c r="R188" s="8" t="str">
        <x:v>SOFR</x:v>
      </x:c>
      <x:c r="S188" s="1"/>
      <x:c r="T188" s="1"/>
      <x:c r="U188" s="1"/>
      <x:c r="V188" s="1"/>
      <x:c r="W188" s="1"/>
      <x:c r="X188" s="1"/>
      <x:c r="Y188" s="1"/>
    </x:row>
    <x:row r="189">
      <x:c r="A189" s="8" t="str">
        <x:v>SYN-LN-00182</x:v>
      </x:c>
      <x:c r="B189" s="8" t="str">
        <x:v>SYN-OB-0175</x:v>
      </x:c>
      <x:c r="C189" s="8" t="str">
        <x:v>Fairhaven LLC 175</x:v>
      </x:c>
      <x:c r="D189" s="9" t="n">
        <x:v>1182000</x:v>
      </x:c>
      <x:c r="E189" s="8" t="str">
        <x:v>B+</x:v>
      </x:c>
      <x:c r="F189" s="8" t="str">
        <x:v>Professional Services</x:v>
      </x:c>
      <x:c r="G189" s="8" t="str">
        <x:v>United States</x:v>
      </x:c>
      <x:c r="H189" s="8" t="str">
        <x:v>1st Lien</x:v>
      </x:c>
      <x:c r="I189" s="8" t="str">
        <x:v>Floating</x:v>
      </x:c>
      <x:c r="J189" s="8" t="n">
        <x:v>275</x:v>
      </x:c>
      <x:c r="K189" s="10"/>
      <x:c r="L189" s="8" t="n">
        <x:v>0</x:v>
      </x:c>
      <x:c r="M189" s="11" t="n">
        <x:v>48301</x:v>
      </x:c>
      <x:c r="N189" s="10" t="n">
        <x:v>0.355</x:v>
      </x:c>
      <x:c r="O189" s="12" t="n">
        <x:v>101.5</x:v>
      </x:c>
      <x:c r="P189" s="13" t="n">
        <x:v>4</x:v>
      </x:c>
      <x:c r="Q189" s="8" t="str">
        <x:v>USD</x:v>
      </x:c>
      <x:c r="R189" s="8" t="str">
        <x:v>SOFR</x:v>
      </x:c>
      <x:c r="S189" s="1"/>
      <x:c r="T189" s="1"/>
      <x:c r="U189" s="1"/>
      <x:c r="V189" s="1"/>
      <x:c r="W189" s="1"/>
      <x:c r="X189" s="1"/>
      <x:c r="Y189" s="1"/>
    </x:row>
    <x:row r="190">
      <x:c r="A190" s="8" t="str">
        <x:v>SYN-LN-00183</x:v>
      </x:c>
      <x:c r="B190" s="8" t="str">
        <x:v>SYN-OB-0176</x:v>
      </x:c>
      <x:c r="C190" s="8" t="str">
        <x:v>Granite Holdings 176</x:v>
      </x:c>
      <x:c r="D190" s="9" t="n">
        <x:v>1182000</x:v>
      </x:c>
      <x:c r="E190" s="8" t="str">
        <x:v>B+</x:v>
      </x:c>
      <x:c r="F190" s="8" t="str">
        <x:v>Electric Utilities</x:v>
      </x:c>
      <x:c r="G190" s="8" t="str">
        <x:v>United States</x:v>
      </x:c>
      <x:c r="H190" s="8" t="str">
        <x:v>1st Lien</x:v>
      </x:c>
      <x:c r="I190" s="8" t="str">
        <x:v>Floating</x:v>
      </x:c>
      <x:c r="J190" s="8" t="n">
        <x:v>260</x:v>
      </x:c>
      <x:c r="K190" s="10"/>
      <x:c r="L190" s="8" t="n">
        <x:v>0</x:v>
      </x:c>
      <x:c r="M190" s="11" t="n">
        <x:v>48136</x:v>
      </x:c>
      <x:c r="N190" s="10" t="n">
        <x:v>0.54</x:v>
      </x:c>
      <x:c r="O190" s="12" t="n">
        <x:v>100.875</x:v>
      </x:c>
      <x:c r="P190" s="13" t="n">
        <x:v>4</x:v>
      </x:c>
      <x:c r="Q190" s="8" t="str">
        <x:v>USD</x:v>
      </x:c>
      <x:c r="R190" s="8" t="str">
        <x:v>SOFR</x:v>
      </x:c>
      <x:c r="S190" s="1"/>
      <x:c r="T190" s="1"/>
      <x:c r="U190" s="1"/>
      <x:c r="V190" s="1"/>
      <x:c r="W190" s="1"/>
      <x:c r="X190" s="1"/>
      <x:c r="Y190" s="1"/>
    </x:row>
    <x:row r="191">
      <x:c r="A191" s="8" t="str">
        <x:v>SYN-LN-00184</x:v>
      </x:c>
      <x:c r="B191" s="8" t="str">
        <x:v>SYN-OB-0177</x:v>
      </x:c>
      <x:c r="C191" s="8" t="str">
        <x:v>Harbor Inc. 177</x:v>
      </x:c>
      <x:c r="D191" s="9" t="n">
        <x:v>1182000</x:v>
      </x:c>
      <x:c r="E191" s="8" t="str">
        <x:v>BB-</x:v>
      </x:c>
      <x:c r="F191" s="8" t="str">
        <x:v>Food Products</x:v>
      </x:c>
      <x:c r="G191" s="8" t="str">
        <x:v>United States</x:v>
      </x:c>
      <x:c r="H191" s="8" t="str">
        <x:v>1st Lien</x:v>
      </x:c>
      <x:c r="I191" s="8" t="str">
        <x:v>Floating</x:v>
      </x:c>
      <x:c r="J191" s="8" t="n">
        <x:v>245</x:v>
      </x:c>
      <x:c r="K191" s="10"/>
      <x:c r="L191" s="8" t="n">
        <x:v>0</x:v>
      </x:c>
      <x:c r="M191" s="11" t="n">
        <x:v>47907</x:v>
      </x:c>
      <x:c r="N191" s="10" t="n">
        <x:v>0.395</x:v>
      </x:c>
      <x:c r="O191" s="12" t="n">
        <x:v>101.5</x:v>
      </x:c>
      <x:c r="P191" s="13" t="n">
        <x:v>4</x:v>
      </x:c>
      <x:c r="Q191" s="8" t="str">
        <x:v>USD</x:v>
      </x:c>
      <x:c r="R191" s="8" t="str">
        <x:v>SOFR</x:v>
      </x:c>
      <x:c r="S191" s="1"/>
      <x:c r="T191" s="1"/>
      <x:c r="U191" s="1"/>
      <x:c r="V191" s="1"/>
      <x:c r="W191" s="1"/>
      <x:c r="X191" s="1"/>
      <x:c r="Y191" s="1"/>
    </x:row>
    <x:row r="192">
      <x:c r="A192" s="8" t="str">
        <x:v>SYN-LN-00185</x:v>
      </x:c>
      <x:c r="B192" s="8" t="str">
        <x:v>SYN-OB-0178</x:v>
      </x:c>
      <x:c r="C192" s="8" t="str">
        <x:v>Hawthorne Corp. 178</x:v>
      </x:c>
      <x:c r="D192" s="9" t="n">
        <x:v>630000</x:v>
      </x:c>
      <x:c r="E192" s="8" t="str">
        <x:v>BBB-</x:v>
      </x:c>
      <x:c r="F192" s="8" t="str">
        <x:v>Consumer Finance</x:v>
      </x:c>
      <x:c r="G192" s="8" t="str">
        <x:v>Canada</x:v>
      </x:c>
      <x:c r="H192" s="8" t="str">
        <x:v>1st Lien</x:v>
      </x:c>
      <x:c r="I192" s="8" t="str">
        <x:v>Fixed</x:v>
      </x:c>
      <x:c r="J192" s="8"/>
      <x:c r="K192" s="10" t="n">
        <x:v>0.045375</x:v>
      </x:c>
      <x:c r="L192" s="8"/>
      <x:c r="M192" s="11" t="n">
        <x:v>48638</x:v>
      </x:c>
      <x:c r="N192" s="10" t="n">
        <x:v>0.395</x:v>
      </x:c>
      <x:c r="O192" s="12" t="n">
        <x:v>96.875</x:v>
      </x:c>
      <x:c r="P192" s="13" t="n">
        <x:v>2</x:v>
      </x:c>
      <x:c r="Q192" s="8" t="str">
        <x:v>USD</x:v>
      </x:c>
      <x:c r="R192" s="8"/>
      <x:c r="S192" s="1"/>
      <x:c r="T192" s="1"/>
      <x:c r="U192" s="1"/>
      <x:c r="V192" s="1"/>
      <x:c r="W192" s="1"/>
      <x:c r="X192" s="1"/>
      <x:c r="Y192" s="1"/>
    </x:row>
    <x:row r="193">
      <x:c r="A193" s="8" t="str">
        <x:v>SYN-LN-00186</x:v>
      </x:c>
      <x:c r="B193" s="8" t="str">
        <x:v>SYN-OB-0179</x:v>
      </x:c>
      <x:c r="C193" s="8" t="str">
        <x:v>Highland Group 179</x:v>
      </x:c>
      <x:c r="D193" s="9" t="n">
        <x:v>1182000</x:v>
      </x:c>
      <x:c r="E193" s="8" t="str">
        <x:v>B+</x:v>
      </x:c>
      <x:c r="F193" s="8" t="str">
        <x:v>Electric Utilities</x:v>
      </x:c>
      <x:c r="G193" s="8" t="str">
        <x:v>United States</x:v>
      </x:c>
      <x:c r="H193" s="8" t="str">
        <x:v>1st Lien</x:v>
      </x:c>
      <x:c r="I193" s="8" t="str">
        <x:v>Floating</x:v>
      </x:c>
      <x:c r="J193" s="8" t="n">
        <x:v>265</x:v>
      </x:c>
      <x:c r="K193" s="10"/>
      <x:c r="L193" s="8" t="n">
        <x:v>0</x:v>
      </x:c>
      <x:c r="M193" s="11" t="n">
        <x:v>48075</x:v>
      </x:c>
      <x:c r="N193" s="10" t="n">
        <x:v>0.525</x:v>
      </x:c>
      <x:c r="O193" s="12" t="n">
        <x:v>99.875</x:v>
      </x:c>
      <x:c r="P193" s="13" t="n">
        <x:v>4</x:v>
      </x:c>
      <x:c r="Q193" s="8" t="str">
        <x:v>USD</x:v>
      </x:c>
      <x:c r="R193" s="8" t="str">
        <x:v>SOFR</x:v>
      </x:c>
      <x:c r="S193" s="1"/>
      <x:c r="T193" s="1"/>
      <x:c r="U193" s="1"/>
      <x:c r="V193" s="1"/>
      <x:c r="W193" s="1"/>
      <x:c r="X193" s="1"/>
      <x:c r="Y193" s="1"/>
    </x:row>
    <x:row r="194">
      <x:c r="A194" s="8" t="str">
        <x:v>SYN-LN-00187</x:v>
      </x:c>
      <x:c r="B194" s="8" t="str">
        <x:v>SYN-OB-0180</x:v>
      </x:c>
      <x:c r="C194" s="8" t="str">
        <x:v>Ironwood LLC 180</x:v>
      </x:c>
      <x:c r="D194" s="9" t="n">
        <x:v>1182000</x:v>
      </x:c>
      <x:c r="E194" s="8" t="str">
        <x:v>B</x:v>
      </x:c>
      <x:c r="F194" s="8" t="str">
        <x:v>Building Products</x:v>
      </x:c>
      <x:c r="G194" s="8" t="str">
        <x:v>United States</x:v>
      </x:c>
      <x:c r="H194" s="8" t="str">
        <x:v>1st Lien</x:v>
      </x:c>
      <x:c r="I194" s="8" t="str">
        <x:v>Floating</x:v>
      </x:c>
      <x:c r="J194" s="8" t="n">
        <x:v>395</x:v>
      </x:c>
      <x:c r="K194" s="10"/>
      <x:c r="L194" s="8" t="n">
        <x:v>0</x:v>
      </x:c>
      <x:c r="M194" s="11" t="n">
        <x:v>48136</x:v>
      </x:c>
      <x:c r="N194" s="10" t="n">
        <x:v>0.475</x:v>
      </x:c>
      <x:c r="O194" s="12" t="n">
        <x:v>101.5</x:v>
      </x:c>
      <x:c r="P194" s="13" t="n">
        <x:v>4</x:v>
      </x:c>
      <x:c r="Q194" s="8" t="str">
        <x:v>USD</x:v>
      </x:c>
      <x:c r="R194" s="8" t="str">
        <x:v>SOFR</x:v>
      </x:c>
      <x:c r="S194" s="1"/>
      <x:c r="T194" s="1"/>
      <x:c r="U194" s="1"/>
      <x:c r="V194" s="1"/>
      <x:c r="W194" s="1"/>
      <x:c r="X194" s="1"/>
      <x:c r="Y194" s="1"/>
    </x:row>
    <x:row r="195">
      <x:c r="A195" s="8" t="str">
        <x:v>SYN-LN-00188</x:v>
      </x:c>
      <x:c r="B195" s="8" t="str">
        <x:v>SYN-OB-0181</x:v>
      </x:c>
      <x:c r="C195" s="8" t="str">
        <x:v>Juniper Holdings 181</x:v>
      </x:c>
      <x:c r="D195" s="9" t="n">
        <x:v>1182000</x:v>
      </x:c>
      <x:c r="E195" s="8" t="str">
        <x:v>BB-</x:v>
      </x:c>
      <x:c r="F195" s="8" t="str">
        <x:v>Hotels, Restaurants &amp; Leisure</x:v>
      </x:c>
      <x:c r="G195" s="8" t="str">
        <x:v>United States</x:v>
      </x:c>
      <x:c r="H195" s="8" t="str">
        <x:v>1st Lien</x:v>
      </x:c>
      <x:c r="I195" s="8" t="str">
        <x:v>Floating</x:v>
      </x:c>
      <x:c r="J195" s="8" t="n">
        <x:v>245</x:v>
      </x:c>
      <x:c r="K195" s="10"/>
      <x:c r="L195" s="8" t="n">
        <x:v>0</x:v>
      </x:c>
      <x:c r="M195" s="11" t="n">
        <x:v>48850</x:v>
      </x:c>
      <x:c r="N195" s="10" t="n">
        <x:v>0.475</x:v>
      </x:c>
      <x:c r="O195" s="12" t="n">
        <x:v>101.5</x:v>
      </x:c>
      <x:c r="P195" s="13" t="n">
        <x:v>4</x:v>
      </x:c>
      <x:c r="Q195" s="8" t="str">
        <x:v>USD</x:v>
      </x:c>
      <x:c r="R195" s="8" t="str">
        <x:v>SOFR</x:v>
      </x:c>
      <x:c r="S195" s="1"/>
      <x:c r="T195" s="1"/>
      <x:c r="U195" s="1"/>
      <x:c r="V195" s="1"/>
      <x:c r="W195" s="1"/>
      <x:c r="X195" s="1"/>
      <x:c r="Y195" s="1"/>
    </x:row>
    <x:row r="196">
      <x:c r="A196" s="8" t="str">
        <x:v>SYN-LN-00189</x:v>
      </x:c>
      <x:c r="B196" s="8" t="str">
        <x:v>SYN-OB-0182</x:v>
      </x:c>
      <x:c r="C196" s="8" t="str">
        <x:v>Keystone Inc. 182</x:v>
      </x:c>
      <x:c r="D196" s="9" t="n">
        <x:v>1182000</x:v>
      </x:c>
      <x:c r="E196" s="8" t="str">
        <x:v>B-</x:v>
      </x:c>
      <x:c r="F196" s="8" t="str">
        <x:v>Energy Equipment &amp; Services</x:v>
      </x:c>
      <x:c r="G196" s="8" t="str">
        <x:v>United States</x:v>
      </x:c>
      <x:c r="H196" s="8" t="str">
        <x:v>1st Lien</x:v>
      </x:c>
      <x:c r="I196" s="8" t="str">
        <x:v>Floating</x:v>
      </x:c>
      <x:c r="J196" s="8" t="n">
        <x:v>420</x:v>
      </x:c>
      <x:c r="K196" s="10"/>
      <x:c r="L196" s="8" t="n">
        <x:v>0</x:v>
      </x:c>
      <x:c r="M196" s="11" t="n">
        <x:v>47148</x:v>
      </x:c>
      <x:c r="N196" s="10" t="n">
        <x:v>0.475</x:v>
      </x:c>
      <x:c r="O196" s="12" t="n">
        <x:v>97.5</x:v>
      </x:c>
      <x:c r="P196" s="13" t="n">
        <x:v>4</x:v>
      </x:c>
      <x:c r="Q196" s="8" t="str">
        <x:v>USD</x:v>
      </x:c>
      <x:c r="R196" s="8" t="str">
        <x:v>SOFR</x:v>
      </x:c>
      <x:c r="S196" s="1"/>
      <x:c r="T196" s="1"/>
      <x:c r="U196" s="1"/>
      <x:c r="V196" s="1"/>
      <x:c r="W196" s="1"/>
      <x:c r="X196" s="1"/>
      <x:c r="Y196" s="1"/>
    </x:row>
    <x:row r="197">
      <x:c r="A197" s="8" t="str">
        <x:v>SYN-LN-00190</x:v>
      </x:c>
      <x:c r="B197" s="8" t="str">
        <x:v>SYN-OB-0183</x:v>
      </x:c>
      <x:c r="C197" s="8" t="str">
        <x:v>Lakeview Corp. 183</x:v>
      </x:c>
      <x:c r="D197" s="9" t="n">
        <x:v>1182000</x:v>
      </x:c>
      <x:c r="E197" s="8" t="str">
        <x:v>B</x:v>
      </x:c>
      <x:c r="F197" s="8" t="str">
        <x:v>Chemicals</x:v>
      </x:c>
      <x:c r="G197" s="8" t="str">
        <x:v>United States</x:v>
      </x:c>
      <x:c r="H197" s="8" t="str">
        <x:v>1st Lien</x:v>
      </x:c>
      <x:c r="I197" s="8" t="str">
        <x:v>Floating</x:v>
      </x:c>
      <x:c r="J197" s="8" t="n">
        <x:v>280</x:v>
      </x:c>
      <x:c r="K197" s="10"/>
      <x:c r="L197" s="8" t="n">
        <x:v>0</x:v>
      </x:c>
      <x:c r="M197" s="11" t="n">
        <x:v>48272</x:v>
      </x:c>
      <x:c r="N197" s="10" t="n">
        <x:v>0.25</x:v>
      </x:c>
      <x:c r="O197" s="12" t="n">
        <x:v>94.375</x:v>
      </x:c>
      <x:c r="P197" s="13" t="n">
        <x:v>4</x:v>
      </x:c>
      <x:c r="Q197" s="8" t="str">
        <x:v>USD</x:v>
      </x:c>
      <x:c r="R197" s="8" t="str">
        <x:v>SOFR</x:v>
      </x:c>
      <x:c r="S197" s="1"/>
      <x:c r="T197" s="1"/>
      <x:c r="U197" s="1"/>
      <x:c r="V197" s="1"/>
      <x:c r="W197" s="1"/>
      <x:c r="X197" s="1"/>
      <x:c r="Y197" s="1"/>
    </x:row>
    <x:row r="198">
      <x:c r="A198" s="8" t="str">
        <x:v>SYN-LN-00191</x:v>
      </x:c>
      <x:c r="B198" s="8" t="str">
        <x:v>SYN-OB-0184</x:v>
      </x:c>
      <x:c r="C198" s="8" t="str">
        <x:v>Larkspur Group 184</x:v>
      </x:c>
      <x:c r="D198" s="9" t="n">
        <x:v>1182000</x:v>
      </x:c>
      <x:c r="E198" s="8" t="str">
        <x:v>B-</x:v>
      </x:c>
      <x:c r="F198" s="8" t="str">
        <x:v>Healthcare Providers &amp; Services</x:v>
      </x:c>
      <x:c r="G198" s="8" t="str">
        <x:v>United States</x:v>
      </x:c>
      <x:c r="H198" s="8" t="str">
        <x:v>1st Lien</x:v>
      </x:c>
      <x:c r="I198" s="8" t="str">
        <x:v>Floating</x:v>
      </x:c>
      <x:c r="J198" s="8" t="n">
        <x:v>330</x:v>
      </x:c>
      <x:c r="K198" s="10"/>
      <x:c r="L198" s="8" t="n">
        <x:v>0</x:v>
      </x:c>
      <x:c r="M198" s="11" t="n">
        <x:v>47450</x:v>
      </x:c>
      <x:c r="N198" s="10" t="n">
        <x:v>0.38</x:v>
      </x:c>
      <x:c r="O198" s="12" t="n">
        <x:v>95.5</x:v>
      </x:c>
      <x:c r="P198" s="13" t="n">
        <x:v>4</x:v>
      </x:c>
      <x:c r="Q198" s="8" t="str">
        <x:v>USD</x:v>
      </x:c>
      <x:c r="R198" s="8" t="str">
        <x:v>SOFR</x:v>
      </x:c>
      <x:c r="S198" s="1"/>
      <x:c r="T198" s="1"/>
      <x:c r="U198" s="1"/>
      <x:c r="V198" s="1"/>
      <x:c r="W198" s="1"/>
      <x:c r="X198" s="1"/>
      <x:c r="Y198" s="1"/>
    </x:row>
    <x:row r="199">
      <x:c r="A199" s="8" t="str">
        <x:v>SYN-LN-00192</x:v>
      </x:c>
      <x:c r="B199" s="8" t="str">
        <x:v>SYN-OB-0185</x:v>
      </x:c>
      <x:c r="C199" s="8" t="str">
        <x:v>Maple LLC 185</x:v>
      </x:c>
      <x:c r="D199" s="9" t="n">
        <x:v>630000</x:v>
      </x:c>
      <x:c r="E199" s="8" t="str">
        <x:v>BB+</x:v>
      </x:c>
      <x:c r="F199" s="8" t="str">
        <x:v>Consumer Finance</x:v>
      </x:c>
      <x:c r="G199" s="8" t="str">
        <x:v>United Kingdom</x:v>
      </x:c>
      <x:c r="H199" s="8" t="str">
        <x:v>1st Lien</x:v>
      </x:c>
      <x:c r="I199" s="8" t="str">
        <x:v>Floating</x:v>
      </x:c>
      <x:c r="J199" s="8" t="n">
        <x:v>215</x:v>
      </x:c>
      <x:c r="K199" s="10"/>
      <x:c r="L199" s="8" t="n">
        <x:v>0</x:v>
      </x:c>
      <x:c r="M199" s="11" t="n">
        <x:v>47953</x:v>
      </x:c>
      <x:c r="N199" s="10" t="n">
        <x:v>0.45</x:v>
      </x:c>
      <x:c r="O199" s="12" t="n">
        <x:v>100.25</x:v>
      </x:c>
      <x:c r="P199" s="13" t="n">
        <x:v>4</x:v>
      </x:c>
      <x:c r="Q199" s="8" t="str">
        <x:v>USD</x:v>
      </x:c>
      <x:c r="R199" s="8" t="str">
        <x:v>SOFR</x:v>
      </x:c>
      <x:c r="S199" s="1"/>
      <x:c r="T199" s="1"/>
      <x:c r="U199" s="1"/>
      <x:c r="V199" s="1"/>
      <x:c r="W199" s="1"/>
      <x:c r="X199" s="1"/>
      <x:c r="Y199" s="1"/>
    </x:row>
    <x:row r="200">
      <x:c r="A200" s="8" t="str">
        <x:v>SYN-LN-00193</x:v>
      </x:c>
      <x:c r="B200" s="8" t="str">
        <x:v>SYN-OB-0186</x:v>
      </x:c>
      <x:c r="C200" s="8" t="str">
        <x:v>Meridian Holdings 186</x:v>
      </x:c>
      <x:c r="D200" s="9" t="n">
        <x:v>1193000</x:v>
      </x:c>
      <x:c r="E200" s="8" t="str">
        <x:v>B</x:v>
      </x:c>
      <x:c r="F200" s="8" t="str">
        <x:v>Healthcare Providers &amp; Services</x:v>
      </x:c>
      <x:c r="G200" s="8" t="str">
        <x:v>United States</x:v>
      </x:c>
      <x:c r="H200" s="8" t="str">
        <x:v>1st Lien</x:v>
      </x:c>
      <x:c r="I200" s="8" t="str">
        <x:v>Floating</x:v>
      </x:c>
      <x:c r="J200" s="8" t="n">
        <x:v>300</x:v>
      </x:c>
      <x:c r="K200" s="10"/>
      <x:c r="L200" s="8" t="n">
        <x:v>0</x:v>
      </x:c>
      <x:c r="M200" s="11" t="n">
        <x:v>48666</x:v>
      </x:c>
      <x:c r="N200" s="10" t="n">
        <x:v>0.34</x:v>
      </x:c>
      <x:c r="O200" s="12" t="n">
        <x:v>97.25</x:v>
      </x:c>
      <x:c r="P200" s="13" t="n">
        <x:v>4</x:v>
      </x:c>
      <x:c r="Q200" s="8" t="str">
        <x:v>USD</x:v>
      </x:c>
      <x:c r="R200" s="8" t="str">
        <x:v>SOFR</x:v>
      </x:c>
      <x:c r="S200" s="1"/>
      <x:c r="T200" s="1"/>
      <x:c r="U200" s="1"/>
      <x:c r="V200" s="1"/>
      <x:c r="W200" s="1"/>
      <x:c r="X200" s="1"/>
      <x:c r="Y200" s="1"/>
    </x:row>
    <x:row r="201">
      <x:c r="A201" s="8" t="str">
        <x:v>SYN-LN-00194</x:v>
      </x:c>
      <x:c r="B201" s="8" t="str">
        <x:v>SYN-OB-0187</x:v>
      </x:c>
      <x:c r="C201" s="8" t="str">
        <x:v>Northfield Inc. 187</x:v>
      </x:c>
      <x:c r="D201" s="9" t="n">
        <x:v>1182000</x:v>
      </x:c>
      <x:c r="E201" s="8" t="str">
        <x:v>B</x:v>
      </x:c>
      <x:c r="F201" s="8" t="str">
        <x:v>Healthcare Providers &amp; Services</x:v>
      </x:c>
      <x:c r="G201" s="8" t="str">
        <x:v>United States</x:v>
      </x:c>
      <x:c r="H201" s="8" t="str">
        <x:v>1st Lien</x:v>
      </x:c>
      <x:c r="I201" s="8" t="str">
        <x:v>Floating</x:v>
      </x:c>
      <x:c r="J201" s="8" t="n">
        <x:v>315</x:v>
      </x:c>
      <x:c r="K201" s="10"/>
      <x:c r="L201" s="8" t="n">
        <x:v>0</x:v>
      </x:c>
      <x:c r="M201" s="11" t="n">
        <x:v>48517</x:v>
      </x:c>
      <x:c r="N201" s="10" t="n">
        <x:v>0.385</x:v>
      </x:c>
      <x:c r="O201" s="12" t="n">
        <x:v>100.25</x:v>
      </x:c>
      <x:c r="P201" s="13" t="n">
        <x:v>4</x:v>
      </x:c>
      <x:c r="Q201" s="8" t="str">
        <x:v>USD</x:v>
      </x:c>
      <x:c r="R201" s="8" t="str">
        <x:v>SOFR</x:v>
      </x:c>
      <x:c r="S201" s="1"/>
      <x:c r="T201" s="1"/>
      <x:c r="U201" s="1"/>
      <x:c r="V201" s="1"/>
      <x:c r="W201" s="1"/>
      <x:c r="X201" s="1"/>
      <x:c r="Y201" s="1"/>
    </x:row>
    <x:row r="202">
      <x:c r="A202" s="8" t="str">
        <x:v>SYN-LN-00195</x:v>
      </x:c>
      <x:c r="B202" s="8" t="str">
        <x:v>SYN-OB-0188</x:v>
      </x:c>
      <x:c r="C202" s="8" t="str">
        <x:v>Oakmont Corp. 188</x:v>
      </x:c>
      <x:c r="D202" s="9" t="n">
        <x:v>1182000</x:v>
      </x:c>
      <x:c r="E202" s="8" t="str">
        <x:v>B</x:v>
      </x:c>
      <x:c r="F202" s="8" t="str">
        <x:v>Capital Markets</x:v>
      </x:c>
      <x:c r="G202" s="8" t="str">
        <x:v>United States</x:v>
      </x:c>
      <x:c r="H202" s="8" t="str">
        <x:v>1st Lien</x:v>
      </x:c>
      <x:c r="I202" s="8" t="str">
        <x:v>Floating</x:v>
      </x:c>
      <x:c r="J202" s="8" t="n">
        <x:v>365</x:v>
      </x:c>
      <x:c r="K202" s="10"/>
      <x:c r="L202" s="8" t="n">
        <x:v>0</x:v>
      </x:c>
      <x:c r="M202" s="11" t="n">
        <x:v>49003</x:v>
      </x:c>
      <x:c r="N202" s="10" t="n">
        <x:v>0.395</x:v>
      </x:c>
      <x:c r="O202" s="12" t="n">
        <x:v>98.25</x:v>
      </x:c>
      <x:c r="P202" s="13" t="n">
        <x:v>4</x:v>
      </x:c>
      <x:c r="Q202" s="8" t="str">
        <x:v>USD</x:v>
      </x:c>
      <x:c r="R202" s="8" t="str">
        <x:v>SOFR</x:v>
      </x:c>
      <x:c r="S202" s="1"/>
      <x:c r="T202" s="1"/>
      <x:c r="U202" s="1"/>
      <x:c r="V202" s="1"/>
      <x:c r="W202" s="1"/>
      <x:c r="X202" s="1"/>
      <x:c r="Y202" s="1"/>
    </x:row>
    <x:row r="203">
      <x:c r="A203" s="8" t="str">
        <x:v>SYN-LN-00196</x:v>
      </x:c>
      <x:c r="B203" s="8" t="str">
        <x:v>SYN-OB-0189</x:v>
      </x:c>
      <x:c r="C203" s="8" t="str">
        <x:v>Orchard Group 189</x:v>
      </x:c>
      <x:c r="D203" s="9" t="n">
        <x:v>660000</x:v>
      </x:c>
      <x:c r="E203" s="8" t="str">
        <x:v>B+</x:v>
      </x:c>
      <x:c r="F203" s="8" t="str">
        <x:v>Media</x:v>
      </x:c>
      <x:c r="G203" s="8" t="str">
        <x:v>United States</x:v>
      </x:c>
      <x:c r="H203" s="8" t="str">
        <x:v>1st Lien</x:v>
      </x:c>
      <x:c r="I203" s="8" t="str">
        <x:v>Floating</x:v>
      </x:c>
      <x:c r="J203" s="8" t="n">
        <x:v>435</x:v>
      </x:c>
      <x:c r="K203" s="10"/>
      <x:c r="L203" s="8" t="n">
        <x:v>50</x:v>
      </x:c>
      <x:c r="M203" s="11" t="n">
        <x:v>49232</x:v>
      </x:c>
      <x:c r="N203" s="10" t="n">
        <x:v>0.515</x:v>
      </x:c>
      <x:c r="O203" s="12" t="n">
        <x:v>100.25</x:v>
      </x:c>
      <x:c r="P203" s="13" t="n">
        <x:v>4</x:v>
      </x:c>
      <x:c r="Q203" s="8" t="str">
        <x:v>USD</x:v>
      </x:c>
      <x:c r="R203" s="8" t="str">
        <x:v>SOFR</x:v>
      </x:c>
      <x:c r="S203" s="1"/>
      <x:c r="T203" s="1"/>
      <x:c r="U203" s="1"/>
      <x:c r="V203" s="1"/>
      <x:c r="W203" s="1"/>
      <x:c r="X203" s="1"/>
      <x:c r="Y203" s="1"/>
    </x:row>
    <x:row r="204">
      <x:c r="A204" s="8" t="str">
        <x:v>SYN-LN-00197</x:v>
      </x:c>
      <x:c r="B204" s="8" t="str">
        <x:v>SYN-OB-0189</x:v>
      </x:c>
      <x:c r="C204" s="8" t="str">
        <x:v>Orchard Group 189</x:v>
      </x:c>
      <x:c r="D204" s="9" t="n">
        <x:v>522000</x:v>
      </x:c>
      <x:c r="E204" s="8" t="str">
        <x:v>B+</x:v>
      </x:c>
      <x:c r="F204" s="8" t="str">
        <x:v>Media</x:v>
      </x:c>
      <x:c r="G204" s="8" t="str">
        <x:v>United States</x:v>
      </x:c>
      <x:c r="H204" s="8" t="str">
        <x:v>1st Lien</x:v>
      </x:c>
      <x:c r="I204" s="8" t="str">
        <x:v>Floating</x:v>
      </x:c>
      <x:c r="J204" s="8" t="n">
        <x:v>445</x:v>
      </x:c>
      <x:c r="K204" s="10"/>
      <x:c r="L204" s="8" t="n">
        <x:v>50</x:v>
      </x:c>
      <x:c r="M204" s="11" t="n">
        <x:v>49293</x:v>
      </x:c>
      <x:c r="N204" s="10" t="n">
        <x:v>0.515</x:v>
      </x:c>
      <x:c r="O204" s="12" t="n">
        <x:v>100.375</x:v>
      </x:c>
      <x:c r="P204" s="13" t="n">
        <x:v>4</x:v>
      </x:c>
      <x:c r="Q204" s="8" t="str">
        <x:v>USD</x:v>
      </x:c>
      <x:c r="R204" s="8" t="str">
        <x:v>SOFR</x:v>
      </x:c>
      <x:c r="S204" s="1"/>
      <x:c r="T204" s="1"/>
      <x:c r="U204" s="1"/>
      <x:c r="V204" s="1"/>
      <x:c r="W204" s="1"/>
      <x:c r="X204" s="1"/>
      <x:c r="Y204" s="1"/>
    </x:row>
    <x:row r="205">
      <x:c r="A205" s="8" t="str">
        <x:v>SYN-LN-00198</x:v>
      </x:c>
      <x:c r="B205" s="8" t="str">
        <x:v>SYN-OB-0190</x:v>
      </x:c>
      <x:c r="C205" s="8" t="str">
        <x:v>Pinecrest LLC 190</x:v>
      </x:c>
      <x:c r="D205" s="9" t="n">
        <x:v>1182000</x:v>
      </x:c>
      <x:c r="E205" s="8" t="str">
        <x:v>BB-</x:v>
      </x:c>
      <x:c r="F205" s="8" t="str">
        <x:v>Industrial Conglomerates</x:v>
      </x:c>
      <x:c r="G205" s="8" t="str">
        <x:v>United States</x:v>
      </x:c>
      <x:c r="H205" s="8" t="str">
        <x:v>1st Lien</x:v>
      </x:c>
      <x:c r="I205" s="8" t="str">
        <x:v>Floating</x:v>
      </x:c>
      <x:c r="J205" s="8" t="n">
        <x:v>250</x:v>
      </x:c>
      <x:c r="K205" s="10"/>
      <x:c r="L205" s="8" t="n">
        <x:v>0</x:v>
      </x:c>
      <x:c r="M205" s="11" t="n">
        <x:v>48210</x:v>
      </x:c>
      <x:c r="N205" s="10" t="n">
        <x:v>0.505</x:v>
      </x:c>
      <x:c r="O205" s="12" t="n">
        <x:v>101.5</x:v>
      </x:c>
      <x:c r="P205" s="13" t="n">
        <x:v>4</x:v>
      </x:c>
      <x:c r="Q205" s="8" t="str">
        <x:v>USD</x:v>
      </x:c>
      <x:c r="R205" s="8" t="str">
        <x:v>SOFR</x:v>
      </x:c>
      <x:c r="S205" s="1"/>
      <x:c r="T205" s="1"/>
      <x:c r="U205" s="1"/>
      <x:c r="V205" s="1"/>
      <x:c r="W205" s="1"/>
      <x:c r="X205" s="1"/>
      <x:c r="Y205" s="1"/>
    </x:row>
    <x:row r="206">
      <x:c r="A206" s="8" t="str">
        <x:v>SYN-LN-00199</x:v>
      </x:c>
      <x:c r="B206" s="8" t="str">
        <x:v>SYN-OB-0191</x:v>
      </x:c>
      <x:c r="C206" s="8" t="str">
        <x:v>Redwood Holdings 191</x:v>
      </x:c>
      <x:c r="D206" s="9" t="n">
        <x:v>1182000</x:v>
      </x:c>
      <x:c r="E206" s="8" t="str">
        <x:v>B-</x:v>
      </x:c>
      <x:c r="F206" s="8" t="str">
        <x:v>Technology Hardware, Storage &amp; Peripherals</x:v>
      </x:c>
      <x:c r="G206" s="8" t="str">
        <x:v>United States</x:v>
      </x:c>
      <x:c r="H206" s="8" t="str">
        <x:v>1st Lien</x:v>
      </x:c>
      <x:c r="I206" s="8" t="str">
        <x:v>Floating</x:v>
      </x:c>
      <x:c r="J206" s="8" t="n">
        <x:v>415</x:v>
      </x:c>
      <x:c r="K206" s="10"/>
      <x:c r="L206" s="8" t="n">
        <x:v>0</x:v>
      </x:c>
      <x:c r="M206" s="11" t="n">
        <x:v>48272</x:v>
      </x:c>
      <x:c r="N206" s="10" t="n">
        <x:v>0.49</x:v>
      </x:c>
      <x:c r="O206" s="12" t="n">
        <x:v>101.5</x:v>
      </x:c>
      <x:c r="P206" s="13" t="n">
        <x:v>4</x:v>
      </x:c>
      <x:c r="Q206" s="8" t="str">
        <x:v>USD</x:v>
      </x:c>
      <x:c r="R206" s="8" t="str">
        <x:v>SOFR</x:v>
      </x:c>
      <x:c r="S206" s="1"/>
      <x:c r="T206" s="1"/>
      <x:c r="U206" s="1"/>
      <x:c r="V206" s="1"/>
      <x:c r="W206" s="1"/>
      <x:c r="X206" s="1"/>
      <x:c r="Y206" s="1"/>
    </x:row>
    <x:row r="207">
      <x:c r="A207" s="8" t="str">
        <x:v>SYN-LN-00200</x:v>
      </x:c>
      <x:c r="B207" s="8" t="str">
        <x:v>SYN-OB-0192</x:v>
      </x:c>
      <x:c r="C207" s="8" t="str">
        <x:v>Riverton Inc. 192</x:v>
      </x:c>
      <x:c r="D207" s="9" t="n">
        <x:v>1182000</x:v>
      </x:c>
      <x:c r="E207" s="8" t="str">
        <x:v>B+</x:v>
      </x:c>
      <x:c r="F207" s="8" t="str">
        <x:v>Insurance</x:v>
      </x:c>
      <x:c r="G207" s="8" t="str">
        <x:v>United States</x:v>
      </x:c>
      <x:c r="H207" s="8" t="str">
        <x:v>1st Lien</x:v>
      </x:c>
      <x:c r="I207" s="8" t="str">
        <x:v>Floating</x:v>
      </x:c>
      <x:c r="J207" s="8" t="n">
        <x:v>250</x:v>
      </x:c>
      <x:c r="K207" s="10"/>
      <x:c r="L207" s="8" t="n">
        <x:v>0</x:v>
      </x:c>
      <x:c r="M207" s="11" t="n">
        <x:v>47266</x:v>
      </x:c>
      <x:c r="N207" s="10" t="n">
        <x:v>0.425</x:v>
      </x:c>
      <x:c r="O207" s="12" t="n">
        <x:v>101.5</x:v>
      </x:c>
      <x:c r="P207" s="13" t="n">
        <x:v>4</x:v>
      </x:c>
      <x:c r="Q207" s="8" t="str">
        <x:v>USD</x:v>
      </x:c>
      <x:c r="R207" s="8" t="str">
        <x:v>SOFR</x:v>
      </x:c>
      <x:c r="S207" s="1"/>
      <x:c r="T207" s="1"/>
      <x:c r="U207" s="1"/>
      <x:c r="V207" s="1"/>
      <x:c r="W207" s="1"/>
      <x:c r="X207" s="1"/>
      <x:c r="Y207" s="1"/>
    </x:row>
    <x:row r="208">
      <x:c r="A208" s="8" t="str">
        <x:v>SYN-LN-00201</x:v>
      </x:c>
      <x:c r="B208" s="8" t="str">
        <x:v>SYN-OB-0193</x:v>
      </x:c>
      <x:c r="C208" s="8" t="str">
        <x:v>Silver Corp. 193</x:v>
      </x:c>
      <x:c r="D208" s="9" t="n">
        <x:v>1182000</x:v>
      </x:c>
      <x:c r="E208" s="8" t="str">
        <x:v>B-</x:v>
      </x:c>
      <x:c r="F208" s="8" t="str">
        <x:v>Software</x:v>
      </x:c>
      <x:c r="G208" s="8" t="str">
        <x:v>United States</x:v>
      </x:c>
      <x:c r="H208" s="8" t="str">
        <x:v>1st Lien</x:v>
      </x:c>
      <x:c r="I208" s="8" t="str">
        <x:v>Floating</x:v>
      </x:c>
      <x:c r="J208" s="8" t="n">
        <x:v>390</x:v>
      </x:c>
      <x:c r="K208" s="10"/>
      <x:c r="L208" s="8" t="n">
        <x:v>0</x:v>
      </x:c>
      <x:c r="M208" s="11" t="n">
        <x:v>48578</x:v>
      </x:c>
      <x:c r="N208" s="10" t="n">
        <x:v>0.49</x:v>
      </x:c>
      <x:c r="O208" s="12" t="n">
        <x:v>101.5</x:v>
      </x:c>
      <x:c r="P208" s="13" t="n">
        <x:v>4</x:v>
      </x:c>
      <x:c r="Q208" s="8" t="str">
        <x:v>USD</x:v>
      </x:c>
      <x:c r="R208" s="8" t="str">
        <x:v>SOFR</x:v>
      </x:c>
      <x:c r="S208" s="1"/>
      <x:c r="T208" s="1"/>
      <x:c r="U208" s="1"/>
      <x:c r="V208" s="1"/>
      <x:c r="W208" s="1"/>
      <x:c r="X208" s="1"/>
      <x:c r="Y208" s="1"/>
    </x:row>
    <x:row r="209">
      <x:c r="A209" s="8" t="str">
        <x:v>SYN-LN-00202</x:v>
      </x:c>
      <x:c r="B209" s="8" t="str">
        <x:v>SYN-OB-0194</x:v>
      </x:c>
      <x:c r="C209" s="8" t="str">
        <x:v>Stonebridge Group 194</x:v>
      </x:c>
      <x:c r="D209" s="9" t="n">
        <x:v>1182000</x:v>
      </x:c>
      <x:c r="E209" s="8" t="str">
        <x:v>BB-</x:v>
      </x:c>
      <x:c r="F209" s="8" t="str">
        <x:v>Oil, Gas &amp; Consumable Fuels</x:v>
      </x:c>
      <x:c r="G209" s="8" t="str">
        <x:v>United States</x:v>
      </x:c>
      <x:c r="H209" s="8" t="str">
        <x:v>1st Lien</x:v>
      </x:c>
      <x:c r="I209" s="8" t="str">
        <x:v>Floating</x:v>
      </x:c>
      <x:c r="J209" s="8" t="n">
        <x:v>310</x:v>
      </x:c>
      <x:c r="K209" s="10"/>
      <x:c r="L209" s="8" t="n">
        <x:v>0</x:v>
      </x:c>
      <x:c r="M209" s="11" t="n">
        <x:v>48362</x:v>
      </x:c>
      <x:c r="N209" s="10" t="n">
        <x:v>0.21</x:v>
      </x:c>
      <x:c r="O209" s="12" t="n">
        <x:v>101.5</x:v>
      </x:c>
      <x:c r="P209" s="13" t="n">
        <x:v>4</x:v>
      </x:c>
      <x:c r="Q209" s="8" t="str">
        <x:v>USD</x:v>
      </x:c>
      <x:c r="R209" s="8" t="str">
        <x:v>SOFR</x:v>
      </x:c>
      <x:c r="S209" s="1"/>
      <x:c r="T209" s="1"/>
      <x:c r="U209" s="1"/>
      <x:c r="V209" s="1"/>
      <x:c r="W209" s="1"/>
      <x:c r="X209" s="1"/>
      <x:c r="Y209" s="1"/>
    </x:row>
    <x:row r="210">
      <x:c r="A210" s="8" t="str">
        <x:v>SYN-LN-00203</x:v>
      </x:c>
      <x:c r="B210" s="8" t="str">
        <x:v>SYN-OB-0195</x:v>
      </x:c>
      <x:c r="C210" s="8" t="str">
        <x:v>Summit LLC 195</x:v>
      </x:c>
      <x:c r="D210" s="9" t="n">
        <x:v>1182000</x:v>
      </x:c>
      <x:c r="E210" s="8" t="str">
        <x:v>B-</x:v>
      </x:c>
      <x:c r="F210" s="8" t="str">
        <x:v>Containers &amp; Packaging</x:v>
      </x:c>
      <x:c r="G210" s="8" t="str">
        <x:v>United States</x:v>
      </x:c>
      <x:c r="H210" s="8" t="str">
        <x:v>1st Lien</x:v>
      </x:c>
      <x:c r="I210" s="8" t="str">
        <x:v>Floating</x:v>
      </x:c>
      <x:c r="J210" s="8" t="n">
        <x:v>495</x:v>
      </x:c>
      <x:c r="K210" s="10"/>
      <x:c r="L210" s="8" t="n">
        <x:v>0</x:v>
      </x:c>
      <x:c r="M210" s="11" t="n">
        <x:v>47358</x:v>
      </x:c>
      <x:c r="N210" s="10" t="n">
        <x:v>0.53</x:v>
      </x:c>
      <x:c r="O210" s="12" t="n">
        <x:v>101.5</x:v>
      </x:c>
      <x:c r="P210" s="13" t="n">
        <x:v>4</x:v>
      </x:c>
      <x:c r="Q210" s="8" t="str">
        <x:v>USD</x:v>
      </x:c>
      <x:c r="R210" s="8" t="str">
        <x:v>SOFR</x:v>
      </x:c>
      <x:c r="S210" s="1"/>
      <x:c r="T210" s="1"/>
      <x:c r="U210" s="1"/>
      <x:c r="V210" s="1"/>
      <x:c r="W210" s="1"/>
      <x:c r="X210" s="1"/>
      <x:c r="Y210" s="1"/>
    </x:row>
    <x:row r="211">
      <x:c r="A211" s="8" t="str">
        <x:v>SYN-LN-00204</x:v>
      </x:c>
      <x:c r="B211" s="8" t="str">
        <x:v>SYN-OB-0196</x:v>
      </x:c>
      <x:c r="C211" s="8" t="str">
        <x:v>Timber Holdings 196</x:v>
      </x:c>
      <x:c r="D211" s="9" t="n">
        <x:v>1182000</x:v>
      </x:c>
      <x:c r="E211" s="8" t="str">
        <x:v>B-</x:v>
      </x:c>
      <x:c r="F211" s="8" t="str">
        <x:v>Technology Hardware, Storage &amp; Peripherals</x:v>
      </x:c>
      <x:c r="G211" s="8" t="str">
        <x:v>United States</x:v>
      </x:c>
      <x:c r="H211" s="8" t="str">
        <x:v>1st Lien</x:v>
      </x:c>
      <x:c r="I211" s="8" t="str">
        <x:v>Floating</x:v>
      </x:c>
      <x:c r="J211" s="8" t="n">
        <x:v>365</x:v>
      </x:c>
      <x:c r="K211" s="10"/>
      <x:c r="L211" s="8" t="n">
        <x:v>0</x:v>
      </x:c>
      <x:c r="M211" s="11" t="n">
        <x:v>48423</x:v>
      </x:c>
      <x:c r="N211" s="10" t="n">
        <x:v>0.485</x:v>
      </x:c>
      <x:c r="O211" s="12" t="n">
        <x:v>96.625</x:v>
      </x:c>
      <x:c r="P211" s="13" t="n">
        <x:v>4</x:v>
      </x:c>
      <x:c r="Q211" s="8" t="str">
        <x:v>USD</x:v>
      </x:c>
      <x:c r="R211" s="8" t="str">
        <x:v>SOFR</x:v>
      </x:c>
      <x:c r="S211" s="1"/>
      <x:c r="T211" s="1"/>
      <x:c r="U211" s="1"/>
      <x:c r="V211" s="1"/>
      <x:c r="W211" s="1"/>
      <x:c r="X211" s="1"/>
      <x:c r="Y211" s="1"/>
    </x:row>
    <x:row r="212">
      <x:c r="A212" s="8" t="str">
        <x:v>SYN-LN-00205</x:v>
      </x:c>
      <x:c r="B212" s="8" t="str">
        <x:v>SYN-OB-0197</x:v>
      </x:c>
      <x:c r="C212" s="8" t="str">
        <x:v>Westhaven Inc. 197</x:v>
      </x:c>
      <x:c r="D212" s="9" t="n">
        <x:v>1182000</x:v>
      </x:c>
      <x:c r="E212" s="8" t="str">
        <x:v>B</x:v>
      </x:c>
      <x:c r="F212" s="8" t="str">
        <x:v>Healthcare Equipment &amp; Supplies</x:v>
      </x:c>
      <x:c r="G212" s="8" t="str">
        <x:v>United States</x:v>
      </x:c>
      <x:c r="H212" s="8" t="str">
        <x:v>1st Lien</x:v>
      </x:c>
      <x:c r="I212" s="8" t="str">
        <x:v>Floating</x:v>
      </x:c>
      <x:c r="J212" s="8" t="n">
        <x:v>290</x:v>
      </x:c>
      <x:c r="K212" s="10"/>
      <x:c r="L212" s="8" t="n">
        <x:v>0</x:v>
      </x:c>
      <x:c r="M212" s="11" t="n">
        <x:v>48502</x:v>
      </x:c>
      <x:c r="N212" s="10" t="n">
        <x:v>0.225</x:v>
      </x:c>
      <x:c r="O212" s="12" t="n">
        <x:v>96.75</x:v>
      </x:c>
      <x:c r="P212" s="13" t="n">
        <x:v>4</x:v>
      </x:c>
      <x:c r="Q212" s="8" t="str">
        <x:v>USD</x:v>
      </x:c>
      <x:c r="R212" s="8" t="str">
        <x:v>SOFR</x:v>
      </x:c>
      <x:c r="S212" s="1"/>
      <x:c r="T212" s="1"/>
      <x:c r="U212" s="1"/>
      <x:c r="V212" s="1"/>
      <x:c r="W212" s="1"/>
      <x:c r="X212" s="1"/>
      <x:c r="Y212" s="1"/>
    </x:row>
    <x:row r="213">
      <x:c r="A213" s="8" t="str">
        <x:v>SYN-LN-00206</x:v>
      </x:c>
      <x:c r="B213" s="8" t="str">
        <x:v>SYN-OB-0198</x:v>
      </x:c>
      <x:c r="C213" s="8" t="str">
        <x:v>Willow Corp. 198</x:v>
      </x:c>
      <x:c r="D213" s="9" t="n">
        <x:v>1182000</x:v>
      </x:c>
      <x:c r="E213" s="8" t="str">
        <x:v>B-</x:v>
      </x:c>
      <x:c r="F213" s="8" t="str">
        <x:v>Machinery</x:v>
      </x:c>
      <x:c r="G213" s="8" t="str">
        <x:v>United States</x:v>
      </x:c>
      <x:c r="H213" s="8" t="str">
        <x:v>1st Lien</x:v>
      </x:c>
      <x:c r="I213" s="8" t="str">
        <x:v>Floating</x:v>
      </x:c>
      <x:c r="J213" s="8" t="n">
        <x:v>475</x:v>
      </x:c>
      <x:c r="K213" s="10"/>
      <x:c r="L213" s="8" t="n">
        <x:v>0</x:v>
      </x:c>
      <x:c r="M213" s="11" t="n">
        <x:v>48852</x:v>
      </x:c>
      <x:c r="N213" s="10" t="n">
        <x:v>0.445</x:v>
      </x:c>
      <x:c r="O213" s="12" t="n">
        <x:v>101.5</x:v>
      </x:c>
      <x:c r="P213" s="13" t="n">
        <x:v>4</x:v>
      </x:c>
      <x:c r="Q213" s="8" t="str">
        <x:v>USD</x:v>
      </x:c>
      <x:c r="R213" s="8" t="str">
        <x:v>SOFR</x:v>
      </x:c>
      <x:c r="S213" s="1"/>
      <x:c r="T213" s="1"/>
      <x:c r="U213" s="1"/>
      <x:c r="V213" s="1"/>
      <x:c r="W213" s="1"/>
      <x:c r="X213" s="1"/>
      <x:c r="Y213" s="1"/>
    </x:row>
    <x:row r="214">
      <x:c r="A214" s="8" t="str">
        <x:v>SYN-LN-00207</x:v>
      </x:c>
      <x:c r="B214" s="8" t="str">
        <x:v>SYN-OB-0199</x:v>
      </x:c>
      <x:c r="C214" s="8" t="str">
        <x:v>Windward Group 199</x:v>
      </x:c>
      <x:c r="D214" s="9" t="n">
        <x:v>1182000</x:v>
      </x:c>
      <x:c r="E214" s="8" t="str">
        <x:v>BB</x:v>
      </x:c>
      <x:c r="F214" s="8" t="str">
        <x:v>Electric Utilities</x:v>
      </x:c>
      <x:c r="G214" s="8" t="str">
        <x:v>United States</x:v>
      </x:c>
      <x:c r="H214" s="8" t="str">
        <x:v>1st Lien</x:v>
      </x:c>
      <x:c r="I214" s="8" t="str">
        <x:v>Floating</x:v>
      </x:c>
      <x:c r="J214" s="8" t="n">
        <x:v>145</x:v>
      </x:c>
      <x:c r="K214" s="10"/>
      <x:c r="L214" s="8" t="n">
        <x:v>0</x:v>
      </x:c>
      <x:c r="M214" s="11" t="n">
        <x:v>47996</x:v>
      </x:c>
      <x:c r="N214" s="10" t="n">
        <x:v>0.525</x:v>
      </x:c>
      <x:c r="O214" s="12" t="n">
        <x:v>98.875</x:v>
      </x:c>
      <x:c r="P214" s="13" t="n">
        <x:v>4</x:v>
      </x:c>
      <x:c r="Q214" s="8" t="str">
        <x:v>USD</x:v>
      </x:c>
      <x:c r="R214" s="8" t="str">
        <x:v>SOFR</x:v>
      </x:c>
      <x:c r="S214" s="1"/>
      <x:c r="T214" s="1"/>
      <x:c r="U214" s="1"/>
      <x:c r="V214" s="1"/>
      <x:c r="W214" s="1"/>
      <x:c r="X214" s="1"/>
      <x:c r="Y214" s="1"/>
    </x:row>
    <x:row r="215">
      <x:c r="A215" s="8" t="str">
        <x:v>SYN-LN-00208</x:v>
      </x:c>
      <x:c r="B215" s="8" t="str">
        <x:v>SYN-OB-0200</x:v>
      </x:c>
      <x:c r="C215" s="8" t="str">
        <x:v>Woodland LLC 200</x:v>
      </x:c>
      <x:c r="D215" s="9" t="n">
        <x:v>630000</x:v>
      </x:c>
      <x:c r="E215" s="8" t="str">
        <x:v>B</x:v>
      </x:c>
      <x:c r="F215" s="8" t="str">
        <x:v>Food Products</x:v>
      </x:c>
      <x:c r="G215" s="8" t="str">
        <x:v>Germany</x:v>
      </x:c>
      <x:c r="H215" s="8" t="str">
        <x:v>Sr Secured</x:v>
      </x:c>
      <x:c r="I215" s="8" t="str">
        <x:v>Fixed</x:v>
      </x:c>
      <x:c r="J215" s="8"/>
      <x:c r="K215" s="10" t="n">
        <x:v>0.033625</x:v>
      </x:c>
      <x:c r="L215" s="8"/>
      <x:c r="M215" s="11" t="n">
        <x:v>49064</x:v>
      </x:c>
      <x:c r="N215" s="10" t="n">
        <x:v>0.37</x:v>
      </x:c>
      <x:c r="O215" s="12" t="n">
        <x:v>99.25</x:v>
      </x:c>
      <x:c r="P215" s="13" t="n">
        <x:v>2</x:v>
      </x:c>
      <x:c r="Q215" s="8" t="str">
        <x:v>USD</x:v>
      </x:c>
      <x:c r="R215" s="8"/>
      <x:c r="S215" s="1"/>
      <x:c r="T215" s="1"/>
      <x:c r="U215" s="1"/>
      <x:c r="V215" s="1"/>
      <x:c r="W215" s="1"/>
      <x:c r="X215" s="1"/>
      <x:c r="Y215" s="1"/>
    </x:row>
    <x:row r="216">
      <x:c r="A216" s="8" t="str">
        <x:v>SYN-LN-00209</x:v>
      </x:c>
      <x:c r="B216" s="8" t="str">
        <x:v>SYN-OB-0201</x:v>
      </x:c>
      <x:c r="C216" s="8" t="str">
        <x:v>Alder Holdings 201</x:v>
      </x:c>
      <x:c r="D216" s="9" t="n">
        <x:v>1182000</x:v>
      </x:c>
      <x:c r="E216" s="8" t="str">
        <x:v>B</x:v>
      </x:c>
      <x:c r="F216" s="8" t="str">
        <x:v>Industrial Conglomerates</x:v>
      </x:c>
      <x:c r="G216" s="8" t="str">
        <x:v>United States</x:v>
      </x:c>
      <x:c r="H216" s="8" t="str">
        <x:v>1st Lien</x:v>
      </x:c>
      <x:c r="I216" s="8" t="str">
        <x:v>Floating</x:v>
      </x:c>
      <x:c r="J216" s="8" t="n">
        <x:v>335</x:v>
      </x:c>
      <x:c r="K216" s="10"/>
      <x:c r="L216" s="8" t="n">
        <x:v>0</x:v>
      </x:c>
      <x:c r="M216" s="11" t="n">
        <x:v>49110</x:v>
      </x:c>
      <x:c r="N216" s="10" t="n">
        <x:v>0.35</x:v>
      </x:c>
      <x:c r="O216" s="12" t="n">
        <x:v>97.625</x:v>
      </x:c>
      <x:c r="P216" s="13" t="n">
        <x:v>4</x:v>
      </x:c>
      <x:c r="Q216" s="8" t="str">
        <x:v>USD</x:v>
      </x:c>
      <x:c r="R216" s="8" t="str">
        <x:v>SOFR</x:v>
      </x:c>
      <x:c r="S216" s="1"/>
      <x:c r="T216" s="1"/>
      <x:c r="U216" s="1"/>
      <x:c r="V216" s="1"/>
      <x:c r="W216" s="1"/>
      <x:c r="X216" s="1"/>
      <x:c r="Y216" s="1"/>
    </x:row>
    <x:row r="217">
      <x:c r="A217" s="8" t="str">
        <x:v>SYN-LN-00210</x:v>
      </x:c>
      <x:c r="B217" s="8" t="str">
        <x:v>SYN-OB-0202</x:v>
      </x:c>
      <x:c r="C217" s="8" t="str">
        <x:v>Amber Inc. 202</x:v>
      </x:c>
      <x:c r="D217" s="9" t="n">
        <x:v>630000</x:v>
      </x:c>
      <x:c r="E217" s="8" t="str">
        <x:v>BB</x:v>
      </x:c>
      <x:c r="F217" s="8" t="str">
        <x:v>Food Products</x:v>
      </x:c>
      <x:c r="G217" s="8" t="str">
        <x:v>Canada</x:v>
      </x:c>
      <x:c r="H217" s="8" t="str">
        <x:v>1st Lien</x:v>
      </x:c>
      <x:c r="I217" s="8" t="str">
        <x:v>Fixed</x:v>
      </x:c>
      <x:c r="J217" s="8"/>
      <x:c r="K217" s="10" t="n">
        <x:v>0.033625</x:v>
      </x:c>
      <x:c r="L217" s="8"/>
      <x:c r="M217" s="11" t="n">
        <x:v>47329</x:v>
      </x:c>
      <x:c r="N217" s="10" t="n">
        <x:v>0.355</x:v>
      </x:c>
      <x:c r="O217" s="12" t="n">
        <x:v>98.875</x:v>
      </x:c>
      <x:c r="P217" s="13" t="n">
        <x:v>2</x:v>
      </x:c>
      <x:c r="Q217" s="8" t="str">
        <x:v>USD</x:v>
      </x:c>
      <x:c r="R217" s="8"/>
      <x:c r="S217" s="1"/>
      <x:c r="T217" s="1"/>
      <x:c r="U217" s="1"/>
      <x:c r="V217" s="1"/>
      <x:c r="W217" s="1"/>
      <x:c r="X217" s="1"/>
      <x:c r="Y217" s="1"/>
    </x:row>
    <x:row r="218">
      <x:c r="A218" s="8" t="str">
        <x:v>SYN-LN-00211</x:v>
      </x:c>
      <x:c r="B218" s="8" t="str">
        <x:v>SYN-OB-0203</x:v>
      </x:c>
      <x:c r="C218" s="8" t="str">
        <x:v>Arbor Corp. 203</x:v>
      </x:c>
      <x:c r="D218" s="9" t="n">
        <x:v>1182000</x:v>
      </x:c>
      <x:c r="E218" s="8" t="str">
        <x:v>B</x:v>
      </x:c>
      <x:c r="F218" s="8" t="str">
        <x:v>Building Products</x:v>
      </x:c>
      <x:c r="G218" s="8" t="str">
        <x:v>United States</x:v>
      </x:c>
      <x:c r="H218" s="8" t="str">
        <x:v>1st Lien</x:v>
      </x:c>
      <x:c r="I218" s="8" t="str">
        <x:v>Floating</x:v>
      </x:c>
      <x:c r="J218" s="8" t="n">
        <x:v>230</x:v>
      </x:c>
      <x:c r="K218" s="10"/>
      <x:c r="L218" s="8" t="n">
        <x:v>0</x:v>
      </x:c>
      <x:c r="M218" s="11" t="n">
        <x:v>48319</x:v>
      </x:c>
      <x:c r="N218" s="10" t="n">
        <x:v>0.335</x:v>
      </x:c>
      <x:c r="O218" s="12" t="n">
        <x:v>100.5</x:v>
      </x:c>
      <x:c r="P218" s="13" t="n">
        <x:v>4</x:v>
      </x:c>
      <x:c r="Q218" s="8" t="str">
        <x:v>USD</x:v>
      </x:c>
      <x:c r="R218" s="8" t="str">
        <x:v>SOFR</x:v>
      </x:c>
      <x:c r="S218" s="1"/>
      <x:c r="T218" s="1"/>
      <x:c r="U218" s="1"/>
      <x:c r="V218" s="1"/>
      <x:c r="W218" s="1"/>
      <x:c r="X218" s="1"/>
      <x:c r="Y218" s="1"/>
    </x:row>
    <x:row r="219">
      <x:c r="A219" s="8" t="str">
        <x:v>SYN-LN-00212</x:v>
      </x:c>
      <x:c r="B219" s="8" t="str">
        <x:v>SYN-OB-0204</x:v>
      </x:c>
      <x:c r="C219" s="8" t="str">
        <x:v>Atlas Group 204</x:v>
      </x:c>
      <x:c r="D219" s="9" t="n">
        <x:v>1182000</x:v>
      </x:c>
      <x:c r="E219" s="8" t="str">
        <x:v>BB</x:v>
      </x:c>
      <x:c r="F219" s="8" t="str">
        <x:v>Construction Materials</x:v>
      </x:c>
      <x:c r="G219" s="8" t="str">
        <x:v>United States</x:v>
      </x:c>
      <x:c r="H219" s="8" t="str">
        <x:v>1st Lien</x:v>
      </x:c>
      <x:c r="I219" s="8" t="str">
        <x:v>Floating</x:v>
      </x:c>
      <x:c r="J219" s="8" t="n">
        <x:v>310</x:v>
      </x:c>
      <x:c r="K219" s="10"/>
      <x:c r="L219" s="8" t="n">
        <x:v>0</x:v>
      </x:c>
      <x:c r="M219" s="11" t="n">
        <x:v>49247</x:v>
      </x:c>
      <x:c r="N219" s="10" t="n">
        <x:v>0.37</x:v>
      </x:c>
      <x:c r="O219" s="12" t="n">
        <x:v>101.25</x:v>
      </x:c>
      <x:c r="P219" s="13" t="n">
        <x:v>4</x:v>
      </x:c>
      <x:c r="Q219" s="8" t="str">
        <x:v>USD</x:v>
      </x:c>
      <x:c r="R219" s="8" t="str">
        <x:v>SOFR</x:v>
      </x:c>
      <x:c r="S219" s="1"/>
      <x:c r="T219" s="1"/>
      <x:c r="U219" s="1"/>
      <x:c r="V219" s="1"/>
      <x:c r="W219" s="1"/>
      <x:c r="X219" s="1"/>
      <x:c r="Y219" s="1"/>
    </x:row>
    <x:row r="220">
      <x:c r="A220" s="8" t="str">
        <x:v>SYN-LN-00213</x:v>
      </x:c>
      <x:c r="B220" s="8" t="str">
        <x:v>SYN-OB-0205</x:v>
      </x:c>
      <x:c r="C220" s="8" t="str">
        <x:v>Beacon LLC 205</x:v>
      </x:c>
      <x:c r="D220" s="9" t="n">
        <x:v>630000</x:v>
      </x:c>
      <x:c r="E220" s="8" t="str">
        <x:v>B-</x:v>
      </x:c>
      <x:c r="F220" s="8" t="str">
        <x:v>Textiles, Apparel &amp; Luxury Goods</x:v>
      </x:c>
      <x:c r="G220" s="8" t="str">
        <x:v>Canada</x:v>
      </x:c>
      <x:c r="H220" s="8" t="str">
        <x:v>1st Lien</x:v>
      </x:c>
      <x:c r="I220" s="8" t="str">
        <x:v>Floating</x:v>
      </x:c>
      <x:c r="J220" s="8" t="n">
        <x:v>280</x:v>
      </x:c>
      <x:c r="K220" s="10"/>
      <x:c r="L220" s="8" t="n">
        <x:v>50</x:v>
      </x:c>
      <x:c r="M220" s="11" t="n">
        <x:v>47692</x:v>
      </x:c>
      <x:c r="N220" s="10" t="n">
        <x:v>0.35</x:v>
      </x:c>
      <x:c r="O220" s="12" t="n">
        <x:v>99.375</x:v>
      </x:c>
      <x:c r="P220" s="13" t="n">
        <x:v>4</x:v>
      </x:c>
      <x:c r="Q220" s="8" t="str">
        <x:v>USD</x:v>
      </x:c>
      <x:c r="R220" s="8" t="str">
        <x:v>SOFR</x:v>
      </x:c>
      <x:c r="S220" s="1"/>
      <x:c r="T220" s="1"/>
      <x:c r="U220" s="1"/>
      <x:c r="V220" s="1"/>
      <x:c r="W220" s="1"/>
      <x:c r="X220" s="1"/>
      <x:c r="Y220" s="1"/>
    </x:row>
    <x:row r="221">
      <x:c r="A221" s="8" t="str">
        <x:v>SYN-LN-00214</x:v>
      </x:c>
      <x:c r="B221" s="8" t="str">
        <x:v>SYN-OB-0206</x:v>
      </x:c>
      <x:c r="C221" s="8" t="str">
        <x:v>Bluewater Holdings 206</x:v>
      </x:c>
      <x:c r="D221" s="9" t="n">
        <x:v>1182000</x:v>
      </x:c>
      <x:c r="E221" s="8" t="str">
        <x:v>B</x:v>
      </x:c>
      <x:c r="F221" s="8" t="str">
        <x:v>Aerospace &amp; Defense</x:v>
      </x:c>
      <x:c r="G221" s="8" t="str">
        <x:v>Luxembourg</x:v>
      </x:c>
      <x:c r="H221" s="8" t="str">
        <x:v>1st Lien</x:v>
      </x:c>
      <x:c r="I221" s="8" t="str">
        <x:v>Floating</x:v>
      </x:c>
      <x:c r="J221" s="8" t="n">
        <x:v>235</x:v>
      </x:c>
      <x:c r="K221" s="10"/>
      <x:c r="L221" s="8" t="n">
        <x:v>0</x:v>
      </x:c>
      <x:c r="M221" s="11" t="n">
        <x:v>48301</x:v>
      </x:c>
      <x:c r="N221" s="10" t="n">
        <x:v>0.325</x:v>
      </x:c>
      <x:c r="O221" s="12" t="n">
        <x:v>100.125</x:v>
      </x:c>
      <x:c r="P221" s="13" t="n">
        <x:v>4</x:v>
      </x:c>
      <x:c r="Q221" s="8" t="str">
        <x:v>USD</x:v>
      </x:c>
      <x:c r="R221" s="8" t="str">
        <x:v>SOFR</x:v>
      </x:c>
      <x:c r="S221" s="1"/>
      <x:c r="T221" s="1"/>
      <x:c r="U221" s="1"/>
      <x:c r="V221" s="1"/>
      <x:c r="W221" s="1"/>
      <x:c r="X221" s="1"/>
      <x:c r="Y221" s="1"/>
    </x:row>
    <x:row r="222">
      <x:c r="A222" s="8" t="str">
        <x:v>SYN-LN-00215</x:v>
      </x:c>
      <x:c r="B222" s="8" t="str">
        <x:v>SYN-OB-0207</x:v>
      </x:c>
      <x:c r="C222" s="8" t="str">
        <x:v>Bracken Inc. 207</x:v>
      </x:c>
      <x:c r="D222" s="9" t="n">
        <x:v>1182000</x:v>
      </x:c>
      <x:c r="E222" s="8" t="str">
        <x:v>BB+</x:v>
      </x:c>
      <x:c r="F222" s="8" t="str">
        <x:v>Broadline retail</x:v>
      </x:c>
      <x:c r="G222" s="8" t="str">
        <x:v>United States</x:v>
      </x:c>
      <x:c r="H222" s="8" t="str">
        <x:v>1st Lien</x:v>
      </x:c>
      <x:c r="I222" s="8" t="str">
        <x:v>Floating</x:v>
      </x:c>
      <x:c r="J222" s="8" t="n">
        <x:v>205</x:v>
      </x:c>
      <x:c r="K222" s="10"/>
      <x:c r="L222" s="8" t="n">
        <x:v>0</x:v>
      </x:c>
      <x:c r="M222" s="11" t="n">
        <x:v>48425</x:v>
      </x:c>
      <x:c r="N222" s="10" t="n">
        <x:v>0.2</x:v>
      </x:c>
      <x:c r="O222" s="12" t="n">
        <x:v>99.5</x:v>
      </x:c>
      <x:c r="P222" s="13" t="n">
        <x:v>4</x:v>
      </x:c>
      <x:c r="Q222" s="8" t="str">
        <x:v>USD</x:v>
      </x:c>
      <x:c r="R222" s="8" t="str">
        <x:v>SOFR</x:v>
      </x:c>
      <x:c r="S222" s="1"/>
      <x:c r="T222" s="1"/>
      <x:c r="U222" s="1"/>
      <x:c r="V222" s="1"/>
      <x:c r="W222" s="1"/>
      <x:c r="X222" s="1"/>
      <x:c r="Y222" s="1"/>
    </x:row>
    <x:row r="223">
      <x:c r="A223" s="8" t="str">
        <x:v>SYN-LN-00216</x:v>
      </x:c>
      <x:c r="B223" s="8" t="str">
        <x:v>SYN-OB-0208</x:v>
      </x:c>
      <x:c r="C223" s="8" t="str">
        <x:v>Cedar Corp. 208</x:v>
      </x:c>
      <x:c r="D223" s="9" t="n">
        <x:v>630000</x:v>
      </x:c>
      <x:c r="E223" s="8" t="str">
        <x:v>B+</x:v>
      </x:c>
      <x:c r="F223" s="8" t="str">
        <x:v>Hotels, Restaurants &amp; Leisure</x:v>
      </x:c>
      <x:c r="G223" s="8" t="str">
        <x:v>Luxembourg</x:v>
      </x:c>
      <x:c r="H223" s="8" t="str">
        <x:v>Senior</x:v>
      </x:c>
      <x:c r="I223" s="8" t="str">
        <x:v>Floating</x:v>
      </x:c>
      <x:c r="J223" s="8" t="n">
        <x:v>225</x:v>
      </x:c>
      <x:c r="K223" s="10"/>
      <x:c r="L223" s="8" t="n">
        <x:v>0</x:v>
      </x:c>
      <x:c r="M223" s="11" t="n">
        <x:v>47966</x:v>
      </x:c>
      <x:c r="N223" s="10" t="n">
        <x:v>0.46</x:v>
      </x:c>
      <x:c r="O223" s="12" t="n">
        <x:v>97.875</x:v>
      </x:c>
      <x:c r="P223" s="13" t="n">
        <x:v>4</x:v>
      </x:c>
      <x:c r="Q223" s="8" t="str">
        <x:v>USD</x:v>
      </x:c>
      <x:c r="R223" s="8" t="str">
        <x:v>SOFR</x:v>
      </x:c>
      <x:c r="S223" s="1"/>
      <x:c r="T223" s="1"/>
      <x:c r="U223" s="1"/>
      <x:c r="V223" s="1"/>
      <x:c r="W223" s="1"/>
      <x:c r="X223" s="1"/>
      <x:c r="Y223" s="1"/>
    </x:row>
    <x:row r="224">
      <x:c r="A224" s="8" t="str">
        <x:v>SYN-LN-00217</x:v>
      </x:c>
      <x:c r="B224" s="8" t="str">
        <x:v>SYN-OB-0209</x:v>
      </x:c>
      <x:c r="C224" s="8" t="str">
        <x:v>Cobalt Group 209</x:v>
      </x:c>
      <x:c r="D224" s="9" t="n">
        <x:v>1182000</x:v>
      </x:c>
      <x:c r="E224" s="8" t="str">
        <x:v>B+</x:v>
      </x:c>
      <x:c r="F224" s="8" t="str">
        <x:v>Aerospace &amp; Defense</x:v>
      </x:c>
      <x:c r="G224" s="8" t="str">
        <x:v>United States</x:v>
      </x:c>
      <x:c r="H224" s="8" t="str">
        <x:v>1st Lien</x:v>
      </x:c>
      <x:c r="I224" s="8" t="str">
        <x:v>Floating</x:v>
      </x:c>
      <x:c r="J224" s="8" t="n">
        <x:v>275</x:v>
      </x:c>
      <x:c r="K224" s="10"/>
      <x:c r="L224" s="8" t="n">
        <x:v>0</x:v>
      </x:c>
      <x:c r="M224" s="11" t="n">
        <x:v>48546</x:v>
      </x:c>
      <x:c r="N224" s="10" t="n">
        <x:v>0.53</x:v>
      </x:c>
      <x:c r="O224" s="12" t="n">
        <x:v>99.5</x:v>
      </x:c>
      <x:c r="P224" s="13" t="n">
        <x:v>4</x:v>
      </x:c>
      <x:c r="Q224" s="8" t="str">
        <x:v>USD</x:v>
      </x:c>
      <x:c r="R224" s="8" t="str">
        <x:v>SOFR</x:v>
      </x:c>
      <x:c r="S224" s="1"/>
      <x:c r="T224" s="1"/>
      <x:c r="U224" s="1"/>
      <x:c r="V224" s="1"/>
      <x:c r="W224" s="1"/>
      <x:c r="X224" s="1"/>
      <x:c r="Y224" s="1"/>
    </x:row>
    <x:row r="225">
      <x:c r="A225" s="8" t="str">
        <x:v>SYN-LN-00218</x:v>
      </x:c>
      <x:c r="B225" s="8" t="str">
        <x:v>SYN-OB-0210</x:v>
      </x:c>
      <x:c r="C225" s="8" t="str">
        <x:v>Copper LLC 210</x:v>
      </x:c>
      <x:c r="D225" s="9" t="n">
        <x:v>1182000</x:v>
      </x:c>
      <x:c r="E225" s="8" t="str">
        <x:v>BB+</x:v>
      </x:c>
      <x:c r="F225" s="8" t="str">
        <x:v>Capital Markets</x:v>
      </x:c>
      <x:c r="G225" s="8" t="str">
        <x:v>United States</x:v>
      </x:c>
      <x:c r="H225" s="8" t="str">
        <x:v>1st Lien</x:v>
      </x:c>
      <x:c r="I225" s="8" t="str">
        <x:v>Floating</x:v>
      </x:c>
      <x:c r="J225" s="8" t="n">
        <x:v>275</x:v>
      </x:c>
      <x:c r="K225" s="10"/>
      <x:c r="L225" s="8" t="n">
        <x:v>0</x:v>
      </x:c>
      <x:c r="M225" s="11" t="n">
        <x:v>48684</x:v>
      </x:c>
      <x:c r="N225" s="10" t="n">
        <x:v>0.555</x:v>
      </x:c>
      <x:c r="O225" s="12" t="n">
        <x:v>100.375</x:v>
      </x:c>
      <x:c r="P225" s="13" t="n">
        <x:v>4</x:v>
      </x:c>
      <x:c r="Q225" s="8" t="str">
        <x:v>USD</x:v>
      </x:c>
      <x:c r="R225" s="8" t="str">
        <x:v>SOFR</x:v>
      </x:c>
      <x:c r="S225" s="1"/>
      <x:c r="T225" s="1"/>
      <x:c r="U225" s="1"/>
      <x:c r="V225" s="1"/>
      <x:c r="W225" s="1"/>
      <x:c r="X225" s="1"/>
      <x:c r="Y225" s="1"/>
    </x:row>
    <x:row r="226">
      <x:c r="A226" s="8" t="str">
        <x:v>SYN-LN-00219</x:v>
      </x:c>
      <x:c r="B226" s="8" t="str">
        <x:v>SYN-OB-0211</x:v>
      </x:c>
      <x:c r="C226" s="8" t="str">
        <x:v>Crest Holdings 211</x:v>
      </x:c>
      <x:c r="D226" s="9" t="n">
        <x:v>1182000</x:v>
      </x:c>
      <x:c r="E226" s="8" t="str">
        <x:v>B-</x:v>
      </x:c>
      <x:c r="F226" s="8" t="str">
        <x:v>Distributors</x:v>
      </x:c>
      <x:c r="G226" s="8" t="str">
        <x:v>United States</x:v>
      </x:c>
      <x:c r="H226" s="8" t="str">
        <x:v>1st Lien</x:v>
      </x:c>
      <x:c r="I226" s="8" t="str">
        <x:v>Floating</x:v>
      </x:c>
      <x:c r="J226" s="8" t="n">
        <x:v>215</x:v>
      </x:c>
      <x:c r="K226" s="10"/>
      <x:c r="L226" s="8" t="n">
        <x:v>0</x:v>
      </x:c>
      <x:c r="M226" s="11" t="n">
        <x:v>47815</x:v>
      </x:c>
      <x:c r="N226" s="10" t="n">
        <x:v>0.345</x:v>
      </x:c>
      <x:c r="O226" s="12" t="n">
        <x:v>101.5</x:v>
      </x:c>
      <x:c r="P226" s="13" t="n">
        <x:v>4</x:v>
      </x:c>
      <x:c r="Q226" s="8" t="str">
        <x:v>USD</x:v>
      </x:c>
      <x:c r="R226" s="8" t="str">
        <x:v>SOFR</x:v>
      </x:c>
      <x:c r="S226" s="1"/>
      <x:c r="T226" s="1"/>
      <x:c r="U226" s="1"/>
      <x:c r="V226" s="1"/>
      <x:c r="W226" s="1"/>
      <x:c r="X226" s="1"/>
      <x:c r="Y226" s="1"/>
    </x:row>
    <x:row r="227">
      <x:c r="A227" s="8" t="str">
        <x:v>SYN-LN-00220</x:v>
      </x:c>
      <x:c r="B227" s="8" t="str">
        <x:v>SYN-OB-0212</x:v>
      </x:c>
      <x:c r="C227" s="8" t="str">
        <x:v>Duneland Inc. 212</x:v>
      </x:c>
      <x:c r="D227" s="9" t="n">
        <x:v>1182000</x:v>
      </x:c>
      <x:c r="E227" s="8" t="str">
        <x:v>B-</x:v>
      </x:c>
      <x:c r="F227" s="8" t="str">
        <x:v>Software</x:v>
      </x:c>
      <x:c r="G227" s="8" t="str">
        <x:v>United States</x:v>
      </x:c>
      <x:c r="H227" s="8" t="str">
        <x:v>1st Lien</x:v>
      </x:c>
      <x:c r="I227" s="8" t="str">
        <x:v>Floating</x:v>
      </x:c>
      <x:c r="J227" s="8" t="n">
        <x:v>380</x:v>
      </x:c>
      <x:c r="K227" s="10"/>
      <x:c r="L227" s="8" t="n">
        <x:v>0</x:v>
      </x:c>
      <x:c r="M227" s="11" t="n">
        <x:v>48151</x:v>
      </x:c>
      <x:c r="N227" s="10" t="n">
        <x:v>0.485</x:v>
      </x:c>
      <x:c r="O227" s="12" t="n">
        <x:v>99.875</x:v>
      </x:c>
      <x:c r="P227" s="13" t="n">
        <x:v>4</x:v>
      </x:c>
      <x:c r="Q227" s="8" t="str">
        <x:v>USD</x:v>
      </x:c>
      <x:c r="R227" s="8" t="str">
        <x:v>SOFR</x:v>
      </x:c>
      <x:c r="S227" s="1"/>
      <x:c r="T227" s="1"/>
      <x:c r="U227" s="1"/>
      <x:c r="V227" s="1"/>
      <x:c r="W227" s="1"/>
      <x:c r="X227" s="1"/>
      <x:c r="Y227" s="1"/>
    </x:row>
    <x:row r="228">
      <x:c r="A228" s="8" t="str">
        <x:v>SYN-LN-00221</x:v>
      </x:c>
      <x:c r="B228" s="8" t="str">
        <x:v>SYN-OB-0213</x:v>
      </x:c>
      <x:c r="C228" s="8" t="str">
        <x:v>Elmstone Corp. 213</x:v>
      </x:c>
      <x:c r="D228" s="9" t="n">
        <x:v>630000</x:v>
      </x:c>
      <x:c r="E228" s="8" t="str">
        <x:v>BBB+</x:v>
      </x:c>
      <x:c r="F228" s="8" t="str">
        <x:v>Passenger airlines</x:v>
      </x:c>
      <x:c r="G228" s="8" t="str">
        <x:v>Canada</x:v>
      </x:c>
      <x:c r="H228" s="8" t="str">
        <x:v>1st Lien</x:v>
      </x:c>
      <x:c r="I228" s="8" t="str">
        <x:v>Floating</x:v>
      </x:c>
      <x:c r="J228" s="8" t="n">
        <x:v>335</x:v>
      </x:c>
      <x:c r="K228" s="10"/>
      <x:c r="L228" s="8" t="n">
        <x:v>50</x:v>
      </x:c>
      <x:c r="M228" s="11" t="n">
        <x:v>47692</x:v>
      </x:c>
      <x:c r="N228" s="10" t="n">
        <x:v>0.405</x:v>
      </x:c>
      <x:c r="O228" s="12" t="n">
        <x:v>98.25</x:v>
      </x:c>
      <x:c r="P228" s="13" t="n">
        <x:v>4</x:v>
      </x:c>
      <x:c r="Q228" s="8" t="str">
        <x:v>USD</x:v>
      </x:c>
      <x:c r="R228" s="8" t="str">
        <x:v>SOFR</x:v>
      </x:c>
      <x:c r="S228" s="1"/>
      <x:c r="T228" s="1"/>
      <x:c r="U228" s="1"/>
      <x:c r="V228" s="1"/>
      <x:c r="W228" s="1"/>
      <x:c r="X228" s="1"/>
      <x:c r="Y228" s="1"/>
    </x:row>
    <x:row r="229">
      <x:c r="A229" s="8" t="str">
        <x:v>SYN-LN-00222</x:v>
      </x:c>
      <x:c r="B229" s="8" t="str">
        <x:v>SYN-OB-0214</x:v>
      </x:c>
      <x:c r="C229" s="8" t="str">
        <x:v>Evergreen Group 214</x:v>
      </x:c>
      <x:c r="D229" s="9" t="n">
        <x:v>1182000</x:v>
      </x:c>
      <x:c r="E229" s="8" t="str">
        <x:v>BB-</x:v>
      </x:c>
      <x:c r="F229" s="8" t="str">
        <x:v>Food Products</x:v>
      </x:c>
      <x:c r="G229" s="8" t="str">
        <x:v>United States</x:v>
      </x:c>
      <x:c r="H229" s="8" t="str">
        <x:v>1st Lien</x:v>
      </x:c>
      <x:c r="I229" s="8" t="str">
        <x:v>Floating</x:v>
      </x:c>
      <x:c r="J229" s="8" t="n">
        <x:v>115</x:v>
      </x:c>
      <x:c r="K229" s="10"/>
      <x:c r="L229" s="8" t="n">
        <x:v>0</x:v>
      </x:c>
      <x:c r="M229" s="11" t="n">
        <x:v>48533</x:v>
      </x:c>
      <x:c r="N229" s="10" t="n">
        <x:v>0.43</x:v>
      </x:c>
      <x:c r="O229" s="12" t="n">
        <x:v>101.5</x:v>
      </x:c>
      <x:c r="P229" s="13" t="n">
        <x:v>4</x:v>
      </x:c>
      <x:c r="Q229" s="8" t="str">
        <x:v>USD</x:v>
      </x:c>
      <x:c r="R229" s="8" t="str">
        <x:v>SOFR</x:v>
      </x:c>
      <x:c r="S229" s="1"/>
      <x:c r="T229" s="1"/>
      <x:c r="U229" s="1"/>
      <x:c r="V229" s="1"/>
      <x:c r="W229" s="1"/>
      <x:c r="X229" s="1"/>
      <x:c r="Y229" s="1"/>
    </x:row>
    <x:row r="230">
      <x:c r="A230" s="8" t="str">
        <x:v>SYN-LN-00223</x:v>
      </x:c>
      <x:c r="B230" s="8" t="str">
        <x:v>SYN-OB-0215</x:v>
      </x:c>
      <x:c r="C230" s="8" t="str">
        <x:v>Fairhaven LLC 215</x:v>
      </x:c>
      <x:c r="D230" s="9" t="n">
        <x:v>1182000</x:v>
      </x:c>
      <x:c r="E230" s="8" t="str">
        <x:v>B</x:v>
      </x:c>
      <x:c r="F230" s="8" t="str">
        <x:v>Diversified Consumer Services</x:v>
      </x:c>
      <x:c r="G230" s="8" t="str">
        <x:v>United States</x:v>
      </x:c>
      <x:c r="H230" s="8" t="str">
        <x:v>1st Lien</x:v>
      </x:c>
      <x:c r="I230" s="8" t="str">
        <x:v>Floating</x:v>
      </x:c>
      <x:c r="J230" s="8" t="n">
        <x:v>290</x:v>
      </x:c>
      <x:c r="K230" s="10"/>
      <x:c r="L230" s="8" t="n">
        <x:v>0</x:v>
      </x:c>
      <x:c r="M230" s="11" t="n">
        <x:v>48487</x:v>
      </x:c>
      <x:c r="N230" s="10" t="n">
        <x:v>0.325</x:v>
      </x:c>
      <x:c r="O230" s="12" t="n">
        <x:v>95.625</x:v>
      </x:c>
      <x:c r="P230" s="13" t="n">
        <x:v>4</x:v>
      </x:c>
      <x:c r="Q230" s="8" t="str">
        <x:v>USD</x:v>
      </x:c>
      <x:c r="R230" s="8" t="str">
        <x:v>SOFR</x:v>
      </x:c>
      <x:c r="S230" s="1"/>
      <x:c r="T230" s="1"/>
      <x:c r="U230" s="1"/>
      <x:c r="V230" s="1"/>
      <x:c r="W230" s="1"/>
      <x:c r="X230" s="1"/>
      <x:c r="Y230" s="1"/>
    </x:row>
    <x:row r="231">
      <x:c r="A231" s="8" t="str">
        <x:v>SYN-LN-00224</x:v>
      </x:c>
      <x:c r="B231" s="8" t="str">
        <x:v>SYN-OB-0216</x:v>
      </x:c>
      <x:c r="C231" s="8" t="str">
        <x:v>Granite Holdings 216</x:v>
      </x:c>
      <x:c r="D231" s="9" t="n">
        <x:v>1182000</x:v>
      </x:c>
      <x:c r="E231" s="8" t="str">
        <x:v>BB-</x:v>
      </x:c>
      <x:c r="F231" s="8" t="str">
        <x:v>Oil, Gas &amp; Consumable Fuels</x:v>
      </x:c>
      <x:c r="G231" s="8" t="str">
        <x:v>United States</x:v>
      </x:c>
      <x:c r="H231" s="8" t="str">
        <x:v>1st Lien</x:v>
      </x:c>
      <x:c r="I231" s="8" t="str">
        <x:v>Floating</x:v>
      </x:c>
      <x:c r="J231" s="8" t="n">
        <x:v>310</x:v>
      </x:c>
      <x:c r="K231" s="10"/>
      <x:c r="L231" s="8" t="n">
        <x:v>0</x:v>
      </x:c>
      <x:c r="M231" s="11" t="n">
        <x:v>48638</x:v>
      </x:c>
      <x:c r="N231" s="10" t="n">
        <x:v>0.46</x:v>
      </x:c>
      <x:c r="O231" s="12" t="n">
        <x:v>101.5</x:v>
      </x:c>
      <x:c r="P231" s="13" t="n">
        <x:v>4</x:v>
      </x:c>
      <x:c r="Q231" s="8" t="str">
        <x:v>USD</x:v>
      </x:c>
      <x:c r="R231" s="8" t="str">
        <x:v>SOFR</x:v>
      </x:c>
      <x:c r="S231" s="1"/>
      <x:c r="T231" s="1"/>
      <x:c r="U231" s="1"/>
      <x:c r="V231" s="1"/>
      <x:c r="W231" s="1"/>
      <x:c r="X231" s="1"/>
      <x:c r="Y231" s="1"/>
    </x:row>
    <x:row r="232">
      <x:c r="A232" s="8" t="str">
        <x:v>SYN-LN-00225</x:v>
      </x:c>
      <x:c r="B232" s="8" t="str">
        <x:v>SYN-OB-0217</x:v>
      </x:c>
      <x:c r="C232" s="8" t="str">
        <x:v>Harbor Inc. 217</x:v>
      </x:c>
      <x:c r="D232" s="9" t="n">
        <x:v>1182000</x:v>
      </x:c>
      <x:c r="E232" s="8" t="str">
        <x:v>B</x:v>
      </x:c>
      <x:c r="F232" s="8" t="str">
        <x:v>Capital Markets</x:v>
      </x:c>
      <x:c r="G232" s="8" t="str">
        <x:v>United States</x:v>
      </x:c>
      <x:c r="H232" s="8" t="str">
        <x:v>1st Lien</x:v>
      </x:c>
      <x:c r="I232" s="8" t="str">
        <x:v>Floating</x:v>
      </x:c>
      <x:c r="J232" s="8" t="n">
        <x:v>245</x:v>
      </x:c>
      <x:c r="K232" s="10"/>
      <x:c r="L232" s="8" t="n">
        <x:v>0</x:v>
      </x:c>
      <x:c r="M232" s="11" t="n">
        <x:v>48775</x:v>
      </x:c>
      <x:c r="N232" s="10" t="n">
        <x:v>0.33</x:v>
      </x:c>
      <x:c r="O232" s="12" t="n">
        <x:v>101.5</x:v>
      </x:c>
      <x:c r="P232" s="13" t="n">
        <x:v>4</x:v>
      </x:c>
      <x:c r="Q232" s="8" t="str">
        <x:v>USD</x:v>
      </x:c>
      <x:c r="R232" s="8" t="str">
        <x:v>SOFR</x:v>
      </x:c>
      <x:c r="S232" s="1"/>
      <x:c r="T232" s="1"/>
      <x:c r="U232" s="1"/>
      <x:c r="V232" s="1"/>
      <x:c r="W232" s="1"/>
      <x:c r="X232" s="1"/>
      <x:c r="Y232" s="1"/>
    </x:row>
    <x:row r="233">
      <x:c r="A233" s="8" t="str">
        <x:v>SYN-LN-00226</x:v>
      </x:c>
      <x:c r="B233" s="8" t="str">
        <x:v>SYN-OB-0218</x:v>
      </x:c>
      <x:c r="C233" s="8" t="str">
        <x:v>Hawthorne Corp. 218</x:v>
      </x:c>
      <x:c r="D233" s="9" t="n">
        <x:v>1182000</x:v>
      </x:c>
      <x:c r="E233" s="8" t="str">
        <x:v>B</x:v>
      </x:c>
      <x:c r="F233" s="8" t="str">
        <x:v>Healthcare Equipment &amp; Supplies</x:v>
      </x:c>
      <x:c r="G233" s="8" t="str">
        <x:v>United States</x:v>
      </x:c>
      <x:c r="H233" s="8" t="str">
        <x:v>1st Lien</x:v>
      </x:c>
      <x:c r="I233" s="8" t="str">
        <x:v>Floating</x:v>
      </x:c>
      <x:c r="J233" s="8" t="n">
        <x:v>160</x:v>
      </x:c>
      <x:c r="K233" s="10"/>
      <x:c r="L233" s="8" t="n">
        <x:v>0</x:v>
      </x:c>
      <x:c r="M233" s="11" t="n">
        <x:v>48423</x:v>
      </x:c>
      <x:c r="N233" s="10" t="n">
        <x:v>0.395</x:v>
      </x:c>
      <x:c r="O233" s="12" t="n">
        <x:v>100.875</x:v>
      </x:c>
      <x:c r="P233" s="13" t="n">
        <x:v>4</x:v>
      </x:c>
      <x:c r="Q233" s="8" t="str">
        <x:v>USD</x:v>
      </x:c>
      <x:c r="R233" s="8" t="str">
        <x:v>SOFR</x:v>
      </x:c>
      <x:c r="S233" s="1"/>
      <x:c r="T233" s="1"/>
      <x:c r="U233" s="1"/>
      <x:c r="V233" s="1"/>
      <x:c r="W233" s="1"/>
      <x:c r="X233" s="1"/>
      <x:c r="Y233" s="1"/>
    </x:row>
    <x:row r="234">
      <x:c r="A234" s="8" t="str">
        <x:v>SYN-LN-00227</x:v>
      </x:c>
      <x:c r="B234" s="8" t="str">
        <x:v>SYN-OB-0219</x:v>
      </x:c>
      <x:c r="C234" s="8" t="str">
        <x:v>Highland Group 219</x:v>
      </x:c>
      <x:c r="D234" s="9" t="n">
        <x:v>1182000</x:v>
      </x:c>
      <x:c r="E234" s="8" t="str">
        <x:v>B+</x:v>
      </x:c>
      <x:c r="F234" s="8" t="str">
        <x:v>Electric Utilities</x:v>
      </x:c>
      <x:c r="G234" s="8" t="str">
        <x:v>United States</x:v>
      </x:c>
      <x:c r="H234" s="8" t="str">
        <x:v>1st Lien</x:v>
      </x:c>
      <x:c r="I234" s="8" t="str">
        <x:v>Floating</x:v>
      </x:c>
      <x:c r="J234" s="8" t="n">
        <x:v>150</x:v>
      </x:c>
      <x:c r="K234" s="10"/>
      <x:c r="L234" s="8" t="n">
        <x:v>0</x:v>
      </x:c>
      <x:c r="M234" s="11" t="n">
        <x:v>48515</x:v>
      </x:c>
      <x:c r="N234" s="10" t="n">
        <x:v>0.41</x:v>
      </x:c>
      <x:c r="O234" s="12" t="n">
        <x:v>100</x:v>
      </x:c>
      <x:c r="P234" s="13" t="n">
        <x:v>4</x:v>
      </x:c>
      <x:c r="Q234" s="8" t="str">
        <x:v>USD</x:v>
      </x:c>
      <x:c r="R234" s="8" t="str">
        <x:v>SOFR</x:v>
      </x:c>
      <x:c r="S234" s="1"/>
      <x:c r="T234" s="1"/>
      <x:c r="U234" s="1"/>
      <x:c r="V234" s="1"/>
      <x:c r="W234" s="1"/>
      <x:c r="X234" s="1"/>
      <x:c r="Y234" s="1"/>
    </x:row>
    <x:row r="235">
      <x:c r="A235" s="8" t="str">
        <x:v>SYN-LN-00228</x:v>
      </x:c>
      <x:c r="B235" s="8" t="str">
        <x:v>SYN-OB-0220</x:v>
      </x:c>
      <x:c r="C235" s="8" t="str">
        <x:v>Ironwood LLC 220</x:v>
      </x:c>
      <x:c r="D235" s="9" t="n">
        <x:v>1182000</x:v>
      </x:c>
      <x:c r="E235" s="8" t="str">
        <x:v>B-</x:v>
      </x:c>
      <x:c r="F235" s="8" t="str">
        <x:v>Containers &amp; Packaging</x:v>
      </x:c>
      <x:c r="G235" s="8" t="str">
        <x:v>United States</x:v>
      </x:c>
      <x:c r="H235" s="8" t="str">
        <x:v>1st Lien</x:v>
      </x:c>
      <x:c r="I235" s="8" t="str">
        <x:v>Floating</x:v>
      </x:c>
      <x:c r="J235" s="8" t="n">
        <x:v>315</x:v>
      </x:c>
      <x:c r="K235" s="10"/>
      <x:c r="L235" s="8" t="n">
        <x:v>0</x:v>
      </x:c>
      <x:c r="M235" s="11" t="n">
        <x:v>47832</x:v>
      </x:c>
      <x:c r="N235" s="10" t="n">
        <x:v>0.37</x:v>
      </x:c>
      <x:c r="O235" s="12" t="n">
        <x:v>95.875</x:v>
      </x:c>
      <x:c r="P235" s="13" t="n">
        <x:v>4</x:v>
      </x:c>
      <x:c r="Q235" s="8" t="str">
        <x:v>USD</x:v>
      </x:c>
      <x:c r="R235" s="8" t="str">
        <x:v>SOFR</x:v>
      </x:c>
      <x:c r="S235" s="1"/>
      <x:c r="T235" s="1"/>
      <x:c r="U235" s="1"/>
      <x:c r="V235" s="1"/>
      <x:c r="W235" s="1"/>
      <x:c r="X235" s="1"/>
      <x:c r="Y235" s="1"/>
    </x:row>
    <x:row r="236">
      <x:c r="A236" s="8" t="str">
        <x:v>SYN-LN-00229</x:v>
      </x:c>
      <x:c r="B236" s="8" t="str">
        <x:v>SYN-OB-0221</x:v>
      </x:c>
      <x:c r="C236" s="8" t="str">
        <x:v>Juniper Holdings 221</x:v>
      </x:c>
      <x:c r="D236" s="9" t="n">
        <x:v>1182000</x:v>
      </x:c>
      <x:c r="E236" s="8" t="str">
        <x:v>B-</x:v>
      </x:c>
      <x:c r="F236" s="8" t="str">
        <x:v>Transportation Infrastructure</x:v>
      </x:c>
      <x:c r="G236" s="8" t="str">
        <x:v>United States</x:v>
      </x:c>
      <x:c r="H236" s="8" t="str">
        <x:v>1st Lien</x:v>
      </x:c>
      <x:c r="I236" s="8" t="str">
        <x:v>Floating</x:v>
      </x:c>
      <x:c r="J236" s="8" t="n">
        <x:v>295</x:v>
      </x:c>
      <x:c r="K236" s="10"/>
      <x:c r="L236" s="8" t="n">
        <x:v>0</x:v>
      </x:c>
      <x:c r="M236" s="11" t="n">
        <x:v>47998</x:v>
      </x:c>
      <x:c r="N236" s="10" t="n">
        <x:v>0.565</x:v>
      </x:c>
      <x:c r="O236" s="12" t="n">
        <x:v>97.5</x:v>
      </x:c>
      <x:c r="P236" s="13" t="n">
        <x:v>4</x:v>
      </x:c>
      <x:c r="Q236" s="8" t="str">
        <x:v>USD</x:v>
      </x:c>
      <x:c r="R236" s="8" t="str">
        <x:v>SOFR</x:v>
      </x:c>
      <x:c r="S236" s="1"/>
      <x:c r="T236" s="1"/>
      <x:c r="U236" s="1"/>
      <x:c r="V236" s="1"/>
      <x:c r="W236" s="1"/>
      <x:c r="X236" s="1"/>
      <x:c r="Y236" s="1"/>
    </x:row>
    <x:row r="237">
      <x:c r="A237" s="8" t="str">
        <x:v>SYN-LN-00230</x:v>
      </x:c>
      <x:c r="B237" s="8" t="str">
        <x:v>SYN-OB-0222</x:v>
      </x:c>
      <x:c r="C237" s="8" t="str">
        <x:v>Keystone Inc. 222</x:v>
      </x:c>
      <x:c r="D237" s="9" t="n">
        <x:v>1182000</x:v>
      </x:c>
      <x:c r="E237" s="8" t="str">
        <x:v>BB</x:v>
      </x:c>
      <x:c r="F237" s="8" t="str">
        <x:v>Leisure Products</x:v>
      </x:c>
      <x:c r="G237" s="8" t="str">
        <x:v>United Kingdom</x:v>
      </x:c>
      <x:c r="H237" s="8" t="str">
        <x:v>1st Lien</x:v>
      </x:c>
      <x:c r="I237" s="8" t="str">
        <x:v>Floating</x:v>
      </x:c>
      <x:c r="J237" s="8" t="n">
        <x:v>150</x:v>
      </x:c>
      <x:c r="K237" s="10"/>
      <x:c r="L237" s="8" t="n">
        <x:v>0</x:v>
      </x:c>
      <x:c r="M237" s="11" t="n">
        <x:v>49003</x:v>
      </x:c>
      <x:c r="N237" s="10" t="n">
        <x:v>0.215</x:v>
      </x:c>
      <x:c r="O237" s="12" t="n">
        <x:v>99.125</x:v>
      </x:c>
      <x:c r="P237" s="13" t="n">
        <x:v>4</x:v>
      </x:c>
      <x:c r="Q237" s="8" t="str">
        <x:v>USD</x:v>
      </x:c>
      <x:c r="R237" s="8" t="str">
        <x:v>SOFR</x:v>
      </x:c>
      <x:c r="S237" s="1"/>
      <x:c r="T237" s="1"/>
      <x:c r="U237" s="1"/>
      <x:c r="V237" s="1"/>
      <x:c r="W237" s="1"/>
      <x:c r="X237" s="1"/>
      <x:c r="Y237" s="1"/>
    </x:row>
    <x:row r="238">
      <x:c r="A238" s="8" t="str">
        <x:v>SYN-LN-00231</x:v>
      </x:c>
      <x:c r="B238" s="8" t="str">
        <x:v>SYN-OB-0223</x:v>
      </x:c>
      <x:c r="C238" s="8" t="str">
        <x:v>Lakeview Corp. 223</x:v>
      </x:c>
      <x:c r="D238" s="9" t="n">
        <x:v>1182000</x:v>
      </x:c>
      <x:c r="E238" s="8" t="str">
        <x:v>B-</x:v>
      </x:c>
      <x:c r="F238" s="8" t="str">
        <x:v>Healthcare Providers &amp; Services</x:v>
      </x:c>
      <x:c r="G238" s="8" t="str">
        <x:v>United States</x:v>
      </x:c>
      <x:c r="H238" s="8" t="str">
        <x:v>1st Lien</x:v>
      </x:c>
      <x:c r="I238" s="8" t="str">
        <x:v>Floating</x:v>
      </x:c>
      <x:c r="J238" s="8" t="n">
        <x:v>405</x:v>
      </x:c>
      <x:c r="K238" s="10"/>
      <x:c r="L238" s="8" t="n">
        <x:v>0</x:v>
      </x:c>
      <x:c r="M238" s="11" t="n">
        <x:v>48666</x:v>
      </x:c>
      <x:c r="N238" s="10" t="n">
        <x:v>0.305</x:v>
      </x:c>
      <x:c r="O238" s="12" t="n">
        <x:v>98.375</x:v>
      </x:c>
      <x:c r="P238" s="13" t="n">
        <x:v>4</x:v>
      </x:c>
      <x:c r="Q238" s="8" t="str">
        <x:v>USD</x:v>
      </x:c>
      <x:c r="R238" s="8" t="str">
        <x:v>SOFR</x:v>
      </x:c>
      <x:c r="S238" s="1"/>
      <x:c r="T238" s="1"/>
      <x:c r="U238" s="1"/>
      <x:c r="V238" s="1"/>
      <x:c r="W238" s="1"/>
      <x:c r="X238" s="1"/>
      <x:c r="Y238" s="1"/>
    </x:row>
    <x:row r="239">
      <x:c r="A239" s="8" t="str">
        <x:v>SYN-LN-00232</x:v>
      </x:c>
      <x:c r="B239" s="8" t="str">
        <x:v>SYN-OB-0224</x:v>
      </x:c>
      <x:c r="C239" s="8" t="str">
        <x:v>Larkspur Group 224</x:v>
      </x:c>
      <x:c r="D239" s="9" t="n">
        <x:v>650000</x:v>
      </x:c>
      <x:c r="E239" s="8" t="str">
        <x:v>BB-</x:v>
      </x:c>
      <x:c r="F239" s="8" t="str">
        <x:v>Automobiles</x:v>
      </x:c>
      <x:c r="G239" s="8" t="str">
        <x:v>United States</x:v>
      </x:c>
      <x:c r="H239" s="8" t="str">
        <x:v>1st Lien</x:v>
      </x:c>
      <x:c r="I239" s="8" t="str">
        <x:v>Floating</x:v>
      </x:c>
      <x:c r="J239" s="8" t="n">
        <x:v>215</x:v>
      </x:c>
      <x:c r="K239" s="10"/>
      <x:c r="L239" s="8" t="n">
        <x:v>0</x:v>
      </x:c>
      <x:c r="M239" s="11" t="n">
        <x:v>48533</x:v>
      </x:c>
      <x:c r="N239" s="10" t="n">
        <x:v>0.635</x:v>
      </x:c>
      <x:c r="O239" s="12" t="n">
        <x:v>96.875</x:v>
      </x:c>
      <x:c r="P239" s="13" t="n">
        <x:v>4</x:v>
      </x:c>
      <x:c r="Q239" s="8" t="str">
        <x:v>USD</x:v>
      </x:c>
      <x:c r="R239" s="8" t="str">
        <x:v>SOFR</x:v>
      </x:c>
      <x:c r="S239" s="1"/>
      <x:c r="T239" s="1"/>
      <x:c r="U239" s="1"/>
      <x:c r="V239" s="1"/>
      <x:c r="W239" s="1"/>
      <x:c r="X239" s="1"/>
      <x:c r="Y239" s="1"/>
    </x:row>
    <x:row r="240">
      <x:c r="A240" s="8" t="str">
        <x:v>SYN-LN-00233</x:v>
      </x:c>
      <x:c r="B240" s="8" t="str">
        <x:v>SYN-OB-0224</x:v>
      </x:c>
      <x:c r="C240" s="8" t="str">
        <x:v>Larkspur Group 224</x:v>
      </x:c>
      <x:c r="D240" s="9" t="n">
        <x:v>532000</x:v>
      </x:c>
      <x:c r="E240" s="8" t="str">
        <x:v>BB-</x:v>
      </x:c>
      <x:c r="F240" s="8" t="str">
        <x:v>Automobiles</x:v>
      </x:c>
      <x:c r="G240" s="8" t="str">
        <x:v>United States</x:v>
      </x:c>
      <x:c r="H240" s="8" t="str">
        <x:v>1st Lien</x:v>
      </x:c>
      <x:c r="I240" s="8" t="str">
        <x:v>Floating</x:v>
      </x:c>
      <x:c r="J240" s="8" t="n">
        <x:v>225</x:v>
      </x:c>
      <x:c r="K240" s="10"/>
      <x:c r="L240" s="8" t="n">
        <x:v>75</x:v>
      </x:c>
      <x:c r="M240" s="11" t="n">
        <x:v>48607</x:v>
      </x:c>
      <x:c r="N240" s="10" t="n">
        <x:v>0.635</x:v>
      </x:c>
      <x:c r="O240" s="12" t="n">
        <x:v>97</x:v>
      </x:c>
      <x:c r="P240" s="13" t="n">
        <x:v>4</x:v>
      </x:c>
      <x:c r="Q240" s="8" t="str">
        <x:v>USD</x:v>
      </x:c>
      <x:c r="R240" s="8" t="str">
        <x:v>SOFR</x:v>
      </x:c>
      <x:c r="S240" s="1"/>
      <x:c r="T240" s="1"/>
      <x:c r="U240" s="1"/>
      <x:c r="V240" s="1"/>
      <x:c r="W240" s="1"/>
      <x:c r="X240" s="1"/>
      <x:c r="Y240" s="1"/>
    </x:row>
    <x:row r="241">
      <x:c r="A241" s="8" t="str">
        <x:v>SYN-LN-00234</x:v>
      </x:c>
      <x:c r="B241" s="8" t="str">
        <x:v>SYN-OB-0225</x:v>
      </x:c>
      <x:c r="C241" s="8" t="str">
        <x:v>Maple LLC 225</x:v>
      </x:c>
      <x:c r="D241" s="9" t="n">
        <x:v>1182000</x:v>
      </x:c>
      <x:c r="E241" s="8" t="str">
        <x:v>BB-</x:v>
      </x:c>
      <x:c r="F241" s="8" t="str">
        <x:v>Communications Equipment</x:v>
      </x:c>
      <x:c r="G241" s="8" t="str">
        <x:v>United Kingdom</x:v>
      </x:c>
      <x:c r="H241" s="8" t="str">
        <x:v>1st Lien</x:v>
      </x:c>
      <x:c r="I241" s="8" t="str">
        <x:v>Floating</x:v>
      </x:c>
      <x:c r="J241" s="8" t="n">
        <x:v>275</x:v>
      </x:c>
      <x:c r="K241" s="10"/>
      <x:c r="L241" s="8" t="n">
        <x:v>0</x:v>
      </x:c>
      <x:c r="M241" s="11" t="n">
        <x:v>48454</x:v>
      </x:c>
      <x:c r="N241" s="10" t="n">
        <x:v>0.545</x:v>
      </x:c>
      <x:c r="O241" s="12" t="n">
        <x:v>99.375</x:v>
      </x:c>
      <x:c r="P241" s="13" t="n">
        <x:v>4</x:v>
      </x:c>
      <x:c r="Q241" s="8" t="str">
        <x:v>USD</x:v>
      </x:c>
      <x:c r="R241" s="8" t="str">
        <x:v>SOFR</x:v>
      </x:c>
      <x:c r="S241" s="1"/>
      <x:c r="T241" s="1"/>
      <x:c r="U241" s="1"/>
      <x:c r="V241" s="1"/>
      <x:c r="W241" s="1"/>
      <x:c r="X241" s="1"/>
      <x:c r="Y241" s="1"/>
    </x:row>
    <x:row r="242">
      <x:c r="A242" s="8" t="str">
        <x:v>SYN-LN-00235</x:v>
      </x:c>
      <x:c r="B242" s="8" t="str">
        <x:v>SYN-OB-0226</x:v>
      </x:c>
      <x:c r="C242" s="8" t="str">
        <x:v>Meridian Holdings 226</x:v>
      </x:c>
      <x:c r="D242" s="9" t="n">
        <x:v>1182000</x:v>
      </x:c>
      <x:c r="E242" s="8" t="str">
        <x:v>B</x:v>
      </x:c>
      <x:c r="F242" s="8" t="str">
        <x:v>Aerospace &amp; Defense</x:v>
      </x:c>
      <x:c r="G242" s="8" t="str">
        <x:v>United States</x:v>
      </x:c>
      <x:c r="H242" s="8" t="str">
        <x:v>1st Lien</x:v>
      </x:c>
      <x:c r="I242" s="8" t="str">
        <x:v>Floating</x:v>
      </x:c>
      <x:c r="J242" s="8" t="n">
        <x:v>380</x:v>
      </x:c>
      <x:c r="K242" s="10"/>
      <x:c r="L242" s="8" t="n">
        <x:v>0</x:v>
      </x:c>
      <x:c r="M242" s="11" t="n">
        <x:v>47815</x:v>
      </x:c>
      <x:c r="N242" s="10" t="n">
        <x:v>0.315</x:v>
      </x:c>
      <x:c r="O242" s="12" t="n">
        <x:v>100.75</x:v>
      </x:c>
      <x:c r="P242" s="13" t="n">
        <x:v>4</x:v>
      </x:c>
      <x:c r="Q242" s="8" t="str">
        <x:v>USD</x:v>
      </x:c>
      <x:c r="R242" s="8" t="str">
        <x:v>SOFR</x:v>
      </x:c>
      <x:c r="S242" s="1"/>
      <x:c r="T242" s="1"/>
      <x:c r="U242" s="1"/>
      <x:c r="V242" s="1"/>
      <x:c r="W242" s="1"/>
      <x:c r="X242" s="1"/>
      <x:c r="Y242" s="1"/>
    </x:row>
    <x:row r="243">
      <x:c r="A243" s="8" t="str">
        <x:v>SYN-LN-00236</x:v>
      </x:c>
      <x:c r="B243" s="8" t="str">
        <x:v>SYN-OB-0227</x:v>
      </x:c>
      <x:c r="C243" s="8" t="str">
        <x:v>Northfield Inc. 227</x:v>
      </x:c>
      <x:c r="D243" s="9" t="n">
        <x:v>1182000</x:v>
      </x:c>
      <x:c r="E243" s="8" t="str">
        <x:v>BB+</x:v>
      </x:c>
      <x:c r="F243" s="8" t="str">
        <x:v>Broadline retail</x:v>
      </x:c>
      <x:c r="G243" s="8" t="str">
        <x:v>United States</x:v>
      </x:c>
      <x:c r="H243" s="8" t="str">
        <x:v>1st Lien</x:v>
      </x:c>
      <x:c r="I243" s="8" t="str">
        <x:v>Floating</x:v>
      </x:c>
      <x:c r="J243" s="8" t="n">
        <x:v>215</x:v>
      </x:c>
      <x:c r="K243" s="10"/>
      <x:c r="L243" s="8" t="n">
        <x:v>0</x:v>
      </x:c>
      <x:c r="M243" s="11" t="n">
        <x:v>48517</x:v>
      </x:c>
      <x:c r="N243" s="10" t="n">
        <x:v>0.325</x:v>
      </x:c>
      <x:c r="O243" s="12" t="n">
        <x:v>99</x:v>
      </x:c>
      <x:c r="P243" s="13" t="n">
        <x:v>4</x:v>
      </x:c>
      <x:c r="Q243" s="8" t="str">
        <x:v>USD</x:v>
      </x:c>
      <x:c r="R243" s="8" t="str">
        <x:v>SOFR</x:v>
      </x:c>
      <x:c r="S243" s="1"/>
      <x:c r="T243" s="1"/>
      <x:c r="U243" s="1"/>
      <x:c r="V243" s="1"/>
      <x:c r="W243" s="1"/>
      <x:c r="X243" s="1"/>
      <x:c r="Y243" s="1"/>
    </x:row>
    <x:row r="244">
      <x:c r="A244" s="8" t="str">
        <x:v>SYN-LN-00237</x:v>
      </x:c>
      <x:c r="B244" s="8" t="str">
        <x:v>SYN-OB-0228</x:v>
      </x:c>
      <x:c r="C244" s="8" t="str">
        <x:v>Oakmont Corp. 228</x:v>
      </x:c>
      <x:c r="D244" s="9" t="n">
        <x:v>1182000</x:v>
      </x:c>
      <x:c r="E244" s="8" t="str">
        <x:v>BB-</x:v>
      </x:c>
      <x:c r="F244" s="8" t="str">
        <x:v>Ground transportation</x:v>
      </x:c>
      <x:c r="G244" s="8" t="str">
        <x:v>United States</x:v>
      </x:c>
      <x:c r="H244" s="8" t="str">
        <x:v>1st Lien</x:v>
      </x:c>
      <x:c r="I244" s="8" t="str">
        <x:v>Floating</x:v>
      </x:c>
      <x:c r="J244" s="8" t="n">
        <x:v>230</x:v>
      </x:c>
      <x:c r="K244" s="10"/>
      <x:c r="L244" s="8" t="n">
        <x:v>0</x:v>
      </x:c>
      <x:c r="M244" s="11" t="n">
        <x:v>48941</x:v>
      </x:c>
      <x:c r="N244" s="10" t="n">
        <x:v>0.275</x:v>
      </x:c>
      <x:c r="O244" s="12" t="n">
        <x:v>93</x:v>
      </x:c>
      <x:c r="P244" s="13" t="n">
        <x:v>4</x:v>
      </x:c>
      <x:c r="Q244" s="8" t="str">
        <x:v>USD</x:v>
      </x:c>
      <x:c r="R244" s="8" t="str">
        <x:v>SOFR</x:v>
      </x:c>
      <x:c r="S244" s="1"/>
      <x:c r="T244" s="1"/>
      <x:c r="U244" s="1"/>
      <x:c r="V244" s="1"/>
      <x:c r="W244" s="1"/>
      <x:c r="X244" s="1"/>
      <x:c r="Y244" s="1"/>
    </x:row>
    <x:row r="245">
      <x:c r="A245" s="8" t="str">
        <x:v>SYN-LN-00238</x:v>
      </x:c>
      <x:c r="B245" s="8" t="str">
        <x:v>SYN-OB-0229</x:v>
      </x:c>
      <x:c r="C245" s="8" t="str">
        <x:v>Orchard Group 229</x:v>
      </x:c>
      <x:c r="D245" s="9" t="n">
        <x:v>1182000</x:v>
      </x:c>
      <x:c r="E245" s="8" t="str">
        <x:v>B+</x:v>
      </x:c>
      <x:c r="F245" s="8" t="str">
        <x:v>Ground transportation</x:v>
      </x:c>
      <x:c r="G245" s="8" t="str">
        <x:v>United States</x:v>
      </x:c>
      <x:c r="H245" s="8" t="str">
        <x:v>1st Lien</x:v>
      </x:c>
      <x:c r="I245" s="8" t="str">
        <x:v>Floating</x:v>
      </x:c>
      <x:c r="J245" s="8" t="n">
        <x:v>275</x:v>
      </x:c>
      <x:c r="K245" s="10"/>
      <x:c r="L245" s="8" t="n">
        <x:v>0</x:v>
      </x:c>
      <x:c r="M245" s="11" t="n">
        <x:v>48607</x:v>
      </x:c>
      <x:c r="N245" s="10" t="n">
        <x:v>0.335</x:v>
      </x:c>
      <x:c r="O245" s="12" t="n">
        <x:v>100.5</x:v>
      </x:c>
      <x:c r="P245" s="13" t="n">
        <x:v>4</x:v>
      </x:c>
      <x:c r="Q245" s="8" t="str">
        <x:v>USD</x:v>
      </x:c>
      <x:c r="R245" s="8" t="str">
        <x:v>SOFR</x:v>
      </x:c>
      <x:c r="S245" s="1"/>
      <x:c r="T245" s="1"/>
      <x:c r="U245" s="1"/>
      <x:c r="V245" s="1"/>
      <x:c r="W245" s="1"/>
      <x:c r="X245" s="1"/>
      <x:c r="Y245" s="1"/>
    </x:row>
    <x:row r="246">
      <x:c r="A246" s="8" t="str">
        <x:v>SYN-LN-00239</x:v>
      </x:c>
      <x:c r="B246" s="8" t="str">
        <x:v>SYN-OB-0230</x:v>
      </x:c>
      <x:c r="C246" s="8" t="str">
        <x:v>Pinecrest LLC 230</x:v>
      </x:c>
      <x:c r="D246" s="9" t="n">
        <x:v>630000</x:v>
      </x:c>
      <x:c r="E246" s="8" t="str">
        <x:v>BBB-</x:v>
      </x:c>
      <x:c r="F246" s="8" t="str">
        <x:v>Oil, Gas &amp; Consumable Fuels</x:v>
      </x:c>
      <x:c r="G246" s="8" t="str">
        <x:v>Ireland</x:v>
      </x:c>
      <x:c r="H246" s="8" t="str">
        <x:v>1st Lien</x:v>
      </x:c>
      <x:c r="I246" s="8" t="str">
        <x:v>Floating</x:v>
      </x:c>
      <x:c r="J246" s="8" t="n">
        <x:v>255</x:v>
      </x:c>
      <x:c r="K246" s="10"/>
      <x:c r="L246" s="8" t="n">
        <x:v>50</x:v>
      </x:c>
      <x:c r="M246" s="11" t="n">
        <x:v>48837</x:v>
      </x:c>
      <x:c r="N246" s="10" t="n">
        <x:v>0.375</x:v>
      </x:c>
      <x:c r="O246" s="12" t="n">
        <x:v>101.5</x:v>
      </x:c>
      <x:c r="P246" s="13" t="n">
        <x:v>4</x:v>
      </x:c>
      <x:c r="Q246" s="8" t="str">
        <x:v>USD</x:v>
      </x:c>
      <x:c r="R246" s="8" t="str">
        <x:v>SOFR</x:v>
      </x:c>
      <x:c r="S246" s="1"/>
      <x:c r="T246" s="1"/>
      <x:c r="U246" s="1"/>
      <x:c r="V246" s="1"/>
      <x:c r="W246" s="1"/>
      <x:c r="X246" s="1"/>
      <x:c r="Y246" s="1"/>
    </x:row>
    <x:row r="247">
      <x:c r="A247" s="8" t="str">
        <x:v>SYN-LN-00240</x:v>
      </x:c>
      <x:c r="B247" s="8" t="str">
        <x:v>SYN-OB-0231</x:v>
      </x:c>
      <x:c r="C247" s="8" t="str">
        <x:v>Redwood Holdings 231</x:v>
      </x:c>
      <x:c r="D247" s="9" t="n">
        <x:v>1182000</x:v>
      </x:c>
      <x:c r="E247" s="8" t="str">
        <x:v>B</x:v>
      </x:c>
      <x:c r="F247" s="8" t="str">
        <x:v>Food Products</x:v>
      </x:c>
      <x:c r="G247" s="8" t="str">
        <x:v>United States</x:v>
      </x:c>
      <x:c r="H247" s="8" t="str">
        <x:v>1st Lien</x:v>
      </x:c>
      <x:c r="I247" s="8" t="str">
        <x:v>Floating</x:v>
      </x:c>
      <x:c r="J247" s="8" t="n">
        <x:v>300</x:v>
      </x:c>
      <x:c r="K247" s="10"/>
      <x:c r="L247" s="8" t="n">
        <x:v>0</x:v>
      </x:c>
      <x:c r="M247" s="11" t="n">
        <x:v>48472</x:v>
      </x:c>
      <x:c r="N247" s="10" t="n">
        <x:v>0.275</x:v>
      </x:c>
      <x:c r="O247" s="12" t="n">
        <x:v>98.375</x:v>
      </x:c>
      <x:c r="P247" s="13" t="n">
        <x:v>4</x:v>
      </x:c>
      <x:c r="Q247" s="8" t="str">
        <x:v>USD</x:v>
      </x:c>
      <x:c r="R247" s="8" t="str">
        <x:v>SOFR</x:v>
      </x:c>
      <x:c r="S247" s="1"/>
      <x:c r="T247" s="1"/>
      <x:c r="U247" s="1"/>
      <x:c r="V247" s="1"/>
      <x:c r="W247" s="1"/>
      <x:c r="X247" s="1"/>
      <x:c r="Y247" s="1"/>
    </x:row>
    <x:row r="248">
      <x:c r="A248" s="8" t="str">
        <x:v>SYN-LN-00241</x:v>
      </x:c>
      <x:c r="B248" s="8" t="str">
        <x:v>SYN-OB-0232</x:v>
      </x:c>
      <x:c r="C248" s="8" t="str">
        <x:v>Riverton Inc. 232</x:v>
      </x:c>
      <x:c r="D248" s="9" t="n">
        <x:v>1182000</x:v>
      </x:c>
      <x:c r="E248" s="8" t="str">
        <x:v>B</x:v>
      </x:c>
      <x:c r="F248" s="8" t="str">
        <x:v>Auto Components</x:v>
      </x:c>
      <x:c r="G248" s="8" t="str">
        <x:v>United States</x:v>
      </x:c>
      <x:c r="H248" s="8" t="str">
        <x:v>1st Lien</x:v>
      </x:c>
      <x:c r="I248" s="8" t="str">
        <x:v>Floating</x:v>
      </x:c>
      <x:c r="J248" s="8" t="n">
        <x:v>270</x:v>
      </x:c>
      <x:c r="K248" s="10"/>
      <x:c r="L248" s="8" t="n">
        <x:v>0</x:v>
      </x:c>
      <x:c r="M248" s="11" t="n">
        <x:v>48898</x:v>
      </x:c>
      <x:c r="N248" s="10" t="n">
        <x:v>0.415</x:v>
      </x:c>
      <x:c r="O248" s="12" t="n">
        <x:v>101.375</x:v>
      </x:c>
      <x:c r="P248" s="13" t="n">
        <x:v>4</x:v>
      </x:c>
      <x:c r="Q248" s="8" t="str">
        <x:v>USD</x:v>
      </x:c>
      <x:c r="R248" s="8" t="str">
        <x:v>SOFR</x:v>
      </x:c>
      <x:c r="S248" s="1"/>
      <x:c r="T248" s="1"/>
      <x:c r="U248" s="1"/>
      <x:c r="V248" s="1"/>
      <x:c r="W248" s="1"/>
      <x:c r="X248" s="1"/>
      <x:c r="Y248" s="1"/>
    </x:row>
    <x:row r="249">
      <x:c r="A249" s="8" t="str">
        <x:v>SYN-LN-00242</x:v>
      </x:c>
      <x:c r="B249" s="8" t="str">
        <x:v>SYN-OB-0233</x:v>
      </x:c>
      <x:c r="C249" s="8" t="str">
        <x:v>Silver Corp. 233</x:v>
      </x:c>
      <x:c r="D249" s="9" t="n">
        <x:v>1185000</x:v>
      </x:c>
      <x:c r="E249" s="8" t="str">
        <x:v>B</x:v>
      </x:c>
      <x:c r="F249" s="8" t="str">
        <x:v>Healthcare Providers &amp; Services</x:v>
      </x:c>
      <x:c r="G249" s="8" t="str">
        <x:v>United States</x:v>
      </x:c>
      <x:c r="H249" s="8" t="str">
        <x:v>1st Lien</x:v>
      </x:c>
      <x:c r="I249" s="8" t="str">
        <x:v>Floating</x:v>
      </x:c>
      <x:c r="J249" s="8" t="n">
        <x:v>195</x:v>
      </x:c>
      <x:c r="K249" s="10"/>
      <x:c r="L249" s="8" t="n">
        <x:v>0</x:v>
      </x:c>
      <x:c r="M249" s="11" t="n">
        <x:v>48228</x:v>
      </x:c>
      <x:c r="N249" s="10" t="n">
        <x:v>0.375</x:v>
      </x:c>
      <x:c r="O249" s="12" t="n">
        <x:v>98.5</x:v>
      </x:c>
      <x:c r="P249" s="13" t="n">
        <x:v>4</x:v>
      </x:c>
      <x:c r="Q249" s="8" t="str">
        <x:v>USD</x:v>
      </x:c>
      <x:c r="R249" s="8" t="str">
        <x:v>SOFR</x:v>
      </x:c>
      <x:c r="S249" s="1"/>
      <x:c r="T249" s="1"/>
      <x:c r="U249" s="1"/>
      <x:c r="V249" s="1"/>
      <x:c r="W249" s="1"/>
      <x:c r="X249" s="1"/>
      <x:c r="Y249" s="1"/>
    </x:row>
    <x:row r="250">
      <x:c r="A250" s="8" t="str">
        <x:v>SYN-LN-00243</x:v>
      </x:c>
      <x:c r="B250" s="8" t="str">
        <x:v>SYN-OB-0234</x:v>
      </x:c>
      <x:c r="C250" s="8" t="str">
        <x:v>Stonebridge Group 234</x:v>
      </x:c>
      <x:c r="D250" s="9" t="n">
        <x:v>1182000</x:v>
      </x:c>
      <x:c r="E250" s="8" t="str">
        <x:v>B-</x:v>
      </x:c>
      <x:c r="F250" s="8" t="str">
        <x:v>Machinery</x:v>
      </x:c>
      <x:c r="G250" s="8" t="str">
        <x:v>United States</x:v>
      </x:c>
      <x:c r="H250" s="8" t="str">
        <x:v>1st Lien</x:v>
      </x:c>
      <x:c r="I250" s="8" t="str">
        <x:v>Floating</x:v>
      </x:c>
      <x:c r="J250" s="8" t="n">
        <x:v>280</x:v>
      </x:c>
      <x:c r="K250" s="10"/>
      <x:c r="L250" s="8" t="n">
        <x:v>0</x:v>
      </x:c>
      <x:c r="M250" s="11" t="n">
        <x:v>47966</x:v>
      </x:c>
      <x:c r="N250" s="10" t="n">
        <x:v>0.315</x:v>
      </x:c>
      <x:c r="O250" s="12" t="n">
        <x:v>98</x:v>
      </x:c>
      <x:c r="P250" s="13" t="n">
        <x:v>4</x:v>
      </x:c>
      <x:c r="Q250" s="8" t="str">
        <x:v>USD</x:v>
      </x:c>
      <x:c r="R250" s="8" t="str">
        <x:v>SOFR</x:v>
      </x:c>
      <x:c r="S250" s="1"/>
      <x:c r="T250" s="1"/>
      <x:c r="U250" s="1"/>
      <x:c r="V250" s="1"/>
      <x:c r="W250" s="1"/>
      <x:c r="X250" s="1"/>
      <x:c r="Y250" s="1"/>
    </x:row>
    <x:row r="251">
      <x:c r="A251" s="8" t="str">
        <x:v>SYN-LN-00244</x:v>
      </x:c>
      <x:c r="B251" s="8" t="str">
        <x:v>SYN-OB-0235</x:v>
      </x:c>
      <x:c r="C251" s="8" t="str">
        <x:v>Summit LLC 235</x:v>
      </x:c>
      <x:c r="D251" s="9" t="n">
        <x:v>1182000</x:v>
      </x:c>
      <x:c r="E251" s="8" t="str">
        <x:v>B-</x:v>
      </x:c>
      <x:c r="F251" s="8" t="str">
        <x:v>Software</x:v>
      </x:c>
      <x:c r="G251" s="8" t="str">
        <x:v>United States</x:v>
      </x:c>
      <x:c r="H251" s="8" t="str">
        <x:v>1st Lien</x:v>
      </x:c>
      <x:c r="I251" s="8" t="str">
        <x:v>Floating</x:v>
      </x:c>
      <x:c r="J251" s="8" t="n">
        <x:v>275</x:v>
      </x:c>
      <x:c r="K251" s="10"/>
      <x:c r="L251" s="8" t="n">
        <x:v>0</x:v>
      </x:c>
      <x:c r="M251" s="11" t="n">
        <x:v>47618</x:v>
      </x:c>
      <x:c r="N251" s="10" t="n">
        <x:v>0.41</x:v>
      </x:c>
      <x:c r="O251" s="12" t="n">
        <x:v>99.375</x:v>
      </x:c>
      <x:c r="P251" s="13" t="n">
        <x:v>4</x:v>
      </x:c>
      <x:c r="Q251" s="8" t="str">
        <x:v>USD</x:v>
      </x:c>
      <x:c r="R251" s="8" t="str">
        <x:v>SOFR</x:v>
      </x:c>
      <x:c r="S251" s="1"/>
      <x:c r="T251" s="1"/>
      <x:c r="U251" s="1"/>
      <x:c r="V251" s="1"/>
      <x:c r="W251" s="1"/>
      <x:c r="X251" s="1"/>
      <x:c r="Y251" s="1"/>
    </x:row>
    <x:row r="252">
      <x:c r="A252" s="8" t="str">
        <x:v>SYN-LN-00245</x:v>
      </x:c>
      <x:c r="B252" s="8" t="str">
        <x:v>SYN-OB-0236</x:v>
      </x:c>
      <x:c r="C252" s="8" t="str">
        <x:v>Timber Holdings 236</x:v>
      </x:c>
      <x:c r="D252" s="9" t="n">
        <x:v>1182000</x:v>
      </x:c>
      <x:c r="E252" s="8" t="str">
        <x:v>BB+</x:v>
      </x:c>
      <x:c r="F252" s="8" t="str">
        <x:v>Transportation Infrastructure</x:v>
      </x:c>
      <x:c r="G252" s="8" t="str">
        <x:v>United States</x:v>
      </x:c>
      <x:c r="H252" s="8" t="str">
        <x:v>1st Lien</x:v>
      </x:c>
      <x:c r="I252" s="8" t="str">
        <x:v>Floating</x:v>
      </x:c>
      <x:c r="J252" s="8" t="n">
        <x:v>180</x:v>
      </x:c>
      <x:c r="K252" s="10"/>
      <x:c r="L252" s="8" t="n">
        <x:v>0</x:v>
      </x:c>
      <x:c r="M252" s="11" t="n">
        <x:v>48106</x:v>
      </x:c>
      <x:c r="N252" s="10" t="n">
        <x:v>0.435</x:v>
      </x:c>
      <x:c r="O252" s="12" t="n">
        <x:v>99.375</x:v>
      </x:c>
      <x:c r="P252" s="13" t="n">
        <x:v>4</x:v>
      </x:c>
      <x:c r="Q252" s="8" t="str">
        <x:v>USD</x:v>
      </x:c>
      <x:c r="R252" s="8" t="str">
        <x:v>SOFR</x:v>
      </x:c>
      <x:c r="S252" s="1"/>
      <x:c r="T252" s="1"/>
      <x:c r="U252" s="1"/>
      <x:c r="V252" s="1"/>
      <x:c r="W252" s="1"/>
      <x:c r="X252" s="1"/>
      <x:c r="Y252" s="1"/>
    </x:row>
    <x:row r="253">
      <x:c r="A253" s="8" t="str">
        <x:v>SYN-LN-00246</x:v>
      </x:c>
      <x:c r="B253" s="8" t="str">
        <x:v>SYN-OB-0237</x:v>
      </x:c>
      <x:c r="C253" s="8" t="str">
        <x:v>Westhaven Inc. 237</x:v>
      </x:c>
      <x:c r="D253" s="9" t="n">
        <x:v>1182000</x:v>
      </x:c>
      <x:c r="E253" s="8" t="str">
        <x:v>B</x:v>
      </x:c>
      <x:c r="F253" s="8" t="str">
        <x:v>Healthcare Providers &amp; Services</x:v>
      </x:c>
      <x:c r="G253" s="8" t="str">
        <x:v>United States</x:v>
      </x:c>
      <x:c r="H253" s="8" t="str">
        <x:v>1st Lien</x:v>
      </x:c>
      <x:c r="I253" s="8" t="str">
        <x:v>Floating</x:v>
      </x:c>
      <x:c r="J253" s="8" t="n">
        <x:v>390</x:v>
      </x:c>
      <x:c r="K253" s="10"/>
      <x:c r="L253" s="8" t="n">
        <x:v>0</x:v>
      </x:c>
      <x:c r="M253" s="11" t="n">
        <x:v>48684</x:v>
      </x:c>
      <x:c r="N253" s="10" t="n">
        <x:v>0.36</x:v>
      </x:c>
      <x:c r="O253" s="12" t="n">
        <x:v>99.125</x:v>
      </x:c>
      <x:c r="P253" s="13" t="n">
        <x:v>4</x:v>
      </x:c>
      <x:c r="Q253" s="8" t="str">
        <x:v>USD</x:v>
      </x:c>
      <x:c r="R253" s="8" t="str">
        <x:v>SOFR</x:v>
      </x:c>
      <x:c r="S253" s="1"/>
      <x:c r="T253" s="1"/>
      <x:c r="U253" s="1"/>
      <x:c r="V253" s="1"/>
      <x:c r="W253" s="1"/>
      <x:c r="X253" s="1"/>
      <x:c r="Y253" s="1"/>
    </x:row>
    <x:row r="254">
      <x:c r="A254" s="8" t="str">
        <x:v>SYN-LN-00247</x:v>
      </x:c>
      <x:c r="B254" s="8" t="str">
        <x:v>SYN-OB-0238</x:v>
      </x:c>
      <x:c r="C254" s="8" t="str">
        <x:v>Willow Corp. 238</x:v>
      </x:c>
      <x:c r="D254" s="9" t="n">
        <x:v>1182000</x:v>
      </x:c>
      <x:c r="E254" s="8" t="str">
        <x:v>B</x:v>
      </x:c>
      <x:c r="F254" s="8" t="str">
        <x:v>Chemicals</x:v>
      </x:c>
      <x:c r="G254" s="8" t="str">
        <x:v>United States</x:v>
      </x:c>
      <x:c r="H254" s="8" t="str">
        <x:v>1st Lien</x:v>
      </x:c>
      <x:c r="I254" s="8" t="str">
        <x:v>Floating</x:v>
      </x:c>
      <x:c r="J254" s="8" t="n">
        <x:v>310</x:v>
      </x:c>
      <x:c r="K254" s="10"/>
      <x:c r="L254" s="8" t="n">
        <x:v>0</x:v>
      </x:c>
      <x:c r="M254" s="11" t="n">
        <x:v>47968</x:v>
      </x:c>
      <x:c r="N254" s="10" t="n">
        <x:v>0.405</x:v>
      </x:c>
      <x:c r="O254" s="12" t="n">
        <x:v>100.75</x:v>
      </x:c>
      <x:c r="P254" s="13" t="n">
        <x:v>4</x:v>
      </x:c>
      <x:c r="Q254" s="8" t="str">
        <x:v>USD</x:v>
      </x:c>
      <x:c r="R254" s="8" t="str">
        <x:v>SOFR</x:v>
      </x:c>
      <x:c r="S254" s="1"/>
      <x:c r="T254" s="1"/>
      <x:c r="U254" s="1"/>
      <x:c r="V254" s="1"/>
      <x:c r="W254" s="1"/>
      <x:c r="X254" s="1"/>
      <x:c r="Y254" s="1"/>
    </x:row>
    <x:row r="255">
      <x:c r="A255" s="8" t="str">
        <x:v>SYN-LN-00248</x:v>
      </x:c>
      <x:c r="B255" s="8" t="str">
        <x:v>SYN-OB-0239</x:v>
      </x:c>
      <x:c r="C255" s="8" t="str">
        <x:v>Windward Group 239</x:v>
      </x:c>
      <x:c r="D255" s="9" t="n">
        <x:v>1182000</x:v>
      </x:c>
      <x:c r="E255" s="8" t="str">
        <x:v>B-</x:v>
      </x:c>
      <x:c r="F255" s="8" t="str">
        <x:v>Software</x:v>
      </x:c>
      <x:c r="G255" s="8" t="str">
        <x:v>United States</x:v>
      </x:c>
      <x:c r="H255" s="8" t="str">
        <x:v>1st Lien</x:v>
      </x:c>
      <x:c r="I255" s="8" t="str">
        <x:v>Floating</x:v>
      </x:c>
      <x:c r="J255" s="8" t="n">
        <x:v>385</x:v>
      </x:c>
      <x:c r="K255" s="10"/>
      <x:c r="L255" s="8" t="n">
        <x:v>0</x:v>
      </x:c>
      <x:c r="M255" s="11" t="n">
        <x:v>48850</x:v>
      </x:c>
      <x:c r="N255" s="10" t="n">
        <x:v>0.49</x:v>
      </x:c>
      <x:c r="O255" s="12" t="n">
        <x:v>100.375</x:v>
      </x:c>
      <x:c r="P255" s="13" t="n">
        <x:v>4</x:v>
      </x:c>
      <x:c r="Q255" s="8" t="str">
        <x:v>USD</x:v>
      </x:c>
      <x:c r="R255" s="8" t="str">
        <x:v>SOFR</x:v>
      </x:c>
      <x:c r="S255" s="1"/>
      <x:c r="T255" s="1"/>
      <x:c r="U255" s="1"/>
      <x:c r="V255" s="1"/>
      <x:c r="W255" s="1"/>
      <x:c r="X255" s="1"/>
      <x:c r="Y255" s="1"/>
    </x:row>
    <x:row r="256">
      <x:c r="A256" s="8" t="str">
        <x:v>SYN-LN-00249</x:v>
      </x:c>
      <x:c r="B256" s="8" t="str">
        <x:v>SYN-OB-0240</x:v>
      </x:c>
      <x:c r="C256" s="8" t="str">
        <x:v>Woodland LLC 240</x:v>
      </x:c>
      <x:c r="D256" s="9" t="n">
        <x:v>1182000</x:v>
      </x:c>
      <x:c r="E256" s="8" t="str">
        <x:v>B-</x:v>
      </x:c>
      <x:c r="F256" s="8" t="str">
        <x:v>Software</x:v>
      </x:c>
      <x:c r="G256" s="8" t="str">
        <x:v>United States</x:v>
      </x:c>
      <x:c r="H256" s="8" t="str">
        <x:v>1st Lien</x:v>
      </x:c>
      <x:c r="I256" s="8" t="str">
        <x:v>Floating</x:v>
      </x:c>
      <x:c r="J256" s="8" t="n">
        <x:v>330</x:v>
      </x:c>
      <x:c r="K256" s="10"/>
      <x:c r="L256" s="8" t="n">
        <x:v>0</x:v>
      </x:c>
      <x:c r="M256" s="11" t="n">
        <x:v>47542</x:v>
      </x:c>
      <x:c r="N256" s="10" t="n">
        <x:v>0.375</x:v>
      </x:c>
      <x:c r="O256" s="12" t="n">
        <x:v>97.75</x:v>
      </x:c>
      <x:c r="P256" s="13" t="n">
        <x:v>4</x:v>
      </x:c>
      <x:c r="Q256" s="8" t="str">
        <x:v>USD</x:v>
      </x:c>
      <x:c r="R256" s="8" t="str">
        <x:v>SOFR</x:v>
      </x:c>
      <x:c r="S256" s="1"/>
      <x:c r="T256" s="1"/>
      <x:c r="U256" s="1"/>
      <x:c r="V256" s="1"/>
      <x:c r="W256" s="1"/>
      <x:c r="X256" s="1"/>
      <x:c r="Y256" s="1"/>
    </x:row>
    <x:row r="257">
      <x:c r="A257" s="8" t="str">
        <x:v>SYN-LN-00250</x:v>
      </x:c>
      <x:c r="B257" s="8" t="str">
        <x:v>SYN-OB-0241</x:v>
      </x:c>
      <x:c r="C257" s="8" t="str">
        <x:v>Alder Holdings 241</x:v>
      </x:c>
      <x:c r="D257" s="9" t="n">
        <x:v>1182000</x:v>
      </x:c>
      <x:c r="E257" s="8" t="str">
        <x:v>B-</x:v>
      </x:c>
      <x:c r="F257" s="8" t="str">
        <x:v>Software</x:v>
      </x:c>
      <x:c r="G257" s="8" t="str">
        <x:v>United States</x:v>
      </x:c>
      <x:c r="H257" s="8" t="str">
        <x:v>1st Lien</x:v>
      </x:c>
      <x:c r="I257" s="8" t="str">
        <x:v>Floating</x:v>
      </x:c>
      <x:c r="J257" s="8" t="n">
        <x:v>345</x:v>
      </x:c>
      <x:c r="K257" s="10"/>
      <x:c r="L257" s="8" t="n">
        <x:v>0</x:v>
      </x:c>
      <x:c r="M257" s="11" t="n">
        <x:v>47847</x:v>
      </x:c>
      <x:c r="N257" s="10" t="n">
        <x:v>0.42</x:v>
      </x:c>
      <x:c r="O257" s="12" t="n">
        <x:v>101.5</x:v>
      </x:c>
      <x:c r="P257" s="13" t="n">
        <x:v>4</x:v>
      </x:c>
      <x:c r="Q257" s="8" t="str">
        <x:v>USD</x:v>
      </x:c>
      <x:c r="R257" s="8" t="str">
        <x:v>SOFR</x:v>
      </x:c>
      <x:c r="S257" s="1"/>
      <x:c r="T257" s="1"/>
      <x:c r="U257" s="1"/>
      <x:c r="V257" s="1"/>
      <x:c r="W257" s="1"/>
      <x:c r="X257" s="1"/>
      <x:c r="Y257" s="1"/>
    </x:row>
    <x:row r="258">
      <x:c r="A258" s="8" t="str">
        <x:v>SYN-LN-00251</x:v>
      </x:c>
      <x:c r="B258" s="8" t="str">
        <x:v>SYN-OB-0242</x:v>
      </x:c>
      <x:c r="C258" s="8" t="str">
        <x:v>Amber Inc. 242</x:v>
      </x:c>
      <x:c r="D258" s="9" t="n">
        <x:v>1182000</x:v>
      </x:c>
      <x:c r="E258" s="8" t="str">
        <x:v>B+</x:v>
      </x:c>
      <x:c r="F258" s="8" t="str">
        <x:v>Media</x:v>
      </x:c>
      <x:c r="G258" s="8" t="str">
        <x:v>United States</x:v>
      </x:c>
      <x:c r="H258" s="8" t="str">
        <x:v>1st Lien</x:v>
      </x:c>
      <x:c r="I258" s="8" t="str">
        <x:v>Floating</x:v>
      </x:c>
      <x:c r="J258" s="8" t="n">
        <x:v>280</x:v>
      </x:c>
      <x:c r="K258" s="10"/>
      <x:c r="L258" s="8" t="n">
        <x:v>0</x:v>
      </x:c>
      <x:c r="M258" s="11" t="n">
        <x:v>48288</x:v>
      </x:c>
      <x:c r="N258" s="10" t="n">
        <x:v>0.31</x:v>
      </x:c>
      <x:c r="O258" s="12" t="n">
        <x:v>99</x:v>
      </x:c>
      <x:c r="P258" s="13" t="n">
        <x:v>4</x:v>
      </x:c>
      <x:c r="Q258" s="8" t="str">
        <x:v>USD</x:v>
      </x:c>
      <x:c r="R258" s="8" t="str">
        <x:v>SOFR</x:v>
      </x:c>
      <x:c r="S258" s="1"/>
      <x:c r="T258" s="1"/>
      <x:c r="U258" s="1"/>
      <x:c r="V258" s="1"/>
      <x:c r="W258" s="1"/>
      <x:c r="X258" s="1"/>
      <x:c r="Y258" s="1"/>
    </x:row>
    <x:row r="259">
      <x:c r="A259" s="8" t="str">
        <x:v>SYN-LN-00252</x:v>
      </x:c>
      <x:c r="B259" s="8" t="str">
        <x:v>SYN-OB-0243</x:v>
      </x:c>
      <x:c r="C259" s="8" t="str">
        <x:v>Arbor Corp. 243</x:v>
      </x:c>
      <x:c r="D259" s="9" t="n">
        <x:v>1202000</x:v>
      </x:c>
      <x:c r="E259" s="8" t="str">
        <x:v>B</x:v>
      </x:c>
      <x:c r="F259" s="8" t="str">
        <x:v>Healthcare Providers &amp; Services</x:v>
      </x:c>
      <x:c r="G259" s="8" t="str">
        <x:v>United States</x:v>
      </x:c>
      <x:c r="H259" s="8" t="str">
        <x:v>1st Lien</x:v>
      </x:c>
      <x:c r="I259" s="8" t="str">
        <x:v>Floating</x:v>
      </x:c>
      <x:c r="J259" s="8" t="n">
        <x:v>395</x:v>
      </x:c>
      <x:c r="K259" s="10"/>
      <x:c r="L259" s="8" t="n">
        <x:v>0</x:v>
      </x:c>
      <x:c r="M259" s="11" t="n">
        <x:v>48819</x:v>
      </x:c>
      <x:c r="N259" s="10" t="n">
        <x:v>0.385</x:v>
      </x:c>
      <x:c r="O259" s="12" t="n">
        <x:v>100.125</x:v>
      </x:c>
      <x:c r="P259" s="13" t="n">
        <x:v>4</x:v>
      </x:c>
      <x:c r="Q259" s="8" t="str">
        <x:v>USD</x:v>
      </x:c>
      <x:c r="R259" s="8" t="str">
        <x:v>SOFR</x:v>
      </x:c>
      <x:c r="S259" s="1"/>
      <x:c r="T259" s="1"/>
      <x:c r="U259" s="1"/>
      <x:c r="V259" s="1"/>
      <x:c r="W259" s="1"/>
      <x:c r="X259" s="1"/>
      <x:c r="Y259" s="1"/>
    </x:row>
    <x:row r="260">
      <x:c r="A260" s="8" t="str">
        <x:v>SYN-LN-00253</x:v>
      </x:c>
      <x:c r="B260" s="8" t="str">
        <x:v>SYN-OB-0244</x:v>
      </x:c>
      <x:c r="C260" s="8" t="str">
        <x:v>Atlas Group 244</x:v>
      </x:c>
      <x:c r="D260" s="9" t="n">
        <x:v>1182000</x:v>
      </x:c>
      <x:c r="E260" s="8" t="str">
        <x:v>B</x:v>
      </x:c>
      <x:c r="F260" s="8" t="str">
        <x:v>Healthcare Providers &amp; Services</x:v>
      </x:c>
      <x:c r="G260" s="8" t="str">
        <x:v>United States</x:v>
      </x:c>
      <x:c r="H260" s="8" t="str">
        <x:v>1st Lien</x:v>
      </x:c>
      <x:c r="I260" s="8" t="str">
        <x:v>Floating</x:v>
      </x:c>
      <x:c r="J260" s="8" t="n">
        <x:v>215</x:v>
      </x:c>
      <x:c r="K260" s="10"/>
      <x:c r="L260" s="8" t="n">
        <x:v>0</x:v>
      </x:c>
      <x:c r="M260" s="11" t="n">
        <x:v>48197</x:v>
      </x:c>
      <x:c r="N260" s="10" t="n">
        <x:v>0.265</x:v>
      </x:c>
      <x:c r="O260" s="12" t="n">
        <x:v>100.875</x:v>
      </x:c>
      <x:c r="P260" s="13" t="n">
        <x:v>4</x:v>
      </x:c>
      <x:c r="Q260" s="8" t="str">
        <x:v>USD</x:v>
      </x:c>
      <x:c r="R260" s="8" t="str">
        <x:v>SOFR</x:v>
      </x:c>
      <x:c r="S260" s="1"/>
      <x:c r="T260" s="1"/>
      <x:c r="U260" s="1"/>
      <x:c r="V260" s="1"/>
      <x:c r="W260" s="1"/>
      <x:c r="X260" s="1"/>
      <x:c r="Y260" s="1"/>
    </x:row>
    <x:row r="261">
      <x:c r="A261" s="8" t="str">
        <x:v>SYN-LN-00254</x:v>
      </x:c>
      <x:c r="B261" s="8" t="str">
        <x:v>SYN-OB-0245</x:v>
      </x:c>
      <x:c r="C261" s="8" t="str">
        <x:v>Beacon LLC 245</x:v>
      </x:c>
      <x:c r="D261" s="9" t="n">
        <x:v>630000</x:v>
      </x:c>
      <x:c r="E261" s="8" t="str">
        <x:v>B-</x:v>
      </x:c>
      <x:c r="F261" s="8" t="str">
        <x:v>Diversified Telecommunication Services</x:v>
      </x:c>
      <x:c r="G261" s="8" t="str">
        <x:v>Switzerland</x:v>
      </x:c>
      <x:c r="H261" s="8" t="str">
        <x:v>1st Lien</x:v>
      </x:c>
      <x:c r="I261" s="8" t="str">
        <x:v>Fixed</x:v>
      </x:c>
      <x:c r="J261" s="8"/>
      <x:c r="K261" s="10" t="n">
        <x:v>0.033625</x:v>
      </x:c>
      <x:c r="L261" s="8"/>
      <x:c r="M261" s="11" t="n">
        <x:v>47966</x:v>
      </x:c>
      <x:c r="N261" s="10" t="n">
        <x:v>0.4</x:v>
      </x:c>
      <x:c r="O261" s="12" t="n">
        <x:v>100.5</x:v>
      </x:c>
      <x:c r="P261" s="13" t="n">
        <x:v>2</x:v>
      </x:c>
      <x:c r="Q261" s="8" t="str">
        <x:v>USD</x:v>
      </x:c>
      <x:c r="R261" s="8"/>
      <x:c r="S261" s="1"/>
      <x:c r="T261" s="1"/>
      <x:c r="U261" s="1"/>
      <x:c r="V261" s="1"/>
      <x:c r="W261" s="1"/>
      <x:c r="X261" s="1"/>
      <x:c r="Y261" s="1"/>
    </x:row>
    <x:row r="262">
      <x:c r="A262" s="8" t="str">
        <x:v>SYN-LN-00255</x:v>
      </x:c>
      <x:c r="B262" s="8" t="str">
        <x:v>SYN-OB-0246</x:v>
      </x:c>
      <x:c r="C262" s="8" t="str">
        <x:v>Bluewater Holdings 246</x:v>
      </x:c>
      <x:c r="D262" s="9" t="n">
        <x:v>1182000</x:v>
      </x:c>
      <x:c r="E262" s="8" t="str">
        <x:v>BB</x:v>
      </x:c>
      <x:c r="F262" s="8" t="str">
        <x:v>Trading Companies &amp; Distributors</x:v>
      </x:c>
      <x:c r="G262" s="8" t="str">
        <x:v>United States</x:v>
      </x:c>
      <x:c r="H262" s="8" t="str">
        <x:v>1st Lien</x:v>
      </x:c>
      <x:c r="I262" s="8" t="str">
        <x:v>Floating</x:v>
      </x:c>
      <x:c r="J262" s="8" t="n">
        <x:v>310</x:v>
      </x:c>
      <x:c r="K262" s="10"/>
      <x:c r="L262" s="8" t="n">
        <x:v>0</x:v>
      </x:c>
      <x:c r="M262" s="11" t="n">
        <x:v>48485</x:v>
      </x:c>
      <x:c r="N262" s="10" t="n">
        <x:v>0.485</x:v>
      </x:c>
      <x:c r="O262" s="12" t="n">
        <x:v>101.5</x:v>
      </x:c>
      <x:c r="P262" s="13" t="n">
        <x:v>4</x:v>
      </x:c>
      <x:c r="Q262" s="8" t="str">
        <x:v>USD</x:v>
      </x:c>
      <x:c r="R262" s="8" t="str">
        <x:v>SOFR</x:v>
      </x:c>
      <x:c r="S262" s="1"/>
      <x:c r="T262" s="1"/>
      <x:c r="U262" s="1"/>
      <x:c r="V262" s="1"/>
      <x:c r="W262" s="1"/>
      <x:c r="X262" s="1"/>
      <x:c r="Y262" s="1"/>
    </x:row>
    <x:row r="263">
      <x:c r="A263" s="8" t="str">
        <x:v>SYN-LN-00256</x:v>
      </x:c>
      <x:c r="B263" s="8" t="str">
        <x:v>SYN-OB-0247</x:v>
      </x:c>
      <x:c r="C263" s="8" t="str">
        <x:v>Bracken Inc. 247</x:v>
      </x:c>
      <x:c r="D263" s="9" t="n">
        <x:v>1182000</x:v>
      </x:c>
      <x:c r="E263" s="8" t="str">
        <x:v>B</x:v>
      </x:c>
      <x:c r="F263" s="8" t="str">
        <x:v>Aerospace &amp; Defense</x:v>
      </x:c>
      <x:c r="G263" s="8" t="str">
        <x:v>United States</x:v>
      </x:c>
      <x:c r="H263" s="8" t="str">
        <x:v>1st Lien</x:v>
      </x:c>
      <x:c r="I263" s="8" t="str">
        <x:v>Floating</x:v>
      </x:c>
      <x:c r="J263" s="8" t="n">
        <x:v>395</x:v>
      </x:c>
      <x:c r="K263" s="10"/>
      <x:c r="L263" s="8" t="n">
        <x:v>0</x:v>
      </x:c>
      <x:c r="M263" s="11" t="n">
        <x:v>47601</x:v>
      </x:c>
      <x:c r="N263" s="10" t="n">
        <x:v>0.42</x:v>
      </x:c>
      <x:c r="O263" s="12" t="n">
        <x:v>100.25</x:v>
      </x:c>
      <x:c r="P263" s="13" t="n">
        <x:v>4</x:v>
      </x:c>
      <x:c r="Q263" s="8" t="str">
        <x:v>USD</x:v>
      </x:c>
      <x:c r="R263" s="8" t="str">
        <x:v>SOFR</x:v>
      </x:c>
      <x:c r="S263" s="1"/>
      <x:c r="T263" s="1"/>
      <x:c r="U263" s="1"/>
      <x:c r="V263" s="1"/>
      <x:c r="W263" s="1"/>
      <x:c r="X263" s="1"/>
      <x:c r="Y263" s="1"/>
    </x:row>
    <x:row r="264">
      <x:c r="A264" s="8" t="str">
        <x:v>SYN-LN-00257</x:v>
      </x:c>
      <x:c r="B264" s="8" t="str">
        <x:v>SYN-OB-0248</x:v>
      </x:c>
      <x:c r="C264" s="8" t="str">
        <x:v>Cedar Corp. 248</x:v>
      </x:c>
      <x:c r="D264" s="9" t="n">
        <x:v>630000</x:v>
      </x:c>
      <x:c r="E264" s="8" t="str">
        <x:v>BB-</x:v>
      </x:c>
      <x:c r="F264" s="8" t="str">
        <x:v>Beverages</x:v>
      </x:c>
      <x:c r="G264" s="8" t="str">
        <x:v>Germany</x:v>
      </x:c>
      <x:c r="H264" s="8" t="str">
        <x:v>1st Lien</x:v>
      </x:c>
      <x:c r="I264" s="8" t="str">
        <x:v>Floating</x:v>
      </x:c>
      <x:c r="J264" s="8" t="n">
        <x:v>235</x:v>
      </x:c>
      <x:c r="K264" s="10"/>
      <x:c r="L264" s="8" t="n">
        <x:v>0</x:v>
      </x:c>
      <x:c r="M264" s="11" t="n">
        <x:v>48666</x:v>
      </x:c>
      <x:c r="N264" s="10" t="n">
        <x:v>0.57</x:v>
      </x:c>
      <x:c r="O264" s="12" t="n">
        <x:v>100.625</x:v>
      </x:c>
      <x:c r="P264" s="13" t="n">
        <x:v>4</x:v>
      </x:c>
      <x:c r="Q264" s="8" t="str">
        <x:v>USD</x:v>
      </x:c>
      <x:c r="R264" s="8" t="str">
        <x:v>SOFR</x:v>
      </x:c>
      <x:c r="S264" s="1"/>
      <x:c r="T264" s="1"/>
      <x:c r="U264" s="1"/>
      <x:c r="V264" s="1"/>
      <x:c r="W264" s="1"/>
      <x:c r="X264" s="1"/>
      <x:c r="Y264" s="1"/>
    </x:row>
    <x:row r="265">
      <x:c r="A265" s="8" t="str">
        <x:v>SYN-LN-00258</x:v>
      </x:c>
      <x:c r="B265" s="8" t="str">
        <x:v>SYN-OB-0249</x:v>
      </x:c>
      <x:c r="C265" s="8" t="str">
        <x:v>Cobalt Group 249</x:v>
      </x:c>
      <x:c r="D265" s="9" t="n">
        <x:v>1182000</x:v>
      </x:c>
      <x:c r="E265" s="8" t="str">
        <x:v>BB-</x:v>
      </x:c>
      <x:c r="F265" s="8" t="str">
        <x:v>Hotels, Restaurants &amp; Leisure</x:v>
      </x:c>
      <x:c r="G265" s="8" t="str">
        <x:v>United States</x:v>
      </x:c>
      <x:c r="H265" s="8" t="str">
        <x:v>1st Lien</x:v>
      </x:c>
      <x:c r="I265" s="8" t="str">
        <x:v>Floating</x:v>
      </x:c>
      <x:c r="J265" s="8" t="n">
        <x:v>290</x:v>
      </x:c>
      <x:c r="K265" s="10"/>
      <x:c r="L265" s="8" t="n">
        <x:v>0</x:v>
      </x:c>
      <x:c r="M265" s="11" t="n">
        <x:v>48913</x:v>
      </x:c>
      <x:c r="N265" s="10" t="n">
        <x:v>0.45</x:v>
      </x:c>
      <x:c r="O265" s="12" t="n">
        <x:v>96.875</x:v>
      </x:c>
      <x:c r="P265" s="13" t="n">
        <x:v>4</x:v>
      </x:c>
      <x:c r="Q265" s="8" t="str">
        <x:v>USD</x:v>
      </x:c>
      <x:c r="R265" s="8" t="str">
        <x:v>SOFR</x:v>
      </x:c>
      <x:c r="S265" s="1"/>
      <x:c r="T265" s="1"/>
      <x:c r="U265" s="1"/>
      <x:c r="V265" s="1"/>
      <x:c r="W265" s="1"/>
      <x:c r="X265" s="1"/>
      <x:c r="Y265" s="1"/>
    </x:row>
    <x:row r="266">
      <x:c r="A266" s="8" t="str">
        <x:v>SYN-LN-00259</x:v>
      </x:c>
      <x:c r="B266" s="8" t="str">
        <x:v>SYN-OB-0250</x:v>
      </x:c>
      <x:c r="C266" s="8" t="str">
        <x:v>Copper LLC 250</x:v>
      </x:c>
      <x:c r="D266" s="9" t="n">
        <x:v>1182000</x:v>
      </x:c>
      <x:c r="E266" s="8" t="str">
        <x:v>B+</x:v>
      </x:c>
      <x:c r="F266" s="8" t="str">
        <x:v>Independent Power and Renewable Electricity Producers</x:v>
      </x:c>
      <x:c r="G266" s="8" t="str">
        <x:v>United States</x:v>
      </x:c>
      <x:c r="H266" s="8" t="str">
        <x:v>1st Lien</x:v>
      </x:c>
      <x:c r="I266" s="8" t="str">
        <x:v>Floating</x:v>
      </x:c>
      <x:c r="J266" s="8" t="n">
        <x:v>275</x:v>
      </x:c>
      <x:c r="K266" s="10"/>
      <x:c r="L266" s="8" t="n">
        <x:v>0</x:v>
      </x:c>
      <x:c r="M266" s="11" t="n">
        <x:v>49003</x:v>
      </x:c>
      <x:c r="N266" s="10" t="n">
        <x:v>0.2</x:v>
      </x:c>
      <x:c r="O266" s="12" t="n">
        <x:v>100.875</x:v>
      </x:c>
      <x:c r="P266" s="13" t="n">
        <x:v>4</x:v>
      </x:c>
      <x:c r="Q266" s="8" t="str">
        <x:v>USD</x:v>
      </x:c>
      <x:c r="R266" s="8" t="str">
        <x:v>SOFR</x:v>
      </x:c>
      <x:c r="S266" s="1"/>
      <x:c r="T266" s="1"/>
      <x:c r="U266" s="1"/>
      <x:c r="V266" s="1"/>
      <x:c r="W266" s="1"/>
      <x:c r="X266" s="1"/>
      <x:c r="Y266" s="1"/>
    </x:row>
    <x:row r="267">
      <x:c r="A267" s="8" t="str">
        <x:v>SYN-LN-00260</x:v>
      </x:c>
      <x:c r="B267" s="8" t="str">
        <x:v>SYN-OB-0251</x:v>
      </x:c>
      <x:c r="C267" s="8" t="str">
        <x:v>Crest Holdings 251</x:v>
      </x:c>
      <x:c r="D267" s="9" t="n">
        <x:v>630000</x:v>
      </x:c>
      <x:c r="E267" s="8" t="str">
        <x:v>BB</x:v>
      </x:c>
      <x:c r="F267" s="8" t="str">
        <x:v>Construction Materials</x:v>
      </x:c>
      <x:c r="G267" s="8" t="str">
        <x:v>Australia</x:v>
      </x:c>
      <x:c r="H267" s="8" t="str">
        <x:v>1st Lien</x:v>
      </x:c>
      <x:c r="I267" s="8" t="str">
        <x:v>Floating</x:v>
      </x:c>
      <x:c r="J267" s="8" t="n">
        <x:v>215</x:v>
      </x:c>
      <x:c r="K267" s="10"/>
      <x:c r="L267" s="8" t="n">
        <x:v>0</x:v>
      </x:c>
      <x:c r="M267" s="11" t="n">
        <x:v>48423</x:v>
      </x:c>
      <x:c r="N267" s="10" t="n">
        <x:v>0.485</x:v>
      </x:c>
      <x:c r="O267" s="12" t="n">
        <x:v>101.375</x:v>
      </x:c>
      <x:c r="P267" s="13" t="n">
        <x:v>4</x:v>
      </x:c>
      <x:c r="Q267" s="8" t="str">
        <x:v>USD</x:v>
      </x:c>
      <x:c r="R267" s="8" t="str">
        <x:v>SOFR</x:v>
      </x:c>
      <x:c r="S267" s="1"/>
      <x:c r="T267" s="1"/>
      <x:c r="U267" s="1"/>
      <x:c r="V267" s="1"/>
      <x:c r="W267" s="1"/>
      <x:c r="X267" s="1"/>
      <x:c r="Y267" s="1"/>
    </x:row>
    <x:row r="268">
      <x:c r="A268" s="8" t="str">
        <x:v>SYN-LN-00261</x:v>
      </x:c>
      <x:c r="B268" s="8" t="str">
        <x:v>SYN-OB-0252</x:v>
      </x:c>
      <x:c r="C268" s="8" t="str">
        <x:v>Duneland Inc. 252</x:v>
      </x:c>
      <x:c r="D268" s="9" t="n">
        <x:v>1182000</x:v>
      </x:c>
      <x:c r="E268" s="8" t="str">
        <x:v>BB-</x:v>
      </x:c>
      <x:c r="F268" s="8" t="str">
        <x:v>Oil, Gas &amp; Consumable Fuels</x:v>
      </x:c>
      <x:c r="G268" s="8" t="str">
        <x:v>United States</x:v>
      </x:c>
      <x:c r="H268" s="8" t="str">
        <x:v>1st Lien</x:v>
      </x:c>
      <x:c r="I268" s="8" t="str">
        <x:v>Floating</x:v>
      </x:c>
      <x:c r="J268" s="8" t="n">
        <x:v>200</x:v>
      </x:c>
      <x:c r="K268" s="10"/>
      <x:c r="L268" s="8" t="n">
        <x:v>0</x:v>
      </x:c>
      <x:c r="M268" s="11" t="n">
        <x:v>47832</x:v>
      </x:c>
      <x:c r="N268" s="10" t="n">
        <x:v>0.235</x:v>
      </x:c>
      <x:c r="O268" s="12" t="n">
        <x:v>101.5</x:v>
      </x:c>
      <x:c r="P268" s="13" t="n">
        <x:v>4</x:v>
      </x:c>
      <x:c r="Q268" s="8" t="str">
        <x:v>USD</x:v>
      </x:c>
      <x:c r="R268" s="8" t="str">
        <x:v>SOFR</x:v>
      </x:c>
      <x:c r="S268" s="1"/>
      <x:c r="T268" s="1"/>
      <x:c r="U268" s="1"/>
      <x:c r="V268" s="1"/>
      <x:c r="W268" s="1"/>
      <x:c r="X268" s="1"/>
      <x:c r="Y268" s="1"/>
    </x:row>
    <x:row r="269">
      <x:c r="A269" s="8" t="str">
        <x:v>SYN-LN-00262</x:v>
      </x:c>
      <x:c r="B269" s="8" t="str">
        <x:v>SYN-OB-0253</x:v>
      </x:c>
      <x:c r="C269" s="8" t="str">
        <x:v>Elmstone Corp. 253</x:v>
      </x:c>
      <x:c r="D269" s="9" t="n">
        <x:v>1182000</x:v>
      </x:c>
      <x:c r="E269" s="8" t="str">
        <x:v>BB</x:v>
      </x:c>
      <x:c r="F269" s="8" t="str">
        <x:v>Commercial Services &amp; Supplies</x:v>
      </x:c>
      <x:c r="G269" s="8" t="str">
        <x:v>United States</x:v>
      </x:c>
      <x:c r="H269" s="8" t="str">
        <x:v>1st Lien</x:v>
      </x:c>
      <x:c r="I269" s="8" t="str">
        <x:v>Floating</x:v>
      </x:c>
      <x:c r="J269" s="8" t="n">
        <x:v>310</x:v>
      </x:c>
      <x:c r="K269" s="10"/>
      <x:c r="L269" s="8" t="n">
        <x:v>0</x:v>
      </x:c>
      <x:c r="M269" s="11" t="n">
        <x:v>48136</x:v>
      </x:c>
      <x:c r="N269" s="10" t="n">
        <x:v>0.41</x:v>
      </x:c>
      <x:c r="O269" s="12" t="n">
        <x:v>101.5</x:v>
      </x:c>
      <x:c r="P269" s="13" t="n">
        <x:v>4</x:v>
      </x:c>
      <x:c r="Q269" s="8" t="str">
        <x:v>USD</x:v>
      </x:c>
      <x:c r="R269" s="8" t="str">
        <x:v>SOFR</x:v>
      </x:c>
      <x:c r="S269" s="1"/>
      <x:c r="T269" s="1"/>
      <x:c r="U269" s="1"/>
      <x:c r="V269" s="1"/>
      <x:c r="W269" s="1"/>
      <x:c r="X269" s="1"/>
      <x:c r="Y269" s="1"/>
    </x:row>
    <x:row r="270">
      <x:c r="A270" s="8" t="str">
        <x:v>SYN-LN-00263</x:v>
      </x:c>
      <x:c r="B270" s="8" t="str">
        <x:v>SYN-OB-0254</x:v>
      </x:c>
      <x:c r="C270" s="8" t="str">
        <x:v>Evergreen Group 254</x:v>
      </x:c>
      <x:c r="D270" s="9" t="n">
        <x:v>1182000</x:v>
      </x:c>
      <x:c r="E270" s="8" t="str">
        <x:v>B</x:v>
      </x:c>
      <x:c r="F270" s="8" t="str">
        <x:v>Software</x:v>
      </x:c>
      <x:c r="G270" s="8" t="str">
        <x:v>United States</x:v>
      </x:c>
      <x:c r="H270" s="8" t="str">
        <x:v>1st Lien</x:v>
      </x:c>
      <x:c r="I270" s="8" t="str">
        <x:v>Floating</x:v>
      </x:c>
      <x:c r="J270" s="8" t="n">
        <x:v>160</x:v>
      </x:c>
      <x:c r="K270" s="10"/>
      <x:c r="L270" s="8" t="n">
        <x:v>0</x:v>
      </x:c>
      <x:c r="M270" s="11" t="n">
        <x:v>48088</x:v>
      </x:c>
      <x:c r="N270" s="10" t="n">
        <x:v>0.325</x:v>
      </x:c>
      <x:c r="O270" s="12" t="n">
        <x:v>96.875</x:v>
      </x:c>
      <x:c r="P270" s="13" t="n">
        <x:v>4</x:v>
      </x:c>
      <x:c r="Q270" s="8" t="str">
        <x:v>USD</x:v>
      </x:c>
      <x:c r="R270" s="8" t="str">
        <x:v>SOFR</x:v>
      </x:c>
      <x:c r="S270" s="1"/>
      <x:c r="T270" s="1"/>
      <x:c r="U270" s="1"/>
      <x:c r="V270" s="1"/>
      <x:c r="W270" s="1"/>
      <x:c r="X270" s="1"/>
      <x:c r="Y270" s="1"/>
    </x:row>
    <x:row r="271">
      <x:c r="A271" s="8" t="str">
        <x:v>SYN-LN-00264</x:v>
      </x:c>
      <x:c r="B271" s="8" t="str">
        <x:v>SYN-OB-0255</x:v>
      </x:c>
      <x:c r="C271" s="8" t="str">
        <x:v>Fairhaven LLC 255</x:v>
      </x:c>
      <x:c r="D271" s="9" t="n">
        <x:v>1182000</x:v>
      </x:c>
      <x:c r="E271" s="8" t="str">
        <x:v>B+</x:v>
      </x:c>
      <x:c r="F271" s="8" t="str">
        <x:v>Insurance</x:v>
      </x:c>
      <x:c r="G271" s="8" t="str">
        <x:v>United States</x:v>
      </x:c>
      <x:c r="H271" s="8" t="str">
        <x:v>1st Lien</x:v>
      </x:c>
      <x:c r="I271" s="8" t="str">
        <x:v>Floating</x:v>
      </x:c>
      <x:c r="J271" s="8" t="n">
        <x:v>325</x:v>
      </x:c>
      <x:c r="K271" s="10"/>
      <x:c r="L271" s="8" t="n">
        <x:v>0</x:v>
      </x:c>
      <x:c r="M271" s="11" t="n">
        <x:v>48548</x:v>
      </x:c>
      <x:c r="N271" s="10" t="n">
        <x:v>0.665</x:v>
      </x:c>
      <x:c r="O271" s="12" t="n">
        <x:v>101.5</x:v>
      </x:c>
      <x:c r="P271" s="13" t="n">
        <x:v>4</x:v>
      </x:c>
      <x:c r="Q271" s="8" t="str">
        <x:v>USD</x:v>
      </x:c>
      <x:c r="R271" s="8" t="str">
        <x:v>SOFR</x:v>
      </x:c>
      <x:c r="S271" s="1"/>
      <x:c r="T271" s="1"/>
      <x:c r="U271" s="1"/>
      <x:c r="V271" s="1"/>
      <x:c r="W271" s="1"/>
      <x:c r="X271" s="1"/>
      <x:c r="Y271" s="1"/>
    </x:row>
    <x:row r="272">
      <x:c r="A272" s="8" t="str">
        <x:v>SYN-LN-00265</x:v>
      </x:c>
      <x:c r="B272" s="8" t="str">
        <x:v>SYN-OB-0256</x:v>
      </x:c>
      <x:c r="C272" s="8" t="str">
        <x:v>Granite Holdings 256</x:v>
      </x:c>
      <x:c r="D272" s="9" t="n">
        <x:v>1182000</x:v>
      </x:c>
      <x:c r="E272" s="8" t="str">
        <x:v>B+</x:v>
      </x:c>
      <x:c r="F272" s="8" t="str">
        <x:v>Industrial Conglomerates</x:v>
      </x:c>
      <x:c r="G272" s="8" t="str">
        <x:v>United States</x:v>
      </x:c>
      <x:c r="H272" s="8" t="str">
        <x:v>1st Lien</x:v>
      </x:c>
      <x:c r="I272" s="8" t="str">
        <x:v>Floating</x:v>
      </x:c>
      <x:c r="J272" s="8" t="n">
        <x:v>315</x:v>
      </x:c>
      <x:c r="K272" s="10"/>
      <x:c r="L272" s="8" t="n">
        <x:v>0</x:v>
      </x:c>
      <x:c r="M272" s="11" t="n">
        <x:v>48576</x:v>
      </x:c>
      <x:c r="N272" s="10" t="n">
        <x:v>0.29</x:v>
      </x:c>
      <x:c r="O272" s="12" t="n">
        <x:v>99.25</x:v>
      </x:c>
      <x:c r="P272" s="13" t="n">
        <x:v>4</x:v>
      </x:c>
      <x:c r="Q272" s="8" t="str">
        <x:v>USD</x:v>
      </x:c>
      <x:c r="R272" s="8" t="str">
        <x:v>SOFR</x:v>
      </x:c>
      <x:c r="S272" s="1"/>
      <x:c r="T272" s="1"/>
      <x:c r="U272" s="1"/>
      <x:c r="V272" s="1"/>
      <x:c r="W272" s="1"/>
      <x:c r="X272" s="1"/>
      <x:c r="Y272" s="1"/>
    </x:row>
    <x:row r="273">
      <x:c r="A273" s="8" t="str">
        <x:v>SYN-LN-00266</x:v>
      </x:c>
      <x:c r="B273" s="8" t="str">
        <x:v>SYN-OB-0257</x:v>
      </x:c>
      <x:c r="C273" s="8" t="str">
        <x:v>Harbor Inc. 257</x:v>
      </x:c>
      <x:c r="D273" s="9" t="n">
        <x:v>1182000</x:v>
      </x:c>
      <x:c r="E273" s="8" t="str">
        <x:v>B+</x:v>
      </x:c>
      <x:c r="F273" s="8" t="str">
        <x:v>Insurance</x:v>
      </x:c>
      <x:c r="G273" s="8" t="str">
        <x:v>United States</x:v>
      </x:c>
      <x:c r="H273" s="8" t="str">
        <x:v>1st Lien</x:v>
      </x:c>
      <x:c r="I273" s="8" t="str">
        <x:v>Floating</x:v>
      </x:c>
      <x:c r="J273" s="8" t="n">
        <x:v>225</x:v>
      </x:c>
      <x:c r="K273" s="10"/>
      <x:c r="L273" s="8" t="n">
        <x:v>0</x:v>
      </x:c>
      <x:c r="M273" s="11" t="n">
        <x:v>47983</x:v>
      </x:c>
      <x:c r="N273" s="10" t="n">
        <x:v>0.435</x:v>
      </x:c>
      <x:c r="O273" s="12" t="n">
        <x:v>99.875</x:v>
      </x:c>
      <x:c r="P273" s="13" t="n">
        <x:v>4</x:v>
      </x:c>
      <x:c r="Q273" s="8" t="str">
        <x:v>USD</x:v>
      </x:c>
      <x:c r="R273" s="8" t="str">
        <x:v>SOFR</x:v>
      </x:c>
      <x:c r="S273" s="1"/>
      <x:c r="T273" s="1"/>
      <x:c r="U273" s="1"/>
      <x:c r="V273" s="1"/>
      <x:c r="W273" s="1"/>
      <x:c r="X273" s="1"/>
      <x:c r="Y273" s="1"/>
    </x:row>
    <x:row r="274">
      <x:c r="A274" s="8" t="str">
        <x:v>SYN-LN-00267</x:v>
      </x:c>
      <x:c r="B274" s="8" t="str">
        <x:v>SYN-OB-0258</x:v>
      </x:c>
      <x:c r="C274" s="8" t="str">
        <x:v>Hawthorne Corp. 258</x:v>
      </x:c>
      <x:c r="D274" s="9" t="n">
        <x:v>1182000</x:v>
      </x:c>
      <x:c r="E274" s="8" t="str">
        <x:v>B+</x:v>
      </x:c>
      <x:c r="F274" s="8" t="str">
        <x:v>Insurance</x:v>
      </x:c>
      <x:c r="G274" s="8" t="str">
        <x:v>United States</x:v>
      </x:c>
      <x:c r="H274" s="8" t="str">
        <x:v>1st Lien</x:v>
      </x:c>
      <x:c r="I274" s="8" t="str">
        <x:v>Floating</x:v>
      </x:c>
      <x:c r="J274" s="8" t="n">
        <x:v>340</x:v>
      </x:c>
      <x:c r="K274" s="10"/>
      <x:c r="L274" s="8" t="n">
        <x:v>0</x:v>
      </x:c>
      <x:c r="M274" s="11" t="n">
        <x:v>49125</x:v>
      </x:c>
      <x:c r="N274" s="10" t="n">
        <x:v>0.455</x:v>
      </x:c>
      <x:c r="O274" s="12" t="n">
        <x:v>97.5</x:v>
      </x:c>
      <x:c r="P274" s="13" t="n">
        <x:v>4</x:v>
      </x:c>
      <x:c r="Q274" s="8" t="str">
        <x:v>USD</x:v>
      </x:c>
      <x:c r="R274" s="8" t="str">
        <x:v>SOFR</x:v>
      </x:c>
      <x:c r="S274" s="1"/>
      <x:c r="T274" s="1"/>
      <x:c r="U274" s="1"/>
      <x:c r="V274" s="1"/>
      <x:c r="W274" s="1"/>
      <x:c r="X274" s="1"/>
      <x:c r="Y274" s="1"/>
    </x:row>
    <x:row r="275">
      <x:c r="A275" s="8" t="str">
        <x:v>SYN-LN-00268</x:v>
      </x:c>
      <x:c r="B275" s="8" t="str">
        <x:v>SYN-OB-0259</x:v>
      </x:c>
      <x:c r="C275" s="8" t="str">
        <x:v>Highland Group 259</x:v>
      </x:c>
      <x:c r="D275" s="9" t="n">
        <x:v>710000</x:v>
      </x:c>
      <x:c r="E275" s="8" t="str">
        <x:v>B-</x:v>
      </x:c>
      <x:c r="F275" s="8" t="str">
        <x:v>Containers &amp; Packaging</x:v>
      </x:c>
      <x:c r="G275" s="8" t="str">
        <x:v>United States</x:v>
      </x:c>
      <x:c r="H275" s="8" t="str">
        <x:v>1st Lien</x:v>
      </x:c>
      <x:c r="I275" s="8" t="str">
        <x:v>Floating</x:v>
      </x:c>
      <x:c r="J275" s="8" t="n">
        <x:v>210</x:v>
      </x:c>
      <x:c r="K275" s="10"/>
      <x:c r="L275" s="8" t="n">
        <x:v>50</x:v>
      </x:c>
      <x:c r="M275" s="11" t="n">
        <x:v>49567</x:v>
      </x:c>
      <x:c r="N275" s="10" t="n">
        <x:v>0.34</x:v>
      </x:c>
      <x:c r="O275" s="12" t="n">
        <x:v>99</x:v>
      </x:c>
      <x:c r="P275" s="13" t="n">
        <x:v>4</x:v>
      </x:c>
      <x:c r="Q275" s="8" t="str">
        <x:v>USD</x:v>
      </x:c>
      <x:c r="R275" s="8" t="str">
        <x:v>SOFR</x:v>
      </x:c>
      <x:c r="S275" s="1"/>
      <x:c r="T275" s="1"/>
      <x:c r="U275" s="1"/>
      <x:c r="V275" s="1"/>
      <x:c r="W275" s="1"/>
      <x:c r="X275" s="1"/>
      <x:c r="Y275" s="1"/>
    </x:row>
    <x:row r="276">
      <x:c r="A276" s="8" t="str">
        <x:v>SYN-LN-00269</x:v>
      </x:c>
      <x:c r="B276" s="8" t="str">
        <x:v>SYN-OB-0259</x:v>
      </x:c>
      <x:c r="C276" s="8" t="str">
        <x:v>Highland Group 259</x:v>
      </x:c>
      <x:c r="D276" s="9" t="n">
        <x:v>472000</x:v>
      </x:c>
      <x:c r="E276" s="8" t="str">
        <x:v>B-</x:v>
      </x:c>
      <x:c r="F276" s="8" t="str">
        <x:v>Containers &amp; Packaging</x:v>
      </x:c>
      <x:c r="G276" s="8" t="str">
        <x:v>United States</x:v>
      </x:c>
      <x:c r="H276" s="8" t="str">
        <x:v>1st Lien</x:v>
      </x:c>
      <x:c r="I276" s="8" t="str">
        <x:v>Floating</x:v>
      </x:c>
      <x:c r="J276" s="8" t="n">
        <x:v>220</x:v>
      </x:c>
      <x:c r="K276" s="10"/>
      <x:c r="L276" s="8" t="n">
        <x:v>0</x:v>
      </x:c>
      <x:c r="M276" s="11" t="n">
        <x:v>49643</x:v>
      </x:c>
      <x:c r="N276" s="10" t="n">
        <x:v>0.34</x:v>
      </x:c>
      <x:c r="O276" s="12" t="n">
        <x:v>99.125</x:v>
      </x:c>
      <x:c r="P276" s="13" t="n">
        <x:v>4</x:v>
      </x:c>
      <x:c r="Q276" s="8" t="str">
        <x:v>USD</x:v>
      </x:c>
      <x:c r="R276" s="8" t="str">
        <x:v>SOFR</x:v>
      </x:c>
      <x:c r="S276" s="1"/>
      <x:c r="T276" s="1"/>
      <x:c r="U276" s="1"/>
      <x:c r="V276" s="1"/>
      <x:c r="W276" s="1"/>
      <x:c r="X276" s="1"/>
      <x:c r="Y276" s="1"/>
    </x:row>
    <x:row r="277">
      <x:c r="A277" s="8" t="str">
        <x:v>SYN-LN-00270</x:v>
      </x:c>
      <x:c r="B277" s="8" t="str">
        <x:v>SYN-OB-0260</x:v>
      </x:c>
      <x:c r="C277" s="8" t="str">
        <x:v>Ironwood LLC 260</x:v>
      </x:c>
      <x:c r="D277" s="9" t="n">
        <x:v>1182000</x:v>
      </x:c>
      <x:c r="E277" s="8" t="str">
        <x:v>B-</x:v>
      </x:c>
      <x:c r="F277" s="8" t="str">
        <x:v>Containers &amp; Packaging</x:v>
      </x:c>
      <x:c r="G277" s="8" t="str">
        <x:v>United States</x:v>
      </x:c>
      <x:c r="H277" s="8" t="str">
        <x:v>1st Lien</x:v>
      </x:c>
      <x:c r="I277" s="8" t="str">
        <x:v>Floating</x:v>
      </x:c>
      <x:c r="J277" s="8" t="n">
        <x:v>355</x:v>
      </x:c>
      <x:c r="K277" s="10"/>
      <x:c r="L277" s="8" t="n">
        <x:v>0</x:v>
      </x:c>
      <x:c r="M277" s="11" t="n">
        <x:v>48533</x:v>
      </x:c>
      <x:c r="N277" s="10" t="n">
        <x:v>0.375</x:v>
      </x:c>
      <x:c r="O277" s="12" t="n">
        <x:v>98.5</x:v>
      </x:c>
      <x:c r="P277" s="13" t="n">
        <x:v>4</x:v>
      </x:c>
      <x:c r="Q277" s="8" t="str">
        <x:v>USD</x:v>
      </x:c>
      <x:c r="R277" s="8" t="str">
        <x:v>SOFR</x:v>
      </x:c>
      <x:c r="S277" s="1"/>
      <x:c r="T277" s="1"/>
      <x:c r="U277" s="1"/>
      <x:c r="V277" s="1"/>
      <x:c r="W277" s="1"/>
      <x:c r="X277" s="1"/>
      <x:c r="Y277" s="1"/>
    </x:row>
    <x:row r="278">
      <x:c r="A278" s="8" t="str">
        <x:v>SYN-LN-00271</x:v>
      </x:c>
      <x:c r="B278" s="8" t="str">
        <x:v>SYN-OB-0261</x:v>
      </x:c>
      <x:c r="C278" s="8" t="str">
        <x:v>Juniper Holdings 261</x:v>
      </x:c>
      <x:c r="D278" s="9" t="n">
        <x:v>1182000</x:v>
      </x:c>
      <x:c r="E278" s="8" t="str">
        <x:v>BB-</x:v>
      </x:c>
      <x:c r="F278" s="8" t="str">
        <x:v>Food Products</x:v>
      </x:c>
      <x:c r="G278" s="8" t="str">
        <x:v>United States</x:v>
      </x:c>
      <x:c r="H278" s="8" t="str">
        <x:v>1st Lien</x:v>
      </x:c>
      <x:c r="I278" s="8" t="str">
        <x:v>Floating</x:v>
      </x:c>
      <x:c r="J278" s="8" t="n">
        <x:v>300</x:v>
      </x:c>
      <x:c r="K278" s="10"/>
      <x:c r="L278" s="8" t="n">
        <x:v>0</x:v>
      </x:c>
      <x:c r="M278" s="11" t="n">
        <x:v>48515</x:v>
      </x:c>
      <x:c r="N278" s="10" t="n">
        <x:v>0.535</x:v>
      </x:c>
      <x:c r="O278" s="12" t="n">
        <x:v>99</x:v>
      </x:c>
      <x:c r="P278" s="13" t="n">
        <x:v>4</x:v>
      </x:c>
      <x:c r="Q278" s="8" t="str">
        <x:v>USD</x:v>
      </x:c>
      <x:c r="R278" s="8" t="str">
        <x:v>SOFR</x:v>
      </x:c>
      <x:c r="S278" s="1"/>
      <x:c r="T278" s="1"/>
      <x:c r="U278" s="1"/>
      <x:c r="V278" s="1"/>
      <x:c r="W278" s="1"/>
      <x:c r="X278" s="1"/>
      <x:c r="Y278" s="1"/>
    </x:row>
    <x:row r="279">
      <x:c r="A279" s="8" t="str">
        <x:v>SYN-LN-00272</x:v>
      </x:c>
      <x:c r="B279" s="8" t="str">
        <x:v>SYN-OB-0262</x:v>
      </x:c>
      <x:c r="C279" s="8" t="str">
        <x:v>Keystone Inc. 262</x:v>
      </x:c>
      <x:c r="D279" s="9" t="n">
        <x:v>1182000</x:v>
      </x:c>
      <x:c r="E279" s="8" t="str">
        <x:v>B-</x:v>
      </x:c>
      <x:c r="F279" s="8" t="str">
        <x:v>Healthcare Providers &amp; Services</x:v>
      </x:c>
      <x:c r="G279" s="8" t="str">
        <x:v>United States</x:v>
      </x:c>
      <x:c r="H279" s="8" t="str">
        <x:v>1st Lien</x:v>
      </x:c>
      <x:c r="I279" s="8" t="str">
        <x:v>Floating</x:v>
      </x:c>
      <x:c r="J279" s="8" t="n">
        <x:v>325</x:v>
      </x:c>
      <x:c r="K279" s="10"/>
      <x:c r="L279" s="8" t="n">
        <x:v>0</x:v>
      </x:c>
      <x:c r="M279" s="11" t="n">
        <x:v>48167</x:v>
      </x:c>
      <x:c r="N279" s="10" t="n">
        <x:v>0.54</x:v>
      </x:c>
      <x:c r="O279" s="12" t="n">
        <x:v>101.5</x:v>
      </x:c>
      <x:c r="P279" s="13" t="n">
        <x:v>4</x:v>
      </x:c>
      <x:c r="Q279" s="8" t="str">
        <x:v>USD</x:v>
      </x:c>
      <x:c r="R279" s="8" t="str">
        <x:v>SOFR</x:v>
      </x:c>
      <x:c r="S279" s="1"/>
      <x:c r="T279" s="1"/>
      <x:c r="U279" s="1"/>
      <x:c r="V279" s="1"/>
      <x:c r="W279" s="1"/>
      <x:c r="X279" s="1"/>
      <x:c r="Y279" s="1"/>
    </x:row>
    <x:row r="280">
      <x:c r="A280" s="8" t="str">
        <x:v>SYN-LN-00273</x:v>
      </x:c>
      <x:c r="B280" s="8" t="str">
        <x:v>SYN-OB-0263</x:v>
      </x:c>
      <x:c r="C280" s="8" t="str">
        <x:v>Lakeview Corp. 263</x:v>
      </x:c>
      <x:c r="D280" s="9" t="n">
        <x:v>630000</x:v>
      </x:c>
      <x:c r="E280" s="8" t="str">
        <x:v>BBB+</x:v>
      </x:c>
      <x:c r="F280" s="8" t="str">
        <x:v>Passenger airlines</x:v>
      </x:c>
      <x:c r="G280" s="8" t="str">
        <x:v>Luxembourg</x:v>
      </x:c>
      <x:c r="H280" s="8" t="str">
        <x:v>1st Lien</x:v>
      </x:c>
      <x:c r="I280" s="8" t="str">
        <x:v>Fixed</x:v>
      </x:c>
      <x:c r="J280" s="8"/>
      <x:c r="K280" s="10" t="n">
        <x:v>0.041875</x:v>
      </x:c>
      <x:c r="L280" s="8"/>
      <x:c r="M280" s="11" t="n">
        <x:v>48057</x:v>
      </x:c>
      <x:c r="N280" s="10" t="n">
        <x:v>0.27</x:v>
      </x:c>
      <x:c r="O280" s="12" t="n">
        <x:v>88.125</x:v>
      </x:c>
      <x:c r="P280" s="13" t="n">
        <x:v>2</x:v>
      </x:c>
      <x:c r="Q280" s="8" t="str">
        <x:v>USD</x:v>
      </x:c>
      <x:c r="R280" s="8"/>
      <x:c r="S280" s="1"/>
      <x:c r="T280" s="1"/>
      <x:c r="U280" s="1"/>
      <x:c r="V280" s="1"/>
      <x:c r="W280" s="1"/>
      <x:c r="X280" s="1"/>
      <x:c r="Y280" s="1"/>
    </x:row>
    <x:row r="281">
      <x:c r="A281" s="8" t="str">
        <x:v>SYN-LN-00274</x:v>
      </x:c>
      <x:c r="B281" s="8" t="str">
        <x:v>SYN-OB-0264</x:v>
      </x:c>
      <x:c r="C281" s="8" t="str">
        <x:v>Larkspur Group 264</x:v>
      </x:c>
      <x:c r="D281" s="9" t="n">
        <x:v>1182000</x:v>
      </x:c>
      <x:c r="E281" s="8" t="str">
        <x:v>B</x:v>
      </x:c>
      <x:c r="F281" s="8" t="str">
        <x:v>Diversified Consumer Services</x:v>
      </x:c>
      <x:c r="G281" s="8" t="str">
        <x:v>United States</x:v>
      </x:c>
      <x:c r="H281" s="8" t="str">
        <x:v>1st Lien</x:v>
      </x:c>
      <x:c r="I281" s="8" t="str">
        <x:v>Floating</x:v>
      </x:c>
      <x:c r="J281" s="8" t="n">
        <x:v>290</x:v>
      </x:c>
      <x:c r="K281" s="10"/>
      <x:c r="L281" s="8" t="n">
        <x:v>0</x:v>
      </x:c>
      <x:c r="M281" s="11" t="n">
        <x:v>48362</x:v>
      </x:c>
      <x:c r="N281" s="10" t="n">
        <x:v>0.375</x:v>
      </x:c>
      <x:c r="O281" s="12" t="n">
        <x:v>99.5</x:v>
      </x:c>
      <x:c r="P281" s="13" t="n">
        <x:v>4</x:v>
      </x:c>
      <x:c r="Q281" s="8" t="str">
        <x:v>USD</x:v>
      </x:c>
      <x:c r="R281" s="8" t="str">
        <x:v>SOFR</x:v>
      </x:c>
      <x:c r="S281" s="1"/>
      <x:c r="T281" s="1"/>
      <x:c r="U281" s="1"/>
      <x:c r="V281" s="1"/>
      <x:c r="W281" s="1"/>
      <x:c r="X281" s="1"/>
      <x:c r="Y281" s="1"/>
    </x:row>
    <x:row r="282">
      <x:c r="A282" s="8" t="str">
        <x:v>SYN-LN-00275</x:v>
      </x:c>
      <x:c r="B282" s="8" t="str">
        <x:v>SYN-OB-0265</x:v>
      </x:c>
      <x:c r="C282" s="8" t="str">
        <x:v>Maple LLC 265</x:v>
      </x:c>
      <x:c r="D282" s="9" t="n">
        <x:v>1182000</x:v>
      </x:c>
      <x:c r="E282" s="8" t="str">
        <x:v>B-</x:v>
      </x:c>
      <x:c r="F282" s="8" t="str">
        <x:v>Communications Equipment</x:v>
      </x:c>
      <x:c r="G282" s="8" t="str">
        <x:v>United Kingdom</x:v>
      </x:c>
      <x:c r="H282" s="8" t="str">
        <x:v>1st Lien</x:v>
      </x:c>
      <x:c r="I282" s="8" t="str">
        <x:v>Floating</x:v>
      </x:c>
      <x:c r="J282" s="8" t="n">
        <x:v>440</x:v>
      </x:c>
      <x:c r="K282" s="10"/>
      <x:c r="L282" s="8" t="n">
        <x:v>0</x:v>
      </x:c>
      <x:c r="M282" s="11" t="n">
        <x:v>47223</x:v>
      </x:c>
      <x:c r="N282" s="10" t="n">
        <x:v>0.45</x:v>
      </x:c>
      <x:c r="O282" s="12" t="n">
        <x:v>99.75</x:v>
      </x:c>
      <x:c r="P282" s="13" t="n">
        <x:v>4</x:v>
      </x:c>
      <x:c r="Q282" s="8" t="str">
        <x:v>USD</x:v>
      </x:c>
      <x:c r="R282" s="8" t="str">
        <x:v>SOFR</x:v>
      </x:c>
      <x:c r="S282" s="1"/>
      <x:c r="T282" s="1"/>
      <x:c r="U282" s="1"/>
      <x:c r="V282" s="1"/>
      <x:c r="W282" s="1"/>
      <x:c r="X282" s="1"/>
      <x:c r="Y282" s="1"/>
    </x:row>
    <x:row r="283">
      <x:c r="A283" s="8" t="str">
        <x:v>SYN-LN-00276</x:v>
      </x:c>
      <x:c r="B283" s="8" t="str">
        <x:v>SYN-OB-0266</x:v>
      </x:c>
      <x:c r="C283" s="8" t="str">
        <x:v>Meridian Holdings 266</x:v>
      </x:c>
      <x:c r="D283" s="9" t="n">
        <x:v>1182000</x:v>
      </x:c>
      <x:c r="E283" s="8" t="str">
        <x:v>BB</x:v>
      </x:c>
      <x:c r="F283" s="8" t="str">
        <x:v>Construction Materials</x:v>
      </x:c>
      <x:c r="G283" s="8" t="str">
        <x:v>United States</x:v>
      </x:c>
      <x:c r="H283" s="8" t="str">
        <x:v>1st Lien</x:v>
      </x:c>
      <x:c r="I283" s="8" t="str">
        <x:v>Floating</x:v>
      </x:c>
      <x:c r="J283" s="8" t="n">
        <x:v>230</x:v>
      </x:c>
      <x:c r="K283" s="10"/>
      <x:c r="L283" s="8" t="n">
        <x:v>0</x:v>
      </x:c>
      <x:c r="M283" s="11" t="n">
        <x:v>47754</x:v>
      </x:c>
      <x:c r="N283" s="10" t="n">
        <x:v>0.335</x:v>
      </x:c>
      <x:c r="O283" s="12" t="n">
        <x:v>100</x:v>
      </x:c>
      <x:c r="P283" s="13" t="n">
        <x:v>4</x:v>
      </x:c>
      <x:c r="Q283" s="8" t="str">
        <x:v>USD</x:v>
      </x:c>
      <x:c r="R283" s="8" t="str">
        <x:v>SOFR</x:v>
      </x:c>
      <x:c r="S283" s="1"/>
      <x:c r="T283" s="1"/>
      <x:c r="U283" s="1"/>
      <x:c r="V283" s="1"/>
      <x:c r="W283" s="1"/>
      <x:c r="X283" s="1"/>
      <x:c r="Y283" s="1"/>
    </x:row>
    <x:row r="284">
      <x:c r="A284" s="8" t="str">
        <x:v>SYN-LN-00277</x:v>
      </x:c>
      <x:c r="B284" s="8" t="str">
        <x:v>SYN-OB-0267</x:v>
      </x:c>
      <x:c r="C284" s="8" t="str">
        <x:v>Northfield Inc. 267</x:v>
      </x:c>
      <x:c r="D284" s="9" t="n">
        <x:v>790000</x:v>
      </x:c>
      <x:c r="E284" s="8" t="str">
        <x:v>BB-</x:v>
      </x:c>
      <x:c r="F284" s="8" t="str">
        <x:v>Food Products</x:v>
      </x:c>
      <x:c r="G284" s="8" t="str">
        <x:v>United States</x:v>
      </x:c>
      <x:c r="H284" s="8" t="str">
        <x:v>1st Lien</x:v>
      </x:c>
      <x:c r="I284" s="8" t="str">
        <x:v>Floating</x:v>
      </x:c>
      <x:c r="J284" s="8" t="n">
        <x:v>135</x:v>
      </x:c>
      <x:c r="K284" s="10"/>
      <x:c r="L284" s="8" t="n">
        <x:v>0</x:v>
      </x:c>
      <x:c r="M284" s="11" t="n">
        <x:v>48653</x:v>
      </x:c>
      <x:c r="N284" s="10" t="n">
        <x:v>0.375</x:v>
      </x:c>
      <x:c r="O284" s="12" t="n">
        <x:v>99.5</x:v>
      </x:c>
      <x:c r="P284" s="13" t="n">
        <x:v>4</x:v>
      </x:c>
      <x:c r="Q284" s="8" t="str">
        <x:v>USD</x:v>
      </x:c>
      <x:c r="R284" s="8" t="str">
        <x:v>SOFR</x:v>
      </x:c>
      <x:c r="S284" s="1"/>
      <x:c r="T284" s="1"/>
      <x:c r="U284" s="1"/>
      <x:c r="V284" s="1"/>
      <x:c r="W284" s="1"/>
      <x:c r="X284" s="1"/>
      <x:c r="Y284" s="1"/>
    </x:row>
    <x:row r="285">
      <x:c r="A285" s="8" t="str">
        <x:v>SYN-LN-00278</x:v>
      </x:c>
      <x:c r="B285" s="8" t="str">
        <x:v>SYN-OB-0267</x:v>
      </x:c>
      <x:c r="C285" s="8" t="str">
        <x:v>Northfield Inc. 267</x:v>
      </x:c>
      <x:c r="D285" s="9" t="n">
        <x:v>392000</x:v>
      </x:c>
      <x:c r="E285" s="8" t="str">
        <x:v>BB-</x:v>
      </x:c>
      <x:c r="F285" s="8" t="str">
        <x:v>Food Products</x:v>
      </x:c>
      <x:c r="G285" s="8" t="str">
        <x:v>United States</x:v>
      </x:c>
      <x:c r="H285" s="8" t="str">
        <x:v>1st Lien</x:v>
      </x:c>
      <x:c r="I285" s="8" t="str">
        <x:v>Floating</x:v>
      </x:c>
      <x:c r="J285" s="8" t="n">
        <x:v>145</x:v>
      </x:c>
      <x:c r="K285" s="10"/>
      <x:c r="L285" s="8" t="n">
        <x:v>50</x:v>
      </x:c>
      <x:c r="M285" s="11" t="n">
        <x:v>48714</x:v>
      </x:c>
      <x:c r="N285" s="10" t="n">
        <x:v>0.375</x:v>
      </x:c>
      <x:c r="O285" s="12" t="n">
        <x:v>99.625</x:v>
      </x:c>
      <x:c r="P285" s="13" t="n">
        <x:v>4</x:v>
      </x:c>
      <x:c r="Q285" s="8" t="str">
        <x:v>USD</x:v>
      </x:c>
      <x:c r="R285" s="8" t="str">
        <x:v>SOFR</x:v>
      </x:c>
      <x:c r="S285" s="1"/>
      <x:c r="T285" s="1"/>
      <x:c r="U285" s="1"/>
      <x:c r="V285" s="1"/>
      <x:c r="W285" s="1"/>
      <x:c r="X285" s="1"/>
      <x:c r="Y285" s="1"/>
    </x:row>
    <x:row r="286">
      <x:c r="A286" s="8" t="str">
        <x:v>SYN-LN-00279</x:v>
      </x:c>
      <x:c r="B286" s="8" t="str">
        <x:v>SYN-OB-0268</x:v>
      </x:c>
      <x:c r="C286" s="8" t="str">
        <x:v>Oakmont Corp. 268</x:v>
      </x:c>
      <x:c r="D286" s="9" t="n">
        <x:v>780000</x:v>
      </x:c>
      <x:c r="E286" s="8" t="str">
        <x:v>BB-</x:v>
      </x:c>
      <x:c r="F286" s="8" t="str">
        <x:v>Food Products</x:v>
      </x:c>
      <x:c r="G286" s="8" t="str">
        <x:v>United States</x:v>
      </x:c>
      <x:c r="H286" s="8" t="str">
        <x:v>1st Lien</x:v>
      </x:c>
      <x:c r="I286" s="8" t="str">
        <x:v>Floating</x:v>
      </x:c>
      <x:c r="J286" s="8" t="n">
        <x:v>295</x:v>
      </x:c>
      <x:c r="K286" s="10"/>
      <x:c r="L286" s="8" t="n">
        <x:v>0</x:v>
      </x:c>
      <x:c r="M286" s="11" t="n">
        <x:v>48607</x:v>
      </x:c>
      <x:c r="N286" s="10" t="n">
        <x:v>0.47</x:v>
      </x:c>
      <x:c r="O286" s="12" t="n">
        <x:v>101.5</x:v>
      </x:c>
      <x:c r="P286" s="13" t="n">
        <x:v>4</x:v>
      </x:c>
      <x:c r="Q286" s="8" t="str">
        <x:v>USD</x:v>
      </x:c>
      <x:c r="R286" s="8" t="str">
        <x:v>SOFR</x:v>
      </x:c>
      <x:c r="S286" s="1"/>
      <x:c r="T286" s="1"/>
      <x:c r="U286" s="1"/>
      <x:c r="V286" s="1"/>
      <x:c r="W286" s="1"/>
      <x:c r="X286" s="1"/>
      <x:c r="Y286" s="1"/>
    </x:row>
    <x:row r="287">
      <x:c r="A287" s="8" t="str">
        <x:v>SYN-LN-00280</x:v>
      </x:c>
      <x:c r="B287" s="8" t="str">
        <x:v>SYN-OB-0268</x:v>
      </x:c>
      <x:c r="C287" s="8" t="str">
        <x:v>Oakmont Corp. 268</x:v>
      </x:c>
      <x:c r="D287" s="9" t="n">
        <x:v>402000</x:v>
      </x:c>
      <x:c r="E287" s="8" t="str">
        <x:v>BB-</x:v>
      </x:c>
      <x:c r="F287" s="8" t="str">
        <x:v>Food Products</x:v>
      </x:c>
      <x:c r="G287" s="8" t="str">
        <x:v>United States</x:v>
      </x:c>
      <x:c r="H287" s="8" t="str">
        <x:v>1st Lien</x:v>
      </x:c>
      <x:c r="I287" s="8" t="str">
        <x:v>Floating</x:v>
      </x:c>
      <x:c r="J287" s="8" t="n">
        <x:v>305</x:v>
      </x:c>
      <x:c r="K287" s="10"/>
      <x:c r="L287" s="8" t="n">
        <x:v>75</x:v>
      </x:c>
      <x:c r="M287" s="11" t="n">
        <x:v>48653</x:v>
      </x:c>
      <x:c r="N287" s="10" t="n">
        <x:v>0.47</x:v>
      </x:c>
      <x:c r="O287" s="12" t="n">
        <x:v>101.625</x:v>
      </x:c>
      <x:c r="P287" s="13" t="n">
        <x:v>4</x:v>
      </x:c>
      <x:c r="Q287" s="8" t="str">
        <x:v>USD</x:v>
      </x:c>
      <x:c r="R287" s="8" t="str">
        <x:v>SOFR</x:v>
      </x:c>
      <x:c r="S287" s="1"/>
      <x:c r="T287" s="1"/>
      <x:c r="U287" s="1"/>
      <x:c r="V287" s="1"/>
      <x:c r="W287" s="1"/>
      <x:c r="X287" s="1"/>
      <x:c r="Y287" s="1"/>
    </x:row>
    <x:row r="288">
      <x:c r="A288" s="8" t="str">
        <x:v>SYN-LN-00281</x:v>
      </x:c>
      <x:c r="B288" s="8" t="str">
        <x:v>SYN-OB-0269</x:v>
      </x:c>
      <x:c r="C288" s="8" t="str">
        <x:v>Orchard Group 269</x:v>
      </x:c>
      <x:c r="D288" s="9" t="n">
        <x:v>1182000</x:v>
      </x:c>
      <x:c r="E288" s="8" t="str">
        <x:v>BB-</x:v>
      </x:c>
      <x:c r="F288" s="8" t="str">
        <x:v>Household Durables</x:v>
      </x:c>
      <x:c r="G288" s="8" t="str">
        <x:v>United States</x:v>
      </x:c>
      <x:c r="H288" s="8" t="str">
        <x:v>1st Lien</x:v>
      </x:c>
      <x:c r="I288" s="8" t="str">
        <x:v>Floating</x:v>
      </x:c>
      <x:c r="J288" s="8" t="n">
        <x:v>280</x:v>
      </x:c>
      <x:c r="K288" s="10"/>
      <x:c r="L288" s="8" t="n">
        <x:v>0</x:v>
      </x:c>
      <x:c r="M288" s="11" t="n">
        <x:v>47968</x:v>
      </x:c>
      <x:c r="N288" s="10" t="n">
        <x:v>0.475</x:v>
      </x:c>
      <x:c r="O288" s="12" t="n">
        <x:v>100.375</x:v>
      </x:c>
      <x:c r="P288" s="13" t="n">
        <x:v>4</x:v>
      </x:c>
      <x:c r="Q288" s="8" t="str">
        <x:v>USD</x:v>
      </x:c>
      <x:c r="R288" s="8" t="str">
        <x:v>SOFR</x:v>
      </x:c>
      <x:c r="S288" s="1"/>
      <x:c r="T288" s="1"/>
      <x:c r="U288" s="1"/>
      <x:c r="V288" s="1"/>
      <x:c r="W288" s="1"/>
      <x:c r="X288" s="1"/>
      <x:c r="Y288" s="1"/>
    </x:row>
    <x:row r="289">
      <x:c r="A289" s="8" t="str">
        <x:v>SYN-LN-00282</x:v>
      </x:c>
      <x:c r="B289" s="8" t="str">
        <x:v>SYN-OB-0270</x:v>
      </x:c>
      <x:c r="C289" s="8" t="str">
        <x:v>Pinecrest LLC 270</x:v>
      </x:c>
      <x:c r="D289" s="9" t="n">
        <x:v>1182000</x:v>
      </x:c>
      <x:c r="E289" s="8" t="str">
        <x:v>B-</x:v>
      </x:c>
      <x:c r="F289" s="8" t="str">
        <x:v>Pharmaceuticals</x:v>
      </x:c>
      <x:c r="G289" s="8" t="str">
        <x:v>Luxembourg</x:v>
      </x:c>
      <x:c r="H289" s="8" t="str">
        <x:v>1st Lien</x:v>
      </x:c>
      <x:c r="I289" s="8" t="str">
        <x:v>Floating</x:v>
      </x:c>
      <x:c r="J289" s="8" t="n">
        <x:v>435</x:v>
      </x:c>
      <x:c r="K289" s="10"/>
      <x:c r="L289" s="8" t="n">
        <x:v>0</x:v>
      </x:c>
      <x:c r="M289" s="11" t="n">
        <x:v>47314</x:v>
      </x:c>
      <x:c r="N289" s="10" t="n">
        <x:v>0.435</x:v>
      </x:c>
      <x:c r="O289" s="12" t="n">
        <x:v>100.375</x:v>
      </x:c>
      <x:c r="P289" s="13" t="n">
        <x:v>4</x:v>
      </x:c>
      <x:c r="Q289" s="8" t="str">
        <x:v>USD</x:v>
      </x:c>
      <x:c r="R289" s="8" t="str">
        <x:v>SOFR</x:v>
      </x:c>
      <x:c r="S289" s="1"/>
      <x:c r="T289" s="1"/>
      <x:c r="U289" s="1"/>
      <x:c r="V289" s="1"/>
      <x:c r="W289" s="1"/>
      <x:c r="X289" s="1"/>
      <x:c r="Y289" s="1"/>
    </x:row>
  </x:sheetData>
  <x:pageMargins left="0.7" right="0.7" top="0.75" bottom="0.75" header="0.3" footer="0.3"/>
</x:worksheet>
</file>